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cot-dc01.cot-i.com\CapRockDocuments\Engineering\01_Designs\2746\"/>
    </mc:Choice>
  </mc:AlternateContent>
  <xr:revisionPtr revIDLastSave="0" documentId="13_ncr:1_{19526F51-18CA-4602-996C-6977A0E11BC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rofitability Projections" sheetId="18" r:id="rId1"/>
    <sheet name="s" sheetId="41" state="veryHidden" r:id="rId2"/>
    <sheet name="Est. T Cost Calc." sheetId="39" state="veryHidden" r:id="rId3"/>
    <sheet name="Est. Cost Calc." sheetId="20" state="veryHidden" r:id="rId4"/>
  </sheets>
  <definedNames>
    <definedName name="BA_Array" localSheetId="2">#REF!</definedName>
    <definedName name="BA_Array">#REF!</definedName>
    <definedName name="BA_List" localSheetId="2">#REF!</definedName>
    <definedName name="BA_List">#REF!</definedName>
    <definedName name="BB_Array" localSheetId="2">#REF!</definedName>
    <definedName name="BB_Array">#REF!</definedName>
    <definedName name="BB_List" localSheetId="2">#REF!</definedName>
    <definedName name="BB_List">#REF!</definedName>
    <definedName name="CutterSetType">P,IP,DI</definedName>
    <definedName name="_xlnm.Print_Area" localSheetId="0">'Profitability Projections'!$D$4:$Y$77</definedName>
    <definedName name="_xlnm.Print_Area" localSheetId="1">s!$J$1:$AL$74</definedName>
    <definedName name="Profiles_array" localSheetId="2">#REF!</definedName>
    <definedName name="Profiles_array">#REF!</definedName>
    <definedName name="Profiles_List" localSheetId="2">#REF!</definedName>
    <definedName name="Profiles_List">#REF!</definedName>
    <definedName name="Repair_Array" localSheetId="2">#REF!</definedName>
    <definedName name="Repair_Array">#REF!</definedName>
    <definedName name="Repair_List" localSheetId="2">#REF!</definedName>
    <definedName name="Repair_List">#REF!</definedName>
    <definedName name="solver_adj" localSheetId="0" hidden="1">'Profitability Projections'!$G$55</definedName>
    <definedName name="solver_adj" localSheetId="1" hidden="1">s!$N$52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'Profitability Projections'!$R$27</definedName>
    <definedName name="solver_opt" localSheetId="1" hidden="1">s!$AC$24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0.6</definedName>
    <definedName name="solver_val" localSheetId="1" hidden="1">0.6</definedName>
    <definedName name="solver_ver" localSheetId="0" hidden="1">3</definedName>
    <definedName name="solver_ver" localSheetId="1" hidden="1">3</definedName>
    <definedName name="Tool_Joint_Array" localSheetId="2">#REF!</definedName>
    <definedName name="Tool_Joint_Array">#REF!</definedName>
    <definedName name="Tool_Joints_List">#REF!</definedName>
    <definedName name="UniqueAssy">#REF!</definedName>
    <definedName name="WC_RATES" localSheetId="2">#REF!</definedName>
    <definedName name="WC_RATE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9" i="18" l="1"/>
  <c r="G26" i="18" l="1"/>
  <c r="AG14" i="41" l="1"/>
  <c r="G33" i="18"/>
  <c r="J34" i="18"/>
  <c r="N37" i="41" l="1"/>
  <c r="N38" i="41"/>
  <c r="AG16" i="41"/>
  <c r="N42" i="41"/>
  <c r="H21" i="18" l="1"/>
  <c r="N63" i="41"/>
  <c r="N62" i="41"/>
  <c r="N61" i="41"/>
  <c r="N60" i="41"/>
  <c r="N59" i="41"/>
  <c r="N58" i="41"/>
  <c r="N57" i="41"/>
  <c r="N56" i="41"/>
  <c r="N55" i="41"/>
  <c r="D16" i="18"/>
  <c r="D17" i="18"/>
  <c r="F15" i="18"/>
  <c r="E15" i="18"/>
  <c r="O21" i="18"/>
  <c r="Y5" i="18"/>
  <c r="X5" i="18"/>
  <c r="N43" i="41"/>
  <c r="L52" i="41" s="1"/>
  <c r="H69" i="18"/>
  <c r="G69" i="18"/>
  <c r="F69" i="18"/>
  <c r="E69" i="18"/>
  <c r="D69" i="18"/>
  <c r="P28" i="18"/>
  <c r="U35" i="18"/>
  <c r="S35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N26" i="18"/>
  <c r="N25" i="18"/>
  <c r="N24" i="18"/>
  <c r="N23" i="18"/>
  <c r="G54" i="18"/>
  <c r="I39" i="18"/>
  <c r="H39" i="18"/>
  <c r="G39" i="18"/>
  <c r="E21" i="18"/>
  <c r="E20" i="18"/>
  <c r="H19" i="18"/>
  <c r="G19" i="18"/>
  <c r="F19" i="18"/>
  <c r="E19" i="18"/>
  <c r="D19" i="18"/>
  <c r="E31" i="18"/>
  <c r="D31" i="18"/>
  <c r="G35" i="18"/>
  <c r="G34" i="18"/>
  <c r="H32" i="18"/>
  <c r="G32" i="18"/>
  <c r="F32" i="18"/>
  <c r="G28" i="18"/>
  <c r="G27" i="18"/>
  <c r="G25" i="18"/>
  <c r="H25" i="18"/>
  <c r="F25" i="18"/>
  <c r="E28" i="18"/>
  <c r="E27" i="18"/>
  <c r="E26" i="18"/>
  <c r="E35" i="18"/>
  <c r="E34" i="18"/>
  <c r="E33" i="18"/>
  <c r="K47" i="18"/>
  <c r="J47" i="18"/>
  <c r="I47" i="18"/>
  <c r="K46" i="18"/>
  <c r="J46" i="18"/>
  <c r="I46" i="18"/>
  <c r="K45" i="18"/>
  <c r="J45" i="18"/>
  <c r="I45" i="18"/>
  <c r="H50" i="18"/>
  <c r="G50" i="18"/>
  <c r="F50" i="18"/>
  <c r="E50" i="18"/>
  <c r="D50" i="18"/>
  <c r="H44" i="18"/>
  <c r="G44" i="18"/>
  <c r="F44" i="18"/>
  <c r="E44" i="18"/>
  <c r="D44" i="18"/>
  <c r="H38" i="18"/>
  <c r="G38" i="18"/>
  <c r="F38" i="18"/>
  <c r="E38" i="18"/>
  <c r="D38" i="18"/>
  <c r="F41" i="18"/>
  <c r="E41" i="18"/>
  <c r="F40" i="18"/>
  <c r="E40" i="18"/>
  <c r="F47" i="18"/>
  <c r="E47" i="18"/>
  <c r="F46" i="18"/>
  <c r="E46" i="18"/>
  <c r="F45" i="18"/>
  <c r="E45" i="18"/>
  <c r="F51" i="18"/>
  <c r="E51" i="18"/>
  <c r="I53" i="18"/>
  <c r="H53" i="18"/>
  <c r="G53" i="18"/>
  <c r="F53" i="18"/>
  <c r="I54" i="18"/>
  <c r="H54" i="18"/>
  <c r="F54" i="18"/>
  <c r="E54" i="18"/>
  <c r="H70" i="18"/>
  <c r="G76" i="18"/>
  <c r="F76" i="18"/>
  <c r="E76" i="18"/>
  <c r="G75" i="18"/>
  <c r="F75" i="18"/>
  <c r="E75" i="18"/>
  <c r="G74" i="18"/>
  <c r="F74" i="18"/>
  <c r="E74" i="18"/>
  <c r="G73" i="18"/>
  <c r="F73" i="18"/>
  <c r="E73" i="18"/>
  <c r="G72" i="18"/>
  <c r="F72" i="18"/>
  <c r="E72" i="18"/>
  <c r="G71" i="18"/>
  <c r="F71" i="18"/>
  <c r="E71" i="18"/>
  <c r="G70" i="18"/>
  <c r="F70" i="18"/>
  <c r="E70" i="18"/>
  <c r="N71" i="18"/>
  <c r="N70" i="18"/>
  <c r="N69" i="18"/>
  <c r="N68" i="18"/>
  <c r="N67" i="18"/>
  <c r="N66" i="18"/>
  <c r="N65" i="18"/>
  <c r="N64" i="18"/>
  <c r="N63" i="18"/>
  <c r="N62" i="18"/>
  <c r="N61" i="18"/>
  <c r="N60" i="18"/>
  <c r="N59" i="18"/>
  <c r="R58" i="18"/>
  <c r="Q58" i="18"/>
  <c r="P58" i="18"/>
  <c r="O58" i="18"/>
  <c r="N58" i="18"/>
  <c r="R57" i="18"/>
  <c r="Q57" i="18"/>
  <c r="P57" i="18"/>
  <c r="O57" i="18"/>
  <c r="N57" i="18"/>
  <c r="P55" i="18"/>
  <c r="O55" i="18"/>
  <c r="N55" i="18"/>
  <c r="P54" i="18"/>
  <c r="O54" i="18"/>
  <c r="N54" i="18"/>
  <c r="P53" i="18"/>
  <c r="O53" i="18"/>
  <c r="N53" i="18"/>
  <c r="M44" i="18"/>
  <c r="N44" i="18"/>
  <c r="O44" i="18"/>
  <c r="P44" i="18"/>
  <c r="Q44" i="18"/>
  <c r="M52" i="18"/>
  <c r="N52" i="18"/>
  <c r="O52" i="18"/>
  <c r="P52" i="18"/>
  <c r="Q52" i="18"/>
  <c r="R52" i="18"/>
  <c r="Q53" i="18"/>
  <c r="Q54" i="18"/>
  <c r="R46" i="18"/>
  <c r="Q46" i="18"/>
  <c r="P46" i="18"/>
  <c r="O46" i="18"/>
  <c r="R45" i="18"/>
  <c r="Q45" i="18"/>
  <c r="P45" i="18"/>
  <c r="O45" i="18"/>
  <c r="R22" i="18"/>
  <c r="V54" i="18"/>
  <c r="U54" i="18"/>
  <c r="V53" i="18"/>
  <c r="U53" i="18"/>
  <c r="V52" i="18"/>
  <c r="U52" i="18"/>
  <c r="V51" i="18"/>
  <c r="U51" i="18"/>
  <c r="V50" i="18"/>
  <c r="U50" i="18"/>
  <c r="U49" i="18"/>
  <c r="W48" i="18"/>
  <c r="V48" i="18"/>
  <c r="U48" i="18"/>
  <c r="T48" i="18"/>
  <c r="S48" i="18"/>
  <c r="P19" i="18"/>
  <c r="O19" i="18"/>
  <c r="N19" i="18"/>
  <c r="M19" i="18"/>
  <c r="R12" i="18"/>
  <c r="Q12" i="18"/>
  <c r="P12" i="18"/>
  <c r="O12" i="18"/>
  <c r="N12" i="18"/>
  <c r="M12" i="18"/>
  <c r="L12" i="18"/>
  <c r="K12" i="18"/>
  <c r="R11" i="18"/>
  <c r="Q11" i="18"/>
  <c r="P11" i="18"/>
  <c r="O11" i="18"/>
  <c r="N11" i="18"/>
  <c r="M11" i="18"/>
  <c r="L11" i="18"/>
  <c r="K11" i="18"/>
  <c r="Y19" i="18"/>
  <c r="X19" i="18"/>
  <c r="W19" i="18"/>
  <c r="V19" i="18"/>
  <c r="Y18" i="18"/>
  <c r="X18" i="18"/>
  <c r="W18" i="18"/>
  <c r="V17" i="18"/>
  <c r="Y41" i="18"/>
  <c r="X41" i="18"/>
  <c r="W41" i="18"/>
  <c r="V41" i="18"/>
  <c r="Y40" i="18"/>
  <c r="X40" i="18"/>
  <c r="W40" i="18"/>
  <c r="V40" i="18"/>
  <c r="Y39" i="18"/>
  <c r="X39" i="18"/>
  <c r="W39" i="18"/>
  <c r="V39" i="18"/>
  <c r="O39" i="18"/>
  <c r="Y38" i="18"/>
  <c r="X38" i="18"/>
  <c r="W38" i="18"/>
  <c r="V38" i="18"/>
  <c r="Y37" i="18"/>
  <c r="X37" i="18"/>
  <c r="W37" i="18"/>
  <c r="V37" i="18"/>
  <c r="Y36" i="18"/>
  <c r="X36" i="18"/>
  <c r="W36" i="18"/>
  <c r="V36" i="18"/>
  <c r="O36" i="18"/>
  <c r="Y35" i="18"/>
  <c r="X35" i="18"/>
  <c r="W35" i="18"/>
  <c r="V35" i="18"/>
  <c r="P35" i="18"/>
  <c r="O35" i="18"/>
  <c r="Y34" i="18"/>
  <c r="X34" i="18"/>
  <c r="W34" i="18"/>
  <c r="V34" i="18"/>
  <c r="Q34" i="18"/>
  <c r="P34" i="18"/>
  <c r="O34" i="18"/>
  <c r="Y33" i="18"/>
  <c r="X33" i="18"/>
  <c r="W33" i="18"/>
  <c r="V33" i="18"/>
  <c r="Q33" i="18"/>
  <c r="Y32" i="18"/>
  <c r="X32" i="18"/>
  <c r="W32" i="18"/>
  <c r="V32" i="18"/>
  <c r="Q32" i="18"/>
  <c r="P32" i="18"/>
  <c r="O32" i="18"/>
  <c r="Y31" i="18"/>
  <c r="X31" i="18"/>
  <c r="W31" i="18"/>
  <c r="V31" i="18"/>
  <c r="Q31" i="18"/>
  <c r="O31" i="18"/>
  <c r="Y30" i="18"/>
  <c r="X30" i="18"/>
  <c r="W30" i="18"/>
  <c r="V30" i="18"/>
  <c r="Q30" i="18"/>
  <c r="P30" i="18"/>
  <c r="Y29" i="18"/>
  <c r="X29" i="18"/>
  <c r="W29" i="18"/>
  <c r="V29" i="18"/>
  <c r="O29" i="18"/>
  <c r="Y28" i="18"/>
  <c r="X28" i="18"/>
  <c r="W28" i="18"/>
  <c r="V28" i="18"/>
  <c r="O28" i="18"/>
  <c r="Y27" i="18"/>
  <c r="X27" i="18"/>
  <c r="W27" i="18"/>
  <c r="V27" i="18"/>
  <c r="O27" i="18"/>
  <c r="Y26" i="18"/>
  <c r="X26" i="18"/>
  <c r="W26" i="18"/>
  <c r="V26" i="18"/>
  <c r="Q26" i="18"/>
  <c r="P26" i="18"/>
  <c r="O26" i="18"/>
  <c r="Y25" i="18"/>
  <c r="X25" i="18"/>
  <c r="W25" i="18"/>
  <c r="V25" i="18"/>
  <c r="Y24" i="18"/>
  <c r="X24" i="18"/>
  <c r="W24" i="18"/>
  <c r="V24" i="18"/>
  <c r="Q24" i="18"/>
  <c r="P24" i="18"/>
  <c r="Y23" i="18"/>
  <c r="X23" i="18"/>
  <c r="W23" i="18"/>
  <c r="V23" i="18"/>
  <c r="O23" i="18"/>
  <c r="Y22" i="18"/>
  <c r="X22" i="18"/>
  <c r="W22" i="18"/>
  <c r="V22" i="18"/>
  <c r="S22" i="18"/>
  <c r="O22" i="18"/>
  <c r="Y21" i="18"/>
  <c r="X21" i="18"/>
  <c r="W21" i="18"/>
  <c r="V21" i="18"/>
  <c r="Y20" i="18"/>
  <c r="X20" i="18"/>
  <c r="W20" i="18"/>
  <c r="V20" i="18"/>
  <c r="T20" i="18"/>
  <c r="R20" i="18"/>
  <c r="O20" i="18"/>
  <c r="T19" i="18"/>
  <c r="T18" i="18"/>
  <c r="T17" i="18"/>
  <c r="U16" i="18"/>
  <c r="T16" i="18"/>
  <c r="S16" i="18"/>
  <c r="R16" i="18"/>
  <c r="Q16" i="18"/>
  <c r="P16" i="18"/>
  <c r="O16" i="18"/>
  <c r="I17" i="18"/>
  <c r="H17" i="18"/>
  <c r="I16" i="18"/>
  <c r="H16" i="18"/>
  <c r="I15" i="18"/>
  <c r="H15" i="18"/>
  <c r="I14" i="18"/>
  <c r="H14" i="18"/>
  <c r="I13" i="18"/>
  <c r="H13" i="18"/>
  <c r="F17" i="18"/>
  <c r="E17" i="18"/>
  <c r="F16" i="18"/>
  <c r="E16" i="18"/>
  <c r="F14" i="18"/>
  <c r="E14" i="18"/>
  <c r="D14" i="18"/>
  <c r="D34" i="18"/>
  <c r="D33" i="18"/>
  <c r="N48" i="41"/>
  <c r="AE179" i="41" s="1" a="1"/>
  <c r="AE179" i="41" s="1"/>
  <c r="N1650" i="41"/>
  <c r="N19" i="41"/>
  <c r="N18" i="41"/>
  <c r="M18" i="41"/>
  <c r="N17" i="41"/>
  <c r="M17" i="41"/>
  <c r="N1648" i="41"/>
  <c r="N1652" i="41"/>
  <c r="N1642" i="41"/>
  <c r="N1641" i="41"/>
  <c r="N1640" i="41"/>
  <c r="N1639" i="41"/>
  <c r="N1634" i="41"/>
  <c r="N1633" i="41"/>
  <c r="N1632" i="41"/>
  <c r="N1631" i="41"/>
  <c r="N1626" i="41"/>
  <c r="N1625" i="41"/>
  <c r="N1624" i="41"/>
  <c r="N1623" i="41"/>
  <c r="N1618" i="41"/>
  <c r="N1617" i="41"/>
  <c r="N1616" i="41"/>
  <c r="N1615" i="41"/>
  <c r="N1610" i="41"/>
  <c r="N1609" i="41"/>
  <c r="N1608" i="41"/>
  <c r="N1607" i="41"/>
  <c r="N1606" i="41"/>
  <c r="N1605" i="41"/>
  <c r="N1604" i="41"/>
  <c r="N1603" i="41"/>
  <c r="N1602" i="41"/>
  <c r="N1601" i="41"/>
  <c r="N1600" i="41"/>
  <c r="N1599" i="41"/>
  <c r="N1598" i="41"/>
  <c r="N1597" i="41"/>
  <c r="N1596" i="41"/>
  <c r="N1595" i="41"/>
  <c r="N1594" i="41"/>
  <c r="N1593" i="41"/>
  <c r="N1592" i="41"/>
  <c r="N1591" i="41"/>
  <c r="N1590" i="41"/>
  <c r="N1589" i="41"/>
  <c r="N1588" i="41"/>
  <c r="N1587" i="41"/>
  <c r="N1586" i="41"/>
  <c r="N1585" i="41"/>
  <c r="N1584" i="41"/>
  <c r="N1583" i="41"/>
  <c r="N1582" i="41"/>
  <c r="N1581" i="41"/>
  <c r="N1580" i="41"/>
  <c r="N1579" i="41"/>
  <c r="N1578" i="41"/>
  <c r="N1577" i="41"/>
  <c r="N1576" i="41"/>
  <c r="N1575" i="41"/>
  <c r="N1574" i="41"/>
  <c r="N1573" i="41"/>
  <c r="N1572" i="41"/>
  <c r="N1571" i="41"/>
  <c r="N1570" i="41"/>
  <c r="N1569" i="41"/>
  <c r="N1568" i="41"/>
  <c r="N1567" i="41"/>
  <c r="N1566" i="41"/>
  <c r="N1565" i="41"/>
  <c r="N1564" i="41"/>
  <c r="N1563" i="41"/>
  <c r="N1562" i="41"/>
  <c r="N1561" i="41"/>
  <c r="N1560" i="41"/>
  <c r="N1559" i="41"/>
  <c r="N1558" i="41"/>
  <c r="N1557" i="41"/>
  <c r="N1556" i="41"/>
  <c r="N1555" i="41"/>
  <c r="N1554" i="41"/>
  <c r="N1553" i="41"/>
  <c r="N1552" i="41"/>
  <c r="N1551" i="41"/>
  <c r="N1550" i="41"/>
  <c r="N1549" i="41"/>
  <c r="N1548" i="41"/>
  <c r="N1547" i="41"/>
  <c r="N1546" i="41"/>
  <c r="N1545" i="41"/>
  <c r="N1544" i="41"/>
  <c r="N1543" i="41"/>
  <c r="N1542" i="41"/>
  <c r="N1541" i="41"/>
  <c r="N1540" i="41"/>
  <c r="N1539" i="41"/>
  <c r="N1538" i="41"/>
  <c r="N1537" i="41"/>
  <c r="N1536" i="41"/>
  <c r="N1535" i="41"/>
  <c r="N1534" i="41"/>
  <c r="N1533" i="41"/>
  <c r="N1532" i="41"/>
  <c r="N1531" i="41"/>
  <c r="N1530" i="41"/>
  <c r="N1529" i="41"/>
  <c r="N1528" i="41"/>
  <c r="N1527" i="41"/>
  <c r="N1526" i="41"/>
  <c r="N1525" i="41"/>
  <c r="N1524" i="41"/>
  <c r="N1523" i="41"/>
  <c r="N1522" i="41"/>
  <c r="N1521" i="41"/>
  <c r="N1520" i="41"/>
  <c r="N1519" i="41"/>
  <c r="N1518" i="41"/>
  <c r="N1517" i="41"/>
  <c r="N1516" i="41"/>
  <c r="N1515" i="41"/>
  <c r="N1514" i="41"/>
  <c r="N1513" i="41"/>
  <c r="N1512" i="41"/>
  <c r="N1511" i="41"/>
  <c r="N1510" i="41"/>
  <c r="N1509" i="41"/>
  <c r="N1508" i="41"/>
  <c r="N1507" i="41"/>
  <c r="N1506" i="41"/>
  <c r="N1505" i="41"/>
  <c r="N1504" i="41"/>
  <c r="N1503" i="41"/>
  <c r="N1502" i="41"/>
  <c r="N1501" i="41"/>
  <c r="N1500" i="41"/>
  <c r="N1499" i="41"/>
  <c r="N1498" i="41"/>
  <c r="N1497" i="41"/>
  <c r="N1496" i="41"/>
  <c r="N1495" i="41"/>
  <c r="N1494" i="41"/>
  <c r="N1493" i="41"/>
  <c r="N1492" i="41"/>
  <c r="N1491" i="41"/>
  <c r="N1490" i="41"/>
  <c r="N1489" i="41"/>
  <c r="N1488" i="41"/>
  <c r="N1487" i="41"/>
  <c r="N1486" i="41"/>
  <c r="N1485" i="41"/>
  <c r="N1484" i="41"/>
  <c r="N1483" i="41"/>
  <c r="N1482" i="41"/>
  <c r="N1481" i="41"/>
  <c r="N1480" i="41"/>
  <c r="N1479" i="41"/>
  <c r="N1478" i="41"/>
  <c r="N1477" i="41"/>
  <c r="N1476" i="41"/>
  <c r="N1475" i="41"/>
  <c r="N1474" i="41"/>
  <c r="N1473" i="41"/>
  <c r="N1472" i="41"/>
  <c r="N1471" i="41"/>
  <c r="N1470" i="41"/>
  <c r="N1469" i="41"/>
  <c r="N1468" i="41"/>
  <c r="N1467" i="41"/>
  <c r="N1466" i="41"/>
  <c r="N1465" i="41"/>
  <c r="N1464" i="41"/>
  <c r="N1463" i="41"/>
  <c r="N1462" i="41"/>
  <c r="N1461" i="41"/>
  <c r="N1460" i="41"/>
  <c r="N1459" i="41"/>
  <c r="N1458" i="41"/>
  <c r="N1457" i="41"/>
  <c r="N1456" i="41"/>
  <c r="N1455" i="41"/>
  <c r="N1454" i="41"/>
  <c r="N1453" i="41"/>
  <c r="N1452" i="41"/>
  <c r="N1451" i="41"/>
  <c r="N1450" i="41"/>
  <c r="N1449" i="41"/>
  <c r="N1448" i="41"/>
  <c r="N1447" i="41"/>
  <c r="N1446" i="41"/>
  <c r="N1445" i="41"/>
  <c r="N1444" i="41"/>
  <c r="N1443" i="41"/>
  <c r="N1442" i="41"/>
  <c r="N1441" i="41"/>
  <c r="N1440" i="41"/>
  <c r="N1439" i="41"/>
  <c r="N1438" i="41"/>
  <c r="N1437" i="41"/>
  <c r="N1436" i="41"/>
  <c r="N1435" i="41"/>
  <c r="N1434" i="41"/>
  <c r="N1433" i="41"/>
  <c r="N1432" i="41"/>
  <c r="N1431" i="41"/>
  <c r="N1430" i="41"/>
  <c r="N1429" i="41"/>
  <c r="N1428" i="41"/>
  <c r="N1427" i="41"/>
  <c r="N1426" i="41"/>
  <c r="N1425" i="41"/>
  <c r="N1424" i="41"/>
  <c r="N1423" i="41"/>
  <c r="N1422" i="41"/>
  <c r="N1421" i="41"/>
  <c r="N1420" i="41"/>
  <c r="N1419" i="41"/>
  <c r="N1418" i="41"/>
  <c r="N1417" i="41"/>
  <c r="N1416" i="41"/>
  <c r="N1415" i="41"/>
  <c r="N1414" i="41"/>
  <c r="N1413" i="41"/>
  <c r="N1412" i="41"/>
  <c r="N1411" i="41"/>
  <c r="N1410" i="41"/>
  <c r="N1409" i="41"/>
  <c r="N1408" i="41"/>
  <c r="N1407" i="41"/>
  <c r="N1406" i="41"/>
  <c r="N1405" i="41"/>
  <c r="N1404" i="41"/>
  <c r="N1403" i="41"/>
  <c r="N1402" i="41"/>
  <c r="N1401" i="41"/>
  <c r="N1400" i="41"/>
  <c r="N1399" i="41"/>
  <c r="N1398" i="41"/>
  <c r="N1397" i="41"/>
  <c r="N1396" i="41"/>
  <c r="N1395" i="41"/>
  <c r="N1394" i="41"/>
  <c r="N1393" i="41"/>
  <c r="N1392" i="41"/>
  <c r="N1391" i="41"/>
  <c r="N1390" i="41"/>
  <c r="N1389" i="41"/>
  <c r="N1388" i="41"/>
  <c r="N1387" i="41"/>
  <c r="N1386" i="41"/>
  <c r="N1385" i="41"/>
  <c r="N1384" i="41"/>
  <c r="N1383" i="41"/>
  <c r="N1382" i="41"/>
  <c r="N1381" i="41"/>
  <c r="N1380" i="41"/>
  <c r="N1379" i="41"/>
  <c r="N1378" i="41"/>
  <c r="N1377" i="41"/>
  <c r="N1376" i="41"/>
  <c r="N1375" i="41"/>
  <c r="N1374" i="41"/>
  <c r="N1373" i="41"/>
  <c r="N1372" i="41"/>
  <c r="N1371" i="41"/>
  <c r="N1370" i="41"/>
  <c r="N1369" i="41"/>
  <c r="N1368" i="41"/>
  <c r="N1367" i="41"/>
  <c r="N1366" i="41"/>
  <c r="N1365" i="41"/>
  <c r="N1364" i="41"/>
  <c r="N1363" i="41"/>
  <c r="N1362" i="41"/>
  <c r="N1361" i="41"/>
  <c r="N1360" i="41"/>
  <c r="N1359" i="41"/>
  <c r="N1358" i="41"/>
  <c r="N1357" i="41"/>
  <c r="N1356" i="41"/>
  <c r="N1355" i="41"/>
  <c r="N1354" i="41"/>
  <c r="N1353" i="41"/>
  <c r="N1352" i="41"/>
  <c r="N1351" i="41"/>
  <c r="N1350" i="41"/>
  <c r="N1349" i="41"/>
  <c r="N1348" i="41"/>
  <c r="N1347" i="41"/>
  <c r="N1346" i="41"/>
  <c r="N1345" i="41"/>
  <c r="N1344" i="41"/>
  <c r="N1343" i="41"/>
  <c r="N1342" i="41"/>
  <c r="N1341" i="41"/>
  <c r="N1340" i="41"/>
  <c r="N1339" i="41"/>
  <c r="N1338" i="41"/>
  <c r="N1337" i="41"/>
  <c r="N1336" i="41"/>
  <c r="N1335" i="41"/>
  <c r="N1334" i="41"/>
  <c r="N1333" i="41"/>
  <c r="N1332" i="41"/>
  <c r="N1331" i="41"/>
  <c r="N1330" i="41"/>
  <c r="N1329" i="41"/>
  <c r="N1328" i="41"/>
  <c r="N1327" i="41"/>
  <c r="N1326" i="41"/>
  <c r="N1325" i="41"/>
  <c r="N1324" i="41"/>
  <c r="N1323" i="41"/>
  <c r="N1322" i="41"/>
  <c r="N1321" i="41"/>
  <c r="N1320" i="41"/>
  <c r="N1319" i="41"/>
  <c r="N1318" i="41"/>
  <c r="N1317" i="41"/>
  <c r="N1316" i="41"/>
  <c r="N1315" i="41"/>
  <c r="N1314" i="41"/>
  <c r="N1313" i="41"/>
  <c r="N1312" i="41"/>
  <c r="N1311" i="41"/>
  <c r="N1310" i="41"/>
  <c r="N1309" i="41"/>
  <c r="N1308" i="41"/>
  <c r="N1307" i="41"/>
  <c r="N1306" i="41"/>
  <c r="N1305" i="41"/>
  <c r="N1304" i="41"/>
  <c r="N1303" i="41"/>
  <c r="N1302" i="41"/>
  <c r="N1301" i="41"/>
  <c r="N1300" i="41"/>
  <c r="N1299" i="41"/>
  <c r="N1298" i="41"/>
  <c r="N1297" i="41"/>
  <c r="N1296" i="41"/>
  <c r="N1295" i="41"/>
  <c r="N1294" i="41"/>
  <c r="N1293" i="41"/>
  <c r="N1292" i="41"/>
  <c r="N1291" i="41"/>
  <c r="N1290" i="41"/>
  <c r="N1289" i="41"/>
  <c r="N1288" i="41"/>
  <c r="N1287" i="41"/>
  <c r="N1286" i="41"/>
  <c r="N1285" i="41"/>
  <c r="N1284" i="41"/>
  <c r="N1283" i="41"/>
  <c r="N1282" i="41"/>
  <c r="N1281" i="41"/>
  <c r="N1280" i="41"/>
  <c r="N1279" i="41"/>
  <c r="N1278" i="41"/>
  <c r="N1277" i="41"/>
  <c r="N1276" i="41"/>
  <c r="N1275" i="41"/>
  <c r="N1274" i="41"/>
  <c r="N1273" i="41"/>
  <c r="N1272" i="41"/>
  <c r="N1271" i="41"/>
  <c r="N1270" i="41"/>
  <c r="N1269" i="41"/>
  <c r="N1268" i="41"/>
  <c r="N1267" i="41"/>
  <c r="N1266" i="41"/>
  <c r="N1265" i="41"/>
  <c r="N1264" i="41"/>
  <c r="N1263" i="41"/>
  <c r="N1262" i="41"/>
  <c r="N1261" i="41"/>
  <c r="N1260" i="41"/>
  <c r="N1259" i="41"/>
  <c r="N1258" i="41"/>
  <c r="N1257" i="41"/>
  <c r="N1256" i="41"/>
  <c r="N1255" i="41"/>
  <c r="N1254" i="41"/>
  <c r="N1253" i="41"/>
  <c r="N1252" i="41"/>
  <c r="N1251" i="41"/>
  <c r="N1250" i="41"/>
  <c r="N1249" i="41"/>
  <c r="N1248" i="41"/>
  <c r="N1247" i="41"/>
  <c r="N1246" i="41"/>
  <c r="N1245" i="41"/>
  <c r="N1244" i="41"/>
  <c r="N1243" i="41"/>
  <c r="N1242" i="41"/>
  <c r="N1241" i="41"/>
  <c r="N1240" i="41"/>
  <c r="N1239" i="41"/>
  <c r="N1238" i="41"/>
  <c r="N1237" i="41"/>
  <c r="N1236" i="41"/>
  <c r="N1235" i="41"/>
  <c r="N1234" i="41"/>
  <c r="N1233" i="41"/>
  <c r="N1232" i="41"/>
  <c r="N1231" i="41"/>
  <c r="N1230" i="41"/>
  <c r="N1229" i="41"/>
  <c r="N1228" i="41"/>
  <c r="N1227" i="41"/>
  <c r="N1226" i="41"/>
  <c r="N1225" i="41"/>
  <c r="N1224" i="41"/>
  <c r="N1223" i="41"/>
  <c r="N1222" i="41"/>
  <c r="N1221" i="41"/>
  <c r="N1220" i="41"/>
  <c r="N1219" i="41"/>
  <c r="N1218" i="41"/>
  <c r="N1217" i="41"/>
  <c r="N1216" i="41"/>
  <c r="N1215" i="41"/>
  <c r="N1214" i="41"/>
  <c r="N1213" i="41"/>
  <c r="N1212" i="41"/>
  <c r="N1211" i="41"/>
  <c r="N1210" i="41"/>
  <c r="N1209" i="41"/>
  <c r="N1208" i="41"/>
  <c r="N1207" i="41"/>
  <c r="N1206" i="41"/>
  <c r="N1205" i="41"/>
  <c r="N1204" i="41"/>
  <c r="N1203" i="41"/>
  <c r="N1202" i="41"/>
  <c r="N1201" i="41"/>
  <c r="N1200" i="41"/>
  <c r="N1199" i="41"/>
  <c r="N1198" i="41"/>
  <c r="N1197" i="41"/>
  <c r="N1196" i="41"/>
  <c r="N1195" i="41"/>
  <c r="N1194" i="41"/>
  <c r="N1193" i="41"/>
  <c r="N1192" i="41"/>
  <c r="N1191" i="41"/>
  <c r="N1190" i="41"/>
  <c r="N1189" i="41"/>
  <c r="N1188" i="41"/>
  <c r="N1187" i="41"/>
  <c r="N1186" i="41"/>
  <c r="N1185" i="41"/>
  <c r="N1184" i="41"/>
  <c r="N1183" i="41"/>
  <c r="N1182" i="41"/>
  <c r="N1181" i="41"/>
  <c r="N1180" i="41"/>
  <c r="N1179" i="41"/>
  <c r="N1178" i="41"/>
  <c r="N1177" i="41"/>
  <c r="N1176" i="41"/>
  <c r="N1175" i="41"/>
  <c r="N1174" i="41"/>
  <c r="N1173" i="41"/>
  <c r="N1172" i="41"/>
  <c r="N1171" i="41"/>
  <c r="N1170" i="41"/>
  <c r="N1169" i="41"/>
  <c r="N1168" i="41"/>
  <c r="N1167" i="41"/>
  <c r="N1166" i="41"/>
  <c r="N1165" i="41"/>
  <c r="N1164" i="41"/>
  <c r="N1163" i="41"/>
  <c r="N1162" i="41"/>
  <c r="N1161" i="41"/>
  <c r="N1160" i="41"/>
  <c r="N1159" i="41"/>
  <c r="N1158" i="41"/>
  <c r="N1157" i="41"/>
  <c r="N1156" i="41"/>
  <c r="N1155" i="41"/>
  <c r="N1154" i="41"/>
  <c r="N1153" i="41"/>
  <c r="N1152" i="41"/>
  <c r="N1151" i="41"/>
  <c r="N1150" i="41"/>
  <c r="N1149" i="41"/>
  <c r="N1148" i="41"/>
  <c r="N1147" i="41"/>
  <c r="N1146" i="41"/>
  <c r="N1145" i="41"/>
  <c r="N1144" i="41"/>
  <c r="N1143" i="41"/>
  <c r="N1142" i="41"/>
  <c r="N1141" i="41"/>
  <c r="N1140" i="41"/>
  <c r="N1139" i="41"/>
  <c r="N1138" i="41"/>
  <c r="N1137" i="41"/>
  <c r="N1136" i="41"/>
  <c r="N1135" i="41"/>
  <c r="N1134" i="41"/>
  <c r="N1133" i="41"/>
  <c r="N1132" i="41"/>
  <c r="N1131" i="41"/>
  <c r="N1130" i="41"/>
  <c r="N1129" i="41"/>
  <c r="N1128" i="41"/>
  <c r="N1127" i="41"/>
  <c r="N1126" i="41"/>
  <c r="N1125" i="41"/>
  <c r="N1124" i="41"/>
  <c r="N1123" i="41"/>
  <c r="N1122" i="41"/>
  <c r="N1121" i="41"/>
  <c r="N1120" i="41"/>
  <c r="N1119" i="41"/>
  <c r="N1118" i="41"/>
  <c r="N1117" i="41"/>
  <c r="N1116" i="41"/>
  <c r="N1115" i="41"/>
  <c r="N1114" i="41"/>
  <c r="N1113" i="41"/>
  <c r="N1112" i="41"/>
  <c r="N1111" i="41"/>
  <c r="N1110" i="41"/>
  <c r="N1109" i="41"/>
  <c r="N1108" i="41"/>
  <c r="N1107" i="41"/>
  <c r="N1106" i="41"/>
  <c r="N1105" i="41"/>
  <c r="N1104" i="41"/>
  <c r="N1103" i="41"/>
  <c r="N1102" i="41"/>
  <c r="N1101" i="41"/>
  <c r="N1100" i="41"/>
  <c r="N1099" i="41"/>
  <c r="N1098" i="41"/>
  <c r="N1097" i="41"/>
  <c r="N1096" i="41"/>
  <c r="N1095" i="41"/>
  <c r="N1094" i="41"/>
  <c r="N1093" i="41"/>
  <c r="N1092" i="41"/>
  <c r="N1091" i="41"/>
  <c r="N1090" i="41"/>
  <c r="N1089" i="41"/>
  <c r="N1088" i="41"/>
  <c r="N1087" i="41"/>
  <c r="N1086" i="41"/>
  <c r="N1085" i="41"/>
  <c r="N1084" i="41"/>
  <c r="N1083" i="41"/>
  <c r="N1082" i="41"/>
  <c r="N1081" i="41"/>
  <c r="N1080" i="41"/>
  <c r="N1079" i="41"/>
  <c r="N1078" i="41"/>
  <c r="N1077" i="41"/>
  <c r="N1076" i="41"/>
  <c r="N1075" i="41"/>
  <c r="N1074" i="41"/>
  <c r="N1073" i="41"/>
  <c r="N1072" i="41"/>
  <c r="N1071" i="41"/>
  <c r="N1070" i="41"/>
  <c r="N1069" i="41"/>
  <c r="N1068" i="41"/>
  <c r="N1067" i="41"/>
  <c r="N1066" i="41"/>
  <c r="N1065" i="41"/>
  <c r="N1064" i="41"/>
  <c r="N1063" i="41"/>
  <c r="N1062" i="41"/>
  <c r="N1061" i="41"/>
  <c r="N1060" i="41"/>
  <c r="N1059" i="41"/>
  <c r="N1058" i="41"/>
  <c r="N1057" i="41"/>
  <c r="N1056" i="41"/>
  <c r="N1055" i="41"/>
  <c r="N1054" i="41"/>
  <c r="N1053" i="41"/>
  <c r="N1052" i="41"/>
  <c r="N1051" i="41"/>
  <c r="N1050" i="41"/>
  <c r="N1049" i="41"/>
  <c r="N1048" i="41"/>
  <c r="N1047" i="41"/>
  <c r="N1046" i="41"/>
  <c r="N1045" i="41"/>
  <c r="N1044" i="41"/>
  <c r="N1043" i="41"/>
  <c r="N1042" i="41"/>
  <c r="N1041" i="41"/>
  <c r="N1040" i="41"/>
  <c r="N1039" i="41"/>
  <c r="N1038" i="41"/>
  <c r="N1037" i="41"/>
  <c r="N1036" i="41"/>
  <c r="N1035" i="41"/>
  <c r="N1034" i="41"/>
  <c r="N1033" i="41"/>
  <c r="N1032" i="41"/>
  <c r="N1031" i="41"/>
  <c r="N1030" i="41"/>
  <c r="N1029" i="41"/>
  <c r="N1028" i="41"/>
  <c r="N1027" i="41"/>
  <c r="N1026" i="41"/>
  <c r="N1025" i="41"/>
  <c r="N1024" i="41"/>
  <c r="N1023" i="41"/>
  <c r="N1022" i="41"/>
  <c r="N1021" i="41"/>
  <c r="N1020" i="41"/>
  <c r="N1019" i="41"/>
  <c r="N1018" i="41"/>
  <c r="N1017" i="41"/>
  <c r="N1016" i="41"/>
  <c r="N1015" i="41"/>
  <c r="N1014" i="41"/>
  <c r="N1013" i="41"/>
  <c r="N1012" i="41"/>
  <c r="N1011" i="41"/>
  <c r="N1010" i="41"/>
  <c r="N1009" i="41"/>
  <c r="N1008" i="41"/>
  <c r="N1007" i="41"/>
  <c r="N1006" i="41"/>
  <c r="N1005" i="41"/>
  <c r="N1004" i="41"/>
  <c r="N1003" i="41"/>
  <c r="N1002" i="41"/>
  <c r="N1001" i="41"/>
  <c r="N1000" i="41"/>
  <c r="N999" i="41"/>
  <c r="N998" i="41"/>
  <c r="N997" i="41"/>
  <c r="N996" i="41"/>
  <c r="N995" i="41"/>
  <c r="N994" i="41"/>
  <c r="N993" i="41"/>
  <c r="N992" i="41"/>
  <c r="N991" i="41"/>
  <c r="N990" i="41"/>
  <c r="N989" i="41"/>
  <c r="N988" i="41"/>
  <c r="N987" i="41"/>
  <c r="N986" i="41"/>
  <c r="N985" i="41"/>
  <c r="N984" i="41"/>
  <c r="N983" i="41"/>
  <c r="N982" i="41"/>
  <c r="N981" i="41"/>
  <c r="N980" i="41"/>
  <c r="N979" i="41"/>
  <c r="N978" i="41"/>
  <c r="N977" i="41"/>
  <c r="N976" i="41"/>
  <c r="N975" i="41"/>
  <c r="N974" i="41"/>
  <c r="N973" i="41"/>
  <c r="N972" i="41"/>
  <c r="N971" i="41"/>
  <c r="N970" i="41"/>
  <c r="N969" i="41"/>
  <c r="N968" i="41"/>
  <c r="N967" i="41"/>
  <c r="N966" i="41"/>
  <c r="N965" i="41"/>
  <c r="N964" i="41"/>
  <c r="N963" i="41"/>
  <c r="N962" i="41"/>
  <c r="N961" i="41"/>
  <c r="N960" i="41"/>
  <c r="N959" i="41"/>
  <c r="N958" i="41"/>
  <c r="N957" i="41"/>
  <c r="N956" i="41"/>
  <c r="N955" i="41"/>
  <c r="N954" i="41"/>
  <c r="N953" i="41"/>
  <c r="N952" i="41"/>
  <c r="N951" i="41"/>
  <c r="N950" i="41"/>
  <c r="N949" i="41"/>
  <c r="N948" i="41"/>
  <c r="N947" i="41"/>
  <c r="N946" i="41"/>
  <c r="N945" i="41"/>
  <c r="N944" i="41"/>
  <c r="N943" i="41"/>
  <c r="N942" i="41"/>
  <c r="N941" i="41"/>
  <c r="N940" i="41"/>
  <c r="N939" i="41"/>
  <c r="N938" i="41"/>
  <c r="N937" i="41"/>
  <c r="N936" i="41"/>
  <c r="N935" i="41"/>
  <c r="N934" i="41"/>
  <c r="N933" i="41"/>
  <c r="N932" i="41"/>
  <c r="N931" i="41"/>
  <c r="N930" i="41"/>
  <c r="N929" i="41"/>
  <c r="N928" i="41"/>
  <c r="N924" i="41"/>
  <c r="AK915" i="41"/>
  <c r="AJ915" i="41"/>
  <c r="AI915" i="41"/>
  <c r="AH915" i="41"/>
  <c r="AG915" i="41"/>
  <c r="AF915" i="41"/>
  <c r="N905" i="41"/>
  <c r="N904" i="41"/>
  <c r="N903" i="41"/>
  <c r="N902" i="41"/>
  <c r="N901" i="41"/>
  <c r="N900" i="41"/>
  <c r="N899" i="41"/>
  <c r="N898" i="41"/>
  <c r="N897" i="41"/>
  <c r="N896" i="41"/>
  <c r="N895" i="41"/>
  <c r="N894" i="41"/>
  <c r="N893" i="41"/>
  <c r="N892" i="41"/>
  <c r="N891" i="41"/>
  <c r="N890" i="41"/>
  <c r="N889" i="41"/>
  <c r="N888" i="41"/>
  <c r="N887" i="41"/>
  <c r="N886" i="41"/>
  <c r="N885" i="41"/>
  <c r="N884" i="41"/>
  <c r="N883" i="41"/>
  <c r="N882" i="41"/>
  <c r="N881" i="41"/>
  <c r="N880" i="41"/>
  <c r="N879" i="41"/>
  <c r="N878" i="41"/>
  <c r="N877" i="41"/>
  <c r="N876" i="41"/>
  <c r="N875" i="41"/>
  <c r="N874" i="41"/>
  <c r="N873" i="41"/>
  <c r="N872" i="41"/>
  <c r="N871" i="41"/>
  <c r="N870" i="41"/>
  <c r="N869" i="41"/>
  <c r="N868" i="41"/>
  <c r="N867" i="41"/>
  <c r="N866" i="41"/>
  <c r="N865" i="41"/>
  <c r="N864" i="41"/>
  <c r="N863" i="41"/>
  <c r="N862" i="41"/>
  <c r="N861" i="41"/>
  <c r="N860" i="41"/>
  <c r="N859" i="41"/>
  <c r="N858" i="41"/>
  <c r="N857" i="41"/>
  <c r="N856" i="41"/>
  <c r="N855" i="41"/>
  <c r="N854" i="41"/>
  <c r="N853" i="41"/>
  <c r="N852" i="41"/>
  <c r="N851" i="41"/>
  <c r="N850" i="41"/>
  <c r="N849" i="41"/>
  <c r="N848" i="41"/>
  <c r="N847" i="41"/>
  <c r="N846" i="41"/>
  <c r="N845" i="41"/>
  <c r="N844" i="41"/>
  <c r="N843" i="41"/>
  <c r="N842" i="41"/>
  <c r="N841" i="41"/>
  <c r="N840" i="41"/>
  <c r="N839" i="41"/>
  <c r="N838" i="41"/>
  <c r="N837" i="41"/>
  <c r="N836" i="41"/>
  <c r="N835" i="41"/>
  <c r="N834" i="41"/>
  <c r="N833" i="41"/>
  <c r="N832" i="41"/>
  <c r="N831" i="41"/>
  <c r="N830" i="41"/>
  <c r="N829" i="41"/>
  <c r="N828" i="41"/>
  <c r="N827" i="41"/>
  <c r="N826" i="41"/>
  <c r="N825" i="41"/>
  <c r="N824" i="41"/>
  <c r="N823" i="41"/>
  <c r="N822" i="41"/>
  <c r="N821" i="41"/>
  <c r="N820" i="41"/>
  <c r="N819" i="41"/>
  <c r="N818" i="41"/>
  <c r="N817" i="41"/>
  <c r="N816" i="41"/>
  <c r="N815" i="41"/>
  <c r="N814" i="41"/>
  <c r="N813" i="41"/>
  <c r="N812" i="41"/>
  <c r="N811" i="41"/>
  <c r="N810" i="41"/>
  <c r="N809" i="41"/>
  <c r="N808" i="41"/>
  <c r="N807" i="41"/>
  <c r="N806" i="41"/>
  <c r="N805" i="41"/>
  <c r="N804" i="41"/>
  <c r="N803" i="41"/>
  <c r="N802" i="41"/>
  <c r="N801" i="41"/>
  <c r="N800" i="41"/>
  <c r="N799" i="41"/>
  <c r="N798" i="41"/>
  <c r="N797" i="41"/>
  <c r="N796" i="41"/>
  <c r="N795" i="41"/>
  <c r="N794" i="41"/>
  <c r="N793" i="41"/>
  <c r="N792" i="41"/>
  <c r="N791" i="41"/>
  <c r="N790" i="41"/>
  <c r="N789" i="41"/>
  <c r="N788" i="41"/>
  <c r="N787" i="41"/>
  <c r="N786" i="41"/>
  <c r="N785" i="41"/>
  <c r="N784" i="41"/>
  <c r="N783" i="41"/>
  <c r="N782" i="41"/>
  <c r="N781" i="41"/>
  <c r="N780" i="41"/>
  <c r="N779" i="41"/>
  <c r="N778" i="41"/>
  <c r="N777" i="41"/>
  <c r="N776" i="41"/>
  <c r="N775" i="41"/>
  <c r="N774" i="41"/>
  <c r="N773" i="41"/>
  <c r="N772" i="41"/>
  <c r="N771" i="41"/>
  <c r="N770" i="41"/>
  <c r="N769" i="41"/>
  <c r="N768" i="41"/>
  <c r="N767" i="41"/>
  <c r="N766" i="41"/>
  <c r="N765" i="41"/>
  <c r="N764" i="41"/>
  <c r="N763" i="41"/>
  <c r="N762" i="41"/>
  <c r="N761" i="41"/>
  <c r="N760" i="41"/>
  <c r="N759" i="41"/>
  <c r="N758" i="41"/>
  <c r="N757" i="41"/>
  <c r="N756" i="41"/>
  <c r="N755" i="41"/>
  <c r="N754" i="41"/>
  <c r="N753" i="41"/>
  <c r="N752" i="41"/>
  <c r="N751" i="41"/>
  <c r="N750" i="41"/>
  <c r="N749" i="41"/>
  <c r="N748" i="41"/>
  <c r="N747" i="41"/>
  <c r="N746" i="41"/>
  <c r="N745" i="41"/>
  <c r="N744" i="41"/>
  <c r="N743" i="41"/>
  <c r="N742" i="41"/>
  <c r="N741" i="41"/>
  <c r="N740" i="41"/>
  <c r="N739" i="41"/>
  <c r="N738" i="41"/>
  <c r="N737" i="41"/>
  <c r="N736" i="41"/>
  <c r="N735" i="41"/>
  <c r="N734" i="41"/>
  <c r="N733" i="41"/>
  <c r="N732" i="41"/>
  <c r="N731" i="41"/>
  <c r="N730" i="41"/>
  <c r="N729" i="41"/>
  <c r="N728" i="41"/>
  <c r="N727" i="41"/>
  <c r="N726" i="41"/>
  <c r="N725" i="41"/>
  <c r="N724" i="41"/>
  <c r="N723" i="41"/>
  <c r="N722" i="41"/>
  <c r="N721" i="41"/>
  <c r="N720" i="41"/>
  <c r="N719" i="41"/>
  <c r="N718" i="41"/>
  <c r="N717" i="41"/>
  <c r="N716" i="41"/>
  <c r="N715" i="41"/>
  <c r="N714" i="41"/>
  <c r="N713" i="41"/>
  <c r="N712" i="41"/>
  <c r="N711" i="41"/>
  <c r="N710" i="41"/>
  <c r="N709" i="41"/>
  <c r="N708" i="41"/>
  <c r="N707" i="41"/>
  <c r="N706" i="41"/>
  <c r="N705" i="41"/>
  <c r="N704" i="41"/>
  <c r="N703" i="41"/>
  <c r="N702" i="41"/>
  <c r="N701" i="41"/>
  <c r="N700" i="41"/>
  <c r="N699" i="41"/>
  <c r="N698" i="41"/>
  <c r="N697" i="41"/>
  <c r="N696" i="41"/>
  <c r="N695" i="41"/>
  <c r="N694" i="41"/>
  <c r="N693" i="41"/>
  <c r="N692" i="41"/>
  <c r="N691" i="41"/>
  <c r="N690" i="41"/>
  <c r="N689" i="41"/>
  <c r="N688" i="41"/>
  <c r="N687" i="41"/>
  <c r="N686" i="41"/>
  <c r="N685" i="41"/>
  <c r="N684" i="41"/>
  <c r="N683" i="41"/>
  <c r="N682" i="41"/>
  <c r="N681" i="41"/>
  <c r="N680" i="41"/>
  <c r="N679" i="41"/>
  <c r="N678" i="41"/>
  <c r="N677" i="41"/>
  <c r="N676" i="41"/>
  <c r="N675" i="41"/>
  <c r="N674" i="41"/>
  <c r="N673" i="41"/>
  <c r="N672" i="41"/>
  <c r="N671" i="41"/>
  <c r="N670" i="41"/>
  <c r="N669" i="41"/>
  <c r="N668" i="41"/>
  <c r="N667" i="41"/>
  <c r="N666" i="41"/>
  <c r="N665" i="41"/>
  <c r="N664" i="41"/>
  <c r="N663" i="41"/>
  <c r="N662" i="41"/>
  <c r="N661" i="41"/>
  <c r="N660" i="41"/>
  <c r="N659" i="41"/>
  <c r="N658" i="41"/>
  <c r="N657" i="41"/>
  <c r="N656" i="41"/>
  <c r="N655" i="41"/>
  <c r="N654" i="41"/>
  <c r="N653" i="41"/>
  <c r="N652" i="41"/>
  <c r="N651" i="41"/>
  <c r="N650" i="41"/>
  <c r="N649" i="41"/>
  <c r="N648" i="41"/>
  <c r="N647" i="41"/>
  <c r="N646" i="41"/>
  <c r="N645" i="41"/>
  <c r="N644" i="41"/>
  <c r="N643" i="41"/>
  <c r="N642" i="41"/>
  <c r="N641" i="41"/>
  <c r="N640" i="41"/>
  <c r="N639" i="41"/>
  <c r="N638" i="41"/>
  <c r="N637" i="41"/>
  <c r="N636" i="41"/>
  <c r="N635" i="41"/>
  <c r="N634" i="41"/>
  <c r="N633" i="41"/>
  <c r="N632" i="41"/>
  <c r="N631" i="41"/>
  <c r="N630" i="41"/>
  <c r="N629" i="41"/>
  <c r="N628" i="41"/>
  <c r="N627" i="41"/>
  <c r="N626" i="41"/>
  <c r="N625" i="41"/>
  <c r="N624" i="41"/>
  <c r="N623" i="41"/>
  <c r="N622" i="41"/>
  <c r="N621" i="41"/>
  <c r="N620" i="41"/>
  <c r="N619" i="41"/>
  <c r="N618" i="41"/>
  <c r="N617" i="41"/>
  <c r="N616" i="41"/>
  <c r="N615" i="41"/>
  <c r="N614" i="41"/>
  <c r="N613" i="41"/>
  <c r="N612" i="41"/>
  <c r="N611" i="41"/>
  <c r="N610" i="41"/>
  <c r="N609" i="41"/>
  <c r="N608" i="41"/>
  <c r="N607" i="41"/>
  <c r="N606" i="41"/>
  <c r="N605" i="41"/>
  <c r="N604" i="41"/>
  <c r="N603" i="41"/>
  <c r="N602" i="41"/>
  <c r="N601" i="41"/>
  <c r="N600" i="41"/>
  <c r="N599" i="41"/>
  <c r="N598" i="41"/>
  <c r="N597" i="41"/>
  <c r="N596" i="41"/>
  <c r="N595" i="41"/>
  <c r="N594" i="41"/>
  <c r="N593" i="41"/>
  <c r="N592" i="41"/>
  <c r="N591" i="41"/>
  <c r="N590" i="41"/>
  <c r="N589" i="41"/>
  <c r="N588" i="41"/>
  <c r="N587" i="41"/>
  <c r="N586" i="41"/>
  <c r="N585" i="41"/>
  <c r="N584" i="41"/>
  <c r="N583" i="41"/>
  <c r="N582" i="41"/>
  <c r="N581" i="41"/>
  <c r="N580" i="41"/>
  <c r="N579" i="41"/>
  <c r="N578" i="41"/>
  <c r="N577" i="41"/>
  <c r="N576" i="41"/>
  <c r="N575" i="41"/>
  <c r="N574" i="41"/>
  <c r="N573" i="41"/>
  <c r="N572" i="41"/>
  <c r="N571" i="41"/>
  <c r="N570" i="41"/>
  <c r="N569" i="41"/>
  <c r="N568" i="41"/>
  <c r="N567" i="41"/>
  <c r="N566" i="41"/>
  <c r="N565" i="41"/>
  <c r="N564" i="41"/>
  <c r="N563" i="41"/>
  <c r="N562" i="41"/>
  <c r="N561" i="41"/>
  <c r="N560" i="41"/>
  <c r="N559" i="41"/>
  <c r="N558" i="41"/>
  <c r="N557" i="41"/>
  <c r="N556" i="41"/>
  <c r="N555" i="41"/>
  <c r="N554" i="41"/>
  <c r="N553" i="41"/>
  <c r="N552" i="41"/>
  <c r="N551" i="41"/>
  <c r="N550" i="41"/>
  <c r="N549" i="41"/>
  <c r="N548" i="41"/>
  <c r="N547" i="41"/>
  <c r="N546" i="41"/>
  <c r="N545" i="41"/>
  <c r="N544" i="41"/>
  <c r="N543" i="41"/>
  <c r="N542" i="41"/>
  <c r="N541" i="41"/>
  <c r="N540" i="41"/>
  <c r="N539" i="41"/>
  <c r="N538" i="41"/>
  <c r="N537" i="41"/>
  <c r="N536" i="41"/>
  <c r="N535" i="41"/>
  <c r="N534" i="41"/>
  <c r="N533" i="41"/>
  <c r="N532" i="41"/>
  <c r="N531" i="41"/>
  <c r="N530" i="41"/>
  <c r="N529" i="41"/>
  <c r="N528" i="41"/>
  <c r="N527" i="41"/>
  <c r="N526" i="41"/>
  <c r="N525" i="41"/>
  <c r="N524" i="41"/>
  <c r="N523" i="41"/>
  <c r="N522" i="41"/>
  <c r="N521" i="41"/>
  <c r="N520" i="41"/>
  <c r="N519" i="41"/>
  <c r="N518" i="41"/>
  <c r="N517" i="41"/>
  <c r="N516" i="41"/>
  <c r="N515" i="41"/>
  <c r="N514" i="41"/>
  <c r="N513" i="41"/>
  <c r="N512" i="41"/>
  <c r="N511" i="41"/>
  <c r="N510" i="41"/>
  <c r="N509" i="41"/>
  <c r="N508" i="41"/>
  <c r="N507" i="41"/>
  <c r="N506" i="41"/>
  <c r="N505" i="41"/>
  <c r="N504" i="41"/>
  <c r="N503" i="41"/>
  <c r="N502" i="41"/>
  <c r="N501" i="41"/>
  <c r="N500" i="41"/>
  <c r="N499" i="41"/>
  <c r="N498" i="41"/>
  <c r="N497" i="41"/>
  <c r="N496" i="41"/>
  <c r="N495" i="41"/>
  <c r="N494" i="41"/>
  <c r="N493" i="41"/>
  <c r="N492" i="41"/>
  <c r="N491" i="41"/>
  <c r="N490" i="41"/>
  <c r="N489" i="41"/>
  <c r="N488" i="41"/>
  <c r="N487" i="41"/>
  <c r="N486" i="41"/>
  <c r="N485" i="41"/>
  <c r="N484" i="41"/>
  <c r="N483" i="41"/>
  <c r="N482" i="41"/>
  <c r="N481" i="41"/>
  <c r="N480" i="41"/>
  <c r="N479" i="41"/>
  <c r="N478" i="41"/>
  <c r="N477" i="41"/>
  <c r="N476" i="41"/>
  <c r="N475" i="41"/>
  <c r="N474" i="41"/>
  <c r="N473" i="41"/>
  <c r="N472" i="41"/>
  <c r="N471" i="41"/>
  <c r="N470" i="41"/>
  <c r="N469" i="41"/>
  <c r="N468" i="41"/>
  <c r="N467" i="41"/>
  <c r="N466" i="41"/>
  <c r="N465" i="41"/>
  <c r="N464" i="41"/>
  <c r="N463" i="41"/>
  <c r="N462" i="41"/>
  <c r="N461" i="41"/>
  <c r="N460" i="41"/>
  <c r="N459" i="41"/>
  <c r="N458" i="41"/>
  <c r="N457" i="41"/>
  <c r="N456" i="41"/>
  <c r="N455" i="41"/>
  <c r="N454" i="41"/>
  <c r="N453" i="41"/>
  <c r="N452" i="41"/>
  <c r="N451" i="41"/>
  <c r="N450" i="41"/>
  <c r="N449" i="41"/>
  <c r="N448" i="41"/>
  <c r="N447" i="41"/>
  <c r="N446" i="41"/>
  <c r="N445" i="41"/>
  <c r="N444" i="41"/>
  <c r="N443" i="41"/>
  <c r="N442" i="41"/>
  <c r="N441" i="41"/>
  <c r="N440" i="41"/>
  <c r="N439" i="41"/>
  <c r="N438" i="41"/>
  <c r="N437" i="41"/>
  <c r="N436" i="41"/>
  <c r="N435" i="41"/>
  <c r="N434" i="41"/>
  <c r="N433" i="41"/>
  <c r="N432" i="41"/>
  <c r="N431" i="41"/>
  <c r="N430" i="41"/>
  <c r="N429" i="41"/>
  <c r="N428" i="41"/>
  <c r="N427" i="41"/>
  <c r="N426" i="41"/>
  <c r="N425" i="41"/>
  <c r="N424" i="41"/>
  <c r="N423" i="41"/>
  <c r="N422" i="41"/>
  <c r="N421" i="41"/>
  <c r="N420" i="41"/>
  <c r="N419" i="41"/>
  <c r="N418" i="41"/>
  <c r="N417" i="41"/>
  <c r="N416" i="41"/>
  <c r="N415" i="41"/>
  <c r="N414" i="41"/>
  <c r="N413" i="41"/>
  <c r="N412" i="41"/>
  <c r="N411" i="41"/>
  <c r="N410" i="41"/>
  <c r="N409" i="41"/>
  <c r="N408" i="41"/>
  <c r="N407" i="41"/>
  <c r="N406" i="41"/>
  <c r="N405" i="41"/>
  <c r="N404" i="41"/>
  <c r="N403" i="41"/>
  <c r="N402" i="41"/>
  <c r="N401" i="41"/>
  <c r="N400" i="41"/>
  <c r="N399" i="41"/>
  <c r="N398" i="41"/>
  <c r="N397" i="41"/>
  <c r="N396" i="41"/>
  <c r="N395" i="41"/>
  <c r="N394" i="41"/>
  <c r="N393" i="41"/>
  <c r="N392" i="41"/>
  <c r="N391" i="41"/>
  <c r="N390" i="41"/>
  <c r="N389" i="41"/>
  <c r="N388" i="41"/>
  <c r="N387" i="41"/>
  <c r="N386" i="41"/>
  <c r="N385" i="41"/>
  <c r="N384" i="41"/>
  <c r="N383" i="41"/>
  <c r="N382" i="41"/>
  <c r="N381" i="41"/>
  <c r="N380" i="41"/>
  <c r="N379" i="41"/>
  <c r="N378" i="41"/>
  <c r="N377" i="41"/>
  <c r="N376" i="41"/>
  <c r="N375" i="41"/>
  <c r="N374" i="41"/>
  <c r="N373" i="41"/>
  <c r="N372" i="41"/>
  <c r="N371" i="41"/>
  <c r="N370" i="41"/>
  <c r="N369" i="41"/>
  <c r="N368" i="41"/>
  <c r="N367" i="41"/>
  <c r="N366" i="41"/>
  <c r="N365" i="41"/>
  <c r="N364" i="41"/>
  <c r="N363" i="41"/>
  <c r="N362" i="41"/>
  <c r="N361" i="41"/>
  <c r="N360" i="41"/>
  <c r="N359" i="41"/>
  <c r="N358" i="41"/>
  <c r="N357" i="41"/>
  <c r="N356" i="41"/>
  <c r="N355" i="41"/>
  <c r="N354" i="41"/>
  <c r="N353" i="41"/>
  <c r="N352" i="41"/>
  <c r="N351" i="41"/>
  <c r="N350" i="41"/>
  <c r="N349" i="41"/>
  <c r="N348" i="41"/>
  <c r="N347" i="41"/>
  <c r="N346" i="41"/>
  <c r="N345" i="41"/>
  <c r="N344" i="41"/>
  <c r="N343" i="41"/>
  <c r="N342" i="41"/>
  <c r="N341" i="41"/>
  <c r="N340" i="41"/>
  <c r="N339" i="41"/>
  <c r="N338" i="41"/>
  <c r="N337" i="41"/>
  <c r="N336" i="41"/>
  <c r="N335" i="41"/>
  <c r="N334" i="41"/>
  <c r="N333" i="41"/>
  <c r="N332" i="41"/>
  <c r="N331" i="41"/>
  <c r="N330" i="41"/>
  <c r="N329" i="41"/>
  <c r="N328" i="41"/>
  <c r="N327" i="41"/>
  <c r="N326" i="41"/>
  <c r="N325" i="41"/>
  <c r="N324" i="41"/>
  <c r="N323" i="41"/>
  <c r="N322" i="41"/>
  <c r="N321" i="41"/>
  <c r="N320" i="41"/>
  <c r="N319" i="41"/>
  <c r="N318" i="41"/>
  <c r="N317" i="41"/>
  <c r="N316" i="41"/>
  <c r="N315" i="41"/>
  <c r="N314" i="41"/>
  <c r="N313" i="41"/>
  <c r="N312" i="41"/>
  <c r="N311" i="41"/>
  <c r="N310" i="41"/>
  <c r="N309" i="41"/>
  <c r="N308" i="41"/>
  <c r="N307" i="41"/>
  <c r="N306" i="41"/>
  <c r="N305" i="41"/>
  <c r="N304" i="41"/>
  <c r="N303" i="41"/>
  <c r="N302" i="41"/>
  <c r="N301" i="41"/>
  <c r="N300" i="41"/>
  <c r="N299" i="41"/>
  <c r="N298" i="41"/>
  <c r="N297" i="41"/>
  <c r="N296" i="41"/>
  <c r="N295" i="41"/>
  <c r="N294" i="41"/>
  <c r="N293" i="41"/>
  <c r="N292" i="41"/>
  <c r="N291" i="41"/>
  <c r="N290" i="41"/>
  <c r="N289" i="41"/>
  <c r="N288" i="41"/>
  <c r="N287" i="41"/>
  <c r="N286" i="41"/>
  <c r="N285" i="41"/>
  <c r="N284" i="41"/>
  <c r="N283" i="41"/>
  <c r="N282" i="41"/>
  <c r="N281" i="41"/>
  <c r="N280" i="41"/>
  <c r="N279" i="41"/>
  <c r="N278" i="41"/>
  <c r="N277" i="41"/>
  <c r="N276" i="41"/>
  <c r="N275" i="41"/>
  <c r="N274" i="41"/>
  <c r="N273" i="41"/>
  <c r="N272" i="41"/>
  <c r="N271" i="41"/>
  <c r="N270" i="41"/>
  <c r="N269" i="41"/>
  <c r="N268" i="41"/>
  <c r="N267" i="41"/>
  <c r="N266" i="41"/>
  <c r="N265" i="41"/>
  <c r="N264" i="41"/>
  <c r="N263" i="41"/>
  <c r="N262" i="41"/>
  <c r="N261" i="41"/>
  <c r="N260" i="41"/>
  <c r="N259" i="41"/>
  <c r="N258" i="41"/>
  <c r="N257" i="41"/>
  <c r="N256" i="41"/>
  <c r="N255" i="41"/>
  <c r="N254" i="41"/>
  <c r="N253" i="41"/>
  <c r="N252" i="41"/>
  <c r="N251" i="41"/>
  <c r="N250" i="41"/>
  <c r="N249" i="41"/>
  <c r="N248" i="41"/>
  <c r="N247" i="41"/>
  <c r="N246" i="41"/>
  <c r="N245" i="41"/>
  <c r="N244" i="41"/>
  <c r="N243" i="41"/>
  <c r="N242" i="41"/>
  <c r="N241" i="41"/>
  <c r="N240" i="41"/>
  <c r="N239" i="41"/>
  <c r="N238" i="41"/>
  <c r="N237" i="41"/>
  <c r="N236" i="41"/>
  <c r="N235" i="41"/>
  <c r="N234" i="41"/>
  <c r="N233" i="41"/>
  <c r="AE232" i="41" a="1"/>
  <c r="AE232" i="41" s="1"/>
  <c r="N232" i="41"/>
  <c r="N231" i="41"/>
  <c r="N230" i="41"/>
  <c r="N229" i="41"/>
  <c r="N228" i="41"/>
  <c r="N227" i="41"/>
  <c r="N226" i="41"/>
  <c r="N225" i="41"/>
  <c r="N224" i="41"/>
  <c r="N223" i="41"/>
  <c r="N222" i="41"/>
  <c r="AE221" i="41" a="1"/>
  <c r="AE221" i="41" s="1"/>
  <c r="N221" i="41"/>
  <c r="N220" i="41"/>
  <c r="N219" i="41"/>
  <c r="N218" i="41"/>
  <c r="N217" i="41"/>
  <c r="AE216" i="41" a="1"/>
  <c r="AE216" i="41" s="1"/>
  <c r="N216" i="41"/>
  <c r="N215" i="41"/>
  <c r="N214" i="41"/>
  <c r="N213" i="41"/>
  <c r="N212" i="41"/>
  <c r="N211" i="41"/>
  <c r="N210" i="41"/>
  <c r="N209" i="41"/>
  <c r="N208" i="41"/>
  <c r="N207" i="41"/>
  <c r="N206" i="41"/>
  <c r="AE205" i="41" a="1"/>
  <c r="AE205" i="41" s="1"/>
  <c r="AI205" i="41" s="1"/>
  <c r="N205" i="41"/>
  <c r="N204" i="41"/>
  <c r="N203" i="41"/>
  <c r="N202" i="41"/>
  <c r="N201" i="41"/>
  <c r="AE200" i="41" a="1"/>
  <c r="AE200" i="41" s="1"/>
  <c r="N200" i="41"/>
  <c r="N199" i="41"/>
  <c r="N198" i="41"/>
  <c r="N197" i="41"/>
  <c r="N196" i="41"/>
  <c r="N195" i="41"/>
  <c r="N194" i="41"/>
  <c r="N193" i="41"/>
  <c r="N192" i="41"/>
  <c r="N191" i="41"/>
  <c r="N190" i="41"/>
  <c r="AE189" i="41" a="1"/>
  <c r="AE189" i="41" s="1"/>
  <c r="AI189" i="41" s="1"/>
  <c r="N189" i="41"/>
  <c r="N188" i="41"/>
  <c r="N187" i="41"/>
  <c r="N186" i="41"/>
  <c r="N185" i="41"/>
  <c r="AE184" i="41" a="1"/>
  <c r="AE184" i="41" s="1"/>
  <c r="N184" i="41"/>
  <c r="N183" i="41"/>
  <c r="N182" i="41"/>
  <c r="N181" i="41"/>
  <c r="N177" i="41"/>
  <c r="I176" i="41"/>
  <c r="AK168" i="41"/>
  <c r="AJ168" i="41"/>
  <c r="AI168" i="41"/>
  <c r="AH168" i="41"/>
  <c r="AG168" i="41"/>
  <c r="AF168" i="41"/>
  <c r="AH89" i="41"/>
  <c r="AJ84" i="41"/>
  <c r="AI84" i="41"/>
  <c r="AH84" i="41"/>
  <c r="AG84" i="41"/>
  <c r="AF84" i="41"/>
  <c r="AE84" i="41"/>
  <c r="AC84" i="41"/>
  <c r="W84" i="41"/>
  <c r="O74" i="41"/>
  <c r="H77" i="18" s="1"/>
  <c r="Y55" i="41"/>
  <c r="AH31" i="41"/>
  <c r="AH30" i="41"/>
  <c r="AH29" i="41"/>
  <c r="AH28" i="41"/>
  <c r="AH27" i="41"/>
  <c r="AH26" i="41"/>
  <c r="AI2" i="41"/>
  <c r="W5" i="18" s="1"/>
  <c r="AE185" i="41" l="1" a="1"/>
  <c r="AE185" i="41" s="1"/>
  <c r="AH185" i="41" s="1"/>
  <c r="AE196" i="41" a="1"/>
  <c r="AE196" i="41" s="1"/>
  <c r="AK196" i="41" s="1"/>
  <c r="AE201" i="41" a="1"/>
  <c r="AE201" i="41" s="1"/>
  <c r="AI201" i="41" s="1"/>
  <c r="AE212" i="41" a="1"/>
  <c r="AE212" i="41" s="1"/>
  <c r="AF212" i="41" s="1"/>
  <c r="AE217" i="41" a="1"/>
  <c r="AE217" i="41" s="1"/>
  <c r="AF217" i="41" s="1"/>
  <c r="AE228" i="41" a="1"/>
  <c r="AE228" i="41" s="1"/>
  <c r="AK228" i="41" s="1"/>
  <c r="AE233" i="41" a="1"/>
  <c r="AE233" i="41" s="1"/>
  <c r="AK233" i="41" s="1"/>
  <c r="AE180" i="41" a="1"/>
  <c r="AE180" i="41" s="1"/>
  <c r="AI180" i="41" s="1"/>
  <c r="AE181" i="41" a="1"/>
  <c r="AE181" i="41" s="1"/>
  <c r="AI181" i="41" s="1"/>
  <c r="AE192" i="41" a="1"/>
  <c r="AE192" i="41" s="1"/>
  <c r="AH192" i="41" s="1"/>
  <c r="AE197" i="41" a="1"/>
  <c r="AE197" i="41" s="1"/>
  <c r="AI197" i="41" s="1"/>
  <c r="AE208" i="41" a="1"/>
  <c r="AE208" i="41" s="1"/>
  <c r="AJ208" i="41" s="1"/>
  <c r="AE213" i="41" a="1"/>
  <c r="AE213" i="41" s="1"/>
  <c r="AK213" i="41" s="1"/>
  <c r="AE224" i="41" a="1"/>
  <c r="AE224" i="41" s="1"/>
  <c r="AK224" i="41" s="1"/>
  <c r="AE229" i="41" a="1"/>
  <c r="AE229" i="41" s="1"/>
  <c r="AG229" i="41" s="1"/>
  <c r="AE188" i="41" a="1"/>
  <c r="AE188" i="41" s="1"/>
  <c r="AK188" i="41" s="1"/>
  <c r="AE193" i="41" a="1"/>
  <c r="AE193" i="41" s="1"/>
  <c r="AI193" i="41" s="1"/>
  <c r="AE204" i="41" a="1"/>
  <c r="AE204" i="41" s="1"/>
  <c r="AH204" i="41" s="1"/>
  <c r="AE209" i="41" a="1"/>
  <c r="AE209" i="41" s="1"/>
  <c r="AI209" i="41" s="1"/>
  <c r="AE220" i="41" a="1"/>
  <c r="AE220" i="41" s="1"/>
  <c r="AK220" i="41" s="1"/>
  <c r="AE225" i="41" a="1"/>
  <c r="AE225" i="41" s="1"/>
  <c r="AK225" i="41" s="1"/>
  <c r="M52" i="41"/>
  <c r="F55" i="18" s="1"/>
  <c r="AE176" i="41" a="1"/>
  <c r="AE176" i="41" s="1"/>
  <c r="AH176" i="41" s="1"/>
  <c r="AE182" i="41" a="1"/>
  <c r="AE182" i="41" s="1"/>
  <c r="AK182" i="41" s="1"/>
  <c r="AE190" i="41" a="1"/>
  <c r="AE190" i="41" s="1"/>
  <c r="AG190" i="41" s="1"/>
  <c r="AE194" i="41" a="1"/>
  <c r="AE194" i="41" s="1"/>
  <c r="AK194" i="41" s="1"/>
  <c r="AE198" i="41" a="1"/>
  <c r="AE198" i="41" s="1"/>
  <c r="AF198" i="41" s="1"/>
  <c r="AE202" i="41" a="1"/>
  <c r="AE202" i="41" s="1"/>
  <c r="AH202" i="41" s="1"/>
  <c r="AE206" i="41" a="1"/>
  <c r="AE206" i="41" s="1"/>
  <c r="AH206" i="41" s="1"/>
  <c r="AE210" i="41" a="1"/>
  <c r="AE210" i="41" s="1"/>
  <c r="AG210" i="41" s="1"/>
  <c r="AE214" i="41" a="1"/>
  <c r="AE214" i="41" s="1"/>
  <c r="AH214" i="41" s="1"/>
  <c r="AE218" i="41" a="1"/>
  <c r="AE218" i="41" s="1"/>
  <c r="AK218" i="41" s="1"/>
  <c r="AE222" i="41" a="1"/>
  <c r="AE222" i="41" s="1"/>
  <c r="AJ222" i="41" s="1"/>
  <c r="AE226" i="41" a="1"/>
  <c r="AE226" i="41" s="1"/>
  <c r="AI226" i="41" s="1"/>
  <c r="AE230" i="41" a="1"/>
  <c r="AE230" i="41" s="1"/>
  <c r="AH230" i="41" s="1"/>
  <c r="AE234" i="41" a="1"/>
  <c r="AE234" i="41" s="1"/>
  <c r="AH234" i="41" s="1"/>
  <c r="AE186" i="41" a="1"/>
  <c r="AE186" i="41" s="1"/>
  <c r="AG186" i="41" s="1"/>
  <c r="AE177" i="41" a="1"/>
  <c r="AE177" i="41" s="1"/>
  <c r="AF177" i="41" s="1"/>
  <c r="AE178" i="41" a="1"/>
  <c r="AE178" i="41" s="1"/>
  <c r="AJ178" i="41" s="1"/>
  <c r="AE183" i="41" a="1"/>
  <c r="AE183" i="41" s="1"/>
  <c r="AG183" i="41" s="1"/>
  <c r="AE187" i="41" a="1"/>
  <c r="AE187" i="41" s="1"/>
  <c r="AG187" i="41" s="1"/>
  <c r="AE191" i="41" a="1"/>
  <c r="AE191" i="41" s="1"/>
  <c r="AK191" i="41" s="1"/>
  <c r="AE195" i="41" a="1"/>
  <c r="AE195" i="41" s="1"/>
  <c r="AF195" i="41" s="1"/>
  <c r="AE199" i="41" a="1"/>
  <c r="AE199" i="41" s="1"/>
  <c r="AJ199" i="41" s="1"/>
  <c r="AE203" i="41" a="1"/>
  <c r="AE203" i="41" s="1"/>
  <c r="AJ203" i="41" s="1"/>
  <c r="AE207" i="41" a="1"/>
  <c r="AE207" i="41" s="1"/>
  <c r="AG207" i="41" s="1"/>
  <c r="AE211" i="41" a="1"/>
  <c r="AE211" i="41" s="1"/>
  <c r="AF211" i="41" s="1"/>
  <c r="AE215" i="41" a="1"/>
  <c r="AE215" i="41" s="1"/>
  <c r="AI215" i="41" s="1"/>
  <c r="AE219" i="41" a="1"/>
  <c r="AE219" i="41" s="1"/>
  <c r="AI219" i="41" s="1"/>
  <c r="AE223" i="41" a="1"/>
  <c r="AE223" i="41" s="1"/>
  <c r="AI223" i="41" s="1"/>
  <c r="AE227" i="41" a="1"/>
  <c r="AE227" i="41" s="1"/>
  <c r="AG227" i="41" s="1"/>
  <c r="AE231" i="41" a="1"/>
  <c r="AE231" i="41" s="1"/>
  <c r="AI231" i="41" s="1"/>
  <c r="AE235" i="41" a="1"/>
  <c r="AE235" i="41" s="1"/>
  <c r="AF235" i="41" s="1"/>
  <c r="L53" i="41"/>
  <c r="L54" i="41" s="1"/>
  <c r="E57" i="18" s="1"/>
  <c r="E55" i="18"/>
  <c r="N1611" i="41"/>
  <c r="N1619" i="41"/>
  <c r="N1627" i="41"/>
  <c r="N1635" i="41"/>
  <c r="N1644" i="41"/>
  <c r="N1612" i="41"/>
  <c r="N1620" i="41"/>
  <c r="N1628" i="41"/>
  <c r="N1636" i="41"/>
  <c r="N1645" i="41"/>
  <c r="N1613" i="41"/>
  <c r="N1621" i="41"/>
  <c r="N1629" i="41"/>
  <c r="N1637" i="41"/>
  <c r="N1649" i="41"/>
  <c r="N1614" i="41"/>
  <c r="N1622" i="41"/>
  <c r="N1630" i="41"/>
  <c r="N1638" i="41"/>
  <c r="AG205" i="41"/>
  <c r="AJ205" i="41"/>
  <c r="AF216" i="41"/>
  <c r="AJ216" i="41"/>
  <c r="AI216" i="41"/>
  <c r="AG232" i="41"/>
  <c r="AJ232" i="41"/>
  <c r="AI232" i="41"/>
  <c r="AH200" i="41"/>
  <c r="AJ200" i="41"/>
  <c r="AF200" i="41"/>
  <c r="AF205" i="41"/>
  <c r="AF232" i="41"/>
  <c r="N1643" i="41"/>
  <c r="N1651" i="41"/>
  <c r="AK205" i="41"/>
  <c r="N1646" i="41"/>
  <c r="N1647" i="41"/>
  <c r="AK184" i="41"/>
  <c r="AJ184" i="41"/>
  <c r="AI184" i="41"/>
  <c r="AH184" i="41"/>
  <c r="AG184" i="41"/>
  <c r="AF184" i="41"/>
  <c r="AK179" i="41"/>
  <c r="AJ179" i="41"/>
  <c r="AI179" i="41"/>
  <c r="AH179" i="41"/>
  <c r="AG179" i="41"/>
  <c r="AF179" i="41"/>
  <c r="AH189" i="41"/>
  <c r="AJ189" i="41"/>
  <c r="AK189" i="41"/>
  <c r="AH221" i="41"/>
  <c r="AF221" i="41"/>
  <c r="AJ221" i="41"/>
  <c r="AI221" i="41"/>
  <c r="AG200" i="41"/>
  <c r="AH205" i="41"/>
  <c r="AG216" i="41"/>
  <c r="AK216" i="41"/>
  <c r="AH216" i="41"/>
  <c r="AG221" i="41"/>
  <c r="AI200" i="41"/>
  <c r="AK221" i="41"/>
  <c r="N178" i="41"/>
  <c r="AF189" i="41"/>
  <c r="AG189" i="41"/>
  <c r="AK200" i="41"/>
  <c r="AH232" i="41"/>
  <c r="AK232" i="41"/>
  <c r="N925" i="41"/>
  <c r="D9" i="20"/>
  <c r="C12" i="20" s="1"/>
  <c r="D8" i="20"/>
  <c r="D9" i="39"/>
  <c r="D8" i="39"/>
  <c r="C11" i="39" l="1"/>
  <c r="C12" i="39"/>
  <c r="AF204" i="41"/>
  <c r="AG204" i="41"/>
  <c r="AK176" i="41"/>
  <c r="AI185" i="41"/>
  <c r="AJ212" i="41"/>
  <c r="AG212" i="41"/>
  <c r="AK212" i="41"/>
  <c r="AK229" i="41"/>
  <c r="AG208" i="41"/>
  <c r="AI213" i="41"/>
  <c r="AI222" i="41"/>
  <c r="AJ176" i="41"/>
  <c r="AG209" i="41"/>
  <c r="AH190" i="41"/>
  <c r="AH181" i="41"/>
  <c r="AF181" i="41"/>
  <c r="AG220" i="41"/>
  <c r="AI195" i="41"/>
  <c r="AI214" i="41"/>
  <c r="AJ214" i="41"/>
  <c r="AH220" i="41"/>
  <c r="AI225" i="41"/>
  <c r="AF227" i="41"/>
  <c r="AH178" i="41"/>
  <c r="AK178" i="41"/>
  <c r="AH213" i="41"/>
  <c r="AH224" i="41"/>
  <c r="AF218" i="41"/>
  <c r="AF225" i="41"/>
  <c r="AJ197" i="41"/>
  <c r="AG185" i="41"/>
  <c r="AH217" i="41"/>
  <c r="AG181" i="41"/>
  <c r="AG213" i="41"/>
  <c r="AI220" i="41"/>
  <c r="AF214" i="41"/>
  <c r="AK190" i="41"/>
  <c r="AJ230" i="41"/>
  <c r="AH225" i="41"/>
  <c r="AJ209" i="41"/>
  <c r="AI176" i="41"/>
  <c r="AF208" i="41"/>
  <c r="AI177" i="41"/>
  <c r="AI212" i="41"/>
  <c r="AG195" i="41"/>
  <c r="AJ213" i="41"/>
  <c r="AI208" i="41"/>
  <c r="AJ185" i="41"/>
  <c r="AJ195" i="41"/>
  <c r="AI227" i="41"/>
  <c r="AF176" i="41"/>
  <c r="AH209" i="41"/>
  <c r="AJ227" i="41"/>
  <c r="AJ201" i="41"/>
  <c r="AJ225" i="41"/>
  <c r="AG176" i="41"/>
  <c r="AF220" i="41"/>
  <c r="AF185" i="41"/>
  <c r="AH227" i="41"/>
  <c r="AK197" i="41"/>
  <c r="AK217" i="41"/>
  <c r="AK222" i="41"/>
  <c r="AF197" i="41"/>
  <c r="AJ217" i="41"/>
  <c r="AJ186" i="41"/>
  <c r="AI186" i="41"/>
  <c r="AI211" i="41"/>
  <c r="AG193" i="41"/>
  <c r="AH193" i="41"/>
  <c r="AG217" i="41"/>
  <c r="AF186" i="41"/>
  <c r="AH186" i="41"/>
  <c r="AG235" i="41"/>
  <c r="AK186" i="41"/>
  <c r="AI217" i="41"/>
  <c r="AH197" i="41"/>
  <c r="AG197" i="41"/>
  <c r="AH222" i="41"/>
  <c r="AK235" i="41"/>
  <c r="AK181" i="41"/>
  <c r="AK193" i="41"/>
  <c r="AJ181" i="41"/>
  <c r="AH188" i="41"/>
  <c r="AI235" i="41"/>
  <c r="AF178" i="41"/>
  <c r="AK227" i="41"/>
  <c r="AJ235" i="41"/>
  <c r="AJ190" i="41"/>
  <c r="AK195" i="41"/>
  <c r="AH201" i="41"/>
  <c r="AG201" i="41"/>
  <c r="AF193" i="41"/>
  <c r="AF213" i="41"/>
  <c r="AI192" i="41"/>
  <c r="AK214" i="41"/>
  <c r="AJ193" i="41"/>
  <c r="AJ177" i="41"/>
  <c r="AF201" i="41"/>
  <c r="AI190" i="41"/>
  <c r="AK230" i="41"/>
  <c r="AH195" i="41"/>
  <c r="AG225" i="41"/>
  <c r="AG214" i="41"/>
  <c r="AK185" i="41"/>
  <c r="AG203" i="41"/>
  <c r="AF222" i="41"/>
  <c r="AF203" i="41"/>
  <c r="AK209" i="41"/>
  <c r="AH208" i="41"/>
  <c r="AK201" i="41"/>
  <c r="AG177" i="41"/>
  <c r="AG222" i="41"/>
  <c r="AF190" i="41"/>
  <c r="AK177" i="41"/>
  <c r="AH203" i="41"/>
  <c r="AF209" i="41"/>
  <c r="AJ220" i="41"/>
  <c r="AH177" i="41"/>
  <c r="AH231" i="41"/>
  <c r="AH235" i="41"/>
  <c r="AK203" i="41"/>
  <c r="AK208" i="41"/>
  <c r="AH212" i="41"/>
  <c r="L55" i="41"/>
  <c r="E58" i="18" s="1"/>
  <c r="AG211" i="41"/>
  <c r="AJ196" i="41"/>
  <c r="AG178" i="41"/>
  <c r="AG231" i="41"/>
  <c r="AK210" i="41"/>
  <c r="AJ210" i="41"/>
  <c r="AJ180" i="41"/>
  <c r="AK234" i="41"/>
  <c r="AH223" i="41"/>
  <c r="AJ228" i="41"/>
  <c r="AJ202" i="41"/>
  <c r="AF210" i="41"/>
  <c r="AH191" i="41"/>
  <c r="AI191" i="41"/>
  <c r="AK223" i="41"/>
  <c r="AG191" i="41"/>
  <c r="AG180" i="41"/>
  <c r="AF223" i="41"/>
  <c r="AF188" i="41"/>
  <c r="AH180" i="41"/>
  <c r="AG223" i="41"/>
  <c r="AI188" i="41"/>
  <c r="AG188" i="41"/>
  <c r="AJ188" i="41"/>
  <c r="AI210" i="41"/>
  <c r="AJ223" i="41"/>
  <c r="AH210" i="41"/>
  <c r="AF180" i="41"/>
  <c r="AK180" i="41"/>
  <c r="AI228" i="41"/>
  <c r="AJ233" i="41"/>
  <c r="AF224" i="41"/>
  <c r="AI224" i="41"/>
  <c r="AJ224" i="41"/>
  <c r="AG228" i="41"/>
  <c r="AG224" i="41"/>
  <c r="AH228" i="41"/>
  <c r="AF228" i="41"/>
  <c r="AJ218" i="41"/>
  <c r="AJ229" i="41"/>
  <c r="AI204" i="41"/>
  <c r="AI206" i="41"/>
  <c r="AF182" i="41"/>
  <c r="AJ182" i="41"/>
  <c r="AK231" i="41"/>
  <c r="AG218" i="41"/>
  <c r="AJ204" i="41"/>
  <c r="AF229" i="41"/>
  <c r="AI199" i="41"/>
  <c r="AG192" i="41"/>
  <c r="AK204" i="41"/>
  <c r="AG196" i="41"/>
  <c r="AF233" i="41"/>
  <c r="AI182" i="41"/>
  <c r="AH199" i="41"/>
  <c r="AI218" i="41"/>
  <c r="AK199" i="41"/>
  <c r="AG233" i="41"/>
  <c r="AH229" i="41"/>
  <c r="AK192" i="41"/>
  <c r="AJ231" i="41"/>
  <c r="AI196" i="41"/>
  <c r="AH218" i="41"/>
  <c r="AG199" i="41"/>
  <c r="AH182" i="41"/>
  <c r="AH233" i="41"/>
  <c r="AF196" i="41"/>
  <c r="AG182" i="41"/>
  <c r="AF192" i="41"/>
  <c r="AH196" i="41"/>
  <c r="AF231" i="41"/>
  <c r="AI233" i="41"/>
  <c r="AJ192" i="41"/>
  <c r="AI229" i="41"/>
  <c r="AF199" i="41"/>
  <c r="AI203" i="41"/>
  <c r="AJ226" i="41"/>
  <c r="AK207" i="41"/>
  <c r="AG226" i="41"/>
  <c r="AH226" i="41"/>
  <c r="AK226" i="41"/>
  <c r="AF226" i="41"/>
  <c r="AI207" i="41"/>
  <c r="AH207" i="41"/>
  <c r="AH194" i="41"/>
  <c r="AF191" i="41"/>
  <c r="AG194" i="41"/>
  <c r="AJ194" i="41"/>
  <c r="AF207" i="41"/>
  <c r="AJ191" i="41"/>
  <c r="AJ207" i="41"/>
  <c r="AF194" i="41"/>
  <c r="AH187" i="41"/>
  <c r="AI194" i="41"/>
  <c r="AJ234" i="41"/>
  <c r="AI230" i="41"/>
  <c r="AJ198" i="41"/>
  <c r="AI202" i="41"/>
  <c r="AH211" i="41"/>
  <c r="W90" i="41"/>
  <c r="AH183" i="41"/>
  <c r="AH215" i="41"/>
  <c r="AF215" i="41"/>
  <c r="AG234" i="41"/>
  <c r="M54" i="41"/>
  <c r="F57" i="18" s="1"/>
  <c r="AJ211" i="41"/>
  <c r="AI183" i="41"/>
  <c r="AG215" i="41"/>
  <c r="AI234" i="41"/>
  <c r="AK211" i="41"/>
  <c r="AJ183" i="41"/>
  <c r="AK198" i="41"/>
  <c r="AK215" i="41"/>
  <c r="AF202" i="41"/>
  <c r="AJ215" i="41"/>
  <c r="AF230" i="41"/>
  <c r="AI198" i="41"/>
  <c r="AI178" i="41"/>
  <c r="AK202" i="41"/>
  <c r="AK183" i="41"/>
  <c r="AG198" i="41"/>
  <c r="AF234" i="41"/>
  <c r="AG230" i="41"/>
  <c r="AG202" i="41"/>
  <c r="AF183" i="41"/>
  <c r="AH198" i="41"/>
  <c r="AI187" i="41"/>
  <c r="AK206" i="41"/>
  <c r="AG219" i="41"/>
  <c r="AJ187" i="41"/>
  <c r="AF206" i="41"/>
  <c r="AH219" i="41"/>
  <c r="AK187" i="41"/>
  <c r="AJ206" i="41"/>
  <c r="AJ219" i="41"/>
  <c r="AK219" i="41"/>
  <c r="AG206" i="41"/>
  <c r="AF219" i="41"/>
  <c r="AF187" i="41"/>
  <c r="W91" i="41"/>
  <c r="M53" i="41"/>
  <c r="F56" i="18" s="1"/>
  <c r="E56" i="18"/>
  <c r="N926" i="41"/>
  <c r="N179" i="41"/>
  <c r="C16" i="39"/>
  <c r="C14" i="39"/>
  <c r="C13" i="39"/>
  <c r="C10" i="39"/>
  <c r="C16" i="20"/>
  <c r="C14" i="20"/>
  <c r="C13" i="20"/>
  <c r="C11" i="20"/>
  <c r="C10" i="20"/>
  <c r="J194" i="39" l="1"/>
  <c r="J8" i="39" s="1"/>
  <c r="J163" i="39"/>
  <c r="I8" i="39" s="1"/>
  <c r="J132" i="39"/>
  <c r="H8" i="39" s="1"/>
  <c r="J101" i="39"/>
  <c r="G8" i="39" s="1"/>
  <c r="J70" i="39"/>
  <c r="F8" i="39" s="1"/>
  <c r="J39" i="39"/>
  <c r="E8" i="39" s="1"/>
  <c r="M55" i="41"/>
  <c r="F58" i="18" s="1"/>
  <c r="AF91" i="41"/>
  <c r="L56" i="41"/>
  <c r="E59" i="18" s="1"/>
  <c r="AF90" i="41"/>
  <c r="AI90" i="41"/>
  <c r="AJ90" i="41"/>
  <c r="AE91" i="41"/>
  <c r="AH91" i="41"/>
  <c r="AG90" i="41"/>
  <c r="AG91" i="41"/>
  <c r="AE90" i="41"/>
  <c r="AH90" i="41"/>
  <c r="AJ91" i="41"/>
  <c r="AI91" i="41"/>
  <c r="N927" i="41"/>
  <c r="M56" i="41"/>
  <c r="F59" i="18" s="1"/>
  <c r="L57" i="41"/>
  <c r="E60" i="18" s="1"/>
  <c r="N180" i="41"/>
  <c r="C15" i="20"/>
  <c r="E8" i="20" s="1"/>
  <c r="C15" i="39"/>
  <c r="O24" i="41" l="1" a="1"/>
  <c r="O24" i="41" s="1"/>
  <c r="O23" i="41"/>
  <c r="M23" i="41" s="1"/>
  <c r="M57" i="41"/>
  <c r="F60" i="18" s="1"/>
  <c r="L58" i="41"/>
  <c r="E61" i="18" s="1"/>
  <c r="P24" i="41" l="1"/>
  <c r="I27" i="18" s="1"/>
  <c r="M24" i="41"/>
  <c r="P23" i="41"/>
  <c r="I26" i="18" s="1"/>
  <c r="H26" i="18"/>
  <c r="H27" i="18"/>
  <c r="M58" i="41"/>
  <c r="F61" i="18" s="1"/>
  <c r="L59" i="41"/>
  <c r="E62" i="18" s="1"/>
  <c r="O31" i="41" l="1"/>
  <c r="P31" i="41" s="1"/>
  <c r="I34" i="18" s="1"/>
  <c r="F26" i="18"/>
  <c r="M923" i="41"/>
  <c r="L923" i="41" s="1"/>
  <c r="M25" i="41"/>
  <c r="F28" i="18" s="1"/>
  <c r="O30" i="41"/>
  <c r="P30" i="41" s="1"/>
  <c r="I33" i="18" s="1"/>
  <c r="M176" i="41"/>
  <c r="L176" i="41" s="1"/>
  <c r="X89" i="41"/>
  <c r="X923" i="41"/>
  <c r="F27" i="18"/>
  <c r="AB89" i="41"/>
  <c r="AE22" i="41" s="1"/>
  <c r="S25" i="18" s="1"/>
  <c r="X176" i="41"/>
  <c r="M59" i="41"/>
  <c r="F62" i="18" s="1"/>
  <c r="L60" i="41"/>
  <c r="E63" i="18" s="1"/>
  <c r="AK89" i="41" l="1"/>
  <c r="AE20" i="41"/>
  <c r="S23" i="18" s="1"/>
  <c r="M30" i="41"/>
  <c r="H33" i="18"/>
  <c r="M31" i="41"/>
  <c r="H34" i="18"/>
  <c r="M60" i="41"/>
  <c r="F63" i="18" s="1"/>
  <c r="L61" i="41"/>
  <c r="E64" i="18" s="1"/>
  <c r="F34" i="18" l="1"/>
  <c r="F33" i="18"/>
  <c r="M32" i="41"/>
  <c r="F35" i="18" s="1"/>
  <c r="M61" i="41"/>
  <c r="F64" i="18" s="1"/>
  <c r="L62" i="41"/>
  <c r="E65" i="18" s="1"/>
  <c r="M62" i="41" l="1"/>
  <c r="F65" i="18" s="1"/>
  <c r="L63" i="41"/>
  <c r="E66" i="18" l="1"/>
  <c r="M63" i="41"/>
  <c r="F66" i="18" s="1"/>
  <c r="AB52" i="41" l="1"/>
  <c r="AG19" i="41" s="1"/>
  <c r="U22" i="18" l="1"/>
  <c r="AH15" i="41"/>
  <c r="V18" i="18" s="1"/>
  <c r="U18" i="18"/>
  <c r="N54" i="41" l="1"/>
  <c r="N53" i="41"/>
  <c r="N52" i="41"/>
  <c r="O57" i="41" l="1"/>
  <c r="O58" i="41"/>
  <c r="O59" i="41"/>
  <c r="O60" i="41"/>
  <c r="O61" i="41"/>
  <c r="O62" i="41"/>
  <c r="R31" i="41"/>
  <c r="K34" i="18" s="1"/>
  <c r="R30" i="41"/>
  <c r="N64" i="41"/>
  <c r="G67" i="18" s="1"/>
  <c r="O63" i="41"/>
  <c r="O43" i="41"/>
  <c r="O54" i="41"/>
  <c r="O56" i="41"/>
  <c r="O55" i="41"/>
  <c r="H46" i="18"/>
  <c r="H62" i="18" l="1"/>
  <c r="P59" i="41"/>
  <c r="I62" i="18" s="1"/>
  <c r="H65" i="18"/>
  <c r="P62" i="41"/>
  <c r="I65" i="18" s="1"/>
  <c r="H64" i="18"/>
  <c r="P61" i="41"/>
  <c r="I64" i="18" s="1"/>
  <c r="H63" i="18"/>
  <c r="P60" i="41"/>
  <c r="I63" i="18" s="1"/>
  <c r="H66" i="18"/>
  <c r="P63" i="41"/>
  <c r="I66" i="18" s="1"/>
  <c r="H61" i="18"/>
  <c r="P58" i="41"/>
  <c r="I61" i="18" s="1"/>
  <c r="H60" i="18"/>
  <c r="P57" i="41"/>
  <c r="I60" i="18" s="1"/>
  <c r="H58" i="18"/>
  <c r="P55" i="41"/>
  <c r="I58" i="18" s="1"/>
  <c r="H59" i="18"/>
  <c r="P56" i="41"/>
  <c r="I59" i="18" s="1"/>
  <c r="H57" i="18"/>
  <c r="P54" i="41"/>
  <c r="I57" i="18" s="1"/>
  <c r="P38" i="41" l="1"/>
  <c r="P37" i="41"/>
  <c r="O53" i="41" l="1"/>
  <c r="P53" i="41" s="1"/>
  <c r="I56" i="18" s="1"/>
  <c r="O52" i="41"/>
  <c r="H56" i="18" l="1"/>
  <c r="P52" i="41"/>
  <c r="I55" i="18" s="1"/>
  <c r="H55" i="18"/>
  <c r="O37" i="41"/>
  <c r="P176" i="41" s="1"/>
  <c r="R176" i="41" l="1"/>
  <c r="P923" i="41"/>
  <c r="R923" i="41"/>
  <c r="R924" i="41" l="1"/>
  <c r="V924" i="41" s="1"/>
  <c r="V923" i="41"/>
  <c r="U923" i="41"/>
  <c r="U176" i="41"/>
  <c r="V176" i="41"/>
  <c r="R177" i="41"/>
  <c r="U177" i="41" l="1"/>
  <c r="AD176" i="41" s="1"/>
  <c r="V177" i="41"/>
  <c r="U924" i="41"/>
  <c r="AD923" i="41" s="1"/>
  <c r="AC176" i="41" l="1"/>
  <c r="AE236" i="41" s="1" a="1"/>
  <c r="AE236" i="41" s="1"/>
  <c r="AK236" i="41" s="1"/>
  <c r="AC923" i="41"/>
  <c r="AF236" i="41" l="1"/>
  <c r="AI236" i="41"/>
  <c r="AJ236" i="41"/>
  <c r="AH236" i="41"/>
  <c r="AG236" i="41"/>
  <c r="AE923" i="41"/>
  <c r="T923" i="41"/>
  <c r="AH923" i="41" l="1"/>
  <c r="AG923" i="41"/>
  <c r="AI923" i="41"/>
  <c r="AF923" i="41"/>
  <c r="AK923" i="41"/>
  <c r="AJ923" i="41"/>
  <c r="O38" i="41"/>
  <c r="Q176" i="41" s="1"/>
  <c r="O923" i="41" l="1"/>
  <c r="W923" i="41" s="1"/>
  <c r="AB176" i="41" a="1"/>
  <c r="AB176" i="41" s="1"/>
  <c r="Q177" i="41"/>
  <c r="Q923" i="41"/>
  <c r="O176" i="41"/>
  <c r="O177" i="41" s="1"/>
  <c r="O44" i="41"/>
  <c r="H47" i="18" s="1"/>
  <c r="P924" i="41" l="1"/>
  <c r="R925" i="41" s="1"/>
  <c r="H923" i="41"/>
  <c r="G923" i="41" s="1"/>
  <c r="W176" i="41"/>
  <c r="H176" i="41"/>
  <c r="G176" i="41" s="1"/>
  <c r="P177" i="41"/>
  <c r="P178" i="41" s="1"/>
  <c r="I923" i="41"/>
  <c r="AB923" i="41"/>
  <c r="Q924" i="41"/>
  <c r="O924" i="41"/>
  <c r="W177" i="41"/>
  <c r="X177" i="41"/>
  <c r="Q178" i="41"/>
  <c r="S177" i="41"/>
  <c r="I177" i="41" s="1"/>
  <c r="O178" i="41"/>
  <c r="V925" i="41" l="1"/>
  <c r="U925" i="41"/>
  <c r="AB178" i="41" a="1"/>
  <c r="AB178" i="41" s="1"/>
  <c r="AB177" i="41" a="1"/>
  <c r="AB177" i="41" s="1"/>
  <c r="M177" i="41" s="1"/>
  <c r="L177" i="41" s="1"/>
  <c r="R178" i="41"/>
  <c r="R179" i="41" s="1"/>
  <c r="W178" i="41"/>
  <c r="X178" i="41"/>
  <c r="P179" i="41"/>
  <c r="H177" i="41"/>
  <c r="G177" i="41" s="1"/>
  <c r="S924" i="41"/>
  <c r="H924" i="41" s="1"/>
  <c r="G924" i="41" s="1"/>
  <c r="Q925" i="41"/>
  <c r="Q926" i="41" s="1"/>
  <c r="O925" i="41"/>
  <c r="W924" i="41"/>
  <c r="P925" i="41"/>
  <c r="X924" i="41"/>
  <c r="R926" i="41" l="1"/>
  <c r="M178" i="41"/>
  <c r="L178" i="41" s="1"/>
  <c r="U179" i="41"/>
  <c r="AC924" i="41"/>
  <c r="AD924" i="41"/>
  <c r="I924" i="41"/>
  <c r="R180" i="41"/>
  <c r="W925" i="41"/>
  <c r="X925" i="41"/>
  <c r="P926" i="41"/>
  <c r="U178" i="41"/>
  <c r="V178" i="41"/>
  <c r="O179" i="41" s="1"/>
  <c r="Q179" i="41"/>
  <c r="Q180" i="41" s="1"/>
  <c r="S925" i="41"/>
  <c r="I925" i="41" s="1"/>
  <c r="O926" i="41"/>
  <c r="AB924" i="41"/>
  <c r="H925" i="41" l="1"/>
  <c r="G925" i="41" s="1"/>
  <c r="U926" i="41"/>
  <c r="S926" i="41" s="1"/>
  <c r="Q927" i="41"/>
  <c r="V926" i="41"/>
  <c r="U180" i="41"/>
  <c r="Q181" i="41"/>
  <c r="X926" i="41"/>
  <c r="P927" i="41"/>
  <c r="W926" i="41"/>
  <c r="W179" i="41"/>
  <c r="X179" i="41"/>
  <c r="P180" i="41"/>
  <c r="V179" i="41"/>
  <c r="V180" i="41" s="1"/>
  <c r="AC177" i="41"/>
  <c r="AE237" i="41" s="1" a="1"/>
  <c r="AE237" i="41" s="1"/>
  <c r="AD178" i="41"/>
  <c r="AD177" i="41"/>
  <c r="AC178" i="41"/>
  <c r="AE238" i="41" s="1" a="1"/>
  <c r="AE238" i="41" s="1"/>
  <c r="S178" i="41"/>
  <c r="S179" i="41" s="1"/>
  <c r="I179" i="41" s="1"/>
  <c r="R927" i="41"/>
  <c r="AE924" i="41"/>
  <c r="T924" i="41"/>
  <c r="AB179" i="41" a="1"/>
  <c r="AB179" i="41" s="1"/>
  <c r="I926" i="41" l="1"/>
  <c r="H926" i="41"/>
  <c r="G926" i="41" s="1"/>
  <c r="R181" i="41"/>
  <c r="AB180" i="41" a="1"/>
  <c r="AB180" i="41" s="1"/>
  <c r="H179" i="41"/>
  <c r="G179" i="41" s="1"/>
  <c r="AD179" i="41"/>
  <c r="M179" i="41"/>
  <c r="L179" i="41" s="1"/>
  <c r="O927" i="41"/>
  <c r="AC179" i="41"/>
  <c r="AE239" i="41" s="1" a="1"/>
  <c r="AE239" i="41" s="1"/>
  <c r="Q928" i="41"/>
  <c r="U927" i="41"/>
  <c r="AC926" i="41" s="1"/>
  <c r="AE926" i="41" s="1"/>
  <c r="O180" i="41"/>
  <c r="O181" i="41" s="1"/>
  <c r="AD925" i="41"/>
  <c r="AB925" i="41"/>
  <c r="AC925" i="41"/>
  <c r="I178" i="41"/>
  <c r="H178" i="41"/>
  <c r="G178" i="41" s="1"/>
  <c r="V927" i="41"/>
  <c r="AG238" i="41"/>
  <c r="AK238" i="41"/>
  <c r="AH238" i="41"/>
  <c r="AI238" i="41"/>
  <c r="AF238" i="41"/>
  <c r="AJ238" i="41"/>
  <c r="R928" i="41"/>
  <c r="S180" i="41"/>
  <c r="I180" i="41" s="1"/>
  <c r="AK237" i="41"/>
  <c r="AI237" i="41"/>
  <c r="AH237" i="41"/>
  <c r="AJ237" i="41"/>
  <c r="AG237" i="41"/>
  <c r="AF237" i="41"/>
  <c r="AF924" i="41"/>
  <c r="AH924" i="41"/>
  <c r="AK924" i="41"/>
  <c r="AJ924" i="41"/>
  <c r="AI924" i="41"/>
  <c r="AG924" i="41"/>
  <c r="S927" i="41" l="1"/>
  <c r="I927" i="41" s="1"/>
  <c r="O928" i="41"/>
  <c r="W928" i="41" s="1"/>
  <c r="AB926" i="41"/>
  <c r="AD926" i="41"/>
  <c r="AE925" i="41"/>
  <c r="T925" i="41"/>
  <c r="T926" i="41"/>
  <c r="W927" i="41"/>
  <c r="P928" i="41"/>
  <c r="X927" i="41"/>
  <c r="W181" i="41"/>
  <c r="X181" i="41"/>
  <c r="H180" i="41"/>
  <c r="G180" i="41" s="1"/>
  <c r="P181" i="41"/>
  <c r="P182" i="41" s="1"/>
  <c r="X180" i="41"/>
  <c r="W180" i="41"/>
  <c r="AK926" i="41"/>
  <c r="AI926" i="41"/>
  <c r="AG926" i="41"/>
  <c r="AH926" i="41"/>
  <c r="AF926" i="41"/>
  <c r="AJ926" i="41"/>
  <c r="U928" i="41"/>
  <c r="AC927" i="41" s="1"/>
  <c r="AE927" i="41" s="1"/>
  <c r="Q929" i="41"/>
  <c r="V928" i="41"/>
  <c r="O929" i="41" s="1"/>
  <c r="Q182" i="41"/>
  <c r="U181" i="41"/>
  <c r="V181" i="41"/>
  <c r="O182" i="41" s="1"/>
  <c r="AJ239" i="41"/>
  <c r="AH239" i="41"/>
  <c r="AF239" i="41"/>
  <c r="AG239" i="41"/>
  <c r="AI239" i="41"/>
  <c r="AK239" i="41"/>
  <c r="M924" i="41"/>
  <c r="L924" i="41" s="1"/>
  <c r="H927" i="41" l="1"/>
  <c r="G927" i="41" s="1"/>
  <c r="X928" i="41"/>
  <c r="S928" i="41"/>
  <c r="M926" i="41"/>
  <c r="W929" i="41"/>
  <c r="X929" i="41"/>
  <c r="M180" i="41"/>
  <c r="L180" i="41" s="1"/>
  <c r="R182" i="41"/>
  <c r="R183" i="41" s="1"/>
  <c r="AB182" i="41" a="1"/>
  <c r="AB182" i="41" s="1"/>
  <c r="AB181" i="41" a="1"/>
  <c r="AB181" i="41" s="1"/>
  <c r="M181" i="41" s="1"/>
  <c r="R929" i="41"/>
  <c r="AF927" i="41"/>
  <c r="AK927" i="41"/>
  <c r="AG927" i="41"/>
  <c r="AI927" i="41"/>
  <c r="AJ927" i="41"/>
  <c r="AH927" i="41"/>
  <c r="P929" i="41"/>
  <c r="I928" i="41"/>
  <c r="AB927" i="41"/>
  <c r="W182" i="41"/>
  <c r="X182" i="41"/>
  <c r="P183" i="41"/>
  <c r="AC180" i="41"/>
  <c r="AE240" i="41" s="1" a="1"/>
  <c r="AE240" i="41" s="1"/>
  <c r="S181" i="41"/>
  <c r="I181" i="41" s="1"/>
  <c r="AD180" i="41"/>
  <c r="H928" i="41"/>
  <c r="G928" i="41" s="1"/>
  <c r="T927" i="41"/>
  <c r="AD927" i="41"/>
  <c r="AJ925" i="41"/>
  <c r="AF925" i="41"/>
  <c r="AH925" i="41"/>
  <c r="AI925" i="41"/>
  <c r="AK925" i="41"/>
  <c r="AG925" i="41"/>
  <c r="L181" i="41" l="1"/>
  <c r="M927" i="41"/>
  <c r="M182" i="41"/>
  <c r="AI240" i="41"/>
  <c r="AH240" i="41"/>
  <c r="AF240" i="41"/>
  <c r="AK240" i="41"/>
  <c r="AJ240" i="41"/>
  <c r="AG240" i="41"/>
  <c r="U929" i="41"/>
  <c r="S929" i="41" s="1"/>
  <c r="I929" i="41" s="1"/>
  <c r="Q930" i="41"/>
  <c r="V929" i="41"/>
  <c r="R184" i="41"/>
  <c r="R930" i="41"/>
  <c r="V930" i="41" s="1"/>
  <c r="U182" i="41"/>
  <c r="Q183" i="41"/>
  <c r="Q184" i="41" s="1"/>
  <c r="V182" i="41"/>
  <c r="O183" i="41" s="1"/>
  <c r="P930" i="41"/>
  <c r="M925" i="41"/>
  <c r="L925" i="41" s="1"/>
  <c r="L926" i="41" s="1"/>
  <c r="H181" i="41"/>
  <c r="G181" i="41" s="1"/>
  <c r="U183" i="41"/>
  <c r="L927" i="41" l="1"/>
  <c r="L182" i="41"/>
  <c r="H929" i="41"/>
  <c r="G929" i="41" s="1"/>
  <c r="O930" i="41"/>
  <c r="O931" i="41" s="1"/>
  <c r="R931" i="41"/>
  <c r="V931" i="41" s="1"/>
  <c r="AB928" i="41"/>
  <c r="AD928" i="41"/>
  <c r="AC928" i="41"/>
  <c r="W183" i="41"/>
  <c r="X183" i="41"/>
  <c r="P184" i="41"/>
  <c r="V183" i="41"/>
  <c r="V184" i="41" s="1"/>
  <c r="AB183" i="41" a="1"/>
  <c r="AB183" i="41" s="1"/>
  <c r="AC182" i="41"/>
  <c r="AE242" i="41" s="1" a="1"/>
  <c r="AE242" i="41" s="1"/>
  <c r="AD182" i="41"/>
  <c r="S182" i="41"/>
  <c r="S183" i="41" s="1"/>
  <c r="I183" i="41" s="1"/>
  <c r="AC181" i="41"/>
  <c r="AE241" i="41" s="1" a="1"/>
  <c r="AE241" i="41" s="1"/>
  <c r="AD181" i="41"/>
  <c r="U930" i="41"/>
  <c r="AD929" i="41" s="1"/>
  <c r="Q931" i="41"/>
  <c r="U184" i="41"/>
  <c r="AC183" i="41" s="1"/>
  <c r="AE243" i="41" s="1" a="1"/>
  <c r="AE243" i="41" s="1"/>
  <c r="Q185" i="41"/>
  <c r="O184" i="41" l="1"/>
  <c r="S184" i="41"/>
  <c r="AB929" i="41"/>
  <c r="O932" i="41"/>
  <c r="AC929" i="41"/>
  <c r="AE929" i="41" s="1"/>
  <c r="W930" i="41"/>
  <c r="X930" i="41"/>
  <c r="P931" i="41"/>
  <c r="AD183" i="41"/>
  <c r="AH243" i="41"/>
  <c r="AG243" i="41"/>
  <c r="AF243" i="41"/>
  <c r="AK243" i="41"/>
  <c r="AJ243" i="41"/>
  <c r="AI243" i="41"/>
  <c r="W931" i="41"/>
  <c r="X931" i="41"/>
  <c r="S930" i="41"/>
  <c r="AI241" i="41"/>
  <c r="AF241" i="41"/>
  <c r="AG241" i="41"/>
  <c r="AK241" i="41"/>
  <c r="AJ241" i="41"/>
  <c r="AH241" i="41"/>
  <c r="H183" i="41"/>
  <c r="G183" i="41" s="1"/>
  <c r="U931" i="41"/>
  <c r="AC930" i="41" s="1"/>
  <c r="AE930" i="41" s="1"/>
  <c r="Q932" i="41"/>
  <c r="I182" i="41"/>
  <c r="H182" i="41"/>
  <c r="G182" i="41" s="1"/>
  <c r="M183" i="41"/>
  <c r="L183" i="41" s="1"/>
  <c r="AE928" i="41"/>
  <c r="T928" i="41"/>
  <c r="AK242" i="41"/>
  <c r="AI242" i="41"/>
  <c r="AH242" i="41"/>
  <c r="AF242" i="41"/>
  <c r="AJ242" i="41"/>
  <c r="AG242" i="41"/>
  <c r="R185" i="41"/>
  <c r="AB184" i="41" a="1"/>
  <c r="AB184" i="41" s="1"/>
  <c r="H184" i="41" l="1"/>
  <c r="G184" i="41" s="1"/>
  <c r="AB930" i="41"/>
  <c r="S931" i="41"/>
  <c r="P185" i="41"/>
  <c r="AB185" i="41" s="1" a="1"/>
  <c r="AB185" i="41" s="1"/>
  <c r="X184" i="41"/>
  <c r="O185" i="41"/>
  <c r="W185" i="41" s="1"/>
  <c r="W184" i="41"/>
  <c r="AD930" i="41"/>
  <c r="I184" i="41"/>
  <c r="H930" i="41"/>
  <c r="G930" i="41" s="1"/>
  <c r="T929" i="41"/>
  <c r="R932" i="41"/>
  <c r="AF929" i="41"/>
  <c r="AI929" i="41"/>
  <c r="AK929" i="41"/>
  <c r="AJ929" i="41"/>
  <c r="AH929" i="41"/>
  <c r="AG929" i="41"/>
  <c r="I930" i="41"/>
  <c r="R186" i="41"/>
  <c r="AH928" i="41"/>
  <c r="AF928" i="41"/>
  <c r="AI928" i="41"/>
  <c r="AJ928" i="41"/>
  <c r="AK928" i="41"/>
  <c r="AG928" i="41"/>
  <c r="W932" i="41"/>
  <c r="X932" i="41"/>
  <c r="U185" i="41"/>
  <c r="Q186" i="41"/>
  <c r="V185" i="41"/>
  <c r="P932" i="41"/>
  <c r="P933" i="41" s="1"/>
  <c r="AF930" i="41"/>
  <c r="AK930" i="41"/>
  <c r="AI930" i="41"/>
  <c r="AG930" i="41"/>
  <c r="AJ930" i="41"/>
  <c r="AH930" i="41"/>
  <c r="I931" i="41"/>
  <c r="T930" i="41"/>
  <c r="H931" i="41"/>
  <c r="G931" i="41" s="1"/>
  <c r="O186" i="41" l="1"/>
  <c r="X185" i="41"/>
  <c r="M185" i="41" s="1"/>
  <c r="M184" i="41"/>
  <c r="L184" i="41" s="1"/>
  <c r="P186" i="41"/>
  <c r="P187" i="41" s="1"/>
  <c r="M929" i="41"/>
  <c r="M930" i="41"/>
  <c r="M928" i="41"/>
  <c r="L928" i="41" s="1"/>
  <c r="R933" i="41"/>
  <c r="R934" i="41" s="1"/>
  <c r="U186" i="41"/>
  <c r="AC185" i="41" s="1"/>
  <c r="AE245" i="41" s="1" a="1"/>
  <c r="AE245" i="41" s="1"/>
  <c r="Q187" i="41"/>
  <c r="U932" i="41"/>
  <c r="S932" i="41" s="1"/>
  <c r="H932" i="41" s="1"/>
  <c r="G932" i="41" s="1"/>
  <c r="Q933" i="41"/>
  <c r="V932" i="41"/>
  <c r="O933" i="41" s="1"/>
  <c r="W186" i="41"/>
  <c r="X186" i="41"/>
  <c r="AC184" i="41"/>
  <c r="AE244" i="41" s="1" a="1"/>
  <c r="AE244" i="41" s="1"/>
  <c r="AD184" i="41"/>
  <c r="V186" i="41"/>
  <c r="O187" i="41" s="1"/>
  <c r="S185" i="41"/>
  <c r="L185" i="41" l="1"/>
  <c r="AB186" i="41" a="1"/>
  <c r="AB186" i="41" s="1"/>
  <c r="M186" i="41" s="1"/>
  <c r="R187" i="41"/>
  <c r="U187" i="41" s="1"/>
  <c r="AD186" i="41" s="1"/>
  <c r="L929" i="41"/>
  <c r="L930" i="41" s="1"/>
  <c r="I932" i="41"/>
  <c r="AB187" i="41" a="1"/>
  <c r="AB187" i="41" s="1"/>
  <c r="AD185" i="41"/>
  <c r="W187" i="41"/>
  <c r="X187" i="41"/>
  <c r="P188" i="41"/>
  <c r="U934" i="41"/>
  <c r="I185" i="41"/>
  <c r="H185" i="41"/>
  <c r="G185" i="41" s="1"/>
  <c r="AK244" i="41"/>
  <c r="AG244" i="41"/>
  <c r="AI244" i="41"/>
  <c r="AF244" i="41"/>
  <c r="AH244" i="41"/>
  <c r="AJ244" i="41"/>
  <c r="AC931" i="41"/>
  <c r="AD931" i="41"/>
  <c r="AB931" i="41"/>
  <c r="V933" i="41"/>
  <c r="O934" i="41" s="1"/>
  <c r="AH245" i="41"/>
  <c r="AJ245" i="41"/>
  <c r="AG245" i="41"/>
  <c r="AF245" i="41"/>
  <c r="AK245" i="41"/>
  <c r="AI245" i="41"/>
  <c r="V934" i="41"/>
  <c r="U933" i="41"/>
  <c r="S933" i="41" s="1"/>
  <c r="H933" i="41" s="1"/>
  <c r="G933" i="41" s="1"/>
  <c r="Q934" i="41"/>
  <c r="Q935" i="41" s="1"/>
  <c r="W933" i="41"/>
  <c r="X933" i="41"/>
  <c r="P934" i="41"/>
  <c r="V187" i="41"/>
  <c r="O188" i="41" s="1"/>
  <c r="S186" i="41"/>
  <c r="R188" i="41"/>
  <c r="V188" i="41" s="1"/>
  <c r="L186" i="41" l="1"/>
  <c r="Q188" i="41"/>
  <c r="Q189" i="41" s="1"/>
  <c r="W188" i="41"/>
  <c r="X188" i="41"/>
  <c r="P189" i="41"/>
  <c r="AE931" i="41"/>
  <c r="T931" i="41"/>
  <c r="W934" i="41"/>
  <c r="X934" i="41"/>
  <c r="P935" i="41"/>
  <c r="I186" i="41"/>
  <c r="H186" i="41"/>
  <c r="G186" i="41" s="1"/>
  <c r="S187" i="41"/>
  <c r="R189" i="41"/>
  <c r="V189" i="41" s="1"/>
  <c r="AC933" i="41"/>
  <c r="AD933" i="41"/>
  <c r="AD932" i="41"/>
  <c r="AC932" i="41"/>
  <c r="R935" i="41"/>
  <c r="I933" i="41"/>
  <c r="AC186" i="41"/>
  <c r="AE246" i="41" s="1" a="1"/>
  <c r="AE246" i="41" s="1"/>
  <c r="AB932" i="41"/>
  <c r="U188" i="41"/>
  <c r="S934" i="41"/>
  <c r="H934" i="41" s="1"/>
  <c r="G934" i="41" s="1"/>
  <c r="O935" i="41"/>
  <c r="M187" i="41"/>
  <c r="AB933" i="41"/>
  <c r="L187" i="41" l="1"/>
  <c r="AB188" i="41" a="1"/>
  <c r="AB188" i="41" s="1"/>
  <c r="M188" i="41" s="1"/>
  <c r="O189" i="41"/>
  <c r="O190" i="41" s="1"/>
  <c r="AB189" i="41" a="1"/>
  <c r="AB189" i="41" s="1"/>
  <c r="S188" i="41"/>
  <c r="I188" i="41" s="1"/>
  <c r="R936" i="41"/>
  <c r="I934" i="41"/>
  <c r="AE933" i="41"/>
  <c r="T933" i="41"/>
  <c r="AG931" i="41"/>
  <c r="AJ931" i="41"/>
  <c r="AH931" i="41"/>
  <c r="AK931" i="41"/>
  <c r="AF931" i="41"/>
  <c r="AI931" i="41"/>
  <c r="AC187" i="41"/>
  <c r="AE247" i="41" s="1" a="1"/>
  <c r="AE247" i="41" s="1"/>
  <c r="AE932" i="41"/>
  <c r="T932" i="41"/>
  <c r="Q190" i="41"/>
  <c r="U189" i="41"/>
  <c r="AD188" i="41" s="1"/>
  <c r="AD187" i="41"/>
  <c r="I187" i="41"/>
  <c r="H187" i="41"/>
  <c r="G187" i="41" s="1"/>
  <c r="R190" i="41"/>
  <c r="AI246" i="41"/>
  <c r="AG246" i="41"/>
  <c r="AF246" i="41"/>
  <c r="AK246" i="41"/>
  <c r="AH246" i="41"/>
  <c r="AJ246" i="41"/>
  <c r="H188" i="41"/>
  <c r="G188" i="41" s="1"/>
  <c r="V936" i="41"/>
  <c r="U935" i="41"/>
  <c r="Q936" i="41"/>
  <c r="V935" i="41"/>
  <c r="O936" i="41" s="1"/>
  <c r="W935" i="41"/>
  <c r="X935" i="41"/>
  <c r="P936" i="41"/>
  <c r="L188" i="41" l="1"/>
  <c r="P190" i="41"/>
  <c r="R191" i="41" s="1"/>
  <c r="V191" i="41" s="1"/>
  <c r="X189" i="41"/>
  <c r="W189" i="41"/>
  <c r="AC188" i="41"/>
  <c r="AE248" i="41" s="1" a="1"/>
  <c r="AE248" i="41" s="1"/>
  <c r="AF248" i="41" s="1"/>
  <c r="W190" i="41"/>
  <c r="X190" i="41"/>
  <c r="AK932" i="41"/>
  <c r="AG932" i="41"/>
  <c r="AF932" i="41"/>
  <c r="AH932" i="41"/>
  <c r="AI932" i="41"/>
  <c r="AJ932" i="41"/>
  <c r="AJ247" i="41"/>
  <c r="AG247" i="41"/>
  <c r="AI247" i="41"/>
  <c r="AH247" i="41"/>
  <c r="AF247" i="41"/>
  <c r="AK247" i="41"/>
  <c r="AI933" i="41"/>
  <c r="AF933" i="41"/>
  <c r="AJ933" i="41"/>
  <c r="AK933" i="41"/>
  <c r="AH933" i="41"/>
  <c r="AG933" i="41"/>
  <c r="W936" i="41"/>
  <c r="X936" i="41"/>
  <c r="P937" i="41"/>
  <c r="AC934" i="41"/>
  <c r="AD934" i="41"/>
  <c r="AB934" i="41"/>
  <c r="U936" i="41"/>
  <c r="Q937" i="41"/>
  <c r="U190" i="41"/>
  <c r="AD189" i="41" s="1"/>
  <c r="Q191" i="41"/>
  <c r="O937" i="41"/>
  <c r="M931" i="41"/>
  <c r="L931" i="41" s="1"/>
  <c r="V190" i="41"/>
  <c r="O191" i="41" s="1"/>
  <c r="R937" i="41"/>
  <c r="V937" i="41" s="1"/>
  <c r="S189" i="41"/>
  <c r="S935" i="41"/>
  <c r="M189" i="41" l="1"/>
  <c r="L189" i="41" s="1"/>
  <c r="P191" i="41"/>
  <c r="P192" i="41" s="1"/>
  <c r="AB190" i="41" a="1"/>
  <c r="AB190" i="41" s="1"/>
  <c r="M190" i="41" s="1"/>
  <c r="S190" i="41"/>
  <c r="I190" i="41" s="1"/>
  <c r="AG248" i="41"/>
  <c r="AK248" i="41"/>
  <c r="AH248" i="41"/>
  <c r="AJ248" i="41"/>
  <c r="AI248" i="41"/>
  <c r="AC189" i="41"/>
  <c r="AE249" i="41" s="1" a="1"/>
  <c r="AE249" i="41" s="1"/>
  <c r="AI249" i="41" s="1"/>
  <c r="M932" i="41"/>
  <c r="L932" i="41" s="1"/>
  <c r="M933" i="41"/>
  <c r="W191" i="41"/>
  <c r="X191" i="41"/>
  <c r="W937" i="41"/>
  <c r="P938" i="41"/>
  <c r="X937" i="41"/>
  <c r="O938" i="41"/>
  <c r="R938" i="41"/>
  <c r="V938" i="41" s="1"/>
  <c r="AE934" i="41"/>
  <c r="T934" i="41"/>
  <c r="S936" i="41"/>
  <c r="I935" i="41"/>
  <c r="H935" i="41"/>
  <c r="G935" i="41" s="1"/>
  <c r="AB935" i="41"/>
  <c r="AD935" i="41"/>
  <c r="AC935" i="41"/>
  <c r="O192" i="41"/>
  <c r="I189" i="41"/>
  <c r="H189" i="41"/>
  <c r="G189" i="41" s="1"/>
  <c r="U191" i="41"/>
  <c r="AC190" i="41" s="1"/>
  <c r="AE250" i="41" s="1" a="1"/>
  <c r="AE250" i="41" s="1"/>
  <c r="Q192" i="41"/>
  <c r="U937" i="41"/>
  <c r="Q938" i="41"/>
  <c r="R192" i="41" l="1"/>
  <c r="V192" i="41" s="1"/>
  <c r="O193" i="41" s="1"/>
  <c r="H190" i="41"/>
  <c r="G190" i="41" s="1"/>
  <c r="L190" i="41"/>
  <c r="AB191" i="41" a="1"/>
  <c r="AB191" i="41" s="1"/>
  <c r="M191" i="41" s="1"/>
  <c r="AB192" i="41" a="1"/>
  <c r="AB192" i="41" s="1"/>
  <c r="AJ249" i="41"/>
  <c r="AH249" i="41"/>
  <c r="AK249" i="41"/>
  <c r="AG249" i="41"/>
  <c r="AF249" i="41"/>
  <c r="S937" i="41"/>
  <c r="I937" i="41" s="1"/>
  <c r="L933" i="41"/>
  <c r="W938" i="41"/>
  <c r="X938" i="41"/>
  <c r="P939" i="41"/>
  <c r="O939" i="41"/>
  <c r="AC936" i="41"/>
  <c r="AK250" i="41"/>
  <c r="AH250" i="41"/>
  <c r="AI250" i="41"/>
  <c r="AJ250" i="41"/>
  <c r="AF250" i="41"/>
  <c r="AG250" i="41"/>
  <c r="AD936" i="41"/>
  <c r="H936" i="41"/>
  <c r="G936" i="41" s="1"/>
  <c r="I936" i="41"/>
  <c r="R939" i="41"/>
  <c r="V939" i="41" s="1"/>
  <c r="AE935" i="41"/>
  <c r="T935" i="41"/>
  <c r="AG934" i="41"/>
  <c r="AJ934" i="41"/>
  <c r="AI934" i="41"/>
  <c r="AK934" i="41"/>
  <c r="AF934" i="41"/>
  <c r="AH934" i="41"/>
  <c r="AB936" i="41"/>
  <c r="S191" i="41"/>
  <c r="U938" i="41"/>
  <c r="Q939" i="41"/>
  <c r="AD190" i="41"/>
  <c r="W192" i="41"/>
  <c r="X192" i="41"/>
  <c r="P193" i="41"/>
  <c r="R193" i="41" l="1"/>
  <c r="V193" i="41" s="1"/>
  <c r="U192" i="41"/>
  <c r="Q193" i="41"/>
  <c r="O194" i="41" s="1"/>
  <c r="L191" i="41"/>
  <c r="S938" i="41"/>
  <c r="I938" i="41" s="1"/>
  <c r="H937" i="41"/>
  <c r="G937" i="41" s="1"/>
  <c r="S192" i="41"/>
  <c r="AC937" i="41"/>
  <c r="W939" i="41"/>
  <c r="X939" i="41"/>
  <c r="P940" i="41"/>
  <c r="U939" i="41"/>
  <c r="Q940" i="41"/>
  <c r="O940" i="41"/>
  <c r="I191" i="41"/>
  <c r="H191" i="41"/>
  <c r="G191" i="41" s="1"/>
  <c r="U193" i="41"/>
  <c r="R940" i="41"/>
  <c r="AD191" i="41"/>
  <c r="AK935" i="41"/>
  <c r="AF935" i="41"/>
  <c r="AG935" i="41"/>
  <c r="AH935" i="41"/>
  <c r="AJ935" i="41"/>
  <c r="AI935" i="41"/>
  <c r="AD937" i="41"/>
  <c r="R194" i="41"/>
  <c r="AB193" i="41" a="1"/>
  <c r="AB193" i="41" s="1"/>
  <c r="W193" i="41"/>
  <c r="X193" i="41"/>
  <c r="P194" i="41"/>
  <c r="AE936" i="41"/>
  <c r="T936" i="41"/>
  <c r="M934" i="41"/>
  <c r="L934" i="41" s="1"/>
  <c r="M192" i="41"/>
  <c r="AB937" i="41"/>
  <c r="AC191" i="41"/>
  <c r="AE251" i="41" s="1" a="1"/>
  <c r="AE251" i="41" s="1"/>
  <c r="Q194" i="41" l="1"/>
  <c r="S939" i="41"/>
  <c r="I939" i="41" s="1"/>
  <c r="L192" i="41"/>
  <c r="H938" i="41"/>
  <c r="G938" i="41" s="1"/>
  <c r="AD938" i="41"/>
  <c r="AB938" i="41"/>
  <c r="M935" i="41"/>
  <c r="L935" i="41" s="1"/>
  <c r="AC938" i="41"/>
  <c r="T938" i="41" s="1"/>
  <c r="S193" i="41"/>
  <c r="R941" i="41"/>
  <c r="R195" i="41"/>
  <c r="V195" i="41" s="1"/>
  <c r="W940" i="41"/>
  <c r="P941" i="41"/>
  <c r="X940" i="41"/>
  <c r="AE937" i="41"/>
  <c r="T937" i="41"/>
  <c r="I192" i="41"/>
  <c r="H192" i="41"/>
  <c r="G192" i="41" s="1"/>
  <c r="AG251" i="41"/>
  <c r="AF251" i="41"/>
  <c r="AH251" i="41"/>
  <c r="AI251" i="41"/>
  <c r="AK251" i="41"/>
  <c r="AJ251" i="41"/>
  <c r="U194" i="41"/>
  <c r="S194" i="41" s="1"/>
  <c r="Q195" i="41"/>
  <c r="U940" i="41"/>
  <c r="Q941" i="41"/>
  <c r="V940" i="41"/>
  <c r="O941" i="41" s="1"/>
  <c r="AD192" i="41"/>
  <c r="AB194" i="41" a="1"/>
  <c r="AB194" i="41" s="1"/>
  <c r="AC192" i="41"/>
  <c r="AE252" i="41" s="1" a="1"/>
  <c r="AE252" i="41" s="1"/>
  <c r="AK936" i="41"/>
  <c r="AF936" i="41"/>
  <c r="AG936" i="41"/>
  <c r="AH936" i="41"/>
  <c r="AJ936" i="41"/>
  <c r="AI936" i="41"/>
  <c r="M193" i="41"/>
  <c r="V194" i="41"/>
  <c r="O195" i="41" s="1"/>
  <c r="W194" i="41"/>
  <c r="X194" i="41"/>
  <c r="P195" i="41"/>
  <c r="H939" i="41" l="1"/>
  <c r="G939" i="41" s="1"/>
  <c r="V941" i="41"/>
  <c r="L193" i="41"/>
  <c r="AE938" i="41"/>
  <c r="AJ938" i="41" s="1"/>
  <c r="AB195" i="41" a="1"/>
  <c r="AB195" i="41" s="1"/>
  <c r="I194" i="41"/>
  <c r="H194" i="41"/>
  <c r="G194" i="41" s="1"/>
  <c r="W195" i="41"/>
  <c r="X195" i="41"/>
  <c r="P196" i="41"/>
  <c r="W941" i="41"/>
  <c r="X941" i="41"/>
  <c r="P942" i="41"/>
  <c r="Q942" i="41"/>
  <c r="U941" i="41"/>
  <c r="AD940" i="41" s="1"/>
  <c r="AJ937" i="41"/>
  <c r="AI937" i="41"/>
  <c r="AH937" i="41"/>
  <c r="AG937" i="41"/>
  <c r="AF937" i="41"/>
  <c r="AK937" i="41"/>
  <c r="M194" i="41"/>
  <c r="I193" i="41"/>
  <c r="H193" i="41"/>
  <c r="G193" i="41" s="1"/>
  <c r="O942" i="41"/>
  <c r="AH252" i="41"/>
  <c r="AJ252" i="41"/>
  <c r="AF252" i="41"/>
  <c r="AG252" i="41"/>
  <c r="AI252" i="41"/>
  <c r="AK252" i="41"/>
  <c r="AC939" i="41"/>
  <c r="R942" i="41"/>
  <c r="AC193" i="41"/>
  <c r="AE253" i="41" s="1" a="1"/>
  <c r="AE253" i="41" s="1"/>
  <c r="M936" i="41"/>
  <c r="L936" i="41" s="1"/>
  <c r="O196" i="41"/>
  <c r="AD939" i="41"/>
  <c r="S940" i="41"/>
  <c r="AD193" i="41"/>
  <c r="AB939" i="41"/>
  <c r="R196" i="41"/>
  <c r="V196" i="41" s="1"/>
  <c r="U195" i="41"/>
  <c r="Q196" i="41"/>
  <c r="L194" i="41" l="1"/>
  <c r="AK938" i="41"/>
  <c r="AG938" i="41"/>
  <c r="AH938" i="41"/>
  <c r="AI938" i="41"/>
  <c r="AF938" i="41"/>
  <c r="M937" i="41"/>
  <c r="L937" i="41" s="1"/>
  <c r="AC940" i="41"/>
  <c r="AE940" i="41" s="1"/>
  <c r="AB940" i="41"/>
  <c r="S941" i="41"/>
  <c r="H941" i="41" s="1"/>
  <c r="G941" i="41" s="1"/>
  <c r="U942" i="41"/>
  <c r="AD941" i="41" s="1"/>
  <c r="Q943" i="41"/>
  <c r="V942" i="41"/>
  <c r="O943" i="41" s="1"/>
  <c r="O197" i="41"/>
  <c r="R943" i="41"/>
  <c r="U196" i="41"/>
  <c r="Q197" i="41"/>
  <c r="AB196" i="41" a="1"/>
  <c r="AB196" i="41" s="1"/>
  <c r="AD194" i="41"/>
  <c r="AE939" i="41"/>
  <c r="T939" i="41"/>
  <c r="R197" i="41"/>
  <c r="S195" i="41"/>
  <c r="H940" i="41"/>
  <c r="G940" i="41" s="1"/>
  <c r="I940" i="41"/>
  <c r="AC194" i="41"/>
  <c r="AE254" i="41" s="1" a="1"/>
  <c r="AE254" i="41" s="1"/>
  <c r="W196" i="41"/>
  <c r="X196" i="41"/>
  <c r="P197" i="41"/>
  <c r="AK253" i="41"/>
  <c r="AJ253" i="41"/>
  <c r="AF253" i="41"/>
  <c r="AG253" i="41"/>
  <c r="AI253" i="41"/>
  <c r="AH253" i="41"/>
  <c r="W942" i="41"/>
  <c r="X942" i="41"/>
  <c r="P943" i="41"/>
  <c r="M195" i="41"/>
  <c r="L195" i="41" l="1"/>
  <c r="M938" i="41"/>
  <c r="L938" i="41" s="1"/>
  <c r="AC941" i="41"/>
  <c r="AE941" i="41" s="1"/>
  <c r="I941" i="41"/>
  <c r="T940" i="41"/>
  <c r="S942" i="41"/>
  <c r="I942" i="41" s="1"/>
  <c r="AB197" i="41" a="1"/>
  <c r="AB197" i="41" s="1"/>
  <c r="W943" i="41"/>
  <c r="X943" i="41"/>
  <c r="P944" i="41"/>
  <c r="U943" i="41"/>
  <c r="AD942" i="41" s="1"/>
  <c r="Q944" i="41"/>
  <c r="U197" i="41"/>
  <c r="Q198" i="41"/>
  <c r="V197" i="41"/>
  <c r="O198" i="41" s="1"/>
  <c r="M196" i="41"/>
  <c r="AD195" i="41"/>
  <c r="S196" i="41"/>
  <c r="R198" i="41"/>
  <c r="W197" i="41"/>
  <c r="X197" i="41"/>
  <c r="P198" i="41"/>
  <c r="AH939" i="41"/>
  <c r="AF939" i="41"/>
  <c r="AK939" i="41"/>
  <c r="AG939" i="41"/>
  <c r="AJ939" i="41"/>
  <c r="AI939" i="41"/>
  <c r="AB941" i="41"/>
  <c r="AG254" i="41"/>
  <c r="AH254" i="41"/>
  <c r="AF254" i="41"/>
  <c r="AI254" i="41"/>
  <c r="AK254" i="41"/>
  <c r="AJ254" i="41"/>
  <c r="AC195" i="41"/>
  <c r="AE255" i="41" s="1" a="1"/>
  <c r="AE255" i="41" s="1"/>
  <c r="AF940" i="41"/>
  <c r="AH940" i="41"/>
  <c r="AG940" i="41"/>
  <c r="AJ940" i="41"/>
  <c r="AI940" i="41"/>
  <c r="AK940" i="41"/>
  <c r="V943" i="41"/>
  <c r="O944" i="41" s="1"/>
  <c r="R944" i="41"/>
  <c r="V944" i="41" s="1"/>
  <c r="I195" i="41"/>
  <c r="H195" i="41"/>
  <c r="G195" i="41" s="1"/>
  <c r="L196" i="41" l="1"/>
  <c r="T941" i="41"/>
  <c r="H942" i="41"/>
  <c r="G942" i="41" s="1"/>
  <c r="AC942" i="41"/>
  <c r="T942" i="41" s="1"/>
  <c r="AB942" i="41"/>
  <c r="M197" i="41"/>
  <c r="M940" i="41"/>
  <c r="W944" i="41"/>
  <c r="P945" i="41"/>
  <c r="X944" i="41"/>
  <c r="O945" i="41"/>
  <c r="R199" i="41"/>
  <c r="V199" i="41" s="1"/>
  <c r="U198" i="41"/>
  <c r="AC197" i="41" s="1"/>
  <c r="AE257" i="41" s="1" a="1"/>
  <c r="AE257" i="41" s="1"/>
  <c r="Q199" i="41"/>
  <c r="AB198" i="41" a="1"/>
  <c r="AB198" i="41" s="1"/>
  <c r="R945" i="41"/>
  <c r="I196" i="41"/>
  <c r="H196" i="41"/>
  <c r="G196" i="41" s="1"/>
  <c r="M939" i="41"/>
  <c r="L939" i="41" s="1"/>
  <c r="AG255" i="41"/>
  <c r="AH255" i="41"/>
  <c r="AJ255" i="41"/>
  <c r="AK255" i="41"/>
  <c r="AF255" i="41"/>
  <c r="AI255" i="41"/>
  <c r="AG941" i="41"/>
  <c r="AK941" i="41"/>
  <c r="AH941" i="41"/>
  <c r="AF941" i="41"/>
  <c r="AJ941" i="41"/>
  <c r="AI941" i="41"/>
  <c r="AD196" i="41"/>
  <c r="U944" i="41"/>
  <c r="AB943" i="41" s="1"/>
  <c r="Q945" i="41"/>
  <c r="S943" i="41"/>
  <c r="AC196" i="41"/>
  <c r="AE256" i="41" s="1" a="1"/>
  <c r="AE256" i="41" s="1"/>
  <c r="W198" i="41"/>
  <c r="X198" i="41"/>
  <c r="P199" i="41"/>
  <c r="S197" i="41"/>
  <c r="V198" i="41"/>
  <c r="O199" i="41" s="1"/>
  <c r="L197" i="41" l="1"/>
  <c r="AE942" i="41"/>
  <c r="AG942" i="41" s="1"/>
  <c r="AB199" i="41" a="1"/>
  <c r="AB199" i="41" s="1"/>
  <c r="S944" i="41"/>
  <c r="L940" i="41"/>
  <c r="AD197" i="41"/>
  <c r="S198" i="41"/>
  <c r="I198" i="41" s="1"/>
  <c r="M941" i="41"/>
  <c r="AI257" i="41"/>
  <c r="AF257" i="41"/>
  <c r="AK257" i="41"/>
  <c r="AJ257" i="41"/>
  <c r="AG257" i="41"/>
  <c r="AH257" i="41"/>
  <c r="I944" i="41"/>
  <c r="H944" i="41"/>
  <c r="G944" i="41" s="1"/>
  <c r="W945" i="41"/>
  <c r="P946" i="41"/>
  <c r="X945" i="41"/>
  <c r="AI256" i="41"/>
  <c r="AK256" i="41"/>
  <c r="AH256" i="41"/>
  <c r="AF256" i="41"/>
  <c r="AJ256" i="41"/>
  <c r="AG256" i="41"/>
  <c r="W199" i="41"/>
  <c r="X199" i="41"/>
  <c r="P200" i="41"/>
  <c r="O200" i="41"/>
  <c r="U945" i="41"/>
  <c r="AC944" i="41" s="1"/>
  <c r="Q946" i="41"/>
  <c r="I943" i="41"/>
  <c r="H943" i="41"/>
  <c r="G943" i="41" s="1"/>
  <c r="V945" i="41"/>
  <c r="O946" i="41" s="1"/>
  <c r="U199" i="41"/>
  <c r="Q200" i="41"/>
  <c r="AD943" i="41"/>
  <c r="R946" i="41"/>
  <c r="I197" i="41"/>
  <c r="H197" i="41"/>
  <c r="G197" i="41" s="1"/>
  <c r="AC943" i="41"/>
  <c r="R200" i="41"/>
  <c r="V200" i="41" s="1"/>
  <c r="M198" i="41"/>
  <c r="L198" i="41" l="1"/>
  <c r="AK942" i="41"/>
  <c r="AF942" i="41"/>
  <c r="AH942" i="41"/>
  <c r="AJ942" i="41"/>
  <c r="AI942" i="41"/>
  <c r="H198" i="41"/>
  <c r="G198" i="41" s="1"/>
  <c r="L941" i="41"/>
  <c r="S945" i="41"/>
  <c r="I945" i="41" s="1"/>
  <c r="AE944" i="41"/>
  <c r="T944" i="41"/>
  <c r="W946" i="41"/>
  <c r="X946" i="41"/>
  <c r="P947" i="41"/>
  <c r="O201" i="41"/>
  <c r="M199" i="41"/>
  <c r="AC198" i="41"/>
  <c r="AE258" i="41" s="1" a="1"/>
  <c r="AE258" i="41" s="1"/>
  <c r="AD198" i="41"/>
  <c r="U946" i="41"/>
  <c r="AC945" i="41" s="1"/>
  <c r="Q947" i="41"/>
  <c r="AD944" i="41"/>
  <c r="S199" i="41"/>
  <c r="Q201" i="41"/>
  <c r="U200" i="41"/>
  <c r="AB200" i="41" a="1"/>
  <c r="AB200" i="41" s="1"/>
  <c r="AE943" i="41"/>
  <c r="T943" i="41"/>
  <c r="R947" i="41"/>
  <c r="AB944" i="41"/>
  <c r="V946" i="41"/>
  <c r="O947" i="41" s="1"/>
  <c r="W200" i="41"/>
  <c r="X200" i="41"/>
  <c r="P201" i="41"/>
  <c r="R201" i="41"/>
  <c r="V201" i="41" s="1"/>
  <c r="L199" i="41" l="1"/>
  <c r="M942" i="41"/>
  <c r="L942" i="41" s="1"/>
  <c r="AD945" i="41"/>
  <c r="H945" i="41"/>
  <c r="G945" i="41" s="1"/>
  <c r="S200" i="41"/>
  <c r="H200" i="41" s="1"/>
  <c r="G200" i="41" s="1"/>
  <c r="AB945" i="41"/>
  <c r="AE945" i="41"/>
  <c r="T945" i="41"/>
  <c r="R948" i="41"/>
  <c r="U947" i="41"/>
  <c r="Q948" i="41"/>
  <c r="AC199" i="41"/>
  <c r="AE259" i="41" s="1" a="1"/>
  <c r="AE259" i="41" s="1"/>
  <c r="I199" i="41"/>
  <c r="H199" i="41"/>
  <c r="G199" i="41" s="1"/>
  <c r="U201" i="41"/>
  <c r="AC200" i="41" s="1"/>
  <c r="AE260" i="41" s="1" a="1"/>
  <c r="AE260" i="41" s="1"/>
  <c r="Q202" i="41"/>
  <c r="R202" i="41"/>
  <c r="O202" i="41"/>
  <c r="AB201" i="41" a="1"/>
  <c r="AB201" i="41" s="1"/>
  <c r="V947" i="41"/>
  <c r="O948" i="41" s="1"/>
  <c r="S946" i="41"/>
  <c r="AG943" i="41"/>
  <c r="AI943" i="41"/>
  <c r="AJ943" i="41"/>
  <c r="AH943" i="41"/>
  <c r="AK943" i="41"/>
  <c r="AF943" i="41"/>
  <c r="W201" i="41"/>
  <c r="X201" i="41"/>
  <c r="P202" i="41"/>
  <c r="W947" i="41"/>
  <c r="X947" i="41"/>
  <c r="P948" i="41"/>
  <c r="AJ258" i="41"/>
  <c r="AH258" i="41"/>
  <c r="AF258" i="41"/>
  <c r="AK258" i="41"/>
  <c r="AI258" i="41"/>
  <c r="AG258" i="41"/>
  <c r="M200" i="41"/>
  <c r="AD199" i="41"/>
  <c r="AK944" i="41"/>
  <c r="AH944" i="41"/>
  <c r="AG944" i="41"/>
  <c r="AF944" i="41"/>
  <c r="AI944" i="41"/>
  <c r="AJ944" i="41"/>
  <c r="L200" i="41" l="1"/>
  <c r="I200" i="41"/>
  <c r="V948" i="41"/>
  <c r="AD200" i="41"/>
  <c r="M944" i="41"/>
  <c r="AB202" i="41" a="1"/>
  <c r="AB202" i="41" s="1"/>
  <c r="M943" i="41"/>
  <c r="L943" i="41" s="1"/>
  <c r="M201" i="41"/>
  <c r="U202" i="41"/>
  <c r="AC201" i="41" s="1"/>
  <c r="AE261" i="41" s="1" a="1"/>
  <c r="AE261" i="41" s="1"/>
  <c r="Q203" i="41"/>
  <c r="AB946" i="41"/>
  <c r="U948" i="41"/>
  <c r="AD947" i="41" s="1"/>
  <c r="Q949" i="41"/>
  <c r="R949" i="41"/>
  <c r="H946" i="41"/>
  <c r="G946" i="41" s="1"/>
  <c r="I946" i="41"/>
  <c r="AH259" i="41"/>
  <c r="AJ259" i="41"/>
  <c r="AK259" i="41"/>
  <c r="AI259" i="41"/>
  <c r="AF259" i="41"/>
  <c r="AG259" i="41"/>
  <c r="AH945" i="41"/>
  <c r="AJ945" i="41"/>
  <c r="AK945" i="41"/>
  <c r="AG945" i="41"/>
  <c r="AI945" i="41"/>
  <c r="AF945" i="41"/>
  <c r="V202" i="41"/>
  <c r="O203" i="41" s="1"/>
  <c r="S947" i="41"/>
  <c r="R203" i="41"/>
  <c r="V203" i="41" s="1"/>
  <c r="AC946" i="41"/>
  <c r="AK260" i="41"/>
  <c r="AI260" i="41"/>
  <c r="AH260" i="41"/>
  <c r="AF260" i="41"/>
  <c r="AG260" i="41"/>
  <c r="AJ260" i="41"/>
  <c r="W202" i="41"/>
  <c r="P203" i="41"/>
  <c r="X202" i="41"/>
  <c r="AD946" i="41"/>
  <c r="W948" i="41"/>
  <c r="P949" i="41"/>
  <c r="X948" i="41"/>
  <c r="S201" i="41"/>
  <c r="O949" i="41"/>
  <c r="L201" i="41" l="1"/>
  <c r="S202" i="41"/>
  <c r="I202" i="41" s="1"/>
  <c r="AB203" i="41" a="1"/>
  <c r="AB203" i="41" s="1"/>
  <c r="L944" i="41"/>
  <c r="AB947" i="41"/>
  <c r="S948" i="41"/>
  <c r="H948" i="41" s="1"/>
  <c r="G948" i="41" s="1"/>
  <c r="AC947" i="41"/>
  <c r="T947" i="41" s="1"/>
  <c r="M945" i="41"/>
  <c r="W203" i="41"/>
  <c r="X203" i="41"/>
  <c r="P204" i="41"/>
  <c r="AF261" i="41"/>
  <c r="AH261" i="41"/>
  <c r="AJ261" i="41"/>
  <c r="AI261" i="41"/>
  <c r="AG261" i="41"/>
  <c r="AK261" i="41"/>
  <c r="W949" i="41"/>
  <c r="X949" i="41"/>
  <c r="P950" i="41"/>
  <c r="M202" i="41"/>
  <c r="O950" i="41"/>
  <c r="O204" i="41"/>
  <c r="U949" i="41"/>
  <c r="Q950" i="41"/>
  <c r="R950" i="41"/>
  <c r="V949" i="41"/>
  <c r="R204" i="41"/>
  <c r="U203" i="41"/>
  <c r="AC202" i="41" s="1"/>
  <c r="AE262" i="41" s="1" a="1"/>
  <c r="AE262" i="41" s="1"/>
  <c r="Q204" i="41"/>
  <c r="I947" i="41"/>
  <c r="H947" i="41"/>
  <c r="G947" i="41" s="1"/>
  <c r="I201" i="41"/>
  <c r="H201" i="41"/>
  <c r="G201" i="41" s="1"/>
  <c r="AE946" i="41"/>
  <c r="T946" i="41"/>
  <c r="AD201" i="41"/>
  <c r="L202" i="41" l="1"/>
  <c r="S949" i="41"/>
  <c r="H949" i="41" s="1"/>
  <c r="G949" i="41" s="1"/>
  <c r="H202" i="41"/>
  <c r="G202" i="41" s="1"/>
  <c r="L945" i="41"/>
  <c r="AE947" i="41"/>
  <c r="AF947" i="41" s="1"/>
  <c r="AB204" i="41" a="1"/>
  <c r="AB204" i="41" s="1"/>
  <c r="I948" i="41"/>
  <c r="AD948" i="41"/>
  <c r="S203" i="41"/>
  <c r="I203" i="41" s="1"/>
  <c r="AD202" i="41"/>
  <c r="AJ946" i="41"/>
  <c r="AF946" i="41"/>
  <c r="AK946" i="41"/>
  <c r="AH946" i="41"/>
  <c r="AI946" i="41"/>
  <c r="AG946" i="41"/>
  <c r="W950" i="41"/>
  <c r="X950" i="41"/>
  <c r="P951" i="41"/>
  <c r="W204" i="41"/>
  <c r="P205" i="41"/>
  <c r="X204" i="41"/>
  <c r="AG262" i="41"/>
  <c r="AK262" i="41"/>
  <c r="AJ262" i="41"/>
  <c r="AH262" i="41"/>
  <c r="AF262" i="41"/>
  <c r="AI262" i="41"/>
  <c r="R205" i="41"/>
  <c r="U204" i="41"/>
  <c r="Q205" i="41"/>
  <c r="Q951" i="41"/>
  <c r="U950" i="41"/>
  <c r="AD949" i="41" s="1"/>
  <c r="R951" i="41"/>
  <c r="V204" i="41"/>
  <c r="O205" i="41" s="1"/>
  <c r="AB948" i="41"/>
  <c r="AC948" i="41"/>
  <c r="V950" i="41"/>
  <c r="O951" i="41" s="1"/>
  <c r="M203" i="41"/>
  <c r="AK947" i="41" l="1"/>
  <c r="L203" i="41"/>
  <c r="AJ947" i="41"/>
  <c r="I949" i="41"/>
  <c r="V205" i="41"/>
  <c r="O206" i="41" s="1"/>
  <c r="S204" i="41"/>
  <c r="H204" i="41" s="1"/>
  <c r="G204" i="41" s="1"/>
  <c r="V951" i="41"/>
  <c r="O952" i="41" s="1"/>
  <c r="AH947" i="41"/>
  <c r="AG947" i="41"/>
  <c r="H203" i="41"/>
  <c r="G203" i="41" s="1"/>
  <c r="AI947" i="41"/>
  <c r="AC203" i="41"/>
  <c r="AE263" i="41" s="1" a="1"/>
  <c r="AE263" i="41" s="1"/>
  <c r="AG263" i="41" s="1"/>
  <c r="AD203" i="41"/>
  <c r="S950" i="41"/>
  <c r="W205" i="41"/>
  <c r="X205" i="41"/>
  <c r="P206" i="41"/>
  <c r="W951" i="41"/>
  <c r="X951" i="41"/>
  <c r="P952" i="41"/>
  <c r="R952" i="41"/>
  <c r="U205" i="41"/>
  <c r="S205" i="41" s="1"/>
  <c r="I205" i="41" s="1"/>
  <c r="Q206" i="41"/>
  <c r="AB949" i="41"/>
  <c r="AB205" i="41" a="1"/>
  <c r="AB205" i="41" s="1"/>
  <c r="M946" i="41"/>
  <c r="L946" i="41" s="1"/>
  <c r="AE948" i="41"/>
  <c r="T948" i="41"/>
  <c r="R206" i="41"/>
  <c r="AC949" i="41"/>
  <c r="U951" i="41"/>
  <c r="AC950" i="41" s="1"/>
  <c r="Q952" i="41"/>
  <c r="M204" i="41"/>
  <c r="V952" i="41" l="1"/>
  <c r="I204" i="41"/>
  <c r="L204" i="41"/>
  <c r="M947" i="41"/>
  <c r="L947" i="41" s="1"/>
  <c r="AF263" i="41"/>
  <c r="AB206" i="41" a="1"/>
  <c r="AB206" i="41" s="1"/>
  <c r="AI263" i="41"/>
  <c r="AH263" i="41"/>
  <c r="AJ263" i="41"/>
  <c r="AK263" i="41"/>
  <c r="AC204" i="41"/>
  <c r="AE264" i="41" s="1" a="1"/>
  <c r="AE264" i="41" s="1"/>
  <c r="AF264" i="41" s="1"/>
  <c r="AD204" i="41"/>
  <c r="I950" i="41"/>
  <c r="H950" i="41"/>
  <c r="G950" i="41" s="1"/>
  <c r="AE950" i="41"/>
  <c r="T950" i="41"/>
  <c r="R953" i="41"/>
  <c r="V953" i="41" s="1"/>
  <c r="R207" i="41"/>
  <c r="AE949" i="41"/>
  <c r="T949" i="41"/>
  <c r="U206" i="41"/>
  <c r="Q207" i="41"/>
  <c r="W952" i="41"/>
  <c r="X952" i="41"/>
  <c r="P953" i="41"/>
  <c r="H205" i="41"/>
  <c r="G205" i="41" s="1"/>
  <c r="U952" i="41"/>
  <c r="AB951" i="41" s="1"/>
  <c r="Q953" i="41"/>
  <c r="M205" i="41"/>
  <c r="O953" i="41"/>
  <c r="AB950" i="41"/>
  <c r="W206" i="41"/>
  <c r="X206" i="41"/>
  <c r="P207" i="41"/>
  <c r="AD950" i="41"/>
  <c r="S951" i="41"/>
  <c r="V206" i="41"/>
  <c r="O207" i="41" s="1"/>
  <c r="AJ948" i="41"/>
  <c r="AH948" i="41"/>
  <c r="AK948" i="41"/>
  <c r="AF948" i="41"/>
  <c r="AI948" i="41"/>
  <c r="AG948" i="41"/>
  <c r="L205" i="41" l="1"/>
  <c r="V207" i="41"/>
  <c r="AK264" i="41"/>
  <c r="AI264" i="41"/>
  <c r="AH264" i="41"/>
  <c r="AG264" i="41"/>
  <c r="AJ264" i="41"/>
  <c r="S952" i="41"/>
  <c r="I952" i="41" s="1"/>
  <c r="AB207" i="41" a="1"/>
  <c r="AB207" i="41" s="1"/>
  <c r="AC951" i="41"/>
  <c r="AE951" i="41" s="1"/>
  <c r="AD951" i="41"/>
  <c r="W207" i="41"/>
  <c r="P208" i="41"/>
  <c r="X207" i="41"/>
  <c r="U207" i="41"/>
  <c r="Q208" i="41"/>
  <c r="W953" i="41"/>
  <c r="P954" i="41"/>
  <c r="X953" i="41"/>
  <c r="AH949" i="41"/>
  <c r="AF949" i="41"/>
  <c r="AI949" i="41"/>
  <c r="AJ949" i="41"/>
  <c r="AK949" i="41"/>
  <c r="AG949" i="41"/>
  <c r="O954" i="41"/>
  <c r="R954" i="41"/>
  <c r="I951" i="41"/>
  <c r="H951" i="41"/>
  <c r="G951" i="41" s="1"/>
  <c r="S206" i="41"/>
  <c r="R208" i="41"/>
  <c r="V208" i="41" s="1"/>
  <c r="AC205" i="41"/>
  <c r="AE265" i="41" s="1" a="1"/>
  <c r="AE265" i="41" s="1"/>
  <c r="M206" i="41"/>
  <c r="L206" i="41" s="1"/>
  <c r="U953" i="41"/>
  <c r="Q954" i="41"/>
  <c r="AD205" i="41"/>
  <c r="M948" i="41"/>
  <c r="L948" i="41" s="1"/>
  <c r="O208" i="41"/>
  <c r="AF950" i="41"/>
  <c r="AJ950" i="41"/>
  <c r="AI950" i="41"/>
  <c r="AG950" i="41"/>
  <c r="AH950" i="41"/>
  <c r="AK950" i="41"/>
  <c r="H952" i="41" l="1"/>
  <c r="G952" i="41" s="1"/>
  <c r="S953" i="41"/>
  <c r="H953" i="41" s="1"/>
  <c r="G953" i="41" s="1"/>
  <c r="AD952" i="41"/>
  <c r="M949" i="41"/>
  <c r="L949" i="41" s="1"/>
  <c r="M950" i="41"/>
  <c r="T951" i="41"/>
  <c r="AC952" i="41"/>
  <c r="AE952" i="41" s="1"/>
  <c r="O209" i="41"/>
  <c r="U208" i="41"/>
  <c r="AC207" i="41" s="1"/>
  <c r="AE267" i="41" s="1" a="1"/>
  <c r="AE267" i="41" s="1"/>
  <c r="Q209" i="41"/>
  <c r="R209" i="41"/>
  <c r="I206" i="41"/>
  <c r="H206" i="41"/>
  <c r="G206" i="41" s="1"/>
  <c r="M207" i="41"/>
  <c r="L207" i="41" s="1"/>
  <c r="AB208" i="41" a="1"/>
  <c r="AB208" i="41" s="1"/>
  <c r="I953" i="41"/>
  <c r="AI951" i="41"/>
  <c r="AK951" i="41"/>
  <c r="AH951" i="41"/>
  <c r="AJ951" i="41"/>
  <c r="AF951" i="41"/>
  <c r="AG951" i="41"/>
  <c r="AB952" i="41"/>
  <c r="U954" i="41"/>
  <c r="AD953" i="41" s="1"/>
  <c r="Q955" i="41"/>
  <c r="AD206" i="41"/>
  <c r="W208" i="41"/>
  <c r="X208" i="41"/>
  <c r="P209" i="41"/>
  <c r="V954" i="41"/>
  <c r="O955" i="41" s="1"/>
  <c r="R955" i="41"/>
  <c r="AC206" i="41"/>
  <c r="AE266" i="41" s="1" a="1"/>
  <c r="AE266" i="41" s="1"/>
  <c r="AJ265" i="41"/>
  <c r="AF265" i="41"/>
  <c r="AK265" i="41"/>
  <c r="AH265" i="41"/>
  <c r="AI265" i="41"/>
  <c r="AG265" i="41"/>
  <c r="S207" i="41"/>
  <c r="W954" i="41"/>
  <c r="X954" i="41"/>
  <c r="P955" i="41"/>
  <c r="T952" i="41" l="1"/>
  <c r="L950" i="41"/>
  <c r="AD207" i="41"/>
  <c r="AB209" i="41" a="1"/>
  <c r="AB209" i="41" s="1"/>
  <c r="S954" i="41"/>
  <c r="H954" i="41" s="1"/>
  <c r="G954" i="41" s="1"/>
  <c r="AC953" i="41"/>
  <c r="T953" i="41" s="1"/>
  <c r="M951" i="41"/>
  <c r="U209" i="41"/>
  <c r="AC208" i="41" s="1"/>
  <c r="AE268" i="41" s="1" a="1"/>
  <c r="AE268" i="41" s="1"/>
  <c r="Q210" i="41"/>
  <c r="U955" i="41"/>
  <c r="AD954" i="41" s="1"/>
  <c r="Q956" i="41"/>
  <c r="AF267" i="41"/>
  <c r="AK267" i="41"/>
  <c r="AH267" i="41"/>
  <c r="AI267" i="41"/>
  <c r="AG267" i="41"/>
  <c r="AJ267" i="41"/>
  <c r="M208" i="41"/>
  <c r="L208" i="41" s="1"/>
  <c r="V209" i="41"/>
  <c r="O210" i="41" s="1"/>
  <c r="I207" i="41"/>
  <c r="H207" i="41"/>
  <c r="G207" i="41" s="1"/>
  <c r="R210" i="41"/>
  <c r="V210" i="41" s="1"/>
  <c r="AK952" i="41"/>
  <c r="AH952" i="41"/>
  <c r="AG952" i="41"/>
  <c r="AJ952" i="41"/>
  <c r="AI952" i="41"/>
  <c r="AF952" i="41"/>
  <c r="I954" i="41"/>
  <c r="W209" i="41"/>
  <c r="X209" i="41"/>
  <c r="P210" i="41"/>
  <c r="AB210" i="41" s="1" a="1"/>
  <c r="AB210" i="41" s="1"/>
  <c r="W955" i="41"/>
  <c r="X955" i="41"/>
  <c r="P956" i="41"/>
  <c r="AB953" i="41"/>
  <c r="V955" i="41"/>
  <c r="O956" i="41" s="1"/>
  <c r="S208" i="41"/>
  <c r="R956" i="41"/>
  <c r="V956" i="41" s="1"/>
  <c r="AJ266" i="41"/>
  <c r="AK266" i="41"/>
  <c r="AI266" i="41"/>
  <c r="AH266" i="41"/>
  <c r="AF266" i="41"/>
  <c r="AG266" i="41"/>
  <c r="AE953" i="41" l="1"/>
  <c r="AI953" i="41" s="1"/>
  <c r="AD208" i="41"/>
  <c r="L951" i="41"/>
  <c r="S209" i="41"/>
  <c r="I209" i="41" s="1"/>
  <c r="AB954" i="41"/>
  <c r="S955" i="41"/>
  <c r="H955" i="41" s="1"/>
  <c r="G955" i="41" s="1"/>
  <c r="AC954" i="41"/>
  <c r="AE954" i="41" s="1"/>
  <c r="M952" i="41"/>
  <c r="W210" i="41"/>
  <c r="X210" i="41"/>
  <c r="P211" i="41"/>
  <c r="M209" i="41"/>
  <c r="L209" i="41" s="1"/>
  <c r="AK268" i="41"/>
  <c r="AG268" i="41"/>
  <c r="AI268" i="41"/>
  <c r="AH268" i="41"/>
  <c r="AF268" i="41"/>
  <c r="AJ268" i="41"/>
  <c r="W956" i="41"/>
  <c r="X956" i="41"/>
  <c r="P957" i="41"/>
  <c r="O957" i="41"/>
  <c r="R957" i="41"/>
  <c r="V957" i="41" s="1"/>
  <c r="O211" i="41"/>
  <c r="Q957" i="41"/>
  <c r="U956" i="41"/>
  <c r="AC955" i="41" s="1"/>
  <c r="R211" i="41"/>
  <c r="V211" i="41" s="1"/>
  <c r="I208" i="41"/>
  <c r="H208" i="41"/>
  <c r="G208" i="41" s="1"/>
  <c r="H209" i="41"/>
  <c r="G209" i="41" s="1"/>
  <c r="U210" i="41"/>
  <c r="AC209" i="41" s="1"/>
  <c r="AE269" i="41" s="1" a="1"/>
  <c r="AE269" i="41" s="1"/>
  <c r="Q211" i="41"/>
  <c r="L952" i="41" l="1"/>
  <c r="AF953" i="41"/>
  <c r="I955" i="41"/>
  <c r="AK953" i="41"/>
  <c r="AG953" i="41"/>
  <c r="AH953" i="41"/>
  <c r="AJ953" i="41"/>
  <c r="T954" i="41"/>
  <c r="AD209" i="41"/>
  <c r="AE955" i="41"/>
  <c r="T955" i="41"/>
  <c r="AJ269" i="41"/>
  <c r="AG269" i="41"/>
  <c r="AI269" i="41"/>
  <c r="AH269" i="41"/>
  <c r="AK269" i="41"/>
  <c r="AF269" i="41"/>
  <c r="AK954" i="41"/>
  <c r="AI954" i="41"/>
  <c r="AJ954" i="41"/>
  <c r="AH954" i="41"/>
  <c r="AG954" i="41"/>
  <c r="AF954" i="41"/>
  <c r="O212" i="41"/>
  <c r="Q958" i="41"/>
  <c r="U957" i="41"/>
  <c r="U211" i="41"/>
  <c r="AD210" i="41" s="1"/>
  <c r="Q212" i="41"/>
  <c r="AB211" i="41" a="1"/>
  <c r="AB211" i="41" s="1"/>
  <c r="R958" i="41"/>
  <c r="V958" i="41" s="1"/>
  <c r="O958" i="41"/>
  <c r="W211" i="41"/>
  <c r="X211" i="41"/>
  <c r="P212" i="41"/>
  <c r="S210" i="41"/>
  <c r="W957" i="41"/>
  <c r="P958" i="41"/>
  <c r="X957" i="41"/>
  <c r="R212" i="41"/>
  <c r="S956" i="41"/>
  <c r="AB955" i="41"/>
  <c r="AD955" i="41"/>
  <c r="M210" i="41"/>
  <c r="L210" i="41" s="1"/>
  <c r="M953" i="41" l="1"/>
  <c r="L953" i="41" s="1"/>
  <c r="AB212" i="41" a="1"/>
  <c r="AB212" i="41" s="1"/>
  <c r="M954" i="41"/>
  <c r="Q213" i="41"/>
  <c r="U212" i="41"/>
  <c r="AD211" i="41" s="1"/>
  <c r="M211" i="41"/>
  <c r="L211" i="41" s="1"/>
  <c r="W958" i="41"/>
  <c r="X958" i="41"/>
  <c r="P959" i="41"/>
  <c r="O959" i="41"/>
  <c r="W212" i="41"/>
  <c r="X212" i="41"/>
  <c r="P213" i="41"/>
  <c r="U958" i="41"/>
  <c r="AC957" i="41" s="1"/>
  <c r="Q959" i="41"/>
  <c r="I210" i="41"/>
  <c r="H210" i="41"/>
  <c r="G210" i="41" s="1"/>
  <c r="AD956" i="41"/>
  <c r="AB956" i="41"/>
  <c r="AC956" i="41"/>
  <c r="AC210" i="41"/>
  <c r="AE270" i="41" s="1" a="1"/>
  <c r="AE270" i="41" s="1"/>
  <c r="R959" i="41"/>
  <c r="S957" i="41"/>
  <c r="S211" i="41"/>
  <c r="R213" i="41"/>
  <c r="H956" i="41"/>
  <c r="G956" i="41" s="1"/>
  <c r="I956" i="41"/>
  <c r="AG955" i="41"/>
  <c r="AK955" i="41"/>
  <c r="AJ955" i="41"/>
  <c r="AF955" i="41"/>
  <c r="AH955" i="41"/>
  <c r="AI955" i="41"/>
  <c r="V212" i="41"/>
  <c r="O213" i="41" s="1"/>
  <c r="L954" i="41" l="1"/>
  <c r="S212" i="41"/>
  <c r="I212" i="41" s="1"/>
  <c r="AC211" i="41"/>
  <c r="AE271" i="41" s="1" a="1"/>
  <c r="AE271" i="41" s="1"/>
  <c r="AH271" i="41" s="1"/>
  <c r="S958" i="41"/>
  <c r="I958" i="41" s="1"/>
  <c r="AB213" i="41" a="1"/>
  <c r="AB213" i="41" s="1"/>
  <c r="M955" i="41"/>
  <c r="W213" i="41"/>
  <c r="X213" i="41"/>
  <c r="P214" i="41"/>
  <c r="H212" i="41"/>
  <c r="G212" i="41" s="1"/>
  <c r="U213" i="41"/>
  <c r="AD212" i="41" s="1"/>
  <c r="Q214" i="41"/>
  <c r="AE957" i="41"/>
  <c r="T957" i="41"/>
  <c r="AE956" i="41"/>
  <c r="T956" i="41"/>
  <c r="W959" i="41"/>
  <c r="X959" i="41"/>
  <c r="P960" i="41"/>
  <c r="I957" i="41"/>
  <c r="H957" i="41"/>
  <c r="G957" i="41" s="1"/>
  <c r="U959" i="41"/>
  <c r="AB958" i="41" s="1"/>
  <c r="Q960" i="41"/>
  <c r="R960" i="41"/>
  <c r="V213" i="41"/>
  <c r="O214" i="41" s="1"/>
  <c r="I211" i="41"/>
  <c r="H211" i="41"/>
  <c r="G211" i="41" s="1"/>
  <c r="AF270" i="41"/>
  <c r="AI270" i="41"/>
  <c r="AJ270" i="41"/>
  <c r="AK270" i="41"/>
  <c r="AG270" i="41"/>
  <c r="AH270" i="41"/>
  <c r="V959" i="41"/>
  <c r="O960" i="41" s="1"/>
  <c r="AB957" i="41"/>
  <c r="M212" i="41"/>
  <c r="L212" i="41" s="1"/>
  <c r="AD957" i="41"/>
  <c r="R214" i="41"/>
  <c r="V214" i="41" s="1"/>
  <c r="L955" i="41" l="1"/>
  <c r="V960" i="41"/>
  <c r="AG271" i="41"/>
  <c r="AJ271" i="41"/>
  <c r="AF271" i="41"/>
  <c r="AB214" i="41" a="1"/>
  <c r="AB214" i="41" s="1"/>
  <c r="AC212" i="41"/>
  <c r="AE272" i="41" s="1" a="1"/>
  <c r="AE272" i="41" s="1"/>
  <c r="AG272" i="41" s="1"/>
  <c r="AK271" i="41"/>
  <c r="AI271" i="41"/>
  <c r="H958" i="41"/>
  <c r="G958" i="41" s="1"/>
  <c r="O961" i="41"/>
  <c r="O215" i="41"/>
  <c r="AF956" i="41"/>
  <c r="AH956" i="41"/>
  <c r="AJ956" i="41"/>
  <c r="AK956" i="41"/>
  <c r="AI956" i="41"/>
  <c r="AG956" i="41"/>
  <c r="R961" i="41"/>
  <c r="V961" i="41" s="1"/>
  <c r="R215" i="41"/>
  <c r="V215" i="41" s="1"/>
  <c r="U960" i="41"/>
  <c r="AC959" i="41" s="1"/>
  <c r="Q961" i="41"/>
  <c r="W214" i="41"/>
  <c r="X214" i="41"/>
  <c r="P215" i="41"/>
  <c r="S959" i="41"/>
  <c r="S213" i="41"/>
  <c r="AG957" i="41"/>
  <c r="AH957" i="41"/>
  <c r="AI957" i="41"/>
  <c r="AJ957" i="41"/>
  <c r="AF957" i="41"/>
  <c r="AK957" i="41"/>
  <c r="AC958" i="41"/>
  <c r="M213" i="41"/>
  <c r="L213" i="41" s="1"/>
  <c r="U214" i="41"/>
  <c r="AC213" i="41" s="1"/>
  <c r="AE273" i="41" s="1" a="1"/>
  <c r="AE273" i="41" s="1"/>
  <c r="Q215" i="41"/>
  <c r="W960" i="41"/>
  <c r="P961" i="41"/>
  <c r="X960" i="41"/>
  <c r="AD958" i="41"/>
  <c r="AI272" i="41" l="1"/>
  <c r="AF272" i="41"/>
  <c r="AK272" i="41"/>
  <c r="AJ272" i="41"/>
  <c r="AH272" i="41"/>
  <c r="AB215" i="41" a="1"/>
  <c r="AB215" i="41" s="1"/>
  <c r="M957" i="41"/>
  <c r="AD213" i="41"/>
  <c r="AD959" i="41"/>
  <c r="AE959" i="41"/>
  <c r="T959" i="41"/>
  <c r="AE958" i="41"/>
  <c r="T958" i="41"/>
  <c r="M214" i="41"/>
  <c r="L214" i="41" s="1"/>
  <c r="M956" i="41"/>
  <c r="L956" i="41" s="1"/>
  <c r="O962" i="41"/>
  <c r="R962" i="41"/>
  <c r="AJ273" i="41"/>
  <c r="AH273" i="41"/>
  <c r="AI273" i="41"/>
  <c r="AK273" i="41"/>
  <c r="AG273" i="41"/>
  <c r="AF273" i="41"/>
  <c r="O216" i="41"/>
  <c r="U215" i="41"/>
  <c r="AC214" i="41" s="1"/>
  <c r="AE274" i="41" s="1" a="1"/>
  <c r="AE274" i="41" s="1"/>
  <c r="Q216" i="41"/>
  <c r="W961" i="41"/>
  <c r="X961" i="41"/>
  <c r="P962" i="41"/>
  <c r="I213" i="41"/>
  <c r="H213" i="41"/>
  <c r="G213" i="41" s="1"/>
  <c r="Q962" i="41"/>
  <c r="U961" i="41"/>
  <c r="AB959" i="41"/>
  <c r="H959" i="41"/>
  <c r="G959" i="41" s="1"/>
  <c r="I959" i="41"/>
  <c r="S214" i="41"/>
  <c r="S960" i="41"/>
  <c r="R216" i="41"/>
  <c r="V216" i="41" s="1"/>
  <c r="W215" i="41"/>
  <c r="X215" i="41"/>
  <c r="P216" i="41"/>
  <c r="L957" i="41" l="1"/>
  <c r="U962" i="41"/>
  <c r="AD961" i="41" s="1"/>
  <c r="Q963" i="41"/>
  <c r="W962" i="41"/>
  <c r="X962" i="41"/>
  <c r="P963" i="41"/>
  <c r="R217" i="41"/>
  <c r="S215" i="41"/>
  <c r="AB216" i="41" a="1"/>
  <c r="AB216" i="41" s="1"/>
  <c r="AB960" i="41"/>
  <c r="S961" i="41"/>
  <c r="V962" i="41"/>
  <c r="O963" i="41" s="1"/>
  <c r="AI274" i="41"/>
  <c r="AJ274" i="41"/>
  <c r="AH274" i="41"/>
  <c r="AF274" i="41"/>
  <c r="AG274" i="41"/>
  <c r="AK274" i="41"/>
  <c r="AD960" i="41"/>
  <c r="R963" i="41"/>
  <c r="AB961" i="41"/>
  <c r="AH958" i="41"/>
  <c r="AF958" i="41"/>
  <c r="AJ958" i="41"/>
  <c r="AK958" i="41"/>
  <c r="AG958" i="41"/>
  <c r="AI958" i="41"/>
  <c r="O217" i="41"/>
  <c r="U216" i="41"/>
  <c r="AD215" i="41" s="1"/>
  <c r="Q217" i="41"/>
  <c r="M215" i="41"/>
  <c r="L215" i="41" s="1"/>
  <c r="W216" i="41"/>
  <c r="P217" i="41"/>
  <c r="X216" i="41"/>
  <c r="I960" i="41"/>
  <c r="H960" i="41"/>
  <c r="G960" i="41" s="1"/>
  <c r="AC960" i="41"/>
  <c r="I214" i="41"/>
  <c r="H214" i="41"/>
  <c r="G214" i="41" s="1"/>
  <c r="AD214" i="41"/>
  <c r="AK959" i="41"/>
  <c r="AJ959" i="41"/>
  <c r="AH959" i="41"/>
  <c r="AG959" i="41"/>
  <c r="AI959" i="41"/>
  <c r="AF959" i="41"/>
  <c r="AC961" i="41" l="1"/>
  <c r="V963" i="41"/>
  <c r="M958" i="41"/>
  <c r="L958" i="41" s="1"/>
  <c r="M216" i="41"/>
  <c r="L216" i="41" s="1"/>
  <c r="AB217" i="41" a="1"/>
  <c r="AB217" i="41" s="1"/>
  <c r="M959" i="41"/>
  <c r="W963" i="41"/>
  <c r="X963" i="41"/>
  <c r="P964" i="41"/>
  <c r="U217" i="41"/>
  <c r="AD216" i="41" s="1"/>
  <c r="Q218" i="41"/>
  <c r="I961" i="41"/>
  <c r="H961" i="41"/>
  <c r="G961" i="41" s="1"/>
  <c r="R964" i="41"/>
  <c r="V964" i="41" s="1"/>
  <c r="AE961" i="41"/>
  <c r="T961" i="41"/>
  <c r="W217" i="41"/>
  <c r="P218" i="41"/>
  <c r="X217" i="41"/>
  <c r="AE960" i="41"/>
  <c r="T960" i="41"/>
  <c r="S962" i="41"/>
  <c r="O964" i="41"/>
  <c r="U963" i="41"/>
  <c r="Q964" i="41"/>
  <c r="V217" i="41"/>
  <c r="O218" i="41" s="1"/>
  <c r="S216" i="41"/>
  <c r="I215" i="41"/>
  <c r="H215" i="41"/>
  <c r="G215" i="41" s="1"/>
  <c r="R218" i="41"/>
  <c r="AC215" i="41"/>
  <c r="AE275" i="41" s="1" a="1"/>
  <c r="AE275" i="41" s="1"/>
  <c r="V218" i="41" l="1"/>
  <c r="O219" i="41" s="1"/>
  <c r="L959" i="41"/>
  <c r="AB218" i="41" a="1"/>
  <c r="AB218" i="41" s="1"/>
  <c r="O965" i="41"/>
  <c r="AJ275" i="41"/>
  <c r="AH275" i="41"/>
  <c r="AI275" i="41"/>
  <c r="AG275" i="41"/>
  <c r="AF275" i="41"/>
  <c r="AK275" i="41"/>
  <c r="R965" i="41"/>
  <c r="V965" i="41" s="1"/>
  <c r="W964" i="41"/>
  <c r="X964" i="41"/>
  <c r="P965" i="41"/>
  <c r="AB962" i="41"/>
  <c r="U218" i="41"/>
  <c r="Q219" i="41"/>
  <c r="AK961" i="41"/>
  <c r="AH961" i="41"/>
  <c r="AI961" i="41"/>
  <c r="AJ961" i="41"/>
  <c r="AF961" i="41"/>
  <c r="AG961" i="41"/>
  <c r="S963" i="41"/>
  <c r="S217" i="41"/>
  <c r="R219" i="41"/>
  <c r="AD962" i="41"/>
  <c r="AC962" i="41"/>
  <c r="M217" i="41"/>
  <c r="L217" i="41" s="1"/>
  <c r="W218" i="41"/>
  <c r="X218" i="41"/>
  <c r="P219" i="41"/>
  <c r="I962" i="41"/>
  <c r="H962" i="41"/>
  <c r="G962" i="41" s="1"/>
  <c r="U964" i="41"/>
  <c r="Q965" i="41"/>
  <c r="I216" i="41"/>
  <c r="H216" i="41"/>
  <c r="G216" i="41" s="1"/>
  <c r="AF960" i="41"/>
  <c r="AI960" i="41"/>
  <c r="AK960" i="41"/>
  <c r="AG960" i="41"/>
  <c r="AH960" i="41"/>
  <c r="AJ960" i="41"/>
  <c r="AC216" i="41"/>
  <c r="AE276" i="41" s="1" a="1"/>
  <c r="AE276" i="41" s="1"/>
  <c r="M961" i="41" l="1"/>
  <c r="S218" i="41"/>
  <c r="I218" i="41" s="1"/>
  <c r="U219" i="41"/>
  <c r="AD218" i="41" s="1"/>
  <c r="Q220" i="41"/>
  <c r="I217" i="41"/>
  <c r="H217" i="41"/>
  <c r="G217" i="41" s="1"/>
  <c r="AC218" i="41"/>
  <c r="AE278" i="41" s="1" a="1"/>
  <c r="AE278" i="41" s="1"/>
  <c r="AB963" i="41"/>
  <c r="R220" i="41"/>
  <c r="I963" i="41"/>
  <c r="H963" i="41"/>
  <c r="G963" i="41" s="1"/>
  <c r="W965" i="41"/>
  <c r="P966" i="41"/>
  <c r="X965" i="41"/>
  <c r="S964" i="41"/>
  <c r="V219" i="41"/>
  <c r="O220" i="41" s="1"/>
  <c r="AC217" i="41"/>
  <c r="AE277" i="41" s="1" a="1"/>
  <c r="AE277" i="41" s="1"/>
  <c r="AB219" i="41" a="1"/>
  <c r="AB219" i="41" s="1"/>
  <c r="AD217" i="41"/>
  <c r="R966" i="41"/>
  <c r="V966" i="41" s="1"/>
  <c r="M960" i="41"/>
  <c r="L960" i="41" s="1"/>
  <c r="AE962" i="41"/>
  <c r="T962" i="41"/>
  <c r="U965" i="41"/>
  <c r="AB964" i="41" s="1"/>
  <c r="Q966" i="41"/>
  <c r="AC963" i="41"/>
  <c r="AK276" i="41"/>
  <c r="AH276" i="41"/>
  <c r="AI276" i="41"/>
  <c r="AG276" i="41"/>
  <c r="AF276" i="41"/>
  <c r="AJ276" i="41"/>
  <c r="M218" i="41"/>
  <c r="L218" i="41" s="1"/>
  <c r="O966" i="41"/>
  <c r="W219" i="41"/>
  <c r="X219" i="41"/>
  <c r="P220" i="41"/>
  <c r="AD963" i="41"/>
  <c r="H218" i="41" l="1"/>
  <c r="G218" i="41" s="1"/>
  <c r="V220" i="41"/>
  <c r="S965" i="41"/>
  <c r="AD964" i="41"/>
  <c r="AC964" i="41"/>
  <c r="T964" i="41" s="1"/>
  <c r="L961" i="41"/>
  <c r="H965" i="41"/>
  <c r="G965" i="41" s="1"/>
  <c r="I965" i="41"/>
  <c r="AK962" i="41"/>
  <c r="AH962" i="41"/>
  <c r="AJ962" i="41"/>
  <c r="AI962" i="41"/>
  <c r="AF962" i="41"/>
  <c r="AG962" i="41"/>
  <c r="AF278" i="41"/>
  <c r="AJ278" i="41"/>
  <c r="AG278" i="41"/>
  <c r="AH278" i="41"/>
  <c r="AK278" i="41"/>
  <c r="AI278" i="41"/>
  <c r="O221" i="41"/>
  <c r="H964" i="41"/>
  <c r="G964" i="41" s="1"/>
  <c r="I964" i="41"/>
  <c r="U966" i="41"/>
  <c r="AC965" i="41" s="1"/>
  <c r="Q967" i="41"/>
  <c r="AG277" i="41"/>
  <c r="AH277" i="41"/>
  <c r="AJ277" i="41"/>
  <c r="AK277" i="41"/>
  <c r="AI277" i="41"/>
  <c r="AF277" i="41"/>
  <c r="O967" i="41"/>
  <c r="W220" i="41"/>
  <c r="X220" i="41"/>
  <c r="P221" i="41"/>
  <c r="R967" i="41"/>
  <c r="R221" i="41"/>
  <c r="AE963" i="41"/>
  <c r="T963" i="41"/>
  <c r="M219" i="41"/>
  <c r="L219" i="41" s="1"/>
  <c r="U220" i="41"/>
  <c r="AD219" i="41" s="1"/>
  <c r="Q221" i="41"/>
  <c r="W966" i="41"/>
  <c r="X966" i="41"/>
  <c r="P967" i="41"/>
  <c r="AB220" i="41" a="1"/>
  <c r="AB220" i="41" s="1"/>
  <c r="S219" i="41"/>
  <c r="AB221" i="41" l="1" a="1"/>
  <c r="AB221" i="41" s="1"/>
  <c r="AE964" i="41"/>
  <c r="AI964" i="41" s="1"/>
  <c r="AD965" i="41"/>
  <c r="S966" i="41"/>
  <c r="I966" i="41" s="1"/>
  <c r="AC219" i="41"/>
  <c r="AE279" i="41" s="1" a="1"/>
  <c r="AE279" i="41" s="1"/>
  <c r="AH279" i="41" s="1"/>
  <c r="AK964" i="41"/>
  <c r="AJ964" i="41"/>
  <c r="AG964" i="41"/>
  <c r="M962" i="41"/>
  <c r="L962" i="41" s="1"/>
  <c r="U221" i="41"/>
  <c r="Q222" i="41"/>
  <c r="AE965" i="41"/>
  <c r="T965" i="41"/>
  <c r="U967" i="41"/>
  <c r="Q968" i="41"/>
  <c r="I219" i="41"/>
  <c r="H219" i="41"/>
  <c r="G219" i="41" s="1"/>
  <c r="R968" i="41"/>
  <c r="AJ963" i="41"/>
  <c r="AI963" i="41"/>
  <c r="AG963" i="41"/>
  <c r="AK963" i="41"/>
  <c r="AF963" i="41"/>
  <c r="AH963" i="41"/>
  <c r="S220" i="41"/>
  <c r="R222" i="41"/>
  <c r="W221" i="41"/>
  <c r="X221" i="41"/>
  <c r="P222" i="41"/>
  <c r="V967" i="41"/>
  <c r="O968" i="41" s="1"/>
  <c r="M220" i="41"/>
  <c r="L220" i="41" s="1"/>
  <c r="AB965" i="41"/>
  <c r="V221" i="41"/>
  <c r="O222" i="41" s="1"/>
  <c r="W967" i="41"/>
  <c r="X967" i="41"/>
  <c r="P968" i="41"/>
  <c r="V968" i="41" l="1"/>
  <c r="AH964" i="41"/>
  <c r="AF964" i="41"/>
  <c r="H966" i="41"/>
  <c r="G966" i="41" s="1"/>
  <c r="S221" i="41"/>
  <c r="I221" i="41" s="1"/>
  <c r="V222" i="41"/>
  <c r="O223" i="41" s="1"/>
  <c r="AF279" i="41"/>
  <c r="AB222" i="41" a="1"/>
  <c r="AB222" i="41" s="1"/>
  <c r="AJ279" i="41"/>
  <c r="AI279" i="41"/>
  <c r="AK279" i="41"/>
  <c r="M963" i="41"/>
  <c r="L963" i="41" s="1"/>
  <c r="AG279" i="41"/>
  <c r="W968" i="41"/>
  <c r="X968" i="41"/>
  <c r="P969" i="41"/>
  <c r="O969" i="41"/>
  <c r="W222" i="41"/>
  <c r="X222" i="41"/>
  <c r="P223" i="41"/>
  <c r="R969" i="41"/>
  <c r="V969" i="41" s="1"/>
  <c r="U968" i="41"/>
  <c r="AD967" i="41" s="1"/>
  <c r="Q969" i="41"/>
  <c r="U222" i="41"/>
  <c r="Q223" i="41"/>
  <c r="AD966" i="41"/>
  <c r="R223" i="41"/>
  <c r="M221" i="41"/>
  <c r="L221" i="41" s="1"/>
  <c r="AC966" i="41"/>
  <c r="AD220" i="41"/>
  <c r="I220" i="41"/>
  <c r="H220" i="41"/>
  <c r="G220" i="41" s="1"/>
  <c r="AC220" i="41"/>
  <c r="AE280" i="41" s="1" a="1"/>
  <c r="AE280" i="41" s="1"/>
  <c r="S967" i="41"/>
  <c r="AK965" i="41"/>
  <c r="AI965" i="41"/>
  <c r="AJ965" i="41"/>
  <c r="AH965" i="41"/>
  <c r="AG965" i="41"/>
  <c r="AF965" i="41"/>
  <c r="AB966" i="41"/>
  <c r="H221" i="41" l="1"/>
  <c r="G221" i="41" s="1"/>
  <c r="S222" i="41"/>
  <c r="I222" i="41" s="1"/>
  <c r="M964" i="41"/>
  <c r="L964" i="41" s="1"/>
  <c r="AB967" i="41"/>
  <c r="S968" i="41"/>
  <c r="I968" i="41" s="1"/>
  <c r="AC221" i="41"/>
  <c r="AE281" i="41" s="1" a="1"/>
  <c r="AE281" i="41" s="1"/>
  <c r="AJ281" i="41" s="1"/>
  <c r="AD221" i="41"/>
  <c r="M965" i="41"/>
  <c r="AE966" i="41"/>
  <c r="T966" i="41"/>
  <c r="W969" i="41"/>
  <c r="X969" i="41"/>
  <c r="P970" i="41"/>
  <c r="W223" i="41"/>
  <c r="P224" i="41"/>
  <c r="X223" i="41"/>
  <c r="R970" i="41"/>
  <c r="R224" i="41"/>
  <c r="M222" i="41"/>
  <c r="L222" i="41" s="1"/>
  <c r="AB223" i="41" a="1"/>
  <c r="AB223" i="41" s="1"/>
  <c r="AI280" i="41"/>
  <c r="AG280" i="41"/>
  <c r="AJ280" i="41"/>
  <c r="AK280" i="41"/>
  <c r="AF280" i="41"/>
  <c r="AH280" i="41"/>
  <c r="U223" i="41"/>
  <c r="AC222" i="41" s="1"/>
  <c r="AE282" i="41" s="1" a="1"/>
  <c r="AE282" i="41" s="1"/>
  <c r="Q224" i="41"/>
  <c r="I967" i="41"/>
  <c r="H967" i="41"/>
  <c r="G967" i="41" s="1"/>
  <c r="V223" i="41"/>
  <c r="O224" i="41" s="1"/>
  <c r="U969" i="41"/>
  <c r="Q970" i="41"/>
  <c r="O970" i="41"/>
  <c r="AC967" i="41"/>
  <c r="H222" i="41" l="1"/>
  <c r="G222" i="41" s="1"/>
  <c r="H968" i="41"/>
  <c r="G968" i="41" s="1"/>
  <c r="S969" i="41"/>
  <c r="I969" i="41" s="1"/>
  <c r="V224" i="41"/>
  <c r="L965" i="41"/>
  <c r="AI281" i="41"/>
  <c r="AG281" i="41"/>
  <c r="AK281" i="41"/>
  <c r="AH281" i="41"/>
  <c r="AF281" i="41"/>
  <c r="W224" i="41"/>
  <c r="P225" i="41"/>
  <c r="X224" i="41"/>
  <c r="AK282" i="41"/>
  <c r="AI282" i="41"/>
  <c r="AJ282" i="41"/>
  <c r="AH282" i="41"/>
  <c r="AG282" i="41"/>
  <c r="AF282" i="41"/>
  <c r="O225" i="41"/>
  <c r="AB224" i="41" a="1"/>
  <c r="AB224" i="41" s="1"/>
  <c r="R225" i="41"/>
  <c r="U224" i="41"/>
  <c r="AC223" i="41" s="1"/>
  <c r="AE283" i="41" s="1" a="1"/>
  <c r="AE283" i="41" s="1"/>
  <c r="Q225" i="41"/>
  <c r="M223" i="41"/>
  <c r="L223" i="41" s="1"/>
  <c r="U970" i="41"/>
  <c r="AD969" i="41" s="1"/>
  <c r="Q971" i="41"/>
  <c r="S223" i="41"/>
  <c r="R971" i="41"/>
  <c r="AJ966" i="41"/>
  <c r="AG966" i="41"/>
  <c r="AK966" i="41"/>
  <c r="AF966" i="41"/>
  <c r="AH966" i="41"/>
  <c r="AI966" i="41"/>
  <c r="H969" i="41"/>
  <c r="G969" i="41" s="1"/>
  <c r="AB968" i="41"/>
  <c r="V970" i="41"/>
  <c r="O971" i="41" s="1"/>
  <c r="AE967" i="41"/>
  <c r="T967" i="41"/>
  <c r="AD222" i="41"/>
  <c r="AD968" i="41"/>
  <c r="AC968" i="41"/>
  <c r="W970" i="41"/>
  <c r="X970" i="41"/>
  <c r="P971" i="41"/>
  <c r="AD223" i="41" l="1"/>
  <c r="S224" i="41"/>
  <c r="I224" i="41" s="1"/>
  <c r="AB969" i="41"/>
  <c r="AB225" i="41" a="1"/>
  <c r="AB225" i="41" s="1"/>
  <c r="AC969" i="41"/>
  <c r="AE969" i="41" s="1"/>
  <c r="M966" i="41"/>
  <c r="L966" i="41" s="1"/>
  <c r="W971" i="41"/>
  <c r="X971" i="41"/>
  <c r="P972" i="41"/>
  <c r="AH283" i="41"/>
  <c r="AI283" i="41"/>
  <c r="AF283" i="41"/>
  <c r="AJ283" i="41"/>
  <c r="AK283" i="41"/>
  <c r="AG283" i="41"/>
  <c r="AE968" i="41"/>
  <c r="T968" i="41"/>
  <c r="U225" i="41"/>
  <c r="S225" i="41" s="1"/>
  <c r="I225" i="41" s="1"/>
  <c r="Q226" i="41"/>
  <c r="I223" i="41"/>
  <c r="H223" i="41"/>
  <c r="G223" i="41" s="1"/>
  <c r="AJ967" i="41"/>
  <c r="AH967" i="41"/>
  <c r="AK967" i="41"/>
  <c r="AF967" i="41"/>
  <c r="AG967" i="41"/>
  <c r="AI967" i="41"/>
  <c r="V225" i="41"/>
  <c r="O226" i="41" s="1"/>
  <c r="R226" i="41"/>
  <c r="V226" i="41" s="1"/>
  <c r="U971" i="41"/>
  <c r="AC970" i="41" s="1"/>
  <c r="Q972" i="41"/>
  <c r="R972" i="41"/>
  <c r="V971" i="41"/>
  <c r="O972" i="41" s="1"/>
  <c r="S970" i="41"/>
  <c r="W225" i="41"/>
  <c r="X225" i="41"/>
  <c r="P226" i="41"/>
  <c r="M224" i="41"/>
  <c r="L224" i="41" s="1"/>
  <c r="H224" i="41" l="1"/>
  <c r="G224" i="41" s="1"/>
  <c r="S971" i="41"/>
  <c r="I971" i="41" s="1"/>
  <c r="T969" i="41"/>
  <c r="M967" i="41"/>
  <c r="L967" i="41" s="1"/>
  <c r="AE970" i="41"/>
  <c r="T970" i="41"/>
  <c r="W972" i="41"/>
  <c r="X972" i="41"/>
  <c r="P973" i="41"/>
  <c r="AG968" i="41"/>
  <c r="AK968" i="41"/>
  <c r="AH968" i="41"/>
  <c r="AF968" i="41"/>
  <c r="AI968" i="41"/>
  <c r="AJ968" i="41"/>
  <c r="W226" i="41"/>
  <c r="X226" i="41"/>
  <c r="P227" i="41"/>
  <c r="U972" i="41"/>
  <c r="AC971" i="41" s="1"/>
  <c r="Q973" i="41"/>
  <c r="I970" i="41"/>
  <c r="H970" i="41"/>
  <c r="G970" i="41" s="1"/>
  <c r="AK969" i="41"/>
  <c r="AF969" i="41"/>
  <c r="AH969" i="41"/>
  <c r="AJ969" i="41"/>
  <c r="AG969" i="41"/>
  <c r="AI969" i="41"/>
  <c r="R227" i="41"/>
  <c r="R973" i="41"/>
  <c r="V972" i="41"/>
  <c r="O973" i="41" s="1"/>
  <c r="H225" i="41"/>
  <c r="G225" i="41" s="1"/>
  <c r="O227" i="41"/>
  <c r="AB970" i="41"/>
  <c r="U226" i="41"/>
  <c r="Q227" i="41"/>
  <c r="AC224" i="41"/>
  <c r="AE284" i="41" s="1" a="1"/>
  <c r="AE284" i="41" s="1"/>
  <c r="M225" i="41"/>
  <c r="L225" i="41" s="1"/>
  <c r="AB226" i="41" a="1"/>
  <c r="AB226" i="41" s="1"/>
  <c r="AD224" i="41"/>
  <c r="AD970" i="41"/>
  <c r="V973" i="41" l="1"/>
  <c r="H971" i="41"/>
  <c r="G971" i="41" s="1"/>
  <c r="AB227" i="41" a="1"/>
  <c r="AB227" i="41" s="1"/>
  <c r="M968" i="41"/>
  <c r="L968" i="41" s="1"/>
  <c r="M969" i="41"/>
  <c r="AE971" i="41"/>
  <c r="T971" i="41"/>
  <c r="O974" i="41"/>
  <c r="R974" i="41"/>
  <c r="V974" i="41" s="1"/>
  <c r="R228" i="41"/>
  <c r="W227" i="41"/>
  <c r="X227" i="41"/>
  <c r="P228" i="41"/>
  <c r="AB971" i="41"/>
  <c r="S226" i="41"/>
  <c r="AD971" i="41"/>
  <c r="AC225" i="41"/>
  <c r="AE285" i="41" s="1" a="1"/>
  <c r="AE285" i="41" s="1"/>
  <c r="W973" i="41"/>
  <c r="X973" i="41"/>
  <c r="P974" i="41"/>
  <c r="M226" i="41"/>
  <c r="L226" i="41" s="1"/>
  <c r="Q974" i="41"/>
  <c r="U973" i="41"/>
  <c r="AG284" i="41"/>
  <c r="AJ284" i="41"/>
  <c r="AH284" i="41"/>
  <c r="AF284" i="41"/>
  <c r="AK284" i="41"/>
  <c r="AI284" i="41"/>
  <c r="S972" i="41"/>
  <c r="AI970" i="41"/>
  <c r="AK970" i="41"/>
  <c r="AJ970" i="41"/>
  <c r="AH970" i="41"/>
  <c r="AF970" i="41"/>
  <c r="AG970" i="41"/>
  <c r="U227" i="41"/>
  <c r="Q228" i="41"/>
  <c r="AD225" i="41"/>
  <c r="V227" i="41"/>
  <c r="O228" i="41" s="1"/>
  <c r="S973" i="41" l="1"/>
  <c r="H973" i="41" s="1"/>
  <c r="G973" i="41" s="1"/>
  <c r="L969" i="41"/>
  <c r="M970" i="41"/>
  <c r="AB228" i="41" a="1"/>
  <c r="AB228" i="41" s="1"/>
  <c r="W228" i="41"/>
  <c r="X228" i="41"/>
  <c r="P229" i="41"/>
  <c r="U228" i="41"/>
  <c r="AD227" i="41" s="1"/>
  <c r="Q229" i="41"/>
  <c r="O975" i="41"/>
  <c r="AC226" i="41"/>
  <c r="AE286" i="41" s="1" a="1"/>
  <c r="AE286" i="41" s="1"/>
  <c r="U974" i="41"/>
  <c r="AD973" i="41" s="1"/>
  <c r="Q975" i="41"/>
  <c r="AD972" i="41"/>
  <c r="W974" i="41"/>
  <c r="X974" i="41"/>
  <c r="P975" i="41"/>
  <c r="I972" i="41"/>
  <c r="H972" i="41"/>
  <c r="G972" i="41" s="1"/>
  <c r="R229" i="41"/>
  <c r="I226" i="41"/>
  <c r="H226" i="41"/>
  <c r="G226" i="41" s="1"/>
  <c r="R975" i="41"/>
  <c r="AB972" i="41"/>
  <c r="AJ971" i="41"/>
  <c r="AH971" i="41"/>
  <c r="AI971" i="41"/>
  <c r="AK971" i="41"/>
  <c r="AG971" i="41"/>
  <c r="AF971" i="41"/>
  <c r="AD226" i="41"/>
  <c r="AC972" i="41"/>
  <c r="S227" i="41"/>
  <c r="V228" i="41"/>
  <c r="O229" i="41" s="1"/>
  <c r="AF285" i="41"/>
  <c r="AK285" i="41"/>
  <c r="AJ285" i="41"/>
  <c r="AH285" i="41"/>
  <c r="AI285" i="41"/>
  <c r="AG285" i="41"/>
  <c r="M227" i="41"/>
  <c r="L227" i="41" s="1"/>
  <c r="V229" i="41" l="1"/>
  <c r="I973" i="41"/>
  <c r="S228" i="41"/>
  <c r="I228" i="41" s="1"/>
  <c r="L970" i="41"/>
  <c r="M971" i="41"/>
  <c r="AC973" i="41"/>
  <c r="AE973" i="41" s="1"/>
  <c r="AB973" i="41"/>
  <c r="R976" i="41"/>
  <c r="V976" i="41" s="1"/>
  <c r="O230" i="41"/>
  <c r="W229" i="41"/>
  <c r="P230" i="41"/>
  <c r="X229" i="41"/>
  <c r="U975" i="41"/>
  <c r="AD974" i="41" s="1"/>
  <c r="Q976" i="41"/>
  <c r="AC227" i="41"/>
  <c r="AE287" i="41" s="1" a="1"/>
  <c r="AE287" i="41" s="1"/>
  <c r="I227" i="41"/>
  <c r="H227" i="41"/>
  <c r="G227" i="41" s="1"/>
  <c r="R230" i="41"/>
  <c r="V975" i="41"/>
  <c r="O976" i="41" s="1"/>
  <c r="AE972" i="41"/>
  <c r="T972" i="41"/>
  <c r="U229" i="41"/>
  <c r="Q230" i="41"/>
  <c r="M228" i="41"/>
  <c r="L228" i="41" s="1"/>
  <c r="AB229" i="41" a="1"/>
  <c r="AB229" i="41" s="1"/>
  <c r="AJ286" i="41"/>
  <c r="AK286" i="41"/>
  <c r="AI286" i="41"/>
  <c r="AG286" i="41"/>
  <c r="AH286" i="41"/>
  <c r="AF286" i="41"/>
  <c r="W975" i="41"/>
  <c r="X975" i="41"/>
  <c r="P976" i="41"/>
  <c r="S974" i="41"/>
  <c r="H228" i="41" l="1"/>
  <c r="G228" i="41" s="1"/>
  <c r="S229" i="41"/>
  <c r="H229" i="41" s="1"/>
  <c r="G229" i="41" s="1"/>
  <c r="T973" i="41"/>
  <c r="L971" i="41"/>
  <c r="AB974" i="41"/>
  <c r="AB230" i="41" a="1"/>
  <c r="AB230" i="41" s="1"/>
  <c r="AD228" i="41"/>
  <c r="AC228" i="41"/>
  <c r="AE288" i="41" s="1" a="1"/>
  <c r="AE288" i="41" s="1"/>
  <c r="AI288" i="41" s="1"/>
  <c r="AC974" i="41"/>
  <c r="T974" i="41" s="1"/>
  <c r="I229" i="41"/>
  <c r="W976" i="41"/>
  <c r="X976" i="41"/>
  <c r="P977" i="41"/>
  <c r="U230" i="41"/>
  <c r="AC229" i="41" s="1"/>
  <c r="AE289" i="41" s="1" a="1"/>
  <c r="AE289" i="41" s="1"/>
  <c r="Q231" i="41"/>
  <c r="M229" i="41"/>
  <c r="L229" i="41" s="1"/>
  <c r="V230" i="41"/>
  <c r="O231" i="41" s="1"/>
  <c r="R231" i="41"/>
  <c r="W230" i="41"/>
  <c r="X230" i="41"/>
  <c r="P231" i="41"/>
  <c r="O977" i="41"/>
  <c r="AH287" i="41"/>
  <c r="AG287" i="41"/>
  <c r="AJ287" i="41"/>
  <c r="AI287" i="41"/>
  <c r="AK287" i="41"/>
  <c r="AF287" i="41"/>
  <c r="U976" i="41"/>
  <c r="Q977" i="41"/>
  <c r="AG972" i="41"/>
  <c r="AJ972" i="41"/>
  <c r="AI972" i="41"/>
  <c r="AH972" i="41"/>
  <c r="AF972" i="41"/>
  <c r="AK972" i="41"/>
  <c r="I974" i="41"/>
  <c r="H974" i="41"/>
  <c r="G974" i="41" s="1"/>
  <c r="R977" i="41"/>
  <c r="V977" i="41" s="1"/>
  <c r="S975" i="41"/>
  <c r="AI973" i="41"/>
  <c r="AJ973" i="41"/>
  <c r="AF973" i="41"/>
  <c r="AH973" i="41"/>
  <c r="AG973" i="41"/>
  <c r="AK973" i="41"/>
  <c r="V231" i="41" l="1"/>
  <c r="O232" i="41" s="1"/>
  <c r="AH288" i="41"/>
  <c r="AJ288" i="41"/>
  <c r="AK288" i="41"/>
  <c r="M973" i="41"/>
  <c r="AG288" i="41"/>
  <c r="AF288" i="41"/>
  <c r="M230" i="41"/>
  <c r="L230" i="41" s="1"/>
  <c r="AE974" i="41"/>
  <c r="AK974" i="41" s="1"/>
  <c r="W231" i="41"/>
  <c r="X231" i="41"/>
  <c r="P232" i="41"/>
  <c r="I975" i="41"/>
  <c r="H975" i="41"/>
  <c r="G975" i="41" s="1"/>
  <c r="AJ289" i="41"/>
  <c r="AK289" i="41"/>
  <c r="AF289" i="41"/>
  <c r="AI289" i="41"/>
  <c r="AG289" i="41"/>
  <c r="AH289" i="41"/>
  <c r="R978" i="41"/>
  <c r="S976" i="41"/>
  <c r="W977" i="41"/>
  <c r="X977" i="41"/>
  <c r="P978" i="41"/>
  <c r="O978" i="41"/>
  <c r="AB975" i="41"/>
  <c r="S230" i="41"/>
  <c r="AD975" i="41"/>
  <c r="U231" i="41"/>
  <c r="Q232" i="41"/>
  <c r="R232" i="41"/>
  <c r="V232" i="41" s="1"/>
  <c r="U977" i="41"/>
  <c r="Q978" i="41"/>
  <c r="AD229" i="41"/>
  <c r="AC975" i="41"/>
  <c r="AB231" i="41" a="1"/>
  <c r="AB231" i="41" s="1"/>
  <c r="M972" i="41"/>
  <c r="L972" i="41" s="1"/>
  <c r="L973" i="41" l="1"/>
  <c r="S977" i="41"/>
  <c r="AC976" i="41"/>
  <c r="T976" i="41" s="1"/>
  <c r="AJ974" i="41"/>
  <c r="AG974" i="41"/>
  <c r="AF974" i="41"/>
  <c r="AH974" i="41"/>
  <c r="AI974" i="41"/>
  <c r="AD976" i="41"/>
  <c r="S231" i="41"/>
  <c r="H231" i="41" s="1"/>
  <c r="G231" i="41" s="1"/>
  <c r="I977" i="41"/>
  <c r="H977" i="41"/>
  <c r="G977" i="41" s="1"/>
  <c r="AD230" i="41"/>
  <c r="W232" i="41"/>
  <c r="X232" i="41"/>
  <c r="P233" i="41"/>
  <c r="H976" i="41"/>
  <c r="G976" i="41" s="1"/>
  <c r="I976" i="41"/>
  <c r="AE975" i="41"/>
  <c r="T975" i="41"/>
  <c r="R233" i="41"/>
  <c r="V233" i="41" s="1"/>
  <c r="I230" i="41"/>
  <c r="H230" i="41"/>
  <c r="G230" i="41" s="1"/>
  <c r="W978" i="41"/>
  <c r="X978" i="41"/>
  <c r="P979" i="41"/>
  <c r="O233" i="41"/>
  <c r="AC230" i="41"/>
  <c r="AE290" i="41" s="1" a="1"/>
  <c r="AE290" i="41" s="1"/>
  <c r="U978" i="41"/>
  <c r="AD977" i="41" s="1"/>
  <c r="Q979" i="41"/>
  <c r="AE976" i="41"/>
  <c r="V978" i="41"/>
  <c r="O979" i="41" s="1"/>
  <c r="AB976" i="41"/>
  <c r="U232" i="41"/>
  <c r="AD231" i="41" s="1"/>
  <c r="Q233" i="41"/>
  <c r="AB232" i="41" a="1"/>
  <c r="AB232" i="41" s="1"/>
  <c r="R979" i="41"/>
  <c r="M231" i="41"/>
  <c r="L231" i="41" s="1"/>
  <c r="M974" i="41" l="1"/>
  <c r="L974" i="41" s="1"/>
  <c r="I231" i="41"/>
  <c r="V979" i="41"/>
  <c r="S978" i="41"/>
  <c r="I978" i="41" s="1"/>
  <c r="R234" i="41"/>
  <c r="V234" i="41" s="1"/>
  <c r="W979" i="41"/>
  <c r="X979" i="41"/>
  <c r="P980" i="41"/>
  <c r="U233" i="41"/>
  <c r="Q234" i="41"/>
  <c r="M232" i="41"/>
  <c r="L232" i="41" s="1"/>
  <c r="AB977" i="41"/>
  <c r="AB233" i="41" a="1"/>
  <c r="AB233" i="41" s="1"/>
  <c r="O980" i="41"/>
  <c r="AK290" i="41"/>
  <c r="AF290" i="41"/>
  <c r="AG290" i="41"/>
  <c r="AI290" i="41"/>
  <c r="AJ290" i="41"/>
  <c r="AH290" i="41"/>
  <c r="AC231" i="41"/>
  <c r="AE291" i="41" s="1" a="1"/>
  <c r="AE291" i="41" s="1"/>
  <c r="O234" i="41"/>
  <c r="AC977" i="41"/>
  <c r="R980" i="41"/>
  <c r="W233" i="41"/>
  <c r="X233" i="41"/>
  <c r="P234" i="41"/>
  <c r="S232" i="41"/>
  <c r="H978" i="41"/>
  <c r="G978" i="41" s="1"/>
  <c r="U979" i="41"/>
  <c r="Q980" i="41"/>
  <c r="AI976" i="41"/>
  <c r="AF976" i="41"/>
  <c r="AJ976" i="41"/>
  <c r="AG976" i="41"/>
  <c r="AK976" i="41"/>
  <c r="AH976" i="41"/>
  <c r="AK975" i="41"/>
  <c r="AG975" i="41"/>
  <c r="AJ975" i="41"/>
  <c r="AH975" i="41"/>
  <c r="AI975" i="41"/>
  <c r="AF975" i="41"/>
  <c r="M976" i="41" l="1"/>
  <c r="M975" i="41"/>
  <c r="L975" i="41" s="1"/>
  <c r="O235" i="41"/>
  <c r="AK291" i="41"/>
  <c r="AH291" i="41"/>
  <c r="AI291" i="41"/>
  <c r="AJ291" i="41"/>
  <c r="AF291" i="41"/>
  <c r="AG291" i="41"/>
  <c r="R981" i="41"/>
  <c r="M233" i="41"/>
  <c r="L233" i="41" s="1"/>
  <c r="W980" i="41"/>
  <c r="X980" i="41"/>
  <c r="P981" i="41"/>
  <c r="Q981" i="41"/>
  <c r="U980" i="41"/>
  <c r="V980" i="41"/>
  <c r="O981" i="41" s="1"/>
  <c r="AD232" i="41"/>
  <c r="AC978" i="41"/>
  <c r="S979" i="41"/>
  <c r="R235" i="41"/>
  <c r="V235" i="41" s="1"/>
  <c r="AE977" i="41"/>
  <c r="T977" i="41"/>
  <c r="AB978" i="41"/>
  <c r="W234" i="41"/>
  <c r="X234" i="41"/>
  <c r="P235" i="41"/>
  <c r="U234" i="41"/>
  <c r="AC233" i="41" s="1"/>
  <c r="AE293" i="41" s="1" a="1"/>
  <c r="AE293" i="41" s="1"/>
  <c r="Q235" i="41"/>
  <c r="AC232" i="41"/>
  <c r="AE292" i="41" s="1" a="1"/>
  <c r="AE292" i="41" s="1"/>
  <c r="AD978" i="41"/>
  <c r="I232" i="41"/>
  <c r="H232" i="41"/>
  <c r="G232" i="41" s="1"/>
  <c r="S233" i="41"/>
  <c r="AB234" i="41" a="1"/>
  <c r="AB234" i="41" s="1"/>
  <c r="AB235" i="41" l="1" a="1"/>
  <c r="AB235" i="41" s="1"/>
  <c r="L976" i="41"/>
  <c r="AJ293" i="41"/>
  <c r="AK293" i="41"/>
  <c r="AH293" i="41"/>
  <c r="AF293" i="41"/>
  <c r="AG293" i="41"/>
  <c r="AI293" i="41"/>
  <c r="W981" i="41"/>
  <c r="X981" i="41"/>
  <c r="P982" i="41"/>
  <c r="AK292" i="41"/>
  <c r="AJ292" i="41"/>
  <c r="AH292" i="41"/>
  <c r="AI292" i="41"/>
  <c r="AF292" i="41"/>
  <c r="AG292" i="41"/>
  <c r="I979" i="41"/>
  <c r="H979" i="41"/>
  <c r="G979" i="41" s="1"/>
  <c r="U981" i="41"/>
  <c r="AB980" i="41" s="1"/>
  <c r="Q982" i="41"/>
  <c r="U235" i="41"/>
  <c r="AD234" i="41" s="1"/>
  <c r="Q236" i="41"/>
  <c r="R982" i="41"/>
  <c r="R236" i="41"/>
  <c r="V236" i="41" s="1"/>
  <c r="AB979" i="41"/>
  <c r="AD233" i="41"/>
  <c r="V981" i="41"/>
  <c r="O982" i="41" s="1"/>
  <c r="AC979" i="41"/>
  <c r="O236" i="41"/>
  <c r="AE978" i="41"/>
  <c r="T978" i="41"/>
  <c r="M234" i="41"/>
  <c r="L234" i="41" s="1"/>
  <c r="AD979" i="41"/>
  <c r="W235" i="41"/>
  <c r="X235" i="41"/>
  <c r="P236" i="41"/>
  <c r="AJ977" i="41"/>
  <c r="AF977" i="41"/>
  <c r="AK977" i="41"/>
  <c r="AG977" i="41"/>
  <c r="AH977" i="41"/>
  <c r="AI977" i="41"/>
  <c r="I233" i="41"/>
  <c r="H233" i="41"/>
  <c r="G233" i="41" s="1"/>
  <c r="S980" i="41"/>
  <c r="S234" i="41"/>
  <c r="V982" i="41" l="1"/>
  <c r="O983" i="41" s="1"/>
  <c r="AC980" i="41"/>
  <c r="AE980" i="41" s="1"/>
  <c r="AB236" i="41" a="1"/>
  <c r="AB236" i="41" s="1"/>
  <c r="AC234" i="41"/>
  <c r="AE294" i="41" s="1" a="1"/>
  <c r="AE294" i="41" s="1"/>
  <c r="AK294" i="41" s="1"/>
  <c r="S235" i="41"/>
  <c r="H235" i="41" s="1"/>
  <c r="G235" i="41" s="1"/>
  <c r="W982" i="41"/>
  <c r="X982" i="41"/>
  <c r="P983" i="41"/>
  <c r="R983" i="41"/>
  <c r="V983" i="41" s="1"/>
  <c r="O237" i="41"/>
  <c r="M977" i="41"/>
  <c r="L977" i="41" s="1"/>
  <c r="H980" i="41"/>
  <c r="G980" i="41" s="1"/>
  <c r="I980" i="41"/>
  <c r="AE979" i="41"/>
  <c r="T979" i="41"/>
  <c r="I234" i="41"/>
  <c r="H234" i="41"/>
  <c r="G234" i="41" s="1"/>
  <c r="R237" i="41"/>
  <c r="V237" i="41" s="1"/>
  <c r="U982" i="41"/>
  <c r="AC981" i="41" s="1"/>
  <c r="Q983" i="41"/>
  <c r="X236" i="41"/>
  <c r="W236" i="41"/>
  <c r="P237" i="41"/>
  <c r="S981" i="41"/>
  <c r="U236" i="41"/>
  <c r="AD235" i="41" s="1"/>
  <c r="Q237" i="41"/>
  <c r="AF978" i="41"/>
  <c r="AJ978" i="41"/>
  <c r="AH978" i="41"/>
  <c r="AK978" i="41"/>
  <c r="AI978" i="41"/>
  <c r="AG978" i="41"/>
  <c r="M235" i="41"/>
  <c r="L235" i="41" s="1"/>
  <c r="AD980" i="41"/>
  <c r="I235" i="41" l="1"/>
  <c r="T980" i="41"/>
  <c r="AF294" i="41"/>
  <c r="M978" i="41"/>
  <c r="L978" i="41" s="1"/>
  <c r="AD981" i="41"/>
  <c r="AH294" i="41"/>
  <c r="AB237" i="41" a="1"/>
  <c r="AB237" i="41" s="1"/>
  <c r="AJ294" i="41"/>
  <c r="AI294" i="41"/>
  <c r="AC235" i="41"/>
  <c r="AE295" i="41" s="1" a="1"/>
  <c r="AE295" i="41" s="1"/>
  <c r="AK295" i="41" s="1"/>
  <c r="AG294" i="41"/>
  <c r="I981" i="41"/>
  <c r="H981" i="41"/>
  <c r="G981" i="41" s="1"/>
  <c r="AK980" i="41"/>
  <c r="AF980" i="41"/>
  <c r="AI980" i="41"/>
  <c r="AG980" i="41"/>
  <c r="AJ980" i="41"/>
  <c r="AH980" i="41"/>
  <c r="AH979" i="41"/>
  <c r="AK979" i="41"/>
  <c r="AF979" i="41"/>
  <c r="AG979" i="41"/>
  <c r="AI979" i="41"/>
  <c r="AJ979" i="41"/>
  <c r="R984" i="41"/>
  <c r="V984" i="41" s="1"/>
  <c r="S982" i="41"/>
  <c r="R238" i="41"/>
  <c r="V238" i="41" s="1"/>
  <c r="AE981" i="41"/>
  <c r="T981" i="41"/>
  <c r="O984" i="41"/>
  <c r="O238" i="41"/>
  <c r="W237" i="41"/>
  <c r="X237" i="41"/>
  <c r="P238" i="41"/>
  <c r="W983" i="41"/>
  <c r="P984" i="41"/>
  <c r="X983" i="41"/>
  <c r="AB981" i="41"/>
  <c r="M236" i="41"/>
  <c r="L236" i="41" s="1"/>
  <c r="S236" i="41"/>
  <c r="U237" i="41"/>
  <c r="Q238" i="41"/>
  <c r="U983" i="41"/>
  <c r="Q984" i="41"/>
  <c r="AB238" i="41" l="1" a="1"/>
  <c r="AB238" i="41" s="1"/>
  <c r="S237" i="41"/>
  <c r="AI295" i="41"/>
  <c r="AH295" i="41"/>
  <c r="AG295" i="41"/>
  <c r="AF295" i="41"/>
  <c r="AC236" i="41"/>
  <c r="AE296" i="41" s="1" a="1"/>
  <c r="AE296" i="41" s="1"/>
  <c r="AI296" i="41" s="1"/>
  <c r="AJ295" i="41"/>
  <c r="M980" i="41"/>
  <c r="M237" i="41"/>
  <c r="L237" i="41" s="1"/>
  <c r="S983" i="41"/>
  <c r="I983" i="41" s="1"/>
  <c r="I237" i="41"/>
  <c r="H237" i="41"/>
  <c r="G237" i="41" s="1"/>
  <c r="W238" i="41"/>
  <c r="X238" i="41"/>
  <c r="P239" i="41"/>
  <c r="O239" i="41"/>
  <c r="AD236" i="41"/>
  <c r="U984" i="41"/>
  <c r="AB983" i="41" s="1"/>
  <c r="Q985" i="41"/>
  <c r="I236" i="41"/>
  <c r="H236" i="41"/>
  <c r="G236" i="41" s="1"/>
  <c r="R985" i="41"/>
  <c r="V985" i="41" s="1"/>
  <c r="AF981" i="41"/>
  <c r="AG981" i="41"/>
  <c r="AH981" i="41"/>
  <c r="AI981" i="41"/>
  <c r="AK981" i="41"/>
  <c r="AJ981" i="41"/>
  <c r="U238" i="41"/>
  <c r="AD237" i="41" s="1"/>
  <c r="Q239" i="41"/>
  <c r="W984" i="41"/>
  <c r="X984" i="41"/>
  <c r="P985" i="41"/>
  <c r="M979" i="41"/>
  <c r="L979" i="41" s="1"/>
  <c r="R239" i="41"/>
  <c r="V239" i="41" s="1"/>
  <c r="AC982" i="41"/>
  <c r="AB982" i="41"/>
  <c r="H982" i="41"/>
  <c r="G982" i="41" s="1"/>
  <c r="I982" i="41"/>
  <c r="O985" i="41"/>
  <c r="AD982" i="41"/>
  <c r="H983" i="41" l="1"/>
  <c r="G983" i="41" s="1"/>
  <c r="AK296" i="41"/>
  <c r="AJ296" i="41"/>
  <c r="AF296" i="41"/>
  <c r="AH296" i="41"/>
  <c r="AG296" i="41"/>
  <c r="S984" i="41"/>
  <c r="H984" i="41" s="1"/>
  <c r="G984" i="41" s="1"/>
  <c r="L980" i="41"/>
  <c r="AD983" i="41"/>
  <c r="AC983" i="41"/>
  <c r="AE983" i="41" s="1"/>
  <c r="M981" i="41"/>
  <c r="W239" i="41"/>
  <c r="X239" i="41"/>
  <c r="P240" i="41"/>
  <c r="M238" i="41"/>
  <c r="L238" i="41" s="1"/>
  <c r="S238" i="41"/>
  <c r="O240" i="41"/>
  <c r="R240" i="41"/>
  <c r="V240" i="41" s="1"/>
  <c r="X985" i="41"/>
  <c r="W985" i="41"/>
  <c r="P986" i="41"/>
  <c r="R986" i="41"/>
  <c r="V986" i="41" s="1"/>
  <c r="U985" i="41"/>
  <c r="AB984" i="41" s="1"/>
  <c r="Q986" i="41"/>
  <c r="AE982" i="41"/>
  <c r="T982" i="41"/>
  <c r="U239" i="41"/>
  <c r="AD238" i="41" s="1"/>
  <c r="Q240" i="41"/>
  <c r="AB239" i="41" a="1"/>
  <c r="AB239" i="41" s="1"/>
  <c r="AC237" i="41"/>
  <c r="AE297" i="41" s="1" a="1"/>
  <c r="AE297" i="41" s="1"/>
  <c r="O986" i="41"/>
  <c r="I984" i="41" l="1"/>
  <c r="L981" i="41"/>
  <c r="AB240" i="41" a="1"/>
  <c r="AB240" i="41" s="1"/>
  <c r="T983" i="41"/>
  <c r="S985" i="41"/>
  <c r="I985" i="41" s="1"/>
  <c r="AI297" i="41"/>
  <c r="AK297" i="41"/>
  <c r="AH297" i="41"/>
  <c r="AJ297" i="41"/>
  <c r="AF297" i="41"/>
  <c r="AG297" i="41"/>
  <c r="U240" i="41"/>
  <c r="Q241" i="41"/>
  <c r="I238" i="41"/>
  <c r="H238" i="41"/>
  <c r="G238" i="41" s="1"/>
  <c r="AC984" i="41"/>
  <c r="AF983" i="41"/>
  <c r="AH983" i="41"/>
  <c r="AI983" i="41"/>
  <c r="AJ983" i="41"/>
  <c r="AG983" i="41"/>
  <c r="AK983" i="41"/>
  <c r="W240" i="41"/>
  <c r="X240" i="41"/>
  <c r="P241" i="41"/>
  <c r="R241" i="41"/>
  <c r="O241" i="41"/>
  <c r="AD984" i="41"/>
  <c r="U986" i="41"/>
  <c r="AB985" i="41" s="1"/>
  <c r="Q987" i="41"/>
  <c r="R987" i="41"/>
  <c r="S239" i="41"/>
  <c r="AF982" i="41"/>
  <c r="AG982" i="41"/>
  <c r="AH982" i="41"/>
  <c r="AJ982" i="41"/>
  <c r="AK982" i="41"/>
  <c r="AI982" i="41"/>
  <c r="H985" i="41"/>
  <c r="G985" i="41" s="1"/>
  <c r="M239" i="41"/>
  <c r="L239" i="41" s="1"/>
  <c r="AC238" i="41"/>
  <c r="AE298" i="41" s="1" a="1"/>
  <c r="AE298" i="41" s="1"/>
  <c r="W986" i="41"/>
  <c r="X986" i="41"/>
  <c r="P987" i="41"/>
  <c r="O987" i="41"/>
  <c r="AB241" i="41" l="1" a="1"/>
  <c r="AB241" i="41" s="1"/>
  <c r="AD985" i="41"/>
  <c r="S240" i="41"/>
  <c r="I240" i="41" s="1"/>
  <c r="M982" i="41"/>
  <c r="L982" i="41" s="1"/>
  <c r="M983" i="41"/>
  <c r="AE984" i="41"/>
  <c r="T984" i="41"/>
  <c r="I239" i="41"/>
  <c r="H239" i="41"/>
  <c r="G239" i="41" s="1"/>
  <c r="U987" i="41"/>
  <c r="AC986" i="41" s="1"/>
  <c r="Q988" i="41"/>
  <c r="W241" i="41"/>
  <c r="X241" i="41"/>
  <c r="P242" i="41"/>
  <c r="AH298" i="41"/>
  <c r="AG298" i="41"/>
  <c r="AI298" i="41"/>
  <c r="AF298" i="41"/>
  <c r="AJ298" i="41"/>
  <c r="AK298" i="41"/>
  <c r="U241" i="41"/>
  <c r="Q242" i="41"/>
  <c r="W987" i="41"/>
  <c r="X987" i="41"/>
  <c r="P988" i="41"/>
  <c r="AC239" i="41"/>
  <c r="AE299" i="41" s="1" a="1"/>
  <c r="AE299" i="41" s="1"/>
  <c r="H240" i="41"/>
  <c r="G240" i="41" s="1"/>
  <c r="S986" i="41"/>
  <c r="R242" i="41"/>
  <c r="AC985" i="41"/>
  <c r="AD239" i="41"/>
  <c r="M240" i="41"/>
  <c r="L240" i="41" s="1"/>
  <c r="R988" i="41"/>
  <c r="V987" i="41"/>
  <c r="O988" i="41" s="1"/>
  <c r="V241" i="41"/>
  <c r="O242" i="41" s="1"/>
  <c r="L983" i="41" l="1"/>
  <c r="V988" i="41"/>
  <c r="W242" i="41"/>
  <c r="X242" i="41"/>
  <c r="P243" i="41"/>
  <c r="W988" i="41"/>
  <c r="X988" i="41"/>
  <c r="P989" i="41"/>
  <c r="AE986" i="41"/>
  <c r="T986" i="41"/>
  <c r="AD986" i="41"/>
  <c r="O989" i="41"/>
  <c r="U242" i="41"/>
  <c r="Q243" i="41"/>
  <c r="V242" i="41"/>
  <c r="O243" i="41" s="1"/>
  <c r="R243" i="41"/>
  <c r="V243" i="41" s="1"/>
  <c r="H986" i="41"/>
  <c r="G986" i="41" s="1"/>
  <c r="I986" i="41"/>
  <c r="S987" i="41"/>
  <c r="AH299" i="41"/>
  <c r="AK299" i="41"/>
  <c r="AI299" i="41"/>
  <c r="AF299" i="41"/>
  <c r="AJ299" i="41"/>
  <c r="AG299" i="41"/>
  <c r="M241" i="41"/>
  <c r="L241" i="41" s="1"/>
  <c r="AF984" i="41"/>
  <c r="AH984" i="41"/>
  <c r="AI984" i="41"/>
  <c r="AG984" i="41"/>
  <c r="AJ984" i="41"/>
  <c r="AK984" i="41"/>
  <c r="AE985" i="41"/>
  <c r="T985" i="41"/>
  <c r="AB242" i="41" a="1"/>
  <c r="AB242" i="41" s="1"/>
  <c r="S241" i="41"/>
  <c r="U988" i="41"/>
  <c r="AB987" i="41" s="1"/>
  <c r="Q989" i="41"/>
  <c r="R989" i="41"/>
  <c r="V989" i="41" s="1"/>
  <c r="AC240" i="41"/>
  <c r="AE300" i="41" s="1" a="1"/>
  <c r="AE300" i="41" s="1"/>
  <c r="AD240" i="41"/>
  <c r="AB986" i="41"/>
  <c r="S242" i="41" l="1"/>
  <c r="I242" i="41" s="1"/>
  <c r="M984" i="41"/>
  <c r="L984" i="41" s="1"/>
  <c r="W243" i="41"/>
  <c r="X243" i="41"/>
  <c r="P244" i="41"/>
  <c r="O990" i="41"/>
  <c r="AG986" i="41"/>
  <c r="AH986" i="41"/>
  <c r="AF986" i="41"/>
  <c r="AK986" i="41"/>
  <c r="AJ986" i="41"/>
  <c r="AI986" i="41"/>
  <c r="R990" i="41"/>
  <c r="V990" i="41" s="1"/>
  <c r="AD987" i="41"/>
  <c r="AC987" i="41"/>
  <c r="O244" i="41"/>
  <c r="U243" i="41"/>
  <c r="S243" i="41" s="1"/>
  <c r="I243" i="41" s="1"/>
  <c r="Q244" i="41"/>
  <c r="R244" i="41"/>
  <c r="AB243" i="41" a="1"/>
  <c r="AB243" i="41" s="1"/>
  <c r="I241" i="41"/>
  <c r="H241" i="41"/>
  <c r="G241" i="41" s="1"/>
  <c r="AC241" i="41"/>
  <c r="AE301" i="41" s="1" a="1"/>
  <c r="AE301" i="41" s="1"/>
  <c r="AF985" i="41"/>
  <c r="AJ985" i="41"/>
  <c r="AH985" i="41"/>
  <c r="AG985" i="41"/>
  <c r="AI985" i="41"/>
  <c r="AK985" i="41"/>
  <c r="AG300" i="41"/>
  <c r="AI300" i="41"/>
  <c r="AK300" i="41"/>
  <c r="AH300" i="41"/>
  <c r="AF300" i="41"/>
  <c r="AJ300" i="41"/>
  <c r="W989" i="41"/>
  <c r="X989" i="41"/>
  <c r="P990" i="41"/>
  <c r="U989" i="41"/>
  <c r="AC988" i="41" s="1"/>
  <c r="Q990" i="41"/>
  <c r="I987" i="41"/>
  <c r="H987" i="41"/>
  <c r="G987" i="41" s="1"/>
  <c r="AD241" i="41"/>
  <c r="S988" i="41"/>
  <c r="M242" i="41"/>
  <c r="L242" i="41" s="1"/>
  <c r="AB244" i="41" l="1" a="1"/>
  <c r="AB244" i="41" s="1"/>
  <c r="AC242" i="41"/>
  <c r="AE302" i="41" s="1" a="1"/>
  <c r="AE302" i="41" s="1"/>
  <c r="AH302" i="41" s="1"/>
  <c r="AD242" i="41"/>
  <c r="H242" i="41"/>
  <c r="G242" i="41" s="1"/>
  <c r="M986" i="41"/>
  <c r="M985" i="41"/>
  <c r="L985" i="41" s="1"/>
  <c r="AE988" i="41"/>
  <c r="T988" i="41"/>
  <c r="U244" i="41"/>
  <c r="AC243" i="41" s="1"/>
  <c r="AE303" i="41" s="1" a="1"/>
  <c r="AE303" i="41" s="1"/>
  <c r="Q245" i="41"/>
  <c r="AE987" i="41"/>
  <c r="T987" i="41"/>
  <c r="W990" i="41"/>
  <c r="X990" i="41"/>
  <c r="P991" i="41"/>
  <c r="I988" i="41"/>
  <c r="H988" i="41"/>
  <c r="G988" i="41" s="1"/>
  <c r="S989" i="41"/>
  <c r="AD988" i="41"/>
  <c r="AB988" i="41"/>
  <c r="U990" i="41"/>
  <c r="Q991" i="41"/>
  <c r="R245" i="41"/>
  <c r="O991" i="41"/>
  <c r="AJ301" i="41"/>
  <c r="AG301" i="41"/>
  <c r="AK301" i="41"/>
  <c r="AI301" i="41"/>
  <c r="AH301" i="41"/>
  <c r="AF301" i="41"/>
  <c r="V244" i="41"/>
  <c r="O245" i="41" s="1"/>
  <c r="H243" i="41"/>
  <c r="G243" i="41" s="1"/>
  <c r="M243" i="41"/>
  <c r="L243" i="41" s="1"/>
  <c r="R991" i="41"/>
  <c r="W244" i="41"/>
  <c r="X244" i="41"/>
  <c r="P245" i="41"/>
  <c r="AJ302" i="41" l="1"/>
  <c r="AF302" i="41"/>
  <c r="AI302" i="41"/>
  <c r="AK302" i="41"/>
  <c r="AG302" i="41"/>
  <c r="AB245" i="41" a="1"/>
  <c r="AB245" i="41" s="1"/>
  <c r="S244" i="41"/>
  <c r="I244" i="41" s="1"/>
  <c r="AD243" i="41"/>
  <c r="V245" i="41"/>
  <c r="O246" i="41" s="1"/>
  <c r="L986" i="41"/>
  <c r="AG303" i="41"/>
  <c r="AJ303" i="41"/>
  <c r="AK303" i="41"/>
  <c r="AI303" i="41"/>
  <c r="AH303" i="41"/>
  <c r="AF303" i="41"/>
  <c r="M244" i="41"/>
  <c r="L244" i="41" s="1"/>
  <c r="W245" i="41"/>
  <c r="X245" i="41"/>
  <c r="P246" i="41"/>
  <c r="AH987" i="41"/>
  <c r="AF987" i="41"/>
  <c r="AG987" i="41"/>
  <c r="AK987" i="41"/>
  <c r="AI987" i="41"/>
  <c r="AJ987" i="41"/>
  <c r="AC989" i="41"/>
  <c r="AB989" i="41"/>
  <c r="I989" i="41"/>
  <c r="H989" i="41"/>
  <c r="G989" i="41" s="1"/>
  <c r="U991" i="41"/>
  <c r="Q992" i="41"/>
  <c r="U245" i="41"/>
  <c r="AC244" i="41" s="1"/>
  <c r="AE304" i="41" s="1" a="1"/>
  <c r="AE304" i="41" s="1"/>
  <c r="Q246" i="41"/>
  <c r="W991" i="41"/>
  <c r="X991" i="41"/>
  <c r="P992" i="41"/>
  <c r="S990" i="41"/>
  <c r="AD989" i="41"/>
  <c r="V991" i="41"/>
  <c r="O992" i="41" s="1"/>
  <c r="R246" i="41"/>
  <c r="V246" i="41" s="1"/>
  <c r="R992" i="41"/>
  <c r="AF988" i="41"/>
  <c r="AI988" i="41"/>
  <c r="AH988" i="41"/>
  <c r="AK988" i="41"/>
  <c r="AG988" i="41"/>
  <c r="AJ988" i="41"/>
  <c r="H244" i="41" l="1"/>
  <c r="G244" i="41" s="1"/>
  <c r="V992" i="41"/>
  <c r="M987" i="41"/>
  <c r="L987" i="41" s="1"/>
  <c r="AB246" i="41" a="1"/>
  <c r="AB246" i="41" s="1"/>
  <c r="M988" i="41"/>
  <c r="S245" i="41"/>
  <c r="I245" i="41" s="1"/>
  <c r="M245" i="41"/>
  <c r="L245" i="41" s="1"/>
  <c r="S991" i="41"/>
  <c r="H991" i="41" s="1"/>
  <c r="G991" i="41" s="1"/>
  <c r="AD244" i="41"/>
  <c r="AE989" i="41"/>
  <c r="T989" i="41"/>
  <c r="R993" i="41"/>
  <c r="AK304" i="41"/>
  <c r="AF304" i="41"/>
  <c r="AI304" i="41"/>
  <c r="AH304" i="41"/>
  <c r="AJ304" i="41"/>
  <c r="AG304" i="41"/>
  <c r="W992" i="41"/>
  <c r="X992" i="41"/>
  <c r="P993" i="41"/>
  <c r="O247" i="41"/>
  <c r="U246" i="41"/>
  <c r="AD245" i="41" s="1"/>
  <c r="Q247" i="41"/>
  <c r="H990" i="41"/>
  <c r="G990" i="41" s="1"/>
  <c r="I990" i="41"/>
  <c r="U992" i="41"/>
  <c r="AD991" i="41" s="1"/>
  <c r="Q993" i="41"/>
  <c r="R247" i="41"/>
  <c r="V247" i="41" s="1"/>
  <c r="AD990" i="41"/>
  <c r="O993" i="41"/>
  <c r="AB990" i="41"/>
  <c r="W246" i="41"/>
  <c r="X246" i="41"/>
  <c r="P247" i="41"/>
  <c r="AC990" i="41"/>
  <c r="V993" i="41" l="1"/>
  <c r="I991" i="41"/>
  <c r="S992" i="41"/>
  <c r="I992" i="41" s="1"/>
  <c r="L988" i="41"/>
  <c r="H245" i="41"/>
  <c r="G245" i="41" s="1"/>
  <c r="AC245" i="41"/>
  <c r="AE305" i="41" s="1" a="1"/>
  <c r="AE305" i="41" s="1"/>
  <c r="AH305" i="41" s="1"/>
  <c r="AB247" i="41" a="1"/>
  <c r="AB247" i="41" s="1"/>
  <c r="S246" i="41"/>
  <c r="W247" i="41"/>
  <c r="X247" i="41"/>
  <c r="P248" i="41"/>
  <c r="U247" i="41"/>
  <c r="AD246" i="41" s="1"/>
  <c r="Q248" i="41"/>
  <c r="H992" i="41"/>
  <c r="G992" i="41" s="1"/>
  <c r="U993" i="41"/>
  <c r="AC992" i="41" s="1"/>
  <c r="Q994" i="41"/>
  <c r="O994" i="41"/>
  <c r="AJ989" i="41"/>
  <c r="AH989" i="41"/>
  <c r="AI989" i="41"/>
  <c r="AF989" i="41"/>
  <c r="AK989" i="41"/>
  <c r="AG989" i="41"/>
  <c r="W993" i="41"/>
  <c r="X993" i="41"/>
  <c r="P994" i="41"/>
  <c r="R994" i="41"/>
  <c r="AE990" i="41"/>
  <c r="T990" i="41"/>
  <c r="R248" i="41"/>
  <c r="M246" i="41"/>
  <c r="L246" i="41" s="1"/>
  <c r="AB991" i="41"/>
  <c r="O248" i="41"/>
  <c r="AC991" i="41"/>
  <c r="V994" i="41" l="1"/>
  <c r="S247" i="41"/>
  <c r="I247" i="41" s="1"/>
  <c r="AG305" i="41"/>
  <c r="AI305" i="41"/>
  <c r="AK305" i="41"/>
  <c r="AJ305" i="41"/>
  <c r="AF305" i="41"/>
  <c r="M989" i="41"/>
  <c r="L989" i="41" s="1"/>
  <c r="AC246" i="41"/>
  <c r="AE306" i="41" s="1" a="1"/>
  <c r="AE306" i="41" s="1"/>
  <c r="AK306" i="41" s="1"/>
  <c r="I246" i="41"/>
  <c r="H246" i="41"/>
  <c r="G246" i="41" s="1"/>
  <c r="AB992" i="41"/>
  <c r="AE992" i="41"/>
  <c r="T992" i="41"/>
  <c r="AD992" i="41"/>
  <c r="U248" i="41"/>
  <c r="Q249" i="41"/>
  <c r="U994" i="41"/>
  <c r="Q995" i="41"/>
  <c r="AB248" i="41" a="1"/>
  <c r="AB248" i="41" s="1"/>
  <c r="V248" i="41"/>
  <c r="O249" i="41" s="1"/>
  <c r="W994" i="41"/>
  <c r="X994" i="41"/>
  <c r="P995" i="41"/>
  <c r="R249" i="41"/>
  <c r="V249" i="41" s="1"/>
  <c r="AK990" i="41"/>
  <c r="AG990" i="41"/>
  <c r="AI990" i="41"/>
  <c r="AF990" i="41"/>
  <c r="AJ990" i="41"/>
  <c r="AH990" i="41"/>
  <c r="S993" i="41"/>
  <c r="AE991" i="41"/>
  <c r="T991" i="41"/>
  <c r="W248" i="41"/>
  <c r="X248" i="41"/>
  <c r="P249" i="41"/>
  <c r="R995" i="41"/>
  <c r="V995" i="41" s="1"/>
  <c r="M247" i="41"/>
  <c r="L247" i="41" s="1"/>
  <c r="O995" i="41"/>
  <c r="H247" i="41" l="1"/>
  <c r="G247" i="41" s="1"/>
  <c r="AI306" i="41"/>
  <c r="AF306" i="41"/>
  <c r="AH306" i="41"/>
  <c r="AG306" i="41"/>
  <c r="M990" i="41"/>
  <c r="L990" i="41" s="1"/>
  <c r="AJ306" i="41"/>
  <c r="W249" i="41"/>
  <c r="X249" i="41"/>
  <c r="P250" i="41"/>
  <c r="R996" i="41"/>
  <c r="V996" i="41" s="1"/>
  <c r="O250" i="41"/>
  <c r="M248" i="41"/>
  <c r="L248" i="41" s="1"/>
  <c r="AJ992" i="41"/>
  <c r="AH992" i="41"/>
  <c r="AG992" i="41"/>
  <c r="AF992" i="41"/>
  <c r="AI992" i="41"/>
  <c r="AK992" i="41"/>
  <c r="AB993" i="41"/>
  <c r="S994" i="41"/>
  <c r="AJ991" i="41"/>
  <c r="AI991" i="41"/>
  <c r="AH991" i="41"/>
  <c r="AK991" i="41"/>
  <c r="AG991" i="41"/>
  <c r="AF991" i="41"/>
  <c r="H993" i="41"/>
  <c r="G993" i="41" s="1"/>
  <c r="I993" i="41"/>
  <c r="AC247" i="41"/>
  <c r="AE307" i="41" s="1" a="1"/>
  <c r="AE307" i="41" s="1"/>
  <c r="AD993" i="41"/>
  <c r="R250" i="41"/>
  <c r="V250" i="41" s="1"/>
  <c r="W995" i="41"/>
  <c r="P996" i="41"/>
  <c r="X995" i="41"/>
  <c r="U249" i="41"/>
  <c r="Q250" i="41"/>
  <c r="AD247" i="41"/>
  <c r="AC993" i="41"/>
  <c r="S248" i="41"/>
  <c r="U995" i="41"/>
  <c r="AD994" i="41" s="1"/>
  <c r="Q996" i="41"/>
  <c r="AB249" i="41" a="1"/>
  <c r="AB249" i="41" s="1"/>
  <c r="O996" i="41"/>
  <c r="M992" i="41" l="1"/>
  <c r="AC994" i="41"/>
  <c r="S249" i="41"/>
  <c r="I249" i="41" s="1"/>
  <c r="M991" i="41"/>
  <c r="L991" i="41" s="1"/>
  <c r="AB250" i="41" a="1"/>
  <c r="AB250" i="41" s="1"/>
  <c r="O997" i="41"/>
  <c r="W250" i="41"/>
  <c r="P251" i="41"/>
  <c r="X250" i="41"/>
  <c r="I248" i="41"/>
  <c r="H248" i="41"/>
  <c r="G248" i="41" s="1"/>
  <c r="AE993" i="41"/>
  <c r="T993" i="41"/>
  <c r="R997" i="41"/>
  <c r="AE994" i="41"/>
  <c r="T994" i="41"/>
  <c r="AI307" i="41"/>
  <c r="AF307" i="41"/>
  <c r="AK307" i="41"/>
  <c r="AG307" i="41"/>
  <c r="AH307" i="41"/>
  <c r="AJ307" i="41"/>
  <c r="U996" i="41"/>
  <c r="Q997" i="41"/>
  <c r="R251" i="41"/>
  <c r="I994" i="41"/>
  <c r="H994" i="41"/>
  <c r="G994" i="41" s="1"/>
  <c r="O251" i="41"/>
  <c r="AB994" i="41"/>
  <c r="W996" i="41"/>
  <c r="X996" i="41"/>
  <c r="P997" i="41"/>
  <c r="AC248" i="41"/>
  <c r="AE308" i="41" s="1" a="1"/>
  <c r="AE308" i="41" s="1"/>
  <c r="U250" i="41"/>
  <c r="AC249" i="41" s="1"/>
  <c r="AE309" i="41" s="1" a="1"/>
  <c r="AE309" i="41" s="1"/>
  <c r="Q251" i="41"/>
  <c r="S995" i="41"/>
  <c r="AD248" i="41"/>
  <c r="M249" i="41"/>
  <c r="L249" i="41" s="1"/>
  <c r="L992" i="41" l="1"/>
  <c r="H249" i="41"/>
  <c r="G249" i="41" s="1"/>
  <c r="S996" i="41"/>
  <c r="AB251" i="41" a="1"/>
  <c r="AB251" i="41" s="1"/>
  <c r="S250" i="41"/>
  <c r="I250" i="41" s="1"/>
  <c r="AD995" i="41"/>
  <c r="AC995" i="41"/>
  <c r="T995" i="41" s="1"/>
  <c r="AJ309" i="41"/>
  <c r="AK309" i="41"/>
  <c r="AI309" i="41"/>
  <c r="AH309" i="41"/>
  <c r="AG309" i="41"/>
  <c r="AF309" i="41"/>
  <c r="H996" i="41"/>
  <c r="G996" i="41" s="1"/>
  <c r="I996" i="41"/>
  <c r="R998" i="41"/>
  <c r="U251" i="41"/>
  <c r="AD250" i="41" s="1"/>
  <c r="Q252" i="41"/>
  <c r="AH308" i="41"/>
  <c r="AK308" i="41"/>
  <c r="AJ308" i="41"/>
  <c r="AI308" i="41"/>
  <c r="AF308" i="41"/>
  <c r="AG308" i="41"/>
  <c r="R252" i="41"/>
  <c r="V252" i="41" s="1"/>
  <c r="M250" i="41"/>
  <c r="L250" i="41" s="1"/>
  <c r="I995" i="41"/>
  <c r="H995" i="41"/>
  <c r="G995" i="41" s="1"/>
  <c r="W997" i="41"/>
  <c r="X997" i="41"/>
  <c r="P998" i="41"/>
  <c r="AJ994" i="41"/>
  <c r="AF994" i="41"/>
  <c r="AH994" i="41"/>
  <c r="AK994" i="41"/>
  <c r="AI994" i="41"/>
  <c r="AG994" i="41"/>
  <c r="U997" i="41"/>
  <c r="AC996" i="41" s="1"/>
  <c r="Q998" i="41"/>
  <c r="AD249" i="41"/>
  <c r="V251" i="41"/>
  <c r="O252" i="41" s="1"/>
  <c r="V997" i="41"/>
  <c r="O998" i="41" s="1"/>
  <c r="W251" i="41"/>
  <c r="X251" i="41"/>
  <c r="P252" i="41"/>
  <c r="AB995" i="41"/>
  <c r="AJ993" i="41"/>
  <c r="AI993" i="41"/>
  <c r="AG993" i="41"/>
  <c r="AH993" i="41"/>
  <c r="AK993" i="41"/>
  <c r="AF993" i="41"/>
  <c r="H250" i="41" l="1"/>
  <c r="G250" i="41" s="1"/>
  <c r="AD996" i="41"/>
  <c r="V998" i="41"/>
  <c r="AE995" i="41"/>
  <c r="AJ995" i="41" s="1"/>
  <c r="S251" i="41"/>
  <c r="I251" i="41" s="1"/>
  <c r="S997" i="41"/>
  <c r="H997" i="41" s="1"/>
  <c r="G997" i="41" s="1"/>
  <c r="AC250" i="41"/>
  <c r="AE310" i="41" s="1" a="1"/>
  <c r="AE310" i="41" s="1"/>
  <c r="AG310" i="41" s="1"/>
  <c r="M994" i="41"/>
  <c r="W252" i="41"/>
  <c r="P253" i="41"/>
  <c r="X252" i="41"/>
  <c r="O253" i="41"/>
  <c r="W998" i="41"/>
  <c r="X998" i="41"/>
  <c r="P999" i="41"/>
  <c r="AF995" i="41"/>
  <c r="R253" i="41"/>
  <c r="V253" i="41" s="1"/>
  <c r="AB996" i="41"/>
  <c r="U252" i="41"/>
  <c r="AD251" i="41" s="1"/>
  <c r="Q253" i="41"/>
  <c r="U998" i="41"/>
  <c r="AD997" i="41" s="1"/>
  <c r="Q999" i="41"/>
  <c r="AE996" i="41"/>
  <c r="T996" i="41"/>
  <c r="O999" i="41"/>
  <c r="M993" i="41"/>
  <c r="L993" i="41" s="1"/>
  <c r="M251" i="41"/>
  <c r="L251" i="41" s="1"/>
  <c r="R999" i="41"/>
  <c r="V999" i="41" s="1"/>
  <c r="AB252" i="41" a="1"/>
  <c r="AB252" i="41" s="1"/>
  <c r="AH995" i="41" l="1"/>
  <c r="AK995" i="41"/>
  <c r="S998" i="41"/>
  <c r="I998" i="41" s="1"/>
  <c r="AC997" i="41"/>
  <c r="AE997" i="41" s="1"/>
  <c r="I997" i="41"/>
  <c r="AG995" i="41"/>
  <c r="AI995" i="41"/>
  <c r="L994" i="41"/>
  <c r="H251" i="41"/>
  <c r="G251" i="41" s="1"/>
  <c r="AI310" i="41"/>
  <c r="AB253" i="41" a="1"/>
  <c r="AB253" i="41" s="1"/>
  <c r="AK310" i="41"/>
  <c r="AH310" i="41"/>
  <c r="AF310" i="41"/>
  <c r="AJ310" i="41"/>
  <c r="H998" i="41"/>
  <c r="G998" i="41" s="1"/>
  <c r="S252" i="41"/>
  <c r="R1000" i="41"/>
  <c r="AJ996" i="41"/>
  <c r="AK996" i="41"/>
  <c r="AI996" i="41"/>
  <c r="AH996" i="41"/>
  <c r="AF996" i="41"/>
  <c r="AG996" i="41"/>
  <c r="U253" i="41"/>
  <c r="Q254" i="41"/>
  <c r="AC251" i="41"/>
  <c r="W999" i="41"/>
  <c r="X999" i="41"/>
  <c r="P1000" i="41"/>
  <c r="O1000" i="41"/>
  <c r="R254" i="41"/>
  <c r="V254" i="41" s="1"/>
  <c r="AB997" i="41"/>
  <c r="M252" i="41"/>
  <c r="L252" i="41" s="1"/>
  <c r="U999" i="41"/>
  <c r="S999" i="41" s="1"/>
  <c r="Q1000" i="41"/>
  <c r="O254" i="41"/>
  <c r="W253" i="41"/>
  <c r="P254" i="41"/>
  <c r="X253" i="41"/>
  <c r="M995" i="41" l="1"/>
  <c r="L995" i="41" s="1"/>
  <c r="T997" i="41"/>
  <c r="S253" i="41"/>
  <c r="H253" i="41" s="1"/>
  <c r="G253" i="41" s="1"/>
  <c r="M996" i="41"/>
  <c r="AC998" i="41"/>
  <c r="T998" i="41" s="1"/>
  <c r="AD998" i="41"/>
  <c r="I253" i="41"/>
  <c r="AD252" i="41"/>
  <c r="AC252" i="41"/>
  <c r="AE312" i="41" s="1" a="1"/>
  <c r="AE312" i="41" s="1"/>
  <c r="AH312" i="41" s="1"/>
  <c r="AB254" i="41" a="1"/>
  <c r="AB254" i="41" s="1"/>
  <c r="I999" i="41"/>
  <c r="H999" i="41"/>
  <c r="G999" i="41" s="1"/>
  <c r="W254" i="41"/>
  <c r="X254" i="41"/>
  <c r="P255" i="41"/>
  <c r="AP311" i="41" a="1"/>
  <c r="AP311" i="41" s="1"/>
  <c r="AE311" i="41" a="1"/>
  <c r="AE311" i="41" s="1"/>
  <c r="O255" i="41"/>
  <c r="U1000" i="41"/>
  <c r="Q1001" i="41"/>
  <c r="R255" i="41"/>
  <c r="M253" i="41"/>
  <c r="L253" i="41" s="1"/>
  <c r="W1000" i="41"/>
  <c r="X1000" i="41"/>
  <c r="P1001" i="41"/>
  <c r="V1000" i="41"/>
  <c r="O1001" i="41" s="1"/>
  <c r="I252" i="41"/>
  <c r="H252" i="41"/>
  <c r="G252" i="41" s="1"/>
  <c r="AF997" i="41"/>
  <c r="AJ997" i="41"/>
  <c r="AG997" i="41"/>
  <c r="AI997" i="41"/>
  <c r="AH997" i="41"/>
  <c r="AK997" i="41"/>
  <c r="U254" i="41"/>
  <c r="AD253" i="41" s="1"/>
  <c r="Q255" i="41"/>
  <c r="AB998" i="41"/>
  <c r="R1001" i="41"/>
  <c r="AE998" i="41" l="1"/>
  <c r="AH998" i="41" s="1"/>
  <c r="L996" i="41"/>
  <c r="AK312" i="41"/>
  <c r="AF312" i="41"/>
  <c r="AG312" i="41"/>
  <c r="AI312" i="41"/>
  <c r="AJ312" i="41"/>
  <c r="M997" i="41"/>
  <c r="S254" i="41"/>
  <c r="I254" i="41" s="1"/>
  <c r="R1002" i="41"/>
  <c r="AB999" i="41"/>
  <c r="U1001" i="41"/>
  <c r="Q1002" i="41"/>
  <c r="V1001" i="41"/>
  <c r="O1002" i="41" s="1"/>
  <c r="W255" i="41"/>
  <c r="X255" i="41"/>
  <c r="P256" i="41"/>
  <c r="U255" i="41"/>
  <c r="AD254" i="41" s="1"/>
  <c r="Q256" i="41"/>
  <c r="V255" i="41"/>
  <c r="O256" i="41" s="1"/>
  <c r="AD999" i="41"/>
  <c r="AC999" i="41"/>
  <c r="R256" i="41"/>
  <c r="AC253" i="41"/>
  <c r="AE313" i="41" s="1" a="1"/>
  <c r="AE313" i="41" s="1"/>
  <c r="AB255" i="41" a="1"/>
  <c r="AB255" i="41" s="1"/>
  <c r="AH311" i="41"/>
  <c r="AJ311" i="41"/>
  <c r="AF311" i="41"/>
  <c r="AI311" i="41"/>
  <c r="AK311" i="41"/>
  <c r="AG311" i="41"/>
  <c r="W1001" i="41"/>
  <c r="X1001" i="41"/>
  <c r="P1002" i="41"/>
  <c r="S1000" i="41"/>
  <c r="M254" i="41"/>
  <c r="L254" i="41" s="1"/>
  <c r="AJ998" i="41" l="1"/>
  <c r="V1002" i="41"/>
  <c r="AF998" i="41"/>
  <c r="AK998" i="41"/>
  <c r="AI998" i="41"/>
  <c r="AG998" i="41"/>
  <c r="L997" i="41"/>
  <c r="H254" i="41"/>
  <c r="G254" i="41" s="1"/>
  <c r="W1002" i="41"/>
  <c r="X1002" i="41"/>
  <c r="P1003" i="41"/>
  <c r="W256" i="41"/>
  <c r="X256" i="41"/>
  <c r="P257" i="41"/>
  <c r="U256" i="41"/>
  <c r="AC255" i="41" s="1"/>
  <c r="AE315" i="41" s="1" a="1"/>
  <c r="AE315" i="41" s="1"/>
  <c r="Q257" i="41"/>
  <c r="R257" i="41"/>
  <c r="AD1000" i="41"/>
  <c r="AB256" i="41" a="1"/>
  <c r="AB256" i="41" s="1"/>
  <c r="AE999" i="41"/>
  <c r="T999" i="41"/>
  <c r="AC1000" i="41"/>
  <c r="V256" i="41"/>
  <c r="O257" i="41" s="1"/>
  <c r="AC254" i="41"/>
  <c r="AE314" i="41" s="1" a="1"/>
  <c r="AE314" i="41" s="1"/>
  <c r="M255" i="41"/>
  <c r="L255" i="41" s="1"/>
  <c r="AB1000" i="41"/>
  <c r="I1000" i="41"/>
  <c r="H1000" i="41"/>
  <c r="G1000" i="41" s="1"/>
  <c r="S1001" i="41"/>
  <c r="O1003" i="41"/>
  <c r="S255" i="41"/>
  <c r="U1002" i="41"/>
  <c r="AC1001" i="41" s="1"/>
  <c r="Q1003" i="41"/>
  <c r="R1003" i="41"/>
  <c r="AJ313" i="41"/>
  <c r="AG313" i="41"/>
  <c r="AH313" i="41"/>
  <c r="AK313" i="41"/>
  <c r="AF313" i="41"/>
  <c r="AI313" i="41"/>
  <c r="M998" i="41" l="1"/>
  <c r="L998" i="41" s="1"/>
  <c r="AD1001" i="41"/>
  <c r="AD255" i="41"/>
  <c r="S256" i="41"/>
  <c r="AE1000" i="41"/>
  <c r="T1000" i="41"/>
  <c r="AH999" i="41"/>
  <c r="AK999" i="41"/>
  <c r="AG999" i="41"/>
  <c r="AI999" i="41"/>
  <c r="AJ999" i="41"/>
  <c r="AF999" i="41"/>
  <c r="AE1001" i="41"/>
  <c r="T1001" i="41"/>
  <c r="R258" i="41"/>
  <c r="M256" i="41"/>
  <c r="L256" i="41" s="1"/>
  <c r="W257" i="41"/>
  <c r="X257" i="41"/>
  <c r="P258" i="41"/>
  <c r="U257" i="41"/>
  <c r="Q258" i="41"/>
  <c r="R1004" i="41"/>
  <c r="AB257" i="41" a="1"/>
  <c r="AB257" i="41" s="1"/>
  <c r="I255" i="41"/>
  <c r="H255" i="41"/>
  <c r="G255" i="41" s="1"/>
  <c r="H1001" i="41"/>
  <c r="G1001" i="41" s="1"/>
  <c r="I1001" i="41"/>
  <c r="AB1001" i="41"/>
  <c r="AG314" i="41"/>
  <c r="AK314" i="41"/>
  <c r="AF314" i="41"/>
  <c r="AJ314" i="41"/>
  <c r="AH314" i="41"/>
  <c r="AI314" i="41"/>
  <c r="Q1004" i="41"/>
  <c r="U1003" i="41"/>
  <c r="AI315" i="41"/>
  <c r="AH315" i="41"/>
  <c r="AK315" i="41"/>
  <c r="AF315" i="41"/>
  <c r="AG315" i="41"/>
  <c r="AJ315" i="41"/>
  <c r="V1003" i="41"/>
  <c r="O1004" i="41" s="1"/>
  <c r="W1003" i="41"/>
  <c r="X1003" i="41"/>
  <c r="P1004" i="41"/>
  <c r="S1002" i="41"/>
  <c r="V257" i="41"/>
  <c r="O258" i="41" s="1"/>
  <c r="V1004" i="41" l="1"/>
  <c r="O1005" i="41" s="1"/>
  <c r="V258" i="41"/>
  <c r="M999" i="41"/>
  <c r="L999" i="41" s="1"/>
  <c r="I256" i="41"/>
  <c r="H256" i="41"/>
  <c r="G256" i="41" s="1"/>
  <c r="W1004" i="41"/>
  <c r="P1005" i="41"/>
  <c r="X1004" i="41"/>
  <c r="AI1001" i="41"/>
  <c r="AK1001" i="41"/>
  <c r="AH1001" i="41"/>
  <c r="AF1001" i="41"/>
  <c r="AJ1001" i="41"/>
  <c r="AG1001" i="41"/>
  <c r="AB1002" i="41"/>
  <c r="O259" i="41"/>
  <c r="W258" i="41"/>
  <c r="X258" i="41"/>
  <c r="P259" i="41"/>
  <c r="S257" i="41"/>
  <c r="R259" i="41"/>
  <c r="R1005" i="41"/>
  <c r="V1005" i="41" s="1"/>
  <c r="U1004" i="41"/>
  <c r="AD1003" i="41" s="1"/>
  <c r="Q1005" i="41"/>
  <c r="M257" i="41"/>
  <c r="L257" i="41" s="1"/>
  <c r="AD256" i="41"/>
  <c r="AC1002" i="41"/>
  <c r="U258" i="41"/>
  <c r="AC257" i="41" s="1"/>
  <c r="AE317" i="41" s="1" a="1"/>
  <c r="AE317" i="41" s="1"/>
  <c r="Q259" i="41"/>
  <c r="AK1000" i="41"/>
  <c r="AF1000" i="41"/>
  <c r="AG1000" i="41"/>
  <c r="AI1000" i="41"/>
  <c r="AH1000" i="41"/>
  <c r="AJ1000" i="41"/>
  <c r="I1002" i="41"/>
  <c r="H1002" i="41"/>
  <c r="G1002" i="41" s="1"/>
  <c r="AC256" i="41"/>
  <c r="AE316" i="41" s="1" a="1"/>
  <c r="AE316" i="41" s="1"/>
  <c r="AD1002" i="41"/>
  <c r="S1003" i="41"/>
  <c r="AB258" i="41" a="1"/>
  <c r="AB258" i="41" s="1"/>
  <c r="M1001" i="41" l="1"/>
  <c r="AD257" i="41"/>
  <c r="AI317" i="41"/>
  <c r="AF317" i="41"/>
  <c r="AJ317" i="41"/>
  <c r="AK317" i="41"/>
  <c r="AG317" i="41"/>
  <c r="AH317" i="41"/>
  <c r="O1006" i="41"/>
  <c r="R260" i="41"/>
  <c r="M1000" i="41"/>
  <c r="L1000" i="41" s="1"/>
  <c r="I1003" i="41"/>
  <c r="H1003" i="41"/>
  <c r="G1003" i="41" s="1"/>
  <c r="U1005" i="41"/>
  <c r="AD1004" i="41" s="1"/>
  <c r="Q1006" i="41"/>
  <c r="M258" i="41"/>
  <c r="L258" i="41" s="1"/>
  <c r="W259" i="41"/>
  <c r="X259" i="41"/>
  <c r="P260" i="41"/>
  <c r="U259" i="41"/>
  <c r="AD258" i="41" s="1"/>
  <c r="Q260" i="41"/>
  <c r="S258" i="41"/>
  <c r="V259" i="41"/>
  <c r="O260" i="41" s="1"/>
  <c r="AB259" i="41" a="1"/>
  <c r="AB259" i="41" s="1"/>
  <c r="AB1003" i="41"/>
  <c r="R1006" i="41"/>
  <c r="V1006" i="41" s="1"/>
  <c r="AF316" i="41"/>
  <c r="AI316" i="41"/>
  <c r="AJ316" i="41"/>
  <c r="AK316" i="41"/>
  <c r="AH316" i="41"/>
  <c r="AG316" i="41"/>
  <c r="AE1002" i="41"/>
  <c r="T1002" i="41"/>
  <c r="I257" i="41"/>
  <c r="H257" i="41"/>
  <c r="G257" i="41" s="1"/>
  <c r="W1005" i="41"/>
  <c r="P1006" i="41"/>
  <c r="X1005" i="41"/>
  <c r="S1004" i="41"/>
  <c r="AC1003" i="41"/>
  <c r="AC1004" i="41" l="1"/>
  <c r="AE1004" i="41" s="1"/>
  <c r="L1001" i="41"/>
  <c r="AC258" i="41"/>
  <c r="AE318" i="41" s="1" a="1"/>
  <c r="AE318" i="41" s="1"/>
  <c r="AF318" i="41" s="1"/>
  <c r="AB260" i="41" a="1"/>
  <c r="AB260" i="41" s="1"/>
  <c r="S1005" i="41"/>
  <c r="I1005" i="41" s="1"/>
  <c r="W260" i="41"/>
  <c r="X260" i="41"/>
  <c r="P261" i="41"/>
  <c r="U260" i="41"/>
  <c r="AC259" i="41" s="1"/>
  <c r="AE319" i="41" s="1" a="1"/>
  <c r="AE319" i="41" s="1"/>
  <c r="Q261" i="41"/>
  <c r="AI1002" i="41"/>
  <c r="AJ1002" i="41"/>
  <c r="AF1002" i="41"/>
  <c r="AG1002" i="41"/>
  <c r="AK1002" i="41"/>
  <c r="AH1002" i="41"/>
  <c r="M259" i="41"/>
  <c r="L259" i="41" s="1"/>
  <c r="W1006" i="41"/>
  <c r="X1006" i="41"/>
  <c r="P1007" i="41"/>
  <c r="O1007" i="41"/>
  <c r="R261" i="41"/>
  <c r="I258" i="41"/>
  <c r="H258" i="41"/>
  <c r="G258" i="41" s="1"/>
  <c r="V260" i="41"/>
  <c r="O261" i="41" s="1"/>
  <c r="H1004" i="41"/>
  <c r="G1004" i="41" s="1"/>
  <c r="I1004" i="41"/>
  <c r="R1007" i="41"/>
  <c r="AB1004" i="41"/>
  <c r="U1006" i="41"/>
  <c r="AD1005" i="41" s="1"/>
  <c r="Q1007" i="41"/>
  <c r="S259" i="41"/>
  <c r="AE1003" i="41"/>
  <c r="T1003" i="41"/>
  <c r="V261" i="41" l="1"/>
  <c r="T1004" i="41"/>
  <c r="AG318" i="41"/>
  <c r="H1005" i="41"/>
  <c r="G1005" i="41" s="1"/>
  <c r="AK318" i="41"/>
  <c r="AI318" i="41"/>
  <c r="M1002" i="41"/>
  <c r="L1002" i="41" s="1"/>
  <c r="AH318" i="41"/>
  <c r="AJ318" i="41"/>
  <c r="AD259" i="41"/>
  <c r="W261" i="41"/>
  <c r="X261" i="41"/>
  <c r="P262" i="41"/>
  <c r="R1008" i="41"/>
  <c r="O262" i="41"/>
  <c r="I259" i="41"/>
  <c r="H259" i="41"/>
  <c r="G259" i="41" s="1"/>
  <c r="AB1005" i="41"/>
  <c r="U1007" i="41"/>
  <c r="AB1006" i="41" s="1"/>
  <c r="Q1008" i="41"/>
  <c r="R262" i="41"/>
  <c r="V262" i="41" s="1"/>
  <c r="AH319" i="41"/>
  <c r="AK319" i="41"/>
  <c r="AF319" i="41"/>
  <c r="AI319" i="41"/>
  <c r="AG319" i="41"/>
  <c r="AJ319" i="41"/>
  <c r="AB261" i="41" a="1"/>
  <c r="AB261" i="41" s="1"/>
  <c r="V1007" i="41"/>
  <c r="O1008" i="41" s="1"/>
  <c r="U261" i="41"/>
  <c r="Q262" i="41"/>
  <c r="W1007" i="41"/>
  <c r="X1007" i="41"/>
  <c r="P1008" i="41"/>
  <c r="S1006" i="41"/>
  <c r="AH1004" i="41"/>
  <c r="AI1004" i="41"/>
  <c r="AJ1004" i="41"/>
  <c r="AG1004" i="41"/>
  <c r="AK1004" i="41"/>
  <c r="AF1004" i="41"/>
  <c r="AJ1003" i="41"/>
  <c r="AF1003" i="41"/>
  <c r="AG1003" i="41"/>
  <c r="AH1003" i="41"/>
  <c r="AI1003" i="41"/>
  <c r="AK1003" i="41"/>
  <c r="AC1005" i="41"/>
  <c r="S260" i="41"/>
  <c r="M260" i="41"/>
  <c r="L260" i="41" s="1"/>
  <c r="AB262" i="41" l="1" a="1"/>
  <c r="AB262" i="41" s="1"/>
  <c r="S1007" i="41"/>
  <c r="M1004" i="41"/>
  <c r="W1008" i="41"/>
  <c r="X1008" i="41"/>
  <c r="P1009" i="41"/>
  <c r="W262" i="41"/>
  <c r="X262" i="41"/>
  <c r="P263" i="41"/>
  <c r="I260" i="41"/>
  <c r="H260" i="41"/>
  <c r="G260" i="41" s="1"/>
  <c r="S261" i="41"/>
  <c r="U1008" i="41"/>
  <c r="Q1009" i="41"/>
  <c r="AE1005" i="41"/>
  <c r="T1005" i="41"/>
  <c r="I1006" i="41"/>
  <c r="H1006" i="41"/>
  <c r="G1006" i="41" s="1"/>
  <c r="AC260" i="41"/>
  <c r="AE320" i="41" s="1" a="1"/>
  <c r="AE320" i="41" s="1"/>
  <c r="V1008" i="41"/>
  <c r="O1009" i="41" s="1"/>
  <c r="R263" i="41"/>
  <c r="R1009" i="41"/>
  <c r="M1003" i="41"/>
  <c r="L1003" i="41" s="1"/>
  <c r="I1007" i="41"/>
  <c r="AD260" i="41"/>
  <c r="H1007" i="41"/>
  <c r="G1007" i="41" s="1"/>
  <c r="AD1006" i="41"/>
  <c r="O263" i="41"/>
  <c r="U262" i="41"/>
  <c r="AD261" i="41" s="1"/>
  <c r="Q263" i="41"/>
  <c r="AC1006" i="41"/>
  <c r="M261" i="41"/>
  <c r="L261" i="41" s="1"/>
  <c r="V1009" i="41" l="1"/>
  <c r="L1004" i="41"/>
  <c r="AB263" i="41" a="1"/>
  <c r="AB263" i="41" s="1"/>
  <c r="M262" i="41"/>
  <c r="L262" i="41" s="1"/>
  <c r="S262" i="41"/>
  <c r="I262" i="41" s="1"/>
  <c r="W1009" i="41"/>
  <c r="X1009" i="41"/>
  <c r="P1010" i="41"/>
  <c r="U263" i="41"/>
  <c r="AC262" i="41" s="1"/>
  <c r="AE322" i="41" s="1" a="1"/>
  <c r="AE322" i="41" s="1"/>
  <c r="Q264" i="41"/>
  <c r="AG1005" i="41"/>
  <c r="AH1005" i="41"/>
  <c r="AF1005" i="41"/>
  <c r="AI1005" i="41"/>
  <c r="AK1005" i="41"/>
  <c r="AJ1005" i="41"/>
  <c r="O1010" i="41"/>
  <c r="R1010" i="41"/>
  <c r="V1010" i="41" s="1"/>
  <c r="AB1007" i="41"/>
  <c r="I261" i="41"/>
  <c r="H261" i="41"/>
  <c r="G261" i="41" s="1"/>
  <c r="AD1007" i="41"/>
  <c r="AC261" i="41"/>
  <c r="AE321" i="41" s="1" a="1"/>
  <c r="AE321" i="41" s="1"/>
  <c r="AE1006" i="41"/>
  <c r="T1006" i="41"/>
  <c r="U1009" i="41"/>
  <c r="Q1010" i="41"/>
  <c r="AC1007" i="41"/>
  <c r="R264" i="41"/>
  <c r="V264" i="41" s="1"/>
  <c r="AH320" i="41"/>
  <c r="AK320" i="41"/>
  <c r="AF320" i="41"/>
  <c r="AI320" i="41"/>
  <c r="AJ320" i="41"/>
  <c r="AG320" i="41"/>
  <c r="V263" i="41"/>
  <c r="O264" i="41" s="1"/>
  <c r="S1008" i="41"/>
  <c r="W263" i="41"/>
  <c r="X263" i="41"/>
  <c r="P264" i="41"/>
  <c r="H262" i="41" l="1"/>
  <c r="G262" i="41" s="1"/>
  <c r="S263" i="41"/>
  <c r="I263" i="41" s="1"/>
  <c r="AD262" i="41"/>
  <c r="M1005" i="41"/>
  <c r="L1005" i="41" s="1"/>
  <c r="AC1008" i="41"/>
  <c r="O1011" i="41"/>
  <c r="O265" i="41"/>
  <c r="W1010" i="41"/>
  <c r="X1010" i="41"/>
  <c r="P1011" i="41"/>
  <c r="AH1006" i="41"/>
  <c r="AI1006" i="41"/>
  <c r="AG1006" i="41"/>
  <c r="AF1006" i="41"/>
  <c r="AJ1006" i="41"/>
  <c r="AK1006" i="41"/>
  <c r="S1009" i="41"/>
  <c r="R1011" i="41"/>
  <c r="V1011" i="41" s="1"/>
  <c r="AK322" i="41"/>
  <c r="AH322" i="41"/>
  <c r="AJ322" i="41"/>
  <c r="AF322" i="41"/>
  <c r="AG322" i="41"/>
  <c r="AI322" i="41"/>
  <c r="AD1008" i="41"/>
  <c r="H263" i="41"/>
  <c r="G263" i="41" s="1"/>
  <c r="U1010" i="41"/>
  <c r="Q1011" i="41"/>
  <c r="AF321" i="41"/>
  <c r="AI321" i="41"/>
  <c r="AH321" i="41"/>
  <c r="AK321" i="41"/>
  <c r="AG321" i="41"/>
  <c r="AJ321" i="41"/>
  <c r="W264" i="41"/>
  <c r="X264" i="41"/>
  <c r="P265" i="41"/>
  <c r="R265" i="41"/>
  <c r="V265" i="41" s="1"/>
  <c r="AB1008" i="41"/>
  <c r="M263" i="41"/>
  <c r="L263" i="41" s="1"/>
  <c r="U264" i="41"/>
  <c r="S264" i="41" s="1"/>
  <c r="Q265" i="41"/>
  <c r="H1008" i="41"/>
  <c r="G1008" i="41" s="1"/>
  <c r="I1008" i="41"/>
  <c r="AB264" i="41" a="1"/>
  <c r="AB264" i="41" s="1"/>
  <c r="AE1007" i="41"/>
  <c r="T1007" i="41"/>
  <c r="AB265" i="41" l="1" a="1"/>
  <c r="AB265" i="41" s="1"/>
  <c r="M1006" i="41"/>
  <c r="L1006" i="41" s="1"/>
  <c r="I264" i="41"/>
  <c r="H264" i="41"/>
  <c r="G264" i="41" s="1"/>
  <c r="O1012" i="41"/>
  <c r="AB1009" i="41"/>
  <c r="H1009" i="41"/>
  <c r="G1009" i="41" s="1"/>
  <c r="I1009" i="41"/>
  <c r="R266" i="41"/>
  <c r="V266" i="41" s="1"/>
  <c r="W265" i="41"/>
  <c r="P266" i="41"/>
  <c r="X265" i="41"/>
  <c r="M264" i="41"/>
  <c r="L264" i="41" s="1"/>
  <c r="O266" i="41"/>
  <c r="W1011" i="41"/>
  <c r="X1011" i="41"/>
  <c r="P1012" i="41"/>
  <c r="S1010" i="41"/>
  <c r="AE1008" i="41"/>
  <c r="T1008" i="41"/>
  <c r="AI1007" i="41"/>
  <c r="AJ1007" i="41"/>
  <c r="AH1007" i="41"/>
  <c r="AG1007" i="41"/>
  <c r="AK1007" i="41"/>
  <c r="AF1007" i="41"/>
  <c r="AD263" i="41"/>
  <c r="AC1009" i="41"/>
  <c r="AC263" i="41"/>
  <c r="AE323" i="41" s="1" a="1"/>
  <c r="AE323" i="41" s="1"/>
  <c r="AD1009" i="41"/>
  <c r="U265" i="41"/>
  <c r="S265" i="41" s="1"/>
  <c r="I265" i="41" s="1"/>
  <c r="Q266" i="41"/>
  <c r="Q1012" i="41"/>
  <c r="U1011" i="41"/>
  <c r="R1012" i="41"/>
  <c r="V1012" i="41" s="1"/>
  <c r="AB266" i="41" l="1" a="1"/>
  <c r="AB266" i="41" s="1"/>
  <c r="AC264" i="41"/>
  <c r="AE324" i="41" s="1" a="1"/>
  <c r="AE324" i="41" s="1"/>
  <c r="AG324" i="41" s="1"/>
  <c r="M1007" i="41"/>
  <c r="L1007" i="41" s="1"/>
  <c r="AD1010" i="41"/>
  <c r="AC1010" i="41"/>
  <c r="W266" i="41"/>
  <c r="X266" i="41"/>
  <c r="P267" i="41"/>
  <c r="H265" i="41"/>
  <c r="G265" i="41" s="1"/>
  <c r="W1012" i="41"/>
  <c r="X1012" i="41"/>
  <c r="P1013" i="41"/>
  <c r="AB1010" i="41"/>
  <c r="O267" i="41"/>
  <c r="M265" i="41"/>
  <c r="L265" i="41" s="1"/>
  <c r="S1011" i="41"/>
  <c r="O1013" i="41"/>
  <c r="AF323" i="41"/>
  <c r="AH323" i="41"/>
  <c r="AK323" i="41"/>
  <c r="AI323" i="41"/>
  <c r="AG323" i="41"/>
  <c r="AJ323" i="41"/>
  <c r="AK1008" i="41"/>
  <c r="AH1008" i="41"/>
  <c r="AF1008" i="41"/>
  <c r="AJ1008" i="41"/>
  <c r="AG1008" i="41"/>
  <c r="AI1008" i="41"/>
  <c r="R267" i="41"/>
  <c r="V267" i="41" s="1"/>
  <c r="AE1009" i="41"/>
  <c r="T1009" i="41"/>
  <c r="I1010" i="41"/>
  <c r="H1010" i="41"/>
  <c r="G1010" i="41" s="1"/>
  <c r="U1012" i="41"/>
  <c r="AC1011" i="41" s="1"/>
  <c r="Q1013" i="41"/>
  <c r="R1013" i="41"/>
  <c r="V1013" i="41" s="1"/>
  <c r="AD264" i="41"/>
  <c r="U266" i="41"/>
  <c r="S266" i="41" s="1"/>
  <c r="Q267" i="41"/>
  <c r="AJ324" i="41" l="1"/>
  <c r="AK324" i="41"/>
  <c r="AH324" i="41"/>
  <c r="AB267" i="41" a="1"/>
  <c r="AB267" i="41" s="1"/>
  <c r="AF324" i="41"/>
  <c r="AI324" i="41"/>
  <c r="I266" i="41"/>
  <c r="H266" i="41"/>
  <c r="G266" i="41" s="1"/>
  <c r="AE1011" i="41"/>
  <c r="T1011" i="41"/>
  <c r="AJ1009" i="41"/>
  <c r="AF1009" i="41"/>
  <c r="AI1009" i="41"/>
  <c r="AH1009" i="41"/>
  <c r="AK1009" i="41"/>
  <c r="AG1009" i="41"/>
  <c r="AC265" i="41"/>
  <c r="AE325" i="41" s="1" a="1"/>
  <c r="AE325" i="41" s="1"/>
  <c r="U267" i="41"/>
  <c r="AC266" i="41" s="1"/>
  <c r="AE326" i="41" s="1" a="1"/>
  <c r="AE326" i="41" s="1"/>
  <c r="Q268" i="41"/>
  <c r="W267" i="41"/>
  <c r="X267" i="41"/>
  <c r="P268" i="41"/>
  <c r="AD265" i="41"/>
  <c r="R268" i="41"/>
  <c r="M1008" i="41"/>
  <c r="L1008" i="41" s="1"/>
  <c r="M266" i="41"/>
  <c r="L266" i="41" s="1"/>
  <c r="R1014" i="41"/>
  <c r="V1014" i="41" s="1"/>
  <c r="AE1010" i="41"/>
  <c r="T1010" i="41"/>
  <c r="W1013" i="41"/>
  <c r="X1013" i="41"/>
  <c r="P1014" i="41"/>
  <c r="O268" i="41"/>
  <c r="U1013" i="41"/>
  <c r="AC1012" i="41" s="1"/>
  <c r="Q1014" i="41"/>
  <c r="AD1011" i="41"/>
  <c r="S1012" i="41"/>
  <c r="O1014" i="41"/>
  <c r="I1011" i="41"/>
  <c r="H1011" i="41"/>
  <c r="G1011" i="41" s="1"/>
  <c r="AB1011" i="41"/>
  <c r="M1009" i="41" l="1"/>
  <c r="L1009" i="41" s="1"/>
  <c r="AB268" i="41" a="1"/>
  <c r="AB268" i="41" s="1"/>
  <c r="S267" i="41"/>
  <c r="I267" i="41" s="1"/>
  <c r="AD266" i="41"/>
  <c r="AE1012" i="41"/>
  <c r="T1012" i="41"/>
  <c r="AK325" i="41"/>
  <c r="AF325" i="41"/>
  <c r="AG325" i="41"/>
  <c r="AI325" i="41"/>
  <c r="AH325" i="41"/>
  <c r="AJ325" i="41"/>
  <c r="AF326" i="41"/>
  <c r="AH326" i="41"/>
  <c r="AJ326" i="41"/>
  <c r="AG326" i="41"/>
  <c r="AI326" i="41"/>
  <c r="AK326" i="41"/>
  <c r="O1015" i="41"/>
  <c r="AB1012" i="41"/>
  <c r="U268" i="41"/>
  <c r="AC267" i="41" s="1"/>
  <c r="AE327" i="41" s="1" a="1"/>
  <c r="AE327" i="41" s="1"/>
  <c r="Q269" i="41"/>
  <c r="AD1012" i="41"/>
  <c r="R269" i="41"/>
  <c r="AJ1010" i="41"/>
  <c r="AG1010" i="41"/>
  <c r="AI1010" i="41"/>
  <c r="AK1010" i="41"/>
  <c r="AF1010" i="41"/>
  <c r="AH1010" i="41"/>
  <c r="H267" i="41"/>
  <c r="G267" i="41" s="1"/>
  <c r="R1015" i="41"/>
  <c r="V1015" i="41" s="1"/>
  <c r="U1014" i="41"/>
  <c r="Q1015" i="41"/>
  <c r="M267" i="41"/>
  <c r="L267" i="41" s="1"/>
  <c r="AJ1011" i="41"/>
  <c r="AH1011" i="41"/>
  <c r="AI1011" i="41"/>
  <c r="AK1011" i="41"/>
  <c r="AF1011" i="41"/>
  <c r="AG1011" i="41"/>
  <c r="W1014" i="41"/>
  <c r="X1014" i="41"/>
  <c r="P1015" i="41"/>
  <c r="S268" i="41"/>
  <c r="I268" i="41" s="1"/>
  <c r="S1013" i="41"/>
  <c r="W268" i="41"/>
  <c r="X268" i="41"/>
  <c r="P269" i="41"/>
  <c r="I1012" i="41"/>
  <c r="H1012" i="41"/>
  <c r="G1012" i="41" s="1"/>
  <c r="V268" i="41"/>
  <c r="O269" i="41" s="1"/>
  <c r="V269" i="41" l="1"/>
  <c r="AD267" i="41"/>
  <c r="AB269" i="41" a="1"/>
  <c r="AB269" i="41" s="1"/>
  <c r="M1011" i="41"/>
  <c r="H268" i="41"/>
  <c r="G268" i="41" s="1"/>
  <c r="W269" i="41"/>
  <c r="X269" i="41"/>
  <c r="P270" i="41"/>
  <c r="M268" i="41"/>
  <c r="L268" i="41" s="1"/>
  <c r="U1015" i="41"/>
  <c r="AB1014" i="41" s="1"/>
  <c r="Q1016" i="41"/>
  <c r="O270" i="41"/>
  <c r="I1013" i="41"/>
  <c r="H1013" i="41"/>
  <c r="G1013" i="41" s="1"/>
  <c r="M1010" i="41"/>
  <c r="L1010" i="41" s="1"/>
  <c r="W1015" i="41"/>
  <c r="X1015" i="41"/>
  <c r="P1016" i="41"/>
  <c r="R1016" i="41"/>
  <c r="S1014" i="41"/>
  <c r="AB1013" i="41"/>
  <c r="R270" i="41"/>
  <c r="AD1013" i="41"/>
  <c r="AC1013" i="41"/>
  <c r="AG1012" i="41"/>
  <c r="AH1012" i="41"/>
  <c r="AI1012" i="41"/>
  <c r="AJ1012" i="41"/>
  <c r="AK1012" i="41"/>
  <c r="AF1012" i="41"/>
  <c r="AJ327" i="41"/>
  <c r="AK327" i="41"/>
  <c r="AG327" i="41"/>
  <c r="AH327" i="41"/>
  <c r="AF327" i="41"/>
  <c r="AI327" i="41"/>
  <c r="O1016" i="41"/>
  <c r="U269" i="41"/>
  <c r="AC268" i="41" s="1"/>
  <c r="AE328" i="41" s="1" a="1"/>
  <c r="AE328" i="41" s="1"/>
  <c r="Q270" i="41"/>
  <c r="S1015" i="41" l="1"/>
  <c r="I1015" i="41" s="1"/>
  <c r="L1011" i="41"/>
  <c r="AB270" i="41" a="1"/>
  <c r="AB270" i="41" s="1"/>
  <c r="M1012" i="41"/>
  <c r="AI328" i="41"/>
  <c r="AF328" i="41"/>
  <c r="AH328" i="41"/>
  <c r="AJ328" i="41"/>
  <c r="AG328" i="41"/>
  <c r="AK328" i="41"/>
  <c r="AC1014" i="41"/>
  <c r="X1016" i="41"/>
  <c r="W1016" i="41"/>
  <c r="P1017" i="41"/>
  <c r="AD1014" i="41"/>
  <c r="R271" i="41"/>
  <c r="R1017" i="41"/>
  <c r="W270" i="41"/>
  <c r="X270" i="41"/>
  <c r="P271" i="41"/>
  <c r="U1016" i="41"/>
  <c r="AC1015" i="41" s="1"/>
  <c r="Q1017" i="41"/>
  <c r="S269" i="41"/>
  <c r="M269" i="41"/>
  <c r="L269" i="41" s="1"/>
  <c r="AE1013" i="41"/>
  <c r="T1013" i="41"/>
  <c r="U270" i="41"/>
  <c r="AD269" i="41" s="1"/>
  <c r="Q271" i="41"/>
  <c r="V270" i="41"/>
  <c r="O271" i="41" s="1"/>
  <c r="I1014" i="41"/>
  <c r="H1014" i="41"/>
  <c r="G1014" i="41" s="1"/>
  <c r="AD268" i="41"/>
  <c r="V1016" i="41"/>
  <c r="O1017" i="41" s="1"/>
  <c r="H1015" i="41" l="1"/>
  <c r="G1015" i="41" s="1"/>
  <c r="V1017" i="41"/>
  <c r="L1012" i="41"/>
  <c r="V271" i="41"/>
  <c r="O272" i="41" s="1"/>
  <c r="AB1015" i="41"/>
  <c r="S270" i="41"/>
  <c r="I270" i="41" s="1"/>
  <c r="AE1015" i="41"/>
  <c r="T1015" i="41"/>
  <c r="U271" i="41"/>
  <c r="AC270" i="41" s="1"/>
  <c r="AE330" i="41" s="1" a="1"/>
  <c r="AE330" i="41" s="1"/>
  <c r="Q272" i="41"/>
  <c r="R272" i="41"/>
  <c r="W271" i="41"/>
  <c r="X271" i="41"/>
  <c r="P272" i="41"/>
  <c r="I269" i="41"/>
  <c r="H269" i="41"/>
  <c r="G269" i="41" s="1"/>
  <c r="AB271" i="41" a="1"/>
  <c r="AB271" i="41" s="1"/>
  <c r="AD1015" i="41"/>
  <c r="W1017" i="41"/>
  <c r="X1017" i="41"/>
  <c r="P1018" i="41"/>
  <c r="R1018" i="41"/>
  <c r="V1018" i="41" s="1"/>
  <c r="O1018" i="41"/>
  <c r="S1016" i="41"/>
  <c r="M270" i="41"/>
  <c r="L270" i="41" s="1"/>
  <c r="U1017" i="41"/>
  <c r="AD1016" i="41" s="1"/>
  <c r="Q1018" i="41"/>
  <c r="AE1014" i="41"/>
  <c r="T1014" i="41"/>
  <c r="AC269" i="41"/>
  <c r="AE329" i="41" s="1" a="1"/>
  <c r="AE329" i="41" s="1"/>
  <c r="AI1013" i="41"/>
  <c r="AG1013" i="41"/>
  <c r="AF1013" i="41"/>
  <c r="AK1013" i="41"/>
  <c r="AJ1013" i="41"/>
  <c r="AH1013" i="41"/>
  <c r="H270" i="41" l="1"/>
  <c r="G270" i="41" s="1"/>
  <c r="AB272" i="41" a="1"/>
  <c r="AB272" i="41" s="1"/>
  <c r="AC1016" i="41"/>
  <c r="AE1016" i="41" s="1"/>
  <c r="AD270" i="41"/>
  <c r="AB1016" i="41"/>
  <c r="U272" i="41"/>
  <c r="AC271" i="41" s="1"/>
  <c r="AE331" i="41" s="1" a="1"/>
  <c r="AE331" i="41" s="1"/>
  <c r="Q273" i="41"/>
  <c r="H1016" i="41"/>
  <c r="G1016" i="41" s="1"/>
  <c r="I1016" i="41"/>
  <c r="O1019" i="41"/>
  <c r="AK330" i="41"/>
  <c r="AG330" i="41"/>
  <c r="AJ330" i="41"/>
  <c r="AF330" i="41"/>
  <c r="AH330" i="41"/>
  <c r="AI330" i="41"/>
  <c r="V272" i="41"/>
  <c r="O273" i="41" s="1"/>
  <c r="W272" i="41"/>
  <c r="X272" i="41"/>
  <c r="P273" i="41"/>
  <c r="S271" i="41"/>
  <c r="AJ1014" i="41"/>
  <c r="AK1014" i="41"/>
  <c r="AF1014" i="41"/>
  <c r="AH1014" i="41"/>
  <c r="AI1014" i="41"/>
  <c r="AG1014" i="41"/>
  <c r="U1018" i="41"/>
  <c r="Q1019" i="41"/>
  <c r="W1018" i="41"/>
  <c r="X1018" i="41"/>
  <c r="P1019" i="41"/>
  <c r="R273" i="41"/>
  <c r="AJ329" i="41"/>
  <c r="AF329" i="41"/>
  <c r="AK329" i="41"/>
  <c r="AH329" i="41"/>
  <c r="AI329" i="41"/>
  <c r="AG329" i="41"/>
  <c r="M1013" i="41"/>
  <c r="L1013" i="41" s="1"/>
  <c r="S1017" i="41"/>
  <c r="R1019" i="41"/>
  <c r="V1019" i="41" s="1"/>
  <c r="M271" i="41"/>
  <c r="L271" i="41" s="1"/>
  <c r="AI1015" i="41"/>
  <c r="AK1015" i="41"/>
  <c r="AG1015" i="41"/>
  <c r="AF1015" i="41"/>
  <c r="AJ1015" i="41"/>
  <c r="AH1015" i="41"/>
  <c r="S272" i="41" l="1"/>
  <c r="I272" i="41" s="1"/>
  <c r="T1016" i="41"/>
  <c r="AD271" i="41"/>
  <c r="M1014" i="41"/>
  <c r="L1014" i="41" s="1"/>
  <c r="M1015" i="41"/>
  <c r="H272" i="41"/>
  <c r="G272" i="41" s="1"/>
  <c r="W273" i="41"/>
  <c r="X273" i="41"/>
  <c r="P274" i="41"/>
  <c r="W1019" i="41"/>
  <c r="X1019" i="41"/>
  <c r="P1020" i="41"/>
  <c r="AB1017" i="41"/>
  <c r="R274" i="41"/>
  <c r="S1018" i="41"/>
  <c r="AF331" i="41"/>
  <c r="AK331" i="41"/>
  <c r="AG331" i="41"/>
  <c r="AJ331" i="41"/>
  <c r="AH331" i="41"/>
  <c r="AI331" i="41"/>
  <c r="O1020" i="41"/>
  <c r="U273" i="41"/>
  <c r="AD272" i="41" s="1"/>
  <c r="Q274" i="41"/>
  <c r="AB273" i="41" a="1"/>
  <c r="AB273" i="41" s="1"/>
  <c r="AC1017" i="41"/>
  <c r="U1019" i="41"/>
  <c r="AD1018" i="41" s="1"/>
  <c r="Q1020" i="41"/>
  <c r="R1020" i="41"/>
  <c r="AD1017" i="41"/>
  <c r="AI1016" i="41"/>
  <c r="AF1016" i="41"/>
  <c r="AG1016" i="41"/>
  <c r="AK1016" i="41"/>
  <c r="AJ1016" i="41"/>
  <c r="AH1016" i="41"/>
  <c r="M272" i="41"/>
  <c r="L272" i="41" s="1"/>
  <c r="I1017" i="41"/>
  <c r="H1017" i="41"/>
  <c r="G1017" i="41" s="1"/>
  <c r="I271" i="41"/>
  <c r="H271" i="41"/>
  <c r="G271" i="41" s="1"/>
  <c r="V273" i="41"/>
  <c r="O274" i="41" s="1"/>
  <c r="V274" i="41" l="1"/>
  <c r="O275" i="41" s="1"/>
  <c r="L1015" i="41"/>
  <c r="S1019" i="41"/>
  <c r="M1016" i="41"/>
  <c r="AB1018" i="41"/>
  <c r="W274" i="41"/>
  <c r="X274" i="41"/>
  <c r="P275" i="41"/>
  <c r="AC272" i="41"/>
  <c r="AE332" i="41" s="1" a="1"/>
  <c r="AE332" i="41" s="1"/>
  <c r="AE1017" i="41"/>
  <c r="T1017" i="41"/>
  <c r="H1018" i="41"/>
  <c r="G1018" i="41" s="1"/>
  <c r="I1018" i="41"/>
  <c r="R275" i="41"/>
  <c r="V275" i="41" s="1"/>
  <c r="U274" i="41"/>
  <c r="AC273" i="41" s="1"/>
  <c r="AE333" i="41" s="1" a="1"/>
  <c r="AE333" i="41" s="1"/>
  <c r="Q275" i="41"/>
  <c r="U1020" i="41"/>
  <c r="Q1021" i="41"/>
  <c r="AB274" i="41" a="1"/>
  <c r="AB274" i="41" s="1"/>
  <c r="W1020" i="41"/>
  <c r="X1020" i="41"/>
  <c r="P1021" i="41"/>
  <c r="M273" i="41"/>
  <c r="L273" i="41" s="1"/>
  <c r="AC1018" i="41"/>
  <c r="V1020" i="41"/>
  <c r="O1021" i="41" s="1"/>
  <c r="S273" i="41"/>
  <c r="R1021" i="41"/>
  <c r="V1021" i="41" l="1"/>
  <c r="S1020" i="41"/>
  <c r="L1016" i="41"/>
  <c r="I1019" i="41"/>
  <c r="H1019" i="41"/>
  <c r="G1019" i="41" s="1"/>
  <c r="S274" i="41"/>
  <c r="H274" i="41" s="1"/>
  <c r="G274" i="41" s="1"/>
  <c r="W1021" i="41"/>
  <c r="X1021" i="41"/>
  <c r="P1022" i="41"/>
  <c r="AI333" i="41"/>
  <c r="AH333" i="41"/>
  <c r="AF333" i="41"/>
  <c r="AJ333" i="41"/>
  <c r="AG333" i="41"/>
  <c r="AK333" i="41"/>
  <c r="AB1019" i="41"/>
  <c r="AD273" i="41"/>
  <c r="O276" i="41"/>
  <c r="AC1019" i="41"/>
  <c r="R1022" i="41"/>
  <c r="V1022" i="41" s="1"/>
  <c r="U275" i="41"/>
  <c r="Q276" i="41"/>
  <c r="AH1017" i="41"/>
  <c r="AI1017" i="41"/>
  <c r="AK1017" i="41"/>
  <c r="AF1017" i="41"/>
  <c r="AG1017" i="41"/>
  <c r="AJ1017" i="41"/>
  <c r="AD1019" i="41"/>
  <c r="H1020" i="41"/>
  <c r="G1020" i="41" s="1"/>
  <c r="AB275" i="41" a="1"/>
  <c r="AB275" i="41" s="1"/>
  <c r="AF332" i="41"/>
  <c r="AG332" i="41"/>
  <c r="AK332" i="41"/>
  <c r="AH332" i="41"/>
  <c r="AJ332" i="41"/>
  <c r="AI332" i="41"/>
  <c r="I1020" i="41"/>
  <c r="R276" i="41"/>
  <c r="V276" i="41" s="1"/>
  <c r="W275" i="41"/>
  <c r="X275" i="41"/>
  <c r="P276" i="41"/>
  <c r="U1021" i="41"/>
  <c r="AB1020" i="41" s="1"/>
  <c r="Q1022" i="41"/>
  <c r="I273" i="41"/>
  <c r="H273" i="41"/>
  <c r="G273" i="41" s="1"/>
  <c r="AE1018" i="41"/>
  <c r="T1018" i="41"/>
  <c r="O1022" i="41"/>
  <c r="M274" i="41"/>
  <c r="L274" i="41" s="1"/>
  <c r="S275" i="41" l="1"/>
  <c r="I275" i="41" s="1"/>
  <c r="I274" i="41"/>
  <c r="M1017" i="41"/>
  <c r="L1017" i="41" s="1"/>
  <c r="AC274" i="41"/>
  <c r="AE334" i="41" s="1" a="1"/>
  <c r="AE334" i="41" s="1"/>
  <c r="AG334" i="41" s="1"/>
  <c r="O1023" i="41"/>
  <c r="R277" i="41"/>
  <c r="V277" i="41" s="1"/>
  <c r="AD274" i="41"/>
  <c r="W1022" i="41"/>
  <c r="X1022" i="41"/>
  <c r="P1023" i="41"/>
  <c r="M275" i="41"/>
  <c r="L275" i="41" s="1"/>
  <c r="R1023" i="41"/>
  <c r="V1023" i="41" s="1"/>
  <c r="O277" i="41"/>
  <c r="U1022" i="41"/>
  <c r="AD1021" i="41" s="1"/>
  <c r="Q1023" i="41"/>
  <c r="S1021" i="41"/>
  <c r="AD1020" i="41"/>
  <c r="AE1019" i="41"/>
  <c r="T1019" i="41"/>
  <c r="AC1020" i="41"/>
  <c r="W276" i="41"/>
  <c r="X276" i="41"/>
  <c r="P277" i="41"/>
  <c r="U276" i="41"/>
  <c r="AD275" i="41" s="1"/>
  <c r="Q277" i="41"/>
  <c r="AI1018" i="41"/>
  <c r="AG1018" i="41"/>
  <c r="AF1018" i="41"/>
  <c r="AK1018" i="41"/>
  <c r="AJ1018" i="41"/>
  <c r="AH1018" i="41"/>
  <c r="AB276" i="41" a="1"/>
  <c r="AB276" i="41" s="1"/>
  <c r="H275" i="41" l="1"/>
  <c r="G275" i="41" s="1"/>
  <c r="AJ334" i="41"/>
  <c r="AF334" i="41"/>
  <c r="AI334" i="41"/>
  <c r="AK334" i="41"/>
  <c r="AH334" i="41"/>
  <c r="M1018" i="41"/>
  <c r="L1018" i="41" s="1"/>
  <c r="R1024" i="41"/>
  <c r="AC275" i="41"/>
  <c r="AE335" i="41" s="1" a="1"/>
  <c r="AE335" i="41" s="1"/>
  <c r="AB1021" i="41"/>
  <c r="O278" i="41"/>
  <c r="W277" i="41"/>
  <c r="X277" i="41"/>
  <c r="P278" i="41"/>
  <c r="AC1021" i="41"/>
  <c r="M276" i="41"/>
  <c r="L276" i="41" s="1"/>
  <c r="S276" i="41"/>
  <c r="U277" i="41"/>
  <c r="Q278" i="41"/>
  <c r="R278" i="41"/>
  <c r="H1021" i="41"/>
  <c r="G1021" i="41" s="1"/>
  <c r="I1021" i="41"/>
  <c r="O1024" i="41"/>
  <c r="AE1020" i="41"/>
  <c r="T1020" i="41"/>
  <c r="U1023" i="41"/>
  <c r="AD1022" i="41" s="1"/>
  <c r="Q1024" i="41"/>
  <c r="AB277" i="41" a="1"/>
  <c r="AB277" i="41" s="1"/>
  <c r="W1023" i="41"/>
  <c r="X1023" i="41"/>
  <c r="P1024" i="41"/>
  <c r="AK1019" i="41"/>
  <c r="AG1019" i="41"/>
  <c r="AH1019" i="41"/>
  <c r="AJ1019" i="41"/>
  <c r="AI1019" i="41"/>
  <c r="AF1019" i="41"/>
  <c r="S1022" i="41"/>
  <c r="AC1022" i="41" l="1"/>
  <c r="AE1022" i="41" s="1"/>
  <c r="S277" i="41"/>
  <c r="I277" i="41" s="1"/>
  <c r="S1023" i="41"/>
  <c r="I1023" i="41" s="1"/>
  <c r="AB278" i="41" a="1"/>
  <c r="AB278" i="41" s="1"/>
  <c r="W1024" i="41"/>
  <c r="X1024" i="41"/>
  <c r="P1025" i="41"/>
  <c r="M277" i="41"/>
  <c r="L277" i="41" s="1"/>
  <c r="W278" i="41"/>
  <c r="X278" i="41"/>
  <c r="P279" i="41"/>
  <c r="U278" i="41"/>
  <c r="AC277" i="41" s="1"/>
  <c r="AE337" i="41" s="1" a="1"/>
  <c r="AE337" i="41" s="1"/>
  <c r="Q279" i="41"/>
  <c r="H1023" i="41"/>
  <c r="G1023" i="41" s="1"/>
  <c r="I1022" i="41"/>
  <c r="H1022" i="41"/>
  <c r="G1022" i="41" s="1"/>
  <c r="AH335" i="41"/>
  <c r="AK335" i="41"/>
  <c r="AJ335" i="41"/>
  <c r="AG335" i="41"/>
  <c r="AI335" i="41"/>
  <c r="AF335" i="41"/>
  <c r="R1025" i="41"/>
  <c r="I276" i="41"/>
  <c r="H276" i="41"/>
  <c r="G276" i="41" s="1"/>
  <c r="U1024" i="41"/>
  <c r="AC1023" i="41" s="1"/>
  <c r="Q1025" i="41"/>
  <c r="M1019" i="41"/>
  <c r="L1019" i="41" s="1"/>
  <c r="AE1021" i="41"/>
  <c r="T1021" i="41"/>
  <c r="AD276" i="41"/>
  <c r="AH1020" i="41"/>
  <c r="AI1020" i="41"/>
  <c r="AF1020" i="41"/>
  <c r="AG1020" i="41"/>
  <c r="AJ1020" i="41"/>
  <c r="AK1020" i="41"/>
  <c r="V278" i="41"/>
  <c r="O279" i="41" s="1"/>
  <c r="V1024" i="41"/>
  <c r="O1025" i="41" s="1"/>
  <c r="AB1022" i="41"/>
  <c r="R279" i="41"/>
  <c r="AC276" i="41"/>
  <c r="AE336" i="41" s="1" a="1"/>
  <c r="AE336" i="41" s="1"/>
  <c r="V1025" i="41" l="1"/>
  <c r="O1026" i="41" s="1"/>
  <c r="T1022" i="41"/>
  <c r="H277" i="41"/>
  <c r="G277" i="41" s="1"/>
  <c r="M1020" i="41"/>
  <c r="L1020" i="41" s="1"/>
  <c r="AD1023" i="41"/>
  <c r="S278" i="41"/>
  <c r="AD277" i="41"/>
  <c r="W279" i="41"/>
  <c r="X279" i="41"/>
  <c r="P280" i="41"/>
  <c r="AF1022" i="41"/>
  <c r="AH1022" i="41"/>
  <c r="AI1022" i="41"/>
  <c r="AJ1022" i="41"/>
  <c r="AK1022" i="41"/>
  <c r="AG1022" i="41"/>
  <c r="R280" i="41"/>
  <c r="M278" i="41"/>
  <c r="L278" i="41" s="1"/>
  <c r="AB1023" i="41"/>
  <c r="AJ337" i="41"/>
  <c r="AK337" i="41"/>
  <c r="AI337" i="41"/>
  <c r="AF337" i="41"/>
  <c r="AH337" i="41"/>
  <c r="AG337" i="41"/>
  <c r="S1024" i="41"/>
  <c r="R1026" i="41"/>
  <c r="V1026" i="41" s="1"/>
  <c r="W1025" i="41"/>
  <c r="X1025" i="41"/>
  <c r="P1026" i="41"/>
  <c r="AE1023" i="41"/>
  <c r="T1023" i="41"/>
  <c r="AK336" i="41"/>
  <c r="AF336" i="41"/>
  <c r="AI336" i="41"/>
  <c r="AJ336" i="41"/>
  <c r="AH336" i="41"/>
  <c r="AG336" i="41"/>
  <c r="U279" i="41"/>
  <c r="Q280" i="41"/>
  <c r="Q1026" i="41"/>
  <c r="U1025" i="41"/>
  <c r="AB1024" i="41" s="1"/>
  <c r="V279" i="41"/>
  <c r="O280" i="41" s="1"/>
  <c r="AJ1021" i="41"/>
  <c r="AG1021" i="41"/>
  <c r="AI1021" i="41"/>
  <c r="AH1021" i="41"/>
  <c r="AK1021" i="41"/>
  <c r="AF1021" i="41"/>
  <c r="AB279" i="41" a="1"/>
  <c r="AB279" i="41" s="1"/>
  <c r="V280" i="41" l="1"/>
  <c r="O281" i="41" s="1"/>
  <c r="S279" i="41"/>
  <c r="I279" i="41" s="1"/>
  <c r="M1022" i="41"/>
  <c r="AD1024" i="41"/>
  <c r="S1025" i="41"/>
  <c r="AC1024" i="41"/>
  <c r="T1024" i="41" s="1"/>
  <c r="M1021" i="41"/>
  <c r="L1021" i="41" s="1"/>
  <c r="I278" i="41"/>
  <c r="H278" i="41"/>
  <c r="G278" i="41" s="1"/>
  <c r="R1027" i="41"/>
  <c r="V1027" i="41" s="1"/>
  <c r="W1026" i="41"/>
  <c r="X1026" i="41"/>
  <c r="P1027" i="41"/>
  <c r="R281" i="41"/>
  <c r="V281" i="41" s="1"/>
  <c r="AK1023" i="41"/>
  <c r="AJ1023" i="41"/>
  <c r="AH1023" i="41"/>
  <c r="AI1023" i="41"/>
  <c r="AG1023" i="41"/>
  <c r="AF1023" i="41"/>
  <c r="U1026" i="41"/>
  <c r="Q1027" i="41"/>
  <c r="U280" i="41"/>
  <c r="AC279" i="41" s="1"/>
  <c r="AE339" i="41" s="1" a="1"/>
  <c r="AE339" i="41" s="1"/>
  <c r="Q281" i="41"/>
  <c r="H279" i="41"/>
  <c r="G279" i="41" s="1"/>
  <c r="W280" i="41"/>
  <c r="X280" i="41"/>
  <c r="P281" i="41"/>
  <c r="AD278" i="41"/>
  <c r="AC278" i="41"/>
  <c r="AE338" i="41" s="1" a="1"/>
  <c r="AE338" i="41" s="1"/>
  <c r="AB280" i="41" a="1"/>
  <c r="AB280" i="41" s="1"/>
  <c r="H1024" i="41"/>
  <c r="G1024" i="41" s="1"/>
  <c r="I1024" i="41"/>
  <c r="O1027" i="41"/>
  <c r="M279" i="41"/>
  <c r="L279" i="41" s="1"/>
  <c r="AE1024" i="41" l="1"/>
  <c r="AH1024" i="41" s="1"/>
  <c r="M1023" i="41"/>
  <c r="S280" i="41"/>
  <c r="I280" i="41" s="1"/>
  <c r="AD279" i="41"/>
  <c r="H1025" i="41"/>
  <c r="G1025" i="41" s="1"/>
  <c r="I1025" i="41"/>
  <c r="L1022" i="41"/>
  <c r="AI338" i="41"/>
  <c r="AF338" i="41"/>
  <c r="AH338" i="41"/>
  <c r="AK338" i="41"/>
  <c r="AJ338" i="41"/>
  <c r="AG338" i="41"/>
  <c r="AB1025" i="41"/>
  <c r="AF339" i="41"/>
  <c r="AK339" i="41"/>
  <c r="AJ339" i="41"/>
  <c r="AG339" i="41"/>
  <c r="AH339" i="41"/>
  <c r="AI339" i="41"/>
  <c r="W281" i="41"/>
  <c r="X281" i="41"/>
  <c r="P282" i="41"/>
  <c r="R1028" i="41"/>
  <c r="M280" i="41"/>
  <c r="L280" i="41" s="1"/>
  <c r="W1027" i="41"/>
  <c r="X1027" i="41"/>
  <c r="P1028" i="41"/>
  <c r="AC1025" i="41"/>
  <c r="S1026" i="41"/>
  <c r="AD1025" i="41"/>
  <c r="O282" i="41"/>
  <c r="AG1024" i="41"/>
  <c r="R282" i="41"/>
  <c r="V282" i="41" s="1"/>
  <c r="U281" i="41"/>
  <c r="AD280" i="41" s="1"/>
  <c r="Q282" i="41"/>
  <c r="U1027" i="41"/>
  <c r="AC1026" i="41" s="1"/>
  <c r="Q1028" i="41"/>
  <c r="O1028" i="41"/>
  <c r="AB281" i="41" a="1"/>
  <c r="AB281" i="41" s="1"/>
  <c r="AJ1024" i="41" l="1"/>
  <c r="AK1024" i="41"/>
  <c r="AI1024" i="41"/>
  <c r="AF1024" i="41"/>
  <c r="AB282" i="41" a="1"/>
  <c r="AB282" i="41" s="1"/>
  <c r="L1023" i="41"/>
  <c r="AD1026" i="41"/>
  <c r="H280" i="41"/>
  <c r="G280" i="41" s="1"/>
  <c r="AB1026" i="41"/>
  <c r="U1028" i="41"/>
  <c r="AC1027" i="41" s="1"/>
  <c r="Q1029" i="41"/>
  <c r="AE1026" i="41"/>
  <c r="T1026" i="41"/>
  <c r="W282" i="41"/>
  <c r="X282" i="41"/>
  <c r="P283" i="41"/>
  <c r="U282" i="41"/>
  <c r="Q283" i="41"/>
  <c r="S281" i="41"/>
  <c r="H1026" i="41"/>
  <c r="G1026" i="41" s="1"/>
  <c r="I1026" i="41"/>
  <c r="S1027" i="41"/>
  <c r="AC280" i="41"/>
  <c r="AE340" i="41" s="1" a="1"/>
  <c r="AE340" i="41" s="1"/>
  <c r="W1028" i="41"/>
  <c r="X1028" i="41"/>
  <c r="P1029" i="41"/>
  <c r="AE1025" i="41"/>
  <c r="T1025" i="41"/>
  <c r="M281" i="41"/>
  <c r="L281" i="41" s="1"/>
  <c r="R283" i="41"/>
  <c r="R1029" i="41"/>
  <c r="V1028" i="41"/>
  <c r="O1029" i="41" s="1"/>
  <c r="O283" i="41"/>
  <c r="M1024" i="41" l="1"/>
  <c r="L1024" i="41" s="1"/>
  <c r="S282" i="41"/>
  <c r="I282" i="41" s="1"/>
  <c r="AD1027" i="41"/>
  <c r="AC281" i="41"/>
  <c r="AE341" i="41" s="1" a="1"/>
  <c r="AE341" i="41" s="1"/>
  <c r="AK341" i="41" s="1"/>
  <c r="AD281" i="41"/>
  <c r="W1029" i="41"/>
  <c r="X1029" i="41"/>
  <c r="P1030" i="41"/>
  <c r="R1030" i="41"/>
  <c r="H282" i="41"/>
  <c r="G282" i="41" s="1"/>
  <c r="W283" i="41"/>
  <c r="X283" i="41"/>
  <c r="P284" i="41"/>
  <c r="M282" i="41"/>
  <c r="L282" i="41" s="1"/>
  <c r="AK1026" i="41"/>
  <c r="AF1026" i="41"/>
  <c r="AI1026" i="41"/>
  <c r="AJ1026" i="41"/>
  <c r="AH1026" i="41"/>
  <c r="AG1026" i="41"/>
  <c r="R284" i="41"/>
  <c r="V284" i="41" s="1"/>
  <c r="U283" i="41"/>
  <c r="Q284" i="41"/>
  <c r="H1027" i="41"/>
  <c r="G1027" i="41" s="1"/>
  <c r="I1027" i="41"/>
  <c r="S1028" i="41"/>
  <c r="I281" i="41"/>
  <c r="H281" i="41"/>
  <c r="G281" i="41" s="1"/>
  <c r="V283" i="41"/>
  <c r="O284" i="41" s="1"/>
  <c r="U1029" i="41"/>
  <c r="AD1028" i="41" s="1"/>
  <c r="Q1030" i="41"/>
  <c r="AJ340" i="41"/>
  <c r="AH340" i="41"/>
  <c r="AK340" i="41"/>
  <c r="AF340" i="41"/>
  <c r="AG340" i="41"/>
  <c r="AI340" i="41"/>
  <c r="AB283" i="41" a="1"/>
  <c r="AB283" i="41" s="1"/>
  <c r="AB1027" i="41"/>
  <c r="AE1027" i="41"/>
  <c r="T1027" i="41"/>
  <c r="AK1025" i="41"/>
  <c r="AI1025" i="41"/>
  <c r="AF1025" i="41"/>
  <c r="AJ1025" i="41"/>
  <c r="AG1025" i="41"/>
  <c r="AH1025" i="41"/>
  <c r="V1029" i="41"/>
  <c r="O1030" i="41" s="1"/>
  <c r="V1030" i="41" l="1"/>
  <c r="AI341" i="41"/>
  <c r="AJ341" i="41"/>
  <c r="AG341" i="41"/>
  <c r="AF341" i="41"/>
  <c r="M1026" i="41"/>
  <c r="AB1028" i="41"/>
  <c r="S1029" i="41"/>
  <c r="I1029" i="41" s="1"/>
  <c r="M1025" i="41"/>
  <c r="L1025" i="41" s="1"/>
  <c r="AC1028" i="41"/>
  <c r="AE1028" i="41" s="1"/>
  <c r="AH341" i="41"/>
  <c r="W284" i="41"/>
  <c r="X284" i="41"/>
  <c r="P285" i="41"/>
  <c r="W1030" i="41"/>
  <c r="P1031" i="41"/>
  <c r="X1030" i="41"/>
  <c r="R285" i="41"/>
  <c r="V285" i="41" s="1"/>
  <c r="M283" i="41"/>
  <c r="L283" i="41" s="1"/>
  <c r="AI1027" i="41"/>
  <c r="AJ1027" i="41"/>
  <c r="AF1027" i="41"/>
  <c r="AK1027" i="41"/>
  <c r="AH1027" i="41"/>
  <c r="AG1027" i="41"/>
  <c r="U1030" i="41"/>
  <c r="AB1029" i="41" s="1"/>
  <c r="Q1031" i="41"/>
  <c r="AB284" i="41" a="1"/>
  <c r="AB284" i="41" s="1"/>
  <c r="AD282" i="41"/>
  <c r="U284" i="41"/>
  <c r="AC283" i="41" s="1"/>
  <c r="AE343" i="41" s="1" a="1"/>
  <c r="AE343" i="41" s="1"/>
  <c r="Q285" i="41"/>
  <c r="AC282" i="41"/>
  <c r="AE342" i="41" s="1" a="1"/>
  <c r="AE342" i="41" s="1"/>
  <c r="O1031" i="41"/>
  <c r="I1028" i="41"/>
  <c r="H1028" i="41"/>
  <c r="G1028" i="41" s="1"/>
  <c r="R1031" i="41"/>
  <c r="V1031" i="41" s="1"/>
  <c r="S283" i="41"/>
  <c r="O285" i="41"/>
  <c r="M1027" i="41" l="1"/>
  <c r="H1029" i="41"/>
  <c r="G1029" i="41" s="1"/>
  <c r="T1028" i="41"/>
  <c r="L1026" i="41"/>
  <c r="S1030" i="41"/>
  <c r="H1030" i="41" s="1"/>
  <c r="G1030" i="41" s="1"/>
  <c r="AD1029" i="41"/>
  <c r="AC1029" i="41"/>
  <c r="AE1029" i="41" s="1"/>
  <c r="O286" i="41"/>
  <c r="R1032" i="41"/>
  <c r="AF343" i="41"/>
  <c r="AG343" i="41"/>
  <c r="AI343" i="41"/>
  <c r="AH343" i="41"/>
  <c r="AJ343" i="41"/>
  <c r="AK343" i="41"/>
  <c r="S284" i="41"/>
  <c r="AI1028" i="41"/>
  <c r="AJ1028" i="41"/>
  <c r="AG1028" i="41"/>
  <c r="AF1028" i="41"/>
  <c r="AK1028" i="41"/>
  <c r="AH1028" i="41"/>
  <c r="R286" i="41"/>
  <c r="I283" i="41"/>
  <c r="H283" i="41"/>
  <c r="G283" i="41" s="1"/>
  <c r="W1031" i="41"/>
  <c r="X1031" i="41"/>
  <c r="P1032" i="41"/>
  <c r="U285" i="41"/>
  <c r="Q286" i="41"/>
  <c r="W285" i="41"/>
  <c r="X285" i="41"/>
  <c r="P286" i="41"/>
  <c r="U1031" i="41"/>
  <c r="AC1030" i="41" s="1"/>
  <c r="Q1032" i="41"/>
  <c r="O1032" i="41"/>
  <c r="AB285" i="41" a="1"/>
  <c r="AB285" i="41" s="1"/>
  <c r="M284" i="41"/>
  <c r="L284" i="41" s="1"/>
  <c r="AJ342" i="41"/>
  <c r="AG342" i="41"/>
  <c r="AK342" i="41"/>
  <c r="AF342" i="41"/>
  <c r="AI342" i="41"/>
  <c r="AH342" i="41"/>
  <c r="AD283" i="41"/>
  <c r="L1027" i="41" l="1"/>
  <c r="I1030" i="41"/>
  <c r="S285" i="41"/>
  <c r="I285" i="41" s="1"/>
  <c r="AB286" i="41" a="1"/>
  <c r="AB286" i="41" s="1"/>
  <c r="T1029" i="41"/>
  <c r="AD1030" i="41"/>
  <c r="M1028" i="41"/>
  <c r="AD284" i="41"/>
  <c r="S1031" i="41"/>
  <c r="I1031" i="41" s="1"/>
  <c r="AE1030" i="41"/>
  <c r="T1030" i="41"/>
  <c r="U1032" i="41"/>
  <c r="Q1033" i="41"/>
  <c r="V1032" i="41"/>
  <c r="O1033" i="41" s="1"/>
  <c r="R1033" i="41"/>
  <c r="I284" i="41"/>
  <c r="H284" i="41"/>
  <c r="G284" i="41" s="1"/>
  <c r="AJ1029" i="41"/>
  <c r="AI1029" i="41"/>
  <c r="AK1029" i="41"/>
  <c r="AF1029" i="41"/>
  <c r="AH1029" i="41"/>
  <c r="AG1029" i="41"/>
  <c r="U286" i="41"/>
  <c r="S286" i="41" s="1"/>
  <c r="I286" i="41" s="1"/>
  <c r="Q287" i="41"/>
  <c r="M285" i="41"/>
  <c r="L285" i="41" s="1"/>
  <c r="W286" i="41"/>
  <c r="X286" i="41"/>
  <c r="P287" i="41"/>
  <c r="AB1030" i="41"/>
  <c r="AC284" i="41"/>
  <c r="AE344" i="41" s="1" a="1"/>
  <c r="AE344" i="41" s="1"/>
  <c r="W1032" i="41"/>
  <c r="X1032" i="41"/>
  <c r="P1033" i="41"/>
  <c r="R287" i="41"/>
  <c r="V287" i="41" s="1"/>
  <c r="V286" i="41"/>
  <c r="O287" i="41" s="1"/>
  <c r="L1028" i="41" l="1"/>
  <c r="H285" i="41"/>
  <c r="G285" i="41" s="1"/>
  <c r="V1033" i="41"/>
  <c r="H1031" i="41"/>
  <c r="G1031" i="41" s="1"/>
  <c r="M286" i="41"/>
  <c r="L286" i="41" s="1"/>
  <c r="M1029" i="41"/>
  <c r="W1033" i="41"/>
  <c r="X1033" i="41"/>
  <c r="P1034" i="41"/>
  <c r="R1034" i="41"/>
  <c r="R288" i="41"/>
  <c r="O1034" i="41"/>
  <c r="H286" i="41"/>
  <c r="G286" i="41" s="1"/>
  <c r="U1033" i="41"/>
  <c r="AB1032" i="41" s="1"/>
  <c r="Q1034" i="41"/>
  <c r="AJ344" i="41"/>
  <c r="AK344" i="41"/>
  <c r="AF344" i="41"/>
  <c r="AH344" i="41"/>
  <c r="AG344" i="41"/>
  <c r="AI344" i="41"/>
  <c r="O288" i="41"/>
  <c r="AD285" i="41"/>
  <c r="W287" i="41"/>
  <c r="X287" i="41"/>
  <c r="P288" i="41"/>
  <c r="AC285" i="41"/>
  <c r="AE345" i="41" s="1" a="1"/>
  <c r="AE345" i="41" s="1"/>
  <c r="AB1031" i="41"/>
  <c r="U287" i="41"/>
  <c r="AD286" i="41" s="1"/>
  <c r="Q288" i="41"/>
  <c r="AD1031" i="41"/>
  <c r="AB287" i="41" a="1"/>
  <c r="AB287" i="41" s="1"/>
  <c r="AC1031" i="41"/>
  <c r="S1032" i="41"/>
  <c r="AG1030" i="41"/>
  <c r="AK1030" i="41"/>
  <c r="AH1030" i="41"/>
  <c r="AI1030" i="41"/>
  <c r="AJ1030" i="41"/>
  <c r="AF1030" i="41"/>
  <c r="L1029" i="41" l="1"/>
  <c r="AC286" i="41"/>
  <c r="AE346" i="41" s="1" a="1"/>
  <c r="AE346" i="41" s="1"/>
  <c r="AG346" i="41" s="1"/>
  <c r="S1033" i="41"/>
  <c r="I1033" i="41" s="1"/>
  <c r="M1030" i="41"/>
  <c r="R289" i="41"/>
  <c r="V289" i="41" s="1"/>
  <c r="U288" i="41"/>
  <c r="AC287" i="41" s="1"/>
  <c r="AE347" i="41" s="1" a="1"/>
  <c r="AE347" i="41" s="1"/>
  <c r="Q289" i="41"/>
  <c r="AE1031" i="41"/>
  <c r="T1031" i="41"/>
  <c r="AB288" i="41" a="1"/>
  <c r="AB288" i="41" s="1"/>
  <c r="H1032" i="41"/>
  <c r="G1032" i="41" s="1"/>
  <c r="I1032" i="41"/>
  <c r="U1034" i="41"/>
  <c r="AD1033" i="41" s="1"/>
  <c r="Q1035" i="41"/>
  <c r="M287" i="41"/>
  <c r="L287" i="41" s="1"/>
  <c r="W1034" i="41"/>
  <c r="P1035" i="41"/>
  <c r="X1034" i="41"/>
  <c r="R1035" i="41"/>
  <c r="AG345" i="41"/>
  <c r="AJ345" i="41"/>
  <c r="AI345" i="41"/>
  <c r="AH345" i="41"/>
  <c r="AK345" i="41"/>
  <c r="AF345" i="41"/>
  <c r="W288" i="41"/>
  <c r="X288" i="41"/>
  <c r="P289" i="41"/>
  <c r="V1034" i="41"/>
  <c r="O1035" i="41" s="1"/>
  <c r="V288" i="41"/>
  <c r="O289" i="41" s="1"/>
  <c r="S287" i="41"/>
  <c r="AC1032" i="41"/>
  <c r="AD1032" i="41"/>
  <c r="L1030" i="41" l="1"/>
  <c r="AC1033" i="41"/>
  <c r="H1033" i="41"/>
  <c r="G1033" i="41" s="1"/>
  <c r="AH346" i="41"/>
  <c r="AF346" i="41"/>
  <c r="AK346" i="41"/>
  <c r="AI346" i="41"/>
  <c r="AJ346" i="41"/>
  <c r="AB289" i="41" a="1"/>
  <c r="AB289" i="41" s="1"/>
  <c r="W1035" i="41"/>
  <c r="X1035" i="41"/>
  <c r="P1036" i="41"/>
  <c r="AE1033" i="41"/>
  <c r="T1033" i="41"/>
  <c r="R1036" i="41"/>
  <c r="V1036" i="41" s="1"/>
  <c r="AK1031" i="41"/>
  <c r="AF1031" i="41"/>
  <c r="AI1031" i="41"/>
  <c r="AJ1031" i="41"/>
  <c r="AG1031" i="41"/>
  <c r="AH1031" i="41"/>
  <c r="O290" i="41"/>
  <c r="I287" i="41"/>
  <c r="H287" i="41"/>
  <c r="G287" i="41" s="1"/>
  <c r="M288" i="41"/>
  <c r="L288" i="41" s="1"/>
  <c r="AG347" i="41"/>
  <c r="AF347" i="41"/>
  <c r="AJ347" i="41"/>
  <c r="AH347" i="41"/>
  <c r="AI347" i="41"/>
  <c r="AK347" i="41"/>
  <c r="AB1033" i="41"/>
  <c r="U289" i="41"/>
  <c r="Q290" i="41"/>
  <c r="W289" i="41"/>
  <c r="X289" i="41"/>
  <c r="P290" i="41"/>
  <c r="S288" i="41"/>
  <c r="AE1032" i="41"/>
  <c r="T1032" i="41"/>
  <c r="AD287" i="41"/>
  <c r="U1035" i="41"/>
  <c r="Q1036" i="41"/>
  <c r="V1035" i="41"/>
  <c r="O1036" i="41" s="1"/>
  <c r="R290" i="41"/>
  <c r="V290" i="41" s="1"/>
  <c r="S1034" i="41"/>
  <c r="AB290" i="41" l="1" a="1"/>
  <c r="AB290" i="41" s="1"/>
  <c r="O1037" i="41"/>
  <c r="AC1034" i="41"/>
  <c r="U1036" i="41"/>
  <c r="Q1037" i="41"/>
  <c r="AB1034" i="41"/>
  <c r="AI1033" i="41"/>
  <c r="AJ1033" i="41"/>
  <c r="AF1033" i="41"/>
  <c r="AG1033" i="41"/>
  <c r="AH1033" i="41"/>
  <c r="AK1033" i="41"/>
  <c r="R1037" i="41"/>
  <c r="V1037" i="41" s="1"/>
  <c r="U290" i="41"/>
  <c r="AC289" i="41" s="1"/>
  <c r="AE349" i="41" s="1" a="1"/>
  <c r="AE349" i="41" s="1"/>
  <c r="Q291" i="41"/>
  <c r="S1035" i="41"/>
  <c r="AD1034" i="41"/>
  <c r="AG1032" i="41"/>
  <c r="AF1032" i="41"/>
  <c r="AI1032" i="41"/>
  <c r="AK1032" i="41"/>
  <c r="AH1032" i="41"/>
  <c r="AJ1032" i="41"/>
  <c r="I288" i="41"/>
  <c r="H288" i="41"/>
  <c r="G288" i="41" s="1"/>
  <c r="W1036" i="41"/>
  <c r="X1036" i="41"/>
  <c r="P1037" i="41"/>
  <c r="AD288" i="41"/>
  <c r="AC288" i="41"/>
  <c r="AE348" i="41" s="1" a="1"/>
  <c r="AE348" i="41" s="1"/>
  <c r="R291" i="41"/>
  <c r="M1031" i="41"/>
  <c r="L1031" i="41" s="1"/>
  <c r="W290" i="41"/>
  <c r="X290" i="41"/>
  <c r="P291" i="41"/>
  <c r="I1034" i="41"/>
  <c r="H1034" i="41"/>
  <c r="G1034" i="41" s="1"/>
  <c r="S289" i="41"/>
  <c r="M289" i="41"/>
  <c r="L289" i="41" s="1"/>
  <c r="O291" i="41"/>
  <c r="M1032" i="41" l="1"/>
  <c r="L1032" i="41" s="1"/>
  <c r="M1033" i="41"/>
  <c r="AD289" i="41"/>
  <c r="H1035" i="41"/>
  <c r="G1035" i="41" s="1"/>
  <c r="I1035" i="41"/>
  <c r="O1038" i="41"/>
  <c r="U291" i="41"/>
  <c r="AD290" i="41" s="1"/>
  <c r="Q292" i="41"/>
  <c r="V291" i="41"/>
  <c r="O292" i="41" s="1"/>
  <c r="AJ349" i="41"/>
  <c r="AK349" i="41"/>
  <c r="AI349" i="41"/>
  <c r="AH349" i="41"/>
  <c r="AG349" i="41"/>
  <c r="AF349" i="41"/>
  <c r="AE1034" i="41"/>
  <c r="T1034" i="41"/>
  <c r="AD1035" i="41"/>
  <c r="AB1035" i="41"/>
  <c r="U1037" i="41"/>
  <c r="AC1036" i="41" s="1"/>
  <c r="Q1038" i="41"/>
  <c r="I289" i="41"/>
  <c r="H289" i="41"/>
  <c r="G289" i="41" s="1"/>
  <c r="AC1035" i="41"/>
  <c r="M290" i="41"/>
  <c r="L290" i="41" s="1"/>
  <c r="R1038" i="41"/>
  <c r="V1038" i="41" s="1"/>
  <c r="W291" i="41"/>
  <c r="X291" i="41"/>
  <c r="P292" i="41"/>
  <c r="W1037" i="41"/>
  <c r="X1037" i="41"/>
  <c r="P1038" i="41"/>
  <c r="S290" i="41"/>
  <c r="AB291" i="41" a="1"/>
  <c r="AB291" i="41" s="1"/>
  <c r="AK348" i="41"/>
  <c r="AJ348" i="41"/>
  <c r="AF348" i="41"/>
  <c r="AI348" i="41"/>
  <c r="AG348" i="41"/>
  <c r="AH348" i="41"/>
  <c r="R292" i="41"/>
  <c r="S1036" i="41"/>
  <c r="AC290" i="41" l="1"/>
  <c r="AE350" i="41" s="1" a="1"/>
  <c r="AE350" i="41" s="1"/>
  <c r="AK350" i="41" s="1"/>
  <c r="AB1036" i="41"/>
  <c r="AD1036" i="41"/>
  <c r="AB292" i="41" a="1"/>
  <c r="AB292" i="41" s="1"/>
  <c r="L1033" i="41"/>
  <c r="S291" i="41"/>
  <c r="I291" i="41" s="1"/>
  <c r="AE1036" i="41"/>
  <c r="T1036" i="41"/>
  <c r="W292" i="41"/>
  <c r="X292" i="41"/>
  <c r="P293" i="41"/>
  <c r="H1036" i="41"/>
  <c r="G1036" i="41" s="1"/>
  <c r="I1036" i="41"/>
  <c r="U292" i="41"/>
  <c r="AC291" i="41" s="1"/>
  <c r="AE351" i="41" s="1" a="1"/>
  <c r="AE351" i="41" s="1"/>
  <c r="Q293" i="41"/>
  <c r="V292" i="41"/>
  <c r="O293" i="41" s="1"/>
  <c r="AK1034" i="41"/>
  <c r="AF1034" i="41"/>
  <c r="AJ1034" i="41"/>
  <c r="AG1034" i="41"/>
  <c r="AH1034" i="41"/>
  <c r="AI1034" i="41"/>
  <c r="W1038" i="41"/>
  <c r="X1038" i="41"/>
  <c r="P1039" i="41"/>
  <c r="S1037" i="41"/>
  <c r="AE1035" i="41"/>
  <c r="T1035" i="41"/>
  <c r="O1039" i="41"/>
  <c r="R293" i="41"/>
  <c r="M291" i="41"/>
  <c r="L291" i="41" s="1"/>
  <c r="R1039" i="41"/>
  <c r="I290" i="41"/>
  <c r="H290" i="41"/>
  <c r="G290" i="41" s="1"/>
  <c r="U1038" i="41"/>
  <c r="AD1037" i="41" s="1"/>
  <c r="Q1039" i="41"/>
  <c r="AG350" i="41" l="1"/>
  <c r="H291" i="41"/>
  <c r="G291" i="41" s="1"/>
  <c r="AF350" i="41"/>
  <c r="AJ350" i="41"/>
  <c r="AH350" i="41"/>
  <c r="AI350" i="41"/>
  <c r="S292" i="41"/>
  <c r="I292" i="41" s="1"/>
  <c r="M1034" i="41"/>
  <c r="L1034" i="41" s="1"/>
  <c r="S1038" i="41"/>
  <c r="H1038" i="41" s="1"/>
  <c r="G1038" i="41" s="1"/>
  <c r="AD291" i="41"/>
  <c r="Q1040" i="41"/>
  <c r="U1039" i="41"/>
  <c r="AB1038" i="41" s="1"/>
  <c r="R294" i="41"/>
  <c r="V1039" i="41"/>
  <c r="O1040" i="41" s="1"/>
  <c r="AB293" i="41" a="1"/>
  <c r="AB293" i="41" s="1"/>
  <c r="W293" i="41"/>
  <c r="X293" i="41"/>
  <c r="P294" i="41"/>
  <c r="AK351" i="41"/>
  <c r="AF351" i="41"/>
  <c r="AG351" i="41"/>
  <c r="AI351" i="41"/>
  <c r="AH351" i="41"/>
  <c r="AJ351" i="41"/>
  <c r="M292" i="41"/>
  <c r="L292" i="41" s="1"/>
  <c r="R1040" i="41"/>
  <c r="AG1036" i="41"/>
  <c r="AH1036" i="41"/>
  <c r="AF1036" i="41"/>
  <c r="AI1036" i="41"/>
  <c r="AK1036" i="41"/>
  <c r="AJ1036" i="41"/>
  <c r="W1039" i="41"/>
  <c r="X1039" i="41"/>
  <c r="P1040" i="41"/>
  <c r="U293" i="41"/>
  <c r="Q294" i="41"/>
  <c r="AI1035" i="41"/>
  <c r="AK1035" i="41"/>
  <c r="AF1035" i="41"/>
  <c r="AH1035" i="41"/>
  <c r="AJ1035" i="41"/>
  <c r="AG1035" i="41"/>
  <c r="V293" i="41"/>
  <c r="O294" i="41" s="1"/>
  <c r="AC1037" i="41"/>
  <c r="H1037" i="41"/>
  <c r="G1037" i="41" s="1"/>
  <c r="I1037" i="41"/>
  <c r="AB1037" i="41"/>
  <c r="H292" i="41" l="1"/>
  <c r="G292" i="41" s="1"/>
  <c r="S293" i="41"/>
  <c r="I293" i="41" s="1"/>
  <c r="I1038" i="41"/>
  <c r="AC1038" i="41"/>
  <c r="AE1038" i="41" s="1"/>
  <c r="AD1038" i="41"/>
  <c r="AB294" i="41" a="1"/>
  <c r="AB294" i="41" s="1"/>
  <c r="AC292" i="41"/>
  <c r="AE352" i="41" s="1" a="1"/>
  <c r="AE352" i="41" s="1"/>
  <c r="AH352" i="41" s="1"/>
  <c r="AD292" i="41"/>
  <c r="M1036" i="41"/>
  <c r="W1040" i="41"/>
  <c r="P1041" i="41"/>
  <c r="X1040" i="41"/>
  <c r="Q1041" i="41"/>
  <c r="U1040" i="41"/>
  <c r="AD1039" i="41" s="1"/>
  <c r="R1041" i="41"/>
  <c r="W294" i="41"/>
  <c r="X294" i="41"/>
  <c r="P295" i="41"/>
  <c r="U294" i="41"/>
  <c r="Q295" i="41"/>
  <c r="AE1037" i="41"/>
  <c r="T1037" i="41"/>
  <c r="R295" i="41"/>
  <c r="V1040" i="41"/>
  <c r="O1041" i="41" s="1"/>
  <c r="V294" i="41"/>
  <c r="O295" i="41" s="1"/>
  <c r="M1035" i="41"/>
  <c r="L1035" i="41" s="1"/>
  <c r="S1039" i="41"/>
  <c r="M293" i="41"/>
  <c r="L293" i="41" s="1"/>
  <c r="H293" i="41" l="1"/>
  <c r="G293" i="41" s="1"/>
  <c r="T1038" i="41"/>
  <c r="AB1039" i="41"/>
  <c r="L1036" i="41"/>
  <c r="AK352" i="41"/>
  <c r="AI352" i="41"/>
  <c r="AJ352" i="41"/>
  <c r="AG352" i="41"/>
  <c r="AF352" i="41"/>
  <c r="AC1039" i="41"/>
  <c r="AE1039" i="41" s="1"/>
  <c r="AB295" i="41" a="1"/>
  <c r="AB295" i="41" s="1"/>
  <c r="W295" i="41"/>
  <c r="X295" i="41"/>
  <c r="P296" i="41"/>
  <c r="W1041" i="41"/>
  <c r="X1041" i="41"/>
  <c r="P1042" i="41"/>
  <c r="U1041" i="41"/>
  <c r="Q1042" i="41"/>
  <c r="I1039" i="41"/>
  <c r="H1039" i="41"/>
  <c r="G1039" i="41" s="1"/>
  <c r="AH1038" i="41"/>
  <c r="AI1038" i="41"/>
  <c r="AJ1038" i="41"/>
  <c r="AG1038" i="41"/>
  <c r="AF1038" i="41"/>
  <c r="AK1038" i="41"/>
  <c r="AG1037" i="41"/>
  <c r="AJ1037" i="41"/>
  <c r="AH1037" i="41"/>
  <c r="AI1037" i="41"/>
  <c r="AK1037" i="41"/>
  <c r="AF1037" i="41"/>
  <c r="R1042" i="41"/>
  <c r="V1042" i="41" s="1"/>
  <c r="U295" i="41"/>
  <c r="AD294" i="41" s="1"/>
  <c r="Q296" i="41"/>
  <c r="V1041" i="41"/>
  <c r="O1042" i="41" s="1"/>
  <c r="V295" i="41"/>
  <c r="O296" i="41" s="1"/>
  <c r="R296" i="41"/>
  <c r="V296" i="41" s="1"/>
  <c r="S294" i="41"/>
  <c r="AD293" i="41"/>
  <c r="AC293" i="41"/>
  <c r="AE353" i="41" s="1" a="1"/>
  <c r="AE353" i="41" s="1"/>
  <c r="S1040" i="41"/>
  <c r="M294" i="41"/>
  <c r="L294" i="41" s="1"/>
  <c r="M1038" i="41" l="1"/>
  <c r="AB296" i="41" a="1"/>
  <c r="AB296" i="41" s="1"/>
  <c r="T1039" i="41"/>
  <c r="S295" i="41"/>
  <c r="I295" i="41" s="1"/>
  <c r="AC294" i="41"/>
  <c r="AE354" i="41" s="1" a="1"/>
  <c r="AE354" i="41" s="1"/>
  <c r="AH354" i="41" s="1"/>
  <c r="X296" i="41"/>
  <c r="W296" i="41"/>
  <c r="P297" i="41"/>
  <c r="R1043" i="41"/>
  <c r="V1043" i="41" s="1"/>
  <c r="AB1040" i="41"/>
  <c r="AH1039" i="41"/>
  <c r="AG1039" i="41"/>
  <c r="AF1039" i="41"/>
  <c r="AK1039" i="41"/>
  <c r="AI1039" i="41"/>
  <c r="AJ1039" i="41"/>
  <c r="R297" i="41"/>
  <c r="W1042" i="41"/>
  <c r="P1043" i="41"/>
  <c r="X1042" i="41"/>
  <c r="S1041" i="41"/>
  <c r="AD1040" i="41"/>
  <c r="U296" i="41"/>
  <c r="Q297" i="41"/>
  <c r="M1037" i="41"/>
  <c r="L1037" i="41" s="1"/>
  <c r="AC1040" i="41"/>
  <c r="M295" i="41"/>
  <c r="L295" i="41" s="1"/>
  <c r="U1042" i="41"/>
  <c r="AC1041" i="41" s="1"/>
  <c r="Q1043" i="41"/>
  <c r="I1040" i="41"/>
  <c r="H1040" i="41"/>
  <c r="G1040" i="41" s="1"/>
  <c r="AH353" i="41"/>
  <c r="AI353" i="41"/>
  <c r="AJ353" i="41"/>
  <c r="AG353" i="41"/>
  <c r="AK353" i="41"/>
  <c r="AF353" i="41"/>
  <c r="O297" i="41"/>
  <c r="I294" i="41"/>
  <c r="H294" i="41"/>
  <c r="G294" i="41" s="1"/>
  <c r="O1043" i="41"/>
  <c r="S296" i="41" l="1"/>
  <c r="H296" i="41" s="1"/>
  <c r="G296" i="41" s="1"/>
  <c r="H295" i="41"/>
  <c r="G295" i="41" s="1"/>
  <c r="L1038" i="41"/>
  <c r="S1042" i="41"/>
  <c r="I1042" i="41" s="1"/>
  <c r="AK354" i="41"/>
  <c r="AC295" i="41"/>
  <c r="AE355" i="41" s="1" a="1"/>
  <c r="AE355" i="41" s="1"/>
  <c r="AF355" i="41" s="1"/>
  <c r="AD295" i="41"/>
  <c r="AF354" i="41"/>
  <c r="AJ354" i="41"/>
  <c r="AI354" i="41"/>
  <c r="AG354" i="41"/>
  <c r="M1039" i="41"/>
  <c r="AE1041" i="41"/>
  <c r="T1041" i="41"/>
  <c r="I296" i="41"/>
  <c r="H1041" i="41"/>
  <c r="G1041" i="41" s="1"/>
  <c r="I1041" i="41"/>
  <c r="AB1041" i="41"/>
  <c r="AD1041" i="41"/>
  <c r="O1044" i="41"/>
  <c r="U1043" i="41"/>
  <c r="S1043" i="41" s="1"/>
  <c r="Q1044" i="41"/>
  <c r="R1044" i="41"/>
  <c r="H1042" i="41"/>
  <c r="G1042" i="41" s="1"/>
  <c r="U297" i="41"/>
  <c r="AD296" i="41" s="1"/>
  <c r="Q298" i="41"/>
  <c r="R298" i="41"/>
  <c r="W297" i="41"/>
  <c r="X297" i="41"/>
  <c r="P298" i="41"/>
  <c r="AE1040" i="41"/>
  <c r="T1040" i="41"/>
  <c r="AB297" i="41" a="1"/>
  <c r="AB297" i="41" s="1"/>
  <c r="M296" i="41"/>
  <c r="L296" i="41" s="1"/>
  <c r="W1043" i="41"/>
  <c r="X1043" i="41"/>
  <c r="P1044" i="41"/>
  <c r="V297" i="41"/>
  <c r="O298" i="41" s="1"/>
  <c r="V298" i="41" l="1"/>
  <c r="L1039" i="41"/>
  <c r="AG355" i="41"/>
  <c r="AK355" i="41"/>
  <c r="AJ355" i="41"/>
  <c r="AH355" i="41"/>
  <c r="AI355" i="41"/>
  <c r="AC296" i="41"/>
  <c r="AE356" i="41" s="1" a="1"/>
  <c r="AE356" i="41" s="1"/>
  <c r="AH356" i="41" s="1"/>
  <c r="H1043" i="41"/>
  <c r="G1043" i="41" s="1"/>
  <c r="I1043" i="41"/>
  <c r="U1044" i="41"/>
  <c r="S1044" i="41" s="1"/>
  <c r="I1044" i="41" s="1"/>
  <c r="Q1045" i="41"/>
  <c r="R299" i="41"/>
  <c r="V299" i="41" s="1"/>
  <c r="M297" i="41"/>
  <c r="L297" i="41" s="1"/>
  <c r="V1044" i="41"/>
  <c r="O1045" i="41" s="1"/>
  <c r="U298" i="41"/>
  <c r="Q299" i="41"/>
  <c r="AB298" i="41" a="1"/>
  <c r="AB298" i="41" s="1"/>
  <c r="AB1042" i="41"/>
  <c r="AC1042" i="41"/>
  <c r="W1044" i="41"/>
  <c r="P1045" i="41"/>
  <c r="X1044" i="41"/>
  <c r="R1045" i="41"/>
  <c r="O299" i="41"/>
  <c r="AD1042" i="41"/>
  <c r="W298" i="41"/>
  <c r="X298" i="41"/>
  <c r="P299" i="41"/>
  <c r="S297" i="41"/>
  <c r="AG1040" i="41"/>
  <c r="AI1040" i="41"/>
  <c r="AH1040" i="41"/>
  <c r="AJ1040" i="41"/>
  <c r="AK1040" i="41"/>
  <c r="AF1040" i="41"/>
  <c r="AI1041" i="41"/>
  <c r="AJ1041" i="41"/>
  <c r="AF1041" i="41"/>
  <c r="AH1041" i="41"/>
  <c r="AK1041" i="41"/>
  <c r="AG1041" i="41"/>
  <c r="AD1043" i="41" l="1"/>
  <c r="AF356" i="41"/>
  <c r="AJ356" i="41"/>
  <c r="AI356" i="41"/>
  <c r="AK356" i="41"/>
  <c r="AB1043" i="41"/>
  <c r="AG356" i="41"/>
  <c r="H1044" i="41"/>
  <c r="G1044" i="41" s="1"/>
  <c r="M1041" i="41"/>
  <c r="W1045" i="41"/>
  <c r="X1045" i="41"/>
  <c r="P1046" i="41"/>
  <c r="U1045" i="41"/>
  <c r="S1045" i="41" s="1"/>
  <c r="Q1046" i="41"/>
  <c r="O300" i="41"/>
  <c r="I297" i="41"/>
  <c r="H297" i="41"/>
  <c r="G297" i="41" s="1"/>
  <c r="AD297" i="41"/>
  <c r="R1046" i="41"/>
  <c r="R300" i="41"/>
  <c r="V300" i="41" s="1"/>
  <c r="AE1042" i="41"/>
  <c r="T1042" i="41"/>
  <c r="U299" i="41"/>
  <c r="AC298" i="41" s="1"/>
  <c r="AE358" i="41" s="1" a="1"/>
  <c r="AE358" i="41" s="1"/>
  <c r="Q300" i="41"/>
  <c r="AC297" i="41"/>
  <c r="AE357" i="41" s="1" a="1"/>
  <c r="AE357" i="41" s="1"/>
  <c r="M1040" i="41"/>
  <c r="L1040" i="41" s="1"/>
  <c r="M298" i="41"/>
  <c r="L298" i="41" s="1"/>
  <c r="AC1043" i="41"/>
  <c r="AB299" i="41" a="1"/>
  <c r="AB299" i="41" s="1"/>
  <c r="V1045" i="41"/>
  <c r="O1046" i="41" s="1"/>
  <c r="W299" i="41"/>
  <c r="X299" i="41"/>
  <c r="P300" i="41"/>
  <c r="S298" i="41"/>
  <c r="AB1044" i="41" l="1"/>
  <c r="L1041" i="41"/>
  <c r="AD1044" i="41"/>
  <c r="AC1044" i="41"/>
  <c r="AE1044" i="41" s="1"/>
  <c r="I1045" i="41"/>
  <c r="H1045" i="41"/>
  <c r="G1045" i="41" s="1"/>
  <c r="AF358" i="41"/>
  <c r="AH358" i="41"/>
  <c r="AG358" i="41"/>
  <c r="AK358" i="41"/>
  <c r="AI358" i="41"/>
  <c r="AJ358" i="41"/>
  <c r="W1046" i="41"/>
  <c r="X1046" i="41"/>
  <c r="P1047" i="41"/>
  <c r="R1047" i="41"/>
  <c r="O301" i="41"/>
  <c r="U1046" i="41"/>
  <c r="S1046" i="41" s="1"/>
  <c r="I1046" i="41" s="1"/>
  <c r="Q1047" i="41"/>
  <c r="AE1043" i="41"/>
  <c r="T1043" i="41"/>
  <c r="W300" i="41"/>
  <c r="X300" i="41"/>
  <c r="P301" i="41"/>
  <c r="AJ357" i="41"/>
  <c r="AI357" i="41"/>
  <c r="AH357" i="41"/>
  <c r="AG357" i="41"/>
  <c r="AF357" i="41"/>
  <c r="AK357" i="41"/>
  <c r="S299" i="41"/>
  <c r="M299" i="41"/>
  <c r="L299" i="41" s="1"/>
  <c r="AK1042" i="41"/>
  <c r="AG1042" i="41"/>
  <c r="AJ1042" i="41"/>
  <c r="AI1042" i="41"/>
  <c r="AH1042" i="41"/>
  <c r="AF1042" i="41"/>
  <c r="R301" i="41"/>
  <c r="AD298" i="41"/>
  <c r="U300" i="41"/>
  <c r="Q301" i="41"/>
  <c r="AB300" i="41" a="1"/>
  <c r="AB300" i="41" s="1"/>
  <c r="I298" i="41"/>
  <c r="H298" i="41"/>
  <c r="G298" i="41" s="1"/>
  <c r="V1046" i="41"/>
  <c r="O1047" i="41" s="1"/>
  <c r="AC1045" i="41"/>
  <c r="AD1045" i="41"/>
  <c r="V1047" i="41" l="1"/>
  <c r="O1048" i="41" s="1"/>
  <c r="T1044" i="41"/>
  <c r="S300" i="41"/>
  <c r="I300" i="41" s="1"/>
  <c r="M1042" i="41"/>
  <c r="L1042" i="41" s="1"/>
  <c r="AB301" i="41" a="1"/>
  <c r="AB301" i="41" s="1"/>
  <c r="W1047" i="41"/>
  <c r="X1047" i="41"/>
  <c r="P1048" i="41"/>
  <c r="R1048" i="41"/>
  <c r="V1048" i="41" s="1"/>
  <c r="H1046" i="41"/>
  <c r="G1046" i="41" s="1"/>
  <c r="AE1045" i="41"/>
  <c r="T1045" i="41"/>
  <c r="AH1044" i="41"/>
  <c r="AG1044" i="41"/>
  <c r="AI1044" i="41"/>
  <c r="AJ1044" i="41"/>
  <c r="AK1044" i="41"/>
  <c r="AF1044" i="41"/>
  <c r="U301" i="41"/>
  <c r="AC300" i="41" s="1"/>
  <c r="AE360" i="41" s="1" a="1"/>
  <c r="AE360" i="41" s="1"/>
  <c r="Q302" i="41"/>
  <c r="M300" i="41"/>
  <c r="L300" i="41" s="1"/>
  <c r="I299" i="41"/>
  <c r="H299" i="41"/>
  <c r="G299" i="41" s="1"/>
  <c r="AI1043" i="41"/>
  <c r="AF1043" i="41"/>
  <c r="AJ1043" i="41"/>
  <c r="AK1043" i="41"/>
  <c r="AG1043" i="41"/>
  <c r="AH1043" i="41"/>
  <c r="V301" i="41"/>
  <c r="O302" i="41" s="1"/>
  <c r="W301" i="41"/>
  <c r="X301" i="41"/>
  <c r="P302" i="41"/>
  <c r="AD299" i="41"/>
  <c r="U1047" i="41"/>
  <c r="S1047" i="41" s="1"/>
  <c r="I1047" i="41" s="1"/>
  <c r="Q1048" i="41"/>
  <c r="AB1045" i="41"/>
  <c r="AC299" i="41"/>
  <c r="AE359" i="41" s="1" a="1"/>
  <c r="AE359" i="41" s="1"/>
  <c r="R302" i="41"/>
  <c r="V302" i="41" s="1"/>
  <c r="H300" i="41" l="1"/>
  <c r="G300" i="41" s="1"/>
  <c r="S301" i="41"/>
  <c r="I301" i="41" s="1"/>
  <c r="AD300" i="41"/>
  <c r="M1043" i="41"/>
  <c r="L1043" i="41" s="1"/>
  <c r="M1044" i="41"/>
  <c r="W302" i="41"/>
  <c r="X302" i="41"/>
  <c r="P303" i="41"/>
  <c r="AI1045" i="41"/>
  <c r="AF1045" i="41"/>
  <c r="AJ1045" i="41"/>
  <c r="AG1045" i="41"/>
  <c r="AK1045" i="41"/>
  <c r="AH1045" i="41"/>
  <c r="U1048" i="41"/>
  <c r="AD1047" i="41" s="1"/>
  <c r="Q1049" i="41"/>
  <c r="R1049" i="41"/>
  <c r="H1047" i="41"/>
  <c r="G1047" i="41" s="1"/>
  <c r="AB1046" i="41"/>
  <c r="R303" i="41"/>
  <c r="V303" i="41" s="1"/>
  <c r="AD1046" i="41"/>
  <c r="H301" i="41"/>
  <c r="G301" i="41" s="1"/>
  <c r="AC1046" i="41"/>
  <c r="AG360" i="41"/>
  <c r="AK360" i="41"/>
  <c r="AH360" i="41"/>
  <c r="AI360" i="41"/>
  <c r="AJ360" i="41"/>
  <c r="AF360" i="41"/>
  <c r="O303" i="41"/>
  <c r="U302" i="41"/>
  <c r="AC301" i="41" s="1"/>
  <c r="AE361" i="41" s="1" a="1"/>
  <c r="AE361" i="41" s="1"/>
  <c r="Q303" i="41"/>
  <c r="AB303" i="41" s="1" a="1"/>
  <c r="AB303" i="41" s="1"/>
  <c r="AF359" i="41"/>
  <c r="AH359" i="41"/>
  <c r="AI359" i="41"/>
  <c r="AK359" i="41"/>
  <c r="AG359" i="41"/>
  <c r="AJ359" i="41"/>
  <c r="O1049" i="41"/>
  <c r="AB302" i="41" a="1"/>
  <c r="AB302" i="41" s="1"/>
  <c r="M301" i="41"/>
  <c r="L301" i="41" s="1"/>
  <c r="W1048" i="41"/>
  <c r="X1048" i="41"/>
  <c r="P1049" i="41"/>
  <c r="M1045" i="41" l="1"/>
  <c r="AB1047" i="41"/>
  <c r="L1044" i="41"/>
  <c r="AD301" i="41"/>
  <c r="S1048" i="41"/>
  <c r="AC1047" i="41"/>
  <c r="AE1047" i="41" s="1"/>
  <c r="U1049" i="41"/>
  <c r="AD1048" i="41" s="1"/>
  <c r="Q1050" i="41"/>
  <c r="R1050" i="41"/>
  <c r="AJ361" i="41"/>
  <c r="AH361" i="41"/>
  <c r="AI361" i="41"/>
  <c r="AK361" i="41"/>
  <c r="AG361" i="41"/>
  <c r="AF361" i="41"/>
  <c r="O304" i="41"/>
  <c r="R304" i="41"/>
  <c r="AE1046" i="41"/>
  <c r="T1046" i="41"/>
  <c r="W1049" i="41"/>
  <c r="P1050" i="41"/>
  <c r="X1049" i="41"/>
  <c r="V1049" i="41"/>
  <c r="O1050" i="41" s="1"/>
  <c r="W303" i="41"/>
  <c r="X303" i="41"/>
  <c r="P304" i="41"/>
  <c r="S302" i="41"/>
  <c r="U303" i="41"/>
  <c r="Q304" i="41"/>
  <c r="M302" i="41"/>
  <c r="L302" i="41" s="1"/>
  <c r="L1045" i="41" l="1"/>
  <c r="AC1048" i="41"/>
  <c r="AE1048" i="41" s="1"/>
  <c r="S303" i="41"/>
  <c r="I303" i="41" s="1"/>
  <c r="T1047" i="41"/>
  <c r="H1048" i="41"/>
  <c r="G1048" i="41" s="1"/>
  <c r="I1048" i="41"/>
  <c r="H303" i="41"/>
  <c r="G303" i="41" s="1"/>
  <c r="AB304" i="41" a="1"/>
  <c r="AB304" i="41" s="1"/>
  <c r="R1051" i="41"/>
  <c r="W304" i="41"/>
  <c r="X304" i="41"/>
  <c r="P305" i="41"/>
  <c r="U1050" i="41"/>
  <c r="AD1049" i="41" s="1"/>
  <c r="Q1051" i="41"/>
  <c r="U304" i="41"/>
  <c r="AD303" i="41" s="1"/>
  <c r="Q305" i="41"/>
  <c r="I302" i="41"/>
  <c r="H302" i="41"/>
  <c r="G302" i="41" s="1"/>
  <c r="R305" i="41"/>
  <c r="V305" i="41" s="1"/>
  <c r="V304" i="41"/>
  <c r="O305" i="41" s="1"/>
  <c r="AF1046" i="41"/>
  <c r="AI1046" i="41"/>
  <c r="AK1046" i="41"/>
  <c r="AG1046" i="41"/>
  <c r="AH1046" i="41"/>
  <c r="AJ1046" i="41"/>
  <c r="W1050" i="41"/>
  <c r="X1050" i="41"/>
  <c r="P1051" i="41"/>
  <c r="AI1047" i="41"/>
  <c r="AH1047" i="41"/>
  <c r="AJ1047" i="41"/>
  <c r="AF1047" i="41"/>
  <c r="AK1047" i="41"/>
  <c r="AG1047" i="41"/>
  <c r="AB1048" i="41"/>
  <c r="M303" i="41"/>
  <c r="L303" i="41" s="1"/>
  <c r="S1049" i="41"/>
  <c r="V1050" i="41"/>
  <c r="O1051" i="41" s="1"/>
  <c r="AC302" i="41"/>
  <c r="AE362" i="41" s="1" a="1"/>
  <c r="AE362" i="41" s="1"/>
  <c r="AD302" i="41"/>
  <c r="T1048" i="41" l="1"/>
  <c r="AB305" i="41" a="1"/>
  <c r="AB305" i="41" s="1"/>
  <c r="M1047" i="41"/>
  <c r="AC1049" i="41"/>
  <c r="AE1049" i="41" s="1"/>
  <c r="W305" i="41"/>
  <c r="X305" i="41"/>
  <c r="P306" i="41"/>
  <c r="W1051" i="41"/>
  <c r="X1051" i="41"/>
  <c r="P1052" i="41"/>
  <c r="R306" i="41"/>
  <c r="M304" i="41"/>
  <c r="L304" i="41" s="1"/>
  <c r="U1051" i="41"/>
  <c r="Q1052" i="41"/>
  <c r="O306" i="41"/>
  <c r="AF362" i="41"/>
  <c r="AI362" i="41"/>
  <c r="AG362" i="41"/>
  <c r="AK362" i="41"/>
  <c r="AH362" i="41"/>
  <c r="AJ362" i="41"/>
  <c r="AK1048" i="41"/>
  <c r="AG1048" i="41"/>
  <c r="AJ1048" i="41"/>
  <c r="AF1048" i="41"/>
  <c r="AI1048" i="41"/>
  <c r="AH1048" i="41"/>
  <c r="AB1049" i="41"/>
  <c r="S304" i="41"/>
  <c r="M1046" i="41"/>
  <c r="L1046" i="41" s="1"/>
  <c r="H1049" i="41"/>
  <c r="G1049" i="41" s="1"/>
  <c r="I1049" i="41"/>
  <c r="R1052" i="41"/>
  <c r="S1050" i="41"/>
  <c r="V1051" i="41"/>
  <c r="O1052" i="41" s="1"/>
  <c r="U305" i="41"/>
  <c r="AD304" i="41" s="1"/>
  <c r="Q306" i="41"/>
  <c r="AC303" i="41"/>
  <c r="AE363" i="41" s="1" a="1"/>
  <c r="AE363" i="41" s="1"/>
  <c r="T1049" i="41" l="1"/>
  <c r="L1047" i="41"/>
  <c r="S1051" i="41"/>
  <c r="H1051" i="41" s="1"/>
  <c r="G1051" i="41" s="1"/>
  <c r="AB306" i="41" a="1"/>
  <c r="AB306" i="41" s="1"/>
  <c r="S305" i="41"/>
  <c r="H305" i="41" s="1"/>
  <c r="G305" i="41" s="1"/>
  <c r="M1048" i="41"/>
  <c r="AC304" i="41"/>
  <c r="AE364" i="41" s="1" a="1"/>
  <c r="AE364" i="41" s="1"/>
  <c r="AI364" i="41" s="1"/>
  <c r="U306" i="41"/>
  <c r="AD305" i="41" s="1"/>
  <c r="Q307" i="41"/>
  <c r="R1053" i="41"/>
  <c r="W306" i="41"/>
  <c r="X306" i="41"/>
  <c r="P307" i="41"/>
  <c r="U1052" i="41"/>
  <c r="S1052" i="41" s="1"/>
  <c r="H1052" i="41" s="1"/>
  <c r="G1052" i="41" s="1"/>
  <c r="Q1053" i="41"/>
  <c r="AI1049" i="41"/>
  <c r="AH1049" i="41"/>
  <c r="AK1049" i="41"/>
  <c r="AJ1049" i="41"/>
  <c r="AG1049" i="41"/>
  <c r="AF1049" i="41"/>
  <c r="W1052" i="41"/>
  <c r="X1052" i="41"/>
  <c r="P1053" i="41"/>
  <c r="R307" i="41"/>
  <c r="AH363" i="41"/>
  <c r="AI363" i="41"/>
  <c r="AG363" i="41"/>
  <c r="AK363" i="41"/>
  <c r="AF363" i="41"/>
  <c r="AJ363" i="41"/>
  <c r="I304" i="41"/>
  <c r="H304" i="41"/>
  <c r="G304" i="41" s="1"/>
  <c r="V306" i="41"/>
  <c r="O307" i="41" s="1"/>
  <c r="AB1050" i="41"/>
  <c r="AC1050" i="41"/>
  <c r="V1052" i="41"/>
  <c r="O1053" i="41" s="1"/>
  <c r="AD1050" i="41"/>
  <c r="I1050" i="41"/>
  <c r="H1050" i="41"/>
  <c r="G1050" i="41" s="1"/>
  <c r="M305" i="41"/>
  <c r="L305" i="41" s="1"/>
  <c r="L1048" i="41" l="1"/>
  <c r="I1051" i="41"/>
  <c r="V307" i="41"/>
  <c r="O308" i="41" s="1"/>
  <c r="I305" i="41"/>
  <c r="AB1051" i="41"/>
  <c r="AD1051" i="41"/>
  <c r="AC1051" i="41"/>
  <c r="AE1051" i="41" s="1"/>
  <c r="AK364" i="41"/>
  <c r="AC305" i="41"/>
  <c r="AE365" i="41" s="1" a="1"/>
  <c r="AE365" i="41" s="1"/>
  <c r="AJ365" i="41" s="1"/>
  <c r="S306" i="41"/>
  <c r="I306" i="41" s="1"/>
  <c r="AJ364" i="41"/>
  <c r="AF364" i="41"/>
  <c r="AH364" i="41"/>
  <c r="AG364" i="41"/>
  <c r="I1052" i="41"/>
  <c r="M1049" i="41"/>
  <c r="W1053" i="41"/>
  <c r="X1053" i="41"/>
  <c r="P1054" i="41"/>
  <c r="R308" i="41"/>
  <c r="V308" i="41" s="1"/>
  <c r="R1054" i="41"/>
  <c r="M306" i="41"/>
  <c r="L306" i="41" s="1"/>
  <c r="U1053" i="41"/>
  <c r="S1053" i="41" s="1"/>
  <c r="I1053" i="41" s="1"/>
  <c r="Q1054" i="41"/>
  <c r="W307" i="41"/>
  <c r="X307" i="41"/>
  <c r="P308" i="41"/>
  <c r="U307" i="41"/>
  <c r="Q308" i="41"/>
  <c r="AB307" i="41" a="1"/>
  <c r="AB307" i="41" s="1"/>
  <c r="V1053" i="41"/>
  <c r="O1054" i="41" s="1"/>
  <c r="AE1050" i="41"/>
  <c r="T1050" i="41"/>
  <c r="L1049" i="41" l="1"/>
  <c r="T1051" i="41"/>
  <c r="H306" i="41"/>
  <c r="G306" i="41" s="1"/>
  <c r="AG365" i="41"/>
  <c r="AK365" i="41"/>
  <c r="AF365" i="41"/>
  <c r="AI365" i="41"/>
  <c r="AH365" i="41"/>
  <c r="W1054" i="41"/>
  <c r="X1054" i="41"/>
  <c r="P1055" i="41"/>
  <c r="W308" i="41"/>
  <c r="X308" i="41"/>
  <c r="P309" i="41"/>
  <c r="U1054" i="41"/>
  <c r="AC1053" i="41" s="1"/>
  <c r="Q1055" i="41"/>
  <c r="M307" i="41"/>
  <c r="L307" i="41" s="1"/>
  <c r="S307" i="41"/>
  <c r="R309" i="41"/>
  <c r="V1054" i="41"/>
  <c r="O1055" i="41" s="1"/>
  <c r="AI1051" i="41"/>
  <c r="AH1051" i="41"/>
  <c r="AJ1051" i="41"/>
  <c r="AG1051" i="41"/>
  <c r="AK1051" i="41"/>
  <c r="AF1051" i="41"/>
  <c r="U308" i="41"/>
  <c r="AC307" i="41" s="1"/>
  <c r="AE367" i="41" s="1" a="1"/>
  <c r="AE367" i="41" s="1"/>
  <c r="Q309" i="41"/>
  <c r="AB1052" i="41"/>
  <c r="H1053" i="41"/>
  <c r="G1053" i="41" s="1"/>
  <c r="AD1052" i="41"/>
  <c r="AC306" i="41"/>
  <c r="AE366" i="41" s="1" a="1"/>
  <c r="AE366" i="41" s="1"/>
  <c r="AC1052" i="41"/>
  <c r="AD306" i="41"/>
  <c r="AF1050" i="41"/>
  <c r="AH1050" i="41"/>
  <c r="AK1050" i="41"/>
  <c r="AG1050" i="41"/>
  <c r="AI1050" i="41"/>
  <c r="AJ1050" i="41"/>
  <c r="AB308" i="41" a="1"/>
  <c r="AB308" i="41" s="1"/>
  <c r="R1055" i="41"/>
  <c r="O309" i="41"/>
  <c r="V1055" i="41" l="1"/>
  <c r="S1054" i="41"/>
  <c r="H1054" i="41" s="1"/>
  <c r="G1054" i="41" s="1"/>
  <c r="AD1053" i="41"/>
  <c r="M1050" i="41"/>
  <c r="L1050" i="41" s="1"/>
  <c r="M1051" i="41"/>
  <c r="AK367" i="41"/>
  <c r="AH367" i="41"/>
  <c r="AJ367" i="41"/>
  <c r="AI367" i="41"/>
  <c r="AF367" i="41"/>
  <c r="AG367" i="41"/>
  <c r="W1055" i="41"/>
  <c r="X1055" i="41"/>
  <c r="P1056" i="41"/>
  <c r="U309" i="41"/>
  <c r="AD308" i="41" s="1"/>
  <c r="Q310" i="41"/>
  <c r="AD307" i="41"/>
  <c r="R310" i="41"/>
  <c r="R1056" i="41"/>
  <c r="V1056" i="41" s="1"/>
  <c r="I307" i="41"/>
  <c r="H307" i="41"/>
  <c r="G307" i="41" s="1"/>
  <c r="AE1053" i="41"/>
  <c r="T1053" i="41"/>
  <c r="I1054" i="41"/>
  <c r="M308" i="41"/>
  <c r="L308" i="41" s="1"/>
  <c r="V309" i="41"/>
  <c r="O310" i="41" s="1"/>
  <c r="W309" i="41"/>
  <c r="X309" i="41"/>
  <c r="P310" i="41"/>
  <c r="S308" i="41"/>
  <c r="O1056" i="41"/>
  <c r="AB309" i="41" a="1"/>
  <c r="AB309" i="41" s="1"/>
  <c r="AE1052" i="41"/>
  <c r="T1052" i="41"/>
  <c r="U1055" i="41"/>
  <c r="AD1054" i="41" s="1"/>
  <c r="Q1056" i="41"/>
  <c r="AH366" i="41"/>
  <c r="AF366" i="41"/>
  <c r="AG366" i="41"/>
  <c r="AI366" i="41"/>
  <c r="AK366" i="41"/>
  <c r="AJ366" i="41"/>
  <c r="AB1053" i="41"/>
  <c r="V310" i="41" l="1"/>
  <c r="O311" i="41" s="1"/>
  <c r="L1051" i="41"/>
  <c r="S1055" i="41"/>
  <c r="I1055" i="41" s="1"/>
  <c r="AC308" i="41"/>
  <c r="AE368" i="41" s="1" a="1"/>
  <c r="AE368" i="41" s="1"/>
  <c r="AJ368" i="41" s="1"/>
  <c r="I308" i="41"/>
  <c r="H308" i="41"/>
  <c r="G308" i="41" s="1"/>
  <c r="R311" i="41"/>
  <c r="O1057" i="41"/>
  <c r="S309" i="41"/>
  <c r="R1057" i="41"/>
  <c r="U310" i="41"/>
  <c r="AC309" i="41" s="1"/>
  <c r="AE369" i="41" s="1" a="1"/>
  <c r="AE369" i="41" s="1"/>
  <c r="Q311" i="41"/>
  <c r="AB310" i="41" a="1"/>
  <c r="AB310" i="41" s="1"/>
  <c r="M309" i="41"/>
  <c r="L309" i="41" s="1"/>
  <c r="U1056" i="41"/>
  <c r="AD1055" i="41" s="1"/>
  <c r="Q1057" i="41"/>
  <c r="AC1054" i="41"/>
  <c r="W310" i="41"/>
  <c r="X310" i="41"/>
  <c r="P311" i="41"/>
  <c r="AB1054" i="41"/>
  <c r="AK1052" i="41"/>
  <c r="AH1052" i="41"/>
  <c r="AJ1052" i="41"/>
  <c r="AI1052" i="41"/>
  <c r="AF1052" i="41"/>
  <c r="AG1052" i="41"/>
  <c r="AI1053" i="41"/>
  <c r="AJ1053" i="41"/>
  <c r="AG1053" i="41"/>
  <c r="AH1053" i="41"/>
  <c r="AK1053" i="41"/>
  <c r="AF1053" i="41"/>
  <c r="W1056" i="41"/>
  <c r="X1056" i="41"/>
  <c r="P1057" i="41"/>
  <c r="H1055" i="41" l="1"/>
  <c r="G1055" i="41" s="1"/>
  <c r="AF368" i="41"/>
  <c r="AK368" i="41"/>
  <c r="AI368" i="41"/>
  <c r="M1052" i="41"/>
  <c r="L1052" i="41" s="1"/>
  <c r="AH368" i="41"/>
  <c r="AG368" i="41"/>
  <c r="AD309" i="41"/>
  <c r="M1053" i="41"/>
  <c r="S1056" i="41"/>
  <c r="AC1055" i="41"/>
  <c r="AE1055" i="41" s="1"/>
  <c r="AB311" i="41" a="1"/>
  <c r="AB311" i="41" s="1"/>
  <c r="I309" i="41"/>
  <c r="H309" i="41"/>
  <c r="G309" i="41" s="1"/>
  <c r="AF369" i="41"/>
  <c r="AH369" i="41"/>
  <c r="AK369" i="41"/>
  <c r="AI369" i="41"/>
  <c r="AJ369" i="41"/>
  <c r="AG369" i="41"/>
  <c r="W1057" i="41"/>
  <c r="X1057" i="41"/>
  <c r="P1058" i="41"/>
  <c r="U311" i="41"/>
  <c r="Q312" i="41"/>
  <c r="U1057" i="41"/>
  <c r="AC1056" i="41" s="1"/>
  <c r="Q1058" i="41"/>
  <c r="R312" i="41"/>
  <c r="W311" i="41"/>
  <c r="X311" i="41"/>
  <c r="P312" i="41"/>
  <c r="R1058" i="41"/>
  <c r="M310" i="41"/>
  <c r="L310" i="41" s="1"/>
  <c r="S310" i="41"/>
  <c r="AE1054" i="41"/>
  <c r="T1054" i="41"/>
  <c r="V311" i="41"/>
  <c r="O312" i="41" s="1"/>
  <c r="AB1055" i="41"/>
  <c r="V1057" i="41"/>
  <c r="O1058" i="41" s="1"/>
  <c r="V1058" i="41" l="1"/>
  <c r="S311" i="41"/>
  <c r="I311" i="41" s="1"/>
  <c r="AD1056" i="41"/>
  <c r="L1053" i="41"/>
  <c r="AD310" i="41"/>
  <c r="AC310" i="41"/>
  <c r="AE370" i="41" s="1" a="1"/>
  <c r="AE370" i="41" s="1"/>
  <c r="AG370" i="41" s="1"/>
  <c r="AB312" i="41" a="1"/>
  <c r="AB312" i="41" s="1"/>
  <c r="T1055" i="41"/>
  <c r="AB1056" i="41"/>
  <c r="H1056" i="41"/>
  <c r="G1056" i="41" s="1"/>
  <c r="I1056" i="41"/>
  <c r="W1058" i="41"/>
  <c r="X1058" i="41"/>
  <c r="P1059" i="41"/>
  <c r="U312" i="41"/>
  <c r="Q313" i="41"/>
  <c r="AE1056" i="41"/>
  <c r="T1056" i="41"/>
  <c r="M311" i="41"/>
  <c r="L311" i="41" s="1"/>
  <c r="U1058" i="41"/>
  <c r="AC1057" i="41" s="1"/>
  <c r="Q1059" i="41"/>
  <c r="AH1055" i="41"/>
  <c r="AG1055" i="41"/>
  <c r="AK1055" i="41"/>
  <c r="AI1055" i="41"/>
  <c r="AJ1055" i="41"/>
  <c r="AF1055" i="41"/>
  <c r="W312" i="41"/>
  <c r="P313" i="41"/>
  <c r="X312" i="41"/>
  <c r="AG1054" i="41"/>
  <c r="AF1054" i="41"/>
  <c r="AH1054" i="41"/>
  <c r="AJ1054" i="41"/>
  <c r="AK1054" i="41"/>
  <c r="AI1054" i="41"/>
  <c r="I310" i="41"/>
  <c r="H310" i="41"/>
  <c r="G310" i="41" s="1"/>
  <c r="O1059" i="41"/>
  <c r="S1057" i="41"/>
  <c r="V312" i="41"/>
  <c r="O313" i="41" s="1"/>
  <c r="R313" i="41"/>
  <c r="V313" i="41" s="1"/>
  <c r="R1059" i="41"/>
  <c r="S312" i="41" l="1"/>
  <c r="I312" i="41" s="1"/>
  <c r="H311" i="41"/>
  <c r="G311" i="41" s="1"/>
  <c r="AJ370" i="41"/>
  <c r="AK370" i="41"/>
  <c r="AF370" i="41"/>
  <c r="AI370" i="41"/>
  <c r="AH370" i="41"/>
  <c r="M1054" i="41"/>
  <c r="L1054" i="41" s="1"/>
  <c r="S1058" i="41"/>
  <c r="I1058" i="41" s="1"/>
  <c r="M1055" i="41"/>
  <c r="AE1057" i="41"/>
  <c r="T1057" i="41"/>
  <c r="AJ1056" i="41"/>
  <c r="AG1056" i="41"/>
  <c r="AI1056" i="41"/>
  <c r="AK1056" i="41"/>
  <c r="AF1056" i="41"/>
  <c r="AH1056" i="41"/>
  <c r="O314" i="41"/>
  <c r="W313" i="41"/>
  <c r="X313" i="41"/>
  <c r="P314" i="41"/>
  <c r="U1059" i="41"/>
  <c r="AD1058" i="41" s="1"/>
  <c r="Q1060" i="41"/>
  <c r="V1059" i="41"/>
  <c r="O1060" i="41" s="1"/>
  <c r="U313" i="41"/>
  <c r="AC312" i="41" s="1"/>
  <c r="AE372" i="41" s="1" a="1"/>
  <c r="AE372" i="41" s="1"/>
  <c r="Q314" i="41"/>
  <c r="R314" i="41"/>
  <c r="R1060" i="41"/>
  <c r="AD1057" i="41"/>
  <c r="AB313" i="41" a="1"/>
  <c r="AB313" i="41" s="1"/>
  <c r="H312" i="41"/>
  <c r="G312" i="41" s="1"/>
  <c r="H1057" i="41"/>
  <c r="G1057" i="41" s="1"/>
  <c r="I1057" i="41"/>
  <c r="AB1057" i="41"/>
  <c r="AD311" i="41"/>
  <c r="AC311" i="41"/>
  <c r="AE371" i="41" s="1" a="1"/>
  <c r="AE371" i="41" s="1"/>
  <c r="W1059" i="41"/>
  <c r="P1060" i="41"/>
  <c r="X1059" i="41"/>
  <c r="M312" i="41"/>
  <c r="L312" i="41" s="1"/>
  <c r="S1059" i="41" l="1"/>
  <c r="I1059" i="41" s="1"/>
  <c r="H1058" i="41"/>
  <c r="G1058" i="41" s="1"/>
  <c r="L1055" i="41"/>
  <c r="M1056" i="41"/>
  <c r="AC1058" i="41"/>
  <c r="AE1058" i="41" s="1"/>
  <c r="S313" i="41"/>
  <c r="I313" i="41" s="1"/>
  <c r="W1060" i="41"/>
  <c r="P1061" i="41"/>
  <c r="X1060" i="41"/>
  <c r="W314" i="41"/>
  <c r="X314" i="41"/>
  <c r="P315" i="41"/>
  <c r="AG372" i="41"/>
  <c r="AK372" i="41"/>
  <c r="AI372" i="41"/>
  <c r="AH372" i="41"/>
  <c r="AF372" i="41"/>
  <c r="AJ372" i="41"/>
  <c r="U1060" i="41"/>
  <c r="AC1059" i="41" s="1"/>
  <c r="Q1061" i="41"/>
  <c r="U314" i="41"/>
  <c r="Q315" i="41"/>
  <c r="R315" i="41"/>
  <c r="V314" i="41"/>
  <c r="O315" i="41" s="1"/>
  <c r="R1061" i="41"/>
  <c r="V1060" i="41"/>
  <c r="O1061" i="41" s="1"/>
  <c r="AB314" i="41" a="1"/>
  <c r="AB314" i="41" s="1"/>
  <c r="M313" i="41"/>
  <c r="L313" i="41" s="1"/>
  <c r="AG371" i="41"/>
  <c r="AF371" i="41"/>
  <c r="AJ371" i="41"/>
  <c r="AK371" i="41"/>
  <c r="AI371" i="41"/>
  <c r="AH371" i="41"/>
  <c r="AB1058" i="41"/>
  <c r="AD312" i="41"/>
  <c r="AG1057" i="41"/>
  <c r="AI1057" i="41"/>
  <c r="AH1057" i="41"/>
  <c r="AK1057" i="41"/>
  <c r="AF1057" i="41"/>
  <c r="AJ1057" i="41"/>
  <c r="H1059" i="41" l="1"/>
  <c r="G1059" i="41" s="1"/>
  <c r="V315" i="41"/>
  <c r="H313" i="41"/>
  <c r="G313" i="41" s="1"/>
  <c r="T1058" i="41"/>
  <c r="L1056" i="41"/>
  <c r="M1057" i="41"/>
  <c r="S1060" i="41"/>
  <c r="H1060" i="41" s="1"/>
  <c r="G1060" i="41" s="1"/>
  <c r="AB1059" i="41"/>
  <c r="AD1059" i="41"/>
  <c r="W315" i="41"/>
  <c r="P316" i="41"/>
  <c r="X315" i="41"/>
  <c r="W1061" i="41"/>
  <c r="X1061" i="41"/>
  <c r="P1062" i="41"/>
  <c r="R316" i="41"/>
  <c r="V316" i="41" s="1"/>
  <c r="M314" i="41"/>
  <c r="L314" i="41" s="1"/>
  <c r="AE1059" i="41"/>
  <c r="T1059" i="41"/>
  <c r="U1061" i="41"/>
  <c r="AD1060" i="41" s="1"/>
  <c r="Q1062" i="41"/>
  <c r="R1062" i="41"/>
  <c r="AC313" i="41"/>
  <c r="AE373" i="41" s="1" a="1"/>
  <c r="AE373" i="41" s="1"/>
  <c r="V1061" i="41"/>
  <c r="O1062" i="41" s="1"/>
  <c r="AH1058" i="41"/>
  <c r="AI1058" i="41"/>
  <c r="AG1058" i="41"/>
  <c r="AK1058" i="41"/>
  <c r="AF1058" i="41"/>
  <c r="AJ1058" i="41"/>
  <c r="U315" i="41"/>
  <c r="AC314" i="41" s="1"/>
  <c r="AE374" i="41" s="1" a="1"/>
  <c r="AE374" i="41" s="1"/>
  <c r="Q316" i="41"/>
  <c r="AB315" i="41" a="1"/>
  <c r="AB315" i="41" s="1"/>
  <c r="AD313" i="41"/>
  <c r="S314" i="41"/>
  <c r="O316" i="41"/>
  <c r="AB1060" i="41" l="1"/>
  <c r="V1062" i="41"/>
  <c r="O1063" i="41" s="1"/>
  <c r="I1060" i="41"/>
  <c r="AB316" i="41" a="1"/>
  <c r="AB316" i="41" s="1"/>
  <c r="S315" i="41"/>
  <c r="I315" i="41" s="1"/>
  <c r="L1057" i="41"/>
  <c r="AC1060" i="41"/>
  <c r="T1060" i="41" s="1"/>
  <c r="M1058" i="41"/>
  <c r="W1062" i="41"/>
  <c r="X1062" i="41"/>
  <c r="P1063" i="41"/>
  <c r="W316" i="41"/>
  <c r="X316" i="41"/>
  <c r="P317" i="41"/>
  <c r="R1063" i="41"/>
  <c r="O317" i="41"/>
  <c r="AI1059" i="41"/>
  <c r="AK1059" i="41"/>
  <c r="AG1059" i="41"/>
  <c r="AF1059" i="41"/>
  <c r="AH1059" i="41"/>
  <c r="AJ1059" i="41"/>
  <c r="I314" i="41"/>
  <c r="H314" i="41"/>
  <c r="G314" i="41" s="1"/>
  <c r="AG373" i="41"/>
  <c r="AJ373" i="41"/>
  <c r="AK373" i="41"/>
  <c r="AI373" i="41"/>
  <c r="AF373" i="41"/>
  <c r="AH373" i="41"/>
  <c r="AH374" i="41"/>
  <c r="AI374" i="41"/>
  <c r="AG374" i="41"/>
  <c r="AF374" i="41"/>
  <c r="AJ374" i="41"/>
  <c r="AK374" i="41"/>
  <c r="R317" i="41"/>
  <c r="S1061" i="41"/>
  <c r="AD314" i="41"/>
  <c r="U1062" i="41"/>
  <c r="AB1061" i="41" s="1"/>
  <c r="Q1063" i="41"/>
  <c r="M315" i="41"/>
  <c r="L315" i="41" s="1"/>
  <c r="U316" i="41"/>
  <c r="AC315" i="41" s="1"/>
  <c r="AE375" i="41" s="1" a="1"/>
  <c r="AE375" i="41" s="1"/>
  <c r="Q317" i="41"/>
  <c r="AE1060" i="41" l="1"/>
  <c r="AI1060" i="41" s="1"/>
  <c r="H315" i="41"/>
  <c r="G315" i="41" s="1"/>
  <c r="L1058" i="41"/>
  <c r="AD1061" i="41"/>
  <c r="M1059" i="41"/>
  <c r="AB317" i="41" a="1"/>
  <c r="AB317" i="41" s="1"/>
  <c r="AC1061" i="41"/>
  <c r="T1061" i="41" s="1"/>
  <c r="S316" i="41"/>
  <c r="I316" i="41" s="1"/>
  <c r="AD315" i="41"/>
  <c r="I1061" i="41"/>
  <c r="H1061" i="41"/>
  <c r="G1061" i="41" s="1"/>
  <c r="W317" i="41"/>
  <c r="X317" i="41"/>
  <c r="P318" i="41"/>
  <c r="M316" i="41"/>
  <c r="L316" i="41" s="1"/>
  <c r="U1063" i="41"/>
  <c r="AC1062" i="41" s="1"/>
  <c r="Q1064" i="41"/>
  <c r="R1064" i="41"/>
  <c r="V1064" i="41" s="1"/>
  <c r="U317" i="41"/>
  <c r="Q318" i="41"/>
  <c r="V317" i="41"/>
  <c r="V1063" i="41"/>
  <c r="O1064" i="41" s="1"/>
  <c r="AI375" i="41"/>
  <c r="AG375" i="41"/>
  <c r="AJ375" i="41"/>
  <c r="AK375" i="41"/>
  <c r="AF375" i="41"/>
  <c r="AH375" i="41"/>
  <c r="O318" i="41"/>
  <c r="W1063" i="41"/>
  <c r="X1063" i="41"/>
  <c r="P1064" i="41"/>
  <c r="S1062" i="41"/>
  <c r="R318" i="41"/>
  <c r="V318" i="41" s="1"/>
  <c r="AH1060" i="41" l="1"/>
  <c r="AG1060" i="41"/>
  <c r="AJ1060" i="41"/>
  <c r="AF1060" i="41"/>
  <c r="AK1060" i="41"/>
  <c r="AE1061" i="41"/>
  <c r="AH1061" i="41" s="1"/>
  <c r="L1059" i="41"/>
  <c r="H316" i="41"/>
  <c r="G316" i="41" s="1"/>
  <c r="AD1062" i="41"/>
  <c r="AB318" i="41" a="1"/>
  <c r="AB318" i="41" s="1"/>
  <c r="I1062" i="41"/>
  <c r="H1062" i="41"/>
  <c r="G1062" i="41" s="1"/>
  <c r="R319" i="41"/>
  <c r="O319" i="41"/>
  <c r="AB1062" i="41"/>
  <c r="W1064" i="41"/>
  <c r="P1065" i="41"/>
  <c r="X1064" i="41"/>
  <c r="U1064" i="41"/>
  <c r="Q1065" i="41"/>
  <c r="O1065" i="41"/>
  <c r="M317" i="41"/>
  <c r="L317" i="41" s="1"/>
  <c r="AE1062" i="41"/>
  <c r="T1062" i="41"/>
  <c r="S1063" i="41"/>
  <c r="R1065" i="41"/>
  <c r="V1065" i="41" s="1"/>
  <c r="W318" i="41"/>
  <c r="X318" i="41"/>
  <c r="P319" i="41"/>
  <c r="S317" i="41"/>
  <c r="AD316" i="41"/>
  <c r="U318" i="41"/>
  <c r="Q319" i="41"/>
  <c r="AC316" i="41"/>
  <c r="AE376" i="41" s="1" a="1"/>
  <c r="AE376" i="41" s="1"/>
  <c r="AF1061" i="41" l="1"/>
  <c r="AK1061" i="41"/>
  <c r="AI1061" i="41"/>
  <c r="AJ1061" i="41"/>
  <c r="M1060" i="41"/>
  <c r="L1060" i="41" s="1"/>
  <c r="AG1061" i="41"/>
  <c r="AB319" i="41" a="1"/>
  <c r="AB319" i="41" s="1"/>
  <c r="S318" i="41"/>
  <c r="I318" i="41" s="1"/>
  <c r="W319" i="41"/>
  <c r="X319" i="41"/>
  <c r="P320" i="41"/>
  <c r="I317" i="41"/>
  <c r="H317" i="41"/>
  <c r="G317" i="41" s="1"/>
  <c r="U1065" i="41"/>
  <c r="Q1066" i="41"/>
  <c r="AB1063" i="41"/>
  <c r="O1066" i="41"/>
  <c r="U319" i="41"/>
  <c r="Q320" i="41"/>
  <c r="H1063" i="41"/>
  <c r="G1063" i="41" s="1"/>
  <c r="I1063" i="41"/>
  <c r="R1066" i="41"/>
  <c r="V1066" i="41" s="1"/>
  <c r="AC317" i="41"/>
  <c r="AE377" i="41" s="1" a="1"/>
  <c r="AE377" i="41" s="1"/>
  <c r="AD317" i="41"/>
  <c r="AH376" i="41"/>
  <c r="AJ376" i="41"/>
  <c r="AI376" i="41"/>
  <c r="AF376" i="41"/>
  <c r="AG376" i="41"/>
  <c r="AK376" i="41"/>
  <c r="V319" i="41"/>
  <c r="O320" i="41" s="1"/>
  <c r="AH1062" i="41"/>
  <c r="AJ1062" i="41"/>
  <c r="AF1062" i="41"/>
  <c r="AK1062" i="41"/>
  <c r="AI1062" i="41"/>
  <c r="AG1062" i="41"/>
  <c r="R320" i="41"/>
  <c r="W1065" i="41"/>
  <c r="X1065" i="41"/>
  <c r="P1066" i="41"/>
  <c r="AC1063" i="41"/>
  <c r="M318" i="41"/>
  <c r="L318" i="41" s="1"/>
  <c r="S1064" i="41"/>
  <c r="AD1063" i="41"/>
  <c r="M1061" i="41" l="1"/>
  <c r="L1061" i="41" s="1"/>
  <c r="S319" i="41"/>
  <c r="I319" i="41" s="1"/>
  <c r="V320" i="41"/>
  <c r="H318" i="41"/>
  <c r="G318" i="41" s="1"/>
  <c r="M1062" i="41"/>
  <c r="AB1064" i="41"/>
  <c r="AC1064" i="41"/>
  <c r="AD1064" i="41"/>
  <c r="W320" i="41"/>
  <c r="X320" i="41"/>
  <c r="P321" i="41"/>
  <c r="R321" i="41"/>
  <c r="V321" i="41" s="1"/>
  <c r="S1065" i="41"/>
  <c r="H319" i="41"/>
  <c r="G319" i="41" s="1"/>
  <c r="U1066" i="41"/>
  <c r="Q1067" i="41"/>
  <c r="W1066" i="41"/>
  <c r="X1066" i="41"/>
  <c r="P1067" i="41"/>
  <c r="O1067" i="41"/>
  <c r="U320" i="41"/>
  <c r="AD319" i="41" s="1"/>
  <c r="Q321" i="41"/>
  <c r="O321" i="41"/>
  <c r="M319" i="41"/>
  <c r="L319" i="41" s="1"/>
  <c r="AB320" i="41" a="1"/>
  <c r="AB320" i="41" s="1"/>
  <c r="H1064" i="41"/>
  <c r="G1064" i="41" s="1"/>
  <c r="I1064" i="41"/>
  <c r="AE1063" i="41"/>
  <c r="T1063" i="41"/>
  <c r="R1067" i="41"/>
  <c r="AK377" i="41"/>
  <c r="AH377" i="41"/>
  <c r="AI377" i="41"/>
  <c r="AF377" i="41"/>
  <c r="AG377" i="41"/>
  <c r="AJ377" i="41"/>
  <c r="AC318" i="41"/>
  <c r="AE378" i="41" s="1" a="1"/>
  <c r="AE378" i="41" s="1"/>
  <c r="AD318" i="41"/>
  <c r="AC319" i="41" l="1"/>
  <c r="AE379" i="41" s="1" a="1"/>
  <c r="AE379" i="41" s="1"/>
  <c r="AH379" i="41" s="1"/>
  <c r="L1062" i="41"/>
  <c r="S320" i="41"/>
  <c r="AJ378" i="41"/>
  <c r="AG378" i="41"/>
  <c r="AF378" i="41"/>
  <c r="AI378" i="41"/>
  <c r="AK378" i="41"/>
  <c r="AH378" i="41"/>
  <c r="M320" i="41"/>
  <c r="L320" i="41" s="1"/>
  <c r="AE1064" i="41"/>
  <c r="T1064" i="41"/>
  <c r="R322" i="41"/>
  <c r="AD1065" i="41"/>
  <c r="R1068" i="41"/>
  <c r="W321" i="41"/>
  <c r="X321" i="41"/>
  <c r="P322" i="41"/>
  <c r="W1067" i="41"/>
  <c r="X1067" i="41"/>
  <c r="P1068" i="41"/>
  <c r="H1065" i="41"/>
  <c r="G1065" i="41" s="1"/>
  <c r="I1065" i="41"/>
  <c r="AC1065" i="41"/>
  <c r="AB321" i="41" a="1"/>
  <c r="AB321" i="41" s="1"/>
  <c r="U1067" i="41"/>
  <c r="AD1066" i="41" s="1"/>
  <c r="Q1068" i="41"/>
  <c r="O322" i="41"/>
  <c r="V1067" i="41"/>
  <c r="O1068" i="41" s="1"/>
  <c r="AB1065" i="41"/>
  <c r="AG1063" i="41"/>
  <c r="AI1063" i="41"/>
  <c r="AJ1063" i="41"/>
  <c r="AF1063" i="41"/>
  <c r="AH1063" i="41"/>
  <c r="AK1063" i="41"/>
  <c r="S1066" i="41"/>
  <c r="U321" i="41"/>
  <c r="S321" i="41" s="1"/>
  <c r="V322" i="41"/>
  <c r="Q322" i="41"/>
  <c r="AJ379" i="41" l="1"/>
  <c r="AF379" i="41"/>
  <c r="AK379" i="41"/>
  <c r="AG379" i="41"/>
  <c r="AI379" i="41"/>
  <c r="AB1066" i="41"/>
  <c r="AD320" i="41"/>
  <c r="AC320" i="41"/>
  <c r="AE380" i="41" s="1" a="1"/>
  <c r="AE380" i="41" s="1"/>
  <c r="AG380" i="41" s="1"/>
  <c r="V1068" i="41"/>
  <c r="O1069" i="41" s="1"/>
  <c r="M1063" i="41"/>
  <c r="L1063" i="41" s="1"/>
  <c r="I320" i="41"/>
  <c r="H320" i="41"/>
  <c r="G320" i="41" s="1"/>
  <c r="W1068" i="41"/>
  <c r="X1068" i="41"/>
  <c r="P1069" i="41"/>
  <c r="I321" i="41"/>
  <c r="H321" i="41"/>
  <c r="G321" i="41" s="1"/>
  <c r="AE1065" i="41"/>
  <c r="T1065" i="41"/>
  <c r="O323" i="41"/>
  <c r="M321" i="41"/>
  <c r="L321" i="41" s="1"/>
  <c r="H1066" i="41"/>
  <c r="G1066" i="41" s="1"/>
  <c r="I1066" i="41"/>
  <c r="W322" i="41"/>
  <c r="X322" i="41"/>
  <c r="P323" i="41"/>
  <c r="R1069" i="41"/>
  <c r="U322" i="41"/>
  <c r="S322" i="41" s="1"/>
  <c r="I322" i="41" s="1"/>
  <c r="Q323" i="41"/>
  <c r="AC1066" i="41"/>
  <c r="R323" i="41"/>
  <c r="U1068" i="41"/>
  <c r="Q1069" i="41"/>
  <c r="AB322" i="41" a="1"/>
  <c r="AB322" i="41" s="1"/>
  <c r="S1067" i="41"/>
  <c r="AH1064" i="41"/>
  <c r="AI1064" i="41"/>
  <c r="AK1064" i="41"/>
  <c r="AF1064" i="41"/>
  <c r="AG1064" i="41"/>
  <c r="AJ1064" i="41"/>
  <c r="AB323" i="41" l="1" a="1"/>
  <c r="AB323" i="41" s="1"/>
  <c r="AF380" i="41"/>
  <c r="AJ380" i="41"/>
  <c r="AH380" i="41"/>
  <c r="AK380" i="41"/>
  <c r="AI380" i="41"/>
  <c r="H322" i="41"/>
  <c r="G322" i="41" s="1"/>
  <c r="U323" i="41"/>
  <c r="AC322" i="41" s="1"/>
  <c r="AE382" i="41" s="1" a="1"/>
  <c r="AE382" i="41" s="1"/>
  <c r="Q324" i="41"/>
  <c r="W323" i="41"/>
  <c r="X323" i="41"/>
  <c r="P324" i="41"/>
  <c r="R1070" i="41"/>
  <c r="V323" i="41"/>
  <c r="O324" i="41" s="1"/>
  <c r="AB1067" i="41"/>
  <c r="AE1066" i="41"/>
  <c r="T1066" i="41"/>
  <c r="I1067" i="41"/>
  <c r="H1067" i="41"/>
  <c r="G1067" i="41" s="1"/>
  <c r="AH1065" i="41"/>
  <c r="AK1065" i="41"/>
  <c r="AG1065" i="41"/>
  <c r="AI1065" i="41"/>
  <c r="AJ1065" i="41"/>
  <c r="AF1065" i="41"/>
  <c r="AC1067" i="41"/>
  <c r="M322" i="41"/>
  <c r="L322" i="41" s="1"/>
  <c r="W1069" i="41"/>
  <c r="X1069" i="41"/>
  <c r="P1070" i="41"/>
  <c r="S1068" i="41"/>
  <c r="U1069" i="41"/>
  <c r="AB1068" i="41" s="1"/>
  <c r="Q1070" i="41"/>
  <c r="AD321" i="41"/>
  <c r="AC321" i="41"/>
  <c r="AE381" i="41" s="1" a="1"/>
  <c r="AE381" i="41" s="1"/>
  <c r="AD1067" i="41"/>
  <c r="M1064" i="41"/>
  <c r="L1064" i="41" s="1"/>
  <c r="V1069" i="41"/>
  <c r="O1070" i="41" s="1"/>
  <c r="R324" i="41"/>
  <c r="S323" i="41" l="1"/>
  <c r="I323" i="41" s="1"/>
  <c r="AD322" i="41"/>
  <c r="V1070" i="41"/>
  <c r="O1071" i="41" s="1"/>
  <c r="M1065" i="41"/>
  <c r="L1065" i="41" s="1"/>
  <c r="S1069" i="41"/>
  <c r="AG381" i="41"/>
  <c r="AI381" i="41"/>
  <c r="AH381" i="41"/>
  <c r="AJ381" i="41"/>
  <c r="AK381" i="41"/>
  <c r="AF381" i="41"/>
  <c r="AK382" i="41"/>
  <c r="AH382" i="41"/>
  <c r="AJ382" i="41"/>
  <c r="AF382" i="41"/>
  <c r="AG382" i="41"/>
  <c r="AI382" i="41"/>
  <c r="W1070" i="41"/>
  <c r="X1070" i="41"/>
  <c r="P1071" i="41"/>
  <c r="AE1067" i="41"/>
  <c r="T1067" i="41"/>
  <c r="R325" i="41"/>
  <c r="V325" i="41" s="1"/>
  <c r="W324" i="41"/>
  <c r="P325" i="41"/>
  <c r="X324" i="41"/>
  <c r="U324" i="41"/>
  <c r="AD323" i="41" s="1"/>
  <c r="Q325" i="41"/>
  <c r="AB324" i="41" a="1"/>
  <c r="AB324" i="41" s="1"/>
  <c r="AJ1066" i="41"/>
  <c r="AK1066" i="41"/>
  <c r="AG1066" i="41"/>
  <c r="AF1066" i="41"/>
  <c r="AH1066" i="41"/>
  <c r="AI1066" i="41"/>
  <c r="M323" i="41"/>
  <c r="L323" i="41" s="1"/>
  <c r="AD1068" i="41"/>
  <c r="I1068" i="41"/>
  <c r="H1068" i="41"/>
  <c r="G1068" i="41" s="1"/>
  <c r="AC1068" i="41"/>
  <c r="R1071" i="41"/>
  <c r="V1071" i="41" s="1"/>
  <c r="U1070" i="41"/>
  <c r="AD1069" i="41" s="1"/>
  <c r="Q1071" i="41"/>
  <c r="V324" i="41"/>
  <c r="O325" i="41" s="1"/>
  <c r="H323" i="41" l="1"/>
  <c r="G323" i="41" s="1"/>
  <c r="AC323" i="41"/>
  <c r="AE383" i="41" s="1" a="1"/>
  <c r="AE383" i="41" s="1"/>
  <c r="AG383" i="41" s="1"/>
  <c r="S324" i="41"/>
  <c r="I324" i="41" s="1"/>
  <c r="M1066" i="41"/>
  <c r="L1066" i="41" s="1"/>
  <c r="I1069" i="41"/>
  <c r="H1069" i="41"/>
  <c r="G1069" i="41" s="1"/>
  <c r="AC1069" i="41"/>
  <c r="AE1069" i="41" s="1"/>
  <c r="W325" i="41"/>
  <c r="X325" i="41"/>
  <c r="P326" i="41"/>
  <c r="O326" i="41"/>
  <c r="O1072" i="41"/>
  <c r="AI1067" i="41"/>
  <c r="AK1067" i="41"/>
  <c r="AH1067" i="41"/>
  <c r="AJ1067" i="41"/>
  <c r="AF1067" i="41"/>
  <c r="AG1067" i="41"/>
  <c r="Q1072" i="41"/>
  <c r="U1071" i="41"/>
  <c r="AD1070" i="41" s="1"/>
  <c r="W1071" i="41"/>
  <c r="X1071" i="41"/>
  <c r="P1072" i="41"/>
  <c r="R326" i="41"/>
  <c r="AE1068" i="41"/>
  <c r="T1068" i="41"/>
  <c r="M324" i="41"/>
  <c r="L324" i="41" s="1"/>
  <c r="U325" i="41"/>
  <c r="AC324" i="41" s="1"/>
  <c r="AE384" i="41" s="1" a="1"/>
  <c r="AE384" i="41" s="1"/>
  <c r="Q326" i="41"/>
  <c r="AB1069" i="41"/>
  <c r="S1070" i="41"/>
  <c r="R1072" i="41"/>
  <c r="V1072" i="41" s="1"/>
  <c r="H324" i="41"/>
  <c r="G324" i="41" s="1"/>
  <c r="AB325" i="41" a="1"/>
  <c r="AB325" i="41" s="1"/>
  <c r="AB326" i="41" l="1" a="1"/>
  <c r="AB326" i="41" s="1"/>
  <c r="AJ383" i="41"/>
  <c r="AI383" i="41"/>
  <c r="AH383" i="41"/>
  <c r="AF383" i="41"/>
  <c r="AK383" i="41"/>
  <c r="T1069" i="41"/>
  <c r="S1071" i="41"/>
  <c r="H1071" i="41" s="1"/>
  <c r="G1071" i="41" s="1"/>
  <c r="AC1070" i="41"/>
  <c r="AE1070" i="41" s="1"/>
  <c r="S325" i="41"/>
  <c r="I325" i="41" s="1"/>
  <c r="AB1070" i="41"/>
  <c r="W1072" i="41"/>
  <c r="X1072" i="41"/>
  <c r="P1073" i="41"/>
  <c r="X326" i="41"/>
  <c r="W326" i="41"/>
  <c r="P327" i="41"/>
  <c r="R327" i="41"/>
  <c r="U326" i="41"/>
  <c r="AD325" i="41" s="1"/>
  <c r="Q327" i="41"/>
  <c r="M1067" i="41"/>
  <c r="L1067" i="41" s="1"/>
  <c r="R1073" i="41"/>
  <c r="V1073" i="41" s="1"/>
  <c r="M325" i="41"/>
  <c r="L325" i="41" s="1"/>
  <c r="AJ384" i="41"/>
  <c r="AK384" i="41"/>
  <c r="AI384" i="41"/>
  <c r="AH384" i="41"/>
  <c r="AG384" i="41"/>
  <c r="AF384" i="41"/>
  <c r="U1072" i="41"/>
  <c r="AC1071" i="41" s="1"/>
  <c r="Q1073" i="41"/>
  <c r="H1070" i="41"/>
  <c r="G1070" i="41" s="1"/>
  <c r="I1070" i="41"/>
  <c r="AF1068" i="41"/>
  <c r="AG1068" i="41"/>
  <c r="AH1068" i="41"/>
  <c r="AI1068" i="41"/>
  <c r="AK1068" i="41"/>
  <c r="AJ1068" i="41"/>
  <c r="AG1069" i="41"/>
  <c r="AK1069" i="41"/>
  <c r="AJ1069" i="41"/>
  <c r="AH1069" i="41"/>
  <c r="AI1069" i="41"/>
  <c r="AF1069" i="41"/>
  <c r="V326" i="41"/>
  <c r="O327" i="41" s="1"/>
  <c r="AD324" i="41"/>
  <c r="O1073" i="41"/>
  <c r="H325" i="41" l="1"/>
  <c r="G325" i="41" s="1"/>
  <c r="V327" i="41"/>
  <c r="T1070" i="41"/>
  <c r="AC325" i="41"/>
  <c r="AE385" i="41" s="1" a="1"/>
  <c r="AE385" i="41" s="1"/>
  <c r="AK385" i="41" s="1"/>
  <c r="S326" i="41"/>
  <c r="I1071" i="41"/>
  <c r="S1072" i="41"/>
  <c r="I1072" i="41" s="1"/>
  <c r="AD1071" i="41"/>
  <c r="M1068" i="41"/>
  <c r="L1068" i="41" s="1"/>
  <c r="M1069" i="41"/>
  <c r="M326" i="41"/>
  <c r="L326" i="41" s="1"/>
  <c r="AE1071" i="41"/>
  <c r="T1071" i="41"/>
  <c r="R1074" i="41"/>
  <c r="V1074" i="41" s="1"/>
  <c r="O328" i="41"/>
  <c r="U1073" i="41"/>
  <c r="Q1074" i="41"/>
  <c r="U327" i="41"/>
  <c r="Q328" i="41"/>
  <c r="O1074" i="41"/>
  <c r="W327" i="41"/>
  <c r="X327" i="41"/>
  <c r="P328" i="41"/>
  <c r="AB1071" i="41"/>
  <c r="AB327" i="41" a="1"/>
  <c r="AB327" i="41" s="1"/>
  <c r="W1073" i="41"/>
  <c r="X1073" i="41"/>
  <c r="P1074" i="41"/>
  <c r="AF1070" i="41"/>
  <c r="AI1070" i="41"/>
  <c r="AH1070" i="41"/>
  <c r="AK1070" i="41"/>
  <c r="AJ1070" i="41"/>
  <c r="AG1070" i="41"/>
  <c r="R328" i="41"/>
  <c r="V328" i="41" s="1"/>
  <c r="S327" i="41" l="1"/>
  <c r="I327" i="41" s="1"/>
  <c r="H1072" i="41"/>
  <c r="G1072" i="41" s="1"/>
  <c r="S1073" i="41"/>
  <c r="I1073" i="41" s="1"/>
  <c r="AH385" i="41"/>
  <c r="AG385" i="41"/>
  <c r="AF385" i="41"/>
  <c r="AI385" i="41"/>
  <c r="AJ385" i="41"/>
  <c r="I326" i="41"/>
  <c r="H326" i="41"/>
  <c r="G326" i="41" s="1"/>
  <c r="L1069" i="41"/>
  <c r="AC326" i="41"/>
  <c r="AE386" i="41" s="1" a="1"/>
  <c r="AE386" i="41" s="1"/>
  <c r="AH386" i="41" s="1"/>
  <c r="AB1072" i="41"/>
  <c r="AD326" i="41"/>
  <c r="W328" i="41"/>
  <c r="X328" i="41"/>
  <c r="P329" i="41"/>
  <c r="AC1072" i="41"/>
  <c r="U1074" i="41"/>
  <c r="AD1073" i="41" s="1"/>
  <c r="Q1075" i="41"/>
  <c r="R1075" i="41"/>
  <c r="V1075" i="41" s="1"/>
  <c r="M1070" i="41"/>
  <c r="M327" i="41"/>
  <c r="L327" i="41" s="1"/>
  <c r="AI1071" i="41"/>
  <c r="AJ1071" i="41"/>
  <c r="AH1071" i="41"/>
  <c r="AG1071" i="41"/>
  <c r="AK1071" i="41"/>
  <c r="AF1071" i="41"/>
  <c r="O1075" i="41"/>
  <c r="R329" i="41"/>
  <c r="U328" i="41"/>
  <c r="AD327" i="41" s="1"/>
  <c r="Q329" i="41"/>
  <c r="O329" i="41"/>
  <c r="AD1072" i="41"/>
  <c r="W1074" i="41"/>
  <c r="P1075" i="41"/>
  <c r="X1074" i="41"/>
  <c r="AB328" i="41" a="1"/>
  <c r="AB328" i="41" s="1"/>
  <c r="H327" i="41" l="1"/>
  <c r="G327" i="41" s="1"/>
  <c r="H1073" i="41"/>
  <c r="G1073" i="41" s="1"/>
  <c r="L1070" i="41"/>
  <c r="AF386" i="41"/>
  <c r="AJ386" i="41"/>
  <c r="AG386" i="41"/>
  <c r="AC1073" i="41"/>
  <c r="AE1073" i="41" s="1"/>
  <c r="M1071" i="41"/>
  <c r="AB329" i="41" a="1"/>
  <c r="AB329" i="41" s="1"/>
  <c r="AK386" i="41"/>
  <c r="AC327" i="41"/>
  <c r="AE387" i="41" s="1" a="1"/>
  <c r="AE387" i="41" s="1"/>
  <c r="AK387" i="41" s="1"/>
  <c r="AI386" i="41"/>
  <c r="S1074" i="41"/>
  <c r="AB1073" i="41"/>
  <c r="W329" i="41"/>
  <c r="X329" i="41"/>
  <c r="P330" i="41"/>
  <c r="O1076" i="41"/>
  <c r="U329" i="41"/>
  <c r="Q330" i="41"/>
  <c r="W1075" i="41"/>
  <c r="X1075" i="41"/>
  <c r="P1076" i="41"/>
  <c r="U1075" i="41"/>
  <c r="AB1074" i="41" s="1"/>
  <c r="Q1076" i="41"/>
  <c r="AE1072" i="41"/>
  <c r="T1072" i="41"/>
  <c r="R1076" i="41"/>
  <c r="R330" i="41"/>
  <c r="M328" i="41"/>
  <c r="L328" i="41" s="1"/>
  <c r="S328" i="41"/>
  <c r="V329" i="41"/>
  <c r="O330" i="41" s="1"/>
  <c r="V330" i="41" l="1"/>
  <c r="O331" i="41" s="1"/>
  <c r="L1071" i="41"/>
  <c r="T1073" i="41"/>
  <c r="AJ387" i="41"/>
  <c r="AI387" i="41"/>
  <c r="AH387" i="41"/>
  <c r="AF387" i="41"/>
  <c r="AG387" i="41"/>
  <c r="S1075" i="41"/>
  <c r="I1074" i="41"/>
  <c r="H1074" i="41"/>
  <c r="G1074" i="41" s="1"/>
  <c r="W330" i="41"/>
  <c r="X330" i="41"/>
  <c r="P331" i="41"/>
  <c r="I328" i="41"/>
  <c r="H328" i="41"/>
  <c r="G328" i="41" s="1"/>
  <c r="W1076" i="41"/>
  <c r="X1076" i="41"/>
  <c r="P1077" i="41"/>
  <c r="U1076" i="41"/>
  <c r="AC1075" i="41" s="1"/>
  <c r="Q1077" i="41"/>
  <c r="AJ1073" i="41"/>
  <c r="AF1073" i="41"/>
  <c r="AK1073" i="41"/>
  <c r="AH1073" i="41"/>
  <c r="AI1073" i="41"/>
  <c r="AG1073" i="41"/>
  <c r="AC328" i="41"/>
  <c r="AE388" i="41" s="1" a="1"/>
  <c r="AE388" i="41" s="1"/>
  <c r="AD328" i="41"/>
  <c r="R331" i="41"/>
  <c r="AI1072" i="41"/>
  <c r="AF1072" i="41"/>
  <c r="AJ1072" i="41"/>
  <c r="AH1072" i="41"/>
  <c r="AK1072" i="41"/>
  <c r="AG1072" i="41"/>
  <c r="M329" i="41"/>
  <c r="L329" i="41" s="1"/>
  <c r="V1076" i="41"/>
  <c r="O1077" i="41" s="1"/>
  <c r="U330" i="41"/>
  <c r="Q331" i="41"/>
  <c r="AC1074" i="41"/>
  <c r="S329" i="41"/>
  <c r="AB330" i="41" a="1"/>
  <c r="AB330" i="41" s="1"/>
  <c r="R1077" i="41"/>
  <c r="AD1074" i="41"/>
  <c r="V331" i="41" l="1"/>
  <c r="V1077" i="41"/>
  <c r="M1072" i="41"/>
  <c r="L1072" i="41" s="1"/>
  <c r="S330" i="41"/>
  <c r="I330" i="41" s="1"/>
  <c r="AD1075" i="41"/>
  <c r="AC329" i="41"/>
  <c r="AE389" i="41" s="1" a="1"/>
  <c r="AE389" i="41" s="1"/>
  <c r="AF389" i="41" s="1"/>
  <c r="AD329" i="41"/>
  <c r="M1073" i="41"/>
  <c r="I1075" i="41"/>
  <c r="H1075" i="41"/>
  <c r="G1075" i="41" s="1"/>
  <c r="W1077" i="41"/>
  <c r="X1077" i="41"/>
  <c r="P1078" i="41"/>
  <c r="W331" i="41"/>
  <c r="X331" i="41"/>
  <c r="P332" i="41"/>
  <c r="AE1075" i="41"/>
  <c r="T1075" i="41"/>
  <c r="AB1075" i="41"/>
  <c r="R332" i="41"/>
  <c r="V332" i="41" s="1"/>
  <c r="I329" i="41"/>
  <c r="H329" i="41"/>
  <c r="G329" i="41" s="1"/>
  <c r="U331" i="41"/>
  <c r="AC330" i="41" s="1"/>
  <c r="AE390" i="41" s="1" a="1"/>
  <c r="AE390" i="41" s="1"/>
  <c r="Q332" i="41"/>
  <c r="AH388" i="41"/>
  <c r="AG388" i="41"/>
  <c r="AJ388" i="41"/>
  <c r="AK388" i="41"/>
  <c r="AI388" i="41"/>
  <c r="AF388" i="41"/>
  <c r="AE1074" i="41"/>
  <c r="T1074" i="41"/>
  <c r="O332" i="41"/>
  <c r="O1078" i="41"/>
  <c r="AB331" i="41" a="1"/>
  <c r="AB331" i="41" s="1"/>
  <c r="R1078" i="41"/>
  <c r="V1078" i="41" s="1"/>
  <c r="U1077" i="41"/>
  <c r="AC1076" i="41" s="1"/>
  <c r="Q1078" i="41"/>
  <c r="S1076" i="41"/>
  <c r="M330" i="41"/>
  <c r="L330" i="41" s="1"/>
  <c r="H330" i="41" l="1"/>
  <c r="G330" i="41" s="1"/>
  <c r="L1073" i="41"/>
  <c r="AD330" i="41"/>
  <c r="S331" i="41"/>
  <c r="I331" i="41" s="1"/>
  <c r="AG389" i="41"/>
  <c r="AH389" i="41"/>
  <c r="AI389" i="41"/>
  <c r="AJ389" i="41"/>
  <c r="AK389" i="41"/>
  <c r="AB1076" i="41"/>
  <c r="AD1076" i="41"/>
  <c r="S1077" i="41"/>
  <c r="H1077" i="41" s="1"/>
  <c r="G1077" i="41" s="1"/>
  <c r="AE1076" i="41"/>
  <c r="T1076" i="41"/>
  <c r="AH390" i="41"/>
  <c r="AF390" i="41"/>
  <c r="AI390" i="41"/>
  <c r="AG390" i="41"/>
  <c r="AK390" i="41"/>
  <c r="AJ390" i="41"/>
  <c r="O333" i="41"/>
  <c r="W332" i="41"/>
  <c r="X332" i="41"/>
  <c r="P333" i="41"/>
  <c r="W1078" i="41"/>
  <c r="P1079" i="41"/>
  <c r="X1078" i="41"/>
  <c r="AH1075" i="41"/>
  <c r="AK1075" i="41"/>
  <c r="AJ1075" i="41"/>
  <c r="AG1075" i="41"/>
  <c r="AF1075" i="41"/>
  <c r="AI1075" i="41"/>
  <c r="R1079" i="41"/>
  <c r="V1079" i="41" s="1"/>
  <c r="O1079" i="41"/>
  <c r="R333" i="41"/>
  <c r="V333" i="41" s="1"/>
  <c r="H1076" i="41"/>
  <c r="G1076" i="41" s="1"/>
  <c r="I1076" i="41"/>
  <c r="AG1074" i="41"/>
  <c r="AH1074" i="41"/>
  <c r="AI1074" i="41"/>
  <c r="AJ1074" i="41"/>
  <c r="AF1074" i="41"/>
  <c r="AK1074" i="41"/>
  <c r="H331" i="41"/>
  <c r="G331" i="41" s="1"/>
  <c r="U332" i="41"/>
  <c r="AC331" i="41" s="1"/>
  <c r="AE391" i="41" s="1" a="1"/>
  <c r="AE391" i="41" s="1"/>
  <c r="Q333" i="41"/>
  <c r="M331" i="41"/>
  <c r="L331" i="41" s="1"/>
  <c r="U1078" i="41"/>
  <c r="Q1079" i="41"/>
  <c r="AB332" i="41" a="1"/>
  <c r="AB332" i="41" s="1"/>
  <c r="S1078" i="41" l="1"/>
  <c r="I1077" i="41"/>
  <c r="M1075" i="41"/>
  <c r="M1074" i="41"/>
  <c r="L1074" i="41" s="1"/>
  <c r="AC1077" i="41"/>
  <c r="AE1077" i="41" s="1"/>
  <c r="AB333" i="41" a="1"/>
  <c r="AB333" i="41" s="1"/>
  <c r="H1078" i="41"/>
  <c r="G1078" i="41" s="1"/>
  <c r="I1078" i="41"/>
  <c r="AJ391" i="41"/>
  <c r="AG391" i="41"/>
  <c r="AH391" i="41"/>
  <c r="AI391" i="41"/>
  <c r="AK391" i="41"/>
  <c r="AF391" i="41"/>
  <c r="R334" i="41"/>
  <c r="V334" i="41" s="1"/>
  <c r="O1080" i="41"/>
  <c r="W1079" i="41"/>
  <c r="X1079" i="41"/>
  <c r="P1080" i="41"/>
  <c r="U1079" i="41"/>
  <c r="AC1078" i="41" s="1"/>
  <c r="Q1080" i="41"/>
  <c r="R1080" i="41"/>
  <c r="AB1077" i="41"/>
  <c r="O334" i="41"/>
  <c r="AD1077" i="41"/>
  <c r="M332" i="41"/>
  <c r="L332" i="41" s="1"/>
  <c r="W333" i="41"/>
  <c r="X333" i="41"/>
  <c r="P334" i="41"/>
  <c r="U333" i="41"/>
  <c r="AC332" i="41" s="1"/>
  <c r="AE392" i="41" s="1" a="1"/>
  <c r="AE392" i="41" s="1"/>
  <c r="Q334" i="41"/>
  <c r="AD331" i="41"/>
  <c r="S332" i="41"/>
  <c r="AH1076" i="41"/>
  <c r="AG1076" i="41"/>
  <c r="AI1076" i="41"/>
  <c r="AJ1076" i="41"/>
  <c r="AK1076" i="41"/>
  <c r="AF1076" i="41"/>
  <c r="T1077" i="41" l="1"/>
  <c r="L1075" i="41"/>
  <c r="M1076" i="41"/>
  <c r="AB334" i="41" a="1"/>
  <c r="AB334" i="41" s="1"/>
  <c r="AJ392" i="41"/>
  <c r="AG392" i="41"/>
  <c r="AI392" i="41"/>
  <c r="AF392" i="41"/>
  <c r="AH392" i="41"/>
  <c r="AK392" i="41"/>
  <c r="AE1078" i="41"/>
  <c r="T1078" i="41"/>
  <c r="I332" i="41"/>
  <c r="H332" i="41"/>
  <c r="G332" i="41" s="1"/>
  <c r="U1080" i="41"/>
  <c r="AC1079" i="41" s="1"/>
  <c r="Q1081" i="41"/>
  <c r="U334" i="41"/>
  <c r="AC333" i="41" s="1"/>
  <c r="AE393" i="41" s="1" a="1"/>
  <c r="AE393" i="41" s="1"/>
  <c r="Q335" i="41"/>
  <c r="W334" i="41"/>
  <c r="X334" i="41"/>
  <c r="P335" i="41"/>
  <c r="S333" i="41"/>
  <c r="AD332" i="41"/>
  <c r="R335" i="41"/>
  <c r="R1081" i="41"/>
  <c r="M333" i="41"/>
  <c r="L333" i="41" s="1"/>
  <c r="AB1078" i="41"/>
  <c r="O335" i="41"/>
  <c r="V1080" i="41"/>
  <c r="O1081" i="41" s="1"/>
  <c r="AH1077" i="41"/>
  <c r="AJ1077" i="41"/>
  <c r="AK1077" i="41"/>
  <c r="AF1077" i="41"/>
  <c r="AI1077" i="41"/>
  <c r="AG1077" i="41"/>
  <c r="AD1078" i="41"/>
  <c r="S1079" i="41"/>
  <c r="W1080" i="41"/>
  <c r="X1080" i="41"/>
  <c r="P1081" i="41"/>
  <c r="AB1079" i="41" l="1"/>
  <c r="AD1079" i="41"/>
  <c r="AD333" i="41"/>
  <c r="L1076" i="41"/>
  <c r="M1077" i="41"/>
  <c r="R336" i="41"/>
  <c r="U1081" i="41"/>
  <c r="Q1082" i="41"/>
  <c r="AH1078" i="41"/>
  <c r="AK1078" i="41"/>
  <c r="AG1078" i="41"/>
  <c r="AJ1078" i="41"/>
  <c r="AF1078" i="41"/>
  <c r="AI1078" i="41"/>
  <c r="R1082" i="41"/>
  <c r="V1082" i="41" s="1"/>
  <c r="U335" i="41"/>
  <c r="AC334" i="41" s="1"/>
  <c r="AE394" i="41" s="1" a="1"/>
  <c r="AE394" i="41" s="1"/>
  <c r="Q336" i="41"/>
  <c r="I1079" i="41"/>
  <c r="H1079" i="41"/>
  <c r="G1079" i="41" s="1"/>
  <c r="S1080" i="41"/>
  <c r="AB335" i="41" a="1"/>
  <c r="AB335" i="41" s="1"/>
  <c r="W1081" i="41"/>
  <c r="X1081" i="41"/>
  <c r="P1082" i="41"/>
  <c r="M334" i="41"/>
  <c r="L334" i="41" s="1"/>
  <c r="V335" i="41"/>
  <c r="O336" i="41" s="1"/>
  <c r="I333" i="41"/>
  <c r="H333" i="41"/>
  <c r="G333" i="41" s="1"/>
  <c r="AH393" i="41"/>
  <c r="AF393" i="41"/>
  <c r="AI393" i="41"/>
  <c r="AJ393" i="41"/>
  <c r="AG393" i="41"/>
  <c r="AK393" i="41"/>
  <c r="AE1079" i="41"/>
  <c r="T1079" i="41"/>
  <c r="W335" i="41"/>
  <c r="X335" i="41"/>
  <c r="P336" i="41"/>
  <c r="S334" i="41"/>
  <c r="V1081" i="41"/>
  <c r="O1082" i="41" s="1"/>
  <c r="V336" i="41" l="1"/>
  <c r="O337" i="41" s="1"/>
  <c r="AB336" i="41" a="1"/>
  <c r="AB336" i="41" s="1"/>
  <c r="L1077" i="41"/>
  <c r="AD334" i="41"/>
  <c r="M1078" i="41"/>
  <c r="W336" i="41"/>
  <c r="X336" i="41"/>
  <c r="P337" i="41"/>
  <c r="W1082" i="41"/>
  <c r="X1082" i="41"/>
  <c r="P1083" i="41"/>
  <c r="AI394" i="41"/>
  <c r="AG394" i="41"/>
  <c r="AK394" i="41"/>
  <c r="AH394" i="41"/>
  <c r="AJ394" i="41"/>
  <c r="AF394" i="41"/>
  <c r="O1083" i="41"/>
  <c r="I334" i="41"/>
  <c r="H334" i="41"/>
  <c r="G334" i="41" s="1"/>
  <c r="AB1080" i="41"/>
  <c r="U336" i="41"/>
  <c r="AD335" i="41" s="1"/>
  <c r="Q337" i="41"/>
  <c r="I1080" i="41"/>
  <c r="H1080" i="41"/>
  <c r="G1080" i="41" s="1"/>
  <c r="U1082" i="41"/>
  <c r="Q1083" i="41"/>
  <c r="R337" i="41"/>
  <c r="AC1080" i="41"/>
  <c r="M335" i="41"/>
  <c r="L335" i="41" s="1"/>
  <c r="R1083" i="41"/>
  <c r="V1083" i="41" s="1"/>
  <c r="AD1080" i="41"/>
  <c r="AK1079" i="41"/>
  <c r="AI1079" i="41"/>
  <c r="AF1079" i="41"/>
  <c r="AH1079" i="41"/>
  <c r="AG1079" i="41"/>
  <c r="AJ1079" i="41"/>
  <c r="S1081" i="41"/>
  <c r="S335" i="41"/>
  <c r="AC335" i="41" l="1"/>
  <c r="AE395" i="41" s="1" a="1"/>
  <c r="AE395" i="41" s="1"/>
  <c r="AJ395" i="41" s="1"/>
  <c r="L1078" i="41"/>
  <c r="M1079" i="41"/>
  <c r="AC1081" i="41"/>
  <c r="W1083" i="41"/>
  <c r="P1084" i="41"/>
  <c r="X1083" i="41"/>
  <c r="R338" i="41"/>
  <c r="R1084" i="41"/>
  <c r="U1083" i="41"/>
  <c r="AB1082" i="41" s="1"/>
  <c r="Q1084" i="41"/>
  <c r="AD1081" i="41"/>
  <c r="I1081" i="41"/>
  <c r="H1081" i="41"/>
  <c r="G1081" i="41" s="1"/>
  <c r="M336" i="41"/>
  <c r="L336" i="41" s="1"/>
  <c r="I335" i="41"/>
  <c r="H335" i="41"/>
  <c r="G335" i="41" s="1"/>
  <c r="O1084" i="41"/>
  <c r="S1082" i="41"/>
  <c r="AB1081" i="41"/>
  <c r="AE1080" i="41"/>
  <c r="T1080" i="41"/>
  <c r="U337" i="41"/>
  <c r="AC336" i="41" s="1"/>
  <c r="AE396" i="41" s="1" a="1"/>
  <c r="AE396" i="41" s="1"/>
  <c r="Q338" i="41"/>
  <c r="V337" i="41"/>
  <c r="O338" i="41" s="1"/>
  <c r="AB337" i="41" a="1"/>
  <c r="AB337" i="41" s="1"/>
  <c r="S336" i="41"/>
  <c r="W337" i="41"/>
  <c r="X337" i="41"/>
  <c r="P338" i="41"/>
  <c r="AG395" i="41" l="1"/>
  <c r="AF395" i="41"/>
  <c r="AH395" i="41"/>
  <c r="AI395" i="41"/>
  <c r="AK395" i="41"/>
  <c r="AB338" i="41" a="1"/>
  <c r="AB338" i="41" s="1"/>
  <c r="L1079" i="41"/>
  <c r="S1083" i="41"/>
  <c r="H1083" i="41" s="1"/>
  <c r="G1083" i="41" s="1"/>
  <c r="W338" i="41"/>
  <c r="X338" i="41"/>
  <c r="P339" i="41"/>
  <c r="M337" i="41"/>
  <c r="L337" i="41" s="1"/>
  <c r="Q1085" i="41"/>
  <c r="U1084" i="41"/>
  <c r="AC1083" i="41" s="1"/>
  <c r="I336" i="41"/>
  <c r="H336" i="41"/>
  <c r="G336" i="41" s="1"/>
  <c r="R1085" i="41"/>
  <c r="AF396" i="41"/>
  <c r="AJ396" i="41"/>
  <c r="AK396" i="41"/>
  <c r="AG396" i="41"/>
  <c r="AH396" i="41"/>
  <c r="AI396" i="41"/>
  <c r="W1084" i="41"/>
  <c r="X1084" i="41"/>
  <c r="P1085" i="41"/>
  <c r="AD336" i="41"/>
  <c r="AE1081" i="41"/>
  <c r="T1081" i="41"/>
  <c r="AC1082" i="41"/>
  <c r="H1082" i="41"/>
  <c r="G1082" i="41" s="1"/>
  <c r="I1082" i="41"/>
  <c r="U338" i="41"/>
  <c r="Q339" i="41"/>
  <c r="V338" i="41"/>
  <c r="O339" i="41" s="1"/>
  <c r="AG1080" i="41"/>
  <c r="AJ1080" i="41"/>
  <c r="AI1080" i="41"/>
  <c r="AF1080" i="41"/>
  <c r="AK1080" i="41"/>
  <c r="AH1080" i="41"/>
  <c r="R339" i="41"/>
  <c r="S337" i="41"/>
  <c r="V1084" i="41"/>
  <c r="O1085" i="41" s="1"/>
  <c r="AD1082" i="41"/>
  <c r="V1085" i="41" l="1"/>
  <c r="O1086" i="41" s="1"/>
  <c r="V339" i="41"/>
  <c r="AB339" i="41" a="1"/>
  <c r="AB339" i="41" s="1"/>
  <c r="I1083" i="41"/>
  <c r="S338" i="41"/>
  <c r="I338" i="41" s="1"/>
  <c r="AD1083" i="41"/>
  <c r="M1080" i="41"/>
  <c r="L1080" i="41" s="1"/>
  <c r="W1085" i="41"/>
  <c r="X1085" i="41"/>
  <c r="P1086" i="41"/>
  <c r="AB1083" i="41"/>
  <c r="AE1083" i="41"/>
  <c r="T1083" i="41"/>
  <c r="R340" i="41"/>
  <c r="V340" i="41" s="1"/>
  <c r="AE1082" i="41"/>
  <c r="T1082" i="41"/>
  <c r="AH1081" i="41"/>
  <c r="AG1081" i="41"/>
  <c r="AF1081" i="41"/>
  <c r="AI1081" i="41"/>
  <c r="AK1081" i="41"/>
  <c r="AJ1081" i="41"/>
  <c r="R1086" i="41"/>
  <c r="V1086" i="41" s="1"/>
  <c r="U1085" i="41"/>
  <c r="AB1084" i="41" s="1"/>
  <c r="Q1086" i="41"/>
  <c r="M338" i="41"/>
  <c r="L338" i="41" s="1"/>
  <c r="W339" i="41"/>
  <c r="X339" i="41"/>
  <c r="P340" i="41"/>
  <c r="I337" i="41"/>
  <c r="H337" i="41"/>
  <c r="G337" i="41" s="1"/>
  <c r="S1084" i="41"/>
  <c r="O340" i="41"/>
  <c r="U339" i="41"/>
  <c r="Q340" i="41"/>
  <c r="AC337" i="41"/>
  <c r="AE397" i="41" s="1" a="1"/>
  <c r="AE397" i="41" s="1"/>
  <c r="AD337" i="41"/>
  <c r="H338" i="41" l="1"/>
  <c r="G338" i="41" s="1"/>
  <c r="AD1084" i="41"/>
  <c r="S1085" i="41"/>
  <c r="I1085" i="41" s="1"/>
  <c r="M1081" i="41"/>
  <c r="L1081" i="41" s="1"/>
  <c r="O1087" i="41"/>
  <c r="W1086" i="41"/>
  <c r="X1086" i="41"/>
  <c r="P1087" i="41"/>
  <c r="O341" i="41"/>
  <c r="R1087" i="41"/>
  <c r="V1087" i="41" s="1"/>
  <c r="AC338" i="41"/>
  <c r="AE398" i="41" s="1" a="1"/>
  <c r="AE398" i="41" s="1"/>
  <c r="AF1083" i="41"/>
  <c r="AG1083" i="41"/>
  <c r="AH1083" i="41"/>
  <c r="AI1083" i="41"/>
  <c r="AK1083" i="41"/>
  <c r="AJ1083" i="41"/>
  <c r="M339" i="41"/>
  <c r="L339" i="41" s="1"/>
  <c r="W340" i="41"/>
  <c r="X340" i="41"/>
  <c r="P341" i="41"/>
  <c r="U340" i="41"/>
  <c r="Q341" i="41"/>
  <c r="AB340" i="41" a="1"/>
  <c r="AB340" i="41" s="1"/>
  <c r="AJ397" i="41"/>
  <c r="AG397" i="41"/>
  <c r="AI397" i="41"/>
  <c r="AK397" i="41"/>
  <c r="AH397" i="41"/>
  <c r="AF397" i="41"/>
  <c r="AC1084" i="41"/>
  <c r="S339" i="41"/>
  <c r="AI1082" i="41"/>
  <c r="AF1082" i="41"/>
  <c r="AJ1082" i="41"/>
  <c r="AG1082" i="41"/>
  <c r="AK1082" i="41"/>
  <c r="AH1082" i="41"/>
  <c r="I1084" i="41"/>
  <c r="H1084" i="41"/>
  <c r="G1084" i="41" s="1"/>
  <c r="AD338" i="41"/>
  <c r="U1086" i="41"/>
  <c r="Q1087" i="41"/>
  <c r="R341" i="41"/>
  <c r="H1085" i="41" l="1"/>
  <c r="G1085" i="41" s="1"/>
  <c r="S340" i="41"/>
  <c r="I340" i="41" s="1"/>
  <c r="AB341" i="41" a="1"/>
  <c r="AB341" i="41" s="1"/>
  <c r="AD339" i="41"/>
  <c r="M1082" i="41"/>
  <c r="L1082" i="41" s="1"/>
  <c r="M1083" i="41"/>
  <c r="W341" i="41"/>
  <c r="X341" i="41"/>
  <c r="P342" i="41"/>
  <c r="R1088" i="41"/>
  <c r="V1088" i="41" s="1"/>
  <c r="U341" i="41"/>
  <c r="AD340" i="41" s="1"/>
  <c r="Q342" i="41"/>
  <c r="AE1084" i="41"/>
  <c r="T1084" i="41"/>
  <c r="V341" i="41"/>
  <c r="O342" i="41" s="1"/>
  <c r="O1088" i="41"/>
  <c r="AB1085" i="41"/>
  <c r="W1087" i="41"/>
  <c r="P1088" i="41"/>
  <c r="X1087" i="41"/>
  <c r="AJ398" i="41"/>
  <c r="AF398" i="41"/>
  <c r="AI398" i="41"/>
  <c r="AK398" i="41"/>
  <c r="AG398" i="41"/>
  <c r="AH398" i="41"/>
  <c r="AC1085" i="41"/>
  <c r="R342" i="41"/>
  <c r="U1087" i="41"/>
  <c r="AC1086" i="41" s="1"/>
  <c r="Q1088" i="41"/>
  <c r="S1086" i="41"/>
  <c r="AD1085" i="41"/>
  <c r="I339" i="41"/>
  <c r="H339" i="41"/>
  <c r="G339" i="41" s="1"/>
  <c r="M340" i="41"/>
  <c r="L340" i="41" s="1"/>
  <c r="AC339" i="41"/>
  <c r="AE399" i="41" s="1" a="1"/>
  <c r="AE399" i="41" s="1"/>
  <c r="H340" i="41" l="1"/>
  <c r="G340" i="41" s="1"/>
  <c r="V342" i="41"/>
  <c r="O343" i="41" s="1"/>
  <c r="AC340" i="41"/>
  <c r="AE400" i="41" s="1" a="1"/>
  <c r="AE400" i="41" s="1"/>
  <c r="AI400" i="41" s="1"/>
  <c r="L1083" i="41"/>
  <c r="AE1086" i="41"/>
  <c r="T1086" i="41"/>
  <c r="AJ399" i="41"/>
  <c r="AH399" i="41"/>
  <c r="AK399" i="41"/>
  <c r="AI399" i="41"/>
  <c r="AF399" i="41"/>
  <c r="AG399" i="41"/>
  <c r="AE1085" i="41"/>
  <c r="T1085" i="41"/>
  <c r="S341" i="41"/>
  <c r="AH1084" i="41"/>
  <c r="AK1084" i="41"/>
  <c r="AI1084" i="41"/>
  <c r="AF1084" i="41"/>
  <c r="AJ1084" i="41"/>
  <c r="AG1084" i="41"/>
  <c r="AD1086" i="41"/>
  <c r="R343" i="41"/>
  <c r="R1089" i="41"/>
  <c r="AB342" i="41" a="1"/>
  <c r="AB342" i="41" s="1"/>
  <c r="AB1086" i="41"/>
  <c r="U342" i="41"/>
  <c r="AD341" i="41" s="1"/>
  <c r="Q343" i="41"/>
  <c r="W1088" i="41"/>
  <c r="X1088" i="41"/>
  <c r="P1089" i="41"/>
  <c r="S1087" i="41"/>
  <c r="I1086" i="41"/>
  <c r="H1086" i="41"/>
  <c r="G1086" i="41" s="1"/>
  <c r="W342" i="41"/>
  <c r="P343" i="41"/>
  <c r="X342" i="41"/>
  <c r="U1088" i="41"/>
  <c r="AB1087" i="41" s="1"/>
  <c r="Q1089" i="41"/>
  <c r="O1089" i="41"/>
  <c r="M341" i="41"/>
  <c r="L341" i="41" s="1"/>
  <c r="AG400" i="41" l="1"/>
  <c r="AK400" i="41"/>
  <c r="AH400" i="41"/>
  <c r="AF400" i="41"/>
  <c r="AJ400" i="41"/>
  <c r="S1088" i="41"/>
  <c r="I1088" i="41" s="1"/>
  <c r="AB343" i="41" a="1"/>
  <c r="AB343" i="41" s="1"/>
  <c r="AC341" i="41"/>
  <c r="AE401" i="41" s="1" a="1"/>
  <c r="AE401" i="41" s="1"/>
  <c r="AH401" i="41" s="1"/>
  <c r="M1084" i="41"/>
  <c r="L1084" i="41" s="1"/>
  <c r="S342" i="41"/>
  <c r="I342" i="41" s="1"/>
  <c r="R1090" i="41"/>
  <c r="V1090" i="41" s="1"/>
  <c r="U343" i="41"/>
  <c r="Q344" i="41"/>
  <c r="W343" i="41"/>
  <c r="X343" i="41"/>
  <c r="P344" i="41"/>
  <c r="V343" i="41"/>
  <c r="O344" i="41" s="1"/>
  <c r="AG1085" i="41"/>
  <c r="AK1085" i="41"/>
  <c r="AJ1085" i="41"/>
  <c r="AF1085" i="41"/>
  <c r="AH1085" i="41"/>
  <c r="AI1085" i="41"/>
  <c r="U1089" i="41"/>
  <c r="AD1088" i="41" s="1"/>
  <c r="Q1090" i="41"/>
  <c r="V1089" i="41"/>
  <c r="O1090" i="41" s="1"/>
  <c r="R344" i="41"/>
  <c r="V344" i="41" s="1"/>
  <c r="M342" i="41"/>
  <c r="L342" i="41" s="1"/>
  <c r="I341" i="41"/>
  <c r="H341" i="41"/>
  <c r="G341" i="41" s="1"/>
  <c r="AD1087" i="41"/>
  <c r="W1089" i="41"/>
  <c r="X1089" i="41"/>
  <c r="P1090" i="41"/>
  <c r="I1087" i="41"/>
  <c r="H1087" i="41"/>
  <c r="G1087" i="41" s="1"/>
  <c r="AC1087" i="41"/>
  <c r="AI1086" i="41"/>
  <c r="AJ1086" i="41"/>
  <c r="AK1086" i="41"/>
  <c r="AG1086" i="41"/>
  <c r="AF1086" i="41"/>
  <c r="AH1086" i="41"/>
  <c r="S343" i="41" l="1"/>
  <c r="I343" i="41" s="1"/>
  <c r="H1088" i="41"/>
  <c r="G1088" i="41" s="1"/>
  <c r="AK401" i="41"/>
  <c r="AG401" i="41"/>
  <c r="H342" i="41"/>
  <c r="G342" i="41" s="1"/>
  <c r="AD342" i="41"/>
  <c r="S1089" i="41"/>
  <c r="I1089" i="41" s="1"/>
  <c r="AF401" i="41"/>
  <c r="AJ401" i="41"/>
  <c r="AI401" i="41"/>
  <c r="AC342" i="41"/>
  <c r="AE402" i="41" s="1" a="1"/>
  <c r="AE402" i="41" s="1"/>
  <c r="AI402" i="41" s="1"/>
  <c r="M1086" i="41"/>
  <c r="AC1088" i="41"/>
  <c r="AE1088" i="41" s="1"/>
  <c r="W1090" i="41"/>
  <c r="X1090" i="41"/>
  <c r="P1091" i="41"/>
  <c r="O345" i="41"/>
  <c r="R345" i="41"/>
  <c r="V345" i="41" s="1"/>
  <c r="H343" i="41"/>
  <c r="G343" i="41" s="1"/>
  <c r="U1090" i="41"/>
  <c r="Q1091" i="41"/>
  <c r="AB1088" i="41"/>
  <c r="M343" i="41"/>
  <c r="L343" i="41" s="1"/>
  <c r="W344" i="41"/>
  <c r="X344" i="41"/>
  <c r="P345" i="41"/>
  <c r="R1091" i="41"/>
  <c r="AE1087" i="41"/>
  <c r="T1087" i="41"/>
  <c r="O1091" i="41"/>
  <c r="H1089" i="41"/>
  <c r="G1089" i="41" s="1"/>
  <c r="U344" i="41"/>
  <c r="AC343" i="41" s="1"/>
  <c r="AE403" i="41" s="1" a="1"/>
  <c r="AE403" i="41" s="1"/>
  <c r="Q345" i="41"/>
  <c r="M1085" i="41"/>
  <c r="L1085" i="41" s="1"/>
  <c r="AB344" i="41" a="1"/>
  <c r="AB344" i="41" s="1"/>
  <c r="L1086" i="41" l="1"/>
  <c r="AF402" i="41"/>
  <c r="AH402" i="41"/>
  <c r="AG402" i="41"/>
  <c r="T1088" i="41"/>
  <c r="AK402" i="41"/>
  <c r="AJ402" i="41"/>
  <c r="S344" i="41"/>
  <c r="I344" i="41" s="1"/>
  <c r="AD343" i="41"/>
  <c r="AH403" i="41"/>
  <c r="AK403" i="41"/>
  <c r="AG403" i="41"/>
  <c r="AI403" i="41"/>
  <c r="AF403" i="41"/>
  <c r="AJ403" i="41"/>
  <c r="U1091" i="41"/>
  <c r="Q1092" i="41"/>
  <c r="AB1089" i="41"/>
  <c r="AK1088" i="41"/>
  <c r="AJ1088" i="41"/>
  <c r="AI1088" i="41"/>
  <c r="AF1088" i="41"/>
  <c r="AG1088" i="41"/>
  <c r="AH1088" i="41"/>
  <c r="R346" i="41"/>
  <c r="R1092" i="41"/>
  <c r="V1092" i="41" s="1"/>
  <c r="W345" i="41"/>
  <c r="X345" i="41"/>
  <c r="P346" i="41"/>
  <c r="M344" i="41"/>
  <c r="L344" i="41" s="1"/>
  <c r="S1090" i="41"/>
  <c r="U345" i="41"/>
  <c r="Q346" i="41"/>
  <c r="AB345" i="41" a="1"/>
  <c r="AB345" i="41" s="1"/>
  <c r="V1091" i="41"/>
  <c r="O1092" i="41" s="1"/>
  <c r="O346" i="41"/>
  <c r="W1091" i="41"/>
  <c r="X1091" i="41"/>
  <c r="P1092" i="41"/>
  <c r="AD1089" i="41"/>
  <c r="AJ1087" i="41"/>
  <c r="AK1087" i="41"/>
  <c r="AF1087" i="41"/>
  <c r="AH1087" i="41"/>
  <c r="AG1087" i="41"/>
  <c r="AI1087" i="41"/>
  <c r="AC1089" i="41"/>
  <c r="M1087" i="41" l="1"/>
  <c r="L1087" i="41" s="1"/>
  <c r="H344" i="41"/>
  <c r="G344" i="41" s="1"/>
  <c r="M1088" i="41"/>
  <c r="S1091" i="41"/>
  <c r="H1091" i="41" s="1"/>
  <c r="G1091" i="41" s="1"/>
  <c r="AB1090" i="41"/>
  <c r="AB346" i="41" a="1"/>
  <c r="AB346" i="41" s="1"/>
  <c r="W1092" i="41"/>
  <c r="X1092" i="41"/>
  <c r="P1093" i="41"/>
  <c r="I1090" i="41"/>
  <c r="H1090" i="41"/>
  <c r="G1090" i="41" s="1"/>
  <c r="R1093" i="41"/>
  <c r="AC344" i="41"/>
  <c r="AE404" i="41" s="1" a="1"/>
  <c r="AE404" i="41" s="1"/>
  <c r="AD344" i="41"/>
  <c r="U346" i="41"/>
  <c r="Q347" i="41"/>
  <c r="R347" i="41"/>
  <c r="V346" i="41"/>
  <c r="O347" i="41" s="1"/>
  <c r="O1093" i="41"/>
  <c r="AE1089" i="41"/>
  <c r="T1089" i="41"/>
  <c r="W346" i="41"/>
  <c r="X346" i="41"/>
  <c r="P347" i="41"/>
  <c r="S345" i="41"/>
  <c r="M345" i="41"/>
  <c r="L345" i="41" s="1"/>
  <c r="AC1090" i="41"/>
  <c r="U1092" i="41"/>
  <c r="Q1093" i="41"/>
  <c r="AD1090" i="41"/>
  <c r="I1091" i="41" l="1"/>
  <c r="L1088" i="41"/>
  <c r="V347" i="41"/>
  <c r="O348" i="41" s="1"/>
  <c r="S346" i="41"/>
  <c r="I346" i="41" s="1"/>
  <c r="M346" i="41"/>
  <c r="L346" i="41" s="1"/>
  <c r="U1093" i="41"/>
  <c r="AC1092" i="41" s="1"/>
  <c r="Q1094" i="41"/>
  <c r="V1093" i="41"/>
  <c r="O1094" i="41" s="1"/>
  <c r="AC345" i="41"/>
  <c r="AE405" i="41" s="1" a="1"/>
  <c r="AE405" i="41" s="1"/>
  <c r="W347" i="41"/>
  <c r="X347" i="41"/>
  <c r="P348" i="41"/>
  <c r="U347" i="41"/>
  <c r="AD346" i="41" s="1"/>
  <c r="Q348" i="41"/>
  <c r="AG404" i="41"/>
  <c r="AI404" i="41"/>
  <c r="AK404" i="41"/>
  <c r="AF404" i="41"/>
  <c r="AH404" i="41"/>
  <c r="AJ404" i="41"/>
  <c r="AK1089" i="41"/>
  <c r="AJ1089" i="41"/>
  <c r="AF1089" i="41"/>
  <c r="AG1089" i="41"/>
  <c r="AH1089" i="41"/>
  <c r="AI1089" i="41"/>
  <c r="AD345" i="41"/>
  <c r="R348" i="41"/>
  <c r="V348" i="41" s="1"/>
  <c r="W1093" i="41"/>
  <c r="X1093" i="41"/>
  <c r="P1094" i="41"/>
  <c r="AB1091" i="41"/>
  <c r="S1092" i="41"/>
  <c r="AE1090" i="41"/>
  <c r="T1090" i="41"/>
  <c r="AD1091" i="41"/>
  <c r="I345" i="41"/>
  <c r="H345" i="41"/>
  <c r="G345" i="41" s="1"/>
  <c r="AB347" i="41" a="1"/>
  <c r="AB347" i="41" s="1"/>
  <c r="AC1091" i="41"/>
  <c r="R1094" i="41"/>
  <c r="AB1092" i="41" l="1"/>
  <c r="AB348" i="41" a="1"/>
  <c r="AB348" i="41" s="1"/>
  <c r="H346" i="41"/>
  <c r="G346" i="41" s="1"/>
  <c r="M1089" i="41"/>
  <c r="L1089" i="41" s="1"/>
  <c r="W1094" i="41"/>
  <c r="X1094" i="41"/>
  <c r="P1095" i="41"/>
  <c r="U1094" i="41"/>
  <c r="AC1093" i="41" s="1"/>
  <c r="Q1095" i="41"/>
  <c r="V1094" i="41"/>
  <c r="O1095" i="41" s="1"/>
  <c r="AE1092" i="41"/>
  <c r="T1092" i="41"/>
  <c r="H1092" i="41"/>
  <c r="G1092" i="41" s="1"/>
  <c r="I1092" i="41"/>
  <c r="AE1091" i="41"/>
  <c r="T1091" i="41"/>
  <c r="S1093" i="41"/>
  <c r="AG405" i="41"/>
  <c r="AF405" i="41"/>
  <c r="AH405" i="41"/>
  <c r="AI405" i="41"/>
  <c r="AK405" i="41"/>
  <c r="AJ405" i="41"/>
  <c r="W348" i="41"/>
  <c r="X348" i="41"/>
  <c r="P349" i="41"/>
  <c r="O349" i="41"/>
  <c r="R1095" i="41"/>
  <c r="V1095" i="41" s="1"/>
  <c r="AC346" i="41"/>
  <c r="AE406" i="41" s="1" a="1"/>
  <c r="AE406" i="41" s="1"/>
  <c r="S347" i="41"/>
  <c r="AD1092" i="41"/>
  <c r="R349" i="41"/>
  <c r="AK1090" i="41"/>
  <c r="AF1090" i="41"/>
  <c r="AG1090" i="41"/>
  <c r="AJ1090" i="41"/>
  <c r="AH1090" i="41"/>
  <c r="AI1090" i="41"/>
  <c r="U348" i="41"/>
  <c r="Q349" i="41"/>
  <c r="M347" i="41"/>
  <c r="L347" i="41" s="1"/>
  <c r="S1094" i="41" l="1"/>
  <c r="H1094" i="41" s="1"/>
  <c r="G1094" i="41" s="1"/>
  <c r="S348" i="41"/>
  <c r="I348" i="41" s="1"/>
  <c r="M1090" i="41"/>
  <c r="L1090" i="41" s="1"/>
  <c r="AB349" i="41" a="1"/>
  <c r="AB349" i="41" s="1"/>
  <c r="I1093" i="41"/>
  <c r="H1093" i="41"/>
  <c r="G1093" i="41" s="1"/>
  <c r="W1095" i="41"/>
  <c r="X1095" i="41"/>
  <c r="P1096" i="41"/>
  <c r="AI1091" i="41"/>
  <c r="AJ1091" i="41"/>
  <c r="AG1091" i="41"/>
  <c r="AF1091" i="41"/>
  <c r="AK1091" i="41"/>
  <c r="AH1091" i="41"/>
  <c r="R1096" i="41"/>
  <c r="AE1093" i="41"/>
  <c r="T1093" i="41"/>
  <c r="O1096" i="41"/>
  <c r="U1095" i="41"/>
  <c r="AC1094" i="41" s="1"/>
  <c r="Q1096" i="41"/>
  <c r="W349" i="41"/>
  <c r="X349" i="41"/>
  <c r="P350" i="41"/>
  <c r="AB1093" i="41"/>
  <c r="U349" i="41"/>
  <c r="AD348" i="41" s="1"/>
  <c r="Q350" i="41"/>
  <c r="H348" i="41"/>
  <c r="G348" i="41" s="1"/>
  <c r="V349" i="41"/>
  <c r="O350" i="41" s="1"/>
  <c r="R350" i="41"/>
  <c r="V350" i="41" s="1"/>
  <c r="M348" i="41"/>
  <c r="L348" i="41" s="1"/>
  <c r="I347" i="41"/>
  <c r="H347" i="41"/>
  <c r="G347" i="41" s="1"/>
  <c r="AG406" i="41"/>
  <c r="AF406" i="41"/>
  <c r="AH406" i="41"/>
  <c r="AJ406" i="41"/>
  <c r="AK406" i="41"/>
  <c r="AI406" i="41"/>
  <c r="AK1092" i="41"/>
  <c r="AF1092" i="41"/>
  <c r="AI1092" i="41"/>
  <c r="AJ1092" i="41"/>
  <c r="AG1092" i="41"/>
  <c r="AH1092" i="41"/>
  <c r="AD347" i="41"/>
  <c r="AC347" i="41"/>
  <c r="AE407" i="41" s="1" a="1"/>
  <c r="AE407" i="41" s="1"/>
  <c r="AD1093" i="41"/>
  <c r="I1094" i="41" l="1"/>
  <c r="AB350" i="41" a="1"/>
  <c r="AB350" i="41" s="1"/>
  <c r="M1092" i="41"/>
  <c r="AE1094" i="41"/>
  <c r="T1094" i="41"/>
  <c r="W350" i="41"/>
  <c r="X350" i="41"/>
  <c r="P351" i="41"/>
  <c r="W1096" i="41"/>
  <c r="X1096" i="41"/>
  <c r="P1097" i="41"/>
  <c r="R1097" i="41"/>
  <c r="S1095" i="41"/>
  <c r="AB1094" i="41"/>
  <c r="U350" i="41"/>
  <c r="Q351" i="41"/>
  <c r="AD1094" i="41"/>
  <c r="AF1093" i="41"/>
  <c r="AG1093" i="41"/>
  <c r="AH1093" i="41"/>
  <c r="AJ1093" i="41"/>
  <c r="AK1093" i="41"/>
  <c r="AI1093" i="41"/>
  <c r="O351" i="41"/>
  <c r="Q1097" i="41"/>
  <c r="U1096" i="41"/>
  <c r="AC1095" i="41" s="1"/>
  <c r="AC348" i="41"/>
  <c r="AE408" i="41" s="1" a="1"/>
  <c r="AE408" i="41" s="1"/>
  <c r="R351" i="41"/>
  <c r="V351" i="41" s="1"/>
  <c r="AJ407" i="41"/>
  <c r="AK407" i="41"/>
  <c r="AH407" i="41"/>
  <c r="AI407" i="41"/>
  <c r="AF407" i="41"/>
  <c r="AG407" i="41"/>
  <c r="M349" i="41"/>
  <c r="L349" i="41" s="1"/>
  <c r="M1091" i="41"/>
  <c r="L1091" i="41" s="1"/>
  <c r="S349" i="41"/>
  <c r="V1096" i="41"/>
  <c r="O1097" i="41" s="1"/>
  <c r="V1097" i="41" l="1"/>
  <c r="L1092" i="41"/>
  <c r="M1093" i="41"/>
  <c r="W1097" i="41"/>
  <c r="X1097" i="41"/>
  <c r="P1098" i="41"/>
  <c r="AJ408" i="41"/>
  <c r="AK408" i="41"/>
  <c r="AI408" i="41"/>
  <c r="AG408" i="41"/>
  <c r="AH408" i="41"/>
  <c r="AF408" i="41"/>
  <c r="AE1095" i="41"/>
  <c r="T1095" i="41"/>
  <c r="U351" i="41"/>
  <c r="AD350" i="41" s="1"/>
  <c r="Q352" i="41"/>
  <c r="AD1095" i="41"/>
  <c r="R352" i="41"/>
  <c r="V352" i="41" s="1"/>
  <c r="AB351" i="41" a="1"/>
  <c r="AB351" i="41" s="1"/>
  <c r="M350" i="41"/>
  <c r="L350" i="41" s="1"/>
  <c r="W351" i="41"/>
  <c r="X351" i="41"/>
  <c r="P352" i="41"/>
  <c r="AC349" i="41"/>
  <c r="AE409" i="41" s="1" a="1"/>
  <c r="AE409" i="41" s="1"/>
  <c r="I1095" i="41"/>
  <c r="H1095" i="41"/>
  <c r="G1095" i="41" s="1"/>
  <c r="O352" i="41"/>
  <c r="U1097" i="41"/>
  <c r="AB1096" i="41" s="1"/>
  <c r="Q1098" i="41"/>
  <c r="R1098" i="41"/>
  <c r="O1098" i="41"/>
  <c r="AB1095" i="41"/>
  <c r="I349" i="41"/>
  <c r="H349" i="41"/>
  <c r="G349" i="41" s="1"/>
  <c r="S350" i="41"/>
  <c r="AD349" i="41"/>
  <c r="S1096" i="41"/>
  <c r="AF1094" i="41"/>
  <c r="AH1094" i="41"/>
  <c r="AJ1094" i="41"/>
  <c r="AG1094" i="41"/>
  <c r="AI1094" i="41"/>
  <c r="AK1094" i="41"/>
  <c r="S351" i="41" l="1"/>
  <c r="I351" i="41" s="1"/>
  <c r="S1097" i="41"/>
  <c r="H1097" i="41" s="1"/>
  <c r="G1097" i="41" s="1"/>
  <c r="AB352" i="41" a="1"/>
  <c r="AB352" i="41" s="1"/>
  <c r="L1093" i="41"/>
  <c r="AC350" i="41"/>
  <c r="AE410" i="41" s="1" a="1"/>
  <c r="AE410" i="41" s="1"/>
  <c r="AG410" i="41" s="1"/>
  <c r="M1094" i="41"/>
  <c r="AI409" i="41"/>
  <c r="AF409" i="41"/>
  <c r="AK409" i="41"/>
  <c r="AH409" i="41"/>
  <c r="AG409" i="41"/>
  <c r="AJ409" i="41"/>
  <c r="R353" i="41"/>
  <c r="R1099" i="41"/>
  <c r="O353" i="41"/>
  <c r="H351" i="41"/>
  <c r="G351" i="41" s="1"/>
  <c r="U1098" i="41"/>
  <c r="Q1099" i="41"/>
  <c r="I1096" i="41"/>
  <c r="H1096" i="41"/>
  <c r="G1096" i="41" s="1"/>
  <c r="AJ1095" i="41"/>
  <c r="AH1095" i="41"/>
  <c r="AK1095" i="41"/>
  <c r="AG1095" i="41"/>
  <c r="AI1095" i="41"/>
  <c r="AF1095" i="41"/>
  <c r="M351" i="41"/>
  <c r="L351" i="41" s="1"/>
  <c r="V1098" i="41"/>
  <c r="O1099" i="41" s="1"/>
  <c r="W352" i="41"/>
  <c r="X352" i="41"/>
  <c r="P353" i="41"/>
  <c r="W1098" i="41"/>
  <c r="X1098" i="41"/>
  <c r="P1099" i="41"/>
  <c r="AC1096" i="41"/>
  <c r="I350" i="41"/>
  <c r="H350" i="41"/>
  <c r="G350" i="41" s="1"/>
  <c r="U352" i="41"/>
  <c r="AD351" i="41" s="1"/>
  <c r="Q353" i="41"/>
  <c r="AD1096" i="41"/>
  <c r="I1097" i="41" l="1"/>
  <c r="L1094" i="41"/>
  <c r="AF410" i="41"/>
  <c r="AI410" i="41"/>
  <c r="AK410" i="41"/>
  <c r="V1099" i="41"/>
  <c r="O1100" i="41" s="1"/>
  <c r="AJ410" i="41"/>
  <c r="AH410" i="41"/>
  <c r="M1095" i="41"/>
  <c r="AB353" i="41" a="1"/>
  <c r="AB353" i="41" s="1"/>
  <c r="AC351" i="41"/>
  <c r="AE411" i="41" s="1" a="1"/>
  <c r="AE411" i="41" s="1"/>
  <c r="AI411" i="41" s="1"/>
  <c r="W1099" i="41"/>
  <c r="X1099" i="41"/>
  <c r="P1100" i="41"/>
  <c r="U1099" i="41"/>
  <c r="AB1098" i="41" s="1"/>
  <c r="Q1100" i="41"/>
  <c r="U353" i="41"/>
  <c r="AC352" i="41" s="1"/>
  <c r="AE412" i="41" s="1" a="1"/>
  <c r="AE412" i="41" s="1"/>
  <c r="Q354" i="41"/>
  <c r="AE1096" i="41"/>
  <c r="T1096" i="41"/>
  <c r="AB1097" i="41"/>
  <c r="R354" i="41"/>
  <c r="V353" i="41"/>
  <c r="O354" i="41" s="1"/>
  <c r="M352" i="41"/>
  <c r="L352" i="41" s="1"/>
  <c r="R1100" i="41"/>
  <c r="W353" i="41"/>
  <c r="X353" i="41"/>
  <c r="P354" i="41"/>
  <c r="S352" i="41"/>
  <c r="AD1097" i="41"/>
  <c r="AC1097" i="41"/>
  <c r="S1098" i="41"/>
  <c r="L1095" i="41" l="1"/>
  <c r="AJ411" i="41"/>
  <c r="S1099" i="41"/>
  <c r="I1099" i="41" s="1"/>
  <c r="AF411" i="41"/>
  <c r="AB354" i="41" a="1"/>
  <c r="AB354" i="41" s="1"/>
  <c r="AG411" i="41"/>
  <c r="AK411" i="41"/>
  <c r="AC1098" i="41"/>
  <c r="AE1098" i="41" s="1"/>
  <c r="AD352" i="41"/>
  <c r="AD1098" i="41"/>
  <c r="AH411" i="41"/>
  <c r="M353" i="41"/>
  <c r="L353" i="41" s="1"/>
  <c r="S353" i="41"/>
  <c r="I353" i="41" s="1"/>
  <c r="W354" i="41"/>
  <c r="X354" i="41"/>
  <c r="P355" i="41"/>
  <c r="U1100" i="41"/>
  <c r="Q1101" i="41"/>
  <c r="AJ1096" i="41"/>
  <c r="AK1096" i="41"/>
  <c r="AI1096" i="41"/>
  <c r="AF1096" i="41"/>
  <c r="AH1096" i="41"/>
  <c r="AG1096" i="41"/>
  <c r="H1098" i="41"/>
  <c r="G1098" i="41" s="1"/>
  <c r="I1098" i="41"/>
  <c r="W1100" i="41"/>
  <c r="X1100" i="41"/>
  <c r="P1101" i="41"/>
  <c r="U354" i="41"/>
  <c r="Q355" i="41"/>
  <c r="R1101" i="41"/>
  <c r="V1101" i="41" s="1"/>
  <c r="H1099" i="41"/>
  <c r="G1099" i="41" s="1"/>
  <c r="AI412" i="41"/>
  <c r="AK412" i="41"/>
  <c r="AG412" i="41"/>
  <c r="AF412" i="41"/>
  <c r="AH412" i="41"/>
  <c r="AJ412" i="41"/>
  <c r="V1100" i="41"/>
  <c r="O1101" i="41" s="1"/>
  <c r="AE1097" i="41"/>
  <c r="T1097" i="41"/>
  <c r="I352" i="41"/>
  <c r="H352" i="41"/>
  <c r="G352" i="41" s="1"/>
  <c r="V354" i="41"/>
  <c r="O355" i="41" s="1"/>
  <c r="R355" i="41"/>
  <c r="T1098" i="41" l="1"/>
  <c r="H353" i="41"/>
  <c r="G353" i="41" s="1"/>
  <c r="M1096" i="41"/>
  <c r="L1096" i="41" s="1"/>
  <c r="AB355" i="41" a="1"/>
  <c r="AB355" i="41" s="1"/>
  <c r="S354" i="41"/>
  <c r="I354" i="41" s="1"/>
  <c r="AC353" i="41"/>
  <c r="AE413" i="41" s="1" a="1"/>
  <c r="AE413" i="41" s="1"/>
  <c r="AH413" i="41" s="1"/>
  <c r="W1101" i="41"/>
  <c r="X1101" i="41"/>
  <c r="P1102" i="41"/>
  <c r="O1102" i="41"/>
  <c r="W355" i="41"/>
  <c r="X355" i="41"/>
  <c r="P356" i="41"/>
  <c r="AJ1097" i="41"/>
  <c r="AK1097" i="41"/>
  <c r="AF1097" i="41"/>
  <c r="AG1097" i="41"/>
  <c r="AH1097" i="41"/>
  <c r="AI1097" i="41"/>
  <c r="AH1098" i="41"/>
  <c r="AJ1098" i="41"/>
  <c r="AK1098" i="41"/>
  <c r="AF1098" i="41"/>
  <c r="AG1098" i="41"/>
  <c r="AI1098" i="41"/>
  <c r="R1102" i="41"/>
  <c r="V1102" i="41" s="1"/>
  <c r="AC1099" i="41"/>
  <c r="R356" i="41"/>
  <c r="V356" i="41" s="1"/>
  <c r="U1101" i="41"/>
  <c r="AB1100" i="41" s="1"/>
  <c r="Q1102" i="41"/>
  <c r="S1100" i="41"/>
  <c r="AB1099" i="41"/>
  <c r="AD1099" i="41"/>
  <c r="M354" i="41"/>
  <c r="L354" i="41" s="1"/>
  <c r="U355" i="41"/>
  <c r="AC354" i="41" s="1"/>
  <c r="AE414" i="41" s="1" a="1"/>
  <c r="AE414" i="41" s="1"/>
  <c r="Q356" i="41"/>
  <c r="AD353" i="41"/>
  <c r="V355" i="41"/>
  <c r="O356" i="41" s="1"/>
  <c r="H354" i="41" l="1"/>
  <c r="G354" i="41" s="1"/>
  <c r="AG413" i="41"/>
  <c r="AK413" i="41"/>
  <c r="AF413" i="41"/>
  <c r="AI413" i="41"/>
  <c r="M1097" i="41"/>
  <c r="L1097" i="41" s="1"/>
  <c r="AJ413" i="41"/>
  <c r="M1098" i="41"/>
  <c r="W356" i="41"/>
  <c r="X356" i="41"/>
  <c r="P357" i="41"/>
  <c r="AG414" i="41"/>
  <c r="AH414" i="41"/>
  <c r="AK414" i="41"/>
  <c r="AF414" i="41"/>
  <c r="AJ414" i="41"/>
  <c r="AI414" i="41"/>
  <c r="R357" i="41"/>
  <c r="V357" i="41" s="1"/>
  <c r="O357" i="41"/>
  <c r="M355" i="41"/>
  <c r="L355" i="41" s="1"/>
  <c r="W1102" i="41"/>
  <c r="X1102" i="41"/>
  <c r="P1103" i="41"/>
  <c r="O1103" i="41"/>
  <c r="U356" i="41"/>
  <c r="AD355" i="41" s="1"/>
  <c r="Q357" i="41"/>
  <c r="AB356" i="41" a="1"/>
  <c r="AB356" i="41" s="1"/>
  <c r="S1101" i="41"/>
  <c r="AC1100" i="41"/>
  <c r="AD1100" i="41"/>
  <c r="R1103" i="41"/>
  <c r="AD354" i="41"/>
  <c r="I1100" i="41"/>
  <c r="H1100" i="41"/>
  <c r="G1100" i="41" s="1"/>
  <c r="U1102" i="41"/>
  <c r="AD1101" i="41" s="1"/>
  <c r="Q1103" i="41"/>
  <c r="AE1099" i="41"/>
  <c r="T1099" i="41"/>
  <c r="S355" i="41"/>
  <c r="AC1101" i="41" l="1"/>
  <c r="AE1101" i="41" s="1"/>
  <c r="L1098" i="41"/>
  <c r="S1102" i="41"/>
  <c r="I1102" i="41" s="1"/>
  <c r="AC355" i="41"/>
  <c r="AE415" i="41" s="1" a="1"/>
  <c r="AE415" i="41" s="1"/>
  <c r="AH415" i="41" s="1"/>
  <c r="W1103" i="41"/>
  <c r="X1103" i="41"/>
  <c r="P1104" i="41"/>
  <c r="R1104" i="41"/>
  <c r="V1104" i="41" s="1"/>
  <c r="AI1099" i="41"/>
  <c r="AG1099" i="41"/>
  <c r="AF1099" i="41"/>
  <c r="AK1099" i="41"/>
  <c r="AH1099" i="41"/>
  <c r="AJ1099" i="41"/>
  <c r="I355" i="41"/>
  <c r="H355" i="41"/>
  <c r="G355" i="41" s="1"/>
  <c r="R358" i="41"/>
  <c r="U1103" i="41"/>
  <c r="AC1102" i="41" s="1"/>
  <c r="Q1104" i="41"/>
  <c r="W357" i="41"/>
  <c r="X357" i="41"/>
  <c r="P358" i="41"/>
  <c r="AE1100" i="41"/>
  <c r="T1100" i="41"/>
  <c r="I1101" i="41"/>
  <c r="H1101" i="41"/>
  <c r="G1101" i="41" s="1"/>
  <c r="V1103" i="41"/>
  <c r="O1104" i="41" s="1"/>
  <c r="M356" i="41"/>
  <c r="L356" i="41" s="1"/>
  <c r="O358" i="41"/>
  <c r="S356" i="41"/>
  <c r="U357" i="41"/>
  <c r="AD356" i="41" s="1"/>
  <c r="Q358" i="41"/>
  <c r="AB357" i="41" a="1"/>
  <c r="AB357" i="41" s="1"/>
  <c r="AB1101" i="41"/>
  <c r="T1101" i="41" l="1"/>
  <c r="H1102" i="41"/>
  <c r="G1102" i="41" s="1"/>
  <c r="AK415" i="41"/>
  <c r="AJ415" i="41"/>
  <c r="AG415" i="41"/>
  <c r="AI415" i="41"/>
  <c r="AD1102" i="41"/>
  <c r="AF415" i="41"/>
  <c r="AC356" i="41"/>
  <c r="AE416" i="41" s="1" a="1"/>
  <c r="AE416" i="41" s="1"/>
  <c r="AJ416" i="41" s="1"/>
  <c r="AE1102" i="41"/>
  <c r="T1102" i="41"/>
  <c r="O1105" i="41"/>
  <c r="M1099" i="41"/>
  <c r="L1099" i="41" s="1"/>
  <c r="AB1102" i="41"/>
  <c r="AI1101" i="41"/>
  <c r="AG1101" i="41"/>
  <c r="AJ1101" i="41"/>
  <c r="AH1101" i="41"/>
  <c r="AF1101" i="41"/>
  <c r="AK1101" i="41"/>
  <c r="U1104" i="41"/>
  <c r="AB1103" i="41" s="1"/>
  <c r="Q1105" i="41"/>
  <c r="S1103" i="41"/>
  <c r="U358" i="41"/>
  <c r="Q359" i="41"/>
  <c r="R359" i="41"/>
  <c r="R1105" i="41"/>
  <c r="W1104" i="41"/>
  <c r="X1104" i="41"/>
  <c r="P1105" i="41"/>
  <c r="AH1100" i="41"/>
  <c r="AI1100" i="41"/>
  <c r="AJ1100" i="41"/>
  <c r="AG1100" i="41"/>
  <c r="AK1100" i="41"/>
  <c r="AF1100" i="41"/>
  <c r="W358" i="41"/>
  <c r="X358" i="41"/>
  <c r="P359" i="41"/>
  <c r="M357" i="41"/>
  <c r="L357" i="41" s="1"/>
  <c r="AB358" i="41" a="1"/>
  <c r="AB358" i="41" s="1"/>
  <c r="V358" i="41"/>
  <c r="O359" i="41" s="1"/>
  <c r="I356" i="41"/>
  <c r="H356" i="41"/>
  <c r="G356" i="41" s="1"/>
  <c r="S357" i="41"/>
  <c r="S358" i="41" l="1"/>
  <c r="I358" i="41" s="1"/>
  <c r="AB359" i="41" a="1"/>
  <c r="AB359" i="41" s="1"/>
  <c r="AG416" i="41"/>
  <c r="AK416" i="41"/>
  <c r="AH416" i="41"/>
  <c r="AF416" i="41"/>
  <c r="AI416" i="41"/>
  <c r="M1100" i="41"/>
  <c r="L1100" i="41" s="1"/>
  <c r="M1101" i="41"/>
  <c r="W359" i="41"/>
  <c r="X359" i="41"/>
  <c r="P360" i="41"/>
  <c r="U1105" i="41"/>
  <c r="AD1104" i="41" s="1"/>
  <c r="Q1106" i="41"/>
  <c r="V1105" i="41"/>
  <c r="O1106" i="41" s="1"/>
  <c r="AD1103" i="41"/>
  <c r="AC1103" i="41"/>
  <c r="U359" i="41"/>
  <c r="Q360" i="41"/>
  <c r="R1106" i="41"/>
  <c r="R360" i="41"/>
  <c r="V360" i="41" s="1"/>
  <c r="W1105" i="41"/>
  <c r="X1105" i="41"/>
  <c r="P1106" i="41"/>
  <c r="H358" i="41"/>
  <c r="G358" i="41" s="1"/>
  <c r="S1104" i="41"/>
  <c r="V359" i="41"/>
  <c r="O360" i="41" s="1"/>
  <c r="M358" i="41"/>
  <c r="L358" i="41" s="1"/>
  <c r="I1103" i="41"/>
  <c r="H1103" i="41"/>
  <c r="G1103" i="41" s="1"/>
  <c r="AD357" i="41"/>
  <c r="I357" i="41"/>
  <c r="H357" i="41"/>
  <c r="G357" i="41" s="1"/>
  <c r="AC357" i="41"/>
  <c r="AE417" i="41" s="1" a="1"/>
  <c r="AE417" i="41" s="1"/>
  <c r="AI1102" i="41"/>
  <c r="AF1102" i="41"/>
  <c r="AJ1102" i="41"/>
  <c r="AK1102" i="41"/>
  <c r="AG1102" i="41"/>
  <c r="AH1102" i="41"/>
  <c r="S359" i="41" l="1"/>
  <c r="I359" i="41" s="1"/>
  <c r="V1106" i="41"/>
  <c r="AD358" i="41"/>
  <c r="AC358" i="41"/>
  <c r="AE418" i="41" s="1" a="1"/>
  <c r="AE418" i="41" s="1"/>
  <c r="AK418" i="41" s="1"/>
  <c r="S1105" i="41"/>
  <c r="I1105" i="41" s="1"/>
  <c r="AC1104" i="41"/>
  <c r="AE1104" i="41" s="1"/>
  <c r="L1101" i="41"/>
  <c r="M1102" i="41"/>
  <c r="W360" i="41"/>
  <c r="X360" i="41"/>
  <c r="P361" i="41"/>
  <c r="O361" i="41"/>
  <c r="R1107" i="41"/>
  <c r="V1107" i="41" s="1"/>
  <c r="O1107" i="41"/>
  <c r="AE1103" i="41"/>
  <c r="T1103" i="41"/>
  <c r="R361" i="41"/>
  <c r="AB360" i="41" a="1"/>
  <c r="AB360" i="41" s="1"/>
  <c r="M359" i="41"/>
  <c r="L359" i="41" s="1"/>
  <c r="AF417" i="41"/>
  <c r="AK417" i="41"/>
  <c r="AJ417" i="41"/>
  <c r="AG417" i="41"/>
  <c r="AH417" i="41"/>
  <c r="AI417" i="41"/>
  <c r="U360" i="41"/>
  <c r="Q361" i="41"/>
  <c r="W1106" i="41"/>
  <c r="X1106" i="41"/>
  <c r="P1107" i="41"/>
  <c r="H1104" i="41"/>
  <c r="G1104" i="41" s="1"/>
  <c r="I1104" i="41"/>
  <c r="U1106" i="41"/>
  <c r="AC1105" i="41" s="1"/>
  <c r="Q1107" i="41"/>
  <c r="AB1104" i="41"/>
  <c r="S360" i="41" l="1"/>
  <c r="I360" i="41" s="1"/>
  <c r="H359" i="41"/>
  <c r="G359" i="41" s="1"/>
  <c r="H1105" i="41"/>
  <c r="G1105" i="41" s="1"/>
  <c r="T1104" i="41"/>
  <c r="AB361" i="41" a="1"/>
  <c r="AB361" i="41" s="1"/>
  <c r="AG418" i="41"/>
  <c r="AF418" i="41"/>
  <c r="AI418" i="41"/>
  <c r="AJ418" i="41"/>
  <c r="AH418" i="41"/>
  <c r="L1102" i="41"/>
  <c r="AD359" i="41"/>
  <c r="AC359" i="41"/>
  <c r="AE419" i="41" s="1" a="1"/>
  <c r="AE419" i="41" s="1"/>
  <c r="AH419" i="41" s="1"/>
  <c r="AE1105" i="41"/>
  <c r="T1105" i="41"/>
  <c r="U361" i="41"/>
  <c r="AD360" i="41" s="1"/>
  <c r="Q362" i="41"/>
  <c r="U1107" i="41"/>
  <c r="AB1106" i="41" s="1"/>
  <c r="Q1108" i="41"/>
  <c r="W361" i="41"/>
  <c r="X361" i="41"/>
  <c r="P362" i="41"/>
  <c r="AD1105" i="41"/>
  <c r="AI1104" i="41"/>
  <c r="AF1104" i="41"/>
  <c r="AK1104" i="41"/>
  <c r="AG1104" i="41"/>
  <c r="AJ1104" i="41"/>
  <c r="AH1104" i="41"/>
  <c r="AB1105" i="41"/>
  <c r="V361" i="41"/>
  <c r="O362" i="41" s="1"/>
  <c r="O1108" i="41"/>
  <c r="AK1103" i="41"/>
  <c r="AH1103" i="41"/>
  <c r="AF1103" i="41"/>
  <c r="AG1103" i="41"/>
  <c r="AJ1103" i="41"/>
  <c r="AI1103" i="41"/>
  <c r="R362" i="41"/>
  <c r="H360" i="41"/>
  <c r="G360" i="41" s="1"/>
  <c r="R1108" i="41"/>
  <c r="W1107" i="41"/>
  <c r="X1107" i="41"/>
  <c r="P1108" i="41"/>
  <c r="S1106" i="41"/>
  <c r="M360" i="41"/>
  <c r="L360" i="41" s="1"/>
  <c r="AG419" i="41" l="1"/>
  <c r="AF419" i="41"/>
  <c r="AK419" i="41"/>
  <c r="AI419" i="41"/>
  <c r="AJ419" i="41"/>
  <c r="AC360" i="41"/>
  <c r="AE420" i="41" s="1" a="1"/>
  <c r="AE420" i="41" s="1"/>
  <c r="AI420" i="41" s="1"/>
  <c r="S361" i="41"/>
  <c r="AC1106" i="41"/>
  <c r="AE1106" i="41" s="1"/>
  <c r="M1104" i="41"/>
  <c r="M1103" i="41"/>
  <c r="L1103" i="41" s="1"/>
  <c r="AD1106" i="41"/>
  <c r="R363" i="41"/>
  <c r="M361" i="41"/>
  <c r="L361" i="41" s="1"/>
  <c r="U1108" i="41"/>
  <c r="AB1107" i="41" s="1"/>
  <c r="Q1109" i="41"/>
  <c r="V1108" i="41"/>
  <c r="O1109" i="41" s="1"/>
  <c r="W1108" i="41"/>
  <c r="P1109" i="41"/>
  <c r="X1108" i="41"/>
  <c r="U362" i="41"/>
  <c r="AD361" i="41" s="1"/>
  <c r="Q363" i="41"/>
  <c r="AB362" i="41" a="1"/>
  <c r="AB362" i="41" s="1"/>
  <c r="V362" i="41"/>
  <c r="O363" i="41" s="1"/>
  <c r="AH1105" i="41"/>
  <c r="AI1105" i="41"/>
  <c r="AG1105" i="41"/>
  <c r="AJ1105" i="41"/>
  <c r="AK1105" i="41"/>
  <c r="AF1105" i="41"/>
  <c r="I1106" i="41"/>
  <c r="H1106" i="41"/>
  <c r="G1106" i="41" s="1"/>
  <c r="W362" i="41"/>
  <c r="X362" i="41"/>
  <c r="P363" i="41"/>
  <c r="R1109" i="41"/>
  <c r="S1107" i="41"/>
  <c r="V363" i="41" l="1"/>
  <c r="O364" i="41" s="1"/>
  <c r="V1109" i="41"/>
  <c r="AB363" i="41" a="1"/>
  <c r="AB363" i="41" s="1"/>
  <c r="L1104" i="41"/>
  <c r="T1106" i="41"/>
  <c r="AH420" i="41"/>
  <c r="AG420" i="41"/>
  <c r="S362" i="41"/>
  <c r="I362" i="41" s="1"/>
  <c r="AD1107" i="41"/>
  <c r="S1108" i="41"/>
  <c r="I1108" i="41" s="1"/>
  <c r="M1105" i="41"/>
  <c r="AF420" i="41"/>
  <c r="AK420" i="41"/>
  <c r="AJ420" i="41"/>
  <c r="AC1107" i="41"/>
  <c r="AE1107" i="41" s="1"/>
  <c r="I361" i="41"/>
  <c r="H361" i="41"/>
  <c r="G361" i="41" s="1"/>
  <c r="W1109" i="41"/>
  <c r="X1109" i="41"/>
  <c r="P1110" i="41"/>
  <c r="W363" i="41"/>
  <c r="X363" i="41"/>
  <c r="P364" i="41"/>
  <c r="O1110" i="41"/>
  <c r="M362" i="41"/>
  <c r="L362" i="41" s="1"/>
  <c r="AI1106" i="41"/>
  <c r="AF1106" i="41"/>
  <c r="AK1106" i="41"/>
  <c r="AJ1106" i="41"/>
  <c r="AH1106" i="41"/>
  <c r="AG1106" i="41"/>
  <c r="U363" i="41"/>
  <c r="Q364" i="41"/>
  <c r="R364" i="41"/>
  <c r="AC361" i="41"/>
  <c r="AE421" i="41" s="1" a="1"/>
  <c r="AE421" i="41" s="1"/>
  <c r="I1107" i="41"/>
  <c r="H1107" i="41"/>
  <c r="G1107" i="41" s="1"/>
  <c r="U1109" i="41"/>
  <c r="Q1110" i="41"/>
  <c r="R1110" i="41"/>
  <c r="V1110" i="41" s="1"/>
  <c r="V364" i="41" l="1"/>
  <c r="O365" i="41" s="1"/>
  <c r="L1105" i="41"/>
  <c r="H362" i="41"/>
  <c r="G362" i="41" s="1"/>
  <c r="S363" i="41"/>
  <c r="I363" i="41" s="1"/>
  <c r="H1108" i="41"/>
  <c r="G1108" i="41" s="1"/>
  <c r="T1107" i="41"/>
  <c r="M1106" i="41"/>
  <c r="W364" i="41"/>
  <c r="X364" i="41"/>
  <c r="P365" i="41"/>
  <c r="R365" i="41"/>
  <c r="V365" i="41" s="1"/>
  <c r="M363" i="41"/>
  <c r="L363" i="41" s="1"/>
  <c r="AB1108" i="41"/>
  <c r="AD1108" i="41"/>
  <c r="R1111" i="41"/>
  <c r="AG421" i="41"/>
  <c r="AK421" i="41"/>
  <c r="AH421" i="41"/>
  <c r="AJ421" i="41"/>
  <c r="AF421" i="41"/>
  <c r="AI421" i="41"/>
  <c r="AC1108" i="41"/>
  <c r="AC362" i="41"/>
  <c r="AE422" i="41" s="1" a="1"/>
  <c r="AE422" i="41" s="1"/>
  <c r="AD362" i="41"/>
  <c r="S1109" i="41"/>
  <c r="W1110" i="41"/>
  <c r="X1110" i="41"/>
  <c r="P1111" i="41"/>
  <c r="O1111" i="41"/>
  <c r="U1110" i="41"/>
  <c r="AC1109" i="41" s="1"/>
  <c r="Q1111" i="41"/>
  <c r="U364" i="41"/>
  <c r="Q365" i="41"/>
  <c r="AB364" i="41" a="1"/>
  <c r="AB364" i="41" s="1"/>
  <c r="AF1107" i="41"/>
  <c r="AJ1107" i="41"/>
  <c r="AK1107" i="41"/>
  <c r="AG1107" i="41"/>
  <c r="AH1107" i="41"/>
  <c r="AI1107" i="41"/>
  <c r="L1106" i="41" l="1"/>
  <c r="H363" i="41"/>
  <c r="G363" i="41" s="1"/>
  <c r="S364" i="41"/>
  <c r="I364" i="41" s="1"/>
  <c r="AB365" i="41" a="1"/>
  <c r="AB365" i="41" s="1"/>
  <c r="AD1109" i="41"/>
  <c r="S1110" i="41"/>
  <c r="H1110" i="41" s="1"/>
  <c r="G1110" i="41" s="1"/>
  <c r="M1107" i="41"/>
  <c r="AE1109" i="41"/>
  <c r="T1109" i="41"/>
  <c r="U1111" i="41"/>
  <c r="Q1112" i="41"/>
  <c r="U365" i="41"/>
  <c r="Q366" i="41"/>
  <c r="I1109" i="41"/>
  <c r="H1109" i="41"/>
  <c r="G1109" i="41" s="1"/>
  <c r="O366" i="41"/>
  <c r="R366" i="41"/>
  <c r="V366" i="41" s="1"/>
  <c r="AF422" i="41"/>
  <c r="AG422" i="41"/>
  <c r="AI422" i="41"/>
  <c r="AJ422" i="41"/>
  <c r="AK422" i="41"/>
  <c r="AH422" i="41"/>
  <c r="AB1109" i="41"/>
  <c r="AE1108" i="41"/>
  <c r="T1108" i="41"/>
  <c r="AC363" i="41"/>
  <c r="AE423" i="41" s="1" a="1"/>
  <c r="AE423" i="41" s="1"/>
  <c r="W365" i="41"/>
  <c r="X365" i="41"/>
  <c r="P366" i="41"/>
  <c r="R1112" i="41"/>
  <c r="V1111" i="41"/>
  <c r="O1112" i="41" s="1"/>
  <c r="W1111" i="41"/>
  <c r="X1111" i="41"/>
  <c r="P1112" i="41"/>
  <c r="AD363" i="41"/>
  <c r="M364" i="41"/>
  <c r="L364" i="41" s="1"/>
  <c r="L1107" i="41" l="1"/>
  <c r="H364" i="41"/>
  <c r="G364" i="41" s="1"/>
  <c r="V1112" i="41"/>
  <c r="I1110" i="41"/>
  <c r="O367" i="41"/>
  <c r="R367" i="41"/>
  <c r="AK423" i="41"/>
  <c r="AH423" i="41"/>
  <c r="AF423" i="41"/>
  <c r="AI423" i="41"/>
  <c r="AG423" i="41"/>
  <c r="AJ423" i="41"/>
  <c r="O1113" i="41"/>
  <c r="R1113" i="41"/>
  <c r="U366" i="41"/>
  <c r="AC365" i="41" s="1"/>
  <c r="AE425" i="41" s="1" a="1"/>
  <c r="AE425" i="41" s="1"/>
  <c r="Q367" i="41"/>
  <c r="AB1110" i="41"/>
  <c r="W1112" i="41"/>
  <c r="X1112" i="41"/>
  <c r="P1113" i="41"/>
  <c r="AB366" i="41" a="1"/>
  <c r="AB366" i="41" s="1"/>
  <c r="S1111" i="41"/>
  <c r="AD1110" i="41"/>
  <c r="AC364" i="41"/>
  <c r="AE424" i="41" s="1" a="1"/>
  <c r="AE424" i="41" s="1"/>
  <c r="AD364" i="41"/>
  <c r="M365" i="41"/>
  <c r="L365" i="41" s="1"/>
  <c r="AJ1108" i="41"/>
  <c r="AI1108" i="41"/>
  <c r="AF1108" i="41"/>
  <c r="AG1108" i="41"/>
  <c r="AK1108" i="41"/>
  <c r="AH1108" i="41"/>
  <c r="AF1109" i="41"/>
  <c r="AK1109" i="41"/>
  <c r="AG1109" i="41"/>
  <c r="AI1109" i="41"/>
  <c r="AJ1109" i="41"/>
  <c r="AH1109" i="41"/>
  <c r="AC1110" i="41"/>
  <c r="U1112" i="41"/>
  <c r="AC1111" i="41" s="1"/>
  <c r="Q1113" i="41"/>
  <c r="W366" i="41"/>
  <c r="P367" i="41"/>
  <c r="X366" i="41"/>
  <c r="S365" i="41"/>
  <c r="AB1111" i="41" l="1"/>
  <c r="M1109" i="41"/>
  <c r="M1108" i="41"/>
  <c r="L1108" i="41" s="1"/>
  <c r="AB367" i="41" a="1"/>
  <c r="AB367" i="41" s="1"/>
  <c r="AD1111" i="41"/>
  <c r="AG425" i="41"/>
  <c r="AI425" i="41"/>
  <c r="AJ425" i="41"/>
  <c r="AH425" i="41"/>
  <c r="AK425" i="41"/>
  <c r="AF425" i="41"/>
  <c r="U367" i="41"/>
  <c r="AC366" i="41" s="1"/>
  <c r="AE426" i="41" s="1" a="1"/>
  <c r="AE426" i="41" s="1"/>
  <c r="Q368" i="41"/>
  <c r="AE1111" i="41"/>
  <c r="T1111" i="41"/>
  <c r="V367" i="41"/>
  <c r="O368" i="41" s="1"/>
  <c r="U1113" i="41"/>
  <c r="AC1112" i="41" s="1"/>
  <c r="Q1114" i="41"/>
  <c r="I365" i="41"/>
  <c r="H365" i="41"/>
  <c r="G365" i="41" s="1"/>
  <c r="R368" i="41"/>
  <c r="AD365" i="41"/>
  <c r="AE1110" i="41"/>
  <c r="T1110" i="41"/>
  <c r="W367" i="41"/>
  <c r="P368" i="41"/>
  <c r="X367" i="41"/>
  <c r="AF424" i="41"/>
  <c r="AH424" i="41"/>
  <c r="AJ424" i="41"/>
  <c r="AG424" i="41"/>
  <c r="AI424" i="41"/>
  <c r="AK424" i="41"/>
  <c r="H1111" i="41"/>
  <c r="G1111" i="41" s="1"/>
  <c r="I1111" i="41"/>
  <c r="M366" i="41"/>
  <c r="L366" i="41" s="1"/>
  <c r="R1114" i="41"/>
  <c r="V1113" i="41"/>
  <c r="O1114" i="41" s="1"/>
  <c r="W1113" i="41"/>
  <c r="X1113" i="41"/>
  <c r="P1114" i="41"/>
  <c r="S1112" i="41"/>
  <c r="S366" i="41"/>
  <c r="S1113" i="41" l="1"/>
  <c r="I1113" i="41" s="1"/>
  <c r="AD1112" i="41"/>
  <c r="L1109" i="41"/>
  <c r="AD366" i="41"/>
  <c r="W368" i="41"/>
  <c r="P369" i="41"/>
  <c r="X368" i="41"/>
  <c r="U368" i="41"/>
  <c r="AC367" i="41" s="1"/>
  <c r="AE427" i="41" s="1" a="1"/>
  <c r="AE427" i="41" s="1"/>
  <c r="Q369" i="41"/>
  <c r="W1114" i="41"/>
  <c r="X1114" i="41"/>
  <c r="P1115" i="41"/>
  <c r="V368" i="41"/>
  <c r="O369" i="41" s="1"/>
  <c r="I1112" i="41"/>
  <c r="H1112" i="41"/>
  <c r="G1112" i="41" s="1"/>
  <c r="AG426" i="41"/>
  <c r="AK426" i="41"/>
  <c r="AH426" i="41"/>
  <c r="AJ426" i="41"/>
  <c r="AF426" i="41"/>
  <c r="AI426" i="41"/>
  <c r="U1114" i="41"/>
  <c r="S1114" i="41" s="1"/>
  <c r="I1114" i="41" s="1"/>
  <c r="Q1115" i="41"/>
  <c r="AE1112" i="41"/>
  <c r="T1112" i="41"/>
  <c r="M367" i="41"/>
  <c r="L367" i="41" s="1"/>
  <c r="I366" i="41"/>
  <c r="H366" i="41"/>
  <c r="G366" i="41" s="1"/>
  <c r="AB368" i="41" a="1"/>
  <c r="AB368" i="41" s="1"/>
  <c r="R369" i="41"/>
  <c r="V369" i="41" s="1"/>
  <c r="AH1110" i="41"/>
  <c r="AF1110" i="41"/>
  <c r="AJ1110" i="41"/>
  <c r="AK1110" i="41"/>
  <c r="AG1110" i="41"/>
  <c r="AI1110" i="41"/>
  <c r="AB1112" i="41"/>
  <c r="R1115" i="41"/>
  <c r="V1114" i="41"/>
  <c r="O1115" i="41" s="1"/>
  <c r="H1113" i="41"/>
  <c r="G1113" i="41" s="1"/>
  <c r="S367" i="41"/>
  <c r="AK1111" i="41"/>
  <c r="AF1111" i="41"/>
  <c r="AG1111" i="41"/>
  <c r="AJ1111" i="41"/>
  <c r="AI1111" i="41"/>
  <c r="AH1111" i="41"/>
  <c r="AB369" i="41" l="1" a="1"/>
  <c r="AB369" i="41" s="1"/>
  <c r="AD367" i="41"/>
  <c r="AD1113" i="41"/>
  <c r="AC1113" i="41"/>
  <c r="AE1113" i="41" s="1"/>
  <c r="AI427" i="41"/>
  <c r="AF427" i="41"/>
  <c r="AG427" i="41"/>
  <c r="AK427" i="41"/>
  <c r="AJ427" i="41"/>
  <c r="AH427" i="41"/>
  <c r="O370" i="41"/>
  <c r="M1111" i="41"/>
  <c r="W1115" i="41"/>
  <c r="X1115" i="41"/>
  <c r="P1116" i="41"/>
  <c r="W369" i="41"/>
  <c r="P370" i="41"/>
  <c r="X369" i="41"/>
  <c r="I367" i="41"/>
  <c r="H367" i="41"/>
  <c r="G367" i="41" s="1"/>
  <c r="S368" i="41"/>
  <c r="H1114" i="41"/>
  <c r="G1114" i="41" s="1"/>
  <c r="M1110" i="41"/>
  <c r="L1110" i="41" s="1"/>
  <c r="R370" i="41"/>
  <c r="AJ1112" i="41"/>
  <c r="AI1112" i="41"/>
  <c r="AK1112" i="41"/>
  <c r="AH1112" i="41"/>
  <c r="AF1112" i="41"/>
  <c r="AG1112" i="41"/>
  <c r="U1115" i="41"/>
  <c r="S1115" i="41" s="1"/>
  <c r="Q1116" i="41"/>
  <c r="V1115" i="41"/>
  <c r="O1116" i="41" s="1"/>
  <c r="AB1113" i="41"/>
  <c r="R1116" i="41"/>
  <c r="V1116" i="41" s="1"/>
  <c r="U369" i="41"/>
  <c r="Q370" i="41"/>
  <c r="M368" i="41"/>
  <c r="L368" i="41" s="1"/>
  <c r="T1113" i="41" l="1"/>
  <c r="S369" i="41"/>
  <c r="I369" i="41" s="1"/>
  <c r="AB1114" i="41"/>
  <c r="AD1114" i="41"/>
  <c r="M1112" i="41"/>
  <c r="AC1114" i="41"/>
  <c r="AE1114" i="41" s="1"/>
  <c r="W1116" i="41"/>
  <c r="P1117" i="41"/>
  <c r="X1116" i="41"/>
  <c r="H1115" i="41"/>
  <c r="G1115" i="41" s="1"/>
  <c r="I1115" i="41"/>
  <c r="W370" i="41"/>
  <c r="X370" i="41"/>
  <c r="P371" i="41"/>
  <c r="R371" i="41"/>
  <c r="AB370" i="41" a="1"/>
  <c r="AB370" i="41" s="1"/>
  <c r="U370" i="41"/>
  <c r="AD369" i="41" s="1"/>
  <c r="Q371" i="41"/>
  <c r="R1117" i="41"/>
  <c r="V1117" i="41" s="1"/>
  <c r="O1117" i="41"/>
  <c r="V370" i="41"/>
  <c r="O371" i="41" s="1"/>
  <c r="I368" i="41"/>
  <c r="H368" i="41"/>
  <c r="G368" i="41" s="1"/>
  <c r="AH1113" i="41"/>
  <c r="AF1113" i="41"/>
  <c r="AG1113" i="41"/>
  <c r="AI1113" i="41"/>
  <c r="AK1113" i="41"/>
  <c r="AJ1113" i="41"/>
  <c r="M369" i="41"/>
  <c r="L369" i="41" s="1"/>
  <c r="AD368" i="41"/>
  <c r="L1111" i="41"/>
  <c r="U1116" i="41"/>
  <c r="AD1115" i="41" s="1"/>
  <c r="Q1117" i="41"/>
  <c r="AC368" i="41"/>
  <c r="AE428" i="41" s="1" a="1"/>
  <c r="AE428" i="41" s="1"/>
  <c r="H369" i="41" l="1"/>
  <c r="G369" i="41" s="1"/>
  <c r="L1112" i="41"/>
  <c r="V371" i="41"/>
  <c r="O372" i="41" s="1"/>
  <c r="T1114" i="41"/>
  <c r="M1113" i="41"/>
  <c r="M370" i="41"/>
  <c r="L370" i="41" s="1"/>
  <c r="AF1114" i="41"/>
  <c r="AJ1114" i="41"/>
  <c r="AG1114" i="41"/>
  <c r="AK1114" i="41"/>
  <c r="AI1114" i="41"/>
  <c r="AH1114" i="41"/>
  <c r="S370" i="41"/>
  <c r="W371" i="41"/>
  <c r="X371" i="41"/>
  <c r="P372" i="41"/>
  <c r="W1117" i="41"/>
  <c r="X1117" i="41"/>
  <c r="P1118" i="41"/>
  <c r="AB371" i="41" a="1"/>
  <c r="AB371" i="41" s="1"/>
  <c r="R1118" i="41"/>
  <c r="AC1115" i="41"/>
  <c r="AB1115" i="41"/>
  <c r="AC369" i="41"/>
  <c r="AE429" i="41" s="1" a="1"/>
  <c r="AE429" i="41" s="1"/>
  <c r="U371" i="41"/>
  <c r="Q372" i="41"/>
  <c r="S1116" i="41"/>
  <c r="AI428" i="41"/>
  <c r="AF428" i="41"/>
  <c r="AG428" i="41"/>
  <c r="AK428" i="41"/>
  <c r="AH428" i="41"/>
  <c r="AJ428" i="41"/>
  <c r="U1117" i="41"/>
  <c r="AD1116" i="41" s="1"/>
  <c r="Q1118" i="41"/>
  <c r="O1118" i="41"/>
  <c r="R372" i="41"/>
  <c r="V372" i="41" s="1"/>
  <c r="S371" i="41" l="1"/>
  <c r="I371" i="41" s="1"/>
  <c r="L1113" i="41"/>
  <c r="AB372" i="41" a="1"/>
  <c r="AB372" i="41" s="1"/>
  <c r="AC1116" i="41"/>
  <c r="AE1116" i="41" s="1"/>
  <c r="M371" i="41"/>
  <c r="L371" i="41" s="1"/>
  <c r="S1117" i="41"/>
  <c r="I1117" i="41" s="1"/>
  <c r="W1118" i="41"/>
  <c r="X1118" i="41"/>
  <c r="P1119" i="41"/>
  <c r="U1118" i="41"/>
  <c r="AD1117" i="41" s="1"/>
  <c r="Q1119" i="41"/>
  <c r="O373" i="41"/>
  <c r="M1114" i="41"/>
  <c r="U372" i="41"/>
  <c r="Q373" i="41"/>
  <c r="AF429" i="41"/>
  <c r="AG429" i="41"/>
  <c r="AI429" i="41"/>
  <c r="AH429" i="41"/>
  <c r="AK429" i="41"/>
  <c r="AJ429" i="41"/>
  <c r="AD370" i="41"/>
  <c r="R373" i="41"/>
  <c r="V373" i="41" s="1"/>
  <c r="H1116" i="41"/>
  <c r="G1116" i="41" s="1"/>
  <c r="I1116" i="41"/>
  <c r="I370" i="41"/>
  <c r="H370" i="41"/>
  <c r="G370" i="41" s="1"/>
  <c r="R1119" i="41"/>
  <c r="V1118" i="41"/>
  <c r="O1119" i="41" s="1"/>
  <c r="AC370" i="41"/>
  <c r="AE430" i="41" s="1" a="1"/>
  <c r="AE430" i="41" s="1"/>
  <c r="AE1115" i="41"/>
  <c r="T1115" i="41"/>
  <c r="AB1116" i="41"/>
  <c r="W372" i="41"/>
  <c r="X372" i="41"/>
  <c r="P373" i="41"/>
  <c r="H371" i="41" l="1"/>
  <c r="G371" i="41" s="1"/>
  <c r="H1117" i="41"/>
  <c r="G1117" i="41" s="1"/>
  <c r="L1114" i="41"/>
  <c r="T1116" i="41"/>
  <c r="V1119" i="41"/>
  <c r="O1120" i="41" s="1"/>
  <c r="S1118" i="41"/>
  <c r="I1118" i="41" s="1"/>
  <c r="AC1117" i="41"/>
  <c r="AE1117" i="41" s="1"/>
  <c r="R1120" i="41"/>
  <c r="AJ430" i="41"/>
  <c r="AG430" i="41"/>
  <c r="AF430" i="41"/>
  <c r="AI430" i="41"/>
  <c r="AH430" i="41"/>
  <c r="AK430" i="41"/>
  <c r="AJ1116" i="41"/>
  <c r="AI1116" i="41"/>
  <c r="AH1116" i="41"/>
  <c r="AK1116" i="41"/>
  <c r="AG1116" i="41"/>
  <c r="AF1116" i="41"/>
  <c r="O374" i="41"/>
  <c r="U373" i="41"/>
  <c r="AD372" i="41" s="1"/>
  <c r="Q374" i="41"/>
  <c r="AF1115" i="41"/>
  <c r="AJ1115" i="41"/>
  <c r="AG1115" i="41"/>
  <c r="AI1115" i="41"/>
  <c r="AK1115" i="41"/>
  <c r="AH1115" i="41"/>
  <c r="R374" i="41"/>
  <c r="V374" i="41" s="1"/>
  <c r="W1119" i="41"/>
  <c r="X1119" i="41"/>
  <c r="P1120" i="41"/>
  <c r="AB373" i="41" a="1"/>
  <c r="AB373" i="41" s="1"/>
  <c r="U1119" i="41"/>
  <c r="AC1118" i="41" s="1"/>
  <c r="Q1120" i="41"/>
  <c r="W373" i="41"/>
  <c r="X373" i="41"/>
  <c r="P374" i="41"/>
  <c r="AC371" i="41"/>
  <c r="AE431" i="41" s="1" a="1"/>
  <c r="AE431" i="41" s="1"/>
  <c r="S372" i="41"/>
  <c r="M372" i="41"/>
  <c r="L372" i="41" s="1"/>
  <c r="AD371" i="41"/>
  <c r="AB1117" i="41"/>
  <c r="V1120" i="41" l="1"/>
  <c r="T1117" i="41"/>
  <c r="H1118" i="41"/>
  <c r="G1118" i="41" s="1"/>
  <c r="M1116" i="41"/>
  <c r="M1115" i="41"/>
  <c r="L1115" i="41" s="1"/>
  <c r="AD1118" i="41"/>
  <c r="R375" i="41"/>
  <c r="V375" i="41" s="1"/>
  <c r="M373" i="41"/>
  <c r="L373" i="41" s="1"/>
  <c r="W374" i="41"/>
  <c r="X374" i="41"/>
  <c r="P375" i="41"/>
  <c r="O375" i="41"/>
  <c r="AE1118" i="41"/>
  <c r="T1118" i="41"/>
  <c r="U374" i="41"/>
  <c r="AD373" i="41" s="1"/>
  <c r="Q375" i="41"/>
  <c r="AB374" i="41" a="1"/>
  <c r="AB374" i="41" s="1"/>
  <c r="AC372" i="41"/>
  <c r="AE432" i="41" s="1" a="1"/>
  <c r="AE432" i="41" s="1"/>
  <c r="W1120" i="41"/>
  <c r="X1120" i="41"/>
  <c r="P1121" i="41"/>
  <c r="AB1118" i="41"/>
  <c r="U1120" i="41"/>
  <c r="AC1119" i="41" s="1"/>
  <c r="Q1121" i="41"/>
  <c r="O1121" i="41"/>
  <c r="I372" i="41"/>
  <c r="H372" i="41"/>
  <c r="G372" i="41" s="1"/>
  <c r="S373" i="41"/>
  <c r="S1119" i="41"/>
  <c r="AG1117" i="41"/>
  <c r="AI1117" i="41"/>
  <c r="AH1117" i="41"/>
  <c r="AJ1117" i="41"/>
  <c r="AK1117" i="41"/>
  <c r="AF1117" i="41"/>
  <c r="AI431" i="41"/>
  <c r="AK431" i="41"/>
  <c r="AG431" i="41"/>
  <c r="AJ431" i="41"/>
  <c r="AF431" i="41"/>
  <c r="AH431" i="41"/>
  <c r="R1121" i="41"/>
  <c r="L1116" i="41" l="1"/>
  <c r="S374" i="41"/>
  <c r="I374" i="41" s="1"/>
  <c r="AC373" i="41"/>
  <c r="AE433" i="41" s="1" a="1"/>
  <c r="AE433" i="41" s="1"/>
  <c r="AG433" i="41" s="1"/>
  <c r="M1117" i="41"/>
  <c r="AD1119" i="41"/>
  <c r="S1120" i="41"/>
  <c r="I1120" i="41" s="1"/>
  <c r="AI1118" i="41"/>
  <c r="AJ1118" i="41"/>
  <c r="AK1118" i="41"/>
  <c r="AH1118" i="41"/>
  <c r="AF1118" i="41"/>
  <c r="AG1118" i="41"/>
  <c r="W375" i="41"/>
  <c r="X375" i="41"/>
  <c r="P376" i="41"/>
  <c r="W1121" i="41"/>
  <c r="X1121" i="41"/>
  <c r="P1122" i="41"/>
  <c r="M374" i="41"/>
  <c r="L374" i="41" s="1"/>
  <c r="AE1119" i="41"/>
  <c r="T1119" i="41"/>
  <c r="U1121" i="41"/>
  <c r="AC1120" i="41" s="1"/>
  <c r="Q1122" i="41"/>
  <c r="AB1119" i="41"/>
  <c r="U375" i="41"/>
  <c r="Q376" i="41"/>
  <c r="R1122" i="41"/>
  <c r="R376" i="41"/>
  <c r="V376" i="41" s="1"/>
  <c r="AF432" i="41"/>
  <c r="AK432" i="41"/>
  <c r="AG432" i="41"/>
  <c r="AJ432" i="41"/>
  <c r="AH432" i="41"/>
  <c r="AI432" i="41"/>
  <c r="I1119" i="41"/>
  <c r="H1119" i="41"/>
  <c r="G1119" i="41" s="1"/>
  <c r="I373" i="41"/>
  <c r="H373" i="41"/>
  <c r="G373" i="41" s="1"/>
  <c r="V1121" i="41"/>
  <c r="O1122" i="41" s="1"/>
  <c r="O376" i="41"/>
  <c r="AB375" i="41" a="1"/>
  <c r="AB375" i="41" s="1"/>
  <c r="H1120" i="41" l="1"/>
  <c r="G1120" i="41" s="1"/>
  <c r="S375" i="41"/>
  <c r="I375" i="41" s="1"/>
  <c r="H374" i="41"/>
  <c r="G374" i="41" s="1"/>
  <c r="V1122" i="41"/>
  <c r="O1123" i="41" s="1"/>
  <c r="L1117" i="41"/>
  <c r="AK433" i="41"/>
  <c r="AF433" i="41"/>
  <c r="AH433" i="41"/>
  <c r="AJ433" i="41"/>
  <c r="AI433" i="41"/>
  <c r="AB376" i="41" a="1"/>
  <c r="AB376" i="41" s="1"/>
  <c r="AD1120" i="41"/>
  <c r="M1118" i="41"/>
  <c r="AC374" i="41"/>
  <c r="AE434" i="41" s="1" a="1"/>
  <c r="AE434" i="41" s="1"/>
  <c r="AI434" i="41" s="1"/>
  <c r="AD374" i="41"/>
  <c r="W1122" i="41"/>
  <c r="X1122" i="41"/>
  <c r="P1123" i="41"/>
  <c r="AE1120" i="41"/>
  <c r="T1120" i="41"/>
  <c r="R1123" i="41"/>
  <c r="R377" i="41"/>
  <c r="V377" i="41" s="1"/>
  <c r="AF1119" i="41"/>
  <c r="AI1119" i="41"/>
  <c r="AK1119" i="41"/>
  <c r="AG1119" i="41"/>
  <c r="AJ1119" i="41"/>
  <c r="AH1119" i="41"/>
  <c r="AB1120" i="41"/>
  <c r="U1122" i="41"/>
  <c r="Q1123" i="41"/>
  <c r="H375" i="41"/>
  <c r="G375" i="41" s="1"/>
  <c r="W376" i="41"/>
  <c r="X376" i="41"/>
  <c r="P377" i="41"/>
  <c r="U376" i="41"/>
  <c r="AD375" i="41" s="1"/>
  <c r="Q377" i="41"/>
  <c r="O377" i="41"/>
  <c r="M375" i="41"/>
  <c r="L375" i="41" s="1"/>
  <c r="S1121" i="41"/>
  <c r="V1123" i="41" l="1"/>
  <c r="O1124" i="41" s="1"/>
  <c r="L1118" i="41"/>
  <c r="AF434" i="41"/>
  <c r="S376" i="41"/>
  <c r="I376" i="41" s="1"/>
  <c r="AJ434" i="41"/>
  <c r="AH434" i="41"/>
  <c r="AG434" i="41"/>
  <c r="AK434" i="41"/>
  <c r="M376" i="41"/>
  <c r="L376" i="41" s="1"/>
  <c r="AC375" i="41"/>
  <c r="AE435" i="41" s="1" a="1"/>
  <c r="AE435" i="41" s="1"/>
  <c r="AI435" i="41" s="1"/>
  <c r="M1119" i="41"/>
  <c r="S1122" i="41"/>
  <c r="I1122" i="41" s="1"/>
  <c r="W1123" i="41"/>
  <c r="X1123" i="41"/>
  <c r="P1124" i="41"/>
  <c r="W377" i="41"/>
  <c r="X377" i="41"/>
  <c r="P378" i="41"/>
  <c r="AK1120" i="41"/>
  <c r="AJ1120" i="41"/>
  <c r="AI1120" i="41"/>
  <c r="AG1120" i="41"/>
  <c r="AH1120" i="41"/>
  <c r="AF1120" i="41"/>
  <c r="O378" i="41"/>
  <c r="AC1121" i="41"/>
  <c r="H1121" i="41"/>
  <c r="G1121" i="41" s="1"/>
  <c r="I1121" i="41"/>
  <c r="AD1121" i="41"/>
  <c r="R1124" i="41"/>
  <c r="V1124" i="41" s="1"/>
  <c r="R378" i="41"/>
  <c r="V378" i="41" s="1"/>
  <c r="U377" i="41"/>
  <c r="S377" i="41" s="1"/>
  <c r="Q378" i="41"/>
  <c r="AB377" i="41" a="1"/>
  <c r="AB377" i="41" s="1"/>
  <c r="AB1121" i="41"/>
  <c r="H376" i="41"/>
  <c r="G376" i="41" s="1"/>
  <c r="U1123" i="41"/>
  <c r="Q1124" i="41"/>
  <c r="L1119" i="41" l="1"/>
  <c r="H1122" i="41"/>
  <c r="G1122" i="41" s="1"/>
  <c r="AK435" i="41"/>
  <c r="AG435" i="41"/>
  <c r="AH435" i="41"/>
  <c r="AF435" i="41"/>
  <c r="AJ435" i="41"/>
  <c r="AB378" i="41" a="1"/>
  <c r="AB378" i="41" s="1"/>
  <c r="I377" i="41"/>
  <c r="H377" i="41"/>
  <c r="G377" i="41" s="1"/>
  <c r="AC376" i="41"/>
  <c r="AE436" i="41" s="1" a="1"/>
  <c r="AE436" i="41" s="1"/>
  <c r="AI436" i="41" s="1"/>
  <c r="M1120" i="41"/>
  <c r="AE1121" i="41"/>
  <c r="T1121" i="41"/>
  <c r="AB1122" i="41"/>
  <c r="W378" i="41"/>
  <c r="X378" i="41"/>
  <c r="P379" i="41"/>
  <c r="AC1122" i="41"/>
  <c r="U378" i="41"/>
  <c r="AD377" i="41" s="1"/>
  <c r="Q379" i="41"/>
  <c r="S1123" i="41"/>
  <c r="M377" i="41"/>
  <c r="L377" i="41" s="1"/>
  <c r="R379" i="41"/>
  <c r="V379" i="41" s="1"/>
  <c r="O379" i="41"/>
  <c r="AD376" i="41"/>
  <c r="AD1122" i="41"/>
  <c r="W1124" i="41"/>
  <c r="X1124" i="41"/>
  <c r="P1125" i="41"/>
  <c r="U1124" i="41"/>
  <c r="AC1123" i="41" s="1"/>
  <c r="Q1125" i="41"/>
  <c r="O1125" i="41"/>
  <c r="R1125" i="41"/>
  <c r="L1120" i="41" l="1"/>
  <c r="AH436" i="41"/>
  <c r="AF436" i="41"/>
  <c r="AK436" i="41"/>
  <c r="AG436" i="41"/>
  <c r="AB1123" i="41"/>
  <c r="AJ436" i="41"/>
  <c r="AD1123" i="41"/>
  <c r="AE1123" i="41"/>
  <c r="T1123" i="41"/>
  <c r="W1125" i="41"/>
  <c r="X1125" i="41"/>
  <c r="P1126" i="41"/>
  <c r="W379" i="41"/>
  <c r="X379" i="41"/>
  <c r="P380" i="41"/>
  <c r="I1123" i="41"/>
  <c r="H1123" i="41"/>
  <c r="G1123" i="41" s="1"/>
  <c r="U1125" i="41"/>
  <c r="Q1126" i="41"/>
  <c r="V1125" i="41"/>
  <c r="O1126" i="41" s="1"/>
  <c r="O380" i="41"/>
  <c r="R380" i="41"/>
  <c r="V380" i="41" s="1"/>
  <c r="AE1122" i="41"/>
  <c r="T1122" i="41"/>
  <c r="S1124" i="41"/>
  <c r="S378" i="41"/>
  <c r="M378" i="41"/>
  <c r="L378" i="41" s="1"/>
  <c r="U379" i="41"/>
  <c r="AD378" i="41" s="1"/>
  <c r="Q380" i="41"/>
  <c r="R1126" i="41"/>
  <c r="AB379" i="41" a="1"/>
  <c r="AB379" i="41" s="1"/>
  <c r="AC377" i="41"/>
  <c r="AE437" i="41" s="1" a="1"/>
  <c r="AE437" i="41" s="1"/>
  <c r="AK1121" i="41"/>
  <c r="AI1121" i="41"/>
  <c r="AF1121" i="41"/>
  <c r="AH1121" i="41"/>
  <c r="AJ1121" i="41"/>
  <c r="AG1121" i="41"/>
  <c r="AC378" i="41" l="1"/>
  <c r="AE438" i="41" s="1" a="1"/>
  <c r="AE438" i="41" s="1"/>
  <c r="AK438" i="41" s="1"/>
  <c r="S1125" i="41"/>
  <c r="I1125" i="41" s="1"/>
  <c r="AC1124" i="41"/>
  <c r="AE1124" i="41" s="1"/>
  <c r="U380" i="41"/>
  <c r="Q381" i="41"/>
  <c r="I378" i="41"/>
  <c r="H378" i="41"/>
  <c r="G378" i="41" s="1"/>
  <c r="M1121" i="41"/>
  <c r="L1121" i="41" s="1"/>
  <c r="I1124" i="41"/>
  <c r="H1124" i="41"/>
  <c r="G1124" i="41" s="1"/>
  <c r="M379" i="41"/>
  <c r="L379" i="41" s="1"/>
  <c r="AG1122" i="41"/>
  <c r="AF1122" i="41"/>
  <c r="AH1122" i="41"/>
  <c r="AI1122" i="41"/>
  <c r="AK1122" i="41"/>
  <c r="AJ1122" i="41"/>
  <c r="R381" i="41"/>
  <c r="AB380" i="41" a="1"/>
  <c r="AB380" i="41" s="1"/>
  <c r="AF437" i="41"/>
  <c r="AJ437" i="41"/>
  <c r="AH437" i="41"/>
  <c r="AI437" i="41"/>
  <c r="AK437" i="41"/>
  <c r="AG437" i="41"/>
  <c r="U1126" i="41"/>
  <c r="AD1125" i="41" s="1"/>
  <c r="Q1127" i="41"/>
  <c r="W1126" i="41"/>
  <c r="X1126" i="41"/>
  <c r="P1127" i="41"/>
  <c r="R1127" i="41"/>
  <c r="V1127" i="41" s="1"/>
  <c r="AI1123" i="41"/>
  <c r="AG1123" i="41"/>
  <c r="AF1123" i="41"/>
  <c r="AJ1123" i="41"/>
  <c r="AH1123" i="41"/>
  <c r="AK1123" i="41"/>
  <c r="W380" i="41"/>
  <c r="X380" i="41"/>
  <c r="P381" i="41"/>
  <c r="S379" i="41"/>
  <c r="H1125" i="41"/>
  <c r="G1125" i="41" s="1"/>
  <c r="AB1124" i="41"/>
  <c r="V1126" i="41"/>
  <c r="O1127" i="41" s="1"/>
  <c r="O381" i="41"/>
  <c r="AD379" i="41"/>
  <c r="AC379" i="41"/>
  <c r="AE439" i="41" s="1" a="1"/>
  <c r="AE439" i="41" s="1"/>
  <c r="AD1124" i="41"/>
  <c r="AI438" i="41" l="1"/>
  <c r="AG438" i="41"/>
  <c r="AH438" i="41"/>
  <c r="AF438" i="41"/>
  <c r="AJ438" i="41"/>
  <c r="AC1125" i="41"/>
  <c r="AE1125" i="41" s="1"/>
  <c r="T1124" i="41"/>
  <c r="M1123" i="41"/>
  <c r="R1128" i="41"/>
  <c r="V1128" i="41" s="1"/>
  <c r="AK1124" i="41"/>
  <c r="AJ1124" i="41"/>
  <c r="AG1124" i="41"/>
  <c r="AF1124" i="41"/>
  <c r="AI1124" i="41"/>
  <c r="AH1124" i="41"/>
  <c r="R382" i="41"/>
  <c r="U381" i="41"/>
  <c r="AC380" i="41" s="1"/>
  <c r="AE440" i="41" s="1" a="1"/>
  <c r="AE440" i="41" s="1"/>
  <c r="Q382" i="41"/>
  <c r="I379" i="41"/>
  <c r="H379" i="41"/>
  <c r="G379" i="41" s="1"/>
  <c r="W381" i="41"/>
  <c r="X381" i="41"/>
  <c r="P382" i="41"/>
  <c r="M380" i="41"/>
  <c r="L380" i="41" s="1"/>
  <c r="AB381" i="41" a="1"/>
  <c r="AB381" i="41" s="1"/>
  <c r="W1127" i="41"/>
  <c r="X1127" i="41"/>
  <c r="P1128" i="41"/>
  <c r="AF439" i="41"/>
  <c r="AK439" i="41"/>
  <c r="AI439" i="41"/>
  <c r="AG439" i="41"/>
  <c r="AH439" i="41"/>
  <c r="AJ439" i="41"/>
  <c r="O1128" i="41"/>
  <c r="S380" i="41"/>
  <c r="S1126" i="41"/>
  <c r="AB1125" i="41"/>
  <c r="U1127" i="41"/>
  <c r="AC1126" i="41" s="1"/>
  <c r="Q1128" i="41"/>
  <c r="M1122" i="41"/>
  <c r="L1122" i="41" s="1"/>
  <c r="V381" i="41"/>
  <c r="O382" i="41" s="1"/>
  <c r="T1125" i="41" l="1"/>
  <c r="L1123" i="41"/>
  <c r="AB1126" i="41"/>
  <c r="AD1126" i="41"/>
  <c r="AD380" i="41"/>
  <c r="M1124" i="41"/>
  <c r="AB382" i="41" a="1"/>
  <c r="AB382" i="41" s="1"/>
  <c r="S381" i="41"/>
  <c r="I381" i="41" s="1"/>
  <c r="W382" i="41"/>
  <c r="X382" i="41"/>
  <c r="P383" i="41"/>
  <c r="U382" i="41"/>
  <c r="AD381" i="41" s="1"/>
  <c r="Q383" i="41"/>
  <c r="I1126" i="41"/>
  <c r="H1126" i="41"/>
  <c r="G1126" i="41" s="1"/>
  <c r="R1129" i="41"/>
  <c r="V1129" i="41" s="1"/>
  <c r="W1128" i="41"/>
  <c r="X1128" i="41"/>
  <c r="P1129" i="41"/>
  <c r="AE1126" i="41"/>
  <c r="T1126" i="41"/>
  <c r="R383" i="41"/>
  <c r="V383" i="41" s="1"/>
  <c r="M381" i="41"/>
  <c r="L381" i="41" s="1"/>
  <c r="S1127" i="41"/>
  <c r="O1129" i="41"/>
  <c r="U1128" i="41"/>
  <c r="Q1129" i="41"/>
  <c r="AJ1125" i="41"/>
  <c r="AH1125" i="41"/>
  <c r="AG1125" i="41"/>
  <c r="AK1125" i="41"/>
  <c r="AF1125" i="41"/>
  <c r="AI1125" i="41"/>
  <c r="I380" i="41"/>
  <c r="H380" i="41"/>
  <c r="G380" i="41" s="1"/>
  <c r="V382" i="41"/>
  <c r="O383" i="41" s="1"/>
  <c r="AJ440" i="41"/>
  <c r="AH440" i="41"/>
  <c r="AI440" i="41"/>
  <c r="AF440" i="41"/>
  <c r="AK440" i="41"/>
  <c r="AG440" i="41"/>
  <c r="H381" i="41" l="1"/>
  <c r="G381" i="41" s="1"/>
  <c r="AB383" i="41" a="1"/>
  <c r="AB383" i="41" s="1"/>
  <c r="L1124" i="41"/>
  <c r="M1125" i="41"/>
  <c r="S382" i="41"/>
  <c r="I382" i="41" s="1"/>
  <c r="W383" i="41"/>
  <c r="X383" i="41"/>
  <c r="P384" i="41"/>
  <c r="AC1127" i="41"/>
  <c r="AD1127" i="41"/>
  <c r="R1130" i="41"/>
  <c r="V1130" i="41" s="1"/>
  <c r="W1129" i="41"/>
  <c r="P1130" i="41"/>
  <c r="X1129" i="41"/>
  <c r="R384" i="41"/>
  <c r="V384" i="41" s="1"/>
  <c r="AB1127" i="41"/>
  <c r="AC381" i="41"/>
  <c r="AE441" i="41" s="1" a="1"/>
  <c r="AE441" i="41" s="1"/>
  <c r="AI1126" i="41"/>
  <c r="AG1126" i="41"/>
  <c r="AF1126" i="41"/>
  <c r="AK1126" i="41"/>
  <c r="AH1126" i="41"/>
  <c r="AJ1126" i="41"/>
  <c r="I1127" i="41"/>
  <c r="H1127" i="41"/>
  <c r="G1127" i="41" s="1"/>
  <c r="S1128" i="41"/>
  <c r="O1130" i="41"/>
  <c r="U383" i="41"/>
  <c r="AC382" i="41" s="1"/>
  <c r="AE442" i="41" s="1" a="1"/>
  <c r="AE442" i="41" s="1"/>
  <c r="Q384" i="41"/>
  <c r="O384" i="41"/>
  <c r="U1129" i="41"/>
  <c r="AD1128" i="41" s="1"/>
  <c r="Q1130" i="41"/>
  <c r="M382" i="41"/>
  <c r="L382" i="41" s="1"/>
  <c r="H382" i="41" l="1"/>
  <c r="G382" i="41" s="1"/>
  <c r="L1125" i="41"/>
  <c r="S383" i="41"/>
  <c r="I383" i="41" s="1"/>
  <c r="AB384" i="41" a="1"/>
  <c r="AB384" i="41" s="1"/>
  <c r="AD382" i="41"/>
  <c r="M1126" i="41"/>
  <c r="AC1128" i="41"/>
  <c r="T1128" i="41" s="1"/>
  <c r="S1129" i="41"/>
  <c r="H1129" i="41" s="1"/>
  <c r="G1129" i="41" s="1"/>
  <c r="AK441" i="41"/>
  <c r="AJ441" i="41"/>
  <c r="AG441" i="41"/>
  <c r="AF441" i="41"/>
  <c r="AI441" i="41"/>
  <c r="AH441" i="41"/>
  <c r="AF442" i="41"/>
  <c r="AI442" i="41"/>
  <c r="AG442" i="41"/>
  <c r="AJ442" i="41"/>
  <c r="AH442" i="41"/>
  <c r="AK442" i="41"/>
  <c r="O1131" i="41"/>
  <c r="U384" i="41"/>
  <c r="Q385" i="41"/>
  <c r="I1128" i="41"/>
  <c r="H1128" i="41"/>
  <c r="G1128" i="41" s="1"/>
  <c r="R385" i="41"/>
  <c r="R1131" i="41"/>
  <c r="W1130" i="41"/>
  <c r="X1130" i="41"/>
  <c r="P1131" i="41"/>
  <c r="W384" i="41"/>
  <c r="X384" i="41"/>
  <c r="P385" i="41"/>
  <c r="AE1127" i="41"/>
  <c r="T1127" i="41"/>
  <c r="AB1128" i="41"/>
  <c r="H383" i="41"/>
  <c r="G383" i="41" s="1"/>
  <c r="O385" i="41"/>
  <c r="U1130" i="41"/>
  <c r="AC1129" i="41" s="1"/>
  <c r="Q1131" i="41"/>
  <c r="M383" i="41"/>
  <c r="L383" i="41" s="1"/>
  <c r="S384" i="41" l="1"/>
  <c r="I384" i="41" s="1"/>
  <c r="L1126" i="41"/>
  <c r="AE1128" i="41"/>
  <c r="AK1128" i="41" s="1"/>
  <c r="AB385" i="41" a="1"/>
  <c r="AB385" i="41" s="1"/>
  <c r="AC383" i="41"/>
  <c r="AE443" i="41" s="1" a="1"/>
  <c r="AE443" i="41" s="1"/>
  <c r="AJ443" i="41" s="1"/>
  <c r="AD383" i="41"/>
  <c r="I1129" i="41"/>
  <c r="AD1129" i="41"/>
  <c r="AB1129" i="41"/>
  <c r="W385" i="41"/>
  <c r="X385" i="41"/>
  <c r="P386" i="41"/>
  <c r="U385" i="41"/>
  <c r="AD384" i="41" s="1"/>
  <c r="Q386" i="41"/>
  <c r="R1132" i="41"/>
  <c r="M384" i="41"/>
  <c r="L384" i="41" s="1"/>
  <c r="AE1129" i="41"/>
  <c r="T1129" i="41"/>
  <c r="V385" i="41"/>
  <c r="O386" i="41" s="1"/>
  <c r="R386" i="41"/>
  <c r="V386" i="41" s="1"/>
  <c r="U1131" i="41"/>
  <c r="AB1130" i="41" s="1"/>
  <c r="Q1132" i="41"/>
  <c r="V1131" i="41"/>
  <c r="O1132" i="41" s="1"/>
  <c r="AH1127" i="41"/>
  <c r="AI1127" i="41"/>
  <c r="AK1127" i="41"/>
  <c r="AJ1127" i="41"/>
  <c r="AF1127" i="41"/>
  <c r="AG1127" i="41"/>
  <c r="W1131" i="41"/>
  <c r="X1131" i="41"/>
  <c r="P1132" i="41"/>
  <c r="S1130" i="41"/>
  <c r="H384" i="41" l="1"/>
  <c r="G384" i="41" s="1"/>
  <c r="AH1128" i="41"/>
  <c r="AF1128" i="41"/>
  <c r="AG1128" i="41"/>
  <c r="AJ1128" i="41"/>
  <c r="AI1128" i="41"/>
  <c r="S1131" i="41"/>
  <c r="I1131" i="41" s="1"/>
  <c r="AH443" i="41"/>
  <c r="AI443" i="41"/>
  <c r="AG443" i="41"/>
  <c r="AF443" i="41"/>
  <c r="AK443" i="41"/>
  <c r="AC384" i="41"/>
  <c r="AE444" i="41" s="1" a="1"/>
  <c r="AE444" i="41" s="1"/>
  <c r="AF444" i="41" s="1"/>
  <c r="R387" i="41"/>
  <c r="V387" i="41" s="1"/>
  <c r="W1132" i="41"/>
  <c r="X1132" i="41"/>
  <c r="P1133" i="41"/>
  <c r="O387" i="41"/>
  <c r="R1133" i="41"/>
  <c r="AF1129" i="41"/>
  <c r="AG1129" i="41"/>
  <c r="AJ1129" i="41"/>
  <c r="AH1129" i="41"/>
  <c r="AK1129" i="41"/>
  <c r="AI1129" i="41"/>
  <c r="H1130" i="41"/>
  <c r="G1130" i="41" s="1"/>
  <c r="I1130" i="41"/>
  <c r="AC1130" i="41"/>
  <c r="AD1130" i="41"/>
  <c r="U386" i="41"/>
  <c r="AD385" i="41" s="1"/>
  <c r="Q387" i="41"/>
  <c r="AB386" i="41" a="1"/>
  <c r="AB386" i="41" s="1"/>
  <c r="W386" i="41"/>
  <c r="X386" i="41"/>
  <c r="P387" i="41"/>
  <c r="U1132" i="41"/>
  <c r="AC1131" i="41" s="1"/>
  <c r="Q1133" i="41"/>
  <c r="M385" i="41"/>
  <c r="L385" i="41" s="1"/>
  <c r="S385" i="41"/>
  <c r="V1132" i="41"/>
  <c r="O1133" i="41" s="1"/>
  <c r="M1127" i="41"/>
  <c r="L1127" i="41" s="1"/>
  <c r="H1131" i="41" l="1"/>
  <c r="G1131" i="41" s="1"/>
  <c r="M1128" i="41"/>
  <c r="L1128" i="41" s="1"/>
  <c r="AK444" i="41"/>
  <c r="AI444" i="41"/>
  <c r="AJ444" i="41"/>
  <c r="AH444" i="41"/>
  <c r="AG444" i="41"/>
  <c r="AD1131" i="41"/>
  <c r="S1132" i="41"/>
  <c r="H1132" i="41" s="1"/>
  <c r="G1132" i="41" s="1"/>
  <c r="M1129" i="41"/>
  <c r="AE1131" i="41"/>
  <c r="T1131" i="41"/>
  <c r="W1133" i="41"/>
  <c r="X1133" i="41"/>
  <c r="P1134" i="41"/>
  <c r="R1134" i="41"/>
  <c r="S386" i="41"/>
  <c r="O388" i="41"/>
  <c r="AE1130" i="41"/>
  <c r="T1130" i="41"/>
  <c r="U387" i="41"/>
  <c r="AC386" i="41" s="1"/>
  <c r="AE446" i="41" s="1" a="1"/>
  <c r="AE446" i="41" s="1"/>
  <c r="Q388" i="41"/>
  <c r="R388" i="41"/>
  <c r="AB387" i="41" a="1"/>
  <c r="AB387" i="41" s="1"/>
  <c r="W387" i="41"/>
  <c r="X387" i="41"/>
  <c r="P388" i="41"/>
  <c r="U1133" i="41"/>
  <c r="Q1134" i="41"/>
  <c r="V1133" i="41"/>
  <c r="O1134" i="41" s="1"/>
  <c r="AB1131" i="41"/>
  <c r="I385" i="41"/>
  <c r="H385" i="41"/>
  <c r="G385" i="41" s="1"/>
  <c r="AC385" i="41"/>
  <c r="AE445" i="41" s="1" a="1"/>
  <c r="AE445" i="41" s="1"/>
  <c r="M386" i="41"/>
  <c r="L386" i="41" s="1"/>
  <c r="V1134" i="41" l="1"/>
  <c r="AD386" i="41"/>
  <c r="S387" i="41"/>
  <c r="I387" i="41" s="1"/>
  <c r="L1129" i="41"/>
  <c r="I1132" i="41"/>
  <c r="S1133" i="41"/>
  <c r="I1133" i="41" s="1"/>
  <c r="AB1132" i="41"/>
  <c r="AD1132" i="41"/>
  <c r="AI446" i="41"/>
  <c r="AH446" i="41"/>
  <c r="AJ446" i="41"/>
  <c r="AK446" i="41"/>
  <c r="AG446" i="41"/>
  <c r="AF446" i="41"/>
  <c r="R389" i="41"/>
  <c r="V389" i="41" s="1"/>
  <c r="AG445" i="41"/>
  <c r="AK445" i="41"/>
  <c r="AH445" i="41"/>
  <c r="AF445" i="41"/>
  <c r="AJ445" i="41"/>
  <c r="AI445" i="41"/>
  <c r="R1135" i="41"/>
  <c r="V1135" i="41" s="1"/>
  <c r="AC1132" i="41"/>
  <c r="M387" i="41"/>
  <c r="L387" i="41" s="1"/>
  <c r="W1134" i="41"/>
  <c r="X1134" i="41"/>
  <c r="P1135" i="41"/>
  <c r="AJ1130" i="41"/>
  <c r="AK1130" i="41"/>
  <c r="AI1130" i="41"/>
  <c r="AF1130" i="41"/>
  <c r="AH1130" i="41"/>
  <c r="AG1130" i="41"/>
  <c r="U388" i="41"/>
  <c r="Q389" i="41"/>
  <c r="W388" i="41"/>
  <c r="X388" i="41"/>
  <c r="P389" i="41"/>
  <c r="I386" i="41"/>
  <c r="H386" i="41"/>
  <c r="G386" i="41" s="1"/>
  <c r="AB388" i="41" a="1"/>
  <c r="AB388" i="41" s="1"/>
  <c r="O1135" i="41"/>
  <c r="V388" i="41"/>
  <c r="O389" i="41" s="1"/>
  <c r="U1134" i="41"/>
  <c r="AD1133" i="41" s="1"/>
  <c r="Q1135" i="41"/>
  <c r="AK1131" i="41"/>
  <c r="AI1131" i="41"/>
  <c r="AF1131" i="41"/>
  <c r="AG1131" i="41"/>
  <c r="AJ1131" i="41"/>
  <c r="AH1131" i="41"/>
  <c r="H387" i="41" l="1"/>
  <c r="G387" i="41" s="1"/>
  <c r="S388" i="41"/>
  <c r="I388" i="41" s="1"/>
  <c r="H1133" i="41"/>
  <c r="G1133" i="41" s="1"/>
  <c r="M1131" i="41"/>
  <c r="M1130" i="41"/>
  <c r="L1130" i="41" s="1"/>
  <c r="AD387" i="41"/>
  <c r="AC387" i="41"/>
  <c r="AE447" i="41" s="1" a="1"/>
  <c r="AE447" i="41" s="1"/>
  <c r="AF447" i="41" s="1"/>
  <c r="AB1133" i="41"/>
  <c r="AB389" i="41" a="1"/>
  <c r="AB389" i="41" s="1"/>
  <c r="W389" i="41"/>
  <c r="X389" i="41"/>
  <c r="P390" i="41"/>
  <c r="O1136" i="41"/>
  <c r="M388" i="41"/>
  <c r="L388" i="41" s="1"/>
  <c r="R1136" i="41"/>
  <c r="W1135" i="41"/>
  <c r="X1135" i="41"/>
  <c r="P1136" i="41"/>
  <c r="AE1132" i="41"/>
  <c r="T1132" i="41"/>
  <c r="R390" i="41"/>
  <c r="U1135" i="41"/>
  <c r="AC1134" i="41" s="1"/>
  <c r="Q1136" i="41"/>
  <c r="S1134" i="41"/>
  <c r="AC1133" i="41"/>
  <c r="O390" i="41"/>
  <c r="U389" i="41"/>
  <c r="S389" i="41" s="1"/>
  <c r="I389" i="41" s="1"/>
  <c r="Q390" i="41"/>
  <c r="H388" i="41" l="1"/>
  <c r="G388" i="41" s="1"/>
  <c r="L1131" i="41"/>
  <c r="AB1134" i="41"/>
  <c r="AD1134" i="41"/>
  <c r="AJ447" i="41"/>
  <c r="AK447" i="41"/>
  <c r="AH447" i="41"/>
  <c r="AG447" i="41"/>
  <c r="AI447" i="41"/>
  <c r="S1135" i="41"/>
  <c r="H1135" i="41" s="1"/>
  <c r="G1135" i="41" s="1"/>
  <c r="W390" i="41"/>
  <c r="X390" i="41"/>
  <c r="P391" i="41"/>
  <c r="AE1134" i="41"/>
  <c r="T1134" i="41"/>
  <c r="U1136" i="41"/>
  <c r="AB1135" i="41" s="1"/>
  <c r="Q1137" i="41"/>
  <c r="W1136" i="41"/>
  <c r="X1136" i="41"/>
  <c r="P1137" i="41"/>
  <c r="AE1133" i="41"/>
  <c r="T1133" i="41"/>
  <c r="I1134" i="41"/>
  <c r="H1134" i="41"/>
  <c r="G1134" i="41" s="1"/>
  <c r="V1136" i="41"/>
  <c r="O1137" i="41" s="1"/>
  <c r="U390" i="41"/>
  <c r="AD389" i="41" s="1"/>
  <c r="Q391" i="41"/>
  <c r="R391" i="41"/>
  <c r="H389" i="41"/>
  <c r="G389" i="41" s="1"/>
  <c r="V390" i="41"/>
  <c r="O391" i="41" s="1"/>
  <c r="AB390" i="41" a="1"/>
  <c r="AB390" i="41" s="1"/>
  <c r="AC388" i="41"/>
  <c r="AE448" i="41" s="1" a="1"/>
  <c r="AE448" i="41" s="1"/>
  <c r="R1137" i="41"/>
  <c r="V1137" i="41" s="1"/>
  <c r="AD388" i="41"/>
  <c r="AF1132" i="41"/>
  <c r="AG1132" i="41"/>
  <c r="AH1132" i="41"/>
  <c r="AI1132" i="41"/>
  <c r="AJ1132" i="41"/>
  <c r="AK1132" i="41"/>
  <c r="M389" i="41"/>
  <c r="L389" i="41" s="1"/>
  <c r="V391" i="41" l="1"/>
  <c r="O392" i="41" s="1"/>
  <c r="I1135" i="41"/>
  <c r="AB391" i="41" a="1"/>
  <c r="AB391" i="41" s="1"/>
  <c r="M1132" i="41"/>
  <c r="L1132" i="41" s="1"/>
  <c r="AD1135" i="41"/>
  <c r="AC1135" i="41"/>
  <c r="T1135" i="41" s="1"/>
  <c r="S1136" i="41"/>
  <c r="W1137" i="41"/>
  <c r="X1137" i="41"/>
  <c r="P1138" i="41"/>
  <c r="AJ1133" i="41"/>
  <c r="AK1133" i="41"/>
  <c r="AI1133" i="41"/>
  <c r="AH1133" i="41"/>
  <c r="AF1133" i="41"/>
  <c r="AG1133" i="41"/>
  <c r="AI1134" i="41"/>
  <c r="AF1134" i="41"/>
  <c r="AG1134" i="41"/>
  <c r="AK1134" i="41"/>
  <c r="AH1134" i="41"/>
  <c r="AJ1134" i="41"/>
  <c r="R392" i="41"/>
  <c r="V392" i="41" s="1"/>
  <c r="W391" i="41"/>
  <c r="X391" i="41"/>
  <c r="P392" i="41"/>
  <c r="R1138" i="41"/>
  <c r="V1138" i="41" s="1"/>
  <c r="U1137" i="41"/>
  <c r="AD1136" i="41" s="1"/>
  <c r="Q1138" i="41"/>
  <c r="M390" i="41"/>
  <c r="L390" i="41" s="1"/>
  <c r="AF448" i="41"/>
  <c r="AH448" i="41"/>
  <c r="AK448" i="41"/>
  <c r="AG448" i="41"/>
  <c r="AJ448" i="41"/>
  <c r="AI448" i="41"/>
  <c r="S390" i="41"/>
  <c r="AC389" i="41"/>
  <c r="AE449" i="41" s="1" a="1"/>
  <c r="AE449" i="41" s="1"/>
  <c r="O1138" i="41"/>
  <c r="U391" i="41"/>
  <c r="Q392" i="41"/>
  <c r="S391" i="41" l="1"/>
  <c r="H391" i="41" s="1"/>
  <c r="G391" i="41" s="1"/>
  <c r="AE1135" i="41"/>
  <c r="AI1135" i="41" s="1"/>
  <c r="M1134" i="41"/>
  <c r="M1133" i="41"/>
  <c r="L1133" i="41" s="1"/>
  <c r="AB392" i="41" a="1"/>
  <c r="AB392" i="41" s="1"/>
  <c r="I1136" i="41"/>
  <c r="H1136" i="41"/>
  <c r="G1136" i="41" s="1"/>
  <c r="AC390" i="41"/>
  <c r="AE450" i="41" s="1" a="1"/>
  <c r="AE450" i="41" s="1"/>
  <c r="AF450" i="41" s="1"/>
  <c r="U392" i="41"/>
  <c r="AC391" i="41" s="1"/>
  <c r="AE451" i="41" s="1" a="1"/>
  <c r="AE451" i="41" s="1"/>
  <c r="Q393" i="41"/>
  <c r="AC1136" i="41"/>
  <c r="O1139" i="41"/>
  <c r="O393" i="41"/>
  <c r="AB1136" i="41"/>
  <c r="W392" i="41"/>
  <c r="P393" i="41"/>
  <c r="X392" i="41"/>
  <c r="U1138" i="41"/>
  <c r="AD1137" i="41" s="1"/>
  <c r="Q1139" i="41"/>
  <c r="W1138" i="41"/>
  <c r="X1138" i="41"/>
  <c r="P1139" i="41"/>
  <c r="R1139" i="41"/>
  <c r="R393" i="41"/>
  <c r="S1137" i="41"/>
  <c r="AH449" i="41"/>
  <c r="AK449" i="41"/>
  <c r="AG449" i="41"/>
  <c r="AJ449" i="41"/>
  <c r="AI449" i="41"/>
  <c r="AF449" i="41"/>
  <c r="I390" i="41"/>
  <c r="H390" i="41"/>
  <c r="G390" i="41" s="1"/>
  <c r="AD390" i="41"/>
  <c r="M391" i="41"/>
  <c r="L391" i="41" s="1"/>
  <c r="I391" i="41" l="1"/>
  <c r="AF1135" i="41"/>
  <c r="AG1135" i="41"/>
  <c r="AK1135" i="41"/>
  <c r="AJ1135" i="41"/>
  <c r="AH1135" i="41"/>
  <c r="AC1137" i="41"/>
  <c r="AE1137" i="41" s="1"/>
  <c r="AB1137" i="41"/>
  <c r="AK450" i="41"/>
  <c r="L1134" i="41"/>
  <c r="S392" i="41"/>
  <c r="I392" i="41" s="1"/>
  <c r="AD391" i="41"/>
  <c r="AG450" i="41"/>
  <c r="AI450" i="41"/>
  <c r="AB393" i="41" a="1"/>
  <c r="AB393" i="41" s="1"/>
  <c r="AH450" i="41"/>
  <c r="AJ450" i="41"/>
  <c r="M392" i="41"/>
  <c r="L392" i="41" s="1"/>
  <c r="AK451" i="41"/>
  <c r="AG451" i="41"/>
  <c r="AJ451" i="41"/>
  <c r="AH451" i="41"/>
  <c r="AF451" i="41"/>
  <c r="AI451" i="41"/>
  <c r="T1137" i="41"/>
  <c r="U393" i="41"/>
  <c r="AD392" i="41" s="1"/>
  <c r="Q394" i="41"/>
  <c r="AE1136" i="41"/>
  <c r="T1136" i="41"/>
  <c r="W393" i="41"/>
  <c r="X393" i="41"/>
  <c r="P394" i="41"/>
  <c r="V393" i="41"/>
  <c r="O394" i="41" s="1"/>
  <c r="U1139" i="41"/>
  <c r="AC1138" i="41" s="1"/>
  <c r="Q1140" i="41"/>
  <c r="W1139" i="41"/>
  <c r="X1139" i="41"/>
  <c r="P1140" i="41"/>
  <c r="S1138" i="41"/>
  <c r="H1137" i="41"/>
  <c r="G1137" i="41" s="1"/>
  <c r="I1137" i="41"/>
  <c r="R1140" i="41"/>
  <c r="R394" i="41"/>
  <c r="V1139" i="41"/>
  <c r="O1140" i="41" s="1"/>
  <c r="M1135" i="41" l="1"/>
  <c r="L1135" i="41" s="1"/>
  <c r="H392" i="41"/>
  <c r="G392" i="41" s="1"/>
  <c r="AD1138" i="41"/>
  <c r="V1140" i="41"/>
  <c r="O1141" i="41" s="1"/>
  <c r="AB394" i="41" a="1"/>
  <c r="AB394" i="41" s="1"/>
  <c r="S393" i="41"/>
  <c r="I393" i="41" s="1"/>
  <c r="W1140" i="41"/>
  <c r="X1140" i="41"/>
  <c r="P1141" i="41"/>
  <c r="W394" i="41"/>
  <c r="X394" i="41"/>
  <c r="P395" i="41"/>
  <c r="AG1137" i="41"/>
  <c r="AJ1137" i="41"/>
  <c r="AH1137" i="41"/>
  <c r="AI1137" i="41"/>
  <c r="AK1137" i="41"/>
  <c r="AF1137" i="41"/>
  <c r="R395" i="41"/>
  <c r="M393" i="41"/>
  <c r="L393" i="41" s="1"/>
  <c r="AK1136" i="41"/>
  <c r="AF1136" i="41"/>
  <c r="AH1136" i="41"/>
  <c r="AG1136" i="41"/>
  <c r="AJ1136" i="41"/>
  <c r="AI1136" i="41"/>
  <c r="H1138" i="41"/>
  <c r="G1138" i="41" s="1"/>
  <c r="I1138" i="41"/>
  <c r="AE1138" i="41"/>
  <c r="T1138" i="41"/>
  <c r="U394" i="41"/>
  <c r="Q395" i="41"/>
  <c r="U1140" i="41"/>
  <c r="AD1139" i="41" s="1"/>
  <c r="Q1141" i="41"/>
  <c r="V394" i="41"/>
  <c r="O395" i="41" s="1"/>
  <c r="AC392" i="41"/>
  <c r="AE452" i="41" s="1" a="1"/>
  <c r="AE452" i="41" s="1"/>
  <c r="AB1138" i="41"/>
  <c r="R1141" i="41"/>
  <c r="V1141" i="41" s="1"/>
  <c r="S1139" i="41"/>
  <c r="H393" i="41" l="1"/>
  <c r="G393" i="41" s="1"/>
  <c r="M1137" i="41"/>
  <c r="V395" i="41"/>
  <c r="M1136" i="41"/>
  <c r="L1136" i="41" s="1"/>
  <c r="AC1139" i="41"/>
  <c r="AE1139" i="41" s="1"/>
  <c r="W395" i="41"/>
  <c r="X395" i="41"/>
  <c r="P396" i="41"/>
  <c r="W1141" i="41"/>
  <c r="X1141" i="41"/>
  <c r="P1142" i="41"/>
  <c r="R396" i="41"/>
  <c r="V396" i="41" s="1"/>
  <c r="Q396" i="41"/>
  <c r="U395" i="41"/>
  <c r="AD394" i="41" s="1"/>
  <c r="M394" i="41"/>
  <c r="L394" i="41" s="1"/>
  <c r="R1142" i="41"/>
  <c r="V1142" i="41" s="1"/>
  <c r="I1139" i="41"/>
  <c r="H1139" i="41"/>
  <c r="G1139" i="41" s="1"/>
  <c r="U1141" i="41"/>
  <c r="AD1140" i="41" s="1"/>
  <c r="Q1142" i="41"/>
  <c r="S1140" i="41"/>
  <c r="AJ452" i="41"/>
  <c r="AK452" i="41"/>
  <c r="AG452" i="41"/>
  <c r="AI452" i="41"/>
  <c r="AF452" i="41"/>
  <c r="AH452" i="41"/>
  <c r="AI1138" i="41"/>
  <c r="AK1138" i="41"/>
  <c r="AG1138" i="41"/>
  <c r="AJ1138" i="41"/>
  <c r="AF1138" i="41"/>
  <c r="AH1138" i="41"/>
  <c r="AB395" i="41" a="1"/>
  <c r="AB395" i="41" s="1"/>
  <c r="AD393" i="41"/>
  <c r="S394" i="41"/>
  <c r="O1142" i="41"/>
  <c r="AB1139" i="41"/>
  <c r="O396" i="41"/>
  <c r="AC393" i="41"/>
  <c r="AE453" i="41" s="1" a="1"/>
  <c r="AE453" i="41" s="1"/>
  <c r="AC394" i="41" l="1"/>
  <c r="AE454" i="41" s="1" a="1"/>
  <c r="AE454" i="41" s="1"/>
  <c r="AG454" i="41" s="1"/>
  <c r="AB396" i="41" a="1"/>
  <c r="AB396" i="41" s="1"/>
  <c r="S395" i="41"/>
  <c r="I395" i="41" s="1"/>
  <c r="L1137" i="41"/>
  <c r="M1138" i="41"/>
  <c r="T1139" i="41"/>
  <c r="W1142" i="41"/>
  <c r="X1142" i="41"/>
  <c r="P1143" i="41"/>
  <c r="U1142" i="41"/>
  <c r="AC1141" i="41" s="1"/>
  <c r="Q1143" i="41"/>
  <c r="R1143" i="41"/>
  <c r="V1143" i="41" s="1"/>
  <c r="I394" i="41"/>
  <c r="H394" i="41"/>
  <c r="G394" i="41" s="1"/>
  <c r="R397" i="41"/>
  <c r="S1141" i="41"/>
  <c r="AI1139" i="41"/>
  <c r="AK1139" i="41"/>
  <c r="AH1139" i="41"/>
  <c r="AF1139" i="41"/>
  <c r="AG1139" i="41"/>
  <c r="AJ1139" i="41"/>
  <c r="W396" i="41"/>
  <c r="X396" i="41"/>
  <c r="P397" i="41"/>
  <c r="U396" i="41"/>
  <c r="AC395" i="41" s="1"/>
  <c r="AE455" i="41" s="1" a="1"/>
  <c r="AE455" i="41" s="1"/>
  <c r="Q397" i="41"/>
  <c r="AB1140" i="41"/>
  <c r="AC1140" i="41"/>
  <c r="I1140" i="41"/>
  <c r="H1140" i="41"/>
  <c r="G1140" i="41" s="1"/>
  <c r="AI453" i="41"/>
  <c r="AH453" i="41"/>
  <c r="AK453" i="41"/>
  <c r="AJ453" i="41"/>
  <c r="AF453" i="41"/>
  <c r="AG453" i="41"/>
  <c r="O1143" i="41"/>
  <c r="O397" i="41"/>
  <c r="M395" i="41"/>
  <c r="L395" i="41" s="1"/>
  <c r="AH454" i="41" l="1"/>
  <c r="AF454" i="41"/>
  <c r="AJ454" i="41"/>
  <c r="AI454" i="41"/>
  <c r="AK454" i="41"/>
  <c r="H395" i="41"/>
  <c r="G395" i="41" s="1"/>
  <c r="S396" i="41"/>
  <c r="I396" i="41" s="1"/>
  <c r="L1138" i="41"/>
  <c r="M1139" i="41"/>
  <c r="AD395" i="41"/>
  <c r="AE1141" i="41"/>
  <c r="T1141" i="41"/>
  <c r="AK455" i="41"/>
  <c r="AJ455" i="41"/>
  <c r="AH455" i="41"/>
  <c r="AG455" i="41"/>
  <c r="AI455" i="41"/>
  <c r="AF455" i="41"/>
  <c r="O1144" i="41"/>
  <c r="R398" i="41"/>
  <c r="V398" i="41" s="1"/>
  <c r="R1144" i="41"/>
  <c r="V1144" i="41" s="1"/>
  <c r="W1143" i="41"/>
  <c r="X1143" i="41"/>
  <c r="P1144" i="41"/>
  <c r="I1141" i="41"/>
  <c r="H1141" i="41"/>
  <c r="G1141" i="41" s="1"/>
  <c r="AE1140" i="41"/>
  <c r="T1140" i="41"/>
  <c r="AB397" i="41" a="1"/>
  <c r="AB397" i="41" s="1"/>
  <c r="W397" i="41"/>
  <c r="X397" i="41"/>
  <c r="P398" i="41"/>
  <c r="U397" i="41"/>
  <c r="Q398" i="41"/>
  <c r="M396" i="41"/>
  <c r="L396" i="41" s="1"/>
  <c r="V397" i="41"/>
  <c r="O398" i="41" s="1"/>
  <c r="S1142" i="41"/>
  <c r="AB1141" i="41"/>
  <c r="AD1141" i="41"/>
  <c r="U1143" i="41"/>
  <c r="AB1142" i="41" s="1"/>
  <c r="Q1144" i="41"/>
  <c r="S397" i="41" l="1"/>
  <c r="I397" i="41" s="1"/>
  <c r="H396" i="41"/>
  <c r="G396" i="41" s="1"/>
  <c r="L1139" i="41"/>
  <c r="W398" i="41"/>
  <c r="X398" i="41"/>
  <c r="P399" i="41"/>
  <c r="S1143" i="41"/>
  <c r="O399" i="41"/>
  <c r="AB398" i="41" a="1"/>
  <c r="AB398" i="41" s="1"/>
  <c r="AI1140" i="41"/>
  <c r="AJ1140" i="41"/>
  <c r="AF1140" i="41"/>
  <c r="AH1140" i="41"/>
  <c r="AK1140" i="41"/>
  <c r="AG1140" i="41"/>
  <c r="W1144" i="41"/>
  <c r="X1144" i="41"/>
  <c r="P1145" i="41"/>
  <c r="AD1142" i="41"/>
  <c r="R1145" i="41"/>
  <c r="V1145" i="41" s="1"/>
  <c r="U398" i="41"/>
  <c r="AD397" i="41" s="1"/>
  <c r="Q399" i="41"/>
  <c r="R399" i="41"/>
  <c r="V399" i="41" s="1"/>
  <c r="M397" i="41"/>
  <c r="L397" i="41" s="1"/>
  <c r="AC1142" i="41"/>
  <c r="I1142" i="41"/>
  <c r="H1142" i="41"/>
  <c r="G1142" i="41" s="1"/>
  <c r="AD396" i="41"/>
  <c r="U1144" i="41"/>
  <c r="AB1143" i="41" s="1"/>
  <c r="Q1145" i="41"/>
  <c r="O1145" i="41"/>
  <c r="AC396" i="41"/>
  <c r="AE456" i="41" s="1" a="1"/>
  <c r="AE456" i="41" s="1"/>
  <c r="AF1141" i="41"/>
  <c r="AG1141" i="41"/>
  <c r="AI1141" i="41"/>
  <c r="AJ1141" i="41"/>
  <c r="AH1141" i="41"/>
  <c r="AK1141" i="41"/>
  <c r="H397" i="41" l="1"/>
  <c r="G397" i="41" s="1"/>
  <c r="AC397" i="41"/>
  <c r="AE457" i="41" s="1" a="1"/>
  <c r="AE457" i="41" s="1"/>
  <c r="AF457" i="41" s="1"/>
  <c r="M1141" i="41"/>
  <c r="M1140" i="41"/>
  <c r="L1140" i="41" s="1"/>
  <c r="AB399" i="41" a="1"/>
  <c r="AB399" i="41" s="1"/>
  <c r="W1145" i="41"/>
  <c r="X1145" i="41"/>
  <c r="P1146" i="41"/>
  <c r="R400" i="41"/>
  <c r="V400" i="41" s="1"/>
  <c r="M398" i="41"/>
  <c r="L398" i="41" s="1"/>
  <c r="H1143" i="41"/>
  <c r="G1143" i="41" s="1"/>
  <c r="I1143" i="41"/>
  <c r="O1146" i="41"/>
  <c r="AC1143" i="41"/>
  <c r="U1145" i="41"/>
  <c r="AC1144" i="41" s="1"/>
  <c r="Q1146" i="41"/>
  <c r="AD1143" i="41"/>
  <c r="S1144" i="41"/>
  <c r="O400" i="41"/>
  <c r="AE1142" i="41"/>
  <c r="T1142" i="41"/>
  <c r="R1146" i="41"/>
  <c r="W399" i="41"/>
  <c r="X399" i="41"/>
  <c r="P400" i="41"/>
  <c r="AG456" i="41"/>
  <c r="AI456" i="41"/>
  <c r="AF456" i="41"/>
  <c r="AH456" i="41"/>
  <c r="AK456" i="41"/>
  <c r="AJ456" i="41"/>
  <c r="U399" i="41"/>
  <c r="AC398" i="41" s="1"/>
  <c r="AE458" i="41" s="1" a="1"/>
  <c r="AE458" i="41" s="1"/>
  <c r="Q400" i="41"/>
  <c r="S398" i="41"/>
  <c r="AK457" i="41" l="1"/>
  <c r="AI457" i="41"/>
  <c r="AJ457" i="41"/>
  <c r="AG457" i="41"/>
  <c r="AH457" i="41"/>
  <c r="S1145" i="41"/>
  <c r="I1145" i="41" s="1"/>
  <c r="L1141" i="41"/>
  <c r="S399" i="41"/>
  <c r="I399" i="41" s="1"/>
  <c r="AD1144" i="41"/>
  <c r="AB1144" i="41"/>
  <c r="AD398" i="41"/>
  <c r="AE1144" i="41"/>
  <c r="T1144" i="41"/>
  <c r="R1147" i="41"/>
  <c r="AH458" i="41"/>
  <c r="AJ458" i="41"/>
  <c r="AI458" i="41"/>
  <c r="AF458" i="41"/>
  <c r="AK458" i="41"/>
  <c r="AG458" i="41"/>
  <c r="W400" i="41"/>
  <c r="X400" i="41"/>
  <c r="P401" i="41"/>
  <c r="R401" i="41"/>
  <c r="V401" i="41" s="1"/>
  <c r="AB400" i="41" a="1"/>
  <c r="AB400" i="41" s="1"/>
  <c r="O401" i="41"/>
  <c r="M399" i="41"/>
  <c r="L399" i="41" s="1"/>
  <c r="U400" i="41"/>
  <c r="AD399" i="41" s="1"/>
  <c r="Q401" i="41"/>
  <c r="I398" i="41"/>
  <c r="H398" i="41"/>
  <c r="G398" i="41" s="1"/>
  <c r="U1146" i="41"/>
  <c r="Q1147" i="41"/>
  <c r="AE1143" i="41"/>
  <c r="T1143" i="41"/>
  <c r="AF1142" i="41"/>
  <c r="AG1142" i="41"/>
  <c r="AH1142" i="41"/>
  <c r="AI1142" i="41"/>
  <c r="AK1142" i="41"/>
  <c r="AJ1142" i="41"/>
  <c r="H1144" i="41"/>
  <c r="G1144" i="41" s="1"/>
  <c r="I1144" i="41"/>
  <c r="W1146" i="41"/>
  <c r="X1146" i="41"/>
  <c r="P1147" i="41"/>
  <c r="V1146" i="41"/>
  <c r="O1147" i="41" s="1"/>
  <c r="H1145" i="41" l="1"/>
  <c r="G1145" i="41" s="1"/>
  <c r="S1146" i="41"/>
  <c r="H1146" i="41" s="1"/>
  <c r="G1146" i="41" s="1"/>
  <c r="H399" i="41"/>
  <c r="G399" i="41" s="1"/>
  <c r="S400" i="41"/>
  <c r="I400" i="41" s="1"/>
  <c r="AB401" i="41" a="1"/>
  <c r="AB401" i="41" s="1"/>
  <c r="M1142" i="41"/>
  <c r="L1142" i="41" s="1"/>
  <c r="V1147" i="41"/>
  <c r="O1148" i="41" s="1"/>
  <c r="W1147" i="41"/>
  <c r="X1147" i="41"/>
  <c r="P1148" i="41"/>
  <c r="W401" i="41"/>
  <c r="X401" i="41"/>
  <c r="P402" i="41"/>
  <c r="AG1143" i="41"/>
  <c r="AF1143" i="41"/>
  <c r="AH1143" i="41"/>
  <c r="AK1143" i="41"/>
  <c r="AI1143" i="41"/>
  <c r="AJ1143" i="41"/>
  <c r="U1147" i="41"/>
  <c r="Q1148" i="41"/>
  <c r="O402" i="41"/>
  <c r="I1146" i="41"/>
  <c r="R402" i="41"/>
  <c r="V402" i="41" s="1"/>
  <c r="AC399" i="41"/>
  <c r="AE459" i="41" s="1" a="1"/>
  <c r="AE459" i="41" s="1"/>
  <c r="AI1144" i="41"/>
  <c r="AK1144" i="41"/>
  <c r="AF1144" i="41"/>
  <c r="AG1144" i="41"/>
  <c r="AH1144" i="41"/>
  <c r="AJ1144" i="41"/>
  <c r="AB1145" i="41"/>
  <c r="AC1145" i="41"/>
  <c r="AD1145" i="41"/>
  <c r="U401" i="41"/>
  <c r="AD400" i="41" s="1"/>
  <c r="Q402" i="41"/>
  <c r="R1148" i="41"/>
  <c r="V1148" i="41" s="1"/>
  <c r="H400" i="41"/>
  <c r="G400" i="41" s="1"/>
  <c r="M400" i="41"/>
  <c r="L400" i="41" s="1"/>
  <c r="S1147" i="41" l="1"/>
  <c r="H1147" i="41" s="1"/>
  <c r="G1147" i="41" s="1"/>
  <c r="AC400" i="41"/>
  <c r="AE460" i="41" s="1" a="1"/>
  <c r="AE460" i="41" s="1"/>
  <c r="AF460" i="41" s="1"/>
  <c r="M1144" i="41"/>
  <c r="AB402" i="41" a="1"/>
  <c r="AB402" i="41" s="1"/>
  <c r="M1143" i="41"/>
  <c r="L1143" i="41" s="1"/>
  <c r="I1147" i="41"/>
  <c r="O1149" i="41"/>
  <c r="M401" i="41"/>
  <c r="L401" i="41" s="1"/>
  <c r="O403" i="41"/>
  <c r="AB1146" i="41"/>
  <c r="W1148" i="41"/>
  <c r="X1148" i="41"/>
  <c r="P1149" i="41"/>
  <c r="U402" i="41"/>
  <c r="AC401" i="41" s="1"/>
  <c r="AE461" i="41" s="1" a="1"/>
  <c r="AE461" i="41" s="1"/>
  <c r="Q403" i="41"/>
  <c r="R1149" i="41"/>
  <c r="R403" i="41"/>
  <c r="AK459" i="41"/>
  <c r="AJ459" i="41"/>
  <c r="AF459" i="41"/>
  <c r="AH459" i="41"/>
  <c r="AG459" i="41"/>
  <c r="AI459" i="41"/>
  <c r="AC1146" i="41"/>
  <c r="AD1146" i="41"/>
  <c r="AE1145" i="41"/>
  <c r="T1145" i="41"/>
  <c r="W402" i="41"/>
  <c r="X402" i="41"/>
  <c r="P403" i="41"/>
  <c r="U1148" i="41"/>
  <c r="Q1149" i="41"/>
  <c r="S401" i="41"/>
  <c r="AI460" i="41" l="1"/>
  <c r="AH460" i="41"/>
  <c r="AK460" i="41"/>
  <c r="AJ460" i="41"/>
  <c r="AG460" i="41"/>
  <c r="L1144" i="41"/>
  <c r="AD401" i="41"/>
  <c r="S402" i="41"/>
  <c r="I402" i="41" s="1"/>
  <c r="R404" i="41"/>
  <c r="V404" i="41" s="1"/>
  <c r="U403" i="41"/>
  <c r="Q404" i="41"/>
  <c r="U1149" i="41"/>
  <c r="AC1148" i="41" s="1"/>
  <c r="Q1150" i="41"/>
  <c r="W403" i="41"/>
  <c r="X403" i="41"/>
  <c r="P404" i="41"/>
  <c r="W1149" i="41"/>
  <c r="X1149" i="41"/>
  <c r="P1150" i="41"/>
  <c r="AF1145" i="41"/>
  <c r="AK1145" i="41"/>
  <c r="AI1145" i="41"/>
  <c r="AJ1145" i="41"/>
  <c r="AG1145" i="41"/>
  <c r="AH1145" i="41"/>
  <c r="AE1146" i="41"/>
  <c r="T1146" i="41"/>
  <c r="S1148" i="41"/>
  <c r="AB403" i="41" a="1"/>
  <c r="AB403" i="41" s="1"/>
  <c r="M402" i="41"/>
  <c r="L402" i="41" s="1"/>
  <c r="AI461" i="41"/>
  <c r="AG461" i="41"/>
  <c r="AF461" i="41"/>
  <c r="AK461" i="41"/>
  <c r="AJ461" i="41"/>
  <c r="AH461" i="41"/>
  <c r="V403" i="41"/>
  <c r="O404" i="41" s="1"/>
  <c r="AD1147" i="41"/>
  <c r="I401" i="41"/>
  <c r="H401" i="41"/>
  <c r="G401" i="41" s="1"/>
  <c r="AC1147" i="41"/>
  <c r="AB1147" i="41"/>
  <c r="R1150" i="41"/>
  <c r="V1149" i="41"/>
  <c r="O1150" i="41" s="1"/>
  <c r="V1150" i="41" l="1"/>
  <c r="S403" i="41"/>
  <c r="I403" i="41" s="1"/>
  <c r="H402" i="41"/>
  <c r="G402" i="41" s="1"/>
  <c r="AB1148" i="41"/>
  <c r="AD402" i="41"/>
  <c r="AC402" i="41"/>
  <c r="AE462" i="41" s="1" a="1"/>
  <c r="AE462" i="41" s="1"/>
  <c r="AH462" i="41" s="1"/>
  <c r="M1145" i="41"/>
  <c r="L1145" i="41" s="1"/>
  <c r="AD1148" i="41"/>
  <c r="W1150" i="41"/>
  <c r="X1150" i="41"/>
  <c r="P1151" i="41"/>
  <c r="R1151" i="41"/>
  <c r="AE1148" i="41"/>
  <c r="T1148" i="41"/>
  <c r="O405" i="41"/>
  <c r="M403" i="41"/>
  <c r="L403" i="41" s="1"/>
  <c r="H1148" i="41"/>
  <c r="G1148" i="41" s="1"/>
  <c r="I1148" i="41"/>
  <c r="U1150" i="41"/>
  <c r="AD1149" i="41" s="1"/>
  <c r="Q1151" i="41"/>
  <c r="AH1146" i="41"/>
  <c r="AK1146" i="41"/>
  <c r="AI1146" i="41"/>
  <c r="AJ1146" i="41"/>
  <c r="AG1146" i="41"/>
  <c r="AF1146" i="41"/>
  <c r="AE1147" i="41"/>
  <c r="T1147" i="41"/>
  <c r="O1151" i="41"/>
  <c r="U404" i="41"/>
  <c r="AC403" i="41" s="1"/>
  <c r="AE463" i="41" s="1" a="1"/>
  <c r="AE463" i="41" s="1"/>
  <c r="Q405" i="41"/>
  <c r="W404" i="41"/>
  <c r="P405" i="41"/>
  <c r="X404" i="41"/>
  <c r="S1149" i="41"/>
  <c r="R405" i="41"/>
  <c r="V405" i="41" s="1"/>
  <c r="AB404" i="41" a="1"/>
  <c r="AB404" i="41" s="1"/>
  <c r="H403" i="41" l="1"/>
  <c r="G403" i="41" s="1"/>
  <c r="AB1149" i="41"/>
  <c r="AF462" i="41"/>
  <c r="AJ462" i="41"/>
  <c r="AI462" i="41"/>
  <c r="AC1149" i="41"/>
  <c r="AE1149" i="41" s="1"/>
  <c r="AG462" i="41"/>
  <c r="AK462" i="41"/>
  <c r="M1146" i="41"/>
  <c r="L1146" i="41" s="1"/>
  <c r="S404" i="41"/>
  <c r="I404" i="41" s="1"/>
  <c r="M404" i="41"/>
  <c r="L404" i="41" s="1"/>
  <c r="AH463" i="41"/>
  <c r="AI463" i="41"/>
  <c r="AK463" i="41"/>
  <c r="AF463" i="41"/>
  <c r="AG463" i="41"/>
  <c r="AJ463" i="41"/>
  <c r="O406" i="41"/>
  <c r="U1151" i="41"/>
  <c r="AD1150" i="41" s="1"/>
  <c r="Q1152" i="41"/>
  <c r="W405" i="41"/>
  <c r="X405" i="41"/>
  <c r="P406" i="41"/>
  <c r="AF1148" i="41"/>
  <c r="AH1148" i="41"/>
  <c r="AG1148" i="41"/>
  <c r="AJ1148" i="41"/>
  <c r="AK1148" i="41"/>
  <c r="AI1148" i="41"/>
  <c r="W1151" i="41"/>
  <c r="X1151" i="41"/>
  <c r="P1152" i="41"/>
  <c r="V1151" i="41"/>
  <c r="O1152" i="41" s="1"/>
  <c r="R1152" i="41"/>
  <c r="AB405" i="41" a="1"/>
  <c r="AB405" i="41" s="1"/>
  <c r="R406" i="41"/>
  <c r="V406" i="41" s="1"/>
  <c r="U405" i="41"/>
  <c r="Q406" i="41"/>
  <c r="S1150" i="41"/>
  <c r="AF1147" i="41"/>
  <c r="AG1147" i="41"/>
  <c r="AH1147" i="41"/>
  <c r="AI1147" i="41"/>
  <c r="AJ1147" i="41"/>
  <c r="AK1147" i="41"/>
  <c r="H1149" i="41"/>
  <c r="G1149" i="41" s="1"/>
  <c r="I1149" i="41"/>
  <c r="AD403" i="41"/>
  <c r="T1149" i="41" l="1"/>
  <c r="S405" i="41"/>
  <c r="I405" i="41" s="1"/>
  <c r="H404" i="41"/>
  <c r="G404" i="41" s="1"/>
  <c r="AC1150" i="41"/>
  <c r="AE1150" i="41" s="1"/>
  <c r="M1147" i="41"/>
  <c r="L1147" i="41" s="1"/>
  <c r="M1148" i="41"/>
  <c r="W1152" i="41"/>
  <c r="P1153" i="41"/>
  <c r="X1152" i="41"/>
  <c r="U1152" i="41"/>
  <c r="AC1151" i="41" s="1"/>
  <c r="Q1153" i="41"/>
  <c r="W406" i="41"/>
  <c r="X406" i="41"/>
  <c r="P407" i="41"/>
  <c r="I1150" i="41"/>
  <c r="H1150" i="41"/>
  <c r="G1150" i="41" s="1"/>
  <c r="R1153" i="41"/>
  <c r="O407" i="41"/>
  <c r="AC404" i="41"/>
  <c r="AE464" i="41" s="1" a="1"/>
  <c r="AE464" i="41" s="1"/>
  <c r="R407" i="41"/>
  <c r="S1151" i="41"/>
  <c r="AD404" i="41"/>
  <c r="U406" i="41"/>
  <c r="AD405" i="41" s="1"/>
  <c r="Q407" i="41"/>
  <c r="AB406" i="41" a="1"/>
  <c r="AB406" i="41" s="1"/>
  <c r="V1152" i="41"/>
  <c r="O1153" i="41" s="1"/>
  <c r="M405" i="41"/>
  <c r="L405" i="41" s="1"/>
  <c r="AK1149" i="41"/>
  <c r="AI1149" i="41"/>
  <c r="AJ1149" i="41"/>
  <c r="AH1149" i="41"/>
  <c r="AF1149" i="41"/>
  <c r="AG1149" i="41"/>
  <c r="AB1150" i="41"/>
  <c r="V1153" i="41" l="1"/>
  <c r="O1154" i="41" s="1"/>
  <c r="H405" i="41"/>
  <c r="G405" i="41" s="1"/>
  <c r="T1150" i="41"/>
  <c r="AB407" i="41" a="1"/>
  <c r="AB407" i="41" s="1"/>
  <c r="S1152" i="41"/>
  <c r="H1152" i="41" s="1"/>
  <c r="G1152" i="41" s="1"/>
  <c r="L1148" i="41"/>
  <c r="M406" i="41"/>
  <c r="L406" i="41" s="1"/>
  <c r="AC405" i="41"/>
  <c r="AE465" i="41" s="1" a="1"/>
  <c r="AE465" i="41" s="1"/>
  <c r="AI465" i="41" s="1"/>
  <c r="AD1151" i="41"/>
  <c r="S406" i="41"/>
  <c r="W1153" i="41"/>
  <c r="X1153" i="41"/>
  <c r="P1154" i="41"/>
  <c r="I1151" i="41"/>
  <c r="H1151" i="41"/>
  <c r="G1151" i="41" s="1"/>
  <c r="AE1151" i="41"/>
  <c r="T1151" i="41"/>
  <c r="AB1151" i="41"/>
  <c r="R408" i="41"/>
  <c r="U407" i="41"/>
  <c r="Q408" i="41"/>
  <c r="AJ1150" i="41"/>
  <c r="AI1150" i="41"/>
  <c r="AF1150" i="41"/>
  <c r="AG1150" i="41"/>
  <c r="AH1150" i="41"/>
  <c r="AK1150" i="41"/>
  <c r="U1153" i="41"/>
  <c r="Q1154" i="41"/>
  <c r="W407" i="41"/>
  <c r="X407" i="41"/>
  <c r="P408" i="41"/>
  <c r="V407" i="41"/>
  <c r="O408" i="41" s="1"/>
  <c r="R1154" i="41"/>
  <c r="V1154" i="41" s="1"/>
  <c r="AH464" i="41"/>
  <c r="AF464" i="41"/>
  <c r="AJ464" i="41"/>
  <c r="AK464" i="41"/>
  <c r="AG464" i="41"/>
  <c r="AI464" i="41"/>
  <c r="M1149" i="41"/>
  <c r="I1152" i="41" l="1"/>
  <c r="V408" i="41"/>
  <c r="S1153" i="41"/>
  <c r="H1153" i="41" s="1"/>
  <c r="G1153" i="41" s="1"/>
  <c r="S407" i="41"/>
  <c r="I407" i="41" s="1"/>
  <c r="L1149" i="41"/>
  <c r="AH465" i="41"/>
  <c r="AG465" i="41"/>
  <c r="AK465" i="41"/>
  <c r="AF465" i="41"/>
  <c r="AJ465" i="41"/>
  <c r="I406" i="41"/>
  <c r="H406" i="41"/>
  <c r="G406" i="41" s="1"/>
  <c r="M1150" i="41"/>
  <c r="W408" i="41"/>
  <c r="X408" i="41"/>
  <c r="P409" i="41"/>
  <c r="R409" i="41"/>
  <c r="W1154" i="41"/>
  <c r="X1154" i="41"/>
  <c r="P1155" i="41"/>
  <c r="AG1151" i="41"/>
  <c r="AI1151" i="41"/>
  <c r="AJ1151" i="41"/>
  <c r="AH1151" i="41"/>
  <c r="AF1151" i="41"/>
  <c r="AK1151" i="41"/>
  <c r="O1155" i="41"/>
  <c r="R1155" i="41"/>
  <c r="I1153" i="41"/>
  <c r="AD406" i="41"/>
  <c r="M407" i="41"/>
  <c r="L407" i="41" s="1"/>
  <c r="AC406" i="41"/>
  <c r="AE466" i="41" s="1" a="1"/>
  <c r="AE466" i="41" s="1"/>
  <c r="U1154" i="41"/>
  <c r="Q1155" i="41"/>
  <c r="O409" i="41"/>
  <c r="U408" i="41"/>
  <c r="S408" i="41" s="1"/>
  <c r="I408" i="41" s="1"/>
  <c r="Q409" i="41"/>
  <c r="AB408" i="41" a="1"/>
  <c r="AB408" i="41" s="1"/>
  <c r="AB1152" i="41"/>
  <c r="AD1152" i="41"/>
  <c r="AC1152" i="41"/>
  <c r="H407" i="41" l="1"/>
  <c r="G407" i="41" s="1"/>
  <c r="L1150" i="41"/>
  <c r="M1151" i="41"/>
  <c r="AB409" i="41" a="1"/>
  <c r="AB409" i="41" s="1"/>
  <c r="AC407" i="41"/>
  <c r="AE467" i="41" s="1" a="1"/>
  <c r="AE467" i="41" s="1"/>
  <c r="AI467" i="41" s="1"/>
  <c r="AD407" i="41"/>
  <c r="U1155" i="41"/>
  <c r="AC1154" i="41" s="1"/>
  <c r="Q1156" i="41"/>
  <c r="W409" i="41"/>
  <c r="P410" i="41"/>
  <c r="X409" i="41"/>
  <c r="U409" i="41"/>
  <c r="AC408" i="41" s="1"/>
  <c r="AE468" i="41" s="1" a="1"/>
  <c r="AE468" i="41" s="1"/>
  <c r="Q410" i="41"/>
  <c r="AB1153" i="41"/>
  <c r="R410" i="41"/>
  <c r="AE1152" i="41"/>
  <c r="T1152" i="41"/>
  <c r="AH466" i="41"/>
  <c r="AF466" i="41"/>
  <c r="AG466" i="41"/>
  <c r="AI466" i="41"/>
  <c r="AK466" i="41"/>
  <c r="AJ466" i="41"/>
  <c r="H408" i="41"/>
  <c r="G408" i="41" s="1"/>
  <c r="W1155" i="41"/>
  <c r="X1155" i="41"/>
  <c r="P1156" i="41"/>
  <c r="V1155" i="41"/>
  <c r="O1156" i="41" s="1"/>
  <c r="AD1153" i="41"/>
  <c r="S1154" i="41"/>
  <c r="V409" i="41"/>
  <c r="O410" i="41" s="1"/>
  <c r="AC1153" i="41"/>
  <c r="R1156" i="41"/>
  <c r="M408" i="41"/>
  <c r="L408" i="41" s="1"/>
  <c r="AB1154" i="41" l="1"/>
  <c r="AD1154" i="41"/>
  <c r="V410" i="41"/>
  <c r="O411" i="41" s="1"/>
  <c r="AF467" i="41"/>
  <c r="L1151" i="41"/>
  <c r="AK467" i="41"/>
  <c r="AG467" i="41"/>
  <c r="AJ467" i="41"/>
  <c r="AH467" i="41"/>
  <c r="AD408" i="41"/>
  <c r="S409" i="41"/>
  <c r="I409" i="41" s="1"/>
  <c r="W1156" i="41"/>
  <c r="P1157" i="41"/>
  <c r="X1156" i="41"/>
  <c r="AG468" i="41"/>
  <c r="AI468" i="41"/>
  <c r="AK468" i="41"/>
  <c r="AJ468" i="41"/>
  <c r="AF468" i="41"/>
  <c r="AH468" i="41"/>
  <c r="AE1154" i="41"/>
  <c r="T1154" i="41"/>
  <c r="U410" i="41"/>
  <c r="Q411" i="41"/>
  <c r="R411" i="41"/>
  <c r="V411" i="41" s="1"/>
  <c r="W410" i="41"/>
  <c r="X410" i="41"/>
  <c r="P411" i="41"/>
  <c r="R1157" i="41"/>
  <c r="M409" i="41"/>
  <c r="L409" i="41" s="1"/>
  <c r="U1156" i="41"/>
  <c r="Q1157" i="41"/>
  <c r="AF1152" i="41"/>
  <c r="AJ1152" i="41"/>
  <c r="AH1152" i="41"/>
  <c r="AK1152" i="41"/>
  <c r="AG1152" i="41"/>
  <c r="AI1152" i="41"/>
  <c r="AB410" i="41" a="1"/>
  <c r="AB410" i="41" s="1"/>
  <c r="H1154" i="41"/>
  <c r="G1154" i="41" s="1"/>
  <c r="I1154" i="41"/>
  <c r="AE1153" i="41"/>
  <c r="T1153" i="41"/>
  <c r="S1155" i="41"/>
  <c r="V1156" i="41"/>
  <c r="O1157" i="41" s="1"/>
  <c r="V1157" i="41" l="1"/>
  <c r="O1158" i="41" s="1"/>
  <c r="H409" i="41"/>
  <c r="G409" i="41" s="1"/>
  <c r="AB411" i="41" a="1"/>
  <c r="AB411" i="41" s="1"/>
  <c r="M1152" i="41"/>
  <c r="L1152" i="41" s="1"/>
  <c r="W1157" i="41"/>
  <c r="X1157" i="41"/>
  <c r="P1158" i="41"/>
  <c r="M410" i="41"/>
  <c r="L410" i="41" s="1"/>
  <c r="U1157" i="41"/>
  <c r="AD1156" i="41" s="1"/>
  <c r="Q1158" i="41"/>
  <c r="AF1154" i="41"/>
  <c r="AK1154" i="41"/>
  <c r="AH1154" i="41"/>
  <c r="AG1154" i="41"/>
  <c r="AJ1154" i="41"/>
  <c r="AI1154" i="41"/>
  <c r="AB1155" i="41"/>
  <c r="S1156" i="41"/>
  <c r="W411" i="41"/>
  <c r="X411" i="41"/>
  <c r="P412" i="41"/>
  <c r="R1158" i="41"/>
  <c r="V1158" i="41" s="1"/>
  <c r="R412" i="41"/>
  <c r="V412" i="41" s="1"/>
  <c r="U411" i="41"/>
  <c r="Q412" i="41"/>
  <c r="O412" i="41"/>
  <c r="H1155" i="41"/>
  <c r="G1155" i="41" s="1"/>
  <c r="I1155" i="41"/>
  <c r="AD409" i="41"/>
  <c r="AC409" i="41"/>
  <c r="AE469" i="41" s="1" a="1"/>
  <c r="AE469" i="41" s="1"/>
  <c r="AH1153" i="41"/>
  <c r="AJ1153" i="41"/>
  <c r="AI1153" i="41"/>
  <c r="AF1153" i="41"/>
  <c r="AK1153" i="41"/>
  <c r="AG1153" i="41"/>
  <c r="AC1155" i="41"/>
  <c r="AD1155" i="41"/>
  <c r="S410" i="41"/>
  <c r="M1154" i="41" l="1"/>
  <c r="M411" i="41"/>
  <c r="L411" i="41" s="1"/>
  <c r="O1159" i="41"/>
  <c r="AD410" i="41"/>
  <c r="H1156" i="41"/>
  <c r="G1156" i="41" s="1"/>
  <c r="I1156" i="41"/>
  <c r="O413" i="41"/>
  <c r="AC410" i="41"/>
  <c r="AE470" i="41" s="1" a="1"/>
  <c r="AE470" i="41" s="1"/>
  <c r="W1158" i="41"/>
  <c r="X1158" i="41"/>
  <c r="P1159" i="41"/>
  <c r="S1157" i="41"/>
  <c r="AC1156" i="41"/>
  <c r="U412" i="41"/>
  <c r="Q413" i="41"/>
  <c r="AB1156" i="41"/>
  <c r="R1159" i="41"/>
  <c r="V1159" i="41" s="1"/>
  <c r="M1153" i="41"/>
  <c r="L1153" i="41" s="1"/>
  <c r="I410" i="41"/>
  <c r="H410" i="41"/>
  <c r="G410" i="41" s="1"/>
  <c r="AB412" i="41" a="1"/>
  <c r="AB412" i="41" s="1"/>
  <c r="U1158" i="41"/>
  <c r="AD1157" i="41" s="1"/>
  <c r="Q1159" i="41"/>
  <c r="AK469" i="41"/>
  <c r="AF469" i="41"/>
  <c r="AG469" i="41"/>
  <c r="AJ469" i="41"/>
  <c r="AH469" i="41"/>
  <c r="AI469" i="41"/>
  <c r="W412" i="41"/>
  <c r="X412" i="41"/>
  <c r="P413" i="41"/>
  <c r="R413" i="41"/>
  <c r="V413" i="41" s="1"/>
  <c r="AE1155" i="41"/>
  <c r="T1155" i="41"/>
  <c r="S411" i="41"/>
  <c r="AB413" i="41" l="1" a="1"/>
  <c r="AB413" i="41" s="1"/>
  <c r="L1154" i="41"/>
  <c r="W413" i="41"/>
  <c r="X413" i="41"/>
  <c r="P414" i="41"/>
  <c r="O414" i="41"/>
  <c r="S412" i="41"/>
  <c r="R414" i="41"/>
  <c r="O1160" i="41"/>
  <c r="M412" i="41"/>
  <c r="L412" i="41" s="1"/>
  <c r="AC411" i="41"/>
  <c r="AE471" i="41" s="1" a="1"/>
  <c r="AE471" i="41" s="1"/>
  <c r="AD411" i="41"/>
  <c r="W1159" i="41"/>
  <c r="X1159" i="41"/>
  <c r="P1160" i="41"/>
  <c r="S1158" i="41"/>
  <c r="R1160" i="41"/>
  <c r="V1160" i="41" s="1"/>
  <c r="AB1157" i="41"/>
  <c r="AG1155" i="41"/>
  <c r="AF1155" i="41"/>
  <c r="AJ1155" i="41"/>
  <c r="AH1155" i="41"/>
  <c r="AK1155" i="41"/>
  <c r="AI1155" i="41"/>
  <c r="AE1156" i="41"/>
  <c r="T1156" i="41"/>
  <c r="H1157" i="41"/>
  <c r="G1157" i="41" s="1"/>
  <c r="I1157" i="41"/>
  <c r="I411" i="41"/>
  <c r="H411" i="41"/>
  <c r="G411" i="41" s="1"/>
  <c r="U1159" i="41"/>
  <c r="AB1158" i="41" s="1"/>
  <c r="Q1160" i="41"/>
  <c r="AK470" i="41"/>
  <c r="AF470" i="41"/>
  <c r="AG470" i="41"/>
  <c r="AH470" i="41"/>
  <c r="AJ470" i="41"/>
  <c r="AI470" i="41"/>
  <c r="U413" i="41"/>
  <c r="Q414" i="41"/>
  <c r="AC1157" i="41"/>
  <c r="AB414" i="41" l="1" a="1"/>
  <c r="AB414" i="41" s="1"/>
  <c r="S413" i="41"/>
  <c r="I413" i="41" s="1"/>
  <c r="AD1158" i="41"/>
  <c r="AD412" i="41"/>
  <c r="R1161" i="41"/>
  <c r="V1161" i="41" s="1"/>
  <c r="U414" i="41"/>
  <c r="Q415" i="41"/>
  <c r="I412" i="41"/>
  <c r="H412" i="41"/>
  <c r="G412" i="41" s="1"/>
  <c r="M1155" i="41"/>
  <c r="L1155" i="41" s="1"/>
  <c r="AC412" i="41"/>
  <c r="AE472" i="41" s="1" a="1"/>
  <c r="AE472" i="41" s="1"/>
  <c r="AK1156" i="41"/>
  <c r="AF1156" i="41"/>
  <c r="AJ1156" i="41"/>
  <c r="AH1156" i="41"/>
  <c r="AG1156" i="41"/>
  <c r="AI1156" i="41"/>
  <c r="W414" i="41"/>
  <c r="X414" i="41"/>
  <c r="P415" i="41"/>
  <c r="AG471" i="41"/>
  <c r="AI471" i="41"/>
  <c r="AF471" i="41"/>
  <c r="AK471" i="41"/>
  <c r="AJ471" i="41"/>
  <c r="AH471" i="41"/>
  <c r="R415" i="41"/>
  <c r="O1161" i="41"/>
  <c r="W1160" i="41"/>
  <c r="X1160" i="41"/>
  <c r="P1161" i="41"/>
  <c r="AE1157" i="41"/>
  <c r="T1157" i="41"/>
  <c r="V414" i="41"/>
  <c r="O415" i="41" s="1"/>
  <c r="U1160" i="41"/>
  <c r="Q1161" i="41"/>
  <c r="S1159" i="41"/>
  <c r="H1158" i="41"/>
  <c r="G1158" i="41" s="1"/>
  <c r="I1158" i="41"/>
  <c r="AC1158" i="41"/>
  <c r="M413" i="41"/>
  <c r="L413" i="41" s="1"/>
  <c r="V415" i="41" l="1"/>
  <c r="H413" i="41"/>
  <c r="G413" i="41" s="1"/>
  <c r="S414" i="41"/>
  <c r="I414" i="41" s="1"/>
  <c r="M1156" i="41"/>
  <c r="L1156" i="41" s="1"/>
  <c r="O1162" i="41"/>
  <c r="AE1158" i="41"/>
  <c r="T1158" i="41"/>
  <c r="W415" i="41"/>
  <c r="X415" i="41"/>
  <c r="P416" i="41"/>
  <c r="R416" i="41"/>
  <c r="AB415" i="41" a="1"/>
  <c r="AB415" i="41" s="1"/>
  <c r="U1161" i="41"/>
  <c r="Q1162" i="41"/>
  <c r="U415" i="41"/>
  <c r="Q416" i="41"/>
  <c r="AB1159" i="41"/>
  <c r="S1160" i="41"/>
  <c r="M414" i="41"/>
  <c r="L414" i="41" s="1"/>
  <c r="AF1157" i="41"/>
  <c r="AG1157" i="41"/>
  <c r="AJ1157" i="41"/>
  <c r="AH1157" i="41"/>
  <c r="AK1157" i="41"/>
  <c r="AI1157" i="41"/>
  <c r="W1161" i="41"/>
  <c r="X1161" i="41"/>
  <c r="P1162" i="41"/>
  <c r="O416" i="41"/>
  <c r="I1159" i="41"/>
  <c r="H1159" i="41"/>
  <c r="G1159" i="41" s="1"/>
  <c r="R1162" i="41"/>
  <c r="V1162" i="41" s="1"/>
  <c r="AC413" i="41"/>
  <c r="AE473" i="41" s="1" a="1"/>
  <c r="AE473" i="41" s="1"/>
  <c r="AD413" i="41"/>
  <c r="AC1159" i="41"/>
  <c r="AD1159" i="41"/>
  <c r="AG472" i="41"/>
  <c r="AJ472" i="41"/>
  <c r="AK472" i="41"/>
  <c r="AI472" i="41"/>
  <c r="AF472" i="41"/>
  <c r="AH472" i="41"/>
  <c r="S1161" i="41" l="1"/>
  <c r="H1161" i="41" s="1"/>
  <c r="G1161" i="41" s="1"/>
  <c r="H414" i="41"/>
  <c r="G414" i="41" s="1"/>
  <c r="AB416" i="41" a="1"/>
  <c r="AB416" i="41" s="1"/>
  <c r="AB1160" i="41"/>
  <c r="AC1160" i="41"/>
  <c r="AE1160" i="41" s="1"/>
  <c r="AD1160" i="41"/>
  <c r="U416" i="41"/>
  <c r="AD415" i="41" s="1"/>
  <c r="Q417" i="41"/>
  <c r="R417" i="41"/>
  <c r="M415" i="41"/>
  <c r="L415" i="41" s="1"/>
  <c r="AI473" i="41"/>
  <c r="AG473" i="41"/>
  <c r="AK473" i="41"/>
  <c r="AF473" i="41"/>
  <c r="AH473" i="41"/>
  <c r="AJ473" i="41"/>
  <c r="O1163" i="41"/>
  <c r="AG1158" i="41"/>
  <c r="AH1158" i="41"/>
  <c r="AI1158" i="41"/>
  <c r="AJ1158" i="41"/>
  <c r="AF1158" i="41"/>
  <c r="AK1158" i="41"/>
  <c r="AE1159" i="41"/>
  <c r="T1159" i="41"/>
  <c r="W1162" i="41"/>
  <c r="X1162" i="41"/>
  <c r="P1163" i="41"/>
  <c r="H1160" i="41"/>
  <c r="G1160" i="41" s="1"/>
  <c r="I1160" i="41"/>
  <c r="W416" i="41"/>
  <c r="X416" i="41"/>
  <c r="P417" i="41"/>
  <c r="AC414" i="41"/>
  <c r="AE474" i="41" s="1" a="1"/>
  <c r="AE474" i="41" s="1"/>
  <c r="U1162" i="41"/>
  <c r="AC1161" i="41" s="1"/>
  <c r="Q1163" i="41"/>
  <c r="V416" i="41"/>
  <c r="O417" i="41" s="1"/>
  <c r="M1157" i="41"/>
  <c r="L1157" i="41" s="1"/>
  <c r="S415" i="41"/>
  <c r="R1163" i="41"/>
  <c r="V1163" i="41" s="1"/>
  <c r="AD414" i="41"/>
  <c r="AB417" i="41" l="1" a="1"/>
  <c r="AB417" i="41" s="1"/>
  <c r="I1161" i="41"/>
  <c r="S416" i="41"/>
  <c r="I416" i="41" s="1"/>
  <c r="AB1161" i="41"/>
  <c r="T1160" i="41"/>
  <c r="M1158" i="41"/>
  <c r="L1158" i="41" s="1"/>
  <c r="AE1161" i="41"/>
  <c r="T1161" i="41"/>
  <c r="W417" i="41"/>
  <c r="X417" i="41"/>
  <c r="P418" i="41"/>
  <c r="U417" i="41"/>
  <c r="Q418" i="41"/>
  <c r="AI474" i="41"/>
  <c r="AF474" i="41"/>
  <c r="AK474" i="41"/>
  <c r="AH474" i="41"/>
  <c r="AG474" i="41"/>
  <c r="AJ474" i="41"/>
  <c r="R418" i="41"/>
  <c r="V417" i="41"/>
  <c r="O418" i="41" s="1"/>
  <c r="M416" i="41"/>
  <c r="L416" i="41" s="1"/>
  <c r="R1164" i="41"/>
  <c r="V1164" i="41" s="1"/>
  <c r="AC415" i="41"/>
  <c r="AE475" i="41" s="1" a="1"/>
  <c r="AE475" i="41" s="1"/>
  <c r="U1163" i="41"/>
  <c r="AD1162" i="41" s="1"/>
  <c r="Q1164" i="41"/>
  <c r="I415" i="41"/>
  <c r="H415" i="41"/>
  <c r="G415" i="41" s="1"/>
  <c r="AD1161" i="41"/>
  <c r="AJ1159" i="41"/>
  <c r="AF1159" i="41"/>
  <c r="AH1159" i="41"/>
  <c r="AG1159" i="41"/>
  <c r="AI1159" i="41"/>
  <c r="AK1159" i="41"/>
  <c r="H416" i="41"/>
  <c r="G416" i="41" s="1"/>
  <c r="O1164" i="41"/>
  <c r="W1163" i="41"/>
  <c r="P1164" i="41"/>
  <c r="X1163" i="41"/>
  <c r="S1162" i="41"/>
  <c r="AK1160" i="41"/>
  <c r="AJ1160" i="41"/>
  <c r="AI1160" i="41"/>
  <c r="AG1160" i="41"/>
  <c r="AF1160" i="41"/>
  <c r="AH1160" i="41"/>
  <c r="V418" i="41" l="1"/>
  <c r="S417" i="41"/>
  <c r="I417" i="41" s="1"/>
  <c r="S1163" i="41"/>
  <c r="I1163" i="41" s="1"/>
  <c r="M1159" i="41"/>
  <c r="L1159" i="41" s="1"/>
  <c r="M1160" i="41"/>
  <c r="R419" i="41"/>
  <c r="V419" i="41" s="1"/>
  <c r="U418" i="41"/>
  <c r="Q419" i="41"/>
  <c r="H1162" i="41"/>
  <c r="G1162" i="41" s="1"/>
  <c r="I1162" i="41"/>
  <c r="AB418" i="41" a="1"/>
  <c r="AB418" i="41" s="1"/>
  <c r="W418" i="41"/>
  <c r="X418" i="41"/>
  <c r="P419" i="41"/>
  <c r="U1164" i="41"/>
  <c r="AC1163" i="41" s="1"/>
  <c r="Q1165" i="41"/>
  <c r="M417" i="41"/>
  <c r="L417" i="41" s="1"/>
  <c r="AI475" i="41"/>
  <c r="AF475" i="41"/>
  <c r="AJ475" i="41"/>
  <c r="AK475" i="41"/>
  <c r="AG475" i="41"/>
  <c r="AH475" i="41"/>
  <c r="AG1161" i="41"/>
  <c r="AI1161" i="41"/>
  <c r="AJ1161" i="41"/>
  <c r="AK1161" i="41"/>
  <c r="AF1161" i="41"/>
  <c r="AH1161" i="41"/>
  <c r="W1164" i="41"/>
  <c r="X1164" i="41"/>
  <c r="P1165" i="41"/>
  <c r="AB1162" i="41"/>
  <c r="H1163" i="41"/>
  <c r="G1163" i="41" s="1"/>
  <c r="AC416" i="41"/>
  <c r="AE476" i="41" s="1" a="1"/>
  <c r="AE476" i="41" s="1"/>
  <c r="O1165" i="41"/>
  <c r="AC1162" i="41"/>
  <c r="R1165" i="41"/>
  <c r="AD416" i="41"/>
  <c r="O419" i="41"/>
  <c r="H417" i="41" l="1"/>
  <c r="G417" i="41" s="1"/>
  <c r="AD1163" i="41"/>
  <c r="AB1163" i="41"/>
  <c r="L1160" i="41"/>
  <c r="M1161" i="41"/>
  <c r="U1165" i="41"/>
  <c r="AB1164" i="41" s="1"/>
  <c r="Q1166" i="41"/>
  <c r="AE1163" i="41"/>
  <c r="T1163" i="41"/>
  <c r="O420" i="41"/>
  <c r="W1165" i="41"/>
  <c r="X1165" i="41"/>
  <c r="P1166" i="41"/>
  <c r="S1164" i="41"/>
  <c r="V1165" i="41"/>
  <c r="O1166" i="41" s="1"/>
  <c r="U419" i="41"/>
  <c r="Q420" i="41"/>
  <c r="AH476" i="41"/>
  <c r="AF476" i="41"/>
  <c r="AG476" i="41"/>
  <c r="AJ476" i="41"/>
  <c r="AI476" i="41"/>
  <c r="AK476" i="41"/>
  <c r="R420" i="41"/>
  <c r="V420" i="41" s="1"/>
  <c r="AB419" i="41" a="1"/>
  <c r="AB419" i="41" s="1"/>
  <c r="AC417" i="41"/>
  <c r="AE477" i="41" s="1" a="1"/>
  <c r="AE477" i="41" s="1"/>
  <c r="AE1162" i="41"/>
  <c r="T1162" i="41"/>
  <c r="W419" i="41"/>
  <c r="X419" i="41"/>
  <c r="P420" i="41"/>
  <c r="S418" i="41"/>
  <c r="AD417" i="41"/>
  <c r="R1166" i="41"/>
  <c r="M418" i="41"/>
  <c r="L418" i="41" s="1"/>
  <c r="L1161" i="41" l="1"/>
  <c r="AB420" i="41" a="1"/>
  <c r="AB420" i="41" s="1"/>
  <c r="AD1164" i="41"/>
  <c r="S1165" i="41"/>
  <c r="H1165" i="41" s="1"/>
  <c r="G1165" i="41" s="1"/>
  <c r="U1166" i="41"/>
  <c r="AD1165" i="41" s="1"/>
  <c r="Q1167" i="41"/>
  <c r="W1166" i="41"/>
  <c r="X1166" i="41"/>
  <c r="P1167" i="41"/>
  <c r="U420" i="41"/>
  <c r="AC419" i="41" s="1"/>
  <c r="AE479" i="41" s="1" a="1"/>
  <c r="AE479" i="41" s="1"/>
  <c r="Q421" i="41"/>
  <c r="I1164" i="41"/>
  <c r="H1164" i="41"/>
  <c r="G1164" i="41" s="1"/>
  <c r="W420" i="41"/>
  <c r="X420" i="41"/>
  <c r="P421" i="41"/>
  <c r="R1167" i="41"/>
  <c r="S419" i="41"/>
  <c r="AH1163" i="41"/>
  <c r="AF1163" i="41"/>
  <c r="AG1163" i="41"/>
  <c r="AK1163" i="41"/>
  <c r="AJ1163" i="41"/>
  <c r="AI1163" i="41"/>
  <c r="R421" i="41"/>
  <c r="I418" i="41"/>
  <c r="H418" i="41"/>
  <c r="G418" i="41" s="1"/>
  <c r="AC418" i="41"/>
  <c r="AE478" i="41" s="1" a="1"/>
  <c r="AE478" i="41" s="1"/>
  <c r="AC1165" i="41"/>
  <c r="AJ1162" i="41"/>
  <c r="AH1162" i="41"/>
  <c r="AI1162" i="41"/>
  <c r="AF1162" i="41"/>
  <c r="AG1162" i="41"/>
  <c r="AK1162" i="41"/>
  <c r="AD418" i="41"/>
  <c r="V1166" i="41"/>
  <c r="O1167" i="41" s="1"/>
  <c r="M419" i="41"/>
  <c r="L419" i="41" s="1"/>
  <c r="AG477" i="41"/>
  <c r="AI477" i="41"/>
  <c r="AK477" i="41"/>
  <c r="AF477" i="41"/>
  <c r="AH477" i="41"/>
  <c r="AJ477" i="41"/>
  <c r="O421" i="41"/>
  <c r="AC1164" i="41"/>
  <c r="AB1165" i="41" l="1"/>
  <c r="I1165" i="41"/>
  <c r="S420" i="41"/>
  <c r="I420" i="41" s="1"/>
  <c r="AB421" i="41" a="1"/>
  <c r="AB421" i="41" s="1"/>
  <c r="M1163" i="41"/>
  <c r="AD419" i="41"/>
  <c r="W1167" i="41"/>
  <c r="X1167" i="41"/>
  <c r="P1168" i="41"/>
  <c r="U1167" i="41"/>
  <c r="AC1166" i="41" s="1"/>
  <c r="Q1168" i="41"/>
  <c r="R1168" i="41"/>
  <c r="U421" i="41"/>
  <c r="AD420" i="41" s="1"/>
  <c r="Q422" i="41"/>
  <c r="R422" i="41"/>
  <c r="AE1165" i="41"/>
  <c r="T1165" i="41"/>
  <c r="H420" i="41"/>
  <c r="G420" i="41" s="1"/>
  <c r="AH479" i="41"/>
  <c r="AF479" i="41"/>
  <c r="AG479" i="41"/>
  <c r="AJ479" i="41"/>
  <c r="AI479" i="41"/>
  <c r="AK479" i="41"/>
  <c r="AJ478" i="41"/>
  <c r="AG478" i="41"/>
  <c r="AF478" i="41"/>
  <c r="AH478" i="41"/>
  <c r="AK478" i="41"/>
  <c r="AI478" i="41"/>
  <c r="M420" i="41"/>
  <c r="L420" i="41" s="1"/>
  <c r="AE1164" i="41"/>
  <c r="T1164" i="41"/>
  <c r="V1167" i="41"/>
  <c r="O1168" i="41" s="1"/>
  <c r="V421" i="41"/>
  <c r="O422" i="41" s="1"/>
  <c r="W421" i="41"/>
  <c r="X421" i="41"/>
  <c r="P422" i="41"/>
  <c r="M1162" i="41"/>
  <c r="L1162" i="41" s="1"/>
  <c r="S1166" i="41"/>
  <c r="I419" i="41"/>
  <c r="H419" i="41"/>
  <c r="G419" i="41" s="1"/>
  <c r="AD1166" i="41" l="1"/>
  <c r="L1163" i="41"/>
  <c r="AC420" i="41"/>
  <c r="AE480" i="41" s="1" a="1"/>
  <c r="AE480" i="41" s="1"/>
  <c r="AG480" i="41" s="1"/>
  <c r="S421" i="41"/>
  <c r="I421" i="41" s="1"/>
  <c r="M421" i="41"/>
  <c r="L421" i="41" s="1"/>
  <c r="U1168" i="41"/>
  <c r="AC1167" i="41" s="1"/>
  <c r="Q1169" i="41"/>
  <c r="AJ1165" i="41"/>
  <c r="AH1165" i="41"/>
  <c r="AG1165" i="41"/>
  <c r="AK1165" i="41"/>
  <c r="AF1165" i="41"/>
  <c r="AI1165" i="41"/>
  <c r="AB1166" i="41"/>
  <c r="V1168" i="41"/>
  <c r="O1169" i="41" s="1"/>
  <c r="R1169" i="41"/>
  <c r="U422" i="41"/>
  <c r="AD421" i="41" s="1"/>
  <c r="Q423" i="41"/>
  <c r="W1168" i="41"/>
  <c r="X1168" i="41"/>
  <c r="P1169" i="41"/>
  <c r="S1167" i="41"/>
  <c r="R423" i="41"/>
  <c r="AB422" i="41" a="1"/>
  <c r="AB422" i="41" s="1"/>
  <c r="W422" i="41"/>
  <c r="X422" i="41"/>
  <c r="P423" i="41"/>
  <c r="I1166" i="41"/>
  <c r="H1166" i="41"/>
  <c r="G1166" i="41" s="1"/>
  <c r="H421" i="41"/>
  <c r="G421" i="41" s="1"/>
  <c r="AK1164" i="41"/>
  <c r="AF1164" i="41"/>
  <c r="AI1164" i="41"/>
  <c r="AJ1164" i="41"/>
  <c r="AG1164" i="41"/>
  <c r="AH1164" i="41"/>
  <c r="AE1166" i="41"/>
  <c r="T1166" i="41"/>
  <c r="V422" i="41"/>
  <c r="O423" i="41" s="1"/>
  <c r="V423" i="41" l="1"/>
  <c r="O424" i="41" s="1"/>
  <c r="AB1167" i="41"/>
  <c r="AJ480" i="41"/>
  <c r="AK480" i="41"/>
  <c r="AF480" i="41"/>
  <c r="AI480" i="41"/>
  <c r="AH480" i="41"/>
  <c r="S422" i="41"/>
  <c r="I422" i="41" s="1"/>
  <c r="AD1167" i="41"/>
  <c r="M1165" i="41"/>
  <c r="M1164" i="41"/>
  <c r="L1164" i="41" s="1"/>
  <c r="H1167" i="41"/>
  <c r="G1167" i="41" s="1"/>
  <c r="I1167" i="41"/>
  <c r="R1170" i="41"/>
  <c r="AJ1166" i="41"/>
  <c r="AG1166" i="41"/>
  <c r="AF1166" i="41"/>
  <c r="AH1166" i="41"/>
  <c r="AI1166" i="41"/>
  <c r="AK1166" i="41"/>
  <c r="U1169" i="41"/>
  <c r="AC1168" i="41" s="1"/>
  <c r="Q1170" i="41"/>
  <c r="R424" i="41"/>
  <c r="W1169" i="41"/>
  <c r="X1169" i="41"/>
  <c r="P1170" i="41"/>
  <c r="W423" i="41"/>
  <c r="X423" i="41"/>
  <c r="P424" i="41"/>
  <c r="M422" i="41"/>
  <c r="L422" i="41" s="1"/>
  <c r="S1168" i="41"/>
  <c r="AC421" i="41"/>
  <c r="AE481" i="41" s="1" a="1"/>
  <c r="AE481" i="41" s="1"/>
  <c r="V1169" i="41"/>
  <c r="O1170" i="41" s="1"/>
  <c r="U423" i="41"/>
  <c r="Q424" i="41"/>
  <c r="AE1167" i="41"/>
  <c r="T1167" i="41"/>
  <c r="AB423" i="41" a="1"/>
  <c r="AB423" i="41" s="1"/>
  <c r="S423" i="41" l="1"/>
  <c r="I423" i="41" s="1"/>
  <c r="H422" i="41"/>
  <c r="G422" i="41" s="1"/>
  <c r="L1165" i="41"/>
  <c r="AB1168" i="41"/>
  <c r="AD1168" i="41"/>
  <c r="S1169" i="41"/>
  <c r="I1169" i="41" s="1"/>
  <c r="M1166" i="41"/>
  <c r="I1168" i="41"/>
  <c r="H1168" i="41"/>
  <c r="G1168" i="41" s="1"/>
  <c r="AE1168" i="41"/>
  <c r="T1168" i="41"/>
  <c r="U1170" i="41"/>
  <c r="Q1171" i="41"/>
  <c r="W1170" i="41"/>
  <c r="X1170" i="41"/>
  <c r="P1171" i="41"/>
  <c r="W424" i="41"/>
  <c r="X424" i="41"/>
  <c r="P425" i="41"/>
  <c r="R425" i="41"/>
  <c r="U424" i="41"/>
  <c r="AD423" i="41" s="1"/>
  <c r="Q425" i="41"/>
  <c r="AB424" i="41" a="1"/>
  <c r="AB424" i="41" s="1"/>
  <c r="AH1167" i="41"/>
  <c r="AK1167" i="41"/>
  <c r="AF1167" i="41"/>
  <c r="AG1167" i="41"/>
  <c r="AJ1167" i="41"/>
  <c r="AI1167" i="41"/>
  <c r="V1170" i="41"/>
  <c r="O1171" i="41" s="1"/>
  <c r="V424" i="41"/>
  <c r="O425" i="41" s="1"/>
  <c r="M423" i="41"/>
  <c r="L423" i="41" s="1"/>
  <c r="R1171" i="41"/>
  <c r="AC422" i="41"/>
  <c r="AE482" i="41" s="1" a="1"/>
  <c r="AE482" i="41" s="1"/>
  <c r="AG481" i="41"/>
  <c r="AK481" i="41"/>
  <c r="AF481" i="41"/>
  <c r="AJ481" i="41"/>
  <c r="AI481" i="41"/>
  <c r="AH481" i="41"/>
  <c r="AD422" i="41"/>
  <c r="V1171" i="41" l="1"/>
  <c r="H423" i="41"/>
  <c r="G423" i="41" s="1"/>
  <c r="V425" i="41"/>
  <c r="O426" i="41" s="1"/>
  <c r="H1169" i="41"/>
  <c r="G1169" i="41" s="1"/>
  <c r="AB425" i="41" a="1"/>
  <c r="AB425" i="41" s="1"/>
  <c r="L1166" i="41"/>
  <c r="M1167" i="41"/>
  <c r="AC423" i="41"/>
  <c r="AE483" i="41" s="1" a="1"/>
  <c r="AE483" i="41" s="1"/>
  <c r="AI483" i="41" s="1"/>
  <c r="W1171" i="41"/>
  <c r="X1171" i="41"/>
  <c r="P1172" i="41"/>
  <c r="W425" i="41"/>
  <c r="X425" i="41"/>
  <c r="P426" i="41"/>
  <c r="O1172" i="41"/>
  <c r="R426" i="41"/>
  <c r="V426" i="41" s="1"/>
  <c r="AB1169" i="41"/>
  <c r="M424" i="41"/>
  <c r="L424" i="41" s="1"/>
  <c r="AH1168" i="41"/>
  <c r="AI1168" i="41"/>
  <c r="AJ1168" i="41"/>
  <c r="AF1168" i="41"/>
  <c r="AG1168" i="41"/>
  <c r="AK1168" i="41"/>
  <c r="U1171" i="41"/>
  <c r="AB1170" i="41" s="1"/>
  <c r="Q1172" i="41"/>
  <c r="AC1169" i="41"/>
  <c r="R1172" i="41"/>
  <c r="AD1169" i="41"/>
  <c r="AK482" i="41"/>
  <c r="AF482" i="41"/>
  <c r="AH482" i="41"/>
  <c r="AG482" i="41"/>
  <c r="AI482" i="41"/>
  <c r="AJ482" i="41"/>
  <c r="S1170" i="41"/>
  <c r="U425" i="41"/>
  <c r="AC424" i="41" s="1"/>
  <c r="AE484" i="41" s="1" a="1"/>
  <c r="AE484" i="41" s="1"/>
  <c r="Q426" i="41"/>
  <c r="S424" i="41"/>
  <c r="L1167" i="41" l="1"/>
  <c r="M1168" i="41"/>
  <c r="AK483" i="41"/>
  <c r="AD424" i="41"/>
  <c r="AG483" i="41"/>
  <c r="S1171" i="41"/>
  <c r="I1171" i="41" s="1"/>
  <c r="AH483" i="41"/>
  <c r="AJ483" i="41"/>
  <c r="AF483" i="41"/>
  <c r="AD1170" i="41"/>
  <c r="AB426" i="41" a="1"/>
  <c r="AB426" i="41" s="1"/>
  <c r="W1172" i="41"/>
  <c r="X1172" i="41"/>
  <c r="P1173" i="41"/>
  <c r="O427" i="41"/>
  <c r="R427" i="41"/>
  <c r="V427" i="41" s="1"/>
  <c r="AJ484" i="41"/>
  <c r="AH484" i="41"/>
  <c r="AG484" i="41"/>
  <c r="AK484" i="41"/>
  <c r="AF484" i="41"/>
  <c r="AI484" i="41"/>
  <c r="W426" i="41"/>
  <c r="X426" i="41"/>
  <c r="P427" i="41"/>
  <c r="H1170" i="41"/>
  <c r="G1170" i="41" s="1"/>
  <c r="I1170" i="41"/>
  <c r="M425" i="41"/>
  <c r="L425" i="41" s="1"/>
  <c r="R1173" i="41"/>
  <c r="H1171" i="41"/>
  <c r="G1171" i="41" s="1"/>
  <c r="S425" i="41"/>
  <c r="U1172" i="41"/>
  <c r="Q1173" i="41"/>
  <c r="AE1169" i="41"/>
  <c r="T1169" i="41"/>
  <c r="I424" i="41"/>
  <c r="H424" i="41"/>
  <c r="G424" i="41" s="1"/>
  <c r="AC1170" i="41"/>
  <c r="V1172" i="41"/>
  <c r="O1173" i="41" s="1"/>
  <c r="U426" i="41"/>
  <c r="Q427" i="41"/>
  <c r="S1172" i="41" l="1"/>
  <c r="I1172" i="41" s="1"/>
  <c r="V1173" i="41"/>
  <c r="L1168" i="41"/>
  <c r="AC1171" i="41"/>
  <c r="AE1171" i="41" s="1"/>
  <c r="AB1171" i="41"/>
  <c r="AB427" i="41" a="1"/>
  <c r="AB427" i="41" s="1"/>
  <c r="W1173" i="41"/>
  <c r="P1174" i="41"/>
  <c r="X1173" i="41"/>
  <c r="AE1170" i="41"/>
  <c r="T1170" i="41"/>
  <c r="AK1169" i="41"/>
  <c r="AJ1169" i="41"/>
  <c r="AG1169" i="41"/>
  <c r="AH1169" i="41"/>
  <c r="AF1169" i="41"/>
  <c r="AI1169" i="41"/>
  <c r="M426" i="41"/>
  <c r="L426" i="41" s="1"/>
  <c r="S426" i="41"/>
  <c r="AD1171" i="41"/>
  <c r="R1174" i="41"/>
  <c r="V1174" i="41" s="1"/>
  <c r="R428" i="41"/>
  <c r="V428" i="41" s="1"/>
  <c r="O1174" i="41"/>
  <c r="AC425" i="41"/>
  <c r="AE485" i="41" s="1" a="1"/>
  <c r="AE485" i="41" s="1"/>
  <c r="I425" i="41"/>
  <c r="H425" i="41"/>
  <c r="G425" i="41" s="1"/>
  <c r="AD425" i="41"/>
  <c r="U427" i="41"/>
  <c r="Q428" i="41"/>
  <c r="O428" i="41"/>
  <c r="W427" i="41"/>
  <c r="X427" i="41"/>
  <c r="P428" i="41"/>
  <c r="U1173" i="41"/>
  <c r="Q1174" i="41"/>
  <c r="H1172" i="41" l="1"/>
  <c r="G1172" i="41" s="1"/>
  <c r="T1171" i="41"/>
  <c r="M1169" i="41"/>
  <c r="L1169" i="41" s="1"/>
  <c r="O429" i="41"/>
  <c r="AB428" i="41" a="1"/>
  <c r="AB428" i="41" s="1"/>
  <c r="AB1172" i="41"/>
  <c r="O1175" i="41"/>
  <c r="AK1170" i="41"/>
  <c r="AI1170" i="41"/>
  <c r="AF1170" i="41"/>
  <c r="AJ1170" i="41"/>
  <c r="AH1170" i="41"/>
  <c r="AG1170" i="41"/>
  <c r="AC1172" i="41"/>
  <c r="AC426" i="41"/>
  <c r="AE486" i="41" s="1" a="1"/>
  <c r="AE486" i="41" s="1"/>
  <c r="I426" i="41"/>
  <c r="H426" i="41"/>
  <c r="G426" i="41" s="1"/>
  <c r="AD1172" i="41"/>
  <c r="R429" i="41"/>
  <c r="V429" i="41" s="1"/>
  <c r="AD426" i="41"/>
  <c r="U1174" i="41"/>
  <c r="AD1173" i="41" s="1"/>
  <c r="Q1175" i="41"/>
  <c r="W1174" i="41"/>
  <c r="X1174" i="41"/>
  <c r="P1175" i="41"/>
  <c r="R1175" i="41"/>
  <c r="AH485" i="41"/>
  <c r="AK485" i="41"/>
  <c r="AF485" i="41"/>
  <c r="AJ485" i="41"/>
  <c r="AG485" i="41"/>
  <c r="AI485" i="41"/>
  <c r="AK1171" i="41"/>
  <c r="AF1171" i="41"/>
  <c r="AI1171" i="41"/>
  <c r="AG1171" i="41"/>
  <c r="AJ1171" i="41"/>
  <c r="AH1171" i="41"/>
  <c r="M427" i="41"/>
  <c r="L427" i="41" s="1"/>
  <c r="W428" i="41"/>
  <c r="X428" i="41"/>
  <c r="P429" i="41"/>
  <c r="S1173" i="41"/>
  <c r="S427" i="41"/>
  <c r="U428" i="41"/>
  <c r="AC427" i="41" s="1"/>
  <c r="AE487" i="41" s="1" a="1"/>
  <c r="AE487" i="41" s="1"/>
  <c r="Q429" i="41"/>
  <c r="AB1173" i="41" l="1"/>
  <c r="M1170" i="41"/>
  <c r="L1170" i="41" s="1"/>
  <c r="S1174" i="41"/>
  <c r="AC1173" i="41"/>
  <c r="AE1173" i="41" s="1"/>
  <c r="AI487" i="41"/>
  <c r="AG487" i="41"/>
  <c r="AF487" i="41"/>
  <c r="AH487" i="41"/>
  <c r="AK487" i="41"/>
  <c r="AJ487" i="41"/>
  <c r="O430" i="41"/>
  <c r="W1175" i="41"/>
  <c r="X1175" i="41"/>
  <c r="P1176" i="41"/>
  <c r="U1175" i="41"/>
  <c r="S1175" i="41" s="1"/>
  <c r="I1175" i="41" s="1"/>
  <c r="Q1176" i="41"/>
  <c r="M1171" i="41"/>
  <c r="AD427" i="41"/>
  <c r="AE1172" i="41"/>
  <c r="T1172" i="41"/>
  <c r="I427" i="41"/>
  <c r="H427" i="41"/>
  <c r="G427" i="41" s="1"/>
  <c r="AJ486" i="41"/>
  <c r="AH486" i="41"/>
  <c r="AG486" i="41"/>
  <c r="AF486" i="41"/>
  <c r="AI486" i="41"/>
  <c r="AK486" i="41"/>
  <c r="AB429" i="41" a="1"/>
  <c r="AB429" i="41" s="1"/>
  <c r="R1176" i="41"/>
  <c r="W429" i="41"/>
  <c r="X429" i="41"/>
  <c r="P430" i="41"/>
  <c r="H1173" i="41"/>
  <c r="G1173" i="41" s="1"/>
  <c r="I1173" i="41"/>
  <c r="R430" i="41"/>
  <c r="M428" i="41"/>
  <c r="L428" i="41" s="1"/>
  <c r="V1175" i="41"/>
  <c r="O1176" i="41" s="1"/>
  <c r="U429" i="41"/>
  <c r="AC428" i="41" s="1"/>
  <c r="AE488" i="41" s="1" a="1"/>
  <c r="AE488" i="41" s="1"/>
  <c r="Q430" i="41"/>
  <c r="S428" i="41"/>
  <c r="V1176" i="41" l="1"/>
  <c r="T1173" i="41"/>
  <c r="S429" i="41"/>
  <c r="I429" i="41" s="1"/>
  <c r="L1171" i="41"/>
  <c r="AB430" i="41" a="1"/>
  <c r="AB430" i="41" s="1"/>
  <c r="AD428" i="41"/>
  <c r="H1174" i="41"/>
  <c r="G1174" i="41" s="1"/>
  <c r="I1174" i="41"/>
  <c r="H1175" i="41"/>
  <c r="G1175" i="41" s="1"/>
  <c r="AJ488" i="41"/>
  <c r="AG488" i="41"/>
  <c r="AK488" i="41"/>
  <c r="AI488" i="41"/>
  <c r="AH488" i="41"/>
  <c r="AF488" i="41"/>
  <c r="W430" i="41"/>
  <c r="X430" i="41"/>
  <c r="P431" i="41"/>
  <c r="W1176" i="41"/>
  <c r="P1177" i="41"/>
  <c r="X1176" i="41"/>
  <c r="U430" i="41"/>
  <c r="AD429" i="41" s="1"/>
  <c r="Q431" i="41"/>
  <c r="R431" i="41"/>
  <c r="V430" i="41"/>
  <c r="O431" i="41" s="1"/>
  <c r="AB1174" i="41"/>
  <c r="M429" i="41"/>
  <c r="L429" i="41" s="1"/>
  <c r="I428" i="41"/>
  <c r="H428" i="41"/>
  <c r="G428" i="41" s="1"/>
  <c r="AK1172" i="41"/>
  <c r="AI1172" i="41"/>
  <c r="AF1172" i="41"/>
  <c r="AH1172" i="41"/>
  <c r="AJ1172" i="41"/>
  <c r="AG1172" i="41"/>
  <c r="O1177" i="41"/>
  <c r="AC1174" i="41"/>
  <c r="R1177" i="41"/>
  <c r="AD1174" i="41"/>
  <c r="U1176" i="41"/>
  <c r="AD1175" i="41" s="1"/>
  <c r="Q1177" i="41"/>
  <c r="AK1173" i="41"/>
  <c r="AF1173" i="41"/>
  <c r="AH1173" i="41"/>
  <c r="AJ1173" i="41"/>
  <c r="AG1173" i="41"/>
  <c r="AI1173" i="41"/>
  <c r="H429" i="41" l="1"/>
  <c r="G429" i="41" s="1"/>
  <c r="V431" i="41"/>
  <c r="O432" i="41" s="1"/>
  <c r="AB1175" i="41"/>
  <c r="S1176" i="41"/>
  <c r="AC1175" i="41"/>
  <c r="AE1175" i="41" s="1"/>
  <c r="W431" i="41"/>
  <c r="X431" i="41"/>
  <c r="P432" i="41"/>
  <c r="M430" i="41"/>
  <c r="L430" i="41" s="1"/>
  <c r="W1177" i="41"/>
  <c r="X1177" i="41"/>
  <c r="P1178" i="41"/>
  <c r="U1177" i="41"/>
  <c r="AD1176" i="41" s="1"/>
  <c r="Q1178" i="41"/>
  <c r="R1178" i="41"/>
  <c r="AE1174" i="41"/>
  <c r="T1174" i="41"/>
  <c r="M1173" i="41"/>
  <c r="M1172" i="41"/>
  <c r="L1172" i="41" s="1"/>
  <c r="U431" i="41"/>
  <c r="AC430" i="41" s="1"/>
  <c r="AE490" i="41" s="1" a="1"/>
  <c r="AE490" i="41" s="1"/>
  <c r="Q432" i="41"/>
  <c r="AB431" i="41" a="1"/>
  <c r="AB431" i="41" s="1"/>
  <c r="S430" i="41"/>
  <c r="V1177" i="41"/>
  <c r="O1178" i="41" s="1"/>
  <c r="AC429" i="41"/>
  <c r="AE489" i="41" s="1" a="1"/>
  <c r="AE489" i="41" s="1"/>
  <c r="R432" i="41"/>
  <c r="V432" i="41" s="1"/>
  <c r="T1175" i="41" l="1"/>
  <c r="AC1176" i="41"/>
  <c r="T1176" i="41" s="1"/>
  <c r="AB1176" i="41"/>
  <c r="I1176" i="41"/>
  <c r="H1176" i="41"/>
  <c r="G1176" i="41" s="1"/>
  <c r="U1178" i="41"/>
  <c r="AC1177" i="41" s="1"/>
  <c r="Q1179" i="41"/>
  <c r="AH1175" i="41"/>
  <c r="AJ1175" i="41"/>
  <c r="AI1175" i="41"/>
  <c r="AK1175" i="41"/>
  <c r="AG1175" i="41"/>
  <c r="AF1175" i="41"/>
  <c r="O433" i="41"/>
  <c r="W432" i="41"/>
  <c r="X432" i="41"/>
  <c r="P433" i="41"/>
  <c r="AB432" i="41" a="1"/>
  <c r="AB432" i="41" s="1"/>
  <c r="R433" i="41"/>
  <c r="V433" i="41" s="1"/>
  <c r="V1178" i="41"/>
  <c r="O1179" i="41" s="1"/>
  <c r="AD430" i="41"/>
  <c r="U432" i="41"/>
  <c r="Q433" i="41"/>
  <c r="S431" i="41"/>
  <c r="L1173" i="41"/>
  <c r="AI1174" i="41"/>
  <c r="AK1174" i="41"/>
  <c r="AF1174" i="41"/>
  <c r="AJ1174" i="41"/>
  <c r="AH1174" i="41"/>
  <c r="AG1174" i="41"/>
  <c r="AI490" i="41"/>
  <c r="AF490" i="41"/>
  <c r="AJ490" i="41"/>
  <c r="AG490" i="41"/>
  <c r="AH490" i="41"/>
  <c r="AK490" i="41"/>
  <c r="W1178" i="41"/>
  <c r="X1178" i="41"/>
  <c r="P1179" i="41"/>
  <c r="AG489" i="41"/>
  <c r="AH489" i="41"/>
  <c r="AI489" i="41"/>
  <c r="AF489" i="41"/>
  <c r="AK489" i="41"/>
  <c r="AJ489" i="41"/>
  <c r="S1177" i="41"/>
  <c r="R1179" i="41"/>
  <c r="V1179" i="41" s="1"/>
  <c r="I430" i="41"/>
  <c r="H430" i="41"/>
  <c r="G430" i="41" s="1"/>
  <c r="M431" i="41"/>
  <c r="L431" i="41" s="1"/>
  <c r="S1178" i="41" l="1"/>
  <c r="I1178" i="41" s="1"/>
  <c r="AB1177" i="41"/>
  <c r="AD1177" i="41"/>
  <c r="AE1176" i="41"/>
  <c r="AG1176" i="41" s="1"/>
  <c r="M1175" i="41"/>
  <c r="M1174" i="41"/>
  <c r="L1174" i="41" s="1"/>
  <c r="W1179" i="41"/>
  <c r="X1179" i="41"/>
  <c r="P1180" i="41"/>
  <c r="R434" i="41"/>
  <c r="M432" i="41"/>
  <c r="L432" i="41" s="1"/>
  <c r="O1180" i="41"/>
  <c r="O434" i="41"/>
  <c r="AD431" i="41"/>
  <c r="R1180" i="41"/>
  <c r="W433" i="41"/>
  <c r="X433" i="41"/>
  <c r="P434" i="41"/>
  <c r="S432" i="41"/>
  <c r="AE1177" i="41"/>
  <c r="T1177" i="41"/>
  <c r="U1179" i="41"/>
  <c r="AC1178" i="41" s="1"/>
  <c r="Q1180" i="41"/>
  <c r="AC431" i="41"/>
  <c r="AE491" i="41" s="1" a="1"/>
  <c r="AE491" i="41" s="1"/>
  <c r="I1177" i="41"/>
  <c r="H1177" i="41"/>
  <c r="G1177" i="41" s="1"/>
  <c r="U433" i="41"/>
  <c r="AC432" i="41" s="1"/>
  <c r="AE492" i="41" s="1" a="1"/>
  <c r="AE492" i="41" s="1"/>
  <c r="Q434" i="41"/>
  <c r="I431" i="41"/>
  <c r="H431" i="41"/>
  <c r="G431" i="41" s="1"/>
  <c r="AB433" i="41" a="1"/>
  <c r="AB433" i="41" s="1"/>
  <c r="H1178" i="41" l="1"/>
  <c r="G1178" i="41" s="1"/>
  <c r="AF1176" i="41"/>
  <c r="AI1176" i="41"/>
  <c r="AJ1176" i="41"/>
  <c r="AK1176" i="41"/>
  <c r="AH1176" i="41"/>
  <c r="L1175" i="41"/>
  <c r="AB434" i="41" a="1"/>
  <c r="AB434" i="41" s="1"/>
  <c r="S1179" i="41"/>
  <c r="H1179" i="41" s="1"/>
  <c r="G1179" i="41" s="1"/>
  <c r="M433" i="41"/>
  <c r="L433" i="41" s="1"/>
  <c r="S433" i="41"/>
  <c r="I433" i="41" s="1"/>
  <c r="AD432" i="41"/>
  <c r="AE1178" i="41"/>
  <c r="T1178" i="41"/>
  <c r="U1180" i="41"/>
  <c r="AB1179" i="41" s="1"/>
  <c r="Q1181" i="41"/>
  <c r="U434" i="41"/>
  <c r="Q435" i="41"/>
  <c r="V1180" i="41"/>
  <c r="O1181" i="41" s="1"/>
  <c r="AI492" i="41"/>
  <c r="AJ492" i="41"/>
  <c r="AH492" i="41"/>
  <c r="AF492" i="41"/>
  <c r="AK492" i="41"/>
  <c r="AG492" i="41"/>
  <c r="I432" i="41"/>
  <c r="H432" i="41"/>
  <c r="G432" i="41" s="1"/>
  <c r="AH491" i="41"/>
  <c r="AG491" i="41"/>
  <c r="AI491" i="41"/>
  <c r="AJ491" i="41"/>
  <c r="AK491" i="41"/>
  <c r="AF491" i="41"/>
  <c r="AK1177" i="41"/>
  <c r="AF1177" i="41"/>
  <c r="AJ1177" i="41"/>
  <c r="AH1177" i="41"/>
  <c r="AG1177" i="41"/>
  <c r="AI1177" i="41"/>
  <c r="R435" i="41"/>
  <c r="V435" i="41" s="1"/>
  <c r="W434" i="41"/>
  <c r="X434" i="41"/>
  <c r="P435" i="41"/>
  <c r="V434" i="41"/>
  <c r="O435" i="41" s="1"/>
  <c r="R1181" i="41"/>
  <c r="AB1178" i="41"/>
  <c r="AD1178" i="41"/>
  <c r="W1180" i="41"/>
  <c r="X1180" i="41"/>
  <c r="P1181" i="41"/>
  <c r="I1179" i="41" l="1"/>
  <c r="M1176" i="41"/>
  <c r="L1176" i="41" s="1"/>
  <c r="H433" i="41"/>
  <c r="G433" i="41" s="1"/>
  <c r="AB435" i="41" a="1"/>
  <c r="AB435" i="41" s="1"/>
  <c r="AD1179" i="41"/>
  <c r="AC1179" i="41"/>
  <c r="AE1179" i="41" s="1"/>
  <c r="M1177" i="41"/>
  <c r="W1181" i="41"/>
  <c r="X1181" i="41"/>
  <c r="P1182" i="41"/>
  <c r="W435" i="41"/>
  <c r="X435" i="41"/>
  <c r="P436" i="41"/>
  <c r="O436" i="41"/>
  <c r="U1181" i="41"/>
  <c r="Q1182" i="41"/>
  <c r="U435" i="41"/>
  <c r="Q436" i="41"/>
  <c r="V1181" i="41"/>
  <c r="O1182" i="41" s="1"/>
  <c r="R436" i="41"/>
  <c r="V436" i="41" s="1"/>
  <c r="R1182" i="41"/>
  <c r="AD433" i="41"/>
  <c r="AC433" i="41"/>
  <c r="AE493" i="41" s="1" a="1"/>
  <c r="AE493" i="41" s="1"/>
  <c r="S1180" i="41"/>
  <c r="S434" i="41"/>
  <c r="S435" i="41" s="1"/>
  <c r="I435" i="41" s="1"/>
  <c r="M434" i="41"/>
  <c r="L434" i="41" s="1"/>
  <c r="AH1178" i="41"/>
  <c r="AF1178" i="41"/>
  <c r="AI1178" i="41"/>
  <c r="AG1178" i="41"/>
  <c r="AJ1178" i="41"/>
  <c r="AK1178" i="41"/>
  <c r="T1179" i="41" l="1"/>
  <c r="L1177" i="41"/>
  <c r="S1181" i="41"/>
  <c r="I1181" i="41" s="1"/>
  <c r="M1178" i="41"/>
  <c r="O437" i="41"/>
  <c r="U1182" i="41"/>
  <c r="AD1181" i="41" s="1"/>
  <c r="Q1183" i="41"/>
  <c r="H435" i="41"/>
  <c r="G435" i="41" s="1"/>
  <c r="R1183" i="41"/>
  <c r="R437" i="41"/>
  <c r="V437" i="41" s="1"/>
  <c r="AG1179" i="41"/>
  <c r="AI1179" i="41"/>
  <c r="AH1179" i="41"/>
  <c r="AJ1179" i="41"/>
  <c r="AK1179" i="41"/>
  <c r="AF1179" i="41"/>
  <c r="H1181" i="41"/>
  <c r="G1181" i="41" s="1"/>
  <c r="AB436" i="41" a="1"/>
  <c r="AB436" i="41" s="1"/>
  <c r="M435" i="41"/>
  <c r="L435" i="41" s="1"/>
  <c r="W1182" i="41"/>
  <c r="X1182" i="41"/>
  <c r="P1183" i="41"/>
  <c r="AD434" i="41"/>
  <c r="AC1181" i="41"/>
  <c r="I1180" i="41"/>
  <c r="H1180" i="41"/>
  <c r="G1180" i="41" s="1"/>
  <c r="V1182" i="41"/>
  <c r="O1183" i="41" s="1"/>
  <c r="U436" i="41"/>
  <c r="Q437" i="41"/>
  <c r="AC434" i="41"/>
  <c r="AE494" i="41" s="1" a="1"/>
  <c r="AE494" i="41" s="1"/>
  <c r="I434" i="41"/>
  <c r="H434" i="41"/>
  <c r="G434" i="41" s="1"/>
  <c r="AB1180" i="41"/>
  <c r="AC1180" i="41"/>
  <c r="AK493" i="41"/>
  <c r="AG493" i="41"/>
  <c r="AI493" i="41"/>
  <c r="AF493" i="41"/>
  <c r="AH493" i="41"/>
  <c r="AJ493" i="41"/>
  <c r="AD1180" i="41"/>
  <c r="W436" i="41"/>
  <c r="X436" i="41"/>
  <c r="P437" i="41"/>
  <c r="L1178" i="41" l="1"/>
  <c r="M1179" i="41"/>
  <c r="AB437" i="41" a="1"/>
  <c r="AB437" i="41" s="1"/>
  <c r="W1183" i="41"/>
  <c r="P1184" i="41"/>
  <c r="X1183" i="41"/>
  <c r="U437" i="41"/>
  <c r="Q438" i="41"/>
  <c r="U1183" i="41"/>
  <c r="Q1184" i="41"/>
  <c r="AC435" i="41"/>
  <c r="AE495" i="41" s="1" a="1"/>
  <c r="AE495" i="41" s="1"/>
  <c r="V1183" i="41"/>
  <c r="O1184" i="41" s="1"/>
  <c r="AE1181" i="41"/>
  <c r="T1181" i="41"/>
  <c r="M436" i="41"/>
  <c r="L436" i="41" s="1"/>
  <c r="AB1181" i="41"/>
  <c r="O438" i="41"/>
  <c r="AD435" i="41"/>
  <c r="W437" i="41"/>
  <c r="X437" i="41"/>
  <c r="P438" i="41"/>
  <c r="AE1180" i="41"/>
  <c r="T1180" i="41"/>
  <c r="R438" i="41"/>
  <c r="V438" i="41" s="1"/>
  <c r="S1182" i="41"/>
  <c r="R1184" i="41"/>
  <c r="V1184" i="41" s="1"/>
  <c r="AK494" i="41"/>
  <c r="AF494" i="41"/>
  <c r="AJ494" i="41"/>
  <c r="AI494" i="41"/>
  <c r="AH494" i="41"/>
  <c r="AG494" i="41"/>
  <c r="S436" i="41"/>
  <c r="L1179" i="41" l="1"/>
  <c r="S1183" i="41"/>
  <c r="I1183" i="41" s="1"/>
  <c r="AB1182" i="41"/>
  <c r="S437" i="41"/>
  <c r="I437" i="41" s="1"/>
  <c r="AC1182" i="41"/>
  <c r="AE1182" i="41" s="1"/>
  <c r="AD1182" i="41"/>
  <c r="O439" i="41"/>
  <c r="AC436" i="41"/>
  <c r="AE496" i="41" s="1" a="1"/>
  <c r="AE496" i="41" s="1"/>
  <c r="R439" i="41"/>
  <c r="V439" i="41" s="1"/>
  <c r="AD436" i="41"/>
  <c r="AG1181" i="41"/>
  <c r="AK1181" i="41"/>
  <c r="AH1181" i="41"/>
  <c r="AJ1181" i="41"/>
  <c r="AI1181" i="41"/>
  <c r="AF1181" i="41"/>
  <c r="W1184" i="41"/>
  <c r="X1184" i="41"/>
  <c r="P1185" i="41"/>
  <c r="W438" i="41"/>
  <c r="P439" i="41"/>
  <c r="X438" i="41"/>
  <c r="AB438" i="41" a="1"/>
  <c r="AB438" i="41" s="1"/>
  <c r="I436" i="41"/>
  <c r="H436" i="41"/>
  <c r="G436" i="41" s="1"/>
  <c r="AH1180" i="41"/>
  <c r="AJ1180" i="41"/>
  <c r="AK1180" i="41"/>
  <c r="AF1180" i="41"/>
  <c r="AI1180" i="41"/>
  <c r="AG1180" i="41"/>
  <c r="M437" i="41"/>
  <c r="L437" i="41" s="1"/>
  <c r="U1184" i="41"/>
  <c r="AB1183" i="41" s="1"/>
  <c r="Q1185" i="41"/>
  <c r="H1182" i="41"/>
  <c r="G1182" i="41" s="1"/>
  <c r="I1182" i="41"/>
  <c r="R1185" i="41"/>
  <c r="V1185" i="41" s="1"/>
  <c r="AF495" i="41"/>
  <c r="AK495" i="41"/>
  <c r="AJ495" i="41"/>
  <c r="AH495" i="41"/>
  <c r="AI495" i="41"/>
  <c r="AG495" i="41"/>
  <c r="O1185" i="41"/>
  <c r="U438" i="41"/>
  <c r="AC437" i="41" s="1"/>
  <c r="AE497" i="41" s="1" a="1"/>
  <c r="AE497" i="41" s="1"/>
  <c r="Q439" i="41"/>
  <c r="H1183" i="41" l="1"/>
  <c r="G1183" i="41" s="1"/>
  <c r="H437" i="41"/>
  <c r="G437" i="41" s="1"/>
  <c r="T1182" i="41"/>
  <c r="AD437" i="41"/>
  <c r="M1180" i="41"/>
  <c r="L1180" i="41" s="1"/>
  <c r="M1181" i="41"/>
  <c r="R440" i="41"/>
  <c r="V440" i="41" s="1"/>
  <c r="AD1183" i="41"/>
  <c r="O440" i="41"/>
  <c r="R1186" i="41"/>
  <c r="U439" i="41"/>
  <c r="AD438" i="41" s="1"/>
  <c r="Q440" i="41"/>
  <c r="AB439" i="41" a="1"/>
  <c r="AB439" i="41" s="1"/>
  <c r="AC1183" i="41"/>
  <c r="AG496" i="41"/>
  <c r="AK496" i="41"/>
  <c r="AI496" i="41"/>
  <c r="AJ496" i="41"/>
  <c r="AF496" i="41"/>
  <c r="AH496" i="41"/>
  <c r="W439" i="41"/>
  <c r="X439" i="41"/>
  <c r="P440" i="41"/>
  <c r="AK497" i="41"/>
  <c r="AF497" i="41"/>
  <c r="AI497" i="41"/>
  <c r="AG497" i="41"/>
  <c r="AH497" i="41"/>
  <c r="AJ497" i="41"/>
  <c r="AF1182" i="41"/>
  <c r="AK1182" i="41"/>
  <c r="AJ1182" i="41"/>
  <c r="AG1182" i="41"/>
  <c r="AH1182" i="41"/>
  <c r="AI1182" i="41"/>
  <c r="S1184" i="41"/>
  <c r="S438" i="41"/>
  <c r="S439" i="41" s="1"/>
  <c r="M438" i="41"/>
  <c r="L438" i="41" s="1"/>
  <c r="U1185" i="41"/>
  <c r="Q1186" i="41"/>
  <c r="W1185" i="41"/>
  <c r="P1186" i="41"/>
  <c r="X1185" i="41"/>
  <c r="O1186" i="41"/>
  <c r="AB440" i="41" l="1" a="1"/>
  <c r="AB440" i="41" s="1"/>
  <c r="M1182" i="41"/>
  <c r="AC438" i="41"/>
  <c r="AE498" i="41" s="1" a="1"/>
  <c r="AE498" i="41" s="1"/>
  <c r="AG498" i="41" s="1"/>
  <c r="L1181" i="41"/>
  <c r="I439" i="41"/>
  <c r="H439" i="41"/>
  <c r="G439" i="41" s="1"/>
  <c r="U1186" i="41"/>
  <c r="Q1187" i="41"/>
  <c r="W440" i="41"/>
  <c r="X440" i="41"/>
  <c r="P441" i="41"/>
  <c r="AC1184" i="41"/>
  <c r="I438" i="41"/>
  <c r="H438" i="41"/>
  <c r="G438" i="41" s="1"/>
  <c r="S1185" i="41"/>
  <c r="AE1183" i="41"/>
  <c r="T1183" i="41"/>
  <c r="AD1184" i="41"/>
  <c r="M439" i="41"/>
  <c r="L439" i="41" s="1"/>
  <c r="I1184" i="41"/>
  <c r="H1184" i="41"/>
  <c r="G1184" i="41" s="1"/>
  <c r="U440" i="41"/>
  <c r="S440" i="41" s="1"/>
  <c r="I440" i="41" s="1"/>
  <c r="Q441" i="41"/>
  <c r="V1186" i="41"/>
  <c r="O1187" i="41" s="1"/>
  <c r="W1186" i="41"/>
  <c r="X1186" i="41"/>
  <c r="P1187" i="41"/>
  <c r="AB1184" i="41"/>
  <c r="R1187" i="41"/>
  <c r="R441" i="41"/>
  <c r="O441" i="41"/>
  <c r="V1187" i="41" l="1"/>
  <c r="AC439" i="41"/>
  <c r="AE499" i="41" s="1" a="1"/>
  <c r="AE499" i="41" s="1"/>
  <c r="AG499" i="41" s="1"/>
  <c r="AJ498" i="41"/>
  <c r="AF498" i="41"/>
  <c r="AK498" i="41"/>
  <c r="AI498" i="41"/>
  <c r="AH498" i="41"/>
  <c r="L1182" i="41"/>
  <c r="R1188" i="41"/>
  <c r="V1188" i="41" s="1"/>
  <c r="S1186" i="41"/>
  <c r="U441" i="41"/>
  <c r="Q442" i="41"/>
  <c r="AI1183" i="41"/>
  <c r="AG1183" i="41"/>
  <c r="AJ1183" i="41"/>
  <c r="AF1183" i="41"/>
  <c r="AH1183" i="41"/>
  <c r="AK1183" i="41"/>
  <c r="H1185" i="41"/>
  <c r="G1185" i="41" s="1"/>
  <c r="I1185" i="41"/>
  <c r="W1187" i="41"/>
  <c r="X1187" i="41"/>
  <c r="P1188" i="41"/>
  <c r="AD1185" i="41"/>
  <c r="W441" i="41"/>
  <c r="X441" i="41"/>
  <c r="P442" i="41"/>
  <c r="H440" i="41"/>
  <c r="G440" i="41" s="1"/>
  <c r="AC1185" i="41"/>
  <c r="AB441" i="41" a="1"/>
  <c r="AB441" i="41" s="1"/>
  <c r="AE1184" i="41"/>
  <c r="T1184" i="41"/>
  <c r="V441" i="41"/>
  <c r="O442" i="41" s="1"/>
  <c r="R442" i="41"/>
  <c r="U1187" i="41"/>
  <c r="AD1186" i="41" s="1"/>
  <c r="Q1188" i="41"/>
  <c r="AB1185" i="41"/>
  <c r="M440" i="41"/>
  <c r="L440" i="41" s="1"/>
  <c r="AD439" i="41"/>
  <c r="O1188" i="41"/>
  <c r="AB442" i="41" l="1" a="1"/>
  <c r="AB442" i="41" s="1"/>
  <c r="AH499" i="41"/>
  <c r="AK499" i="41"/>
  <c r="AJ499" i="41"/>
  <c r="AI499" i="41"/>
  <c r="AF499" i="41"/>
  <c r="V442" i="41"/>
  <c r="M1183" i="41"/>
  <c r="L1183" i="41" s="1"/>
  <c r="S1187" i="41"/>
  <c r="I1187" i="41" s="1"/>
  <c r="AB1186" i="41"/>
  <c r="W442" i="41"/>
  <c r="P443" i="41"/>
  <c r="X442" i="41"/>
  <c r="M441" i="41"/>
  <c r="L441" i="41" s="1"/>
  <c r="O443" i="41"/>
  <c r="R1189" i="41"/>
  <c r="AI1184" i="41"/>
  <c r="AJ1184" i="41"/>
  <c r="AF1184" i="41"/>
  <c r="AG1184" i="41"/>
  <c r="AH1184" i="41"/>
  <c r="AK1184" i="41"/>
  <c r="H1186" i="41"/>
  <c r="G1186" i="41" s="1"/>
  <c r="I1186" i="41"/>
  <c r="U1188" i="41"/>
  <c r="Q1189" i="41"/>
  <c r="W1188" i="41"/>
  <c r="X1188" i="41"/>
  <c r="P1189" i="41"/>
  <c r="AD440" i="41"/>
  <c r="U442" i="41"/>
  <c r="AC441" i="41" s="1"/>
  <c r="AE501" i="41" s="1" a="1"/>
  <c r="AE501" i="41" s="1"/>
  <c r="Q443" i="41"/>
  <c r="AC440" i="41"/>
  <c r="AE500" i="41" s="1" a="1"/>
  <c r="AE500" i="41" s="1"/>
  <c r="AE1185" i="41"/>
  <c r="T1185" i="41"/>
  <c r="O1189" i="41"/>
  <c r="S441" i="41"/>
  <c r="R443" i="41"/>
  <c r="AC1186" i="41"/>
  <c r="H1187" i="41" l="1"/>
  <c r="G1187" i="41" s="1"/>
  <c r="S1188" i="41"/>
  <c r="H1188" i="41" s="1"/>
  <c r="G1188" i="41" s="1"/>
  <c r="M1184" i="41"/>
  <c r="L1184" i="41" s="1"/>
  <c r="S442" i="41"/>
  <c r="I442" i="41" s="1"/>
  <c r="U1189" i="41"/>
  <c r="AC1188" i="41" s="1"/>
  <c r="Q1190" i="41"/>
  <c r="U443" i="41"/>
  <c r="AD442" i="41" s="1"/>
  <c r="Q444" i="41"/>
  <c r="V443" i="41"/>
  <c r="O444" i="41" s="1"/>
  <c r="AD1187" i="41"/>
  <c r="V1189" i="41"/>
  <c r="O1190" i="41" s="1"/>
  <c r="AB1187" i="41"/>
  <c r="AB443" i="41" a="1"/>
  <c r="AB443" i="41" s="1"/>
  <c r="R444" i="41"/>
  <c r="V444" i="41" s="1"/>
  <c r="W443" i="41"/>
  <c r="X443" i="41"/>
  <c r="P444" i="41"/>
  <c r="I441" i="41"/>
  <c r="H441" i="41"/>
  <c r="G441" i="41" s="1"/>
  <c r="R1190" i="41"/>
  <c r="AE1186" i="41"/>
  <c r="T1186" i="41"/>
  <c r="AF501" i="41"/>
  <c r="AJ501" i="41"/>
  <c r="AH501" i="41"/>
  <c r="AI501" i="41"/>
  <c r="AG501" i="41"/>
  <c r="AK501" i="41"/>
  <c r="AC1187" i="41"/>
  <c r="AD441" i="41"/>
  <c r="W1189" i="41"/>
  <c r="X1189" i="41"/>
  <c r="P1190" i="41"/>
  <c r="AH1185" i="41"/>
  <c r="AF1185" i="41"/>
  <c r="AG1185" i="41"/>
  <c r="AI1185" i="41"/>
  <c r="AJ1185" i="41"/>
  <c r="AK1185" i="41"/>
  <c r="AH500" i="41"/>
  <c r="AF500" i="41"/>
  <c r="AG500" i="41"/>
  <c r="AK500" i="41"/>
  <c r="AI500" i="41"/>
  <c r="AJ500" i="41"/>
  <c r="M442" i="41"/>
  <c r="L442" i="41" s="1"/>
  <c r="I1188" i="41" l="1"/>
  <c r="H442" i="41"/>
  <c r="G442" i="41" s="1"/>
  <c r="AB444" i="41" a="1"/>
  <c r="AB444" i="41" s="1"/>
  <c r="AD1188" i="41"/>
  <c r="U1190" i="41"/>
  <c r="AB1189" i="41" s="1"/>
  <c r="Q1191" i="41"/>
  <c r="V1190" i="41"/>
  <c r="O1191" i="41" s="1"/>
  <c r="AE1188" i="41"/>
  <c r="T1188" i="41"/>
  <c r="W444" i="41"/>
  <c r="X444" i="41"/>
  <c r="P445" i="41"/>
  <c r="S1189" i="41"/>
  <c r="S443" i="41"/>
  <c r="W1190" i="41"/>
  <c r="P1191" i="41"/>
  <c r="X1190" i="41"/>
  <c r="M1185" i="41"/>
  <c r="L1185" i="41" s="1"/>
  <c r="U444" i="41"/>
  <c r="AC443" i="41" s="1"/>
  <c r="AE503" i="41" s="1" a="1"/>
  <c r="AE503" i="41" s="1"/>
  <c r="Q445" i="41"/>
  <c r="R1191" i="41"/>
  <c r="AE1187" i="41"/>
  <c r="T1187" i="41"/>
  <c r="R445" i="41"/>
  <c r="V445" i="41" s="1"/>
  <c r="M443" i="41"/>
  <c r="L443" i="41" s="1"/>
  <c r="AB1188" i="41"/>
  <c r="AH1186" i="41"/>
  <c r="AI1186" i="41"/>
  <c r="AJ1186" i="41"/>
  <c r="AK1186" i="41"/>
  <c r="AG1186" i="41"/>
  <c r="AF1186" i="41"/>
  <c r="AC442" i="41"/>
  <c r="AE502" i="41" s="1" a="1"/>
  <c r="AE502" i="41" s="1"/>
  <c r="O445" i="41"/>
  <c r="V1191" i="41" l="1"/>
  <c r="O1192" i="41" s="1"/>
  <c r="AC1189" i="41"/>
  <c r="AE1189" i="41" s="1"/>
  <c r="AB445" i="41" a="1"/>
  <c r="AB445" i="41" s="1"/>
  <c r="M1186" i="41"/>
  <c r="L1186" i="41" s="1"/>
  <c r="S444" i="41"/>
  <c r="I444" i="41" s="1"/>
  <c r="S1190" i="41"/>
  <c r="H1190" i="41" s="1"/>
  <c r="G1190" i="41" s="1"/>
  <c r="AF503" i="41"/>
  <c r="AH503" i="41"/>
  <c r="AG503" i="41"/>
  <c r="AI503" i="41"/>
  <c r="AJ503" i="41"/>
  <c r="AK503" i="41"/>
  <c r="W1191" i="41"/>
  <c r="X1191" i="41"/>
  <c r="P1192" i="41"/>
  <c r="W445" i="41"/>
  <c r="P446" i="41"/>
  <c r="X445" i="41"/>
  <c r="AF502" i="41"/>
  <c r="AH502" i="41"/>
  <c r="AJ502" i="41"/>
  <c r="AI502" i="41"/>
  <c r="AK502" i="41"/>
  <c r="AG502" i="41"/>
  <c r="R1192" i="41"/>
  <c r="V1192" i="41" s="1"/>
  <c r="I443" i="41"/>
  <c r="H443" i="41"/>
  <c r="G443" i="41" s="1"/>
  <c r="R446" i="41"/>
  <c r="T1189" i="41"/>
  <c r="U1191" i="41"/>
  <c r="AB1190" i="41" s="1"/>
  <c r="Q1192" i="41"/>
  <c r="O446" i="41"/>
  <c r="AF1188" i="41"/>
  <c r="AI1188" i="41"/>
  <c r="AJ1188" i="41"/>
  <c r="AK1188" i="41"/>
  <c r="AG1188" i="41"/>
  <c r="AH1188" i="41"/>
  <c r="I1189" i="41"/>
  <c r="H1189" i="41"/>
  <c r="G1189" i="41" s="1"/>
  <c r="M444" i="41"/>
  <c r="L444" i="41" s="1"/>
  <c r="U445" i="41"/>
  <c r="AC444" i="41" s="1"/>
  <c r="AE504" i="41" s="1" a="1"/>
  <c r="AE504" i="41" s="1"/>
  <c r="Q446" i="41"/>
  <c r="AH1187" i="41"/>
  <c r="AK1187" i="41"/>
  <c r="AI1187" i="41"/>
  <c r="AJ1187" i="41"/>
  <c r="AG1187" i="41"/>
  <c r="AF1187" i="41"/>
  <c r="H444" i="41"/>
  <c r="G444" i="41" s="1"/>
  <c r="AD1189" i="41"/>
  <c r="AD443" i="41"/>
  <c r="AB446" i="41" l="1" a="1"/>
  <c r="AB446" i="41" s="1"/>
  <c r="I1190" i="41"/>
  <c r="AD444" i="41"/>
  <c r="AC1190" i="41"/>
  <c r="AE1190" i="41" s="1"/>
  <c r="AD1190" i="41"/>
  <c r="S1191" i="41"/>
  <c r="M1187" i="41"/>
  <c r="L1187" i="41" s="1"/>
  <c r="M1188" i="41"/>
  <c r="AG1189" i="41"/>
  <c r="AI1189" i="41"/>
  <c r="AJ1189" i="41"/>
  <c r="AH1189" i="41"/>
  <c r="AK1189" i="41"/>
  <c r="AF1189" i="41"/>
  <c r="W1192" i="41"/>
  <c r="X1192" i="41"/>
  <c r="P1193" i="41"/>
  <c r="U1192" i="41"/>
  <c r="Q1193" i="41"/>
  <c r="R447" i="41"/>
  <c r="U446" i="41"/>
  <c r="AC445" i="41" s="1"/>
  <c r="AE505" i="41" s="1" a="1"/>
  <c r="AE505" i="41" s="1"/>
  <c r="Q447" i="41"/>
  <c r="W446" i="41"/>
  <c r="X446" i="41"/>
  <c r="P447" i="41"/>
  <c r="M445" i="41"/>
  <c r="L445" i="41" s="1"/>
  <c r="AI504" i="41"/>
  <c r="AH504" i="41"/>
  <c r="AJ504" i="41"/>
  <c r="AK504" i="41"/>
  <c r="AF504" i="41"/>
  <c r="AG504" i="41"/>
  <c r="V446" i="41"/>
  <c r="O447" i="41" s="1"/>
  <c r="S445" i="41"/>
  <c r="O1193" i="41"/>
  <c r="R1193" i="41"/>
  <c r="S1192" i="41" l="1"/>
  <c r="I1192" i="41" s="1"/>
  <c r="T1190" i="41"/>
  <c r="M1189" i="41"/>
  <c r="L1188" i="41"/>
  <c r="AB447" i="41" a="1"/>
  <c r="AB447" i="41" s="1"/>
  <c r="AD445" i="41"/>
  <c r="H1191" i="41"/>
  <c r="G1191" i="41" s="1"/>
  <c r="I1191" i="41"/>
  <c r="AC1191" i="41"/>
  <c r="AE1191" i="41" s="1"/>
  <c r="AD1191" i="41"/>
  <c r="U1193" i="41"/>
  <c r="AD1192" i="41" s="1"/>
  <c r="Q1194" i="41"/>
  <c r="U447" i="41"/>
  <c r="Q448" i="41"/>
  <c r="R1194" i="41"/>
  <c r="V1193" i="41"/>
  <c r="O1194" i="41" s="1"/>
  <c r="V447" i="41"/>
  <c r="O448" i="41" s="1"/>
  <c r="AF505" i="41"/>
  <c r="AK505" i="41"/>
  <c r="AJ505" i="41"/>
  <c r="AG505" i="41"/>
  <c r="AH505" i="41"/>
  <c r="AI505" i="41"/>
  <c r="AK1190" i="41"/>
  <c r="AJ1190" i="41"/>
  <c r="AF1190" i="41"/>
  <c r="AI1190" i="41"/>
  <c r="AG1190" i="41"/>
  <c r="AH1190" i="41"/>
  <c r="W1193" i="41"/>
  <c r="X1193" i="41"/>
  <c r="P1194" i="41"/>
  <c r="AB1191" i="41"/>
  <c r="R448" i="41"/>
  <c r="W447" i="41"/>
  <c r="X447" i="41"/>
  <c r="P448" i="41"/>
  <c r="I445" i="41"/>
  <c r="H445" i="41"/>
  <c r="G445" i="41" s="1"/>
  <c r="M446" i="41"/>
  <c r="L446" i="41" s="1"/>
  <c r="S446" i="41"/>
  <c r="V1194" i="41" l="1"/>
  <c r="O1195" i="41" s="1"/>
  <c r="H1192" i="41"/>
  <c r="G1192" i="41" s="1"/>
  <c r="M1190" i="41"/>
  <c r="L1189" i="41"/>
  <c r="S447" i="41"/>
  <c r="I447" i="41" s="1"/>
  <c r="AC1192" i="41"/>
  <c r="AE1192" i="41" s="1"/>
  <c r="T1191" i="41"/>
  <c r="S1193" i="41"/>
  <c r="H1193" i="41" s="1"/>
  <c r="G1193" i="41" s="1"/>
  <c r="AC446" i="41"/>
  <c r="AE506" i="41" s="1" a="1"/>
  <c r="AE506" i="41" s="1"/>
  <c r="AK506" i="41" s="1"/>
  <c r="AD446" i="41"/>
  <c r="AB1192" i="41"/>
  <c r="W1194" i="41"/>
  <c r="X1194" i="41"/>
  <c r="P1195" i="41"/>
  <c r="R449" i="41"/>
  <c r="U448" i="41"/>
  <c r="AD447" i="41" s="1"/>
  <c r="Q449" i="41"/>
  <c r="AB448" i="41" a="1"/>
  <c r="AB448" i="41" s="1"/>
  <c r="AJ1191" i="41"/>
  <c r="AG1191" i="41"/>
  <c r="AI1191" i="41"/>
  <c r="AK1191" i="41"/>
  <c r="AF1191" i="41"/>
  <c r="AH1191" i="41"/>
  <c r="V448" i="41"/>
  <c r="O449" i="41" s="1"/>
  <c r="W448" i="41"/>
  <c r="X448" i="41"/>
  <c r="P449" i="41"/>
  <c r="M447" i="41"/>
  <c r="L447" i="41" s="1"/>
  <c r="T1192" i="41"/>
  <c r="I446" i="41"/>
  <c r="H446" i="41"/>
  <c r="G446" i="41" s="1"/>
  <c r="U1194" i="41"/>
  <c r="AD1193" i="41" s="1"/>
  <c r="Q1195" i="41"/>
  <c r="R1195" i="41"/>
  <c r="V1195" i="41" s="1"/>
  <c r="H447" i="41" l="1"/>
  <c r="G447" i="41" s="1"/>
  <c r="I1193" i="41"/>
  <c r="L1190" i="41"/>
  <c r="AB449" i="41" a="1"/>
  <c r="AB449" i="41" s="1"/>
  <c r="S448" i="41"/>
  <c r="I448" i="41" s="1"/>
  <c r="AJ506" i="41"/>
  <c r="AI506" i="41"/>
  <c r="AG506" i="41"/>
  <c r="AF506" i="41"/>
  <c r="AH506" i="41"/>
  <c r="M1191" i="41"/>
  <c r="W449" i="41"/>
  <c r="X449" i="41"/>
  <c r="P450" i="41"/>
  <c r="O1196" i="41"/>
  <c r="AB1193" i="41"/>
  <c r="AH1192" i="41"/>
  <c r="AK1192" i="41"/>
  <c r="AI1192" i="41"/>
  <c r="AJ1192" i="41"/>
  <c r="AG1192" i="41"/>
  <c r="AF1192" i="41"/>
  <c r="U449" i="41"/>
  <c r="AD448" i="41" s="1"/>
  <c r="Q450" i="41"/>
  <c r="AC1193" i="41"/>
  <c r="S1194" i="41"/>
  <c r="R1196" i="41"/>
  <c r="R450" i="41"/>
  <c r="V450" i="41" s="1"/>
  <c r="H448" i="41"/>
  <c r="G448" i="41" s="1"/>
  <c r="V449" i="41"/>
  <c r="O450" i="41" s="1"/>
  <c r="W1195" i="41"/>
  <c r="X1195" i="41"/>
  <c r="P1196" i="41"/>
  <c r="U1195" i="41"/>
  <c r="Q1196" i="41"/>
  <c r="M448" i="41"/>
  <c r="L448" i="41" s="1"/>
  <c r="AC447" i="41"/>
  <c r="AE507" i="41" s="1" a="1"/>
  <c r="AE507" i="41" s="1"/>
  <c r="L1191" i="41" l="1"/>
  <c r="AC448" i="41"/>
  <c r="AE508" i="41" s="1" a="1"/>
  <c r="AE508" i="41" s="1"/>
  <c r="AF508" i="41" s="1"/>
  <c r="S1195" i="41"/>
  <c r="M1192" i="41"/>
  <c r="I1195" i="41"/>
  <c r="H1195" i="41"/>
  <c r="G1195" i="41" s="1"/>
  <c r="U1196" i="41"/>
  <c r="Q1197" i="41"/>
  <c r="V1196" i="41"/>
  <c r="O1197" i="41" s="1"/>
  <c r="AE1193" i="41"/>
  <c r="T1193" i="41"/>
  <c r="AC1194" i="41"/>
  <c r="AD1194" i="41"/>
  <c r="W1196" i="41"/>
  <c r="X1196" i="41"/>
  <c r="P1197" i="41"/>
  <c r="I1194" i="41"/>
  <c r="H1194" i="41"/>
  <c r="G1194" i="41" s="1"/>
  <c r="R1197" i="41"/>
  <c r="O451" i="41"/>
  <c r="S449" i="41"/>
  <c r="R451" i="41"/>
  <c r="AB1194" i="41"/>
  <c r="W450" i="41"/>
  <c r="X450" i="41"/>
  <c r="P451" i="41"/>
  <c r="U450" i="41"/>
  <c r="AD449" i="41" s="1"/>
  <c r="Q451" i="41"/>
  <c r="AB450" i="41" a="1"/>
  <c r="AB450" i="41" s="1"/>
  <c r="AJ507" i="41"/>
  <c r="AG507" i="41"/>
  <c r="AH507" i="41"/>
  <c r="AF507" i="41"/>
  <c r="AK507" i="41"/>
  <c r="AI507" i="41"/>
  <c r="M449" i="41"/>
  <c r="L449" i="41" s="1"/>
  <c r="L1192" i="41" l="1"/>
  <c r="AH508" i="41"/>
  <c r="AG508" i="41"/>
  <c r="AI508" i="41"/>
  <c r="AJ508" i="41"/>
  <c r="AK508" i="41"/>
  <c r="R1198" i="41"/>
  <c r="U451" i="41"/>
  <c r="AD450" i="41" s="1"/>
  <c r="Q452" i="41"/>
  <c r="AB451" i="41" a="1"/>
  <c r="AB451" i="41" s="1"/>
  <c r="I449" i="41"/>
  <c r="H449" i="41"/>
  <c r="G449" i="41" s="1"/>
  <c r="W451" i="41"/>
  <c r="X451" i="41"/>
  <c r="P452" i="41"/>
  <c r="S450" i="41"/>
  <c r="R452" i="41"/>
  <c r="U1197" i="41"/>
  <c r="AC1196" i="41" s="1"/>
  <c r="Q1198" i="41"/>
  <c r="V451" i="41"/>
  <c r="O452" i="41" s="1"/>
  <c r="AE1194" i="41"/>
  <c r="T1194" i="41"/>
  <c r="V1197" i="41"/>
  <c r="O1198" i="41" s="1"/>
  <c r="AB1195" i="41"/>
  <c r="M450" i="41"/>
  <c r="L450" i="41" s="1"/>
  <c r="AC1195" i="41"/>
  <c r="S1196" i="41"/>
  <c r="W1197" i="41"/>
  <c r="X1197" i="41"/>
  <c r="P1198" i="41"/>
  <c r="AF1193" i="41"/>
  <c r="AI1193" i="41"/>
  <c r="AJ1193" i="41"/>
  <c r="AH1193" i="41"/>
  <c r="AG1193" i="41"/>
  <c r="AK1193" i="41"/>
  <c r="AD1195" i="41"/>
  <c r="AC449" i="41"/>
  <c r="AE509" i="41" s="1" a="1"/>
  <c r="AE509" i="41" s="1"/>
  <c r="AB1196" i="41" l="1"/>
  <c r="AC450" i="41"/>
  <c r="AE510" i="41" s="1" a="1"/>
  <c r="AE510" i="41" s="1"/>
  <c r="AF510" i="41" s="1"/>
  <c r="V1198" i="41"/>
  <c r="W1198" i="41"/>
  <c r="X1198" i="41"/>
  <c r="P1199" i="41"/>
  <c r="W452" i="41"/>
  <c r="P453" i="41"/>
  <c r="X452" i="41"/>
  <c r="O1199" i="41"/>
  <c r="AJ509" i="41"/>
  <c r="AK509" i="41"/>
  <c r="AF509" i="41"/>
  <c r="AI509" i="41"/>
  <c r="AH509" i="41"/>
  <c r="AG509" i="41"/>
  <c r="AD1196" i="41"/>
  <c r="U452" i="41"/>
  <c r="AC451" i="41" s="1"/>
  <c r="AE511" i="41" s="1" a="1"/>
  <c r="AE511" i="41" s="1"/>
  <c r="Q453" i="41"/>
  <c r="H1196" i="41"/>
  <c r="G1196" i="41" s="1"/>
  <c r="I1196" i="41"/>
  <c r="AB452" i="41" a="1"/>
  <c r="AB452" i="41" s="1"/>
  <c r="V452" i="41"/>
  <c r="O453" i="41" s="1"/>
  <c r="AI1194" i="41"/>
  <c r="AJ1194" i="41"/>
  <c r="AK1194" i="41"/>
  <c r="AF1194" i="41"/>
  <c r="AG1194" i="41"/>
  <c r="AH1194" i="41"/>
  <c r="I450" i="41"/>
  <c r="H450" i="41"/>
  <c r="G450" i="41" s="1"/>
  <c r="R453" i="41"/>
  <c r="U1198" i="41"/>
  <c r="AD1197" i="41" s="1"/>
  <c r="Q1199" i="41"/>
  <c r="AE1196" i="41"/>
  <c r="T1196" i="41"/>
  <c r="S1197" i="41"/>
  <c r="M1193" i="41"/>
  <c r="L1193" i="41" s="1"/>
  <c r="AE1195" i="41"/>
  <c r="T1195" i="41"/>
  <c r="R1199" i="41"/>
  <c r="V1199" i="41" s="1"/>
  <c r="M451" i="41"/>
  <c r="L451" i="41" s="1"/>
  <c r="S451" i="41"/>
  <c r="V453" i="41" l="1"/>
  <c r="O454" i="41" s="1"/>
  <c r="AJ510" i="41"/>
  <c r="AK510" i="41"/>
  <c r="AB1197" i="41"/>
  <c r="S1198" i="41"/>
  <c r="H1198" i="41" s="1"/>
  <c r="G1198" i="41" s="1"/>
  <c r="AG510" i="41"/>
  <c r="AI510" i="41"/>
  <c r="AH510" i="41"/>
  <c r="AD451" i="41"/>
  <c r="M1194" i="41"/>
  <c r="L1194" i="41" s="1"/>
  <c r="S452" i="41"/>
  <c r="I452" i="41" s="1"/>
  <c r="AJ1195" i="41"/>
  <c r="AK1195" i="41"/>
  <c r="AG1195" i="41"/>
  <c r="AF1195" i="41"/>
  <c r="AI1195" i="41"/>
  <c r="AH1195" i="41"/>
  <c r="W1199" i="41"/>
  <c r="X1199" i="41"/>
  <c r="P1200" i="41"/>
  <c r="AC1197" i="41"/>
  <c r="W453" i="41"/>
  <c r="X453" i="41"/>
  <c r="P454" i="41"/>
  <c r="R454" i="41"/>
  <c r="I1197" i="41"/>
  <c r="H1197" i="41"/>
  <c r="G1197" i="41" s="1"/>
  <c r="I451" i="41"/>
  <c r="H451" i="41"/>
  <c r="G451" i="41" s="1"/>
  <c r="AI1196" i="41"/>
  <c r="AH1196" i="41"/>
  <c r="AG1196" i="41"/>
  <c r="AJ1196" i="41"/>
  <c r="AK1196" i="41"/>
  <c r="AF1196" i="41"/>
  <c r="M452" i="41"/>
  <c r="L452" i="41" s="1"/>
  <c r="O1200" i="41"/>
  <c r="R1200" i="41"/>
  <c r="V1200" i="41" s="1"/>
  <c r="AK511" i="41"/>
  <c r="AF511" i="41"/>
  <c r="AJ511" i="41"/>
  <c r="AH511" i="41"/>
  <c r="AI511" i="41"/>
  <c r="AG511" i="41"/>
  <c r="U1199" i="41"/>
  <c r="Q1200" i="41"/>
  <c r="U453" i="41"/>
  <c r="Q454" i="41"/>
  <c r="AB453" i="41" a="1"/>
  <c r="AB453" i="41" s="1"/>
  <c r="I1198" i="41" l="1"/>
  <c r="S1199" i="41"/>
  <c r="I1199" i="41" s="1"/>
  <c r="AB454" i="41" a="1"/>
  <c r="AB454" i="41" s="1"/>
  <c r="M1195" i="41"/>
  <c r="L1195" i="41" s="1"/>
  <c r="M1196" i="41"/>
  <c r="H452" i="41"/>
  <c r="G452" i="41" s="1"/>
  <c r="R455" i="41"/>
  <c r="W1200" i="41"/>
  <c r="P1201" i="41"/>
  <c r="X1200" i="41"/>
  <c r="M453" i="41"/>
  <c r="L453" i="41" s="1"/>
  <c r="U454" i="41"/>
  <c r="AD453" i="41" s="1"/>
  <c r="Q455" i="41"/>
  <c r="AE1197" i="41"/>
  <c r="T1197" i="41"/>
  <c r="AD452" i="41"/>
  <c r="R1201" i="41"/>
  <c r="AC452" i="41"/>
  <c r="AE512" i="41" s="1" a="1"/>
  <c r="AE512" i="41" s="1"/>
  <c r="AB1198" i="41"/>
  <c r="V454" i="41"/>
  <c r="O455" i="41" s="1"/>
  <c r="AD1198" i="41"/>
  <c r="W454" i="41"/>
  <c r="P455" i="41"/>
  <c r="X454" i="41"/>
  <c r="AC1198" i="41"/>
  <c r="S453" i="41"/>
  <c r="O1201" i="41"/>
  <c r="U1200" i="41"/>
  <c r="AB1199" i="41" s="1"/>
  <c r="Q1201" i="41"/>
  <c r="H1199" i="41" l="1"/>
  <c r="G1199" i="41" s="1"/>
  <c r="V455" i="41"/>
  <c r="O456" i="41" s="1"/>
  <c r="AB455" i="41" a="1"/>
  <c r="AB455" i="41" s="1"/>
  <c r="L1196" i="41"/>
  <c r="AC1199" i="41"/>
  <c r="AE1199" i="41" s="1"/>
  <c r="AD1199" i="41"/>
  <c r="S454" i="41"/>
  <c r="AC453" i="41"/>
  <c r="AE513" i="41" s="1" a="1"/>
  <c r="AE513" i="41" s="1"/>
  <c r="AG513" i="41" s="1"/>
  <c r="AE1198" i="41"/>
  <c r="T1198" i="41"/>
  <c r="R1202" i="41"/>
  <c r="U1201" i="41"/>
  <c r="AB1200" i="41" s="1"/>
  <c r="Q1202" i="41"/>
  <c r="U455" i="41"/>
  <c r="Q456" i="41"/>
  <c r="AG512" i="41"/>
  <c r="AF512" i="41"/>
  <c r="AI512" i="41"/>
  <c r="AK512" i="41"/>
  <c r="AH512" i="41"/>
  <c r="AJ512" i="41"/>
  <c r="W455" i="41"/>
  <c r="X455" i="41"/>
  <c r="P456" i="41"/>
  <c r="AK1197" i="41"/>
  <c r="AF1197" i="41"/>
  <c r="AJ1197" i="41"/>
  <c r="AI1197" i="41"/>
  <c r="AG1197" i="41"/>
  <c r="AH1197" i="41"/>
  <c r="V1201" i="41"/>
  <c r="O1202" i="41" s="1"/>
  <c r="T1199" i="41"/>
  <c r="R456" i="41"/>
  <c r="V456" i="41" s="1"/>
  <c r="M454" i="41"/>
  <c r="L454" i="41" s="1"/>
  <c r="W1201" i="41"/>
  <c r="X1201" i="41"/>
  <c r="P1202" i="41"/>
  <c r="S1200" i="41"/>
  <c r="I453" i="41"/>
  <c r="H453" i="41"/>
  <c r="G453" i="41" s="1"/>
  <c r="S455" i="41" l="1"/>
  <c r="I455" i="41" s="1"/>
  <c r="AD454" i="41"/>
  <c r="AC1200" i="41"/>
  <c r="AE1200" i="41" s="1"/>
  <c r="AD1200" i="41"/>
  <c r="S1201" i="41"/>
  <c r="H1201" i="41" s="1"/>
  <c r="G1201" i="41" s="1"/>
  <c r="AH513" i="41"/>
  <c r="AK513" i="41"/>
  <c r="AJ513" i="41"/>
  <c r="AI513" i="41"/>
  <c r="AF513" i="41"/>
  <c r="AB456" i="41" a="1"/>
  <c r="AB456" i="41" s="1"/>
  <c r="M1197" i="41"/>
  <c r="L1197" i="41" s="1"/>
  <c r="I454" i="41"/>
  <c r="H454" i="41"/>
  <c r="G454" i="41" s="1"/>
  <c r="U1202" i="41"/>
  <c r="Q1203" i="41"/>
  <c r="AK1199" i="41"/>
  <c r="AF1199" i="41"/>
  <c r="AH1199" i="41"/>
  <c r="AG1199" i="41"/>
  <c r="AJ1199" i="41"/>
  <c r="AI1199" i="41"/>
  <c r="O457" i="41"/>
  <c r="R1203" i="41"/>
  <c r="W1202" i="41"/>
  <c r="X1202" i="41"/>
  <c r="P1203" i="41"/>
  <c r="H1200" i="41"/>
  <c r="G1200" i="41" s="1"/>
  <c r="I1200" i="41"/>
  <c r="I1201" i="41"/>
  <c r="W456" i="41"/>
  <c r="P457" i="41"/>
  <c r="X456" i="41"/>
  <c r="R457" i="41"/>
  <c r="H455" i="41"/>
  <c r="G455" i="41" s="1"/>
  <c r="M455" i="41"/>
  <c r="L455" i="41" s="1"/>
  <c r="AF1198" i="41"/>
  <c r="AG1198" i="41"/>
  <c r="AH1198" i="41"/>
  <c r="AI1198" i="41"/>
  <c r="AJ1198" i="41"/>
  <c r="AK1198" i="41"/>
  <c r="U456" i="41"/>
  <c r="AD455" i="41" s="1"/>
  <c r="Q457" i="41"/>
  <c r="V1202" i="41"/>
  <c r="O1203" i="41" s="1"/>
  <c r="AC454" i="41"/>
  <c r="AE514" i="41" s="1" a="1"/>
  <c r="AE514" i="41" s="1"/>
  <c r="T1200" i="41" l="1"/>
  <c r="S456" i="41"/>
  <c r="I456" i="41" s="1"/>
  <c r="S1202" i="41"/>
  <c r="H1202" i="41" s="1"/>
  <c r="G1202" i="41" s="1"/>
  <c r="AC1201" i="41"/>
  <c r="T1201" i="41" s="1"/>
  <c r="AD1201" i="41"/>
  <c r="AC455" i="41"/>
  <c r="AE515" i="41" s="1" a="1"/>
  <c r="AE515" i="41" s="1"/>
  <c r="AG515" i="41" s="1"/>
  <c r="AB457" i="41" a="1"/>
  <c r="AB457" i="41" s="1"/>
  <c r="I1202" i="41"/>
  <c r="M1199" i="41"/>
  <c r="W457" i="41"/>
  <c r="X457" i="41"/>
  <c r="P458" i="41"/>
  <c r="R1204" i="41"/>
  <c r="U457" i="41"/>
  <c r="Q458" i="41"/>
  <c r="H456" i="41"/>
  <c r="G456" i="41" s="1"/>
  <c r="AG1200" i="41"/>
  <c r="AJ1200" i="41"/>
  <c r="AK1200" i="41"/>
  <c r="AI1200" i="41"/>
  <c r="AH1200" i="41"/>
  <c r="AF1200" i="41"/>
  <c r="V457" i="41"/>
  <c r="O458" i="41" s="1"/>
  <c r="AB1201" i="41"/>
  <c r="M1198" i="41"/>
  <c r="L1198" i="41" s="1"/>
  <c r="AH514" i="41"/>
  <c r="AK514" i="41"/>
  <c r="AF514" i="41"/>
  <c r="AG514" i="41"/>
  <c r="AI514" i="41"/>
  <c r="AJ514" i="41"/>
  <c r="U1203" i="41"/>
  <c r="AD1202" i="41" s="1"/>
  <c r="Q1204" i="41"/>
  <c r="V1203" i="41"/>
  <c r="O1204" i="41" s="1"/>
  <c r="W1203" i="41"/>
  <c r="X1203" i="41"/>
  <c r="P1204" i="41"/>
  <c r="R458" i="41"/>
  <c r="M456" i="41"/>
  <c r="L456" i="41" s="1"/>
  <c r="AE1201" i="41" l="1"/>
  <c r="V458" i="41"/>
  <c r="O459" i="41" s="1"/>
  <c r="AI515" i="41"/>
  <c r="AF515" i="41"/>
  <c r="AK515" i="41"/>
  <c r="AH515" i="41"/>
  <c r="AJ515" i="41"/>
  <c r="L1199" i="41"/>
  <c r="M1200" i="41"/>
  <c r="W458" i="41"/>
  <c r="X458" i="41"/>
  <c r="P459" i="41"/>
  <c r="U1204" i="41"/>
  <c r="AD1203" i="41" s="1"/>
  <c r="Q1205" i="41"/>
  <c r="AK1201" i="41"/>
  <c r="AF1201" i="41"/>
  <c r="AI1201" i="41"/>
  <c r="AJ1201" i="41"/>
  <c r="AG1201" i="41"/>
  <c r="AH1201" i="41"/>
  <c r="AC456" i="41"/>
  <c r="AE516" i="41" s="1" a="1"/>
  <c r="AE516" i="41" s="1"/>
  <c r="R459" i="41"/>
  <c r="V459" i="41" s="1"/>
  <c r="U458" i="41"/>
  <c r="AD457" i="41" s="1"/>
  <c r="Q459" i="41"/>
  <c r="AD456" i="41"/>
  <c r="W1204" i="41"/>
  <c r="X1204" i="41"/>
  <c r="P1205" i="41"/>
  <c r="R1205" i="41"/>
  <c r="AB1202" i="41"/>
  <c r="S1203" i="41"/>
  <c r="M457" i="41"/>
  <c r="L457" i="41" s="1"/>
  <c r="AB458" i="41" a="1"/>
  <c r="AB458" i="41" s="1"/>
  <c r="S457" i="41"/>
  <c r="V1204" i="41"/>
  <c r="O1205" i="41" s="1"/>
  <c r="AC1202" i="41"/>
  <c r="AB459" i="41" l="1" a="1"/>
  <c r="AB459" i="41" s="1"/>
  <c r="V1205" i="41"/>
  <c r="L1200" i="41"/>
  <c r="AC1203" i="41"/>
  <c r="AE1203" i="41" s="1"/>
  <c r="M1201" i="41"/>
  <c r="U1205" i="41"/>
  <c r="AC1204" i="41" s="1"/>
  <c r="Q1206" i="41"/>
  <c r="O1206" i="41"/>
  <c r="AB1203" i="41"/>
  <c r="I457" i="41"/>
  <c r="H457" i="41"/>
  <c r="G457" i="41" s="1"/>
  <c r="W1205" i="41"/>
  <c r="X1205" i="41"/>
  <c r="P1206" i="41"/>
  <c r="S458" i="41"/>
  <c r="AC457" i="41"/>
  <c r="AE517" i="41" s="1" a="1"/>
  <c r="AE517" i="41" s="1"/>
  <c r="R460" i="41"/>
  <c r="W459" i="41"/>
  <c r="X459" i="41"/>
  <c r="P460" i="41"/>
  <c r="T1203" i="41"/>
  <c r="Q460" i="41"/>
  <c r="U459" i="41"/>
  <c r="AC458" i="41" s="1"/>
  <c r="AE518" i="41" s="1" a="1"/>
  <c r="AE518" i="41" s="1"/>
  <c r="R1206" i="41"/>
  <c r="S1204" i="41"/>
  <c r="H1203" i="41"/>
  <c r="G1203" i="41" s="1"/>
  <c r="I1203" i="41"/>
  <c r="AE1202" i="41"/>
  <c r="T1202" i="41"/>
  <c r="AF516" i="41"/>
  <c r="AK516" i="41"/>
  <c r="AJ516" i="41"/>
  <c r="AG516" i="41"/>
  <c r="AH516" i="41"/>
  <c r="AI516" i="41"/>
  <c r="O460" i="41"/>
  <c r="M458" i="41"/>
  <c r="L458" i="41" s="1"/>
  <c r="AB460" i="41" l="1" a="1"/>
  <c r="AB460" i="41" s="1"/>
  <c r="AD1204" i="41"/>
  <c r="AB1204" i="41"/>
  <c r="L1201" i="41"/>
  <c r="S459" i="41"/>
  <c r="I459" i="41" s="1"/>
  <c r="AH518" i="41"/>
  <c r="AJ518" i="41"/>
  <c r="AF518" i="41"/>
  <c r="AG518" i="41"/>
  <c r="AI518" i="41"/>
  <c r="AK518" i="41"/>
  <c r="H1204" i="41"/>
  <c r="G1204" i="41" s="1"/>
  <c r="I1204" i="41"/>
  <c r="U460" i="41"/>
  <c r="AC459" i="41" s="1"/>
  <c r="AE519" i="41" s="1" a="1"/>
  <c r="AE519" i="41" s="1"/>
  <c r="Q461" i="41"/>
  <c r="AK517" i="41"/>
  <c r="AI517" i="41"/>
  <c r="AG517" i="41"/>
  <c r="AJ517" i="41"/>
  <c r="AF517" i="41"/>
  <c r="AH517" i="41"/>
  <c r="W1206" i="41"/>
  <c r="X1206" i="41"/>
  <c r="P1207" i="41"/>
  <c r="AE1204" i="41"/>
  <c r="T1204" i="41"/>
  <c r="S1205" i="41"/>
  <c r="M459" i="41"/>
  <c r="L459" i="41" s="1"/>
  <c r="AK1202" i="41"/>
  <c r="AF1202" i="41"/>
  <c r="AI1202" i="41"/>
  <c r="AJ1202" i="41"/>
  <c r="AG1202" i="41"/>
  <c r="AH1202" i="41"/>
  <c r="U1206" i="41"/>
  <c r="Q1207" i="41"/>
  <c r="V1206" i="41"/>
  <c r="O1207" i="41" s="1"/>
  <c r="I458" i="41"/>
  <c r="H458" i="41"/>
  <c r="G458" i="41" s="1"/>
  <c r="R1207" i="41"/>
  <c r="V460" i="41"/>
  <c r="O461" i="41" s="1"/>
  <c r="AG1203" i="41"/>
  <c r="AI1203" i="41"/>
  <c r="AK1203" i="41"/>
  <c r="AJ1203" i="41"/>
  <c r="AF1203" i="41"/>
  <c r="AH1203" i="41"/>
  <c r="W460" i="41"/>
  <c r="X460" i="41"/>
  <c r="P461" i="41"/>
  <c r="AD458" i="41"/>
  <c r="R461" i="41"/>
  <c r="V461" i="41" s="1"/>
  <c r="H459" i="41" l="1"/>
  <c r="G459" i="41" s="1"/>
  <c r="AB461" i="41" a="1"/>
  <c r="AB461" i="41" s="1"/>
  <c r="S1206" i="41"/>
  <c r="H1206" i="41" s="1"/>
  <c r="G1206" i="41" s="1"/>
  <c r="S460" i="41"/>
  <c r="I460" i="41" s="1"/>
  <c r="M1202" i="41"/>
  <c r="L1202" i="41" s="1"/>
  <c r="M1203" i="41"/>
  <c r="AF519" i="41"/>
  <c r="AJ519" i="41"/>
  <c r="AI519" i="41"/>
  <c r="AH519" i="41"/>
  <c r="AG519" i="41"/>
  <c r="AK519" i="41"/>
  <c r="W461" i="41"/>
  <c r="X461" i="41"/>
  <c r="P462" i="41"/>
  <c r="R1208" i="41"/>
  <c r="U461" i="41"/>
  <c r="Q462" i="41"/>
  <c r="AB1205" i="41"/>
  <c r="H1205" i="41"/>
  <c r="G1205" i="41" s="1"/>
  <c r="I1205" i="41"/>
  <c r="AD459" i="41"/>
  <c r="R462" i="41"/>
  <c r="V462" i="41" s="1"/>
  <c r="AC1205" i="41"/>
  <c r="M460" i="41"/>
  <c r="L460" i="41" s="1"/>
  <c r="W1207" i="41"/>
  <c r="X1207" i="41"/>
  <c r="P1208" i="41"/>
  <c r="U1207" i="41"/>
  <c r="AD1206" i="41" s="1"/>
  <c r="Q1208" i="41"/>
  <c r="V1207" i="41"/>
  <c r="O1208" i="41" s="1"/>
  <c r="H460" i="41"/>
  <c r="G460" i="41" s="1"/>
  <c r="AD1205" i="41"/>
  <c r="AJ1204" i="41"/>
  <c r="AH1204" i="41"/>
  <c r="AK1204" i="41"/>
  <c r="AF1204" i="41"/>
  <c r="AG1204" i="41"/>
  <c r="AI1204" i="41"/>
  <c r="O462" i="41"/>
  <c r="I1206" i="41" l="1"/>
  <c r="AB1206" i="41"/>
  <c r="L1203" i="41"/>
  <c r="AB462" i="41" a="1"/>
  <c r="AB462" i="41" s="1"/>
  <c r="S1207" i="41"/>
  <c r="AC1206" i="41"/>
  <c r="AE1206" i="41" s="1"/>
  <c r="R1209" i="41"/>
  <c r="W1208" i="41"/>
  <c r="X1208" i="41"/>
  <c r="P1209" i="41"/>
  <c r="U1208" i="41"/>
  <c r="Q1209" i="41"/>
  <c r="AE1205" i="41"/>
  <c r="T1205" i="41"/>
  <c r="O463" i="41"/>
  <c r="M1204" i="41"/>
  <c r="R463" i="41"/>
  <c r="M461" i="41"/>
  <c r="L461" i="41" s="1"/>
  <c r="U462" i="41"/>
  <c r="AD461" i="41" s="1"/>
  <c r="Q463" i="41"/>
  <c r="W462" i="41"/>
  <c r="X462" i="41"/>
  <c r="P463" i="41"/>
  <c r="S461" i="41"/>
  <c r="AC460" i="41"/>
  <c r="AE520" i="41" s="1" a="1"/>
  <c r="AE520" i="41" s="1"/>
  <c r="V1208" i="41"/>
  <c r="O1209" i="41" s="1"/>
  <c r="AD460" i="41"/>
  <c r="V1209" i="41" l="1"/>
  <c r="T1206" i="41"/>
  <c r="L1204" i="41"/>
  <c r="S1208" i="41"/>
  <c r="H1208" i="41" s="1"/>
  <c r="G1208" i="41" s="1"/>
  <c r="AD1207" i="41"/>
  <c r="AC1207" i="41"/>
  <c r="AE1207" i="41" s="1"/>
  <c r="AC461" i="41"/>
  <c r="AE521" i="41" s="1" a="1"/>
  <c r="AE521" i="41" s="1"/>
  <c r="AF521" i="41" s="1"/>
  <c r="AB463" i="41" a="1"/>
  <c r="AB463" i="41" s="1"/>
  <c r="I1207" i="41"/>
  <c r="H1207" i="41"/>
  <c r="G1207" i="41" s="1"/>
  <c r="I461" i="41"/>
  <c r="H461" i="41"/>
  <c r="G461" i="41" s="1"/>
  <c r="U463" i="41"/>
  <c r="AC462" i="41" s="1"/>
  <c r="AE522" i="41" s="1" a="1"/>
  <c r="AE522" i="41" s="1"/>
  <c r="Q464" i="41"/>
  <c r="R464" i="41"/>
  <c r="S462" i="41"/>
  <c r="R1210" i="41"/>
  <c r="V1210" i="41" s="1"/>
  <c r="W463" i="41"/>
  <c r="X463" i="41"/>
  <c r="P464" i="41"/>
  <c r="U1209" i="41"/>
  <c r="AD1208" i="41" s="1"/>
  <c r="Q1210" i="41"/>
  <c r="W1209" i="41"/>
  <c r="X1209" i="41"/>
  <c r="P1210" i="41"/>
  <c r="AG520" i="41"/>
  <c r="AF520" i="41"/>
  <c r="AI520" i="41"/>
  <c r="AJ520" i="41"/>
  <c r="AH520" i="41"/>
  <c r="AK520" i="41"/>
  <c r="O1210" i="41"/>
  <c r="M462" i="41"/>
  <c r="L462" i="41" s="1"/>
  <c r="V463" i="41"/>
  <c r="O464" i="41" s="1"/>
  <c r="AK1205" i="41"/>
  <c r="AF1205" i="41"/>
  <c r="AI1205" i="41"/>
  <c r="AH1205" i="41"/>
  <c r="AG1205" i="41"/>
  <c r="AJ1205" i="41"/>
  <c r="AK1206" i="41"/>
  <c r="AH1206" i="41"/>
  <c r="AJ1206" i="41"/>
  <c r="AF1206" i="41"/>
  <c r="AG1206" i="41"/>
  <c r="AI1206" i="41"/>
  <c r="AB1207" i="41"/>
  <c r="I1208" i="41" l="1"/>
  <c r="T1207" i="41"/>
  <c r="AK521" i="41"/>
  <c r="S1209" i="41"/>
  <c r="I1209" i="41" s="1"/>
  <c r="AC1208" i="41"/>
  <c r="AE1208" i="41" s="1"/>
  <c r="AJ521" i="41"/>
  <c r="AH521" i="41"/>
  <c r="AD462" i="41"/>
  <c r="AG521" i="41"/>
  <c r="AI521" i="41"/>
  <c r="M1206" i="41"/>
  <c r="R465" i="41"/>
  <c r="V465" i="41" s="1"/>
  <c r="I462" i="41"/>
  <c r="H462" i="41"/>
  <c r="G462" i="41" s="1"/>
  <c r="M1205" i="41"/>
  <c r="L1205" i="41" s="1"/>
  <c r="U464" i="41"/>
  <c r="Q465" i="41"/>
  <c r="M463" i="41"/>
  <c r="L463" i="41" s="1"/>
  <c r="AB464" i="41" a="1"/>
  <c r="AB464" i="41" s="1"/>
  <c r="R1211" i="41"/>
  <c r="V1211" i="41" s="1"/>
  <c r="U1210" i="41"/>
  <c r="AB1209" i="41" s="1"/>
  <c r="Q1211" i="41"/>
  <c r="O1211" i="41"/>
  <c r="W464" i="41"/>
  <c r="X464" i="41"/>
  <c r="P465" i="41"/>
  <c r="AJ1207" i="41"/>
  <c r="AF1207" i="41"/>
  <c r="AH1207" i="41"/>
  <c r="AK1207" i="41"/>
  <c r="AG1207" i="41"/>
  <c r="AI1207" i="41"/>
  <c r="S463" i="41"/>
  <c r="V464" i="41"/>
  <c r="O465" i="41" s="1"/>
  <c r="AB1208" i="41"/>
  <c r="AK522" i="41"/>
  <c r="AH522" i="41"/>
  <c r="AF522" i="41"/>
  <c r="AG522" i="41"/>
  <c r="AI522" i="41"/>
  <c r="AJ522" i="41"/>
  <c r="W1210" i="41"/>
  <c r="P1211" i="41"/>
  <c r="X1210" i="41"/>
  <c r="S1210" i="41" l="1"/>
  <c r="H1210" i="41" s="1"/>
  <c r="G1210" i="41" s="1"/>
  <c r="T1208" i="41"/>
  <c r="H1209" i="41"/>
  <c r="G1209" i="41" s="1"/>
  <c r="L1206" i="41"/>
  <c r="AC1209" i="41"/>
  <c r="AE1209" i="41" s="1"/>
  <c r="AD1209" i="41"/>
  <c r="M1207" i="41"/>
  <c r="O466" i="41"/>
  <c r="R466" i="41"/>
  <c r="V466" i="41" s="1"/>
  <c r="W1211" i="41"/>
  <c r="X1211" i="41"/>
  <c r="P1212" i="41"/>
  <c r="O1212" i="41"/>
  <c r="AD463" i="41"/>
  <c r="U465" i="41"/>
  <c r="AD464" i="41" s="1"/>
  <c r="Q466" i="41"/>
  <c r="M464" i="41"/>
  <c r="L464" i="41" s="1"/>
  <c r="R1212" i="41"/>
  <c r="AB465" i="41" a="1"/>
  <c r="AB465" i="41" s="1"/>
  <c r="W465" i="41"/>
  <c r="X465" i="41"/>
  <c r="P466" i="41"/>
  <c r="AH1208" i="41"/>
  <c r="AF1208" i="41"/>
  <c r="AI1208" i="41"/>
  <c r="AG1208" i="41"/>
  <c r="AK1208" i="41"/>
  <c r="AJ1208" i="41"/>
  <c r="S464" i="41"/>
  <c r="AC463" i="41"/>
  <c r="AE523" i="41" s="1" a="1"/>
  <c r="AE523" i="41" s="1"/>
  <c r="I463" i="41"/>
  <c r="H463" i="41"/>
  <c r="G463" i="41" s="1"/>
  <c r="U1211" i="41"/>
  <c r="Q1212" i="41"/>
  <c r="I1210" i="41" l="1"/>
  <c r="T1209" i="41"/>
  <c r="L1207" i="41"/>
  <c r="M1208" i="41"/>
  <c r="AC464" i="41"/>
  <c r="AE524" i="41" s="1" a="1"/>
  <c r="AE524" i="41" s="1"/>
  <c r="AF524" i="41" s="1"/>
  <c r="U1212" i="41"/>
  <c r="AD1211" i="41" s="1"/>
  <c r="Q1213" i="41"/>
  <c r="R1213" i="41"/>
  <c r="AG1209" i="41"/>
  <c r="AH1209" i="41"/>
  <c r="AF1209" i="41"/>
  <c r="AI1209" i="41"/>
  <c r="AK1209" i="41"/>
  <c r="AJ1209" i="41"/>
  <c r="O467" i="41"/>
  <c r="R467" i="41"/>
  <c r="V467" i="41" s="1"/>
  <c r="I464" i="41"/>
  <c r="H464" i="41"/>
  <c r="G464" i="41" s="1"/>
  <c r="U466" i="41"/>
  <c r="AC465" i="41" s="1"/>
  <c r="AE525" i="41" s="1" a="1"/>
  <c r="AE525" i="41" s="1"/>
  <c r="Q467" i="41"/>
  <c r="W1212" i="41"/>
  <c r="X1212" i="41"/>
  <c r="P1213" i="41"/>
  <c r="AB466" i="41" a="1"/>
  <c r="AB466" i="41" s="1"/>
  <c r="W466" i="41"/>
  <c r="X466" i="41"/>
  <c r="P467" i="41"/>
  <c r="V1212" i="41"/>
  <c r="O1213" i="41" s="1"/>
  <c r="AB1210" i="41"/>
  <c r="AC1210" i="41"/>
  <c r="AD1210" i="41"/>
  <c r="M465" i="41"/>
  <c r="L465" i="41" s="1"/>
  <c r="S1211" i="41"/>
  <c r="AK523" i="41"/>
  <c r="AH523" i="41"/>
  <c r="AG523" i="41"/>
  <c r="AF523" i="41"/>
  <c r="AJ523" i="41"/>
  <c r="AI523" i="41"/>
  <c r="S465" i="41"/>
  <c r="AD465" i="41" l="1"/>
  <c r="L1208" i="41"/>
  <c r="AB1211" i="41"/>
  <c r="AC1211" i="41"/>
  <c r="AE1211" i="41" s="1"/>
  <c r="AH524" i="41"/>
  <c r="AG524" i="41"/>
  <c r="AK524" i="41"/>
  <c r="AB467" i="41" a="1"/>
  <c r="AB467" i="41" s="1"/>
  <c r="AI524" i="41"/>
  <c r="M1209" i="41"/>
  <c r="AJ524" i="41"/>
  <c r="W1213" i="41"/>
  <c r="X1213" i="41"/>
  <c r="P1214" i="41"/>
  <c r="AH525" i="41"/>
  <c r="AI525" i="41"/>
  <c r="AF525" i="41"/>
  <c r="AJ525" i="41"/>
  <c r="AG525" i="41"/>
  <c r="AK525" i="41"/>
  <c r="R1214" i="41"/>
  <c r="U1213" i="41"/>
  <c r="AD1212" i="41" s="1"/>
  <c r="Q1214" i="41"/>
  <c r="M466" i="41"/>
  <c r="L466" i="41" s="1"/>
  <c r="I465" i="41"/>
  <c r="H465" i="41"/>
  <c r="G465" i="41" s="1"/>
  <c r="I1211" i="41"/>
  <c r="H1211" i="41"/>
  <c r="G1211" i="41" s="1"/>
  <c r="W467" i="41"/>
  <c r="X467" i="41"/>
  <c r="P468" i="41"/>
  <c r="U467" i="41"/>
  <c r="AD466" i="41" s="1"/>
  <c r="Q468" i="41"/>
  <c r="S466" i="41"/>
  <c r="V1213" i="41"/>
  <c r="O1214" i="41" s="1"/>
  <c r="T1211" i="41"/>
  <c r="O468" i="41"/>
  <c r="S1212" i="41"/>
  <c r="R468" i="41"/>
  <c r="V468" i="41" s="1"/>
  <c r="AE1210" i="41"/>
  <c r="T1210" i="41"/>
  <c r="L1209" i="41" l="1"/>
  <c r="AC466" i="41"/>
  <c r="AE526" i="41" s="1" a="1"/>
  <c r="AE526" i="41" s="1"/>
  <c r="AG526" i="41" s="1"/>
  <c r="AC1212" i="41"/>
  <c r="AE1212" i="41" s="1"/>
  <c r="V1214" i="41"/>
  <c r="O1215" i="41" s="1"/>
  <c r="AI1210" i="41"/>
  <c r="AK1210" i="41"/>
  <c r="AJ1210" i="41"/>
  <c r="AG1210" i="41"/>
  <c r="AF1210" i="41"/>
  <c r="AH1210" i="41"/>
  <c r="O469" i="41"/>
  <c r="W468" i="41"/>
  <c r="X468" i="41"/>
  <c r="P469" i="41"/>
  <c r="AB468" i="41" a="1"/>
  <c r="AB468" i="41" s="1"/>
  <c r="H1212" i="41"/>
  <c r="G1212" i="41" s="1"/>
  <c r="I1212" i="41"/>
  <c r="R469" i="41"/>
  <c r="V469" i="41" s="1"/>
  <c r="W1214" i="41"/>
  <c r="X1214" i="41"/>
  <c r="P1215" i="41"/>
  <c r="AK1211" i="41"/>
  <c r="AG1211" i="41"/>
  <c r="AH1211" i="41"/>
  <c r="AF1211" i="41"/>
  <c r="AI1211" i="41"/>
  <c r="AJ1211" i="41"/>
  <c r="M467" i="41"/>
  <c r="L467" i="41" s="1"/>
  <c r="U468" i="41"/>
  <c r="Q469" i="41"/>
  <c r="S467" i="41"/>
  <c r="R1215" i="41"/>
  <c r="AB1212" i="41"/>
  <c r="U1214" i="41"/>
  <c r="Q1215" i="41"/>
  <c r="I466" i="41"/>
  <c r="H466" i="41"/>
  <c r="G466" i="41" s="1"/>
  <c r="S1213" i="41"/>
  <c r="T1212" i="41" l="1"/>
  <c r="AB469" i="41" a="1"/>
  <c r="AB469" i="41" s="1"/>
  <c r="AK526" i="41"/>
  <c r="AF526" i="41"/>
  <c r="AH526" i="41"/>
  <c r="AI526" i="41"/>
  <c r="AJ526" i="41"/>
  <c r="S468" i="41"/>
  <c r="I468" i="41" s="1"/>
  <c r="S1214" i="41"/>
  <c r="H1214" i="41" s="1"/>
  <c r="G1214" i="41" s="1"/>
  <c r="M1210" i="41"/>
  <c r="L1210" i="41" s="1"/>
  <c r="U1215" i="41"/>
  <c r="AC1214" i="41" s="1"/>
  <c r="Q1216" i="41"/>
  <c r="O470" i="41"/>
  <c r="I467" i="41"/>
  <c r="H467" i="41"/>
  <c r="G467" i="41" s="1"/>
  <c r="AJ1212" i="41"/>
  <c r="AI1212" i="41"/>
  <c r="AK1212" i="41"/>
  <c r="AH1212" i="41"/>
  <c r="AG1212" i="41"/>
  <c r="AF1212" i="41"/>
  <c r="R1216" i="41"/>
  <c r="AB1213" i="41"/>
  <c r="W1215" i="41"/>
  <c r="X1215" i="41"/>
  <c r="P1216" i="41"/>
  <c r="I1213" i="41"/>
  <c r="H1213" i="41"/>
  <c r="G1213" i="41" s="1"/>
  <c r="W469" i="41"/>
  <c r="X469" i="41"/>
  <c r="P470" i="41"/>
  <c r="R470" i="41"/>
  <c r="V470" i="41" s="1"/>
  <c r="V1215" i="41"/>
  <c r="O1216" i="41" s="1"/>
  <c r="M1211" i="41"/>
  <c r="AD467" i="41"/>
  <c r="M468" i="41"/>
  <c r="L468" i="41" s="1"/>
  <c r="AC1213" i="41"/>
  <c r="AC467" i="41"/>
  <c r="AE527" i="41" s="1" a="1"/>
  <c r="AE527" i="41" s="1"/>
  <c r="AD1213" i="41"/>
  <c r="U469" i="41"/>
  <c r="AD468" i="41" s="1"/>
  <c r="Q470" i="41"/>
  <c r="I1214" i="41" l="1"/>
  <c r="H468" i="41"/>
  <c r="G468" i="41" s="1"/>
  <c r="AD1214" i="41"/>
  <c r="L1211" i="41"/>
  <c r="S1215" i="41"/>
  <c r="H1215" i="41" s="1"/>
  <c r="G1215" i="41" s="1"/>
  <c r="M1212" i="41"/>
  <c r="AC468" i="41"/>
  <c r="AE528" i="41" s="1" a="1"/>
  <c r="AE528" i="41" s="1"/>
  <c r="AF528" i="41" s="1"/>
  <c r="V1216" i="41"/>
  <c r="O1217" i="41" s="1"/>
  <c r="S469" i="41"/>
  <c r="W1216" i="41"/>
  <c r="X1216" i="41"/>
  <c r="P1217" i="41"/>
  <c r="I1215" i="41"/>
  <c r="W470" i="41"/>
  <c r="X470" i="41"/>
  <c r="P471" i="41"/>
  <c r="AB1214" i="41"/>
  <c r="AK527" i="41"/>
  <c r="AG527" i="41"/>
  <c r="AH527" i="41"/>
  <c r="AI527" i="41"/>
  <c r="AJ527" i="41"/>
  <c r="AF527" i="41"/>
  <c r="AE1213" i="41"/>
  <c r="T1213" i="41"/>
  <c r="U1216" i="41"/>
  <c r="Q1217" i="41"/>
  <c r="R471" i="41"/>
  <c r="V471" i="41" s="1"/>
  <c r="AE1214" i="41"/>
  <c r="T1214" i="41"/>
  <c r="M469" i="41"/>
  <c r="L469" i="41" s="1"/>
  <c r="U470" i="41"/>
  <c r="Q471" i="41"/>
  <c r="O471" i="41"/>
  <c r="AB470" i="41" a="1"/>
  <c r="AB470" i="41" s="1"/>
  <c r="R1217" i="41"/>
  <c r="S1216" i="41" l="1"/>
  <c r="H1216" i="41" s="1"/>
  <c r="G1216" i="41" s="1"/>
  <c r="V1217" i="41"/>
  <c r="O1218" i="41" s="1"/>
  <c r="S470" i="41"/>
  <c r="I470" i="41" s="1"/>
  <c r="L1212" i="41"/>
  <c r="AB471" i="41" a="1"/>
  <c r="AB471" i="41" s="1"/>
  <c r="AB1215" i="41"/>
  <c r="AK528" i="41"/>
  <c r="AG528" i="41"/>
  <c r="AH528" i="41"/>
  <c r="AI528" i="41"/>
  <c r="AJ528" i="41"/>
  <c r="I469" i="41"/>
  <c r="H469" i="41"/>
  <c r="G469" i="41" s="1"/>
  <c r="W1217" i="41"/>
  <c r="X1217" i="41"/>
  <c r="P1218" i="41"/>
  <c r="R1218" i="41"/>
  <c r="AH1213" i="41"/>
  <c r="AI1213" i="41"/>
  <c r="AK1213" i="41"/>
  <c r="AJ1213" i="41"/>
  <c r="AF1213" i="41"/>
  <c r="AG1213" i="41"/>
  <c r="R472" i="41"/>
  <c r="V472" i="41" s="1"/>
  <c r="O472" i="41"/>
  <c r="I1216" i="41"/>
  <c r="W471" i="41"/>
  <c r="X471" i="41"/>
  <c r="P472" i="41"/>
  <c r="H470" i="41"/>
  <c r="G470" i="41" s="1"/>
  <c r="AC1215" i="41"/>
  <c r="AD469" i="41"/>
  <c r="AC469" i="41"/>
  <c r="AE529" i="41" s="1" a="1"/>
  <c r="AE529" i="41" s="1"/>
  <c r="AH1214" i="41"/>
  <c r="AF1214" i="41"/>
  <c r="AG1214" i="41"/>
  <c r="AI1214" i="41"/>
  <c r="AJ1214" i="41"/>
  <c r="AK1214" i="41"/>
  <c r="AD1215" i="41"/>
  <c r="M470" i="41"/>
  <c r="L470" i="41" s="1"/>
  <c r="U1217" i="41"/>
  <c r="Q1218" i="41"/>
  <c r="U471" i="41"/>
  <c r="AD470" i="41" s="1"/>
  <c r="Q472" i="41"/>
  <c r="AB472" i="41" l="1" a="1"/>
  <c r="AB472" i="41" s="1"/>
  <c r="M1214" i="41"/>
  <c r="AC470" i="41"/>
  <c r="AE530" i="41" s="1" a="1"/>
  <c r="AE530" i="41" s="1"/>
  <c r="U472" i="41"/>
  <c r="Q473" i="41"/>
  <c r="W1218" i="41"/>
  <c r="X1218" i="41"/>
  <c r="P1219" i="41"/>
  <c r="AC1216" i="41"/>
  <c r="AJ529" i="41"/>
  <c r="AH529" i="41"/>
  <c r="AI529" i="41"/>
  <c r="AK529" i="41"/>
  <c r="AG529" i="41"/>
  <c r="AF529" i="41"/>
  <c r="U1218" i="41"/>
  <c r="AB1217" i="41" s="1"/>
  <c r="Q1219" i="41"/>
  <c r="AB1216" i="41"/>
  <c r="AE1215" i="41"/>
  <c r="T1215" i="41"/>
  <c r="S1217" i="41"/>
  <c r="AD1216" i="41"/>
  <c r="W472" i="41"/>
  <c r="X472" i="41"/>
  <c r="P473" i="41"/>
  <c r="V1218" i="41"/>
  <c r="O1219" i="41" s="1"/>
  <c r="S471" i="41"/>
  <c r="R1219" i="41"/>
  <c r="R473" i="41"/>
  <c r="V473" i="41" s="1"/>
  <c r="M1213" i="41"/>
  <c r="L1213" i="41" s="1"/>
  <c r="O473" i="41"/>
  <c r="M471" i="41"/>
  <c r="L471" i="41" s="1"/>
  <c r="L1214" i="41" l="1"/>
  <c r="AC1217" i="41"/>
  <c r="AE1217" i="41" s="1"/>
  <c r="AD1217" i="41"/>
  <c r="W1219" i="41"/>
  <c r="X1219" i="41"/>
  <c r="P1220" i="41"/>
  <c r="O474" i="41"/>
  <c r="W473" i="41"/>
  <c r="X473" i="41"/>
  <c r="P474" i="41"/>
  <c r="AJ530" i="41"/>
  <c r="AI530" i="41"/>
  <c r="AK530" i="41"/>
  <c r="AG530" i="41"/>
  <c r="AH530" i="41"/>
  <c r="AF530" i="41"/>
  <c r="U473" i="41"/>
  <c r="AD472" i="41" s="1"/>
  <c r="Q474" i="41"/>
  <c r="I1217" i="41"/>
  <c r="H1217" i="41"/>
  <c r="G1217" i="41" s="1"/>
  <c r="U1219" i="41"/>
  <c r="Q1220" i="41"/>
  <c r="S472" i="41"/>
  <c r="AC471" i="41"/>
  <c r="AE531" i="41" s="1" a="1"/>
  <c r="AE531" i="41" s="1"/>
  <c r="AE1216" i="41"/>
  <c r="T1216" i="41"/>
  <c r="AG1215" i="41"/>
  <c r="AF1215" i="41"/>
  <c r="AI1215" i="41"/>
  <c r="AJ1215" i="41"/>
  <c r="AH1215" i="41"/>
  <c r="AK1215" i="41"/>
  <c r="I471" i="41"/>
  <c r="H471" i="41"/>
  <c r="G471" i="41" s="1"/>
  <c r="R1220" i="41"/>
  <c r="M472" i="41"/>
  <c r="L472" i="41" s="1"/>
  <c r="AB473" i="41" a="1"/>
  <c r="AB473" i="41" s="1"/>
  <c r="AD471" i="41"/>
  <c r="V1219" i="41"/>
  <c r="O1220" i="41" s="1"/>
  <c r="S1218" i="41"/>
  <c r="R474" i="41"/>
  <c r="V474" i="41" s="1"/>
  <c r="V1220" i="41" l="1"/>
  <c r="S1219" i="41"/>
  <c r="H1219" i="41" s="1"/>
  <c r="G1219" i="41" s="1"/>
  <c r="T1217" i="41"/>
  <c r="AC1218" i="41"/>
  <c r="AE1218" i="41" s="1"/>
  <c r="M1215" i="41"/>
  <c r="L1215" i="41" s="1"/>
  <c r="AD1218" i="41"/>
  <c r="R475" i="41"/>
  <c r="V475" i="41" s="1"/>
  <c r="O475" i="41"/>
  <c r="M473" i="41"/>
  <c r="L473" i="41" s="1"/>
  <c r="W474" i="41"/>
  <c r="X474" i="41"/>
  <c r="P475" i="41"/>
  <c r="I472" i="41"/>
  <c r="H472" i="41"/>
  <c r="G472" i="41" s="1"/>
  <c r="S473" i="41"/>
  <c r="W1220" i="41"/>
  <c r="X1220" i="41"/>
  <c r="P1221" i="41"/>
  <c r="AJ531" i="41"/>
  <c r="AF531" i="41"/>
  <c r="AH531" i="41"/>
  <c r="AG531" i="41"/>
  <c r="AK531" i="41"/>
  <c r="AI531" i="41"/>
  <c r="AB474" i="41" a="1"/>
  <c r="AB474" i="41" s="1"/>
  <c r="R1221" i="41"/>
  <c r="V1221" i="41" s="1"/>
  <c r="O1221" i="41"/>
  <c r="AB1218" i="41"/>
  <c r="T1218" i="41"/>
  <c r="AK1217" i="41"/>
  <c r="AJ1217" i="41"/>
  <c r="AF1217" i="41"/>
  <c r="AH1217" i="41"/>
  <c r="AI1217" i="41"/>
  <c r="AG1217" i="41"/>
  <c r="U1220" i="41"/>
  <c r="AC1219" i="41" s="1"/>
  <c r="Q1221" i="41"/>
  <c r="AJ1216" i="41"/>
  <c r="AH1216" i="41"/>
  <c r="AF1216" i="41"/>
  <c r="AK1216" i="41"/>
  <c r="AG1216" i="41"/>
  <c r="AI1216" i="41"/>
  <c r="U474" i="41"/>
  <c r="Q475" i="41"/>
  <c r="H1218" i="41"/>
  <c r="G1218" i="41" s="1"/>
  <c r="I1218" i="41"/>
  <c r="AC472" i="41"/>
  <c r="AE532" i="41" s="1" a="1"/>
  <c r="AE532" i="41" s="1"/>
  <c r="I1219" i="41" l="1"/>
  <c r="M1217" i="41"/>
  <c r="AB1219" i="41"/>
  <c r="S474" i="41"/>
  <c r="I474" i="41" s="1"/>
  <c r="M1216" i="41"/>
  <c r="L1216" i="41" s="1"/>
  <c r="AE1219" i="41"/>
  <c r="T1219" i="41"/>
  <c r="H474" i="41"/>
  <c r="G474" i="41" s="1"/>
  <c r="O1222" i="41"/>
  <c r="M474" i="41"/>
  <c r="L474" i="41" s="1"/>
  <c r="R476" i="41"/>
  <c r="V476" i="41" s="1"/>
  <c r="AC473" i="41"/>
  <c r="AE533" i="41" s="1" a="1"/>
  <c r="AE533" i="41" s="1"/>
  <c r="AH532" i="41"/>
  <c r="AF532" i="41"/>
  <c r="AI532" i="41"/>
  <c r="AG532" i="41"/>
  <c r="AK532" i="41"/>
  <c r="AJ532" i="41"/>
  <c r="S1220" i="41"/>
  <c r="AD473" i="41"/>
  <c r="W475" i="41"/>
  <c r="X475" i="41"/>
  <c r="P476" i="41"/>
  <c r="O476" i="41"/>
  <c r="R1222" i="41"/>
  <c r="V1222" i="41" s="1"/>
  <c r="Q1222" i="41"/>
  <c r="U1221" i="41"/>
  <c r="AB1220" i="41" s="1"/>
  <c r="I473" i="41"/>
  <c r="H473" i="41"/>
  <c r="G473" i="41" s="1"/>
  <c r="U475" i="41"/>
  <c r="AD474" i="41" s="1"/>
  <c r="Q476" i="41"/>
  <c r="W1221" i="41"/>
  <c r="X1221" i="41"/>
  <c r="P1222" i="41"/>
  <c r="AB475" i="41" a="1"/>
  <c r="AB475" i="41" s="1"/>
  <c r="AD1219" i="41"/>
  <c r="AH1218" i="41"/>
  <c r="AJ1218" i="41"/>
  <c r="AK1218" i="41"/>
  <c r="AF1218" i="41"/>
  <c r="AG1218" i="41"/>
  <c r="AI1218" i="41"/>
  <c r="AB476" i="41" l="1" a="1"/>
  <c r="AB476" i="41" s="1"/>
  <c r="S475" i="41"/>
  <c r="I475" i="41" s="1"/>
  <c r="L1217" i="41"/>
  <c r="M1218" i="41"/>
  <c r="AC474" i="41"/>
  <c r="AE534" i="41" s="1" a="1"/>
  <c r="AE534" i="41" s="1"/>
  <c r="AG534" i="41" s="1"/>
  <c r="S1221" i="41"/>
  <c r="H1221" i="41" s="1"/>
  <c r="G1221" i="41" s="1"/>
  <c r="AC1220" i="41"/>
  <c r="AE1220" i="41" s="1"/>
  <c r="AD1220" i="41"/>
  <c r="AG533" i="41"/>
  <c r="AI533" i="41"/>
  <c r="AK533" i="41"/>
  <c r="AJ533" i="41"/>
  <c r="AF533" i="41"/>
  <c r="AH533" i="41"/>
  <c r="U476" i="41"/>
  <c r="Q477" i="41"/>
  <c r="W1222" i="41"/>
  <c r="X1222" i="41"/>
  <c r="P1223" i="41"/>
  <c r="O1223" i="41"/>
  <c r="M475" i="41"/>
  <c r="L475" i="41" s="1"/>
  <c r="I1220" i="41"/>
  <c r="H1220" i="41"/>
  <c r="G1220" i="41" s="1"/>
  <c r="R1223" i="41"/>
  <c r="V1223" i="41" s="1"/>
  <c r="U1222" i="41"/>
  <c r="AC1221" i="41" s="1"/>
  <c r="Q1223" i="41"/>
  <c r="AJ1219" i="41"/>
  <c r="AG1219" i="41"/>
  <c r="AK1219" i="41"/>
  <c r="AI1219" i="41"/>
  <c r="AF1219" i="41"/>
  <c r="AH1219" i="41"/>
  <c r="W476" i="41"/>
  <c r="X476" i="41"/>
  <c r="P477" i="41"/>
  <c r="O477" i="41"/>
  <c r="R477" i="41"/>
  <c r="V477" i="41" s="1"/>
  <c r="S476" i="41" l="1"/>
  <c r="I476" i="41" s="1"/>
  <c r="AD1221" i="41"/>
  <c r="H475" i="41"/>
  <c r="G475" i="41" s="1"/>
  <c r="I1221" i="41"/>
  <c r="S1222" i="41"/>
  <c r="H1222" i="41" s="1"/>
  <c r="G1222" i="41" s="1"/>
  <c r="L1218" i="41"/>
  <c r="AJ534" i="41"/>
  <c r="AH534" i="41"/>
  <c r="AF534" i="41"/>
  <c r="AK534" i="41"/>
  <c r="AI534" i="41"/>
  <c r="AB477" i="41" a="1"/>
  <c r="AB477" i="41" s="1"/>
  <c r="AB1221" i="41"/>
  <c r="T1220" i="41"/>
  <c r="M1219" i="41"/>
  <c r="O478" i="41"/>
  <c r="W1223" i="41"/>
  <c r="X1223" i="41"/>
  <c r="P1224" i="41"/>
  <c r="O1224" i="41"/>
  <c r="R1224" i="41"/>
  <c r="V1224" i="41" s="1"/>
  <c r="W477" i="41"/>
  <c r="X477" i="41"/>
  <c r="P478" i="41"/>
  <c r="U477" i="41"/>
  <c r="S477" i="41" s="1"/>
  <c r="Q478" i="41"/>
  <c r="I1222" i="41"/>
  <c r="AJ1220" i="41"/>
  <c r="AK1220" i="41"/>
  <c r="AF1220" i="41"/>
  <c r="AG1220" i="41"/>
  <c r="AH1220" i="41"/>
  <c r="AI1220" i="41"/>
  <c r="M476" i="41"/>
  <c r="L476" i="41" s="1"/>
  <c r="U1223" i="41"/>
  <c r="Q1224" i="41"/>
  <c r="H476" i="41"/>
  <c r="G476" i="41" s="1"/>
  <c r="AC475" i="41"/>
  <c r="AE535" i="41" s="1" a="1"/>
  <c r="AE535" i="41" s="1"/>
  <c r="AE1221" i="41"/>
  <c r="T1221" i="41"/>
  <c r="R478" i="41"/>
  <c r="V478" i="41" s="1"/>
  <c r="AD475" i="41"/>
  <c r="L1219" i="41" l="1"/>
  <c r="M1220" i="41"/>
  <c r="I477" i="41"/>
  <c r="H477" i="41"/>
  <c r="G477" i="41" s="1"/>
  <c r="O479" i="41"/>
  <c r="AB1222" i="41"/>
  <c r="W478" i="41"/>
  <c r="X478" i="41"/>
  <c r="P479" i="41"/>
  <c r="S1223" i="41"/>
  <c r="R1225" i="41"/>
  <c r="V1225" i="41" s="1"/>
  <c r="M477" i="41"/>
  <c r="L477" i="41" s="1"/>
  <c r="AD476" i="41"/>
  <c r="R479" i="41"/>
  <c r="V479" i="41" s="1"/>
  <c r="AJ535" i="41"/>
  <c r="AF535" i="41"/>
  <c r="AK535" i="41"/>
  <c r="AG535" i="41"/>
  <c r="AH535" i="41"/>
  <c r="AI535" i="41"/>
  <c r="U1224" i="41"/>
  <c r="AB1223" i="41" s="1"/>
  <c r="Q1225" i="41"/>
  <c r="AC476" i="41"/>
  <c r="AE536" i="41" s="1" a="1"/>
  <c r="AE536" i="41" s="1"/>
  <c r="AC1222" i="41"/>
  <c r="Q479" i="41"/>
  <c r="U478" i="41"/>
  <c r="AD477" i="41" s="1"/>
  <c r="AB478" i="41" a="1"/>
  <c r="AB478" i="41" s="1"/>
  <c r="AI1221" i="41"/>
  <c r="AF1221" i="41"/>
  <c r="AH1221" i="41"/>
  <c r="AG1221" i="41"/>
  <c r="AJ1221" i="41"/>
  <c r="AK1221" i="41"/>
  <c r="O1225" i="41"/>
  <c r="AD1222" i="41"/>
  <c r="W1224" i="41"/>
  <c r="X1224" i="41"/>
  <c r="P1225" i="41"/>
  <c r="AC477" i="41" l="1"/>
  <c r="AE537" i="41" s="1" a="1"/>
  <c r="AE537" i="41" s="1"/>
  <c r="AG537" i="41" s="1"/>
  <c r="L1220" i="41"/>
  <c r="S1224" i="41"/>
  <c r="I1224" i="41" s="1"/>
  <c r="AB479" i="41" a="1"/>
  <c r="AB479" i="41" s="1"/>
  <c r="M1221" i="41"/>
  <c r="S478" i="41"/>
  <c r="M478" i="41"/>
  <c r="L478" i="41" s="1"/>
  <c r="AJ536" i="41"/>
  <c r="AK536" i="41"/>
  <c r="AH536" i="41"/>
  <c r="AI536" i="41"/>
  <c r="AG536" i="41"/>
  <c r="AF536" i="41"/>
  <c r="AC1223" i="41"/>
  <c r="AD1223" i="41"/>
  <c r="W479" i="41"/>
  <c r="X479" i="41"/>
  <c r="P480" i="41"/>
  <c r="W1225" i="41"/>
  <c r="X1225" i="41"/>
  <c r="P1226" i="41"/>
  <c r="H1224" i="41"/>
  <c r="G1224" i="41" s="1"/>
  <c r="AE1222" i="41"/>
  <c r="T1222" i="41"/>
  <c r="O1226" i="41"/>
  <c r="R1226" i="41"/>
  <c r="V1226" i="41" s="1"/>
  <c r="U1225" i="41"/>
  <c r="S1225" i="41" s="1"/>
  <c r="I1225" i="41" s="1"/>
  <c r="Q1226" i="41"/>
  <c r="U479" i="41"/>
  <c r="AC478" i="41" s="1"/>
  <c r="AE538" i="41" s="1" a="1"/>
  <c r="AE538" i="41" s="1"/>
  <c r="Q480" i="41"/>
  <c r="I1223" i="41"/>
  <c r="H1223" i="41"/>
  <c r="G1223" i="41" s="1"/>
  <c r="O480" i="41"/>
  <c r="R480" i="41"/>
  <c r="AK537" i="41" l="1"/>
  <c r="AI537" i="41"/>
  <c r="AF537" i="41"/>
  <c r="AJ537" i="41"/>
  <c r="AH537" i="41"/>
  <c r="L1221" i="41"/>
  <c r="AD478" i="41"/>
  <c r="AC1224" i="41"/>
  <c r="T1224" i="41" s="1"/>
  <c r="I478" i="41"/>
  <c r="H478" i="41"/>
  <c r="G478" i="41" s="1"/>
  <c r="AF538" i="41"/>
  <c r="AJ538" i="41"/>
  <c r="AH538" i="41"/>
  <c r="AI538" i="41"/>
  <c r="AG538" i="41"/>
  <c r="AK538" i="41"/>
  <c r="W1226" i="41"/>
  <c r="X1226" i="41"/>
  <c r="P1227" i="41"/>
  <c r="U480" i="41"/>
  <c r="AD479" i="41" s="1"/>
  <c r="Q481" i="41"/>
  <c r="V480" i="41"/>
  <c r="O481" i="41" s="1"/>
  <c r="O1227" i="41"/>
  <c r="AF1222" i="41"/>
  <c r="AI1222" i="41"/>
  <c r="AG1222" i="41"/>
  <c r="AH1222" i="41"/>
  <c r="AK1222" i="41"/>
  <c r="AJ1222" i="41"/>
  <c r="W480" i="41"/>
  <c r="X480" i="41"/>
  <c r="P481" i="41"/>
  <c r="M479" i="41"/>
  <c r="L479" i="41" s="1"/>
  <c r="AB480" i="41" a="1"/>
  <c r="AB480" i="41" s="1"/>
  <c r="R1227" i="41"/>
  <c r="V1227" i="41" s="1"/>
  <c r="AB1224" i="41"/>
  <c r="H1225" i="41"/>
  <c r="G1225" i="41" s="1"/>
  <c r="S479" i="41"/>
  <c r="U1226" i="41"/>
  <c r="Q1227" i="41"/>
  <c r="AD1224" i="41"/>
  <c r="R481" i="41"/>
  <c r="AE1223" i="41"/>
  <c r="T1223" i="41"/>
  <c r="AE1224" i="41" l="1"/>
  <c r="AG1224" i="41" s="1"/>
  <c r="M1222" i="41"/>
  <c r="L1222" i="41" s="1"/>
  <c r="AC479" i="41"/>
  <c r="AE539" i="41" s="1" a="1"/>
  <c r="AE539" i="41" s="1"/>
  <c r="AH539" i="41" s="1"/>
  <c r="AB481" i="41" a="1"/>
  <c r="AB481" i="41" s="1"/>
  <c r="W481" i="41"/>
  <c r="X481" i="41"/>
  <c r="P482" i="41"/>
  <c r="S1226" i="41"/>
  <c r="I479" i="41"/>
  <c r="H479" i="41"/>
  <c r="G479" i="41" s="1"/>
  <c r="U481" i="41"/>
  <c r="AD480" i="41" s="1"/>
  <c r="Q482" i="41"/>
  <c r="AC1225" i="41"/>
  <c r="U1227" i="41"/>
  <c r="Q1228" i="41"/>
  <c r="R1228" i="41"/>
  <c r="V1228" i="41" s="1"/>
  <c r="AD1225" i="41"/>
  <c r="AI1223" i="41"/>
  <c r="AJ1223" i="41"/>
  <c r="AK1223" i="41"/>
  <c r="AF1223" i="41"/>
  <c r="AG1223" i="41"/>
  <c r="AH1223" i="41"/>
  <c r="O1228" i="41"/>
  <c r="S480" i="41"/>
  <c r="W1227" i="41"/>
  <c r="X1227" i="41"/>
  <c r="P1228" i="41"/>
  <c r="R482" i="41"/>
  <c r="AB1225" i="41"/>
  <c r="M480" i="41"/>
  <c r="L480" i="41" s="1"/>
  <c r="V481" i="41"/>
  <c r="O482" i="41" s="1"/>
  <c r="AF1224" i="41" l="1"/>
  <c r="AI1224" i="41"/>
  <c r="AH1224" i="41"/>
  <c r="AJ1224" i="41"/>
  <c r="AK1224" i="41"/>
  <c r="AF539" i="41"/>
  <c r="AI539" i="41"/>
  <c r="AG539" i="41"/>
  <c r="AC480" i="41"/>
  <c r="AE540" i="41" s="1" a="1"/>
  <c r="AE540" i="41" s="1"/>
  <c r="AF540" i="41" s="1"/>
  <c r="S1227" i="41"/>
  <c r="I1227" i="41" s="1"/>
  <c r="AJ539" i="41"/>
  <c r="AK539" i="41"/>
  <c r="M1223" i="41"/>
  <c r="L1223" i="41" s="1"/>
  <c r="I480" i="41"/>
  <c r="H480" i="41"/>
  <c r="G480" i="41" s="1"/>
  <c r="W1228" i="41"/>
  <c r="X1228" i="41"/>
  <c r="P1229" i="41"/>
  <c r="O1229" i="41"/>
  <c r="S481" i="41"/>
  <c r="I1226" i="41"/>
  <c r="H1226" i="41"/>
  <c r="G1226" i="41" s="1"/>
  <c r="AE1225" i="41"/>
  <c r="T1225" i="41"/>
  <c r="AC1226" i="41"/>
  <c r="AD1226" i="41"/>
  <c r="R483" i="41"/>
  <c r="W482" i="41"/>
  <c r="X482" i="41"/>
  <c r="P483" i="41"/>
  <c r="U482" i="41"/>
  <c r="AD481" i="41" s="1"/>
  <c r="Q483" i="41"/>
  <c r="AB482" i="41" a="1"/>
  <c r="AB482" i="41" s="1"/>
  <c r="V482" i="41"/>
  <c r="O483" i="41" s="1"/>
  <c r="M481" i="41"/>
  <c r="L481" i="41" s="1"/>
  <c r="R1229" i="41"/>
  <c r="V1229" i="41" s="1"/>
  <c r="U1228" i="41"/>
  <c r="AD1227" i="41" s="1"/>
  <c r="Q1229" i="41"/>
  <c r="AB1226" i="41"/>
  <c r="M1224" i="41" l="1"/>
  <c r="L1224" i="41" s="1"/>
  <c r="AG540" i="41"/>
  <c r="AJ540" i="41"/>
  <c r="AI540" i="41"/>
  <c r="H1227" i="41"/>
  <c r="G1227" i="41" s="1"/>
  <c r="AK540" i="41"/>
  <c r="AH540" i="41"/>
  <c r="S1228" i="41"/>
  <c r="I1228" i="41" s="1"/>
  <c r="AB1227" i="41"/>
  <c r="S482" i="41"/>
  <c r="I482" i="41" s="1"/>
  <c r="AB483" i="41" a="1"/>
  <c r="AB483" i="41" s="1"/>
  <c r="AC481" i="41"/>
  <c r="AE541" i="41" s="1" a="1"/>
  <c r="AE541" i="41" s="1"/>
  <c r="AK541" i="41" s="1"/>
  <c r="W483" i="41"/>
  <c r="X483" i="41"/>
  <c r="P484" i="41"/>
  <c r="R1230" i="41"/>
  <c r="V1230" i="41" s="1"/>
  <c r="I481" i="41"/>
  <c r="H481" i="41"/>
  <c r="G481" i="41" s="1"/>
  <c r="U483" i="41"/>
  <c r="AD482" i="41" s="1"/>
  <c r="Q484" i="41"/>
  <c r="O1230" i="41"/>
  <c r="AE1226" i="41"/>
  <c r="T1226" i="41"/>
  <c r="AC1227" i="41"/>
  <c r="V483" i="41"/>
  <c r="O484" i="41" s="1"/>
  <c r="U1229" i="41"/>
  <c r="Q1230" i="41"/>
  <c r="AG1225" i="41"/>
  <c r="AK1225" i="41"/>
  <c r="AH1225" i="41"/>
  <c r="AJ1225" i="41"/>
  <c r="AF1225" i="41"/>
  <c r="AI1225" i="41"/>
  <c r="M482" i="41"/>
  <c r="L482" i="41" s="1"/>
  <c r="R484" i="41"/>
  <c r="W1229" i="41"/>
  <c r="X1229" i="41"/>
  <c r="P1230" i="41"/>
  <c r="S1229" i="41" l="1"/>
  <c r="I1229" i="41" s="1"/>
  <c r="S483" i="41"/>
  <c r="I483" i="41" s="1"/>
  <c r="H1228" i="41"/>
  <c r="G1228" i="41" s="1"/>
  <c r="H482" i="41"/>
  <c r="G482" i="41" s="1"/>
  <c r="AJ541" i="41"/>
  <c r="AC482" i="41"/>
  <c r="AE542" i="41" s="1" a="1"/>
  <c r="AE542" i="41" s="1"/>
  <c r="AK542" i="41" s="1"/>
  <c r="AI541" i="41"/>
  <c r="AF541" i="41"/>
  <c r="H1229" i="41"/>
  <c r="G1229" i="41" s="1"/>
  <c r="AD1228" i="41"/>
  <c r="AC1228" i="41"/>
  <c r="AE1228" i="41" s="1"/>
  <c r="AB484" i="41" a="1"/>
  <c r="AB484" i="41" s="1"/>
  <c r="AG541" i="41"/>
  <c r="AH541" i="41"/>
  <c r="W484" i="41"/>
  <c r="X484" i="41"/>
  <c r="P485" i="41"/>
  <c r="U484" i="41"/>
  <c r="AD483" i="41" s="1"/>
  <c r="Q485" i="41"/>
  <c r="V484" i="41"/>
  <c r="O485" i="41" s="1"/>
  <c r="U1230" i="41"/>
  <c r="Q1231" i="41"/>
  <c r="W1230" i="41"/>
  <c r="X1230" i="41"/>
  <c r="P1231" i="41"/>
  <c r="AE1227" i="41"/>
  <c r="T1227" i="41"/>
  <c r="R485" i="41"/>
  <c r="O1231" i="41"/>
  <c r="AB1228" i="41"/>
  <c r="M1225" i="41"/>
  <c r="L1225" i="41" s="1"/>
  <c r="H483" i="41"/>
  <c r="G483" i="41" s="1"/>
  <c r="R1231" i="41"/>
  <c r="V1231" i="41" s="1"/>
  <c r="AH1226" i="41"/>
  <c r="AI1226" i="41"/>
  <c r="AF1226" i="41"/>
  <c r="AJ1226" i="41"/>
  <c r="AK1226" i="41"/>
  <c r="AG1226" i="41"/>
  <c r="M483" i="41"/>
  <c r="L483" i="41" s="1"/>
  <c r="AI542" i="41" l="1"/>
  <c r="AJ542" i="41"/>
  <c r="AH542" i="41"/>
  <c r="AG542" i="41"/>
  <c r="AF542" i="41"/>
  <c r="T1228" i="41"/>
  <c r="AB485" i="41" a="1"/>
  <c r="AB485" i="41" s="1"/>
  <c r="AC483" i="41"/>
  <c r="AE543" i="41" s="1" a="1"/>
  <c r="AE543" i="41" s="1"/>
  <c r="AG543" i="41" s="1"/>
  <c r="S484" i="41"/>
  <c r="I484" i="41" s="1"/>
  <c r="W485" i="41"/>
  <c r="X485" i="41"/>
  <c r="P486" i="41"/>
  <c r="U485" i="41"/>
  <c r="Q486" i="41"/>
  <c r="O1232" i="41"/>
  <c r="R486" i="41"/>
  <c r="V486" i="41" s="1"/>
  <c r="AF1227" i="41"/>
  <c r="AJ1227" i="41"/>
  <c r="AK1227" i="41"/>
  <c r="AG1227" i="41"/>
  <c r="AH1227" i="41"/>
  <c r="AI1227" i="41"/>
  <c r="M1226" i="41"/>
  <c r="L1226" i="41" s="1"/>
  <c r="AC1229" i="41"/>
  <c r="M484" i="41"/>
  <c r="L484" i="41" s="1"/>
  <c r="AG1228" i="41"/>
  <c r="AJ1228" i="41"/>
  <c r="AI1228" i="41"/>
  <c r="AH1228" i="41"/>
  <c r="AF1228" i="41"/>
  <c r="AK1228" i="41"/>
  <c r="AB1229" i="41"/>
  <c r="V485" i="41"/>
  <c r="O486" i="41" s="1"/>
  <c r="AD1229" i="41"/>
  <c r="R1232" i="41"/>
  <c r="W1231" i="41"/>
  <c r="X1231" i="41"/>
  <c r="P1232" i="41"/>
  <c r="U1231" i="41"/>
  <c r="AC1230" i="41" s="1"/>
  <c r="Q1232" i="41"/>
  <c r="S1230" i="41"/>
  <c r="S485" i="41" l="1"/>
  <c r="I485" i="41" s="1"/>
  <c r="AB1230" i="41"/>
  <c r="AF543" i="41"/>
  <c r="AK543" i="41"/>
  <c r="AJ543" i="41"/>
  <c r="AH543" i="41"/>
  <c r="H484" i="41"/>
  <c r="G484" i="41" s="1"/>
  <c r="AI543" i="41"/>
  <c r="M1228" i="41"/>
  <c r="S1231" i="41"/>
  <c r="H1231" i="41" s="1"/>
  <c r="G1231" i="41" s="1"/>
  <c r="AD1230" i="41"/>
  <c r="M1227" i="41"/>
  <c r="L1227" i="41" s="1"/>
  <c r="W1232" i="41"/>
  <c r="X1232" i="41"/>
  <c r="P1233" i="41"/>
  <c r="W486" i="41"/>
  <c r="X486" i="41"/>
  <c r="P487" i="41"/>
  <c r="AE1229" i="41"/>
  <c r="T1229" i="41"/>
  <c r="U1232" i="41"/>
  <c r="AD1231" i="41" s="1"/>
  <c r="Q1233" i="41"/>
  <c r="I1230" i="41"/>
  <c r="H1230" i="41"/>
  <c r="G1230" i="41" s="1"/>
  <c r="O487" i="41"/>
  <c r="AE1230" i="41"/>
  <c r="T1230" i="41"/>
  <c r="U486" i="41"/>
  <c r="Q487" i="41"/>
  <c r="AB486" i="41" a="1"/>
  <c r="AB486" i="41" s="1"/>
  <c r="R487" i="41"/>
  <c r="V487" i="41" s="1"/>
  <c r="V1232" i="41"/>
  <c r="O1233" i="41" s="1"/>
  <c r="AD484" i="41"/>
  <c r="AC484" i="41"/>
  <c r="AE544" i="41" s="1" a="1"/>
  <c r="AE544" i="41" s="1"/>
  <c r="R1233" i="41"/>
  <c r="V1233" i="41" s="1"/>
  <c r="M485" i="41"/>
  <c r="L485" i="41" s="1"/>
  <c r="H485" i="41" l="1"/>
  <c r="G485" i="41" s="1"/>
  <c r="S486" i="41"/>
  <c r="I486" i="41" s="1"/>
  <c r="I1231" i="41"/>
  <c r="L1228" i="41"/>
  <c r="AB487" i="41" a="1"/>
  <c r="AB487" i="41" s="1"/>
  <c r="AC1231" i="41"/>
  <c r="T1231" i="41" s="1"/>
  <c r="W1233" i="41"/>
  <c r="X1233" i="41"/>
  <c r="P1234" i="41"/>
  <c r="O1234" i="41"/>
  <c r="AI1229" i="41"/>
  <c r="AJ1229" i="41"/>
  <c r="AH1229" i="41"/>
  <c r="AG1229" i="41"/>
  <c r="AK1229" i="41"/>
  <c r="AF1229" i="41"/>
  <c r="O488" i="41"/>
  <c r="AI1230" i="41"/>
  <c r="AK1230" i="41"/>
  <c r="AF1230" i="41"/>
  <c r="AH1230" i="41"/>
  <c r="AG1230" i="41"/>
  <c r="AJ1230" i="41"/>
  <c r="W487" i="41"/>
  <c r="X487" i="41"/>
  <c r="P488" i="41"/>
  <c r="R1234" i="41"/>
  <c r="V1234" i="41" s="1"/>
  <c r="AD485" i="41"/>
  <c r="R488" i="41"/>
  <c r="V488" i="41" s="1"/>
  <c r="M486" i="41"/>
  <c r="L486" i="41" s="1"/>
  <c r="U1233" i="41"/>
  <c r="Q1234" i="41"/>
  <c r="AK544" i="41"/>
  <c r="AG544" i="41"/>
  <c r="AJ544" i="41"/>
  <c r="AI544" i="41"/>
  <c r="AF544" i="41"/>
  <c r="AH544" i="41"/>
  <c r="AC485" i="41"/>
  <c r="AE545" i="41" s="1" a="1"/>
  <c r="AE545" i="41" s="1"/>
  <c r="S1232" i="41"/>
  <c r="U487" i="41"/>
  <c r="Q488" i="41"/>
  <c r="AB1231" i="41"/>
  <c r="H486" i="41" l="1"/>
  <c r="G486" i="41" s="1"/>
  <c r="S1233" i="41"/>
  <c r="I1233" i="41" s="1"/>
  <c r="AE1231" i="41"/>
  <c r="AI1231" i="41" s="1"/>
  <c r="M1230" i="41"/>
  <c r="AC1232" i="41"/>
  <c r="AE1232" i="41" s="1"/>
  <c r="AD1232" i="41"/>
  <c r="AB488" i="41" a="1"/>
  <c r="AB488" i="41" s="1"/>
  <c r="M1229" i="41"/>
  <c r="L1229" i="41" s="1"/>
  <c r="W1234" i="41"/>
  <c r="X1234" i="41"/>
  <c r="P1235" i="41"/>
  <c r="S487" i="41"/>
  <c r="R1235" i="41"/>
  <c r="V1235" i="41" s="1"/>
  <c r="W488" i="41"/>
  <c r="X488" i="41"/>
  <c r="P489" i="41"/>
  <c r="O489" i="41"/>
  <c r="O1235" i="41"/>
  <c r="I1232" i="41"/>
  <c r="H1232" i="41"/>
  <c r="G1232" i="41" s="1"/>
  <c r="AK545" i="41"/>
  <c r="AF545" i="41"/>
  <c r="AG545" i="41"/>
  <c r="AJ545" i="41"/>
  <c r="AI545" i="41"/>
  <c r="AH545" i="41"/>
  <c r="AC486" i="41"/>
  <c r="AE546" i="41" s="1" a="1"/>
  <c r="AE546" i="41" s="1"/>
  <c r="AD486" i="41"/>
  <c r="U1234" i="41"/>
  <c r="AC1233" i="41" s="1"/>
  <c r="Q1235" i="41"/>
  <c r="R489" i="41"/>
  <c r="M487" i="41"/>
  <c r="L487" i="41" s="1"/>
  <c r="U488" i="41"/>
  <c r="AD487" i="41" s="1"/>
  <c r="Q489" i="41"/>
  <c r="AB1232" i="41"/>
  <c r="AK1231" i="41" l="1"/>
  <c r="AF1231" i="41"/>
  <c r="AJ1231" i="41"/>
  <c r="AG1231" i="41"/>
  <c r="AH1231" i="41"/>
  <c r="H1233" i="41"/>
  <c r="G1233" i="41" s="1"/>
  <c r="AB1233" i="41"/>
  <c r="L1230" i="41"/>
  <c r="T1232" i="41"/>
  <c r="AC487" i="41"/>
  <c r="AE547" i="41" s="1" a="1"/>
  <c r="AE547" i="41" s="1"/>
  <c r="AK547" i="41" s="1"/>
  <c r="S488" i="41"/>
  <c r="I488" i="41" s="1"/>
  <c r="S1234" i="41"/>
  <c r="H1234" i="41" s="1"/>
  <c r="G1234" i="41" s="1"/>
  <c r="M488" i="41"/>
  <c r="L488" i="41" s="1"/>
  <c r="AE1233" i="41"/>
  <c r="T1233" i="41"/>
  <c r="AG546" i="41"/>
  <c r="AI546" i="41"/>
  <c r="AF546" i="41"/>
  <c r="AJ546" i="41"/>
  <c r="AH546" i="41"/>
  <c r="AK546" i="41"/>
  <c r="R1236" i="41"/>
  <c r="R490" i="41"/>
  <c r="U489" i="41"/>
  <c r="Q490" i="41"/>
  <c r="AB489" i="41" a="1"/>
  <c r="AB489" i="41" s="1"/>
  <c r="W489" i="41"/>
  <c r="X489" i="41"/>
  <c r="P490" i="41"/>
  <c r="O1236" i="41"/>
  <c r="U1235" i="41"/>
  <c r="Q1236" i="41"/>
  <c r="AH1232" i="41"/>
  <c r="AI1232" i="41"/>
  <c r="AJ1232" i="41"/>
  <c r="AK1232" i="41"/>
  <c r="AG1232" i="41"/>
  <c r="AF1232" i="41"/>
  <c r="V489" i="41"/>
  <c r="O490" i="41" s="1"/>
  <c r="AD1233" i="41"/>
  <c r="W1235" i="41"/>
  <c r="X1235" i="41"/>
  <c r="P1236" i="41"/>
  <c r="I487" i="41"/>
  <c r="H487" i="41"/>
  <c r="G487" i="41" s="1"/>
  <c r="M1231" i="41" l="1"/>
  <c r="L1231" i="41" s="1"/>
  <c r="H488" i="41"/>
  <c r="G488" i="41" s="1"/>
  <c r="I1234" i="41"/>
  <c r="V490" i="41"/>
  <c r="O491" i="41" s="1"/>
  <c r="AJ547" i="41"/>
  <c r="AG547" i="41"/>
  <c r="AF547" i="41"/>
  <c r="AH547" i="41"/>
  <c r="AI547" i="41"/>
  <c r="M1232" i="41"/>
  <c r="W1236" i="41"/>
  <c r="P1237" i="41"/>
  <c r="X1236" i="41"/>
  <c r="AD488" i="41"/>
  <c r="W490" i="41"/>
  <c r="X490" i="41"/>
  <c r="P491" i="41"/>
  <c r="AB490" i="41" a="1"/>
  <c r="AB490" i="41" s="1"/>
  <c r="S1235" i="41"/>
  <c r="AC488" i="41"/>
  <c r="AE548" i="41" s="1" a="1"/>
  <c r="AE548" i="41" s="1"/>
  <c r="R491" i="41"/>
  <c r="AD1234" i="41"/>
  <c r="U490" i="41"/>
  <c r="AD489" i="41" s="1"/>
  <c r="Q491" i="41"/>
  <c r="R1237" i="41"/>
  <c r="S489" i="41"/>
  <c r="U1236" i="41"/>
  <c r="AC1235" i="41" s="1"/>
  <c r="Q1237" i="41"/>
  <c r="AB1234" i="41"/>
  <c r="M489" i="41"/>
  <c r="L489" i="41" s="1"/>
  <c r="AC1234" i="41"/>
  <c r="V1236" i="41"/>
  <c r="O1237" i="41" s="1"/>
  <c r="AJ1233" i="41"/>
  <c r="AI1233" i="41"/>
  <c r="AH1233" i="41"/>
  <c r="AF1233" i="41"/>
  <c r="AK1233" i="41"/>
  <c r="AG1233" i="41"/>
  <c r="V491" i="41" l="1"/>
  <c r="S490" i="41"/>
  <c r="V1237" i="41"/>
  <c r="L1232" i="41"/>
  <c r="AB491" i="41" a="1"/>
  <c r="AB491" i="41" s="1"/>
  <c r="M1233" i="41"/>
  <c r="AC489" i="41"/>
  <c r="AE549" i="41" s="1" a="1"/>
  <c r="AE549" i="41" s="1"/>
  <c r="AH549" i="41" s="1"/>
  <c r="S1236" i="41"/>
  <c r="H1236" i="41" s="1"/>
  <c r="G1236" i="41" s="1"/>
  <c r="AE1235" i="41"/>
  <c r="T1235" i="41"/>
  <c r="I490" i="41"/>
  <c r="H490" i="41"/>
  <c r="G490" i="41" s="1"/>
  <c r="W1237" i="41"/>
  <c r="X1237" i="41"/>
  <c r="P1238" i="41"/>
  <c r="R1238" i="41"/>
  <c r="AD1235" i="41"/>
  <c r="O1238" i="41"/>
  <c r="W491" i="41"/>
  <c r="X491" i="41"/>
  <c r="P492" i="41"/>
  <c r="U491" i="41"/>
  <c r="AC490" i="41" s="1"/>
  <c r="AE550" i="41" s="1" a="1"/>
  <c r="AE550" i="41" s="1"/>
  <c r="Q492" i="41"/>
  <c r="H1235" i="41"/>
  <c r="G1235" i="41" s="1"/>
  <c r="I1235" i="41"/>
  <c r="R492" i="41"/>
  <c r="AE1234" i="41"/>
  <c r="T1234" i="41"/>
  <c r="M490" i="41"/>
  <c r="L490" i="41" s="1"/>
  <c r="AK548" i="41"/>
  <c r="AG548" i="41"/>
  <c r="AH548" i="41"/>
  <c r="AI548" i="41"/>
  <c r="AF548" i="41"/>
  <c r="AJ548" i="41"/>
  <c r="I489" i="41"/>
  <c r="H489" i="41"/>
  <c r="G489" i="41" s="1"/>
  <c r="U1237" i="41"/>
  <c r="AD1236" i="41" s="1"/>
  <c r="Q1238" i="41"/>
  <c r="AB1235" i="41"/>
  <c r="O492" i="41"/>
  <c r="L1233" i="41" l="1"/>
  <c r="AB492" i="41" a="1"/>
  <c r="AB492" i="41" s="1"/>
  <c r="AF549" i="41"/>
  <c r="AJ549" i="41"/>
  <c r="AI549" i="41"/>
  <c r="AG549" i="41"/>
  <c r="AK549" i="41"/>
  <c r="AD490" i="41"/>
  <c r="I1236" i="41"/>
  <c r="M491" i="41"/>
  <c r="L491" i="41" s="1"/>
  <c r="S1237" i="41"/>
  <c r="I1237" i="41" s="1"/>
  <c r="S491" i="41"/>
  <c r="I491" i="41" s="1"/>
  <c r="AC1236" i="41"/>
  <c r="T1236" i="41" s="1"/>
  <c r="AB1236" i="41"/>
  <c r="U1238" i="41"/>
  <c r="AC1237" i="41" s="1"/>
  <c r="Q1239" i="41"/>
  <c r="W1238" i="41"/>
  <c r="X1238" i="41"/>
  <c r="P1239" i="41"/>
  <c r="R1239" i="41"/>
  <c r="U492" i="41"/>
  <c r="Q493" i="41"/>
  <c r="AG550" i="41"/>
  <c r="AJ550" i="41"/>
  <c r="AI550" i="41"/>
  <c r="AK550" i="41"/>
  <c r="AF550" i="41"/>
  <c r="AH550" i="41"/>
  <c r="W492" i="41"/>
  <c r="X492" i="41"/>
  <c r="P493" i="41"/>
  <c r="V492" i="41"/>
  <c r="O493" i="41" s="1"/>
  <c r="R493" i="41"/>
  <c r="V493" i="41" s="1"/>
  <c r="V1238" i="41"/>
  <c r="O1239" i="41" s="1"/>
  <c r="AK1234" i="41"/>
  <c r="AG1234" i="41"/>
  <c r="AI1234" i="41"/>
  <c r="AF1234" i="41"/>
  <c r="AH1234" i="41"/>
  <c r="AJ1234" i="41"/>
  <c r="AJ1235" i="41"/>
  <c r="AH1235" i="41"/>
  <c r="AK1235" i="41"/>
  <c r="AG1235" i="41"/>
  <c r="AF1235" i="41"/>
  <c r="AI1235" i="41"/>
  <c r="H491" i="41" l="1"/>
  <c r="G491" i="41" s="1"/>
  <c r="AD1237" i="41"/>
  <c r="S492" i="41"/>
  <c r="I492" i="41" s="1"/>
  <c r="S1238" i="41"/>
  <c r="I1238" i="41" s="1"/>
  <c r="M1235" i="41"/>
  <c r="H1237" i="41"/>
  <c r="G1237" i="41" s="1"/>
  <c r="AE1236" i="41"/>
  <c r="AK1236" i="41" s="1"/>
  <c r="M1234" i="41"/>
  <c r="L1234" i="41" s="1"/>
  <c r="M492" i="41"/>
  <c r="L492" i="41" s="1"/>
  <c r="R494" i="41"/>
  <c r="W1239" i="41"/>
  <c r="X1239" i="41"/>
  <c r="P1240" i="41"/>
  <c r="AE1237" i="41"/>
  <c r="T1237" i="41"/>
  <c r="W493" i="41"/>
  <c r="X493" i="41"/>
  <c r="P494" i="41"/>
  <c r="AB1237" i="41"/>
  <c r="R1240" i="41"/>
  <c r="U1239" i="41"/>
  <c r="AB1238" i="41" s="1"/>
  <c r="Q1240" i="41"/>
  <c r="H492" i="41"/>
  <c r="G492" i="41" s="1"/>
  <c r="O494" i="41"/>
  <c r="U493" i="41"/>
  <c r="AC492" i="41" s="1"/>
  <c r="AE552" i="41" s="1" a="1"/>
  <c r="AE552" i="41" s="1"/>
  <c r="Q494" i="41"/>
  <c r="AD491" i="41"/>
  <c r="V1239" i="41"/>
  <c r="O1240" i="41" s="1"/>
  <c r="AB493" i="41" a="1"/>
  <c r="AB493" i="41" s="1"/>
  <c r="AC491" i="41"/>
  <c r="AE551" i="41" s="1" a="1"/>
  <c r="AE551" i="41" s="1"/>
  <c r="H1238" i="41" l="1"/>
  <c r="G1238" i="41" s="1"/>
  <c r="S493" i="41"/>
  <c r="I493" i="41" s="1"/>
  <c r="L1235" i="41"/>
  <c r="AH1236" i="41"/>
  <c r="AJ1236" i="41"/>
  <c r="AI1236" i="41"/>
  <c r="S1239" i="41"/>
  <c r="H1239" i="41" s="1"/>
  <c r="G1239" i="41" s="1"/>
  <c r="AG1236" i="41"/>
  <c r="AF1236" i="41"/>
  <c r="AD492" i="41"/>
  <c r="AC1238" i="41"/>
  <c r="AE1238" i="41" s="1"/>
  <c r="AD1238" i="41"/>
  <c r="W1240" i="41"/>
  <c r="X1240" i="41"/>
  <c r="P1241" i="41"/>
  <c r="AI1237" i="41"/>
  <c r="AG1237" i="41"/>
  <c r="AF1237" i="41"/>
  <c r="AJ1237" i="41"/>
  <c r="AK1237" i="41"/>
  <c r="AH1237" i="41"/>
  <c r="AH551" i="41"/>
  <c r="AF551" i="41"/>
  <c r="AK551" i="41"/>
  <c r="AI551" i="41"/>
  <c r="AG551" i="41"/>
  <c r="AJ551" i="41"/>
  <c r="R1241" i="41"/>
  <c r="V1241" i="41" s="1"/>
  <c r="R495" i="41"/>
  <c r="AI552" i="41"/>
  <c r="AH552" i="41"/>
  <c r="AK552" i="41"/>
  <c r="AG552" i="41"/>
  <c r="AF552" i="41"/>
  <c r="AJ552" i="41"/>
  <c r="U1240" i="41"/>
  <c r="Q1241" i="41"/>
  <c r="U494" i="41"/>
  <c r="Q495" i="41"/>
  <c r="W494" i="41"/>
  <c r="P495" i="41"/>
  <c r="X494" i="41"/>
  <c r="V494" i="41"/>
  <c r="O495" i="41" s="1"/>
  <c r="V1240" i="41"/>
  <c r="O1241" i="41" s="1"/>
  <c r="M493" i="41"/>
  <c r="L493" i="41" s="1"/>
  <c r="AB494" i="41" a="1"/>
  <c r="AB494" i="41" s="1"/>
  <c r="H493" i="41" l="1"/>
  <c r="G493" i="41" s="1"/>
  <c r="V495" i="41"/>
  <c r="M1236" i="41"/>
  <c r="L1236" i="41" s="1"/>
  <c r="S494" i="41"/>
  <c r="I494" i="41" s="1"/>
  <c r="T1238" i="41"/>
  <c r="I1239" i="41"/>
  <c r="S1240" i="41"/>
  <c r="H1240" i="41" s="1"/>
  <c r="G1240" i="41" s="1"/>
  <c r="M1237" i="41"/>
  <c r="AD493" i="41"/>
  <c r="W1241" i="41"/>
  <c r="X1241" i="41"/>
  <c r="P1242" i="41"/>
  <c r="O1242" i="41"/>
  <c r="U1241" i="41"/>
  <c r="AD1240" i="41" s="1"/>
  <c r="Q1242" i="41"/>
  <c r="R1242" i="41"/>
  <c r="V1242" i="41" s="1"/>
  <c r="O496" i="41"/>
  <c r="AD1239" i="41"/>
  <c r="W495" i="41"/>
  <c r="X495" i="41"/>
  <c r="P496" i="41"/>
  <c r="AF1238" i="41"/>
  <c r="AK1238" i="41"/>
  <c r="AI1238" i="41"/>
  <c r="AG1238" i="41"/>
  <c r="AJ1238" i="41"/>
  <c r="AH1238" i="41"/>
  <c r="AB1239" i="41"/>
  <c r="AC1239" i="41"/>
  <c r="R496" i="41"/>
  <c r="V496" i="41" s="1"/>
  <c r="M494" i="41"/>
  <c r="L494" i="41" s="1"/>
  <c r="AB495" i="41" a="1"/>
  <c r="AB495" i="41" s="1"/>
  <c r="AC493" i="41"/>
  <c r="AE553" i="41" s="1" a="1"/>
  <c r="AE553" i="41" s="1"/>
  <c r="U495" i="41"/>
  <c r="AD494" i="41" s="1"/>
  <c r="Q496" i="41"/>
  <c r="H494" i="41" l="1"/>
  <c r="G494" i="41" s="1"/>
  <c r="L1237" i="41"/>
  <c r="M1238" i="41"/>
  <c r="I1240" i="41"/>
  <c r="AC494" i="41"/>
  <c r="AE554" i="41" s="1" a="1"/>
  <c r="AE554" i="41" s="1"/>
  <c r="AI554" i="41" s="1"/>
  <c r="M495" i="41"/>
  <c r="L495" i="41" s="1"/>
  <c r="AE1239" i="41"/>
  <c r="T1239" i="41"/>
  <c r="U1242" i="41"/>
  <c r="Q1243" i="41"/>
  <c r="AB1240" i="41"/>
  <c r="S1241" i="41"/>
  <c r="AH553" i="41"/>
  <c r="AI553" i="41"/>
  <c r="AJ553" i="41"/>
  <c r="AG553" i="41"/>
  <c r="AK553" i="41"/>
  <c r="AF553" i="41"/>
  <c r="R1243" i="41"/>
  <c r="V1243" i="41" s="1"/>
  <c r="O1243" i="41"/>
  <c r="W1242" i="41"/>
  <c r="X1242" i="41"/>
  <c r="P1243" i="41"/>
  <c r="O497" i="41"/>
  <c r="AC1240" i="41"/>
  <c r="W496" i="41"/>
  <c r="X496" i="41"/>
  <c r="P497" i="41"/>
  <c r="R497" i="41"/>
  <c r="V497" i="41" s="1"/>
  <c r="S495" i="41"/>
  <c r="U496" i="41"/>
  <c r="Q497" i="41"/>
  <c r="AB496" i="41" a="1"/>
  <c r="AB496" i="41" s="1"/>
  <c r="S496" i="41" l="1"/>
  <c r="I496" i="41" s="1"/>
  <c r="L1238" i="41"/>
  <c r="AF554" i="41"/>
  <c r="AG554" i="41"/>
  <c r="AK554" i="41"/>
  <c r="AH554" i="41"/>
  <c r="S1242" i="41"/>
  <c r="I1242" i="41" s="1"/>
  <c r="AJ554" i="41"/>
  <c r="AD495" i="41"/>
  <c r="AB1241" i="41"/>
  <c r="AD1241" i="41"/>
  <c r="AE1240" i="41"/>
  <c r="T1240" i="41"/>
  <c r="AC1241" i="41"/>
  <c r="R498" i="41"/>
  <c r="O1244" i="41"/>
  <c r="W497" i="41"/>
  <c r="X497" i="41"/>
  <c r="P498" i="41"/>
  <c r="AB497" i="41" a="1"/>
  <c r="AB497" i="41" s="1"/>
  <c r="W1243" i="41"/>
  <c r="X1243" i="41"/>
  <c r="P1244" i="41"/>
  <c r="U497" i="41"/>
  <c r="Q498" i="41"/>
  <c r="R1244" i="41"/>
  <c r="V1244" i="41" s="1"/>
  <c r="O498" i="41"/>
  <c r="U1243" i="41"/>
  <c r="AB1242" i="41" s="1"/>
  <c r="Q1244" i="41"/>
  <c r="I495" i="41"/>
  <c r="H495" i="41"/>
  <c r="G495" i="41" s="1"/>
  <c r="M496" i="41"/>
  <c r="L496" i="41" s="1"/>
  <c r="AC495" i="41"/>
  <c r="AE555" i="41" s="1" a="1"/>
  <c r="AE555" i="41" s="1"/>
  <c r="I1241" i="41"/>
  <c r="H1241" i="41"/>
  <c r="G1241" i="41" s="1"/>
  <c r="AG1239" i="41"/>
  <c r="AF1239" i="41"/>
  <c r="AH1239" i="41"/>
  <c r="AJ1239" i="41"/>
  <c r="AI1239" i="41"/>
  <c r="AK1239" i="41"/>
  <c r="H496" i="41" l="1"/>
  <c r="G496" i="41" s="1"/>
  <c r="H1242" i="41"/>
  <c r="G1242" i="41" s="1"/>
  <c r="S497" i="41"/>
  <c r="I497" i="41" s="1"/>
  <c r="AB498" i="41" a="1"/>
  <c r="AB498" i="41" s="1"/>
  <c r="U498" i="41"/>
  <c r="AD497" i="41" s="1"/>
  <c r="Q499" i="41"/>
  <c r="AE1241" i="41"/>
  <c r="T1241" i="41"/>
  <c r="AF1240" i="41"/>
  <c r="AK1240" i="41"/>
  <c r="AJ1240" i="41"/>
  <c r="AH1240" i="41"/>
  <c r="AG1240" i="41"/>
  <c r="AI1240" i="41"/>
  <c r="V498" i="41"/>
  <c r="O499" i="41" s="1"/>
  <c r="H497" i="41"/>
  <c r="G497" i="41" s="1"/>
  <c r="AH555" i="41"/>
  <c r="AG555" i="41"/>
  <c r="AI555" i="41"/>
  <c r="AF555" i="41"/>
  <c r="AJ555" i="41"/>
  <c r="AK555" i="41"/>
  <c r="R499" i="41"/>
  <c r="O1245" i="41"/>
  <c r="W498" i="41"/>
  <c r="X498" i="41"/>
  <c r="P499" i="41"/>
  <c r="U1244" i="41"/>
  <c r="Q1245" i="41"/>
  <c r="M497" i="41"/>
  <c r="L497" i="41" s="1"/>
  <c r="AC1242" i="41"/>
  <c r="AD496" i="41"/>
  <c r="AD1242" i="41"/>
  <c r="W1244" i="41"/>
  <c r="X1244" i="41"/>
  <c r="P1245" i="41"/>
  <c r="M1239" i="41"/>
  <c r="L1239" i="41" s="1"/>
  <c r="AC496" i="41"/>
  <c r="AE556" i="41" s="1" a="1"/>
  <c r="AE556" i="41" s="1"/>
  <c r="R1245" i="41"/>
  <c r="V1245" i="41" s="1"/>
  <c r="S1243" i="41"/>
  <c r="AC497" i="41" l="1"/>
  <c r="AE557" i="41" s="1" a="1"/>
  <c r="AE557" i="41" s="1"/>
  <c r="AJ557" i="41" s="1"/>
  <c r="S498" i="41"/>
  <c r="I498" i="41" s="1"/>
  <c r="AB499" i="41" a="1"/>
  <c r="AB499" i="41" s="1"/>
  <c r="M1240" i="41"/>
  <c r="L1240" i="41" s="1"/>
  <c r="H498" i="41"/>
  <c r="G498" i="41" s="1"/>
  <c r="W499" i="41"/>
  <c r="X499" i="41"/>
  <c r="P500" i="41"/>
  <c r="R1246" i="41"/>
  <c r="O1246" i="41"/>
  <c r="AB1243" i="41"/>
  <c r="U1245" i="41"/>
  <c r="AC1244" i="41" s="1"/>
  <c r="Q1246" i="41"/>
  <c r="AE1242" i="41"/>
  <c r="T1242" i="41"/>
  <c r="AC1243" i="41"/>
  <c r="AH1241" i="41"/>
  <c r="AJ1241" i="41"/>
  <c r="AI1241" i="41"/>
  <c r="AK1241" i="41"/>
  <c r="AG1241" i="41"/>
  <c r="AF1241" i="41"/>
  <c r="W1245" i="41"/>
  <c r="X1245" i="41"/>
  <c r="P1246" i="41"/>
  <c r="U499" i="41"/>
  <c r="AD498" i="41" s="1"/>
  <c r="Q500" i="41"/>
  <c r="I1243" i="41"/>
  <c r="H1243" i="41"/>
  <c r="G1243" i="41" s="1"/>
  <c r="AD1243" i="41"/>
  <c r="R500" i="41"/>
  <c r="V500" i="41" s="1"/>
  <c r="M498" i="41"/>
  <c r="L498" i="41" s="1"/>
  <c r="AK557" i="41"/>
  <c r="AH557" i="41"/>
  <c r="AG557" i="41"/>
  <c r="V499" i="41"/>
  <c r="O500" i="41" s="1"/>
  <c r="S1244" i="41"/>
  <c r="AF556" i="41"/>
  <c r="AI556" i="41"/>
  <c r="AJ556" i="41"/>
  <c r="AG556" i="41"/>
  <c r="AK556" i="41"/>
  <c r="AH556" i="41"/>
  <c r="AI557" i="41" l="1"/>
  <c r="AF557" i="41"/>
  <c r="AC498" i="41"/>
  <c r="AE558" i="41" s="1" a="1"/>
  <c r="AE558" i="41" s="1"/>
  <c r="AF558" i="41" s="1"/>
  <c r="M1241" i="41"/>
  <c r="L1241" i="41" s="1"/>
  <c r="AB1244" i="41"/>
  <c r="AD1244" i="41"/>
  <c r="S1245" i="41"/>
  <c r="H1245" i="41" s="1"/>
  <c r="G1245" i="41" s="1"/>
  <c r="AE1244" i="41"/>
  <c r="T1244" i="41"/>
  <c r="W1246" i="41"/>
  <c r="X1246" i="41"/>
  <c r="P1247" i="41"/>
  <c r="AE1243" i="41"/>
  <c r="T1243" i="41"/>
  <c r="U1246" i="41"/>
  <c r="AC1245" i="41" s="1"/>
  <c r="Q1247" i="41"/>
  <c r="O501" i="41"/>
  <c r="AK1242" i="41"/>
  <c r="AI1242" i="41"/>
  <c r="AH1242" i="41"/>
  <c r="AJ1242" i="41"/>
  <c r="AG1242" i="41"/>
  <c r="AF1242" i="41"/>
  <c r="R501" i="41"/>
  <c r="V501" i="41" s="1"/>
  <c r="R1247" i="41"/>
  <c r="V1247" i="41" s="1"/>
  <c r="V1246" i="41"/>
  <c r="O1247" i="41" s="1"/>
  <c r="AB500" i="41" a="1"/>
  <c r="AB500" i="41" s="1"/>
  <c r="I1244" i="41"/>
  <c r="H1244" i="41"/>
  <c r="G1244" i="41" s="1"/>
  <c r="U500" i="41"/>
  <c r="Q501" i="41"/>
  <c r="W500" i="41"/>
  <c r="X500" i="41"/>
  <c r="P501" i="41"/>
  <c r="S499" i="41"/>
  <c r="M499" i="41"/>
  <c r="L499" i="41" s="1"/>
  <c r="AG558" i="41" l="1"/>
  <c r="AH558" i="41"/>
  <c r="AJ558" i="41"/>
  <c r="AI558" i="41"/>
  <c r="AK558" i="41"/>
  <c r="I1245" i="41"/>
  <c r="AD1245" i="41"/>
  <c r="S1246" i="41"/>
  <c r="H1246" i="41" s="1"/>
  <c r="G1246" i="41" s="1"/>
  <c r="M1242" i="41"/>
  <c r="L1242" i="41" s="1"/>
  <c r="W1247" i="41"/>
  <c r="X1247" i="41"/>
  <c r="P1248" i="41"/>
  <c r="AI1243" i="41"/>
  <c r="AH1243" i="41"/>
  <c r="AJ1243" i="41"/>
  <c r="AK1243" i="41"/>
  <c r="AG1243" i="41"/>
  <c r="AF1243" i="41"/>
  <c r="O502" i="41"/>
  <c r="R1248" i="41"/>
  <c r="AD499" i="41"/>
  <c r="I499" i="41"/>
  <c r="H499" i="41"/>
  <c r="G499" i="41" s="1"/>
  <c r="R502" i="41"/>
  <c r="V502" i="41" s="1"/>
  <c r="AE1245" i="41"/>
  <c r="T1245" i="41"/>
  <c r="U501" i="41"/>
  <c r="AC500" i="41" s="1"/>
  <c r="AE560" i="41" s="1" a="1"/>
  <c r="AE560" i="41" s="1"/>
  <c r="Q502" i="41"/>
  <c r="S500" i="41"/>
  <c r="AH1244" i="41"/>
  <c r="AF1244" i="41"/>
  <c r="AI1244" i="41"/>
  <c r="AJ1244" i="41"/>
  <c r="AK1244" i="41"/>
  <c r="AG1244" i="41"/>
  <c r="U1247" i="41"/>
  <c r="Q1248" i="41"/>
  <c r="AC499" i="41"/>
  <c r="AE559" i="41" s="1" a="1"/>
  <c r="AE559" i="41" s="1"/>
  <c r="AB501" i="41" a="1"/>
  <c r="AB501" i="41" s="1"/>
  <c r="O1248" i="41"/>
  <c r="W501" i="41"/>
  <c r="X501" i="41"/>
  <c r="P502" i="41"/>
  <c r="M500" i="41"/>
  <c r="L500" i="41" s="1"/>
  <c r="AB1245" i="41"/>
  <c r="I1246" i="41" l="1"/>
  <c r="S1247" i="41"/>
  <c r="I1247" i="41" s="1"/>
  <c r="M1243" i="41"/>
  <c r="L1243" i="41" s="1"/>
  <c r="AC1246" i="41"/>
  <c r="T1246" i="41" s="1"/>
  <c r="AD1246" i="41"/>
  <c r="AB502" i="41" a="1"/>
  <c r="AB502" i="41" s="1"/>
  <c r="S501" i="41"/>
  <c r="M1244" i="41"/>
  <c r="AD500" i="41"/>
  <c r="AI560" i="41"/>
  <c r="AF560" i="41"/>
  <c r="AH560" i="41"/>
  <c r="AK560" i="41"/>
  <c r="AG560" i="41"/>
  <c r="AJ560" i="41"/>
  <c r="M501" i="41"/>
  <c r="L501" i="41" s="1"/>
  <c r="W1248" i="41"/>
  <c r="X1248" i="41"/>
  <c r="P1249" i="41"/>
  <c r="R1249" i="41"/>
  <c r="H1247" i="41"/>
  <c r="G1247" i="41" s="1"/>
  <c r="I500" i="41"/>
  <c r="H500" i="41"/>
  <c r="G500" i="41" s="1"/>
  <c r="O503" i="41"/>
  <c r="Q1249" i="41"/>
  <c r="U1248" i="41"/>
  <c r="S1248" i="41" s="1"/>
  <c r="AI559" i="41"/>
  <c r="AF559" i="41"/>
  <c r="AJ559" i="41"/>
  <c r="AH559" i="41"/>
  <c r="AG559" i="41"/>
  <c r="AK559" i="41"/>
  <c r="AB1246" i="41"/>
  <c r="V1248" i="41"/>
  <c r="O1249" i="41" s="1"/>
  <c r="AF1245" i="41"/>
  <c r="AG1245" i="41"/>
  <c r="AH1245" i="41"/>
  <c r="AJ1245" i="41"/>
  <c r="AI1245" i="41"/>
  <c r="AK1245" i="41"/>
  <c r="R503" i="41"/>
  <c r="U502" i="41"/>
  <c r="AC501" i="41" s="1"/>
  <c r="AE561" i="41" s="1" a="1"/>
  <c r="AE561" i="41" s="1"/>
  <c r="Q503" i="41"/>
  <c r="W502" i="41"/>
  <c r="P503" i="41"/>
  <c r="X502" i="41"/>
  <c r="V1249" i="41" l="1"/>
  <c r="AB503" i="41" a="1"/>
  <c r="AB503" i="41" s="1"/>
  <c r="AE1246" i="41"/>
  <c r="AJ1246" i="41" s="1"/>
  <c r="L1244" i="41"/>
  <c r="S502" i="41"/>
  <c r="I502" i="41" s="1"/>
  <c r="AD501" i="41"/>
  <c r="M1245" i="41"/>
  <c r="I501" i="41"/>
  <c r="H501" i="41"/>
  <c r="G501" i="41" s="1"/>
  <c r="H1248" i="41"/>
  <c r="G1248" i="41" s="1"/>
  <c r="I1248" i="41"/>
  <c r="U503" i="41"/>
  <c r="AD502" i="41" s="1"/>
  <c r="Q504" i="41"/>
  <c r="W503" i="41"/>
  <c r="X503" i="41"/>
  <c r="P504" i="41"/>
  <c r="O1250" i="41"/>
  <c r="R504" i="41"/>
  <c r="AG561" i="41"/>
  <c r="AJ561" i="41"/>
  <c r="AI561" i="41"/>
  <c r="AK561" i="41"/>
  <c r="AF561" i="41"/>
  <c r="AH561" i="41"/>
  <c r="H502" i="41"/>
  <c r="G502" i="41" s="1"/>
  <c r="W1249" i="41"/>
  <c r="X1249" i="41"/>
  <c r="P1250" i="41"/>
  <c r="AB1247" i="41"/>
  <c r="M502" i="41"/>
  <c r="L502" i="41" s="1"/>
  <c r="U1249" i="41"/>
  <c r="S1249" i="41" s="1"/>
  <c r="H1249" i="41" s="1"/>
  <c r="G1249" i="41" s="1"/>
  <c r="Q1250" i="41"/>
  <c r="V503" i="41"/>
  <c r="O504" i="41" s="1"/>
  <c r="AC1247" i="41"/>
  <c r="AD1247" i="41"/>
  <c r="R1250" i="41"/>
  <c r="V1250" i="41" s="1"/>
  <c r="AH1246" i="41" l="1"/>
  <c r="AF1246" i="41"/>
  <c r="AK1246" i="41"/>
  <c r="AG1246" i="41"/>
  <c r="AI1246" i="41"/>
  <c r="L1245" i="41"/>
  <c r="AC1248" i="41"/>
  <c r="T1248" i="41" s="1"/>
  <c r="S503" i="41"/>
  <c r="I503" i="41" s="1"/>
  <c r="AD1248" i="41"/>
  <c r="AC502" i="41"/>
  <c r="AE562" i="41" s="1" a="1"/>
  <c r="AE562" i="41" s="1"/>
  <c r="AK562" i="41" s="1"/>
  <c r="W504" i="41"/>
  <c r="X504" i="41"/>
  <c r="P505" i="41"/>
  <c r="M503" i="41"/>
  <c r="L503" i="41" s="1"/>
  <c r="O1251" i="41"/>
  <c r="I1249" i="41"/>
  <c r="W1250" i="41"/>
  <c r="X1250" i="41"/>
  <c r="P1251" i="41"/>
  <c r="R505" i="41"/>
  <c r="V505" i="41" s="1"/>
  <c r="U504" i="41"/>
  <c r="Q505" i="41"/>
  <c r="V504" i="41"/>
  <c r="O505" i="41" s="1"/>
  <c r="AB504" i="41" a="1"/>
  <c r="AB504" i="41" s="1"/>
  <c r="U1250" i="41"/>
  <c r="Q1251" i="41"/>
  <c r="AE1247" i="41"/>
  <c r="T1247" i="41"/>
  <c r="R1251" i="41"/>
  <c r="V1251" i="41" s="1"/>
  <c r="AB1248" i="41"/>
  <c r="S504" i="41" l="1"/>
  <c r="I504" i="41" s="1"/>
  <c r="M1246" i="41"/>
  <c r="L1246" i="41" s="1"/>
  <c r="H503" i="41"/>
  <c r="G503" i="41" s="1"/>
  <c r="AE1248" i="41"/>
  <c r="AH1248" i="41" s="1"/>
  <c r="AD503" i="41"/>
  <c r="AF562" i="41"/>
  <c r="AB505" i="41" a="1"/>
  <c r="AB505" i="41" s="1"/>
  <c r="AH562" i="41"/>
  <c r="AI562" i="41"/>
  <c r="AJ562" i="41"/>
  <c r="AG562" i="41"/>
  <c r="O1252" i="41"/>
  <c r="AB1249" i="41"/>
  <c r="W505" i="41"/>
  <c r="X505" i="41"/>
  <c r="P506" i="41"/>
  <c r="S1250" i="41"/>
  <c r="AD1249" i="41"/>
  <c r="R506" i="41"/>
  <c r="O506" i="41"/>
  <c r="U505" i="41"/>
  <c r="AC504" i="41" s="1"/>
  <c r="AE564" i="41" s="1" a="1"/>
  <c r="AE564" i="41" s="1"/>
  <c r="Q506" i="41"/>
  <c r="U1251" i="41"/>
  <c r="Q1252" i="41"/>
  <c r="AF1247" i="41"/>
  <c r="AI1247" i="41"/>
  <c r="AK1247" i="41"/>
  <c r="AG1247" i="41"/>
  <c r="AJ1247" i="41"/>
  <c r="AH1247" i="41"/>
  <c r="H504" i="41"/>
  <c r="G504" i="41" s="1"/>
  <c r="W1251" i="41"/>
  <c r="X1251" i="41"/>
  <c r="P1252" i="41"/>
  <c r="AC1249" i="41"/>
  <c r="R1252" i="41"/>
  <c r="V1252" i="41" s="1"/>
  <c r="AC503" i="41"/>
  <c r="AE563" i="41" s="1" a="1"/>
  <c r="AE563" i="41" s="1"/>
  <c r="M504" i="41"/>
  <c r="L504" i="41" s="1"/>
  <c r="AI1248" i="41" l="1"/>
  <c r="AF1248" i="41"/>
  <c r="AK1248" i="41"/>
  <c r="AG1248" i="41"/>
  <c r="AJ1248" i="41"/>
  <c r="AB506" i="41" a="1"/>
  <c r="AB506" i="41" s="1"/>
  <c r="S1251" i="41"/>
  <c r="I1251" i="41" s="1"/>
  <c r="AC1250" i="41"/>
  <c r="AE1250" i="41" s="1"/>
  <c r="AD1250" i="41"/>
  <c r="AD504" i="41"/>
  <c r="S505" i="41"/>
  <c r="I505" i="41" s="1"/>
  <c r="U506" i="41"/>
  <c r="Q507" i="41"/>
  <c r="AJ564" i="41"/>
  <c r="AF564" i="41"/>
  <c r="AH564" i="41"/>
  <c r="AG564" i="41"/>
  <c r="AI564" i="41"/>
  <c r="AK564" i="41"/>
  <c r="AE1249" i="41"/>
  <c r="T1249" i="41"/>
  <c r="O1253" i="41"/>
  <c r="R507" i="41"/>
  <c r="V507" i="41" s="1"/>
  <c r="U1252" i="41"/>
  <c r="Q1253" i="41"/>
  <c r="W1252" i="41"/>
  <c r="P1253" i="41"/>
  <c r="X1252" i="41"/>
  <c r="AB1250" i="41"/>
  <c r="M505" i="41"/>
  <c r="L505" i="41" s="1"/>
  <c r="M1247" i="41"/>
  <c r="L1247" i="41" s="1"/>
  <c r="R1253" i="41"/>
  <c r="V1253" i="41" s="1"/>
  <c r="I1250" i="41"/>
  <c r="H1250" i="41"/>
  <c r="G1250" i="41" s="1"/>
  <c r="V506" i="41"/>
  <c r="O507" i="41" s="1"/>
  <c r="AG563" i="41"/>
  <c r="AK563" i="41"/>
  <c r="AF563" i="41"/>
  <c r="AI563" i="41"/>
  <c r="AJ563" i="41"/>
  <c r="AH563" i="41"/>
  <c r="W506" i="41"/>
  <c r="X506" i="41"/>
  <c r="P507" i="41"/>
  <c r="H1251" i="41" l="1"/>
  <c r="G1251" i="41" s="1"/>
  <c r="M1248" i="41"/>
  <c r="L1248" i="41" s="1"/>
  <c r="S506" i="41"/>
  <c r="I506" i="41" s="1"/>
  <c r="T1250" i="41"/>
  <c r="AD505" i="41"/>
  <c r="AC505" i="41"/>
  <c r="AE565" i="41" s="1" a="1"/>
  <c r="AE565" i="41" s="1"/>
  <c r="AF565" i="41" s="1"/>
  <c r="H505" i="41"/>
  <c r="G505" i="41" s="1"/>
  <c r="O1254" i="41"/>
  <c r="AB1251" i="41"/>
  <c r="O508" i="41"/>
  <c r="W1253" i="41"/>
  <c r="X1253" i="41"/>
  <c r="P1254" i="41"/>
  <c r="M506" i="41"/>
  <c r="L506" i="41" s="1"/>
  <c r="AD1251" i="41"/>
  <c r="S1252" i="41"/>
  <c r="AH1250" i="41"/>
  <c r="AF1250" i="41"/>
  <c r="AI1250" i="41"/>
  <c r="AG1250" i="41"/>
  <c r="AJ1250" i="41"/>
  <c r="AK1250" i="41"/>
  <c r="R508" i="41"/>
  <c r="W507" i="41"/>
  <c r="X507" i="41"/>
  <c r="P508" i="41"/>
  <c r="U507" i="41"/>
  <c r="AD506" i="41" s="1"/>
  <c r="Q508" i="41"/>
  <c r="H506" i="41"/>
  <c r="G506" i="41" s="1"/>
  <c r="AB507" i="41" a="1"/>
  <c r="AB507" i="41" s="1"/>
  <c r="AC1251" i="41"/>
  <c r="R1254" i="41"/>
  <c r="AI1249" i="41"/>
  <c r="AK1249" i="41"/>
  <c r="AH1249" i="41"/>
  <c r="AG1249" i="41"/>
  <c r="AF1249" i="41"/>
  <c r="AJ1249" i="41"/>
  <c r="Q1254" i="41"/>
  <c r="U1253" i="41"/>
  <c r="AJ565" i="41" l="1"/>
  <c r="AK565" i="41"/>
  <c r="AI565" i="41"/>
  <c r="AG565" i="41"/>
  <c r="AH565" i="41"/>
  <c r="AB508" i="41" a="1"/>
  <c r="AB508" i="41" s="1"/>
  <c r="AC506" i="41"/>
  <c r="AE566" i="41" s="1" a="1"/>
  <c r="AE566" i="41" s="1"/>
  <c r="AK566" i="41" s="1"/>
  <c r="M1250" i="41"/>
  <c r="M507" i="41"/>
  <c r="L507" i="41" s="1"/>
  <c r="U508" i="41"/>
  <c r="AC507" i="41" s="1"/>
  <c r="AE567" i="41" s="1" a="1"/>
  <c r="AE567" i="41" s="1"/>
  <c r="Q509" i="41"/>
  <c r="U1254" i="41"/>
  <c r="AC1253" i="41" s="1"/>
  <c r="Q1255" i="41"/>
  <c r="AE1251" i="41"/>
  <c r="T1251" i="41"/>
  <c r="AB1252" i="41"/>
  <c r="V1254" i="41"/>
  <c r="O1255" i="41" s="1"/>
  <c r="AD1252" i="41"/>
  <c r="AC1252" i="41"/>
  <c r="R1255" i="41"/>
  <c r="W1254" i="41"/>
  <c r="X1254" i="41"/>
  <c r="P1255" i="41"/>
  <c r="V508" i="41"/>
  <c r="O509" i="41" s="1"/>
  <c r="M1249" i="41"/>
  <c r="L1249" i="41" s="1"/>
  <c r="R509" i="41"/>
  <c r="H1252" i="41"/>
  <c r="G1252" i="41" s="1"/>
  <c r="I1252" i="41"/>
  <c r="W508" i="41"/>
  <c r="X508" i="41"/>
  <c r="P509" i="41"/>
  <c r="S507" i="41"/>
  <c r="S1253" i="41"/>
  <c r="V1255" i="41" l="1"/>
  <c r="O1256" i="41" s="1"/>
  <c r="AD507" i="41"/>
  <c r="AD1253" i="41"/>
  <c r="AI566" i="41"/>
  <c r="AH566" i="41"/>
  <c r="AG566" i="41"/>
  <c r="AJ566" i="41"/>
  <c r="AF566" i="41"/>
  <c r="AB509" i="41" a="1"/>
  <c r="AB509" i="41" s="1"/>
  <c r="L1250" i="41"/>
  <c r="S508" i="41"/>
  <c r="I508" i="41" s="1"/>
  <c r="AE1253" i="41"/>
  <c r="T1253" i="41"/>
  <c r="AG1251" i="41"/>
  <c r="AF1251" i="41"/>
  <c r="AK1251" i="41"/>
  <c r="AI1251" i="41"/>
  <c r="AH1251" i="41"/>
  <c r="AJ1251" i="41"/>
  <c r="AE1252" i="41"/>
  <c r="T1252" i="41"/>
  <c r="W1255" i="41"/>
  <c r="X1255" i="41"/>
  <c r="P1256" i="41"/>
  <c r="U509" i="41"/>
  <c r="Q510" i="41"/>
  <c r="W509" i="41"/>
  <c r="X509" i="41"/>
  <c r="P510" i="41"/>
  <c r="S1254" i="41"/>
  <c r="M508" i="41"/>
  <c r="L508" i="41" s="1"/>
  <c r="H1253" i="41"/>
  <c r="G1253" i="41" s="1"/>
  <c r="I1253" i="41"/>
  <c r="V509" i="41"/>
  <c r="O510" i="41" s="1"/>
  <c r="U1255" i="41"/>
  <c r="Q1256" i="41"/>
  <c r="AI567" i="41"/>
  <c r="AH567" i="41"/>
  <c r="AK567" i="41"/>
  <c r="AF567" i="41"/>
  <c r="AJ567" i="41"/>
  <c r="AG567" i="41"/>
  <c r="I507" i="41"/>
  <c r="H507" i="41"/>
  <c r="G507" i="41" s="1"/>
  <c r="R510" i="41"/>
  <c r="R1256" i="41"/>
  <c r="AB1253" i="41"/>
  <c r="H508" i="41" l="1"/>
  <c r="G508" i="41" s="1"/>
  <c r="V510" i="41"/>
  <c r="O511" i="41" s="1"/>
  <c r="AB510" i="41" a="1"/>
  <c r="AB510" i="41" s="1"/>
  <c r="S1255" i="41"/>
  <c r="I1255" i="41" s="1"/>
  <c r="M1251" i="41"/>
  <c r="L1251" i="41" s="1"/>
  <c r="AB1254" i="41"/>
  <c r="AD1254" i="41"/>
  <c r="AC1254" i="41"/>
  <c r="AE1254" i="41" s="1"/>
  <c r="W510" i="41"/>
  <c r="X510" i="41"/>
  <c r="P511" i="41"/>
  <c r="M509" i="41"/>
  <c r="L509" i="41" s="1"/>
  <c r="AG1252" i="41"/>
  <c r="AH1252" i="41"/>
  <c r="AJ1252" i="41"/>
  <c r="AI1252" i="41"/>
  <c r="AK1252" i="41"/>
  <c r="AF1252" i="41"/>
  <c r="W1256" i="41"/>
  <c r="X1256" i="41"/>
  <c r="P1257" i="41"/>
  <c r="S509" i="41"/>
  <c r="AC508" i="41"/>
  <c r="AE568" i="41" s="1" a="1"/>
  <c r="AE568" i="41" s="1"/>
  <c r="R1257" i="41"/>
  <c r="U1256" i="41"/>
  <c r="AD1255" i="41" s="1"/>
  <c r="Q1257" i="41"/>
  <c r="AD508" i="41"/>
  <c r="AG1253" i="41"/>
  <c r="AH1253" i="41"/>
  <c r="AK1253" i="41"/>
  <c r="AF1253" i="41"/>
  <c r="AI1253" i="41"/>
  <c r="AJ1253" i="41"/>
  <c r="I1254" i="41"/>
  <c r="H1254" i="41"/>
  <c r="G1254" i="41" s="1"/>
  <c r="U510" i="41"/>
  <c r="AC509" i="41" s="1"/>
  <c r="AE569" i="41" s="1" a="1"/>
  <c r="AE569" i="41" s="1"/>
  <c r="Q511" i="41"/>
  <c r="V1256" i="41"/>
  <c r="O1257" i="41" s="1"/>
  <c r="R511" i="41"/>
  <c r="AC1255" i="41" l="1"/>
  <c r="AE1255" i="41" s="1"/>
  <c r="T1254" i="41"/>
  <c r="AB511" i="41" a="1"/>
  <c r="AB511" i="41" s="1"/>
  <c r="H1255" i="41"/>
  <c r="G1255" i="41" s="1"/>
  <c r="V1257" i="41"/>
  <c r="S510" i="41"/>
  <c r="I510" i="41" s="1"/>
  <c r="AD509" i="41"/>
  <c r="M1252" i="41"/>
  <c r="L1252" i="41" s="1"/>
  <c r="M1253" i="41"/>
  <c r="W1257" i="41"/>
  <c r="X1257" i="41"/>
  <c r="P1258" i="41"/>
  <c r="O1258" i="41"/>
  <c r="AI1254" i="41"/>
  <c r="AJ1254" i="41"/>
  <c r="AK1254" i="41"/>
  <c r="AH1254" i="41"/>
  <c r="AF1254" i="41"/>
  <c r="AG1254" i="41"/>
  <c r="R512" i="41"/>
  <c r="AJ569" i="41"/>
  <c r="AH569" i="41"/>
  <c r="AI569" i="41"/>
  <c r="AF569" i="41"/>
  <c r="AG569" i="41"/>
  <c r="AK569" i="41"/>
  <c r="I509" i="41"/>
  <c r="H509" i="41"/>
  <c r="G509" i="41" s="1"/>
  <c r="U511" i="41"/>
  <c r="S511" i="41" s="1"/>
  <c r="Q512" i="41"/>
  <c r="U1257" i="41"/>
  <c r="AC1256" i="41" s="1"/>
  <c r="Q1258" i="41"/>
  <c r="AH568" i="41"/>
  <c r="AG568" i="41"/>
  <c r="AK568" i="41"/>
  <c r="AI568" i="41"/>
  <c r="AF568" i="41"/>
  <c r="AJ568" i="41"/>
  <c r="V511" i="41"/>
  <c r="O512" i="41" s="1"/>
  <c r="R1258" i="41"/>
  <c r="AB1255" i="41"/>
  <c r="S1256" i="41"/>
  <c r="W511" i="41"/>
  <c r="X511" i="41"/>
  <c r="P512" i="41"/>
  <c r="M510" i="41"/>
  <c r="L510" i="41" s="1"/>
  <c r="H510" i="41" l="1"/>
  <c r="G510" i="41" s="1"/>
  <c r="T1255" i="41"/>
  <c r="M1254" i="41"/>
  <c r="L1253" i="41"/>
  <c r="I511" i="41"/>
  <c r="H511" i="41"/>
  <c r="G511" i="41" s="1"/>
  <c r="S1257" i="41"/>
  <c r="I1257" i="41" s="1"/>
  <c r="AD1256" i="41"/>
  <c r="AD510" i="41"/>
  <c r="AC510" i="41"/>
  <c r="AE570" i="41" s="1" a="1"/>
  <c r="AE570" i="41" s="1"/>
  <c r="AH570" i="41" s="1"/>
  <c r="AE1256" i="41"/>
  <c r="T1256" i="41"/>
  <c r="U512" i="41"/>
  <c r="AC511" i="41" s="1"/>
  <c r="AE571" i="41" s="1" a="1"/>
  <c r="AE571" i="41" s="1"/>
  <c r="Q513" i="41"/>
  <c r="AJ1255" i="41"/>
  <c r="AF1255" i="41"/>
  <c r="AK1255" i="41"/>
  <c r="AG1255" i="41"/>
  <c r="AH1255" i="41"/>
  <c r="AI1255" i="41"/>
  <c r="R513" i="41"/>
  <c r="AB512" i="41" a="1"/>
  <c r="AB512" i="41" s="1"/>
  <c r="M511" i="41"/>
  <c r="L511" i="41" s="1"/>
  <c r="W1258" i="41"/>
  <c r="X1258" i="41"/>
  <c r="P1259" i="41"/>
  <c r="H1256" i="41"/>
  <c r="G1256" i="41" s="1"/>
  <c r="I1256" i="41"/>
  <c r="R1259" i="41"/>
  <c r="W512" i="41"/>
  <c r="X512" i="41"/>
  <c r="P513" i="41"/>
  <c r="U1258" i="41"/>
  <c r="AD1257" i="41" s="1"/>
  <c r="Q1259" i="41"/>
  <c r="V512" i="41"/>
  <c r="O513" i="41" s="1"/>
  <c r="V1258" i="41"/>
  <c r="O1259" i="41" s="1"/>
  <c r="AB1256" i="41"/>
  <c r="V513" i="41" l="1"/>
  <c r="H1257" i="41"/>
  <c r="G1257" i="41" s="1"/>
  <c r="AB513" i="41" a="1"/>
  <c r="AB513" i="41" s="1"/>
  <c r="S512" i="41"/>
  <c r="I512" i="41" s="1"/>
  <c r="L1254" i="41"/>
  <c r="AD511" i="41"/>
  <c r="AF570" i="41"/>
  <c r="AK570" i="41"/>
  <c r="M1255" i="41"/>
  <c r="AJ570" i="41"/>
  <c r="AI570" i="41"/>
  <c r="AG570" i="41"/>
  <c r="U1259" i="41"/>
  <c r="AD1258" i="41" s="1"/>
  <c r="Q1260" i="41"/>
  <c r="W513" i="41"/>
  <c r="X513" i="41"/>
  <c r="P514" i="41"/>
  <c r="U513" i="41"/>
  <c r="AD512" i="41" s="1"/>
  <c r="Q514" i="41"/>
  <c r="AH571" i="41"/>
  <c r="AK571" i="41"/>
  <c r="AJ571" i="41"/>
  <c r="AG571" i="41"/>
  <c r="AI571" i="41"/>
  <c r="AF571" i="41"/>
  <c r="V1259" i="41"/>
  <c r="O1260" i="41" s="1"/>
  <c r="R1260" i="41"/>
  <c r="AB1257" i="41"/>
  <c r="AC1257" i="41"/>
  <c r="R514" i="41"/>
  <c r="V514" i="41" s="1"/>
  <c r="M512" i="41"/>
  <c r="L512" i="41" s="1"/>
  <c r="AK1256" i="41"/>
  <c r="AG1256" i="41"/>
  <c r="AI1256" i="41"/>
  <c r="AF1256" i="41"/>
  <c r="AJ1256" i="41"/>
  <c r="AH1256" i="41"/>
  <c r="W1259" i="41"/>
  <c r="X1259" i="41"/>
  <c r="P1260" i="41"/>
  <c r="S1258" i="41"/>
  <c r="O514" i="41"/>
  <c r="V1260" i="41" l="1"/>
  <c r="H512" i="41"/>
  <c r="G512" i="41" s="1"/>
  <c r="L1255" i="41"/>
  <c r="AC1258" i="41"/>
  <c r="AE1258" i="41" s="1"/>
  <c r="M1256" i="41"/>
  <c r="S1259" i="41"/>
  <c r="H1259" i="41" s="1"/>
  <c r="G1259" i="41" s="1"/>
  <c r="R515" i="41"/>
  <c r="V515" i="41" s="1"/>
  <c r="W514" i="41"/>
  <c r="X514" i="41"/>
  <c r="P515" i="41"/>
  <c r="S513" i="41"/>
  <c r="R1261" i="41"/>
  <c r="V1261" i="41" s="1"/>
  <c r="M513" i="41"/>
  <c r="L513" i="41" s="1"/>
  <c r="AC512" i="41"/>
  <c r="AE572" i="41" s="1" a="1"/>
  <c r="AE572" i="41" s="1"/>
  <c r="O1261" i="41"/>
  <c r="W1260" i="41"/>
  <c r="X1260" i="41"/>
  <c r="P1261" i="41"/>
  <c r="AB1258" i="41"/>
  <c r="I1258" i="41"/>
  <c r="H1258" i="41"/>
  <c r="G1258" i="41" s="1"/>
  <c r="AB514" i="41" a="1"/>
  <c r="AB514" i="41" s="1"/>
  <c r="AE1257" i="41"/>
  <c r="T1257" i="41"/>
  <c r="Q1261" i="41"/>
  <c r="U1260" i="41"/>
  <c r="U514" i="41"/>
  <c r="AD513" i="41" s="1"/>
  <c r="Q515" i="41"/>
  <c r="O515" i="41"/>
  <c r="T1258" i="41" l="1"/>
  <c r="L1256" i="41"/>
  <c r="S1260" i="41"/>
  <c r="H1260" i="41" s="1"/>
  <c r="G1260" i="41" s="1"/>
  <c r="I1259" i="41"/>
  <c r="S514" i="41"/>
  <c r="I514" i="41" s="1"/>
  <c r="AB1259" i="41"/>
  <c r="I1260" i="41"/>
  <c r="R1262" i="41"/>
  <c r="V1262" i="41" s="1"/>
  <c r="AJ1258" i="41"/>
  <c r="AF1258" i="41"/>
  <c r="AI1258" i="41"/>
  <c r="AK1258" i="41"/>
  <c r="AH1258" i="41"/>
  <c r="AG1258" i="41"/>
  <c r="I513" i="41"/>
  <c r="H513" i="41"/>
  <c r="G513" i="41" s="1"/>
  <c r="R516" i="41"/>
  <c r="V516" i="41" s="1"/>
  <c r="W515" i="41"/>
  <c r="X515" i="41"/>
  <c r="P516" i="41"/>
  <c r="H514" i="41"/>
  <c r="G514" i="41" s="1"/>
  <c r="M514" i="41"/>
  <c r="L514" i="41" s="1"/>
  <c r="W1261" i="41"/>
  <c r="X1261" i="41"/>
  <c r="P1262" i="41"/>
  <c r="U515" i="41"/>
  <c r="AC514" i="41" s="1"/>
  <c r="AE574" i="41" s="1" a="1"/>
  <c r="AE574" i="41" s="1"/>
  <c r="Q516" i="41"/>
  <c r="AB515" i="41" a="1"/>
  <c r="AB515" i="41" s="1"/>
  <c r="O516" i="41"/>
  <c r="AK1257" i="41"/>
  <c r="AF1257" i="41"/>
  <c r="AH1257" i="41"/>
  <c r="AI1257" i="41"/>
  <c r="AJ1257" i="41"/>
  <c r="AG1257" i="41"/>
  <c r="AK572" i="41"/>
  <c r="AG572" i="41"/>
  <c r="AJ572" i="41"/>
  <c r="AH572" i="41"/>
  <c r="AF572" i="41"/>
  <c r="AI572" i="41"/>
  <c r="O1262" i="41"/>
  <c r="AC1259" i="41"/>
  <c r="AD1259" i="41"/>
  <c r="AC513" i="41"/>
  <c r="AE573" i="41" s="1" a="1"/>
  <c r="AE573" i="41" s="1"/>
  <c r="U1261" i="41"/>
  <c r="Q1262" i="41"/>
  <c r="S515" i="41" l="1"/>
  <c r="I515" i="41" s="1"/>
  <c r="M1258" i="41"/>
  <c r="AD514" i="41"/>
  <c r="AH574" i="41"/>
  <c r="AJ574" i="41"/>
  <c r="AK574" i="41"/>
  <c r="AG574" i="41"/>
  <c r="AF574" i="41"/>
  <c r="AI574" i="41"/>
  <c r="O1263" i="41"/>
  <c r="AJ573" i="41"/>
  <c r="AF573" i="41"/>
  <c r="AI573" i="41"/>
  <c r="AH573" i="41"/>
  <c r="AG573" i="41"/>
  <c r="AK573" i="41"/>
  <c r="O517" i="41"/>
  <c r="W516" i="41"/>
  <c r="X516" i="41"/>
  <c r="P517" i="41"/>
  <c r="AB1260" i="41"/>
  <c r="R517" i="41"/>
  <c r="M1257" i="41"/>
  <c r="L1257" i="41" s="1"/>
  <c r="W1262" i="41"/>
  <c r="X1262" i="41"/>
  <c r="P1263" i="41"/>
  <c r="U1262" i="41"/>
  <c r="AB1261" i="41" s="1"/>
  <c r="Q1263" i="41"/>
  <c r="AE1259" i="41"/>
  <c r="T1259" i="41"/>
  <c r="H515" i="41"/>
  <c r="G515" i="41" s="1"/>
  <c r="S1261" i="41"/>
  <c r="M515" i="41"/>
  <c r="L515" i="41" s="1"/>
  <c r="R1263" i="41"/>
  <c r="V1263" i="41" s="1"/>
  <c r="AB516" i="41" a="1"/>
  <c r="AB516" i="41" s="1"/>
  <c r="U516" i="41"/>
  <c r="Q517" i="41"/>
  <c r="AD1260" i="41"/>
  <c r="AC1260" i="41"/>
  <c r="S516" i="41" l="1"/>
  <c r="AD515" i="41"/>
  <c r="AC1261" i="41"/>
  <c r="AE1261" i="41" s="1"/>
  <c r="AC515" i="41"/>
  <c r="AE575" i="41" s="1" a="1"/>
  <c r="AE575" i="41" s="1"/>
  <c r="AF575" i="41" s="1"/>
  <c r="L1258" i="41"/>
  <c r="I516" i="41"/>
  <c r="H516" i="41"/>
  <c r="G516" i="41" s="1"/>
  <c r="AD1261" i="41"/>
  <c r="W1263" i="41"/>
  <c r="X1263" i="41"/>
  <c r="P1264" i="41"/>
  <c r="S1262" i="41"/>
  <c r="M516" i="41"/>
  <c r="L516" i="41" s="1"/>
  <c r="R1264" i="41"/>
  <c r="AE1260" i="41"/>
  <c r="T1260" i="41"/>
  <c r="R518" i="41"/>
  <c r="U517" i="41"/>
  <c r="Q518" i="41"/>
  <c r="W517" i="41"/>
  <c r="X517" i="41"/>
  <c r="P518" i="41"/>
  <c r="H1261" i="41"/>
  <c r="G1261" i="41" s="1"/>
  <c r="I1261" i="41"/>
  <c r="V517" i="41"/>
  <c r="O518" i="41" s="1"/>
  <c r="AG1259" i="41"/>
  <c r="AF1259" i="41"/>
  <c r="AK1259" i="41"/>
  <c r="AH1259" i="41"/>
  <c r="AI1259" i="41"/>
  <c r="AJ1259" i="41"/>
  <c r="AB517" i="41" a="1"/>
  <c r="AB517" i="41" s="1"/>
  <c r="U1263" i="41"/>
  <c r="Q1264" i="41"/>
  <c r="O1264" i="41"/>
  <c r="V518" i="41" l="1"/>
  <c r="T1261" i="41"/>
  <c r="AK575" i="41"/>
  <c r="AH575" i="41"/>
  <c r="AI575" i="41"/>
  <c r="AJ575" i="41"/>
  <c r="AG575" i="41"/>
  <c r="M1259" i="41"/>
  <c r="L1259" i="41" s="1"/>
  <c r="M517" i="41"/>
  <c r="L517" i="41" s="1"/>
  <c r="R1265" i="41"/>
  <c r="AI1261" i="41"/>
  <c r="AH1261" i="41"/>
  <c r="AF1261" i="41"/>
  <c r="AG1261" i="41"/>
  <c r="AK1261" i="41"/>
  <c r="AJ1261" i="41"/>
  <c r="O519" i="41"/>
  <c r="AB1262" i="41"/>
  <c r="H1262" i="41"/>
  <c r="G1262" i="41" s="1"/>
  <c r="I1262" i="41"/>
  <c r="U1264" i="41"/>
  <c r="AB1263" i="41" s="1"/>
  <c r="Q1265" i="41"/>
  <c r="W1264" i="41"/>
  <c r="X1264" i="41"/>
  <c r="P1265" i="41"/>
  <c r="S1263" i="41"/>
  <c r="AC516" i="41"/>
  <c r="AE576" i="41" s="1" a="1"/>
  <c r="AE576" i="41" s="1"/>
  <c r="S517" i="41"/>
  <c r="W518" i="41"/>
  <c r="X518" i="41"/>
  <c r="P519" i="41"/>
  <c r="R519" i="41"/>
  <c r="V519" i="41" s="1"/>
  <c r="AD1262" i="41"/>
  <c r="AK1260" i="41"/>
  <c r="AF1260" i="41"/>
  <c r="AH1260" i="41"/>
  <c r="AI1260" i="41"/>
  <c r="AG1260" i="41"/>
  <c r="AJ1260" i="41"/>
  <c r="AD516" i="41"/>
  <c r="U518" i="41"/>
  <c r="AC517" i="41" s="1"/>
  <c r="AE577" i="41" s="1" a="1"/>
  <c r="AE577" i="41" s="1"/>
  <c r="Q519" i="41"/>
  <c r="AB518" i="41" a="1"/>
  <c r="AB518" i="41" s="1"/>
  <c r="V1264" i="41"/>
  <c r="O1265" i="41" s="1"/>
  <c r="AC1262" i="41"/>
  <c r="V1265" i="41" l="1"/>
  <c r="M1261" i="41"/>
  <c r="M1260" i="41"/>
  <c r="L1260" i="41" s="1"/>
  <c r="AK577" i="41"/>
  <c r="AJ577" i="41"/>
  <c r="AG577" i="41"/>
  <c r="AF577" i="41"/>
  <c r="AI577" i="41"/>
  <c r="AH577" i="41"/>
  <c r="W1265" i="41"/>
  <c r="X1265" i="41"/>
  <c r="P1266" i="41"/>
  <c r="AD517" i="41"/>
  <c r="R520" i="41"/>
  <c r="V520" i="41" s="1"/>
  <c r="AE1262" i="41"/>
  <c r="T1262" i="41"/>
  <c r="O1266" i="41"/>
  <c r="M518" i="41"/>
  <c r="L518" i="41" s="1"/>
  <c r="I517" i="41"/>
  <c r="H517" i="41"/>
  <c r="G517" i="41" s="1"/>
  <c r="AJ576" i="41"/>
  <c r="AI576" i="41"/>
  <c r="AG576" i="41"/>
  <c r="AK576" i="41"/>
  <c r="AF576" i="41"/>
  <c r="AH576" i="41"/>
  <c r="H1263" i="41"/>
  <c r="G1263" i="41" s="1"/>
  <c r="I1263" i="41"/>
  <c r="U519" i="41"/>
  <c r="AD518" i="41" s="1"/>
  <c r="Q520" i="41"/>
  <c r="R1266" i="41"/>
  <c r="V1266" i="41" s="1"/>
  <c r="AC1263" i="41"/>
  <c r="O520" i="41"/>
  <c r="AB519" i="41" a="1"/>
  <c r="AB519" i="41" s="1"/>
  <c r="AD1263" i="41"/>
  <c r="U1265" i="41"/>
  <c r="Q1266" i="41"/>
  <c r="W519" i="41"/>
  <c r="X519" i="41"/>
  <c r="P520" i="41"/>
  <c r="S518" i="41"/>
  <c r="S1264" i="41"/>
  <c r="L1261" i="41" l="1"/>
  <c r="AC1264" i="41"/>
  <c r="W1266" i="41"/>
  <c r="X1266" i="41"/>
  <c r="P1267" i="41"/>
  <c r="R1267" i="41"/>
  <c r="V1267" i="41" s="1"/>
  <c r="I518" i="41"/>
  <c r="H518" i="41"/>
  <c r="G518" i="41" s="1"/>
  <c r="O1267" i="41"/>
  <c r="I1264" i="41"/>
  <c r="H1264" i="41"/>
  <c r="G1264" i="41" s="1"/>
  <c r="AE1263" i="41"/>
  <c r="T1263" i="41"/>
  <c r="AH1262" i="41"/>
  <c r="AK1262" i="41"/>
  <c r="AI1262" i="41"/>
  <c r="AG1262" i="41"/>
  <c r="AJ1262" i="41"/>
  <c r="AF1262" i="41"/>
  <c r="W520" i="41"/>
  <c r="X520" i="41"/>
  <c r="P521" i="41"/>
  <c r="R521" i="41"/>
  <c r="U1266" i="41"/>
  <c r="AB1265" i="41" s="1"/>
  <c r="Q1267" i="41"/>
  <c r="U520" i="41"/>
  <c r="AD519" i="41" s="1"/>
  <c r="Q521" i="41"/>
  <c r="AB1264" i="41"/>
  <c r="AD1264" i="41"/>
  <c r="S1265" i="41"/>
  <c r="S519" i="41"/>
  <c r="AB520" i="41" a="1"/>
  <c r="AB520" i="41" s="1"/>
  <c r="M519" i="41"/>
  <c r="L519" i="41" s="1"/>
  <c r="AC518" i="41"/>
  <c r="AE578" i="41" s="1" a="1"/>
  <c r="AE578" i="41" s="1"/>
  <c r="O521" i="41"/>
  <c r="AB521" i="41" l="1" a="1"/>
  <c r="AB521" i="41" s="1"/>
  <c r="U521" i="41"/>
  <c r="Q522" i="41"/>
  <c r="R1268" i="41"/>
  <c r="V1268" i="41" s="1"/>
  <c r="AG1263" i="41"/>
  <c r="AH1263" i="41"/>
  <c r="AF1263" i="41"/>
  <c r="AJ1263" i="41"/>
  <c r="AI1263" i="41"/>
  <c r="AK1263" i="41"/>
  <c r="I519" i="41"/>
  <c r="H519" i="41"/>
  <c r="G519" i="41" s="1"/>
  <c r="R522" i="41"/>
  <c r="H1265" i="41"/>
  <c r="G1265" i="41" s="1"/>
  <c r="I1265" i="41"/>
  <c r="W1267" i="41"/>
  <c r="P1268" i="41"/>
  <c r="X1267" i="41"/>
  <c r="AC519" i="41"/>
  <c r="AE579" i="41" s="1" a="1"/>
  <c r="AE579" i="41" s="1"/>
  <c r="M1262" i="41"/>
  <c r="L1262" i="41" s="1"/>
  <c r="S1266" i="41"/>
  <c r="AD520" i="41"/>
  <c r="AC520" i="41"/>
  <c r="AE580" i="41" s="1" a="1"/>
  <c r="AE580" i="41" s="1"/>
  <c r="AE1264" i="41"/>
  <c r="T1264" i="41"/>
  <c r="M520" i="41"/>
  <c r="L520" i="41" s="1"/>
  <c r="AD1265" i="41"/>
  <c r="AK578" i="41"/>
  <c r="AH578" i="41"/>
  <c r="AI578" i="41"/>
  <c r="AG578" i="41"/>
  <c r="AF578" i="41"/>
  <c r="AJ578" i="41"/>
  <c r="W521" i="41"/>
  <c r="X521" i="41"/>
  <c r="P522" i="41"/>
  <c r="AB522" i="41" s="1" a="1"/>
  <c r="AB522" i="41" s="1"/>
  <c r="V521" i="41"/>
  <c r="O522" i="41" s="1"/>
  <c r="S520" i="41"/>
  <c r="S521" i="41" s="1"/>
  <c r="O1268" i="41"/>
  <c r="U1267" i="41"/>
  <c r="Q1268" i="41"/>
  <c r="AC1265" i="41"/>
  <c r="M1263" i="41" l="1"/>
  <c r="L1263" i="41" s="1"/>
  <c r="S1267" i="41"/>
  <c r="I1267" i="41" s="1"/>
  <c r="I521" i="41"/>
  <c r="H521" i="41"/>
  <c r="G521" i="41" s="1"/>
  <c r="AG1264" i="41"/>
  <c r="AJ1264" i="41"/>
  <c r="AI1264" i="41"/>
  <c r="AH1264" i="41"/>
  <c r="AK1264" i="41"/>
  <c r="AF1264" i="41"/>
  <c r="M521" i="41"/>
  <c r="L521" i="41" s="1"/>
  <c r="O1269" i="41"/>
  <c r="AD1266" i="41"/>
  <c r="W522" i="41"/>
  <c r="X522" i="41"/>
  <c r="P523" i="41"/>
  <c r="AC1266" i="41"/>
  <c r="U1268" i="41"/>
  <c r="AC1267" i="41" s="1"/>
  <c r="Q1269" i="41"/>
  <c r="W1268" i="41"/>
  <c r="P1269" i="41"/>
  <c r="X1268" i="41"/>
  <c r="U522" i="41"/>
  <c r="AD521" i="41" s="1"/>
  <c r="Q523" i="41"/>
  <c r="AH580" i="41"/>
  <c r="AI580" i="41"/>
  <c r="AK580" i="41"/>
  <c r="AF580" i="41"/>
  <c r="AG580" i="41"/>
  <c r="AJ580" i="41"/>
  <c r="I1266" i="41"/>
  <c r="H1266" i="41"/>
  <c r="G1266" i="41" s="1"/>
  <c r="I520" i="41"/>
  <c r="H520" i="41"/>
  <c r="G520" i="41" s="1"/>
  <c r="AE1265" i="41"/>
  <c r="T1265" i="41"/>
  <c r="V522" i="41"/>
  <c r="O523" i="41" s="1"/>
  <c r="AB1266" i="41"/>
  <c r="AJ579" i="41"/>
  <c r="AF579" i="41"/>
  <c r="AK579" i="41"/>
  <c r="AH579" i="41"/>
  <c r="AG579" i="41"/>
  <c r="AI579" i="41"/>
  <c r="R523" i="41"/>
  <c r="V523" i="41" s="1"/>
  <c r="R1269" i="41"/>
  <c r="V1269" i="41" s="1"/>
  <c r="H1267" i="41" l="1"/>
  <c r="G1267" i="41" s="1"/>
  <c r="S522" i="41"/>
  <c r="I522" i="41" s="1"/>
  <c r="AB1267" i="41"/>
  <c r="AC521" i="41"/>
  <c r="AE581" i="41" s="1" a="1"/>
  <c r="AE581" i="41" s="1"/>
  <c r="AG581" i="41" s="1"/>
  <c r="M1264" i="41"/>
  <c r="L1264" i="41" s="1"/>
  <c r="M522" i="41"/>
  <c r="L522" i="41" s="1"/>
  <c r="AK1265" i="41"/>
  <c r="AH1265" i="41"/>
  <c r="AG1265" i="41"/>
  <c r="AJ1265" i="41"/>
  <c r="AI1265" i="41"/>
  <c r="AF1265" i="41"/>
  <c r="O1270" i="41"/>
  <c r="AE1266" i="41"/>
  <c r="T1266" i="41"/>
  <c r="R524" i="41"/>
  <c r="O524" i="41"/>
  <c r="H522" i="41"/>
  <c r="G522" i="41" s="1"/>
  <c r="W523" i="41"/>
  <c r="X523" i="41"/>
  <c r="P524" i="41"/>
  <c r="AB524" i="41" s="1" a="1"/>
  <c r="AB524" i="41" s="1"/>
  <c r="U1269" i="41"/>
  <c r="Q1270" i="41"/>
  <c r="AE1267" i="41"/>
  <c r="T1267" i="41"/>
  <c r="AD1267" i="41"/>
  <c r="U523" i="41"/>
  <c r="AD522" i="41" s="1"/>
  <c r="Q524" i="41"/>
  <c r="W1269" i="41"/>
  <c r="X1269" i="41"/>
  <c r="P1270" i="41"/>
  <c r="AB523" i="41" a="1"/>
  <c r="AB523" i="41" s="1"/>
  <c r="R1270" i="41"/>
  <c r="V1270" i="41" s="1"/>
  <c r="S1268" i="41"/>
  <c r="M1265" i="41" l="1"/>
  <c r="L1265" i="41" s="1"/>
  <c r="AJ581" i="41"/>
  <c r="AK581" i="41"/>
  <c r="AI581" i="41"/>
  <c r="AF581" i="41"/>
  <c r="AH581" i="41"/>
  <c r="S523" i="41"/>
  <c r="I523" i="41" s="1"/>
  <c r="AB1268" i="41"/>
  <c r="S1269" i="41"/>
  <c r="R1271" i="41"/>
  <c r="V1271" i="41" s="1"/>
  <c r="W1270" i="41"/>
  <c r="X1270" i="41"/>
  <c r="P1271" i="41"/>
  <c r="R525" i="41"/>
  <c r="V525" i="41" s="1"/>
  <c r="AD1268" i="41"/>
  <c r="AC1268" i="41"/>
  <c r="U524" i="41"/>
  <c r="AC523" i="41" s="1"/>
  <c r="AE583" i="41" s="1" a="1"/>
  <c r="AE583" i="41" s="1"/>
  <c r="Q525" i="41"/>
  <c r="V524" i="41"/>
  <c r="O525" i="41" s="1"/>
  <c r="AJ1266" i="41"/>
  <c r="AG1266" i="41"/>
  <c r="AK1266" i="41"/>
  <c r="AH1266" i="41"/>
  <c r="AF1266" i="41"/>
  <c r="AI1266" i="41"/>
  <c r="M523" i="41"/>
  <c r="L523" i="41" s="1"/>
  <c r="H1268" i="41"/>
  <c r="G1268" i="41" s="1"/>
  <c r="I1268" i="41"/>
  <c r="U1270" i="41"/>
  <c r="Q1271" i="41"/>
  <c r="O1271" i="41"/>
  <c r="AC522" i="41"/>
  <c r="AE582" i="41" s="1" a="1"/>
  <c r="AE582" i="41" s="1"/>
  <c r="AK1267" i="41"/>
  <c r="AJ1267" i="41"/>
  <c r="AG1267" i="41"/>
  <c r="AI1267" i="41"/>
  <c r="AF1267" i="41"/>
  <c r="AH1267" i="41"/>
  <c r="W524" i="41"/>
  <c r="X524" i="41"/>
  <c r="P525" i="41"/>
  <c r="H523" i="41" l="1"/>
  <c r="G523" i="41" s="1"/>
  <c r="S1270" i="41"/>
  <c r="H1270" i="41" s="1"/>
  <c r="G1270" i="41" s="1"/>
  <c r="AB525" i="41" a="1"/>
  <c r="AB525" i="41" s="1"/>
  <c r="M1266" i="41"/>
  <c r="L1266" i="41" s="1"/>
  <c r="M1267" i="41"/>
  <c r="AH583" i="41"/>
  <c r="AJ583" i="41"/>
  <c r="AF583" i="41"/>
  <c r="AG583" i="41"/>
  <c r="AI583" i="41"/>
  <c r="AK583" i="41"/>
  <c r="R1272" i="41"/>
  <c r="I1270" i="41"/>
  <c r="O526" i="41"/>
  <c r="U1271" i="41"/>
  <c r="AC1270" i="41" s="1"/>
  <c r="Q1272" i="41"/>
  <c r="AB1269" i="41"/>
  <c r="H1269" i="41"/>
  <c r="G1269" i="41" s="1"/>
  <c r="I1269" i="41"/>
  <c r="W525" i="41"/>
  <c r="X525" i="41"/>
  <c r="P526" i="41"/>
  <c r="AD1269" i="41"/>
  <c r="W1271" i="41"/>
  <c r="X1271" i="41"/>
  <c r="P1272" i="41"/>
  <c r="O1272" i="41"/>
  <c r="R526" i="41"/>
  <c r="V526" i="41" s="1"/>
  <c r="S524" i="41"/>
  <c r="AE1268" i="41"/>
  <c r="T1268" i="41"/>
  <c r="AH582" i="41"/>
  <c r="AK582" i="41"/>
  <c r="AI582" i="41"/>
  <c r="AG582" i="41"/>
  <c r="AJ582" i="41"/>
  <c r="AF582" i="41"/>
  <c r="M524" i="41"/>
  <c r="L524" i="41" s="1"/>
  <c r="AD523" i="41"/>
  <c r="U525" i="41"/>
  <c r="AD524" i="41" s="1"/>
  <c r="Q526" i="41"/>
  <c r="AC1269" i="41"/>
  <c r="S525" i="41" l="1"/>
  <c r="I525" i="41" s="1"/>
  <c r="AD1270" i="41"/>
  <c r="S1271" i="41"/>
  <c r="H1271" i="41" s="1"/>
  <c r="G1271" i="41" s="1"/>
  <c r="L1267" i="41"/>
  <c r="AC524" i="41"/>
  <c r="AE584" i="41" s="1" a="1"/>
  <c r="AE584" i="41" s="1"/>
  <c r="AI584" i="41" s="1"/>
  <c r="M525" i="41"/>
  <c r="L525" i="41" s="1"/>
  <c r="W526" i="41"/>
  <c r="X526" i="41"/>
  <c r="P527" i="41"/>
  <c r="W1272" i="41"/>
  <c r="X1272" i="41"/>
  <c r="P1273" i="41"/>
  <c r="R1273" i="41"/>
  <c r="U1272" i="41"/>
  <c r="Q1273" i="41"/>
  <c r="AE1269" i="41"/>
  <c r="T1269" i="41"/>
  <c r="AE1270" i="41"/>
  <c r="T1270" i="41"/>
  <c r="O527" i="41"/>
  <c r="AJ1268" i="41"/>
  <c r="AG1268" i="41"/>
  <c r="AK1268" i="41"/>
  <c r="AH1268" i="41"/>
  <c r="AI1268" i="41"/>
  <c r="AF1268" i="41"/>
  <c r="I524" i="41"/>
  <c r="H524" i="41"/>
  <c r="G524" i="41" s="1"/>
  <c r="R527" i="41"/>
  <c r="V527" i="41" s="1"/>
  <c r="U526" i="41"/>
  <c r="Q527" i="41"/>
  <c r="AB1270" i="41"/>
  <c r="AB526" i="41" a="1"/>
  <c r="AB526" i="41" s="1"/>
  <c r="V1272" i="41"/>
  <c r="O1273" i="41" s="1"/>
  <c r="H525" i="41" l="1"/>
  <c r="G525" i="41" s="1"/>
  <c r="S1272" i="41"/>
  <c r="H1272" i="41" s="1"/>
  <c r="G1272" i="41" s="1"/>
  <c r="I1271" i="41"/>
  <c r="AG584" i="41"/>
  <c r="AF584" i="41"/>
  <c r="AH584" i="41"/>
  <c r="AJ584" i="41"/>
  <c r="AK584" i="41"/>
  <c r="M1268" i="41"/>
  <c r="L1268" i="41" s="1"/>
  <c r="R1274" i="41"/>
  <c r="I1272" i="41"/>
  <c r="U1273" i="41"/>
  <c r="AB1272" i="41" s="1"/>
  <c r="Q1274" i="41"/>
  <c r="AD525" i="41"/>
  <c r="AC525" i="41"/>
  <c r="AE585" i="41" s="1" a="1"/>
  <c r="AE585" i="41" s="1"/>
  <c r="S526" i="41"/>
  <c r="AJ1269" i="41"/>
  <c r="AG1269" i="41"/>
  <c r="AH1269" i="41"/>
  <c r="AK1269" i="41"/>
  <c r="AF1269" i="41"/>
  <c r="AI1269" i="41"/>
  <c r="R528" i="41"/>
  <c r="W527" i="41"/>
  <c r="P528" i="41"/>
  <c r="X527" i="41"/>
  <c r="AB1271" i="41"/>
  <c r="O528" i="41"/>
  <c r="AJ1270" i="41"/>
  <c r="AH1270" i="41"/>
  <c r="AF1270" i="41"/>
  <c r="AI1270" i="41"/>
  <c r="AG1270" i="41"/>
  <c r="AK1270" i="41"/>
  <c r="V1273" i="41"/>
  <c r="O1274" i="41" s="1"/>
  <c r="U527" i="41"/>
  <c r="AC526" i="41" s="1"/>
  <c r="AE586" i="41" s="1" a="1"/>
  <c r="AE586" i="41" s="1"/>
  <c r="Q528" i="41"/>
  <c r="AD1271" i="41"/>
  <c r="M526" i="41"/>
  <c r="L526" i="41" s="1"/>
  <c r="W1273" i="41"/>
  <c r="X1273" i="41"/>
  <c r="P1274" i="41"/>
  <c r="AB527" i="41" a="1"/>
  <c r="AB527" i="41" s="1"/>
  <c r="AC1271" i="41"/>
  <c r="V1274" i="41" l="1"/>
  <c r="M527" i="41"/>
  <c r="L527" i="41" s="1"/>
  <c r="M1269" i="41"/>
  <c r="L1269" i="41" s="1"/>
  <c r="M1270" i="41"/>
  <c r="AH586" i="41"/>
  <c r="AJ586" i="41"/>
  <c r="AG586" i="41"/>
  <c r="AI586" i="41"/>
  <c r="AF586" i="41"/>
  <c r="AK586" i="41"/>
  <c r="R529" i="41"/>
  <c r="U528" i="41"/>
  <c r="Q529" i="41"/>
  <c r="W1274" i="41"/>
  <c r="X1274" i="41"/>
  <c r="P1275" i="41"/>
  <c r="S1273" i="41"/>
  <c r="AE1271" i="41"/>
  <c r="T1271" i="41"/>
  <c r="AD1272" i="41"/>
  <c r="AD526" i="41"/>
  <c r="I526" i="41"/>
  <c r="H526" i="41"/>
  <c r="G526" i="41" s="1"/>
  <c r="V528" i="41"/>
  <c r="O529" i="41" s="1"/>
  <c r="AG585" i="41"/>
  <c r="AI585" i="41"/>
  <c r="AH585" i="41"/>
  <c r="AF585" i="41"/>
  <c r="AJ585" i="41"/>
  <c r="AK585" i="41"/>
  <c r="AB528" i="41" a="1"/>
  <c r="AB528" i="41" s="1"/>
  <c r="O1275" i="41"/>
  <c r="W528" i="41"/>
  <c r="X528" i="41"/>
  <c r="P529" i="41"/>
  <c r="S527" i="41"/>
  <c r="AC1272" i="41"/>
  <c r="R1275" i="41"/>
  <c r="U1274" i="41"/>
  <c r="Q1275" i="41"/>
  <c r="V1275" i="41" l="1"/>
  <c r="O1276" i="41" s="1"/>
  <c r="AB529" i="41" a="1"/>
  <c r="AB529" i="41" s="1"/>
  <c r="V529" i="41"/>
  <c r="L1270" i="41"/>
  <c r="R1276" i="41"/>
  <c r="U529" i="41"/>
  <c r="Q530" i="41"/>
  <c r="H1273" i="41"/>
  <c r="G1273" i="41" s="1"/>
  <c r="I1273" i="41"/>
  <c r="M528" i="41"/>
  <c r="L528" i="41" s="1"/>
  <c r="W1275" i="41"/>
  <c r="X1275" i="41"/>
  <c r="P1276" i="41"/>
  <c r="I527" i="41"/>
  <c r="H527" i="41"/>
  <c r="G527" i="41" s="1"/>
  <c r="AE1272" i="41"/>
  <c r="T1272" i="41"/>
  <c r="R530" i="41"/>
  <c r="V530" i="41" s="1"/>
  <c r="W529" i="41"/>
  <c r="X529" i="41"/>
  <c r="P530" i="41"/>
  <c r="U1275" i="41"/>
  <c r="AB1274" i="41" s="1"/>
  <c r="V1276" i="41"/>
  <c r="Q1276" i="41"/>
  <c r="S528" i="41"/>
  <c r="AB1273" i="41"/>
  <c r="S1274" i="41"/>
  <c r="AD1273" i="41"/>
  <c r="AD527" i="41"/>
  <c r="AC1273" i="41"/>
  <c r="AC527" i="41"/>
  <c r="AE587" i="41" s="1" a="1"/>
  <c r="AE587" i="41" s="1"/>
  <c r="AH1271" i="41"/>
  <c r="AI1271" i="41"/>
  <c r="AK1271" i="41"/>
  <c r="AJ1271" i="41"/>
  <c r="AF1271" i="41"/>
  <c r="AG1271" i="41"/>
  <c r="O530" i="41"/>
  <c r="S529" i="41" l="1"/>
  <c r="I529" i="41" s="1"/>
  <c r="M1271" i="41"/>
  <c r="L1271" i="41" s="1"/>
  <c r="S1275" i="41"/>
  <c r="I1275" i="41" s="1"/>
  <c r="AD1274" i="41"/>
  <c r="O531" i="41"/>
  <c r="AI1272" i="41"/>
  <c r="AF1272" i="41"/>
  <c r="AG1272" i="41"/>
  <c r="AJ1272" i="41"/>
  <c r="AK1272" i="41"/>
  <c r="AH1272" i="41"/>
  <c r="I528" i="41"/>
  <c r="H528" i="41"/>
  <c r="G528" i="41" s="1"/>
  <c r="AH587" i="41"/>
  <c r="AG587" i="41"/>
  <c r="AI587" i="41"/>
  <c r="AJ587" i="41"/>
  <c r="AF587" i="41"/>
  <c r="AK587" i="41"/>
  <c r="AC528" i="41"/>
  <c r="AE588" i="41" s="1" a="1"/>
  <c r="AE588" i="41" s="1"/>
  <c r="O1277" i="41"/>
  <c r="H1275" i="41"/>
  <c r="G1275" i="41" s="1"/>
  <c r="AE1273" i="41"/>
  <c r="T1273" i="41"/>
  <c r="M529" i="41"/>
  <c r="L529" i="41" s="1"/>
  <c r="AD528" i="41"/>
  <c r="R531" i="41"/>
  <c r="V531" i="41" s="1"/>
  <c r="U530" i="41"/>
  <c r="AC529" i="41" s="1"/>
  <c r="AE589" i="41" s="1" a="1"/>
  <c r="AE589" i="41" s="1"/>
  <c r="Q531" i="41"/>
  <c r="U1276" i="41"/>
  <c r="Q1277" i="41"/>
  <c r="W1276" i="41"/>
  <c r="P1277" i="41"/>
  <c r="X1276" i="41"/>
  <c r="R1277" i="41"/>
  <c r="H529" i="41"/>
  <c r="G529" i="41" s="1"/>
  <c r="W530" i="41"/>
  <c r="X530" i="41"/>
  <c r="P531" i="41"/>
  <c r="I1274" i="41"/>
  <c r="H1274" i="41"/>
  <c r="G1274" i="41" s="1"/>
  <c r="AB530" i="41" a="1"/>
  <c r="AB530" i="41" s="1"/>
  <c r="AC1274" i="41"/>
  <c r="M1272" i="41" l="1"/>
  <c r="L1272" i="41" s="1"/>
  <c r="AG589" i="41"/>
  <c r="AJ589" i="41"/>
  <c r="AK589" i="41"/>
  <c r="AH589" i="41"/>
  <c r="AF589" i="41"/>
  <c r="AI589" i="41"/>
  <c r="AJ588" i="41"/>
  <c r="AI588" i="41"/>
  <c r="AF588" i="41"/>
  <c r="AK588" i="41"/>
  <c r="AH588" i="41"/>
  <c r="AG588" i="41"/>
  <c r="AB1275" i="41"/>
  <c r="AD1275" i="41"/>
  <c r="AC1275" i="41"/>
  <c r="S1276" i="41"/>
  <c r="U1277" i="41"/>
  <c r="Q1278" i="41"/>
  <c r="AE1274" i="41"/>
  <c r="T1274" i="41"/>
  <c r="R1278" i="41"/>
  <c r="O532" i="41"/>
  <c r="U531" i="41"/>
  <c r="Q532" i="41"/>
  <c r="R532" i="41"/>
  <c r="S530" i="41"/>
  <c r="AB531" i="41" a="1"/>
  <c r="AB531" i="41" s="1"/>
  <c r="W531" i="41"/>
  <c r="X531" i="41"/>
  <c r="P532" i="41"/>
  <c r="AG1273" i="41"/>
  <c r="AJ1273" i="41"/>
  <c r="AF1273" i="41"/>
  <c r="AH1273" i="41"/>
  <c r="AI1273" i="41"/>
  <c r="AK1273" i="41"/>
  <c r="M530" i="41"/>
  <c r="L530" i="41" s="1"/>
  <c r="V1277" i="41"/>
  <c r="O1278" i="41" s="1"/>
  <c r="W1277" i="41"/>
  <c r="X1277" i="41"/>
  <c r="P1278" i="41"/>
  <c r="AD529" i="41"/>
  <c r="V1278" i="41" l="1"/>
  <c r="M1273" i="41"/>
  <c r="L1273" i="41" s="1"/>
  <c r="I530" i="41"/>
  <c r="H530" i="41"/>
  <c r="G530" i="41" s="1"/>
  <c r="O1279" i="41"/>
  <c r="R1279" i="41"/>
  <c r="W532" i="41"/>
  <c r="P533" i="41"/>
  <c r="X532" i="41"/>
  <c r="R533" i="41"/>
  <c r="U532" i="41"/>
  <c r="AD531" i="41" s="1"/>
  <c r="Q533" i="41"/>
  <c r="V532" i="41"/>
  <c r="O533" i="41" s="1"/>
  <c r="S531" i="41"/>
  <c r="U1278" i="41"/>
  <c r="AC1277" i="41" s="1"/>
  <c r="Q1279" i="41"/>
  <c r="AB532" i="41" a="1"/>
  <c r="AB532" i="41" s="1"/>
  <c r="AE1275" i="41"/>
  <c r="T1275" i="41"/>
  <c r="AC1276" i="41"/>
  <c r="W1278" i="41"/>
  <c r="X1278" i="41"/>
  <c r="P1279" i="41"/>
  <c r="M531" i="41"/>
  <c r="L531" i="41" s="1"/>
  <c r="H1276" i="41"/>
  <c r="G1276" i="41" s="1"/>
  <c r="I1276" i="41"/>
  <c r="AB1276" i="41"/>
  <c r="AD1276" i="41"/>
  <c r="S1277" i="41"/>
  <c r="AD530" i="41"/>
  <c r="AI1274" i="41"/>
  <c r="AF1274" i="41"/>
  <c r="AJ1274" i="41"/>
  <c r="AK1274" i="41"/>
  <c r="AG1274" i="41"/>
  <c r="AH1274" i="41"/>
  <c r="AC530" i="41"/>
  <c r="AE590" i="41" s="1" a="1"/>
  <c r="AE590" i="41" s="1"/>
  <c r="V533" i="41" l="1"/>
  <c r="O534" i="41" s="1"/>
  <c r="AB1277" i="41"/>
  <c r="AD1277" i="41"/>
  <c r="M1274" i="41"/>
  <c r="L1274" i="41" s="1"/>
  <c r="S1278" i="41"/>
  <c r="H1278" i="41" s="1"/>
  <c r="G1278" i="41" s="1"/>
  <c r="M532" i="41"/>
  <c r="L532" i="41" s="1"/>
  <c r="R534" i="41"/>
  <c r="V534" i="41" s="1"/>
  <c r="AE1276" i="41"/>
  <c r="T1276" i="41"/>
  <c r="AC531" i="41"/>
  <c r="AE591" i="41" s="1" a="1"/>
  <c r="AE591" i="41" s="1"/>
  <c r="W533" i="41"/>
  <c r="X533" i="41"/>
  <c r="P534" i="41"/>
  <c r="I531" i="41"/>
  <c r="H531" i="41"/>
  <c r="G531" i="41" s="1"/>
  <c r="U533" i="41"/>
  <c r="AC532" i="41" s="1"/>
  <c r="AE592" i="41" s="1" a="1"/>
  <c r="AE592" i="41" s="1"/>
  <c r="Q534" i="41"/>
  <c r="S532" i="41"/>
  <c r="AB533" i="41" a="1"/>
  <c r="AB533" i="41" s="1"/>
  <c r="U1279" i="41"/>
  <c r="Q1280" i="41"/>
  <c r="AJ590" i="41"/>
  <c r="AG590" i="41"/>
  <c r="AF590" i="41"/>
  <c r="AH590" i="41"/>
  <c r="AI590" i="41"/>
  <c r="AK590" i="41"/>
  <c r="AJ1275" i="41"/>
  <c r="AF1275" i="41"/>
  <c r="AI1275" i="41"/>
  <c r="AG1275" i="41"/>
  <c r="AK1275" i="41"/>
  <c r="AH1275" i="41"/>
  <c r="W1279" i="41"/>
  <c r="X1279" i="41"/>
  <c r="P1280" i="41"/>
  <c r="I1277" i="41"/>
  <c r="H1277" i="41"/>
  <c r="G1277" i="41" s="1"/>
  <c r="AE1277" i="41"/>
  <c r="T1277" i="41"/>
  <c r="R1280" i="41"/>
  <c r="V1279" i="41"/>
  <c r="O1280" i="41" s="1"/>
  <c r="I1278" i="41" l="1"/>
  <c r="S1279" i="41"/>
  <c r="H1279" i="41" s="1"/>
  <c r="G1279" i="41" s="1"/>
  <c r="AD1278" i="41"/>
  <c r="AC1278" i="41"/>
  <c r="AE1278" i="41" s="1"/>
  <c r="AD532" i="41"/>
  <c r="M1275" i="41"/>
  <c r="L1275" i="41" s="1"/>
  <c r="AF592" i="41"/>
  <c r="AJ592" i="41"/>
  <c r="AI592" i="41"/>
  <c r="AK592" i="41"/>
  <c r="AG592" i="41"/>
  <c r="AH592" i="41"/>
  <c r="W1280" i="41"/>
  <c r="X1280" i="41"/>
  <c r="P1281" i="41"/>
  <c r="AF1276" i="41"/>
  <c r="AI1276" i="41"/>
  <c r="AG1276" i="41"/>
  <c r="AH1276" i="41"/>
  <c r="AJ1276" i="41"/>
  <c r="AK1276" i="41"/>
  <c r="W534" i="41"/>
  <c r="X534" i="41"/>
  <c r="P535" i="41"/>
  <c r="S533" i="41"/>
  <c r="R1281" i="41"/>
  <c r="I1279" i="41"/>
  <c r="R535" i="41"/>
  <c r="V535" i="41" s="1"/>
  <c r="U534" i="41"/>
  <c r="Q535" i="41"/>
  <c r="U1280" i="41"/>
  <c r="Q1281" i="41"/>
  <c r="AB534" i="41" a="1"/>
  <c r="AB534" i="41" s="1"/>
  <c r="O535" i="41"/>
  <c r="I532" i="41"/>
  <c r="H532" i="41"/>
  <c r="G532" i="41" s="1"/>
  <c r="M533" i="41"/>
  <c r="L533" i="41" s="1"/>
  <c r="AF1277" i="41"/>
  <c r="AH1277" i="41"/>
  <c r="AI1277" i="41"/>
  <c r="AJ1277" i="41"/>
  <c r="AK1277" i="41"/>
  <c r="AG1277" i="41"/>
  <c r="AB1278" i="41"/>
  <c r="V1280" i="41"/>
  <c r="O1281" i="41" s="1"/>
  <c r="AI591" i="41"/>
  <c r="AF591" i="41"/>
  <c r="AH591" i="41"/>
  <c r="AG591" i="41"/>
  <c r="AK591" i="41"/>
  <c r="AJ591" i="41"/>
  <c r="T1278" i="41" l="1"/>
  <c r="V1281" i="41"/>
  <c r="M1277" i="41"/>
  <c r="O1282" i="41"/>
  <c r="AD1279" i="41"/>
  <c r="M534" i="41"/>
  <c r="L534" i="41" s="1"/>
  <c r="AC1279" i="41"/>
  <c r="O536" i="41"/>
  <c r="S1280" i="41"/>
  <c r="AK1278" i="41"/>
  <c r="AF1278" i="41"/>
  <c r="AH1278" i="41"/>
  <c r="AI1278" i="41"/>
  <c r="AG1278" i="41"/>
  <c r="AJ1278" i="41"/>
  <c r="R536" i="41"/>
  <c r="R1282" i="41"/>
  <c r="W535" i="41"/>
  <c r="X535" i="41"/>
  <c r="P536" i="41"/>
  <c r="U1281" i="41"/>
  <c r="Q1282" i="41"/>
  <c r="W1281" i="41"/>
  <c r="X1281" i="41"/>
  <c r="P1282" i="41"/>
  <c r="AB535" i="41" a="1"/>
  <c r="AB535" i="41" s="1"/>
  <c r="U535" i="41"/>
  <c r="AC534" i="41" s="1"/>
  <c r="AE594" i="41" s="1" a="1"/>
  <c r="AE594" i="41" s="1"/>
  <c r="Q536" i="41"/>
  <c r="S534" i="41"/>
  <c r="M1276" i="41"/>
  <c r="L1276" i="41" s="1"/>
  <c r="AC533" i="41"/>
  <c r="AE593" i="41" s="1" a="1"/>
  <c r="AE593" i="41" s="1"/>
  <c r="I533" i="41"/>
  <c r="H533" i="41"/>
  <c r="G533" i="41" s="1"/>
  <c r="AD533" i="41"/>
  <c r="AB1279" i="41"/>
  <c r="L1277" i="41" l="1"/>
  <c r="AB536" i="41" a="1"/>
  <c r="AB536" i="41" s="1"/>
  <c r="S535" i="41"/>
  <c r="I535" i="41" s="1"/>
  <c r="AD534" i="41"/>
  <c r="M1278" i="41"/>
  <c r="U1282" i="41"/>
  <c r="AC1281" i="41" s="1"/>
  <c r="Q1283" i="41"/>
  <c r="U536" i="41"/>
  <c r="Q537" i="41"/>
  <c r="AG593" i="41"/>
  <c r="AJ593" i="41"/>
  <c r="AI593" i="41"/>
  <c r="AF593" i="41"/>
  <c r="AK593" i="41"/>
  <c r="AH593" i="41"/>
  <c r="AI594" i="41"/>
  <c r="AJ594" i="41"/>
  <c r="AG594" i="41"/>
  <c r="AK594" i="41"/>
  <c r="AF594" i="41"/>
  <c r="AH594" i="41"/>
  <c r="R1283" i="41"/>
  <c r="AB1280" i="41"/>
  <c r="V1282" i="41"/>
  <c r="O1283" i="41" s="1"/>
  <c r="R537" i="41"/>
  <c r="V537" i="41" s="1"/>
  <c r="AC1280" i="41"/>
  <c r="V536" i="41"/>
  <c r="O537" i="41" s="1"/>
  <c r="AD1280" i="41"/>
  <c r="AE1279" i="41"/>
  <c r="T1279" i="41"/>
  <c r="W1282" i="41"/>
  <c r="X1282" i="41"/>
  <c r="P1283" i="41"/>
  <c r="I534" i="41"/>
  <c r="H534" i="41"/>
  <c r="G534" i="41" s="1"/>
  <c r="I1280" i="41"/>
  <c r="H1280" i="41"/>
  <c r="G1280" i="41" s="1"/>
  <c r="M535" i="41"/>
  <c r="L535" i="41" s="1"/>
  <c r="X536" i="41"/>
  <c r="W536" i="41"/>
  <c r="P537" i="41"/>
  <c r="S1281" i="41"/>
  <c r="S536" i="41" l="1"/>
  <c r="I536" i="41" s="1"/>
  <c r="H535" i="41"/>
  <c r="G535" i="41" s="1"/>
  <c r="L1278" i="41"/>
  <c r="S1282" i="41"/>
  <c r="I1282" i="41" s="1"/>
  <c r="AB537" i="41" a="1"/>
  <c r="AB537" i="41" s="1"/>
  <c r="AC535" i="41"/>
  <c r="AE595" i="41" s="1" a="1"/>
  <c r="AE595" i="41" s="1"/>
  <c r="AJ595" i="41" s="1"/>
  <c r="AD535" i="41"/>
  <c r="W537" i="41"/>
  <c r="X537" i="41"/>
  <c r="P538" i="41"/>
  <c r="W1283" i="41"/>
  <c r="X1283" i="41"/>
  <c r="P1284" i="41"/>
  <c r="U1283" i="41"/>
  <c r="Q1284" i="41"/>
  <c r="M536" i="41"/>
  <c r="L536" i="41" s="1"/>
  <c r="O538" i="41"/>
  <c r="R1284" i="41"/>
  <c r="V1284" i="41" s="1"/>
  <c r="AE1280" i="41"/>
  <c r="T1280" i="41"/>
  <c r="I1281" i="41"/>
  <c r="H1281" i="41"/>
  <c r="G1281" i="41" s="1"/>
  <c r="AB1281" i="41"/>
  <c r="R538" i="41"/>
  <c r="V538" i="41" s="1"/>
  <c r="U537" i="41"/>
  <c r="Q538" i="41"/>
  <c r="AJ1279" i="41"/>
  <c r="AI1279" i="41"/>
  <c r="AG1279" i="41"/>
  <c r="AF1279" i="41"/>
  <c r="AK1279" i="41"/>
  <c r="AH1279" i="41"/>
  <c r="AE1281" i="41"/>
  <c r="T1281" i="41"/>
  <c r="AD1281" i="41"/>
  <c r="V1283" i="41"/>
  <c r="O1284" i="41" s="1"/>
  <c r="H1282" i="41" l="1"/>
  <c r="G1282" i="41" s="1"/>
  <c r="H536" i="41"/>
  <c r="G536" i="41" s="1"/>
  <c r="AG595" i="41"/>
  <c r="AK595" i="41"/>
  <c r="AF595" i="41"/>
  <c r="AH595" i="41"/>
  <c r="AI595" i="41"/>
  <c r="M1279" i="41"/>
  <c r="L1279" i="41" s="1"/>
  <c r="AB1282" i="41"/>
  <c r="W1284" i="41"/>
  <c r="X1284" i="41"/>
  <c r="P1285" i="41"/>
  <c r="O539" i="41"/>
  <c r="S1283" i="41"/>
  <c r="R1285" i="41"/>
  <c r="V1285" i="41" s="1"/>
  <c r="AC536" i="41"/>
  <c r="AE596" i="41" s="1" a="1"/>
  <c r="AE596" i="41" s="1"/>
  <c r="AH1281" i="41"/>
  <c r="AG1281" i="41"/>
  <c r="AI1281" i="41"/>
  <c r="AJ1281" i="41"/>
  <c r="AK1281" i="41"/>
  <c r="AF1281" i="41"/>
  <c r="U538" i="41"/>
  <c r="AC537" i="41" s="1"/>
  <c r="AE597" i="41" s="1" a="1"/>
  <c r="AE597" i="41" s="1"/>
  <c r="Q539" i="41"/>
  <c r="AD536" i="41"/>
  <c r="W538" i="41"/>
  <c r="X538" i="41"/>
  <c r="P539" i="41"/>
  <c r="R539" i="41"/>
  <c r="AD1282" i="41"/>
  <c r="U1284" i="41"/>
  <c r="AC1283" i="41" s="1"/>
  <c r="Q1285" i="41"/>
  <c r="S537" i="41"/>
  <c r="AJ1280" i="41"/>
  <c r="AF1280" i="41"/>
  <c r="AH1280" i="41"/>
  <c r="AK1280" i="41"/>
  <c r="AG1280" i="41"/>
  <c r="AI1280" i="41"/>
  <c r="AB538" i="41" a="1"/>
  <c r="AB538" i="41" s="1"/>
  <c r="AC1282" i="41"/>
  <c r="M537" i="41"/>
  <c r="L537" i="41" s="1"/>
  <c r="O1285" i="41"/>
  <c r="AD537" i="41" l="1"/>
  <c r="AB1283" i="41"/>
  <c r="AB539" i="41" a="1"/>
  <c r="AB539" i="41" s="1"/>
  <c r="S538" i="41"/>
  <c r="I538" i="41" s="1"/>
  <c r="M1281" i="41"/>
  <c r="M1280" i="41"/>
  <c r="L1280" i="41" s="1"/>
  <c r="AE1283" i="41"/>
  <c r="T1283" i="41"/>
  <c r="U539" i="41"/>
  <c r="Q540" i="41"/>
  <c r="I1283" i="41"/>
  <c r="H1283" i="41"/>
  <c r="G1283" i="41" s="1"/>
  <c r="R1286" i="41"/>
  <c r="V1286" i="41" s="1"/>
  <c r="AH596" i="41"/>
  <c r="AK596" i="41"/>
  <c r="AI596" i="41"/>
  <c r="AJ596" i="41"/>
  <c r="AG596" i="41"/>
  <c r="AF596" i="41"/>
  <c r="R540" i="41"/>
  <c r="W539" i="41"/>
  <c r="X539" i="41"/>
  <c r="P540" i="41"/>
  <c r="AB540" i="41" s="1" a="1"/>
  <c r="AB540" i="41" s="1"/>
  <c r="O1286" i="41"/>
  <c r="AD1283" i="41"/>
  <c r="W1285" i="41"/>
  <c r="X1285" i="41"/>
  <c r="P1286" i="41"/>
  <c r="M538" i="41"/>
  <c r="L538" i="41" s="1"/>
  <c r="I537" i="41"/>
  <c r="H537" i="41"/>
  <c r="G537" i="41" s="1"/>
  <c r="AF597" i="41"/>
  <c r="AG597" i="41"/>
  <c r="AI597" i="41"/>
  <c r="AK597" i="41"/>
  <c r="AJ597" i="41"/>
  <c r="AH597" i="41"/>
  <c r="S1284" i="41"/>
  <c r="V539" i="41"/>
  <c r="O540" i="41" s="1"/>
  <c r="U1285" i="41"/>
  <c r="AD1284" i="41" s="1"/>
  <c r="Q1286" i="41"/>
  <c r="AE1282" i="41"/>
  <c r="T1282" i="41"/>
  <c r="S539" i="41" l="1"/>
  <c r="I539" i="41" s="1"/>
  <c r="H538" i="41"/>
  <c r="G538" i="41" s="1"/>
  <c r="AD538" i="41"/>
  <c r="L1281" i="41"/>
  <c r="U1286" i="41"/>
  <c r="AB1285" i="41" s="1"/>
  <c r="Q1287" i="41"/>
  <c r="H1284" i="41"/>
  <c r="G1284" i="41" s="1"/>
  <c r="I1284" i="41"/>
  <c r="AI1282" i="41"/>
  <c r="AF1282" i="41"/>
  <c r="AG1282" i="41"/>
  <c r="AJ1282" i="41"/>
  <c r="AH1282" i="41"/>
  <c r="AK1282" i="41"/>
  <c r="U540" i="41"/>
  <c r="Q541" i="41"/>
  <c r="W1286" i="41"/>
  <c r="X1286" i="41"/>
  <c r="P1287" i="41"/>
  <c r="S1285" i="41"/>
  <c r="V540" i="41"/>
  <c r="O541" i="41" s="1"/>
  <c r="W540" i="41"/>
  <c r="X540" i="41"/>
  <c r="P541" i="41"/>
  <c r="H539" i="41"/>
  <c r="G539" i="41" s="1"/>
  <c r="AB1284" i="41"/>
  <c r="M539" i="41"/>
  <c r="L539" i="41" s="1"/>
  <c r="AF1283" i="41"/>
  <c r="AG1283" i="41"/>
  <c r="AH1283" i="41"/>
  <c r="AJ1283" i="41"/>
  <c r="AK1283" i="41"/>
  <c r="AI1283" i="41"/>
  <c r="O1287" i="41"/>
  <c r="R541" i="41"/>
  <c r="AC538" i="41"/>
  <c r="AE598" i="41" s="1" a="1"/>
  <c r="AE598" i="41" s="1"/>
  <c r="AC1284" i="41"/>
  <c r="R1287" i="41"/>
  <c r="S540" i="41" l="1"/>
  <c r="I540" i="41" s="1"/>
  <c r="AD1285" i="41"/>
  <c r="S1286" i="41"/>
  <c r="I1286" i="41" s="1"/>
  <c r="M1282" i="41"/>
  <c r="L1282" i="41" s="1"/>
  <c r="M1283" i="41"/>
  <c r="H540" i="41"/>
  <c r="G540" i="41" s="1"/>
  <c r="AD539" i="41"/>
  <c r="AC539" i="41"/>
  <c r="AE599" i="41" s="1" a="1"/>
  <c r="AE599" i="41" s="1"/>
  <c r="AH599" i="41" s="1"/>
  <c r="W1287" i="41"/>
  <c r="X1287" i="41"/>
  <c r="P1288" i="41"/>
  <c r="R542" i="41"/>
  <c r="W541" i="41"/>
  <c r="P542" i="41"/>
  <c r="X541" i="41"/>
  <c r="H1285" i="41"/>
  <c r="G1285" i="41" s="1"/>
  <c r="I1285" i="41"/>
  <c r="R1288" i="41"/>
  <c r="U541" i="41"/>
  <c r="Q542" i="41"/>
  <c r="AB541" i="41" a="1"/>
  <c r="AB541" i="41" s="1"/>
  <c r="U1287" i="41"/>
  <c r="AC1286" i="41" s="1"/>
  <c r="Q1288" i="41"/>
  <c r="AF598" i="41"/>
  <c r="AH598" i="41"/>
  <c r="AI598" i="41"/>
  <c r="AG598" i="41"/>
  <c r="AJ598" i="41"/>
  <c r="AK598" i="41"/>
  <c r="V1287" i="41"/>
  <c r="O1288" i="41" s="1"/>
  <c r="M540" i="41"/>
  <c r="L540" i="41" s="1"/>
  <c r="AE1284" i="41"/>
  <c r="T1284" i="41"/>
  <c r="H1286" i="41"/>
  <c r="G1286" i="41" s="1"/>
  <c r="AC1285" i="41"/>
  <c r="V541" i="41"/>
  <c r="O542" i="41" s="1"/>
  <c r="S541" i="41" l="1"/>
  <c r="L1283" i="41"/>
  <c r="AJ599" i="41"/>
  <c r="AI599" i="41"/>
  <c r="S1287" i="41"/>
  <c r="H1287" i="41" s="1"/>
  <c r="G1287" i="41" s="1"/>
  <c r="AB1286" i="41"/>
  <c r="AK599" i="41"/>
  <c r="AF599" i="41"/>
  <c r="AD1286" i="41"/>
  <c r="AG599" i="41"/>
  <c r="I541" i="41"/>
  <c r="H541" i="41"/>
  <c r="G541" i="41" s="1"/>
  <c r="AB542" i="41" a="1"/>
  <c r="AB542" i="41" s="1"/>
  <c r="AD540" i="41"/>
  <c r="AC540" i="41"/>
  <c r="AE600" i="41" s="1" a="1"/>
  <c r="AE600" i="41" s="1"/>
  <c r="AF600" i="41" s="1"/>
  <c r="W1288" i="41"/>
  <c r="X1288" i="41"/>
  <c r="P1289" i="41"/>
  <c r="U1288" i="41"/>
  <c r="Q1289" i="41"/>
  <c r="V1288" i="41"/>
  <c r="O1289" i="41" s="1"/>
  <c r="AE1286" i="41"/>
  <c r="T1286" i="41"/>
  <c r="W542" i="41"/>
  <c r="X542" i="41"/>
  <c r="P543" i="41"/>
  <c r="U542" i="41"/>
  <c r="S542" i="41" s="1"/>
  <c r="I542" i="41" s="1"/>
  <c r="Q543" i="41"/>
  <c r="R543" i="41"/>
  <c r="V543" i="41" s="1"/>
  <c r="R1289" i="41"/>
  <c r="M541" i="41"/>
  <c r="L541" i="41" s="1"/>
  <c r="V542" i="41"/>
  <c r="O543" i="41" s="1"/>
  <c r="I1287" i="41"/>
  <c r="AE1285" i="41"/>
  <c r="T1285" i="41"/>
  <c r="AG1284" i="41"/>
  <c r="AI1284" i="41"/>
  <c r="AH1284" i="41"/>
  <c r="AJ1284" i="41"/>
  <c r="AK1284" i="41"/>
  <c r="AF1284" i="41"/>
  <c r="V1289" i="41" l="1"/>
  <c r="AD541" i="41"/>
  <c r="AC541" i="41"/>
  <c r="AE601" i="41" s="1" a="1"/>
  <c r="AE601" i="41" s="1"/>
  <c r="AG601" i="41" s="1"/>
  <c r="AH600" i="41"/>
  <c r="M1284" i="41"/>
  <c r="L1284" i="41" s="1"/>
  <c r="AI600" i="41"/>
  <c r="AK600" i="41"/>
  <c r="AG600" i="41"/>
  <c r="AJ600" i="41"/>
  <c r="W543" i="41"/>
  <c r="X543" i="41"/>
  <c r="P544" i="41"/>
  <c r="R544" i="41"/>
  <c r="V544" i="41" s="1"/>
  <c r="AB1287" i="41"/>
  <c r="H542" i="41"/>
  <c r="G542" i="41" s="1"/>
  <c r="AC1287" i="41"/>
  <c r="U1289" i="41"/>
  <c r="AB1288" i="41" s="1"/>
  <c r="Q1290" i="41"/>
  <c r="M542" i="41"/>
  <c r="L542" i="41" s="1"/>
  <c r="AD1287" i="41"/>
  <c r="U543" i="41"/>
  <c r="S543" i="41" s="1"/>
  <c r="I543" i="41" s="1"/>
  <c r="Q544" i="41"/>
  <c r="AF1286" i="41"/>
  <c r="AI1286" i="41"/>
  <c r="AG1286" i="41"/>
  <c r="AH1286" i="41"/>
  <c r="AJ1286" i="41"/>
  <c r="AK1286" i="41"/>
  <c r="AB543" i="41" a="1"/>
  <c r="AB543" i="41" s="1"/>
  <c r="R1290" i="41"/>
  <c r="W1289" i="41"/>
  <c r="X1289" i="41"/>
  <c r="P1290" i="41"/>
  <c r="O544" i="41"/>
  <c r="S1288" i="41"/>
  <c r="AG1285" i="41"/>
  <c r="AI1285" i="41"/>
  <c r="AJ1285" i="41"/>
  <c r="AK1285" i="41"/>
  <c r="AH1285" i="41"/>
  <c r="AF1285" i="41"/>
  <c r="O1290" i="41"/>
  <c r="AC542" i="41" l="1"/>
  <c r="AE602" i="41" s="1" a="1"/>
  <c r="AE602" i="41" s="1"/>
  <c r="AK602" i="41" s="1"/>
  <c r="AF601" i="41"/>
  <c r="AK601" i="41"/>
  <c r="AI601" i="41"/>
  <c r="AJ601" i="41"/>
  <c r="AH601" i="41"/>
  <c r="AD542" i="41"/>
  <c r="M1285" i="41"/>
  <c r="L1285" i="41" s="1"/>
  <c r="S1289" i="41"/>
  <c r="I1289" i="41" s="1"/>
  <c r="M1286" i="41"/>
  <c r="AE1287" i="41"/>
  <c r="T1287" i="41"/>
  <c r="O545" i="41"/>
  <c r="AC1288" i="41"/>
  <c r="AD1288" i="41"/>
  <c r="W544" i="41"/>
  <c r="X544" i="41"/>
  <c r="P545" i="41"/>
  <c r="R1291" i="41"/>
  <c r="U544" i="41"/>
  <c r="S544" i="41" s="1"/>
  <c r="Q545" i="41"/>
  <c r="H1288" i="41"/>
  <c r="G1288" i="41" s="1"/>
  <c r="I1288" i="41"/>
  <c r="AJ602" i="41"/>
  <c r="AG602" i="41"/>
  <c r="AB544" i="41" a="1"/>
  <c r="AB544" i="41" s="1"/>
  <c r="W1290" i="41"/>
  <c r="X1290" i="41"/>
  <c r="P1291" i="41"/>
  <c r="H543" i="41"/>
  <c r="G543" i="41" s="1"/>
  <c r="R545" i="41"/>
  <c r="V545" i="41" s="1"/>
  <c r="U1290" i="41"/>
  <c r="Q1291" i="41"/>
  <c r="O1291" i="41"/>
  <c r="V1290" i="41"/>
  <c r="M543" i="41"/>
  <c r="L543" i="41" s="1"/>
  <c r="AH602" i="41" l="1"/>
  <c r="AI602" i="41"/>
  <c r="AF602" i="41"/>
  <c r="H1289" i="41"/>
  <c r="G1289" i="41" s="1"/>
  <c r="S1290" i="41"/>
  <c r="H1290" i="41" s="1"/>
  <c r="G1290" i="41" s="1"/>
  <c r="L1286" i="41"/>
  <c r="AC1289" i="41"/>
  <c r="AE1289" i="41" s="1"/>
  <c r="AB545" i="41" a="1"/>
  <c r="AB545" i="41" s="1"/>
  <c r="AB1289" i="41"/>
  <c r="AD1289" i="41"/>
  <c r="I544" i="41"/>
  <c r="H544" i="41"/>
  <c r="G544" i="41" s="1"/>
  <c r="W545" i="41"/>
  <c r="X545" i="41"/>
  <c r="P546" i="41"/>
  <c r="AE1288" i="41"/>
  <c r="T1288" i="41"/>
  <c r="U1291" i="41"/>
  <c r="AC1290" i="41" s="1"/>
  <c r="Q1292" i="41"/>
  <c r="R546" i="41"/>
  <c r="V546" i="41" s="1"/>
  <c r="U545" i="41"/>
  <c r="AD544" i="41" s="1"/>
  <c r="Q546" i="41"/>
  <c r="M544" i="41"/>
  <c r="L544" i="41" s="1"/>
  <c r="AK1287" i="41"/>
  <c r="AJ1287" i="41"/>
  <c r="AH1287" i="41"/>
  <c r="AF1287" i="41"/>
  <c r="AI1287" i="41"/>
  <c r="AG1287" i="41"/>
  <c r="W1291" i="41"/>
  <c r="X1291" i="41"/>
  <c r="P1292" i="41"/>
  <c r="V1291" i="41"/>
  <c r="O1292" i="41" s="1"/>
  <c r="R1292" i="41"/>
  <c r="V1292" i="41" s="1"/>
  <c r="AC543" i="41"/>
  <c r="AE603" i="41" s="1" a="1"/>
  <c r="AE603" i="41" s="1"/>
  <c r="AD543" i="41"/>
  <c r="O546" i="41"/>
  <c r="I1290" i="41" l="1"/>
  <c r="T1289" i="41"/>
  <c r="S545" i="41"/>
  <c r="I545" i="41" s="1"/>
  <c r="AE1290" i="41"/>
  <c r="T1290" i="41"/>
  <c r="W546" i="41"/>
  <c r="P547" i="41"/>
  <c r="X546" i="41"/>
  <c r="O547" i="41"/>
  <c r="AJ1288" i="41"/>
  <c r="AK1288" i="41"/>
  <c r="AF1288" i="41"/>
  <c r="AG1288" i="41"/>
  <c r="AH1288" i="41"/>
  <c r="AI1288" i="41"/>
  <c r="S1291" i="41"/>
  <c r="R547" i="41"/>
  <c r="AB1290" i="41"/>
  <c r="R1293" i="41"/>
  <c r="AD1290" i="41"/>
  <c r="U546" i="41"/>
  <c r="Q547" i="41"/>
  <c r="H545" i="41"/>
  <c r="G545" i="41" s="1"/>
  <c r="AG1289" i="41"/>
  <c r="AH1289" i="41"/>
  <c r="AK1289" i="41"/>
  <c r="AF1289" i="41"/>
  <c r="AI1289" i="41"/>
  <c r="AJ1289" i="41"/>
  <c r="AB546" i="41" a="1"/>
  <c r="AB546" i="41" s="1"/>
  <c r="M545" i="41"/>
  <c r="L545" i="41" s="1"/>
  <c r="M1287" i="41"/>
  <c r="L1287" i="41" s="1"/>
  <c r="W1292" i="41"/>
  <c r="X1292" i="41"/>
  <c r="P1293" i="41"/>
  <c r="AC544" i="41"/>
  <c r="AE604" i="41" s="1" a="1"/>
  <c r="AE604" i="41" s="1"/>
  <c r="AG603" i="41"/>
  <c r="AF603" i="41"/>
  <c r="AK603" i="41"/>
  <c r="AI603" i="41"/>
  <c r="AH603" i="41"/>
  <c r="AJ603" i="41"/>
  <c r="U1292" i="41"/>
  <c r="AB1291" i="41" s="1"/>
  <c r="Q1293" i="41"/>
  <c r="O1293" i="41"/>
  <c r="AB547" i="41" l="1" a="1"/>
  <c r="AB547" i="41" s="1"/>
  <c r="S546" i="41"/>
  <c r="I546" i="41" s="1"/>
  <c r="AD545" i="41"/>
  <c r="AC545" i="41"/>
  <c r="AE605" i="41" s="1" a="1"/>
  <c r="AE605" i="41" s="1"/>
  <c r="AK605" i="41" s="1"/>
  <c r="S1292" i="41"/>
  <c r="H1292" i="41" s="1"/>
  <c r="G1292" i="41" s="1"/>
  <c r="M1288" i="41"/>
  <c r="L1288" i="41" s="1"/>
  <c r="M1289" i="41"/>
  <c r="U1293" i="41"/>
  <c r="S1293" i="41" s="1"/>
  <c r="H1293" i="41" s="1"/>
  <c r="G1293" i="41" s="1"/>
  <c r="Q1294" i="41"/>
  <c r="W547" i="41"/>
  <c r="X547" i="41"/>
  <c r="P548" i="41"/>
  <c r="AF604" i="41"/>
  <c r="AJ604" i="41"/>
  <c r="AI604" i="41"/>
  <c r="AH604" i="41"/>
  <c r="AK604" i="41"/>
  <c r="AG604" i="41"/>
  <c r="U547" i="41"/>
  <c r="S547" i="41" s="1"/>
  <c r="Q548" i="41"/>
  <c r="H546" i="41"/>
  <c r="G546" i="41" s="1"/>
  <c r="V547" i="41"/>
  <c r="O548" i="41" s="1"/>
  <c r="I1291" i="41"/>
  <c r="H1291" i="41"/>
  <c r="G1291" i="41" s="1"/>
  <c r="R548" i="41"/>
  <c r="V548" i="41" s="1"/>
  <c r="R1294" i="41"/>
  <c r="V1293" i="41"/>
  <c r="O1294" i="41" s="1"/>
  <c r="AC1291" i="41"/>
  <c r="I1292" i="41"/>
  <c r="M546" i="41"/>
  <c r="L546" i="41" s="1"/>
  <c r="AD1291" i="41"/>
  <c r="W1293" i="41"/>
  <c r="X1293" i="41"/>
  <c r="P1294" i="41"/>
  <c r="AG1290" i="41"/>
  <c r="AK1290" i="41"/>
  <c r="AI1290" i="41"/>
  <c r="AJ1290" i="41"/>
  <c r="AF1290" i="41"/>
  <c r="AH1290" i="41"/>
  <c r="AJ605" i="41" l="1"/>
  <c r="AG605" i="41"/>
  <c r="AF605" i="41"/>
  <c r="AI605" i="41"/>
  <c r="AH605" i="41"/>
  <c r="AC546" i="41"/>
  <c r="AE606" i="41" s="1" a="1"/>
  <c r="AE606" i="41" s="1"/>
  <c r="AG606" i="41" s="1"/>
  <c r="AD546" i="41"/>
  <c r="L1289" i="41"/>
  <c r="M1290" i="41"/>
  <c r="I547" i="41"/>
  <c r="H547" i="41"/>
  <c r="G547" i="41" s="1"/>
  <c r="W548" i="41"/>
  <c r="X548" i="41"/>
  <c r="P549" i="41"/>
  <c r="W1294" i="41"/>
  <c r="X1294" i="41"/>
  <c r="P1295" i="41"/>
  <c r="O549" i="41"/>
  <c r="R549" i="41"/>
  <c r="AB1292" i="41"/>
  <c r="U1294" i="41"/>
  <c r="S1294" i="41" s="1"/>
  <c r="Q1295" i="41"/>
  <c r="I1293" i="41"/>
  <c r="V1294" i="41"/>
  <c r="O1295" i="41" s="1"/>
  <c r="U548" i="41"/>
  <c r="Q549" i="41"/>
  <c r="AB548" i="41" a="1"/>
  <c r="AB548" i="41" s="1"/>
  <c r="AC1292" i="41"/>
  <c r="AE1291" i="41"/>
  <c r="T1291" i="41"/>
  <c r="AD1292" i="41"/>
  <c r="M547" i="41"/>
  <c r="L547" i="41" s="1"/>
  <c r="R1295" i="41"/>
  <c r="AI606" i="41" l="1"/>
  <c r="L1290" i="41"/>
  <c r="AJ606" i="41"/>
  <c r="AK606" i="41"/>
  <c r="AF606" i="41"/>
  <c r="AH606" i="41"/>
  <c r="AB1293" i="41"/>
  <c r="I1294" i="41"/>
  <c r="H1294" i="41"/>
  <c r="G1294" i="41" s="1"/>
  <c r="U1295" i="41"/>
  <c r="S1295" i="41" s="1"/>
  <c r="H1295" i="41" s="1"/>
  <c r="G1295" i="41" s="1"/>
  <c r="Q1296" i="41"/>
  <c r="AB549" i="41" a="1"/>
  <c r="AB549" i="41" s="1"/>
  <c r="U549" i="41"/>
  <c r="Q550" i="41"/>
  <c r="R1296" i="41"/>
  <c r="V1296" i="41" s="1"/>
  <c r="V549" i="41"/>
  <c r="O550" i="41" s="1"/>
  <c r="AC547" i="41"/>
  <c r="AE607" i="41" s="1" a="1"/>
  <c r="AE607" i="41" s="1"/>
  <c r="R550" i="41"/>
  <c r="S548" i="41"/>
  <c r="W1295" i="41"/>
  <c r="X1295" i="41"/>
  <c r="P1296" i="41"/>
  <c r="AD547" i="41"/>
  <c r="M548" i="41"/>
  <c r="L548" i="41" s="1"/>
  <c r="W549" i="41"/>
  <c r="X549" i="41"/>
  <c r="P550" i="41"/>
  <c r="V1295" i="41"/>
  <c r="O1296" i="41" s="1"/>
  <c r="AG1291" i="41"/>
  <c r="AH1291" i="41"/>
  <c r="AI1291" i="41"/>
  <c r="AF1291" i="41"/>
  <c r="AJ1291" i="41"/>
  <c r="AK1291" i="41"/>
  <c r="AC1293" i="41"/>
  <c r="AE1292" i="41"/>
  <c r="T1292" i="41"/>
  <c r="AD1293" i="41"/>
  <c r="AC1294" i="41" l="1"/>
  <c r="AE1294" i="41" s="1"/>
  <c r="M1291" i="41"/>
  <c r="L1291" i="41" s="1"/>
  <c r="AF1292" i="41"/>
  <c r="AG1292" i="41"/>
  <c r="AI1292" i="41"/>
  <c r="AJ1292" i="41"/>
  <c r="AH1292" i="41"/>
  <c r="AK1292" i="41"/>
  <c r="AE1293" i="41"/>
  <c r="T1293" i="41"/>
  <c r="R551" i="41"/>
  <c r="U550" i="41"/>
  <c r="Q551" i="41"/>
  <c r="R1297" i="41"/>
  <c r="V1297" i="41" s="1"/>
  <c r="W1296" i="41"/>
  <c r="X1296" i="41"/>
  <c r="P1297" i="41"/>
  <c r="AB550" i="41" a="1"/>
  <c r="AB550" i="41" s="1"/>
  <c r="U1296" i="41"/>
  <c r="AC1295" i="41" s="1"/>
  <c r="Q1297" i="41"/>
  <c r="W550" i="41"/>
  <c r="X550" i="41"/>
  <c r="P551" i="41"/>
  <c r="M549" i="41"/>
  <c r="L549" i="41" s="1"/>
  <c r="AG607" i="41"/>
  <c r="AJ607" i="41"/>
  <c r="AI607" i="41"/>
  <c r="AH607" i="41"/>
  <c r="AK607" i="41"/>
  <c r="AF607" i="41"/>
  <c r="AD548" i="41"/>
  <c r="S549" i="41"/>
  <c r="I548" i="41"/>
  <c r="H548" i="41"/>
  <c r="G548" i="41" s="1"/>
  <c r="V550" i="41"/>
  <c r="O551" i="41" s="1"/>
  <c r="O1297" i="41"/>
  <c r="AB1294" i="41"/>
  <c r="I1295" i="41"/>
  <c r="AD1294" i="41"/>
  <c r="AC548" i="41"/>
  <c r="AE608" i="41" s="1" a="1"/>
  <c r="AE608" i="41" s="1"/>
  <c r="T1294" i="41" l="1"/>
  <c r="S550" i="41"/>
  <c r="I550" i="41" s="1"/>
  <c r="AC549" i="41"/>
  <c r="AE609" i="41" s="1" a="1"/>
  <c r="AE609" i="41" s="1"/>
  <c r="AG609" i="41" s="1"/>
  <c r="M1292" i="41"/>
  <c r="L1292" i="41" s="1"/>
  <c r="S1296" i="41"/>
  <c r="H1296" i="41" s="1"/>
  <c r="G1296" i="41" s="1"/>
  <c r="AE1295" i="41"/>
  <c r="T1295" i="41"/>
  <c r="R1298" i="41"/>
  <c r="V1298" i="41" s="1"/>
  <c r="U551" i="41"/>
  <c r="Q552" i="41"/>
  <c r="R552" i="41"/>
  <c r="AJ1293" i="41"/>
  <c r="AF1293" i="41"/>
  <c r="AI1293" i="41"/>
  <c r="AG1293" i="41"/>
  <c r="AK1293" i="41"/>
  <c r="AH1293" i="41"/>
  <c r="AH608" i="41"/>
  <c r="AG608" i="41"/>
  <c r="AF608" i="41"/>
  <c r="AK608" i="41"/>
  <c r="AJ608" i="41"/>
  <c r="AI608" i="41"/>
  <c r="O1298" i="41"/>
  <c r="W551" i="41"/>
  <c r="X551" i="41"/>
  <c r="P552" i="41"/>
  <c r="M550" i="41"/>
  <c r="L550" i="41" s="1"/>
  <c r="AB551" i="41" a="1"/>
  <c r="AB551" i="41" s="1"/>
  <c r="AJ1294" i="41"/>
  <c r="AK1294" i="41"/>
  <c r="AF1294" i="41"/>
  <c r="AG1294" i="41"/>
  <c r="AH1294" i="41"/>
  <c r="AI1294" i="41"/>
  <c r="AB1295" i="41"/>
  <c r="AH609" i="41"/>
  <c r="I549" i="41"/>
  <c r="H549" i="41"/>
  <c r="G549" i="41" s="1"/>
  <c r="U1297" i="41"/>
  <c r="Q1298" i="41"/>
  <c r="AD1295" i="41"/>
  <c r="W1297" i="41"/>
  <c r="X1297" i="41"/>
  <c r="P1298" i="41"/>
  <c r="AD549" i="41"/>
  <c r="V551" i="41"/>
  <c r="O552" i="41" s="1"/>
  <c r="AF609" i="41" l="1"/>
  <c r="I1296" i="41"/>
  <c r="H550" i="41"/>
  <c r="G550" i="41" s="1"/>
  <c r="AJ609" i="41"/>
  <c r="AK609" i="41"/>
  <c r="AI609" i="41"/>
  <c r="S1297" i="41"/>
  <c r="I1297" i="41" s="1"/>
  <c r="S551" i="41"/>
  <c r="I551" i="41" s="1"/>
  <c r="AC550" i="41"/>
  <c r="AE610" i="41" s="1" a="1"/>
  <c r="AE610" i="41" s="1"/>
  <c r="AF610" i="41" s="1"/>
  <c r="AD550" i="41"/>
  <c r="AB552" i="41" a="1"/>
  <c r="AB552" i="41" s="1"/>
  <c r="M1293" i="41"/>
  <c r="L1293" i="41" s="1"/>
  <c r="M1294" i="41"/>
  <c r="O1299" i="41"/>
  <c r="W552" i="41"/>
  <c r="X552" i="41"/>
  <c r="P553" i="41"/>
  <c r="U552" i="41"/>
  <c r="Q553" i="41"/>
  <c r="AD1296" i="41"/>
  <c r="V552" i="41"/>
  <c r="O553" i="41" s="1"/>
  <c r="R1299" i="41"/>
  <c r="V1299" i="41" s="1"/>
  <c r="R553" i="41"/>
  <c r="U1298" i="41"/>
  <c r="AB1297" i="41" s="1"/>
  <c r="Q1299" i="41"/>
  <c r="W1298" i="41"/>
  <c r="X1298" i="41"/>
  <c r="P1299" i="41"/>
  <c r="AB1296" i="41"/>
  <c r="AC1296" i="41"/>
  <c r="M551" i="41"/>
  <c r="L551" i="41" s="1"/>
  <c r="AJ1295" i="41"/>
  <c r="AK1295" i="41"/>
  <c r="AF1295" i="41"/>
  <c r="AG1295" i="41"/>
  <c r="AH1295" i="41"/>
  <c r="AI1295" i="41"/>
  <c r="H551" i="41" l="1"/>
  <c r="G551" i="41" s="1"/>
  <c r="H1297" i="41"/>
  <c r="G1297" i="41" s="1"/>
  <c r="AI610" i="41"/>
  <c r="AH610" i="41"/>
  <c r="AJ610" i="41"/>
  <c r="AG610" i="41"/>
  <c r="AK610" i="41"/>
  <c r="AD1297" i="41"/>
  <c r="AC1297" i="41"/>
  <c r="AE1297" i="41" s="1"/>
  <c r="L1294" i="41"/>
  <c r="M1295" i="41"/>
  <c r="W553" i="41"/>
  <c r="X553" i="41"/>
  <c r="P554" i="41"/>
  <c r="AE1296" i="41"/>
  <c r="T1296" i="41"/>
  <c r="R554" i="41"/>
  <c r="U553" i="41"/>
  <c r="AC552" i="41" s="1"/>
  <c r="AE612" i="41" s="1" a="1"/>
  <c r="AE612" i="41" s="1"/>
  <c r="Q554" i="41"/>
  <c r="V553" i="41"/>
  <c r="O554" i="41" s="1"/>
  <c r="U1299" i="41"/>
  <c r="Q1300" i="41"/>
  <c r="R1300" i="41"/>
  <c r="AD551" i="41"/>
  <c r="AC551" i="41"/>
  <c r="AE611" i="41" s="1" a="1"/>
  <c r="AE611" i="41" s="1"/>
  <c r="M552" i="41"/>
  <c r="L552" i="41" s="1"/>
  <c r="W1299" i="41"/>
  <c r="X1299" i="41"/>
  <c r="P1300" i="41"/>
  <c r="AB553" i="41" a="1"/>
  <c r="AB553" i="41" s="1"/>
  <c r="O1300" i="41"/>
  <c r="S552" i="41"/>
  <c r="S1298" i="41"/>
  <c r="T1297" i="41" l="1"/>
  <c r="V554" i="41"/>
  <c r="S553" i="41"/>
  <c r="I553" i="41" s="1"/>
  <c r="AB554" i="41" a="1"/>
  <c r="AB554" i="41" s="1"/>
  <c r="AD552" i="41"/>
  <c r="L1295" i="41"/>
  <c r="S1299" i="41"/>
  <c r="H1299" i="41" s="1"/>
  <c r="G1299" i="41" s="1"/>
  <c r="W554" i="41"/>
  <c r="X554" i="41"/>
  <c r="P555" i="41"/>
  <c r="AB1298" i="41"/>
  <c r="I1298" i="41"/>
  <c r="H1298" i="41"/>
  <c r="G1298" i="41" s="1"/>
  <c r="U1300" i="41"/>
  <c r="AD1299" i="41" s="1"/>
  <c r="Q1301" i="41"/>
  <c r="AI1296" i="41"/>
  <c r="AF1296" i="41"/>
  <c r="AG1296" i="41"/>
  <c r="AJ1296" i="41"/>
  <c r="AK1296" i="41"/>
  <c r="AH1296" i="41"/>
  <c r="R1301" i="41"/>
  <c r="V1300" i="41"/>
  <c r="O1301" i="41" s="1"/>
  <c r="R555" i="41"/>
  <c r="AF612" i="41"/>
  <c r="AJ612" i="41"/>
  <c r="AH612" i="41"/>
  <c r="AI612" i="41"/>
  <c r="AK612" i="41"/>
  <c r="AG612" i="41"/>
  <c r="O555" i="41"/>
  <c r="H553" i="41"/>
  <c r="G553" i="41" s="1"/>
  <c r="AF1297" i="41"/>
  <c r="AK1297" i="41"/>
  <c r="AH1297" i="41"/>
  <c r="AI1297" i="41"/>
  <c r="AG1297" i="41"/>
  <c r="AJ1297" i="41"/>
  <c r="I1299" i="41"/>
  <c r="AI611" i="41"/>
  <c r="AJ611" i="41"/>
  <c r="AF611" i="41"/>
  <c r="AG611" i="41"/>
  <c r="AH611" i="41"/>
  <c r="AK611" i="41"/>
  <c r="I552" i="41"/>
  <c r="H552" i="41"/>
  <c r="G552" i="41" s="1"/>
  <c r="AC1298" i="41"/>
  <c r="AD1298" i="41"/>
  <c r="W1300" i="41"/>
  <c r="X1300" i="41"/>
  <c r="P1301" i="41"/>
  <c r="U554" i="41"/>
  <c r="AC553" i="41" s="1"/>
  <c r="AE613" i="41" s="1" a="1"/>
  <c r="AE613" i="41" s="1"/>
  <c r="Q555" i="41"/>
  <c r="M553" i="41"/>
  <c r="L553" i="41" s="1"/>
  <c r="M1297" i="41" l="1"/>
  <c r="AC1299" i="41"/>
  <c r="AE1299" i="41" s="1"/>
  <c r="M1296" i="41"/>
  <c r="L1296" i="41" s="1"/>
  <c r="AI613" i="41"/>
  <c r="AJ613" i="41"/>
  <c r="AG613" i="41"/>
  <c r="AF613" i="41"/>
  <c r="AK613" i="41"/>
  <c r="AH613" i="41"/>
  <c r="AE1298" i="41"/>
  <c r="T1298" i="41"/>
  <c r="R556" i="41"/>
  <c r="U1301" i="41"/>
  <c r="AC1300" i="41" s="1"/>
  <c r="Q1302" i="41"/>
  <c r="M554" i="41"/>
  <c r="L554" i="41" s="1"/>
  <c r="U555" i="41"/>
  <c r="AC554" i="41" s="1"/>
  <c r="AE614" i="41" s="1" a="1"/>
  <c r="AE614" i="41" s="1"/>
  <c r="Q556" i="41"/>
  <c r="AB555" i="41" a="1"/>
  <c r="AB555" i="41" s="1"/>
  <c r="V555" i="41"/>
  <c r="O556" i="41" s="1"/>
  <c r="AD553" i="41"/>
  <c r="W1301" i="41"/>
  <c r="X1301" i="41"/>
  <c r="P1302" i="41"/>
  <c r="R1302" i="41"/>
  <c r="W555" i="41"/>
  <c r="X555" i="41"/>
  <c r="P556" i="41"/>
  <c r="V1301" i="41"/>
  <c r="O1302" i="41" s="1"/>
  <c r="S554" i="41"/>
  <c r="AB1299" i="41"/>
  <c r="S1300" i="41"/>
  <c r="V556" i="41" l="1"/>
  <c r="L1297" i="41"/>
  <c r="T1299" i="41"/>
  <c r="S1301" i="41"/>
  <c r="I1301" i="41" s="1"/>
  <c r="AD554" i="41"/>
  <c r="I554" i="41"/>
  <c r="H554" i="41"/>
  <c r="G554" i="41" s="1"/>
  <c r="AK1299" i="41"/>
  <c r="AG1299" i="41"/>
  <c r="AI1299" i="41"/>
  <c r="AF1299" i="41"/>
  <c r="AH1299" i="41"/>
  <c r="AJ1299" i="41"/>
  <c r="AE1300" i="41"/>
  <c r="T1300" i="41"/>
  <c r="S555" i="41"/>
  <c r="W556" i="41"/>
  <c r="X556" i="41"/>
  <c r="P557" i="41"/>
  <c r="W1302" i="41"/>
  <c r="X1302" i="41"/>
  <c r="P1303" i="41"/>
  <c r="AK1298" i="41"/>
  <c r="AF1298" i="41"/>
  <c r="AG1298" i="41"/>
  <c r="AI1298" i="41"/>
  <c r="AH1298" i="41"/>
  <c r="AJ1298" i="41"/>
  <c r="M555" i="41"/>
  <c r="L555" i="41" s="1"/>
  <c r="O557" i="41"/>
  <c r="R557" i="41"/>
  <c r="V557" i="41" s="1"/>
  <c r="AI614" i="41"/>
  <c r="AG614" i="41"/>
  <c r="AK614" i="41"/>
  <c r="AJ614" i="41"/>
  <c r="AH614" i="41"/>
  <c r="AF614" i="41"/>
  <c r="U1302" i="41"/>
  <c r="Q1303" i="41"/>
  <c r="R1303" i="41"/>
  <c r="V1303" i="41" s="1"/>
  <c r="V1302" i="41"/>
  <c r="O1303" i="41" s="1"/>
  <c r="AB1300" i="41"/>
  <c r="U556" i="41"/>
  <c r="Q557" i="41"/>
  <c r="H1300" i="41"/>
  <c r="G1300" i="41" s="1"/>
  <c r="I1300" i="41"/>
  <c r="AD1300" i="41"/>
  <c r="AB556" i="41" a="1"/>
  <c r="AB556" i="41" s="1"/>
  <c r="H1301" i="41" l="1"/>
  <c r="G1301" i="41" s="1"/>
  <c r="S556" i="41"/>
  <c r="I556" i="41" s="1"/>
  <c r="M1299" i="41"/>
  <c r="M1298" i="41"/>
  <c r="L1298" i="41" s="1"/>
  <c r="W1303" i="41"/>
  <c r="X1303" i="41"/>
  <c r="P1304" i="41"/>
  <c r="AJ1300" i="41"/>
  <c r="AI1300" i="41"/>
  <c r="AH1300" i="41"/>
  <c r="AG1300" i="41"/>
  <c r="AK1300" i="41"/>
  <c r="AF1300" i="41"/>
  <c r="AB1301" i="41"/>
  <c r="H556" i="41"/>
  <c r="G556" i="41" s="1"/>
  <c r="AC1301" i="41"/>
  <c r="AD555" i="41"/>
  <c r="AD1301" i="41"/>
  <c r="O558" i="41"/>
  <c r="M556" i="41"/>
  <c r="L556" i="41" s="1"/>
  <c r="AC555" i="41"/>
  <c r="AE615" i="41" s="1" a="1"/>
  <c r="AE615" i="41" s="1"/>
  <c r="U557" i="41"/>
  <c r="Q558" i="41"/>
  <c r="R1304" i="41"/>
  <c r="I555" i="41"/>
  <c r="H555" i="41"/>
  <c r="G555" i="41" s="1"/>
  <c r="R558" i="41"/>
  <c r="AB557" i="41" a="1"/>
  <c r="AB557" i="41" s="1"/>
  <c r="U1303" i="41"/>
  <c r="AC1302" i="41" s="1"/>
  <c r="Q1304" i="41"/>
  <c r="O1304" i="41"/>
  <c r="W557" i="41"/>
  <c r="X557" i="41"/>
  <c r="P558" i="41"/>
  <c r="S1302" i="41"/>
  <c r="S557" i="41" l="1"/>
  <c r="I557" i="41" s="1"/>
  <c r="AB1302" i="41"/>
  <c r="L1299" i="41"/>
  <c r="AD1302" i="41"/>
  <c r="M1300" i="41"/>
  <c r="R559" i="41"/>
  <c r="V559" i="41" s="1"/>
  <c r="I1302" i="41"/>
  <c r="H1302" i="41"/>
  <c r="G1302" i="41" s="1"/>
  <c r="AB558" i="41" a="1"/>
  <c r="AB558" i="41" s="1"/>
  <c r="U558" i="41"/>
  <c r="AD557" i="41" s="1"/>
  <c r="Q559" i="41"/>
  <c r="M557" i="41"/>
  <c r="L557" i="41" s="1"/>
  <c r="U1304" i="41"/>
  <c r="Q1305" i="41"/>
  <c r="AE1301" i="41"/>
  <c r="T1301" i="41"/>
  <c r="S1303" i="41"/>
  <c r="R1305" i="41"/>
  <c r="V1305" i="41" s="1"/>
  <c r="W558" i="41"/>
  <c r="X558" i="41"/>
  <c r="P559" i="41"/>
  <c r="W1304" i="41"/>
  <c r="X1304" i="41"/>
  <c r="P1305" i="41"/>
  <c r="AE1302" i="41"/>
  <c r="T1302" i="41"/>
  <c r="AD556" i="41"/>
  <c r="V558" i="41"/>
  <c r="O559" i="41" s="1"/>
  <c r="AC556" i="41"/>
  <c r="AE616" i="41" s="1" a="1"/>
  <c r="AE616" i="41" s="1"/>
  <c r="V1304" i="41"/>
  <c r="O1305" i="41" s="1"/>
  <c r="AH615" i="41"/>
  <c r="AG615" i="41"/>
  <c r="AI615" i="41"/>
  <c r="AF615" i="41"/>
  <c r="AJ615" i="41"/>
  <c r="AK615" i="41"/>
  <c r="H557" i="41" l="1"/>
  <c r="G557" i="41" s="1"/>
  <c r="L1300" i="41"/>
  <c r="S558" i="41"/>
  <c r="I558" i="41" s="1"/>
  <c r="AC557" i="41"/>
  <c r="AE617" i="41" s="1" a="1"/>
  <c r="AE617" i="41" s="1"/>
  <c r="AJ617" i="41" s="1"/>
  <c r="W1305" i="41"/>
  <c r="X1305" i="41"/>
  <c r="P1306" i="41"/>
  <c r="O560" i="41"/>
  <c r="AH1302" i="41"/>
  <c r="AJ1302" i="41"/>
  <c r="AI1302" i="41"/>
  <c r="AK1302" i="41"/>
  <c r="AG1302" i="41"/>
  <c r="AF1302" i="41"/>
  <c r="R1306" i="41"/>
  <c r="W559" i="41"/>
  <c r="P560" i="41"/>
  <c r="X559" i="41"/>
  <c r="U1305" i="41"/>
  <c r="AD1304" i="41" s="1"/>
  <c r="Q1306" i="41"/>
  <c r="AC1303" i="41"/>
  <c r="AI616" i="41"/>
  <c r="AG616" i="41"/>
  <c r="AJ616" i="41"/>
  <c r="AH616" i="41"/>
  <c r="AK616" i="41"/>
  <c r="AF616" i="41"/>
  <c r="R560" i="41"/>
  <c r="I1303" i="41"/>
  <c r="H1303" i="41"/>
  <c r="G1303" i="41" s="1"/>
  <c r="S1304" i="41"/>
  <c r="U559" i="41"/>
  <c r="S559" i="41" s="1"/>
  <c r="Q560" i="41"/>
  <c r="AD1303" i="41"/>
  <c r="H558" i="41"/>
  <c r="G558" i="41" s="1"/>
  <c r="M558" i="41"/>
  <c r="L558" i="41" s="1"/>
  <c r="AF1301" i="41"/>
  <c r="AI1301" i="41"/>
  <c r="AK1301" i="41"/>
  <c r="AH1301" i="41"/>
  <c r="AG1301" i="41"/>
  <c r="AJ1301" i="41"/>
  <c r="AB1303" i="41"/>
  <c r="O1306" i="41"/>
  <c r="AB559" i="41" a="1"/>
  <c r="AB559" i="41" s="1"/>
  <c r="AK617" i="41" l="1"/>
  <c r="AH617" i="41"/>
  <c r="AI617" i="41"/>
  <c r="AF617" i="41"/>
  <c r="AG617" i="41"/>
  <c r="AC1304" i="41"/>
  <c r="AE1304" i="41" s="1"/>
  <c r="AB1304" i="41"/>
  <c r="AB560" i="41" a="1"/>
  <c r="AB560" i="41" s="1"/>
  <c r="M1302" i="41"/>
  <c r="I559" i="41"/>
  <c r="H559" i="41"/>
  <c r="G559" i="41" s="1"/>
  <c r="R561" i="41"/>
  <c r="U1306" i="41"/>
  <c r="AD1305" i="41" s="1"/>
  <c r="Q1307" i="41"/>
  <c r="W560" i="41"/>
  <c r="X560" i="41"/>
  <c r="P561" i="41"/>
  <c r="U560" i="41"/>
  <c r="AC559" i="41" s="1"/>
  <c r="AE619" i="41" s="1" a="1"/>
  <c r="AE619" i="41" s="1"/>
  <c r="Q561" i="41"/>
  <c r="M559" i="41"/>
  <c r="L559" i="41" s="1"/>
  <c r="V560" i="41"/>
  <c r="O561" i="41" s="1"/>
  <c r="R1307" i="41"/>
  <c r="V1307" i="41" s="1"/>
  <c r="M1301" i="41"/>
  <c r="L1301" i="41" s="1"/>
  <c r="AE1303" i="41"/>
  <c r="T1303" i="41"/>
  <c r="AC558" i="41"/>
  <c r="AE618" i="41" s="1" a="1"/>
  <c r="AE618" i="41" s="1"/>
  <c r="AD558" i="41"/>
  <c r="H1304" i="41"/>
  <c r="G1304" i="41" s="1"/>
  <c r="I1304" i="41"/>
  <c r="W1306" i="41"/>
  <c r="X1306" i="41"/>
  <c r="P1307" i="41"/>
  <c r="S1305" i="41"/>
  <c r="V1306" i="41"/>
  <c r="O1307" i="41" s="1"/>
  <c r="S560" i="41" l="1"/>
  <c r="I560" i="41" s="1"/>
  <c r="T1304" i="41"/>
  <c r="AD559" i="41"/>
  <c r="L1302" i="41"/>
  <c r="AC1305" i="41"/>
  <c r="T1305" i="41" s="1"/>
  <c r="AB561" i="41" a="1"/>
  <c r="AB561" i="41" s="1"/>
  <c r="M560" i="41"/>
  <c r="L560" i="41" s="1"/>
  <c r="W1307" i="41"/>
  <c r="X1307" i="41"/>
  <c r="P1308" i="41"/>
  <c r="O1308" i="41"/>
  <c r="S1306" i="41"/>
  <c r="W561" i="41"/>
  <c r="X561" i="41"/>
  <c r="P562" i="41"/>
  <c r="U561" i="41"/>
  <c r="AD560" i="41" s="1"/>
  <c r="Q562" i="41"/>
  <c r="AH619" i="41"/>
  <c r="AK619" i="41"/>
  <c r="AJ619" i="41"/>
  <c r="AI619" i="41"/>
  <c r="AG619" i="41"/>
  <c r="AF619" i="41"/>
  <c r="AB1305" i="41"/>
  <c r="AK618" i="41"/>
  <c r="AJ618" i="41"/>
  <c r="AF618" i="41"/>
  <c r="AI618" i="41"/>
  <c r="AH618" i="41"/>
  <c r="AG618" i="41"/>
  <c r="V561" i="41"/>
  <c r="O562" i="41" s="1"/>
  <c r="AH1304" i="41"/>
  <c r="AJ1304" i="41"/>
  <c r="AF1304" i="41"/>
  <c r="AK1304" i="41"/>
  <c r="AG1304" i="41"/>
  <c r="AI1304" i="41"/>
  <c r="H1305" i="41"/>
  <c r="G1305" i="41" s="1"/>
  <c r="I1305" i="41"/>
  <c r="R1308" i="41"/>
  <c r="AJ1303" i="41"/>
  <c r="AG1303" i="41"/>
  <c r="AH1303" i="41"/>
  <c r="AI1303" i="41"/>
  <c r="AK1303" i="41"/>
  <c r="AF1303" i="41"/>
  <c r="U1307" i="41"/>
  <c r="Q1308" i="41"/>
  <c r="R562" i="41"/>
  <c r="H560" i="41" l="1"/>
  <c r="G560" i="41" s="1"/>
  <c r="V562" i="41"/>
  <c r="AE1305" i="41"/>
  <c r="AI1305" i="41" s="1"/>
  <c r="M1303" i="41"/>
  <c r="L1303" i="41" s="1"/>
  <c r="M1304" i="41"/>
  <c r="S561" i="41"/>
  <c r="I561" i="41" s="1"/>
  <c r="AC560" i="41"/>
  <c r="AE620" i="41" s="1" a="1"/>
  <c r="AE620" i="41" s="1"/>
  <c r="AG620" i="41" s="1"/>
  <c r="H561" i="41"/>
  <c r="G561" i="41" s="1"/>
  <c r="S1307" i="41"/>
  <c r="I1307" i="41" s="1"/>
  <c r="M561" i="41"/>
  <c r="L561" i="41" s="1"/>
  <c r="W1308" i="41"/>
  <c r="X1308" i="41"/>
  <c r="P1309" i="41"/>
  <c r="R1309" i="41"/>
  <c r="W562" i="41"/>
  <c r="X562" i="41"/>
  <c r="P563" i="41"/>
  <c r="O563" i="41"/>
  <c r="U1308" i="41"/>
  <c r="Q1309" i="41"/>
  <c r="AB1306" i="41"/>
  <c r="V1308" i="41"/>
  <c r="O1309" i="41" s="1"/>
  <c r="I1306" i="41"/>
  <c r="H1306" i="41"/>
  <c r="G1306" i="41" s="1"/>
  <c r="U562" i="41"/>
  <c r="Q563" i="41"/>
  <c r="AD1306" i="41"/>
  <c r="AB562" i="41" a="1"/>
  <c r="AB562" i="41" s="1"/>
  <c r="AC1306" i="41"/>
  <c r="R563" i="41"/>
  <c r="V563" i="41" s="1"/>
  <c r="S562" i="41" l="1"/>
  <c r="I562" i="41" s="1"/>
  <c r="V1309" i="41"/>
  <c r="H1307" i="41"/>
  <c r="G1307" i="41" s="1"/>
  <c r="AG1305" i="41"/>
  <c r="AJ1305" i="41"/>
  <c r="AH1305" i="41"/>
  <c r="AK1305" i="41"/>
  <c r="AF1305" i="41"/>
  <c r="L1304" i="41"/>
  <c r="AI620" i="41"/>
  <c r="AF620" i="41"/>
  <c r="AK620" i="41"/>
  <c r="AH620" i="41"/>
  <c r="AJ620" i="41"/>
  <c r="AD561" i="41"/>
  <c r="AC561" i="41"/>
  <c r="AE621" i="41" s="1" a="1"/>
  <c r="AE621" i="41" s="1"/>
  <c r="AG621" i="41" s="1"/>
  <c r="AB563" i="41" a="1"/>
  <c r="AB563" i="41" s="1"/>
  <c r="H562" i="41"/>
  <c r="G562" i="41" s="1"/>
  <c r="AB1307" i="41"/>
  <c r="R1310" i="41"/>
  <c r="O1310" i="41"/>
  <c r="U1309" i="41"/>
  <c r="Q1310" i="41"/>
  <c r="O564" i="41"/>
  <c r="W1309" i="41"/>
  <c r="X1309" i="41"/>
  <c r="P1310" i="41"/>
  <c r="U563" i="41"/>
  <c r="AD562" i="41" s="1"/>
  <c r="Q564" i="41"/>
  <c r="S1308" i="41"/>
  <c r="W563" i="41"/>
  <c r="X563" i="41"/>
  <c r="P564" i="41"/>
  <c r="AE1306" i="41"/>
  <c r="T1306" i="41"/>
  <c r="AC1307" i="41"/>
  <c r="AD1307" i="41"/>
  <c r="R564" i="41"/>
  <c r="M562" i="41"/>
  <c r="L562" i="41" s="1"/>
  <c r="V1310" i="41" l="1"/>
  <c r="M1305" i="41"/>
  <c r="L1305" i="41" s="1"/>
  <c r="AJ621" i="41"/>
  <c r="AK621" i="41"/>
  <c r="AI621" i="41"/>
  <c r="AH621" i="41"/>
  <c r="S563" i="41"/>
  <c r="AF621" i="41"/>
  <c r="O1311" i="41"/>
  <c r="AK1306" i="41"/>
  <c r="AI1306" i="41"/>
  <c r="AF1306" i="41"/>
  <c r="AG1306" i="41"/>
  <c r="AH1306" i="41"/>
  <c r="AJ1306" i="41"/>
  <c r="W1310" i="41"/>
  <c r="X1310" i="41"/>
  <c r="P1311" i="41"/>
  <c r="H1308" i="41"/>
  <c r="G1308" i="41" s="1"/>
  <c r="I1308" i="41"/>
  <c r="AB1308" i="41"/>
  <c r="U564" i="41"/>
  <c r="AC563" i="41" s="1"/>
  <c r="AE623" i="41" s="1" a="1"/>
  <c r="AE623" i="41" s="1"/>
  <c r="Q565" i="41"/>
  <c r="V564" i="41"/>
  <c r="O565" i="41" s="1"/>
  <c r="AC1308" i="41"/>
  <c r="W564" i="41"/>
  <c r="X564" i="41"/>
  <c r="P565" i="41"/>
  <c r="AD1308" i="41"/>
  <c r="R565" i="41"/>
  <c r="V565" i="41" s="1"/>
  <c r="S1309" i="41"/>
  <c r="AB564" i="41" a="1"/>
  <c r="AB564" i="41" s="1"/>
  <c r="M563" i="41"/>
  <c r="L563" i="41" s="1"/>
  <c r="U1310" i="41"/>
  <c r="AB1309" i="41" s="1"/>
  <c r="Q1311" i="41"/>
  <c r="AE1307" i="41"/>
  <c r="T1307" i="41"/>
  <c r="R1311" i="41"/>
  <c r="V1311" i="41" s="1"/>
  <c r="AC562" i="41"/>
  <c r="AE622" i="41" s="1" a="1"/>
  <c r="AE622" i="41" s="1"/>
  <c r="AC1309" i="41" l="1"/>
  <c r="AE1309" i="41" s="1"/>
  <c r="AD1309" i="41"/>
  <c r="M1306" i="41"/>
  <c r="L1306" i="41" s="1"/>
  <c r="I563" i="41"/>
  <c r="H563" i="41"/>
  <c r="G563" i="41" s="1"/>
  <c r="AI623" i="41"/>
  <c r="AJ623" i="41"/>
  <c r="AH623" i="41"/>
  <c r="AK623" i="41"/>
  <c r="AF623" i="41"/>
  <c r="AG623" i="41"/>
  <c r="AD563" i="41"/>
  <c r="W565" i="41"/>
  <c r="X565" i="41"/>
  <c r="P566" i="41"/>
  <c r="S564" i="41"/>
  <c r="O566" i="41"/>
  <c r="R1312" i="41"/>
  <c r="M564" i="41"/>
  <c r="L564" i="41" s="1"/>
  <c r="W1311" i="41"/>
  <c r="X1311" i="41"/>
  <c r="P1312" i="41"/>
  <c r="U565" i="41"/>
  <c r="AC564" i="41" s="1"/>
  <c r="AE624" i="41" s="1" a="1"/>
  <c r="AE624" i="41" s="1"/>
  <c r="Q566" i="41"/>
  <c r="AB565" i="41" a="1"/>
  <c r="AB565" i="41" s="1"/>
  <c r="AH1307" i="41"/>
  <c r="AF1307" i="41"/>
  <c r="AI1307" i="41"/>
  <c r="AG1307" i="41"/>
  <c r="AJ1307" i="41"/>
  <c r="AK1307" i="41"/>
  <c r="O1312" i="41"/>
  <c r="R566" i="41"/>
  <c r="V566" i="41" s="1"/>
  <c r="AG622" i="41"/>
  <c r="AF622" i="41"/>
  <c r="AI622" i="41"/>
  <c r="AK622" i="41"/>
  <c r="AH622" i="41"/>
  <c r="AJ622" i="41"/>
  <c r="I1309" i="41"/>
  <c r="H1309" i="41"/>
  <c r="G1309" i="41" s="1"/>
  <c r="AE1308" i="41"/>
  <c r="T1308" i="41"/>
  <c r="U1311" i="41"/>
  <c r="Q1312" i="41"/>
  <c r="S1310" i="41"/>
  <c r="T1309" i="41" l="1"/>
  <c r="S565" i="41"/>
  <c r="I565" i="41" s="1"/>
  <c r="I1310" i="41"/>
  <c r="H1310" i="41"/>
  <c r="G1310" i="41" s="1"/>
  <c r="AI1309" i="41"/>
  <c r="AJ1309" i="41"/>
  <c r="AH1309" i="41"/>
  <c r="AK1309" i="41"/>
  <c r="AF1309" i="41"/>
  <c r="AG1309" i="41"/>
  <c r="AG624" i="41"/>
  <c r="AH624" i="41"/>
  <c r="AJ624" i="41"/>
  <c r="AF624" i="41"/>
  <c r="AI624" i="41"/>
  <c r="AK624" i="41"/>
  <c r="AB1310" i="41"/>
  <c r="AD564" i="41"/>
  <c r="X566" i="41"/>
  <c r="W566" i="41"/>
  <c r="P567" i="41"/>
  <c r="O567" i="41"/>
  <c r="S1311" i="41"/>
  <c r="W1312" i="41"/>
  <c r="X1312" i="41"/>
  <c r="P1313" i="41"/>
  <c r="AK1308" i="41"/>
  <c r="AI1308" i="41"/>
  <c r="AH1308" i="41"/>
  <c r="AF1308" i="41"/>
  <c r="AJ1308" i="41"/>
  <c r="AG1308" i="41"/>
  <c r="AD1310" i="41"/>
  <c r="I564" i="41"/>
  <c r="H564" i="41"/>
  <c r="G564" i="41" s="1"/>
  <c r="U1312" i="41"/>
  <c r="Q1313" i="41"/>
  <c r="R567" i="41"/>
  <c r="U566" i="41"/>
  <c r="AD565" i="41" s="1"/>
  <c r="Q567" i="41"/>
  <c r="AB566" i="41" a="1"/>
  <c r="AB566" i="41" s="1"/>
  <c r="R1313" i="41"/>
  <c r="V1312" i="41"/>
  <c r="O1313" i="41" s="1"/>
  <c r="AC1310" i="41"/>
  <c r="M565" i="41"/>
  <c r="L565" i="41" s="1"/>
  <c r="M1307" i="41"/>
  <c r="L1307" i="41" s="1"/>
  <c r="V1313" i="41" l="1"/>
  <c r="O1314" i="41" s="1"/>
  <c r="H565" i="41"/>
  <c r="G565" i="41" s="1"/>
  <c r="AB567" i="41" a="1"/>
  <c r="AB567" i="41" s="1"/>
  <c r="AC565" i="41"/>
  <c r="AE625" i="41" s="1" a="1"/>
  <c r="AE625" i="41" s="1"/>
  <c r="AH625" i="41" s="1"/>
  <c r="S1312" i="41"/>
  <c r="I1312" i="41" s="1"/>
  <c r="M1309" i="41"/>
  <c r="W1313" i="41"/>
  <c r="X1313" i="41"/>
  <c r="P1314" i="41"/>
  <c r="M566" i="41"/>
  <c r="L566" i="41" s="1"/>
  <c r="AB1311" i="41"/>
  <c r="AE1310" i="41"/>
  <c r="T1310" i="41"/>
  <c r="AD1311" i="41"/>
  <c r="AC1311" i="41"/>
  <c r="R1314" i="41"/>
  <c r="V1314" i="41" s="1"/>
  <c r="W567" i="41"/>
  <c r="X567" i="41"/>
  <c r="P568" i="41"/>
  <c r="U567" i="41"/>
  <c r="AD566" i="41" s="1"/>
  <c r="Q568" i="41"/>
  <c r="U1313" i="41"/>
  <c r="AD1312" i="41" s="1"/>
  <c r="Q1314" i="41"/>
  <c r="I1311" i="41"/>
  <c r="H1311" i="41"/>
  <c r="G1311" i="41" s="1"/>
  <c r="V567" i="41"/>
  <c r="O568" i="41" s="1"/>
  <c r="S566" i="41"/>
  <c r="M1308" i="41"/>
  <c r="L1308" i="41" s="1"/>
  <c r="R568" i="41"/>
  <c r="H1312" i="41" l="1"/>
  <c r="G1312" i="41" s="1"/>
  <c r="V568" i="41"/>
  <c r="AJ625" i="41"/>
  <c r="AF625" i="41"/>
  <c r="AG625" i="41"/>
  <c r="AI625" i="41"/>
  <c r="AK625" i="41"/>
  <c r="AC1312" i="41"/>
  <c r="AE1312" i="41" s="1"/>
  <c r="AB568" i="41" a="1"/>
  <c r="AB568" i="41" s="1"/>
  <c r="AB1312" i="41"/>
  <c r="L1309" i="41"/>
  <c r="AC566" i="41"/>
  <c r="AE626" i="41" s="1" a="1"/>
  <c r="AE626" i="41" s="1"/>
  <c r="AG626" i="41" s="1"/>
  <c r="O569" i="41"/>
  <c r="U568" i="41"/>
  <c r="Q569" i="41"/>
  <c r="R1315" i="41"/>
  <c r="V1315" i="41" s="1"/>
  <c r="W568" i="41"/>
  <c r="X568" i="41"/>
  <c r="P569" i="41"/>
  <c r="O1315" i="41"/>
  <c r="AK1310" i="41"/>
  <c r="AG1310" i="41"/>
  <c r="AF1310" i="41"/>
  <c r="AH1310" i="41"/>
  <c r="AI1310" i="41"/>
  <c r="AJ1310" i="41"/>
  <c r="AE1311" i="41"/>
  <c r="T1311" i="41"/>
  <c r="U1314" i="41"/>
  <c r="AC1313" i="41" s="1"/>
  <c r="Q1315" i="41"/>
  <c r="I566" i="41"/>
  <c r="H566" i="41"/>
  <c r="G566" i="41" s="1"/>
  <c r="R569" i="41"/>
  <c r="S567" i="41"/>
  <c r="M567" i="41"/>
  <c r="L567" i="41" s="1"/>
  <c r="W1314" i="41"/>
  <c r="X1314" i="41"/>
  <c r="P1315" i="41"/>
  <c r="S1313" i="41"/>
  <c r="T1312" i="41" l="1"/>
  <c r="AD1313" i="41"/>
  <c r="AJ626" i="41"/>
  <c r="AK626" i="41"/>
  <c r="AF626" i="41"/>
  <c r="AH626" i="41"/>
  <c r="AI626" i="41"/>
  <c r="S568" i="41"/>
  <c r="I568" i="41" s="1"/>
  <c r="R570" i="41"/>
  <c r="U569" i="41"/>
  <c r="Q570" i="41"/>
  <c r="AC567" i="41"/>
  <c r="AE627" i="41" s="1" a="1"/>
  <c r="AE627" i="41" s="1"/>
  <c r="AE1313" i="41"/>
  <c r="T1313" i="41"/>
  <c r="AI1311" i="41"/>
  <c r="AF1311" i="41"/>
  <c r="AK1311" i="41"/>
  <c r="AJ1311" i="41"/>
  <c r="AH1311" i="41"/>
  <c r="AG1311" i="41"/>
  <c r="M568" i="41"/>
  <c r="L568" i="41" s="1"/>
  <c r="M1310" i="41"/>
  <c r="L1310" i="41" s="1"/>
  <c r="I1313" i="41"/>
  <c r="H1313" i="41"/>
  <c r="G1313" i="41" s="1"/>
  <c r="AD567" i="41"/>
  <c r="U1315" i="41"/>
  <c r="AC1314" i="41" s="1"/>
  <c r="Q1316" i="41"/>
  <c r="AB569" i="41" a="1"/>
  <c r="AB569" i="41" s="1"/>
  <c r="W1315" i="41"/>
  <c r="X1315" i="41"/>
  <c r="P1316" i="41"/>
  <c r="AK1312" i="41"/>
  <c r="AG1312" i="41"/>
  <c r="AF1312" i="41"/>
  <c r="AI1312" i="41"/>
  <c r="AH1312" i="41"/>
  <c r="AJ1312" i="41"/>
  <c r="I567" i="41"/>
  <c r="H567" i="41"/>
  <c r="G567" i="41" s="1"/>
  <c r="V569" i="41"/>
  <c r="O570" i="41" s="1"/>
  <c r="R1316" i="41"/>
  <c r="V1316" i="41" s="1"/>
  <c r="O1316" i="41"/>
  <c r="AB1313" i="41"/>
  <c r="S1314" i="41"/>
  <c r="W569" i="41"/>
  <c r="X569" i="41"/>
  <c r="P570" i="41"/>
  <c r="H568" i="41" l="1"/>
  <c r="G568" i="41" s="1"/>
  <c r="S569" i="41"/>
  <c r="AD568" i="41"/>
  <c r="AB570" i="41" a="1"/>
  <c r="AB570" i="41" s="1"/>
  <c r="AC568" i="41"/>
  <c r="AE628" i="41" s="1" a="1"/>
  <c r="AE628" i="41" s="1"/>
  <c r="AK628" i="41" s="1"/>
  <c r="I569" i="41"/>
  <c r="H569" i="41"/>
  <c r="G569" i="41" s="1"/>
  <c r="M1312" i="41"/>
  <c r="M1311" i="41"/>
  <c r="L1311" i="41" s="1"/>
  <c r="W570" i="41"/>
  <c r="X570" i="41"/>
  <c r="P571" i="41"/>
  <c r="AE1314" i="41"/>
  <c r="T1314" i="41"/>
  <c r="AK1313" i="41"/>
  <c r="AF1313" i="41"/>
  <c r="AI1313" i="41"/>
  <c r="AJ1313" i="41"/>
  <c r="AH1313" i="41"/>
  <c r="AG1313" i="41"/>
  <c r="U570" i="41"/>
  <c r="AC569" i="41" s="1"/>
  <c r="AE629" i="41" s="1" a="1"/>
  <c r="AE629" i="41" s="1"/>
  <c r="Q571" i="41"/>
  <c r="U1316" i="41"/>
  <c r="AD1315" i="41" s="1"/>
  <c r="Q1317" i="41"/>
  <c r="W1316" i="41"/>
  <c r="X1316" i="41"/>
  <c r="P1317" i="41"/>
  <c r="S1315" i="41"/>
  <c r="AK627" i="41"/>
  <c r="AH627" i="41"/>
  <c r="AF627" i="41"/>
  <c r="AJ627" i="41"/>
  <c r="AG627" i="41"/>
  <c r="AI627" i="41"/>
  <c r="M569" i="41"/>
  <c r="L569" i="41" s="1"/>
  <c r="H1314" i="41"/>
  <c r="G1314" i="41" s="1"/>
  <c r="I1314" i="41"/>
  <c r="AB1314" i="41"/>
  <c r="R1317" i="41"/>
  <c r="V1317" i="41" s="1"/>
  <c r="V570" i="41"/>
  <c r="O571" i="41" s="1"/>
  <c r="R571" i="41"/>
  <c r="AD1314" i="41"/>
  <c r="O1317" i="41"/>
  <c r="AB1315" i="41" l="1"/>
  <c r="AB571" i="41" a="1"/>
  <c r="AB571" i="41" s="1"/>
  <c r="AF628" i="41"/>
  <c r="AC1315" i="41"/>
  <c r="AE1315" i="41" s="1"/>
  <c r="S1316" i="41"/>
  <c r="I1316" i="41" s="1"/>
  <c r="AJ628" i="41"/>
  <c r="AH628" i="41"/>
  <c r="AG628" i="41"/>
  <c r="AI628" i="41"/>
  <c r="S570" i="41"/>
  <c r="I570" i="41" s="1"/>
  <c r="AD569" i="41"/>
  <c r="M1313" i="41"/>
  <c r="L1312" i="41"/>
  <c r="AG629" i="41"/>
  <c r="AH629" i="41"/>
  <c r="AJ629" i="41"/>
  <c r="AF629" i="41"/>
  <c r="AI629" i="41"/>
  <c r="AK629" i="41"/>
  <c r="H1315" i="41"/>
  <c r="G1315" i="41" s="1"/>
  <c r="I1315" i="41"/>
  <c r="W1317" i="41"/>
  <c r="X1317" i="41"/>
  <c r="P1318" i="41"/>
  <c r="R1318" i="41"/>
  <c r="V1318" i="41" s="1"/>
  <c r="W571" i="41"/>
  <c r="X571" i="41"/>
  <c r="P572" i="41"/>
  <c r="O1318" i="41"/>
  <c r="U571" i="41"/>
  <c r="AD570" i="41" s="1"/>
  <c r="Q572" i="41"/>
  <c r="AF1314" i="41"/>
  <c r="AG1314" i="41"/>
  <c r="AJ1314" i="41"/>
  <c r="AI1314" i="41"/>
  <c r="AH1314" i="41"/>
  <c r="AK1314" i="41"/>
  <c r="R572" i="41"/>
  <c r="V571" i="41"/>
  <c r="O572" i="41" s="1"/>
  <c r="U1317" i="41"/>
  <c r="AD1316" i="41" s="1"/>
  <c r="Q1318" i="41"/>
  <c r="M570" i="41"/>
  <c r="L570" i="41" s="1"/>
  <c r="T1315" i="41" l="1"/>
  <c r="H570" i="41"/>
  <c r="G570" i="41" s="1"/>
  <c r="H1316" i="41"/>
  <c r="G1316" i="41" s="1"/>
  <c r="L1313" i="41"/>
  <c r="AC1316" i="41"/>
  <c r="AE1316" i="41" s="1"/>
  <c r="M571" i="41"/>
  <c r="L571" i="41" s="1"/>
  <c r="M1314" i="41"/>
  <c r="S571" i="41"/>
  <c r="I571" i="41" s="1"/>
  <c r="AC570" i="41"/>
  <c r="AE630" i="41" s="1" a="1"/>
  <c r="AE630" i="41" s="1"/>
  <c r="AI630" i="41" s="1"/>
  <c r="AB1316" i="41"/>
  <c r="R573" i="41"/>
  <c r="W572" i="41"/>
  <c r="X572" i="41"/>
  <c r="P573" i="41"/>
  <c r="U572" i="41"/>
  <c r="AD571" i="41" s="1"/>
  <c r="Q573" i="41"/>
  <c r="AH1315" i="41"/>
  <c r="AK1315" i="41"/>
  <c r="AI1315" i="41"/>
  <c r="AF1315" i="41"/>
  <c r="AJ1315" i="41"/>
  <c r="AG1315" i="41"/>
  <c r="T1316" i="41"/>
  <c r="AB572" i="41" a="1"/>
  <c r="AB572" i="41" s="1"/>
  <c r="U1318" i="41"/>
  <c r="AC1317" i="41" s="1"/>
  <c r="Q1319" i="41"/>
  <c r="V572" i="41"/>
  <c r="O573" i="41" s="1"/>
  <c r="O1319" i="41"/>
  <c r="R1319" i="41"/>
  <c r="V1319" i="41" s="1"/>
  <c r="W1318" i="41"/>
  <c r="X1318" i="41"/>
  <c r="P1319" i="41"/>
  <c r="S1317" i="41"/>
  <c r="L1314" i="41" l="1"/>
  <c r="H571" i="41"/>
  <c r="G571" i="41" s="1"/>
  <c r="AJ630" i="41"/>
  <c r="M1315" i="41"/>
  <c r="AG630" i="41"/>
  <c r="S1318" i="41"/>
  <c r="H1318" i="41" s="1"/>
  <c r="G1318" i="41" s="1"/>
  <c r="AH630" i="41"/>
  <c r="AC571" i="41"/>
  <c r="AE631" i="41" s="1" a="1"/>
  <c r="AE631" i="41" s="1"/>
  <c r="AH631" i="41" s="1"/>
  <c r="S572" i="41"/>
  <c r="AK630" i="41"/>
  <c r="AF630" i="41"/>
  <c r="W573" i="41"/>
  <c r="X573" i="41"/>
  <c r="P574" i="41"/>
  <c r="AE1317" i="41"/>
  <c r="T1317" i="41"/>
  <c r="R574" i="41"/>
  <c r="W1319" i="41"/>
  <c r="X1319" i="41"/>
  <c r="P1320" i="41"/>
  <c r="M572" i="41"/>
  <c r="L572" i="41" s="1"/>
  <c r="R1320" i="41"/>
  <c r="O1320" i="41"/>
  <c r="U573" i="41"/>
  <c r="S573" i="41" s="1"/>
  <c r="Q574" i="41"/>
  <c r="AB573" i="41" a="1"/>
  <c r="AB573" i="41" s="1"/>
  <c r="I1317" i="41"/>
  <c r="H1317" i="41"/>
  <c r="G1317" i="41" s="1"/>
  <c r="AB1317" i="41"/>
  <c r="V573" i="41"/>
  <c r="O574" i="41" s="1"/>
  <c r="U1319" i="41"/>
  <c r="Q1320" i="41"/>
  <c r="AD1317" i="41"/>
  <c r="AF1316" i="41"/>
  <c r="AG1316" i="41"/>
  <c r="AH1316" i="41"/>
  <c r="AK1316" i="41"/>
  <c r="AI1316" i="41"/>
  <c r="AJ1316" i="41"/>
  <c r="L1315" i="41" l="1"/>
  <c r="I1318" i="41"/>
  <c r="AI631" i="41"/>
  <c r="AF631" i="41"/>
  <c r="AB574" i="41" a="1"/>
  <c r="AB574" i="41" s="1"/>
  <c r="AG631" i="41"/>
  <c r="AK631" i="41"/>
  <c r="AD572" i="41"/>
  <c r="AJ631" i="41"/>
  <c r="I572" i="41"/>
  <c r="H572" i="41"/>
  <c r="G572" i="41" s="1"/>
  <c r="AC572" i="41"/>
  <c r="AE632" i="41" s="1" a="1"/>
  <c r="AE632" i="41" s="1"/>
  <c r="AK632" i="41" s="1"/>
  <c r="M1316" i="41"/>
  <c r="W574" i="41"/>
  <c r="X574" i="41"/>
  <c r="P575" i="41"/>
  <c r="I573" i="41"/>
  <c r="H573" i="41"/>
  <c r="G573" i="41" s="1"/>
  <c r="W1320" i="41"/>
  <c r="X1320" i="41"/>
  <c r="P1321" i="41"/>
  <c r="S1319" i="41"/>
  <c r="U574" i="41"/>
  <c r="S574" i="41" s="1"/>
  <c r="I574" i="41" s="1"/>
  <c r="Q575" i="41"/>
  <c r="U1320" i="41"/>
  <c r="Q1321" i="41"/>
  <c r="AI1317" i="41"/>
  <c r="AK1317" i="41"/>
  <c r="AG1317" i="41"/>
  <c r="AH1317" i="41"/>
  <c r="AF1317" i="41"/>
  <c r="AJ1317" i="41"/>
  <c r="AB1318" i="41"/>
  <c r="R1321" i="41"/>
  <c r="R575" i="41"/>
  <c r="V574" i="41"/>
  <c r="O575" i="41" s="1"/>
  <c r="AD1318" i="41"/>
  <c r="V1320" i="41"/>
  <c r="O1321" i="41" s="1"/>
  <c r="AC1318" i="41"/>
  <c r="M573" i="41"/>
  <c r="L573" i="41" s="1"/>
  <c r="V575" i="41" l="1"/>
  <c r="L1316" i="41"/>
  <c r="AF632" i="41"/>
  <c r="AI632" i="41"/>
  <c r="M1317" i="41"/>
  <c r="AJ632" i="41"/>
  <c r="AG632" i="41"/>
  <c r="AH632" i="41"/>
  <c r="O576" i="41"/>
  <c r="W1321" i="41"/>
  <c r="X1321" i="41"/>
  <c r="P1322" i="41"/>
  <c r="R576" i="41"/>
  <c r="AC1319" i="41"/>
  <c r="H574" i="41"/>
  <c r="G574" i="41" s="1"/>
  <c r="R1322" i="41"/>
  <c r="AD1319" i="41"/>
  <c r="S1320" i="41"/>
  <c r="H1319" i="41"/>
  <c r="G1319" i="41" s="1"/>
  <c r="I1319" i="41"/>
  <c r="AC573" i="41"/>
  <c r="AE633" i="41" s="1" a="1"/>
  <c r="AE633" i="41" s="1"/>
  <c r="AD573" i="41"/>
  <c r="U1321" i="41"/>
  <c r="Q1322" i="41"/>
  <c r="M574" i="41"/>
  <c r="L574" i="41" s="1"/>
  <c r="W575" i="41"/>
  <c r="X575" i="41"/>
  <c r="P576" i="41"/>
  <c r="U575" i="41"/>
  <c r="Q576" i="41"/>
  <c r="AB575" i="41" a="1"/>
  <c r="AB575" i="41" s="1"/>
  <c r="AE1318" i="41"/>
  <c r="T1318" i="41"/>
  <c r="V1321" i="41"/>
  <c r="O1322" i="41" s="1"/>
  <c r="AB1319" i="41"/>
  <c r="L1317" i="41" l="1"/>
  <c r="H1320" i="41"/>
  <c r="G1320" i="41" s="1"/>
  <c r="I1320" i="41"/>
  <c r="M575" i="41"/>
  <c r="L575" i="41" s="1"/>
  <c r="W576" i="41"/>
  <c r="X576" i="41"/>
  <c r="P577" i="41"/>
  <c r="W1322" i="41"/>
  <c r="X1322" i="41"/>
  <c r="P1323" i="41"/>
  <c r="S1321" i="41"/>
  <c r="S575" i="41"/>
  <c r="R577" i="41"/>
  <c r="R1323" i="41"/>
  <c r="AB1320" i="41"/>
  <c r="U576" i="41"/>
  <c r="AC575" i="41" s="1"/>
  <c r="AE635" i="41" s="1" a="1"/>
  <c r="AE635" i="41" s="1"/>
  <c r="Q577" i="41"/>
  <c r="AF1318" i="41"/>
  <c r="AJ1318" i="41"/>
  <c r="AI1318" i="41"/>
  <c r="AH1318" i="41"/>
  <c r="AK1318" i="41"/>
  <c r="AG1318" i="41"/>
  <c r="AD1320" i="41"/>
  <c r="AB576" i="41" a="1"/>
  <c r="AB576" i="41" s="1"/>
  <c r="U1322" i="41"/>
  <c r="AD1321" i="41" s="1"/>
  <c r="Q1323" i="41"/>
  <c r="V1322" i="41"/>
  <c r="O1323" i="41" s="1"/>
  <c r="AD574" i="41"/>
  <c r="AC574" i="41"/>
  <c r="AE634" i="41" s="1" a="1"/>
  <c r="AE634" i="41" s="1"/>
  <c r="V576" i="41"/>
  <c r="O577" i="41" s="1"/>
  <c r="AG633" i="41"/>
  <c r="AJ633" i="41"/>
  <c r="AI633" i="41"/>
  <c r="AK633" i="41"/>
  <c r="AF633" i="41"/>
  <c r="AH633" i="41"/>
  <c r="AE1319" i="41"/>
  <c r="T1319" i="41"/>
  <c r="AC1320" i="41"/>
  <c r="W577" i="41" l="1"/>
  <c r="X577" i="41"/>
  <c r="P578" i="41"/>
  <c r="AI635" i="41"/>
  <c r="AG635" i="41"/>
  <c r="AH635" i="41"/>
  <c r="AK635" i="41"/>
  <c r="AJ635" i="41"/>
  <c r="AF635" i="41"/>
  <c r="U1323" i="41"/>
  <c r="AD1322" i="41" s="1"/>
  <c r="Q1324" i="41"/>
  <c r="AK634" i="41"/>
  <c r="AF634" i="41"/>
  <c r="AH634" i="41"/>
  <c r="AJ634" i="41"/>
  <c r="AI634" i="41"/>
  <c r="AG634" i="41"/>
  <c r="R578" i="41"/>
  <c r="AE1320" i="41"/>
  <c r="T1320" i="41"/>
  <c r="AB577" i="41" a="1"/>
  <c r="AB577" i="41" s="1"/>
  <c r="M576" i="41"/>
  <c r="L576" i="41" s="1"/>
  <c r="U577" i="41"/>
  <c r="AC576" i="41" s="1"/>
  <c r="AE636" i="41" s="1" a="1"/>
  <c r="AE636" i="41" s="1"/>
  <c r="Q578" i="41"/>
  <c r="M1318" i="41"/>
  <c r="L1318" i="41" s="1"/>
  <c r="S1322" i="41"/>
  <c r="AI1319" i="41"/>
  <c r="AF1319" i="41"/>
  <c r="AG1319" i="41"/>
  <c r="AJ1319" i="41"/>
  <c r="AK1319" i="41"/>
  <c r="AH1319" i="41"/>
  <c r="I575" i="41"/>
  <c r="H575" i="41"/>
  <c r="G575" i="41" s="1"/>
  <c r="V577" i="41"/>
  <c r="O578" i="41" s="1"/>
  <c r="AB1321" i="41"/>
  <c r="AC1321" i="41"/>
  <c r="R1324" i="41"/>
  <c r="AD575" i="41"/>
  <c r="W1323" i="41"/>
  <c r="X1323" i="41"/>
  <c r="P1324" i="41"/>
  <c r="V1323" i="41"/>
  <c r="O1324" i="41" s="1"/>
  <c r="H1321" i="41"/>
  <c r="G1321" i="41" s="1"/>
  <c r="I1321" i="41"/>
  <c r="S576" i="41"/>
  <c r="AB578" i="41" l="1" a="1"/>
  <c r="AB578" i="41" s="1"/>
  <c r="AD576" i="41"/>
  <c r="S577" i="41"/>
  <c r="I577" i="41" s="1"/>
  <c r="V1324" i="41"/>
  <c r="AB1322" i="41"/>
  <c r="M1319" i="41"/>
  <c r="L1319" i="41" s="1"/>
  <c r="AC1322" i="41"/>
  <c r="AE1322" i="41" s="1"/>
  <c r="W578" i="41"/>
  <c r="X578" i="41"/>
  <c r="P579" i="41"/>
  <c r="AK1320" i="41"/>
  <c r="AF1320" i="41"/>
  <c r="AJ1320" i="41"/>
  <c r="AG1320" i="41"/>
  <c r="AH1320" i="41"/>
  <c r="AI1320" i="41"/>
  <c r="AE1321" i="41"/>
  <c r="T1321" i="41"/>
  <c r="U578" i="41"/>
  <c r="AC577" i="41" s="1"/>
  <c r="AE637" i="41" s="1" a="1"/>
  <c r="AE637" i="41" s="1"/>
  <c r="Q579" i="41"/>
  <c r="I1322" i="41"/>
  <c r="H1322" i="41"/>
  <c r="G1322" i="41" s="1"/>
  <c r="R1325" i="41"/>
  <c r="V1325" i="41" s="1"/>
  <c r="S1323" i="41"/>
  <c r="R579" i="41"/>
  <c r="AJ636" i="41"/>
  <c r="AH636" i="41"/>
  <c r="AK636" i="41"/>
  <c r="AF636" i="41"/>
  <c r="AG636" i="41"/>
  <c r="AI636" i="41"/>
  <c r="V578" i="41"/>
  <c r="O579" i="41" s="1"/>
  <c r="W1324" i="41"/>
  <c r="X1324" i="41"/>
  <c r="P1325" i="41"/>
  <c r="I576" i="41"/>
  <c r="H576" i="41"/>
  <c r="G576" i="41" s="1"/>
  <c r="U1324" i="41"/>
  <c r="Q1325" i="41"/>
  <c r="O1325" i="41"/>
  <c r="M577" i="41"/>
  <c r="L577" i="41" s="1"/>
  <c r="H577" i="41" l="1"/>
  <c r="G577" i="41" s="1"/>
  <c r="S578" i="41"/>
  <c r="I578" i="41" s="1"/>
  <c r="T1322" i="41"/>
  <c r="M1320" i="41"/>
  <c r="L1320" i="41" s="1"/>
  <c r="W579" i="41"/>
  <c r="X579" i="41"/>
  <c r="P580" i="41"/>
  <c r="R1326" i="41"/>
  <c r="V1326" i="41" s="1"/>
  <c r="U1325" i="41"/>
  <c r="Q1326" i="41"/>
  <c r="R580" i="41"/>
  <c r="O1326" i="41"/>
  <c r="AB1323" i="41"/>
  <c r="AD1323" i="41"/>
  <c r="AC1323" i="41"/>
  <c r="AH1322" i="41"/>
  <c r="AF1322" i="41"/>
  <c r="AJ1322" i="41"/>
  <c r="AK1322" i="41"/>
  <c r="AG1322" i="41"/>
  <c r="AI1322" i="41"/>
  <c r="U579" i="41"/>
  <c r="AD578" i="41" s="1"/>
  <c r="Q580" i="41"/>
  <c r="I1323" i="41"/>
  <c r="H1323" i="41"/>
  <c r="G1323" i="41" s="1"/>
  <c r="AB579" i="41" a="1"/>
  <c r="AB579" i="41" s="1"/>
  <c r="AG1321" i="41"/>
  <c r="AK1321" i="41"/>
  <c r="AJ1321" i="41"/>
  <c r="AF1321" i="41"/>
  <c r="AH1321" i="41"/>
  <c r="AI1321" i="41"/>
  <c r="W1325" i="41"/>
  <c r="X1325" i="41"/>
  <c r="P1326" i="41"/>
  <c r="AJ637" i="41"/>
  <c r="AG637" i="41"/>
  <c r="AK637" i="41"/>
  <c r="AI637" i="41"/>
  <c r="AF637" i="41"/>
  <c r="AH637" i="41"/>
  <c r="S1324" i="41"/>
  <c r="AD577" i="41"/>
  <c r="V579" i="41"/>
  <c r="O580" i="41" s="1"/>
  <c r="M578" i="41"/>
  <c r="L578" i="41" s="1"/>
  <c r="H578" i="41" l="1"/>
  <c r="G578" i="41" s="1"/>
  <c r="V580" i="41"/>
  <c r="S579" i="41"/>
  <c r="I579" i="41" s="1"/>
  <c r="AC578" i="41"/>
  <c r="AE638" i="41" s="1" a="1"/>
  <c r="AE638" i="41" s="1"/>
  <c r="AG638" i="41" s="1"/>
  <c r="M1321" i="41"/>
  <c r="L1321" i="41" s="1"/>
  <c r="M1322" i="41"/>
  <c r="R1327" i="41"/>
  <c r="V1327" i="41" s="1"/>
  <c r="AB1324" i="41"/>
  <c r="H1324" i="41"/>
  <c r="G1324" i="41" s="1"/>
  <c r="I1324" i="41"/>
  <c r="AD1324" i="41"/>
  <c r="AC1324" i="41"/>
  <c r="U1326" i="41"/>
  <c r="AB1325" i="41" s="1"/>
  <c r="Q1327" i="41"/>
  <c r="W580" i="41"/>
  <c r="X580" i="41"/>
  <c r="P581" i="41"/>
  <c r="AE1323" i="41"/>
  <c r="T1323" i="41"/>
  <c r="O581" i="41"/>
  <c r="O1327" i="41"/>
  <c r="R581" i="41"/>
  <c r="W1326" i="41"/>
  <c r="X1326" i="41"/>
  <c r="P1327" i="41"/>
  <c r="M579" i="41"/>
  <c r="L579" i="41" s="1"/>
  <c r="S1325" i="41"/>
  <c r="U580" i="41"/>
  <c r="Q581" i="41"/>
  <c r="AB580" i="41" a="1"/>
  <c r="AB580" i="41" s="1"/>
  <c r="H579" i="41" l="1"/>
  <c r="G579" i="41" s="1"/>
  <c r="AK638" i="41"/>
  <c r="AH638" i="41"/>
  <c r="AJ638" i="41"/>
  <c r="AI638" i="41"/>
  <c r="AF638" i="41"/>
  <c r="S1326" i="41"/>
  <c r="H1326" i="41" s="1"/>
  <c r="G1326" i="41" s="1"/>
  <c r="AC1325" i="41"/>
  <c r="AE1325" i="41" s="1"/>
  <c r="AD1325" i="41"/>
  <c r="L1322" i="41"/>
  <c r="AB581" i="41" a="1"/>
  <c r="AB581" i="41" s="1"/>
  <c r="AE1324" i="41"/>
  <c r="T1324" i="41"/>
  <c r="U581" i="41"/>
  <c r="Q582" i="41"/>
  <c r="W1327" i="41"/>
  <c r="X1327" i="41"/>
  <c r="P1328" i="41"/>
  <c r="W581" i="41"/>
  <c r="X581" i="41"/>
  <c r="P582" i="41"/>
  <c r="O582" i="41"/>
  <c r="R582" i="41"/>
  <c r="U1327" i="41"/>
  <c r="Q1328" i="41"/>
  <c r="AG1323" i="41"/>
  <c r="AF1323" i="41"/>
  <c r="AK1323" i="41"/>
  <c r="AJ1323" i="41"/>
  <c r="AH1323" i="41"/>
  <c r="AI1323" i="41"/>
  <c r="O1328" i="41"/>
  <c r="V581" i="41"/>
  <c r="I1325" i="41"/>
  <c r="H1325" i="41"/>
  <c r="G1325" i="41" s="1"/>
  <c r="AC579" i="41"/>
  <c r="AE639" i="41" s="1" a="1"/>
  <c r="AE639" i="41" s="1"/>
  <c r="AD579" i="41"/>
  <c r="S580" i="41"/>
  <c r="R1328" i="41"/>
  <c r="M580" i="41"/>
  <c r="L580" i="41" s="1"/>
  <c r="V582" i="41" l="1"/>
  <c r="O583" i="41" s="1"/>
  <c r="I1326" i="41"/>
  <c r="T1325" i="41"/>
  <c r="S1327" i="41"/>
  <c r="H1327" i="41" s="1"/>
  <c r="G1327" i="41" s="1"/>
  <c r="S581" i="41"/>
  <c r="I581" i="41" s="1"/>
  <c r="AC1326" i="41"/>
  <c r="AE1326" i="41" s="1"/>
  <c r="M581" i="41"/>
  <c r="L581" i="41" s="1"/>
  <c r="R583" i="41"/>
  <c r="V583" i="41" s="1"/>
  <c r="I580" i="41"/>
  <c r="H580" i="41"/>
  <c r="G580" i="41" s="1"/>
  <c r="I1327" i="41"/>
  <c r="U1328" i="41"/>
  <c r="Q1329" i="41"/>
  <c r="M1323" i="41"/>
  <c r="L1323" i="41" s="1"/>
  <c r="AJ639" i="41"/>
  <c r="AF639" i="41"/>
  <c r="AH639" i="41"/>
  <c r="AI639" i="41"/>
  <c r="AG639" i="41"/>
  <c r="AK639" i="41"/>
  <c r="AB1326" i="41"/>
  <c r="AF1324" i="41"/>
  <c r="AI1324" i="41"/>
  <c r="AG1324" i="41"/>
  <c r="AK1324" i="41"/>
  <c r="AH1324" i="41"/>
  <c r="AJ1324" i="41"/>
  <c r="H581" i="41"/>
  <c r="G581" i="41" s="1"/>
  <c r="V1328" i="41"/>
  <c r="O1329" i="41" s="1"/>
  <c r="AC580" i="41"/>
  <c r="AE640" i="41" s="1" a="1"/>
  <c r="AE640" i="41" s="1"/>
  <c r="W582" i="41"/>
  <c r="X582" i="41"/>
  <c r="P583" i="41"/>
  <c r="AK1325" i="41"/>
  <c r="AH1325" i="41"/>
  <c r="AF1325" i="41"/>
  <c r="AG1325" i="41"/>
  <c r="AI1325" i="41"/>
  <c r="AJ1325" i="41"/>
  <c r="U582" i="41"/>
  <c r="AC581" i="41" s="1"/>
  <c r="AE641" i="41" s="1" a="1"/>
  <c r="AE641" i="41" s="1"/>
  <c r="Q583" i="41"/>
  <c r="AD580" i="41"/>
  <c r="AD1326" i="41"/>
  <c r="W1328" i="41"/>
  <c r="X1328" i="41"/>
  <c r="P1329" i="41"/>
  <c r="AB582" i="41" a="1"/>
  <c r="AB582" i="41" s="1"/>
  <c r="R1329" i="41"/>
  <c r="V1329" i="41" s="1"/>
  <c r="T1326" i="41" l="1"/>
  <c r="M1325" i="41"/>
  <c r="S582" i="41"/>
  <c r="I582" i="41" s="1"/>
  <c r="W1329" i="41"/>
  <c r="X1329" i="41"/>
  <c r="P1330" i="41"/>
  <c r="AK641" i="41"/>
  <c r="AJ641" i="41"/>
  <c r="AF641" i="41"/>
  <c r="AH641" i="41"/>
  <c r="AG641" i="41"/>
  <c r="AI641" i="41"/>
  <c r="W583" i="41"/>
  <c r="X583" i="41"/>
  <c r="P584" i="41"/>
  <c r="R1330" i="41"/>
  <c r="M1324" i="41"/>
  <c r="L1324" i="41" s="1"/>
  <c r="S1328" i="41"/>
  <c r="R584" i="41"/>
  <c r="V584" i="41" s="1"/>
  <c r="AD581" i="41"/>
  <c r="U583" i="41"/>
  <c r="AC582" i="41" s="1"/>
  <c r="AE642" i="41" s="1" a="1"/>
  <c r="AE642" i="41" s="1"/>
  <c r="Q584" i="41"/>
  <c r="O584" i="41"/>
  <c r="M582" i="41"/>
  <c r="L582" i="41" s="1"/>
  <c r="AC1327" i="41"/>
  <c r="AB583" i="41" a="1"/>
  <c r="AB583" i="41" s="1"/>
  <c r="H582" i="41"/>
  <c r="G582" i="41" s="1"/>
  <c r="U1329" i="41"/>
  <c r="AD1328" i="41" s="1"/>
  <c r="Q1330" i="41"/>
  <c r="AB1327" i="41"/>
  <c r="AD1327" i="41"/>
  <c r="AK640" i="41"/>
  <c r="AH640" i="41"/>
  <c r="AJ640" i="41"/>
  <c r="AG640" i="41"/>
  <c r="AI640" i="41"/>
  <c r="AF640" i="41"/>
  <c r="O1330" i="41"/>
  <c r="AG1326" i="41"/>
  <c r="AJ1326" i="41"/>
  <c r="AF1326" i="41"/>
  <c r="AI1326" i="41"/>
  <c r="AK1326" i="41"/>
  <c r="AH1326" i="41"/>
  <c r="L1325" i="41" l="1"/>
  <c r="S583" i="41"/>
  <c r="I583" i="41" s="1"/>
  <c r="AB584" i="41" a="1"/>
  <c r="AB584" i="41" s="1"/>
  <c r="M1326" i="41"/>
  <c r="AE1327" i="41"/>
  <c r="T1327" i="41"/>
  <c r="R1331" i="41"/>
  <c r="V1331" i="41" s="1"/>
  <c r="U1330" i="41"/>
  <c r="AD1329" i="41" s="1"/>
  <c r="Q1331" i="41"/>
  <c r="R585" i="41"/>
  <c r="O585" i="41"/>
  <c r="AD582" i="41"/>
  <c r="M583" i="41"/>
  <c r="L583" i="41" s="1"/>
  <c r="I1328" i="41"/>
  <c r="H1328" i="41"/>
  <c r="G1328" i="41" s="1"/>
  <c r="H583" i="41"/>
  <c r="G583" i="41" s="1"/>
  <c r="AB1328" i="41"/>
  <c r="W1330" i="41"/>
  <c r="X1330" i="41"/>
  <c r="P1331" i="41"/>
  <c r="V1330" i="41"/>
  <c r="W584" i="41"/>
  <c r="X584" i="41"/>
  <c r="P585" i="41"/>
  <c r="AF642" i="41"/>
  <c r="AJ642" i="41"/>
  <c r="AH642" i="41"/>
  <c r="AG642" i="41"/>
  <c r="AI642" i="41"/>
  <c r="AK642" i="41"/>
  <c r="S1329" i="41"/>
  <c r="O1331" i="41"/>
  <c r="U584" i="41"/>
  <c r="AD583" i="41" s="1"/>
  <c r="Q585" i="41"/>
  <c r="AC1328" i="41"/>
  <c r="L1326" i="41" l="1"/>
  <c r="AB585" i="41" a="1"/>
  <c r="AB585" i="41" s="1"/>
  <c r="AC583" i="41"/>
  <c r="AE643" i="41" s="1" a="1"/>
  <c r="AE643" i="41" s="1"/>
  <c r="AK643" i="41" s="1"/>
  <c r="AE1328" i="41"/>
  <c r="T1328" i="41"/>
  <c r="U585" i="41"/>
  <c r="AC584" i="41" s="1"/>
  <c r="AE644" i="41" s="1" a="1"/>
  <c r="AE644" i="41" s="1"/>
  <c r="Q586" i="41"/>
  <c r="V585" i="41"/>
  <c r="O586" i="41" s="1"/>
  <c r="O1332" i="41"/>
  <c r="AB1329" i="41"/>
  <c r="W1331" i="41"/>
  <c r="X1331" i="41"/>
  <c r="P1332" i="41"/>
  <c r="U1331" i="41"/>
  <c r="Q1332" i="41"/>
  <c r="R586" i="41"/>
  <c r="W585" i="41"/>
  <c r="P586" i="41"/>
  <c r="X585" i="41"/>
  <c r="AC1329" i="41"/>
  <c r="M584" i="41"/>
  <c r="L584" i="41" s="1"/>
  <c r="S1330" i="41"/>
  <c r="H1329" i="41"/>
  <c r="G1329" i="41" s="1"/>
  <c r="I1329" i="41"/>
  <c r="R1332" i="41"/>
  <c r="V1332" i="41" s="1"/>
  <c r="S584" i="41"/>
  <c r="AK1327" i="41"/>
  <c r="AF1327" i="41"/>
  <c r="AH1327" i="41"/>
  <c r="AG1327" i="41"/>
  <c r="AI1327" i="41"/>
  <c r="AJ1327" i="41"/>
  <c r="AD584" i="41" l="1"/>
  <c r="AF643" i="41"/>
  <c r="AG643" i="41"/>
  <c r="AJ643" i="41"/>
  <c r="AH643" i="41"/>
  <c r="AI643" i="41"/>
  <c r="M585" i="41"/>
  <c r="L585" i="41" s="1"/>
  <c r="R587" i="41"/>
  <c r="U586" i="41"/>
  <c r="AC585" i="41" s="1"/>
  <c r="AE645" i="41" s="1" a="1"/>
  <c r="AE645" i="41" s="1"/>
  <c r="Q587" i="41"/>
  <c r="W586" i="41"/>
  <c r="X586" i="41"/>
  <c r="P587" i="41"/>
  <c r="AH644" i="41"/>
  <c r="AK644" i="41"/>
  <c r="AJ644" i="41"/>
  <c r="AI644" i="41"/>
  <c r="AF644" i="41"/>
  <c r="AG644" i="41"/>
  <c r="I584" i="41"/>
  <c r="H584" i="41"/>
  <c r="G584" i="41" s="1"/>
  <c r="AB586" i="41" a="1"/>
  <c r="AB586" i="41" s="1"/>
  <c r="S585" i="41"/>
  <c r="R1333" i="41"/>
  <c r="V1333" i="41" s="1"/>
  <c r="H1330" i="41"/>
  <c r="G1330" i="41" s="1"/>
  <c r="I1330" i="41"/>
  <c r="AE1329" i="41"/>
  <c r="T1329" i="41"/>
  <c r="V586" i="41"/>
  <c r="O587" i="41" s="1"/>
  <c r="W1332" i="41"/>
  <c r="X1332" i="41"/>
  <c r="P1333" i="41"/>
  <c r="S1331" i="41"/>
  <c r="O1333" i="41"/>
  <c r="U1332" i="41"/>
  <c r="Q1333" i="41"/>
  <c r="AB1330" i="41"/>
  <c r="AC1330" i="41"/>
  <c r="M1327" i="41"/>
  <c r="L1327" i="41" s="1"/>
  <c r="AD1330" i="41"/>
  <c r="AJ1328" i="41"/>
  <c r="AF1328" i="41"/>
  <c r="AK1328" i="41"/>
  <c r="AG1328" i="41"/>
  <c r="AH1328" i="41"/>
  <c r="AI1328" i="41"/>
  <c r="V587" i="41" l="1"/>
  <c r="O588" i="41" s="1"/>
  <c r="S1332" i="41"/>
  <c r="I1332" i="41" s="1"/>
  <c r="S586" i="41"/>
  <c r="I586" i="41" s="1"/>
  <c r="AD1331" i="41"/>
  <c r="W587" i="41"/>
  <c r="X587" i="41"/>
  <c r="P588" i="41"/>
  <c r="I585" i="41"/>
  <c r="H585" i="41"/>
  <c r="G585" i="41" s="1"/>
  <c r="R588" i="41"/>
  <c r="AE1330" i="41"/>
  <c r="T1330" i="41"/>
  <c r="H586" i="41"/>
  <c r="G586" i="41" s="1"/>
  <c r="AJ1329" i="41"/>
  <c r="AF1329" i="41"/>
  <c r="AI1329" i="41"/>
  <c r="AK1329" i="41"/>
  <c r="AG1329" i="41"/>
  <c r="AH1329" i="41"/>
  <c r="M586" i="41"/>
  <c r="L586" i="41" s="1"/>
  <c r="AG645" i="41"/>
  <c r="AH645" i="41"/>
  <c r="AJ645" i="41"/>
  <c r="AF645" i="41"/>
  <c r="AI645" i="41"/>
  <c r="AK645" i="41"/>
  <c r="M1328" i="41"/>
  <c r="L1328" i="41" s="1"/>
  <c r="AC1331" i="41"/>
  <c r="I1331" i="41"/>
  <c r="H1331" i="41"/>
  <c r="G1331" i="41" s="1"/>
  <c r="U587" i="41"/>
  <c r="S587" i="41" s="1"/>
  <c r="I587" i="41" s="1"/>
  <c r="Q588" i="41"/>
  <c r="W1333" i="41"/>
  <c r="P1334" i="41"/>
  <c r="X1333" i="41"/>
  <c r="AD585" i="41"/>
  <c r="AB587" i="41" a="1"/>
  <c r="AB587" i="41" s="1"/>
  <c r="O1334" i="41"/>
  <c r="AB1331" i="41"/>
  <c r="R1334" i="41"/>
  <c r="V1334" i="41" s="1"/>
  <c r="Q1334" i="41"/>
  <c r="U1333" i="41"/>
  <c r="AB1332" i="41" s="1"/>
  <c r="H1332" i="41" l="1"/>
  <c r="G1332" i="41" s="1"/>
  <c r="AB588" i="41" a="1"/>
  <c r="AB588" i="41" s="1"/>
  <c r="AC586" i="41"/>
  <c r="AE646" i="41" s="1" a="1"/>
  <c r="AE646" i="41" s="1"/>
  <c r="AJ646" i="41" s="1"/>
  <c r="S1333" i="41"/>
  <c r="I1333" i="41" s="1"/>
  <c r="AD586" i="41"/>
  <c r="AG1330" i="41"/>
  <c r="AK1330" i="41"/>
  <c r="AH1330" i="41"/>
  <c r="AI1330" i="41"/>
  <c r="AJ1330" i="41"/>
  <c r="AF1330" i="41"/>
  <c r="U588" i="41"/>
  <c r="Q589" i="41"/>
  <c r="AE1331" i="41"/>
  <c r="T1331" i="41"/>
  <c r="W588" i="41"/>
  <c r="X588" i="41"/>
  <c r="P589" i="41"/>
  <c r="R589" i="41"/>
  <c r="W1334" i="41"/>
  <c r="P1335" i="41"/>
  <c r="X1334" i="41"/>
  <c r="O1335" i="41"/>
  <c r="M1329" i="41"/>
  <c r="L1329" i="41" s="1"/>
  <c r="H587" i="41"/>
  <c r="G587" i="41" s="1"/>
  <c r="M587" i="41"/>
  <c r="L587" i="41" s="1"/>
  <c r="R1335" i="41"/>
  <c r="V1335" i="41" s="1"/>
  <c r="AC1332" i="41"/>
  <c r="U1334" i="41"/>
  <c r="Q1335" i="41"/>
  <c r="AD1332" i="41"/>
  <c r="V588" i="41"/>
  <c r="O589" i="41" s="1"/>
  <c r="V589" i="41" l="1"/>
  <c r="H1333" i="41"/>
  <c r="G1333" i="41" s="1"/>
  <c r="AI646" i="41"/>
  <c r="AK646" i="41"/>
  <c r="AH646" i="41"/>
  <c r="M1330" i="41"/>
  <c r="L1330" i="41" s="1"/>
  <c r="AG646" i="41"/>
  <c r="AF646" i="41"/>
  <c r="W1335" i="41"/>
  <c r="X1335" i="41"/>
  <c r="P1336" i="41"/>
  <c r="AB1333" i="41"/>
  <c r="O590" i="41"/>
  <c r="R590" i="41"/>
  <c r="V590" i="41" s="1"/>
  <c r="AE1332" i="41"/>
  <c r="T1332" i="41"/>
  <c r="S1334" i="41"/>
  <c r="AC1333" i="41"/>
  <c r="W589" i="41"/>
  <c r="X589" i="41"/>
  <c r="P590" i="41"/>
  <c r="O1336" i="41"/>
  <c r="R1336" i="41"/>
  <c r="AC587" i="41"/>
  <c r="AE647" i="41" s="1" a="1"/>
  <c r="AE647" i="41" s="1"/>
  <c r="AK1331" i="41"/>
  <c r="AF1331" i="41"/>
  <c r="AI1331" i="41"/>
  <c r="AJ1331" i="41"/>
  <c r="AG1331" i="41"/>
  <c r="AH1331" i="41"/>
  <c r="M588" i="41"/>
  <c r="L588" i="41" s="1"/>
  <c r="U1335" i="41"/>
  <c r="AB1334" i="41" s="1"/>
  <c r="Q1336" i="41"/>
  <c r="AD1333" i="41"/>
  <c r="S588" i="41"/>
  <c r="AD587" i="41"/>
  <c r="U589" i="41"/>
  <c r="AC588" i="41" s="1"/>
  <c r="AE648" i="41" s="1" a="1"/>
  <c r="AE648" i="41" s="1"/>
  <c r="Q590" i="41"/>
  <c r="AB589" i="41" a="1"/>
  <c r="AB589" i="41" s="1"/>
  <c r="AD1334" i="41" l="1"/>
  <c r="S589" i="41"/>
  <c r="I589" i="41" s="1"/>
  <c r="AD588" i="41"/>
  <c r="AC1334" i="41"/>
  <c r="AE1334" i="41" s="1"/>
  <c r="M1331" i="41"/>
  <c r="L1331" i="41" s="1"/>
  <c r="AI648" i="41"/>
  <c r="AJ648" i="41"/>
  <c r="AG648" i="41"/>
  <c r="AK648" i="41"/>
  <c r="AF648" i="41"/>
  <c r="AH648" i="41"/>
  <c r="R591" i="41"/>
  <c r="V591" i="41" s="1"/>
  <c r="AE1333" i="41"/>
  <c r="T1333" i="41"/>
  <c r="R1337" i="41"/>
  <c r="I1334" i="41"/>
  <c r="H1334" i="41"/>
  <c r="G1334" i="41" s="1"/>
  <c r="U1336" i="41"/>
  <c r="AD1335" i="41" s="1"/>
  <c r="Q1337" i="41"/>
  <c r="AF1332" i="41"/>
  <c r="AI1332" i="41"/>
  <c r="AJ1332" i="41"/>
  <c r="AG1332" i="41"/>
  <c r="AK1332" i="41"/>
  <c r="AH1332" i="41"/>
  <c r="AJ647" i="41"/>
  <c r="AG647" i="41"/>
  <c r="AH647" i="41"/>
  <c r="AI647" i="41"/>
  <c r="AK647" i="41"/>
  <c r="AF647" i="41"/>
  <c r="AB590" i="41" a="1"/>
  <c r="AB590" i="41" s="1"/>
  <c r="W1336" i="41"/>
  <c r="X1336" i="41"/>
  <c r="P1337" i="41"/>
  <c r="U590" i="41"/>
  <c r="Q591" i="41"/>
  <c r="O591" i="41"/>
  <c r="M589" i="41"/>
  <c r="L589" i="41" s="1"/>
  <c r="I588" i="41"/>
  <c r="H588" i="41"/>
  <c r="G588" i="41" s="1"/>
  <c r="V1336" i="41"/>
  <c r="O1337" i="41" s="1"/>
  <c r="S1335" i="41"/>
  <c r="W590" i="41"/>
  <c r="X590" i="41"/>
  <c r="P591" i="41"/>
  <c r="V1337" i="41" l="1"/>
  <c r="H589" i="41"/>
  <c r="G589" i="41" s="1"/>
  <c r="T1334" i="41"/>
  <c r="M1332" i="41"/>
  <c r="L1332" i="41" s="1"/>
  <c r="AB591" i="41" a="1"/>
  <c r="AB591" i="41" s="1"/>
  <c r="M590" i="41"/>
  <c r="L590" i="41" s="1"/>
  <c r="W1337" i="41"/>
  <c r="X1337" i="41"/>
  <c r="P1338" i="41"/>
  <c r="AF1334" i="41"/>
  <c r="AJ1334" i="41"/>
  <c r="AK1334" i="41"/>
  <c r="AH1334" i="41"/>
  <c r="AG1334" i="41"/>
  <c r="AI1334" i="41"/>
  <c r="I1335" i="41"/>
  <c r="H1335" i="41"/>
  <c r="G1335" i="41" s="1"/>
  <c r="O1338" i="41"/>
  <c r="AG1333" i="41"/>
  <c r="AF1333" i="41"/>
  <c r="AI1333" i="41"/>
  <c r="AH1333" i="41"/>
  <c r="AJ1333" i="41"/>
  <c r="AK1333" i="41"/>
  <c r="R1338" i="41"/>
  <c r="V1338" i="41" s="1"/>
  <c r="U591" i="41"/>
  <c r="AC590" i="41" s="1"/>
  <c r="AE650" i="41" s="1" a="1"/>
  <c r="AE650" i="41" s="1"/>
  <c r="Q592" i="41"/>
  <c r="AC589" i="41"/>
  <c r="AE649" i="41" s="1" a="1"/>
  <c r="AE649" i="41" s="1"/>
  <c r="AB1335" i="41"/>
  <c r="AD589" i="41"/>
  <c r="AC1335" i="41"/>
  <c r="R592" i="41"/>
  <c r="V592" i="41" s="1"/>
  <c r="U1337" i="41"/>
  <c r="AB1336" i="41" s="1"/>
  <c r="Q1338" i="41"/>
  <c r="W591" i="41"/>
  <c r="X591" i="41"/>
  <c r="P592" i="41"/>
  <c r="S590" i="41"/>
  <c r="O592" i="41"/>
  <c r="S1336" i="41"/>
  <c r="S1337" i="41" l="1"/>
  <c r="H1337" i="41" s="1"/>
  <c r="G1337" i="41" s="1"/>
  <c r="M1334" i="41"/>
  <c r="M1333" i="41"/>
  <c r="L1333" i="41" s="1"/>
  <c r="AJ650" i="41"/>
  <c r="AG650" i="41"/>
  <c r="AK650" i="41"/>
  <c r="AI650" i="41"/>
  <c r="AF650" i="41"/>
  <c r="AH650" i="41"/>
  <c r="AE1335" i="41"/>
  <c r="T1335" i="41"/>
  <c r="I590" i="41"/>
  <c r="H590" i="41"/>
  <c r="G590" i="41" s="1"/>
  <c r="W1338" i="41"/>
  <c r="X1338" i="41"/>
  <c r="P1339" i="41"/>
  <c r="R1339" i="41"/>
  <c r="M591" i="41"/>
  <c r="L591" i="41" s="1"/>
  <c r="R593" i="41"/>
  <c r="O1339" i="41"/>
  <c r="AC1336" i="41"/>
  <c r="AD590" i="41"/>
  <c r="I1336" i="41"/>
  <c r="H1336" i="41"/>
  <c r="G1336" i="41" s="1"/>
  <c r="U592" i="41"/>
  <c r="AD591" i="41" s="1"/>
  <c r="Q593" i="41"/>
  <c r="AD1336" i="41"/>
  <c r="AG649" i="41"/>
  <c r="AF649" i="41"/>
  <c r="AJ649" i="41"/>
  <c r="AI649" i="41"/>
  <c r="AH649" i="41"/>
  <c r="AK649" i="41"/>
  <c r="O593" i="41"/>
  <c r="W592" i="41"/>
  <c r="X592" i="41"/>
  <c r="P593" i="41"/>
  <c r="S591" i="41"/>
  <c r="AB592" i="41" a="1"/>
  <c r="AB592" i="41" s="1"/>
  <c r="U1338" i="41"/>
  <c r="Q1339" i="41"/>
  <c r="I1337" i="41" l="1"/>
  <c r="L1334" i="41"/>
  <c r="AK1335" i="41"/>
  <c r="AF1335" i="41"/>
  <c r="AI1335" i="41"/>
  <c r="AJ1335" i="41"/>
  <c r="AG1335" i="41"/>
  <c r="AH1335" i="41"/>
  <c r="M592" i="41"/>
  <c r="L592" i="41" s="1"/>
  <c r="U1339" i="41"/>
  <c r="Q1340" i="41"/>
  <c r="W593" i="41"/>
  <c r="X593" i="41"/>
  <c r="P594" i="41"/>
  <c r="U593" i="41"/>
  <c r="AD592" i="41" s="1"/>
  <c r="Q594" i="41"/>
  <c r="AB593" i="41" a="1"/>
  <c r="AB593" i="41" s="1"/>
  <c r="V593" i="41"/>
  <c r="O594" i="41" s="1"/>
  <c r="R1340" i="41"/>
  <c r="V1340" i="41" s="1"/>
  <c r="AE1336" i="41"/>
  <c r="T1336" i="41"/>
  <c r="V1339" i="41"/>
  <c r="O1340" i="41" s="1"/>
  <c r="AB1337" i="41"/>
  <c r="I591" i="41"/>
  <c r="H591" i="41"/>
  <c r="G591" i="41" s="1"/>
  <c r="AD1337" i="41"/>
  <c r="S592" i="41"/>
  <c r="AC1337" i="41"/>
  <c r="R594" i="41"/>
  <c r="AC591" i="41"/>
  <c r="AE651" i="41" s="1" a="1"/>
  <c r="AE651" i="41" s="1"/>
  <c r="W1339" i="41"/>
  <c r="X1339" i="41"/>
  <c r="P1340" i="41"/>
  <c r="S1338" i="41"/>
  <c r="AC592" i="41" l="1"/>
  <c r="AE652" i="41" s="1" a="1"/>
  <c r="AE652" i="41" s="1"/>
  <c r="AH652" i="41" s="1"/>
  <c r="S593" i="41"/>
  <c r="H593" i="41" s="1"/>
  <c r="G593" i="41" s="1"/>
  <c r="S1339" i="41"/>
  <c r="I1339" i="41" s="1"/>
  <c r="M1335" i="41"/>
  <c r="L1335" i="41" s="1"/>
  <c r="AB594" i="41" a="1"/>
  <c r="AB594" i="41" s="1"/>
  <c r="H1339" i="41"/>
  <c r="G1339" i="41" s="1"/>
  <c r="AB1338" i="41"/>
  <c r="AC1338" i="41"/>
  <c r="T1338" i="41" s="1"/>
  <c r="W1340" i="41"/>
  <c r="X1340" i="41"/>
  <c r="P1341" i="41"/>
  <c r="O1341" i="41"/>
  <c r="M593" i="41"/>
  <c r="L593" i="41" s="1"/>
  <c r="U594" i="41"/>
  <c r="Q595" i="41"/>
  <c r="W594" i="41"/>
  <c r="X594" i="41"/>
  <c r="P595" i="41"/>
  <c r="AE1337" i="41"/>
  <c r="T1337" i="41"/>
  <c r="U1340" i="41"/>
  <c r="AC1339" i="41" s="1"/>
  <c r="Q1341" i="41"/>
  <c r="R1341" i="41"/>
  <c r="V1341" i="41" s="1"/>
  <c r="R595" i="41"/>
  <c r="AF651" i="41"/>
  <c r="AI651" i="41"/>
  <c r="AH651" i="41"/>
  <c r="AJ651" i="41"/>
  <c r="AG651" i="41"/>
  <c r="AK651" i="41"/>
  <c r="AD1338" i="41"/>
  <c r="AK1336" i="41"/>
  <c r="AF1336" i="41"/>
  <c r="AI1336" i="41"/>
  <c r="AJ1336" i="41"/>
  <c r="AH1336" i="41"/>
  <c r="AG1336" i="41"/>
  <c r="H1338" i="41"/>
  <c r="G1338" i="41" s="1"/>
  <c r="I1338" i="41"/>
  <c r="I592" i="41"/>
  <c r="H592" i="41"/>
  <c r="G592" i="41" s="1"/>
  <c r="V594" i="41"/>
  <c r="O595" i="41" s="1"/>
  <c r="I593" i="41" l="1"/>
  <c r="S594" i="41"/>
  <c r="I594" i="41" s="1"/>
  <c r="AJ652" i="41"/>
  <c r="AG652" i="41"/>
  <c r="AK652" i="41"/>
  <c r="AF652" i="41"/>
  <c r="AI652" i="41"/>
  <c r="AD593" i="41"/>
  <c r="M1336" i="41"/>
  <c r="L1336" i="41" s="1"/>
  <c r="AE1338" i="41"/>
  <c r="AG1338" i="41" s="1"/>
  <c r="S1340" i="41"/>
  <c r="H1340" i="41" s="1"/>
  <c r="G1340" i="41" s="1"/>
  <c r="AC593" i="41"/>
  <c r="AE653" i="41" s="1" a="1"/>
  <c r="AE653" i="41" s="1"/>
  <c r="AJ653" i="41" s="1"/>
  <c r="R596" i="41"/>
  <c r="V596" i="41" s="1"/>
  <c r="AK1337" i="41"/>
  <c r="AI1337" i="41"/>
  <c r="AJ1337" i="41"/>
  <c r="AF1337" i="41"/>
  <c r="AG1337" i="41"/>
  <c r="AH1337" i="41"/>
  <c r="W595" i="41"/>
  <c r="X595" i="41"/>
  <c r="P596" i="41"/>
  <c r="R1342" i="41"/>
  <c r="W1341" i="41"/>
  <c r="X1341" i="41"/>
  <c r="P1342" i="41"/>
  <c r="U595" i="41"/>
  <c r="AC594" i="41" s="1"/>
  <c r="AE654" i="41" s="1" a="1"/>
  <c r="AE654" i="41" s="1"/>
  <c r="Q596" i="41"/>
  <c r="AB595" i="41" a="1"/>
  <c r="AB595" i="41" s="1"/>
  <c r="M594" i="41"/>
  <c r="L594" i="41" s="1"/>
  <c r="V595" i="41"/>
  <c r="O596" i="41" s="1"/>
  <c r="O1342" i="41"/>
  <c r="AE1339" i="41"/>
  <c r="T1339" i="41"/>
  <c r="U1341" i="41"/>
  <c r="AC1340" i="41" s="1"/>
  <c r="Q1342" i="41"/>
  <c r="AB1339" i="41"/>
  <c r="AD1339" i="41"/>
  <c r="H594" i="41" l="1"/>
  <c r="G594" i="41" s="1"/>
  <c r="AJ1338" i="41"/>
  <c r="AF1338" i="41"/>
  <c r="AK1338" i="41"/>
  <c r="AI653" i="41"/>
  <c r="AH1338" i="41"/>
  <c r="AI1338" i="41"/>
  <c r="AD1340" i="41"/>
  <c r="S1341" i="41"/>
  <c r="I1341" i="41" s="1"/>
  <c r="I1340" i="41"/>
  <c r="AF653" i="41"/>
  <c r="AH653" i="41"/>
  <c r="AG653" i="41"/>
  <c r="M1337" i="41"/>
  <c r="L1337" i="41" s="1"/>
  <c r="S595" i="41"/>
  <c r="I595" i="41" s="1"/>
  <c r="AK653" i="41"/>
  <c r="W1342" i="41"/>
  <c r="X1342" i="41"/>
  <c r="P1343" i="41"/>
  <c r="AG1339" i="41"/>
  <c r="AI1339" i="41"/>
  <c r="AK1339" i="41"/>
  <c r="AH1339" i="41"/>
  <c r="AJ1339" i="41"/>
  <c r="AF1339" i="41"/>
  <c r="R1343" i="41"/>
  <c r="V1343" i="41" s="1"/>
  <c r="W596" i="41"/>
  <c r="X596" i="41"/>
  <c r="P597" i="41"/>
  <c r="AE1340" i="41"/>
  <c r="T1340" i="41"/>
  <c r="U1342" i="41"/>
  <c r="AD1341" i="41" s="1"/>
  <c r="Q1343" i="41"/>
  <c r="O597" i="41"/>
  <c r="U596" i="41"/>
  <c r="Q597" i="41"/>
  <c r="AH654" i="41"/>
  <c r="AF654" i="41"/>
  <c r="AG654" i="41"/>
  <c r="AJ654" i="41"/>
  <c r="AK654" i="41"/>
  <c r="AI654" i="41"/>
  <c r="R597" i="41"/>
  <c r="V597" i="41" s="1"/>
  <c r="M595" i="41"/>
  <c r="L595" i="41" s="1"/>
  <c r="V1342" i="41"/>
  <c r="O1343" i="41" s="1"/>
  <c r="AB1340" i="41"/>
  <c r="AD594" i="41"/>
  <c r="AB596" i="41" a="1"/>
  <c r="AB596" i="41" s="1"/>
  <c r="H1341" i="41" l="1"/>
  <c r="G1341" i="41" s="1"/>
  <c r="M1338" i="41"/>
  <c r="L1338" i="41" s="1"/>
  <c r="H595" i="41"/>
  <c r="G595" i="41" s="1"/>
  <c r="AC1341" i="41"/>
  <c r="AE1341" i="41" s="1"/>
  <c r="M1339" i="41"/>
  <c r="O1344" i="41"/>
  <c r="W1343" i="41"/>
  <c r="X1343" i="41"/>
  <c r="P1344" i="41"/>
  <c r="AK1340" i="41"/>
  <c r="AF1340" i="41"/>
  <c r="AH1340" i="41"/>
  <c r="AG1340" i="41"/>
  <c r="AI1340" i="41"/>
  <c r="AJ1340" i="41"/>
  <c r="S1342" i="41"/>
  <c r="R1344" i="41"/>
  <c r="V1344" i="41" s="1"/>
  <c r="AC595" i="41"/>
  <c r="AE655" i="41" s="1" a="1"/>
  <c r="AE655" i="41" s="1"/>
  <c r="U597" i="41"/>
  <c r="Q598" i="41"/>
  <c r="AD595" i="41"/>
  <c r="M596" i="41"/>
  <c r="L596" i="41" s="1"/>
  <c r="O598" i="41"/>
  <c r="R598" i="41"/>
  <c r="AB1341" i="41"/>
  <c r="AB597" i="41" a="1"/>
  <c r="AB597" i="41" s="1"/>
  <c r="W597" i="41"/>
  <c r="X597" i="41"/>
  <c r="P598" i="41"/>
  <c r="S596" i="41"/>
  <c r="U1343" i="41"/>
  <c r="Q1344" i="41"/>
  <c r="S1343" i="41" l="1"/>
  <c r="I1343" i="41" s="1"/>
  <c r="T1341" i="41"/>
  <c r="S597" i="41"/>
  <c r="I597" i="41" s="1"/>
  <c r="M1340" i="41"/>
  <c r="AB598" i="41" a="1"/>
  <c r="AB598" i="41" s="1"/>
  <c r="L1339" i="41"/>
  <c r="H1343" i="41"/>
  <c r="G1343" i="41" s="1"/>
  <c r="H1342" i="41"/>
  <c r="G1342" i="41" s="1"/>
  <c r="I1342" i="41"/>
  <c r="O1345" i="41"/>
  <c r="R599" i="41"/>
  <c r="AC1342" i="41"/>
  <c r="W598" i="41"/>
  <c r="X598" i="41"/>
  <c r="P599" i="41"/>
  <c r="AD1342" i="41"/>
  <c r="U598" i="41"/>
  <c r="AD597" i="41" s="1"/>
  <c r="Q599" i="41"/>
  <c r="W1344" i="41"/>
  <c r="X1344" i="41"/>
  <c r="P1345" i="41"/>
  <c r="R1345" i="41"/>
  <c r="V1345" i="41" s="1"/>
  <c r="H597" i="41"/>
  <c r="G597" i="41" s="1"/>
  <c r="M597" i="41"/>
  <c r="L597" i="41" s="1"/>
  <c r="V598" i="41"/>
  <c r="O599" i="41" s="1"/>
  <c r="U1344" i="41"/>
  <c r="Q1345" i="41"/>
  <c r="AB1342" i="41"/>
  <c r="I596" i="41"/>
  <c r="H596" i="41"/>
  <c r="G596" i="41" s="1"/>
  <c r="AI655" i="41"/>
  <c r="AJ655" i="41"/>
  <c r="AG655" i="41"/>
  <c r="AK655" i="41"/>
  <c r="AF655" i="41"/>
  <c r="AH655" i="41"/>
  <c r="AC596" i="41"/>
  <c r="AE656" i="41" s="1" a="1"/>
  <c r="AE656" i="41" s="1"/>
  <c r="AD596" i="41"/>
  <c r="AH1341" i="41"/>
  <c r="AI1341" i="41"/>
  <c r="AK1341" i="41"/>
  <c r="AG1341" i="41"/>
  <c r="AJ1341" i="41"/>
  <c r="AF1341" i="41"/>
  <c r="S1344" i="41" l="1"/>
  <c r="I1344" i="41" s="1"/>
  <c r="AC597" i="41"/>
  <c r="AE657" i="41" s="1" a="1"/>
  <c r="AE657" i="41" s="1"/>
  <c r="AK657" i="41" s="1"/>
  <c r="M1341" i="41"/>
  <c r="AD1343" i="41"/>
  <c r="AC1343" i="41"/>
  <c r="AE1343" i="41" s="1"/>
  <c r="L1340" i="41"/>
  <c r="AB1343" i="41"/>
  <c r="U599" i="41"/>
  <c r="AD598" i="41" s="1"/>
  <c r="Q600" i="41"/>
  <c r="AB599" i="41" a="1"/>
  <c r="AB599" i="41" s="1"/>
  <c r="V599" i="41"/>
  <c r="O600" i="41" s="1"/>
  <c r="W1345" i="41"/>
  <c r="X1345" i="41"/>
  <c r="P1346" i="41"/>
  <c r="W599" i="41"/>
  <c r="X599" i="41"/>
  <c r="P600" i="41"/>
  <c r="S598" i="41"/>
  <c r="U1345" i="41"/>
  <c r="S1345" i="41" s="1"/>
  <c r="I1345" i="41" s="1"/>
  <c r="Q1346" i="41"/>
  <c r="R1346" i="41"/>
  <c r="R600" i="41"/>
  <c r="T1343" i="41"/>
  <c r="H1344" i="41"/>
  <c r="G1344" i="41" s="1"/>
  <c r="AF656" i="41"/>
  <c r="AI656" i="41"/>
  <c r="AK656" i="41"/>
  <c r="AG656" i="41"/>
  <c r="AH656" i="41"/>
  <c r="AJ656" i="41"/>
  <c r="O1346" i="41"/>
  <c r="M598" i="41"/>
  <c r="L598" i="41" s="1"/>
  <c r="AE1342" i="41"/>
  <c r="T1342" i="41"/>
  <c r="S599" i="41" l="1"/>
  <c r="I599" i="41" s="1"/>
  <c r="AJ657" i="41"/>
  <c r="AB600" i="41" a="1"/>
  <c r="AB600" i="41" s="1"/>
  <c r="AG657" i="41"/>
  <c r="AH657" i="41"/>
  <c r="AF657" i="41"/>
  <c r="AI657" i="41"/>
  <c r="L1341" i="41"/>
  <c r="AC598" i="41"/>
  <c r="AE658" i="41" s="1" a="1"/>
  <c r="AE658" i="41" s="1"/>
  <c r="AG658" i="41" s="1"/>
  <c r="AB1344" i="41"/>
  <c r="AC1344" i="41"/>
  <c r="AE1344" i="41" s="1"/>
  <c r="AD1344" i="41"/>
  <c r="W1346" i="41"/>
  <c r="X1346" i="41"/>
  <c r="P1347" i="41"/>
  <c r="AG1343" i="41"/>
  <c r="AK1343" i="41"/>
  <c r="AI1343" i="41"/>
  <c r="AF1343" i="41"/>
  <c r="AH1343" i="41"/>
  <c r="AJ1343" i="41"/>
  <c r="U1346" i="41"/>
  <c r="AD1345" i="41" s="1"/>
  <c r="Q1347" i="41"/>
  <c r="U600" i="41"/>
  <c r="S600" i="41" s="1"/>
  <c r="I600" i="41" s="1"/>
  <c r="Q601" i="41"/>
  <c r="M599" i="41"/>
  <c r="L599" i="41" s="1"/>
  <c r="R1347" i="41"/>
  <c r="H1345" i="41"/>
  <c r="G1345" i="41" s="1"/>
  <c r="W600" i="41"/>
  <c r="X600" i="41"/>
  <c r="P601" i="41"/>
  <c r="V1346" i="41"/>
  <c r="O1347" i="41" s="1"/>
  <c r="AH1342" i="41"/>
  <c r="AG1342" i="41"/>
  <c r="AJ1342" i="41"/>
  <c r="AF1342" i="41"/>
  <c r="AI1342" i="41"/>
  <c r="AK1342" i="41"/>
  <c r="I598" i="41"/>
  <c r="H598" i="41"/>
  <c r="G598" i="41" s="1"/>
  <c r="V600" i="41"/>
  <c r="O601" i="41" s="1"/>
  <c r="R601" i="41"/>
  <c r="H599" i="41"/>
  <c r="G599" i="41" s="1"/>
  <c r="T1344" i="41" l="1"/>
  <c r="V601" i="41"/>
  <c r="S1346" i="41"/>
  <c r="H1346" i="41" s="1"/>
  <c r="G1346" i="41" s="1"/>
  <c r="AF658" i="41"/>
  <c r="AH658" i="41"/>
  <c r="AD599" i="41"/>
  <c r="AC599" i="41"/>
  <c r="AE659" i="41" s="1" a="1"/>
  <c r="AE659" i="41" s="1"/>
  <c r="AI659" i="41" s="1"/>
  <c r="AB1345" i="41"/>
  <c r="AJ658" i="41"/>
  <c r="AK658" i="41"/>
  <c r="AI658" i="41"/>
  <c r="M1343" i="41"/>
  <c r="W1347" i="41"/>
  <c r="X1347" i="41"/>
  <c r="P1348" i="41"/>
  <c r="U1347" i="41"/>
  <c r="S1347" i="41" s="1"/>
  <c r="I1347" i="41" s="1"/>
  <c r="Q1348" i="41"/>
  <c r="W601" i="41"/>
  <c r="X601" i="41"/>
  <c r="P602" i="41"/>
  <c r="O602" i="41"/>
  <c r="R1348" i="41"/>
  <c r="R602" i="41"/>
  <c r="V602" i="41" s="1"/>
  <c r="M1342" i="41"/>
  <c r="L1342" i="41" s="1"/>
  <c r="I1346" i="41"/>
  <c r="H600" i="41"/>
  <c r="G600" i="41" s="1"/>
  <c r="U601" i="41"/>
  <c r="Q602" i="41"/>
  <c r="AB601" i="41" a="1"/>
  <c r="AB601" i="41" s="1"/>
  <c r="M600" i="41"/>
  <c r="L600" i="41" s="1"/>
  <c r="V1347" i="41"/>
  <c r="O1348" i="41" s="1"/>
  <c r="AH1344" i="41"/>
  <c r="AG1344" i="41"/>
  <c r="AI1344" i="41"/>
  <c r="AF1344" i="41"/>
  <c r="AJ1344" i="41"/>
  <c r="AK1344" i="41"/>
  <c r="AC1345" i="41"/>
  <c r="V1348" i="41" l="1"/>
  <c r="AJ659" i="41"/>
  <c r="AH659" i="41"/>
  <c r="AK659" i="41"/>
  <c r="AF659" i="41"/>
  <c r="AB1346" i="41"/>
  <c r="AD1346" i="41"/>
  <c r="AC1346" i="41"/>
  <c r="AE1346" i="41" s="1"/>
  <c r="AG659" i="41"/>
  <c r="L1343" i="41"/>
  <c r="M1344" i="41"/>
  <c r="M601" i="41"/>
  <c r="L601" i="41" s="1"/>
  <c r="W1348" i="41"/>
  <c r="X1348" i="41"/>
  <c r="P1349" i="41"/>
  <c r="AC600" i="41"/>
  <c r="AE660" i="41" s="1" a="1"/>
  <c r="AE660" i="41" s="1"/>
  <c r="O1349" i="41"/>
  <c r="O603" i="41"/>
  <c r="AD600" i="41"/>
  <c r="U602" i="41"/>
  <c r="Q603" i="41"/>
  <c r="AB602" i="41" a="1"/>
  <c r="AB602" i="41" s="1"/>
  <c r="U1348" i="41"/>
  <c r="S1348" i="41" s="1"/>
  <c r="I1348" i="41" s="1"/>
  <c r="Q1349" i="41"/>
  <c r="R1349" i="41"/>
  <c r="W602" i="41"/>
  <c r="X602" i="41"/>
  <c r="P603" i="41"/>
  <c r="H1347" i="41"/>
  <c r="G1347" i="41" s="1"/>
  <c r="AE1345" i="41"/>
  <c r="T1345" i="41"/>
  <c r="S601" i="41"/>
  <c r="R603" i="41"/>
  <c r="T1346" i="41" l="1"/>
  <c r="L1344" i="41"/>
  <c r="AC1347" i="41"/>
  <c r="AE1347" i="41" s="1"/>
  <c r="AD1347" i="41"/>
  <c r="AB1347" i="41"/>
  <c r="W1349" i="41"/>
  <c r="X1349" i="41"/>
  <c r="P1350" i="41"/>
  <c r="AF660" i="41"/>
  <c r="AH660" i="41"/>
  <c r="AI660" i="41"/>
  <c r="AG660" i="41"/>
  <c r="AK660" i="41"/>
  <c r="AJ660" i="41"/>
  <c r="R1350" i="41"/>
  <c r="H1348" i="41"/>
  <c r="G1348" i="41" s="1"/>
  <c r="AJ1346" i="41"/>
  <c r="AG1346" i="41"/>
  <c r="AH1346" i="41"/>
  <c r="AK1346" i="41"/>
  <c r="AF1346" i="41"/>
  <c r="AI1346" i="41"/>
  <c r="M602" i="41"/>
  <c r="L602" i="41" s="1"/>
  <c r="AB603" i="41" a="1"/>
  <c r="AB603" i="41" s="1"/>
  <c r="U1349" i="41"/>
  <c r="AC1348" i="41" s="1"/>
  <c r="Q1350" i="41"/>
  <c r="U603" i="41"/>
  <c r="Q604" i="41"/>
  <c r="V603" i="41"/>
  <c r="O604" i="41" s="1"/>
  <c r="I601" i="41"/>
  <c r="H601" i="41"/>
  <c r="G601" i="41" s="1"/>
  <c r="T1347" i="41"/>
  <c r="AJ1345" i="41"/>
  <c r="AK1345" i="41"/>
  <c r="AH1345" i="41"/>
  <c r="AF1345" i="41"/>
  <c r="AG1345" i="41"/>
  <c r="AI1345" i="41"/>
  <c r="AC601" i="41"/>
  <c r="AE661" i="41" s="1" a="1"/>
  <c r="AE661" i="41" s="1"/>
  <c r="V1349" i="41"/>
  <c r="O1350" i="41" s="1"/>
  <c r="W603" i="41"/>
  <c r="X603" i="41"/>
  <c r="P604" i="41"/>
  <c r="AD601" i="41"/>
  <c r="R604" i="41"/>
  <c r="S602" i="41"/>
  <c r="V604" i="41" l="1"/>
  <c r="V1350" i="41"/>
  <c r="S603" i="41"/>
  <c r="I603" i="41" s="1"/>
  <c r="M1346" i="41"/>
  <c r="S1349" i="41"/>
  <c r="I1349" i="41" s="1"/>
  <c r="AD1348" i="41"/>
  <c r="AD602" i="41"/>
  <c r="M1345" i="41"/>
  <c r="L1345" i="41" s="1"/>
  <c r="AC602" i="41"/>
  <c r="AE662" i="41" s="1" a="1"/>
  <c r="AE662" i="41" s="1"/>
  <c r="AH662" i="41" s="1"/>
  <c r="AE1348" i="41"/>
  <c r="T1348" i="41"/>
  <c r="W604" i="41"/>
  <c r="X604" i="41"/>
  <c r="P605" i="41"/>
  <c r="O605" i="41"/>
  <c r="R605" i="41"/>
  <c r="V605" i="41" s="1"/>
  <c r="AG661" i="41"/>
  <c r="AK661" i="41"/>
  <c r="AH661" i="41"/>
  <c r="AF661" i="41"/>
  <c r="AI661" i="41"/>
  <c r="AJ661" i="41"/>
  <c r="O1351" i="41"/>
  <c r="R1351" i="41"/>
  <c r="V1351" i="41" s="1"/>
  <c r="W1350" i="41"/>
  <c r="X1350" i="41"/>
  <c r="P1351" i="41"/>
  <c r="U1350" i="41"/>
  <c r="AD1349" i="41" s="1"/>
  <c r="Q1351" i="41"/>
  <c r="H1349" i="41"/>
  <c r="G1349" i="41" s="1"/>
  <c r="M603" i="41"/>
  <c r="L603" i="41" s="1"/>
  <c r="AB1348" i="41"/>
  <c r="I602" i="41"/>
  <c r="H602" i="41"/>
  <c r="G602" i="41" s="1"/>
  <c r="AK1347" i="41"/>
  <c r="AJ1347" i="41"/>
  <c r="AF1347" i="41"/>
  <c r="AH1347" i="41"/>
  <c r="AI1347" i="41"/>
  <c r="AG1347" i="41"/>
  <c r="U604" i="41"/>
  <c r="AD603" i="41" s="1"/>
  <c r="Q605" i="41"/>
  <c r="AB604" i="41" a="1"/>
  <c r="AB604" i="41" s="1"/>
  <c r="AB1349" i="41" l="1"/>
  <c r="H603" i="41"/>
  <c r="G603" i="41" s="1"/>
  <c r="L1346" i="41"/>
  <c r="AJ662" i="41"/>
  <c r="AF662" i="41"/>
  <c r="AK662" i="41"/>
  <c r="AI662" i="41"/>
  <c r="AG662" i="41"/>
  <c r="M1347" i="41"/>
  <c r="AC603" i="41"/>
  <c r="AE663" i="41" s="1" a="1"/>
  <c r="AE663" i="41" s="1"/>
  <c r="AK663" i="41" s="1"/>
  <c r="R606" i="41"/>
  <c r="V606" i="41" s="1"/>
  <c r="R1352" i="41"/>
  <c r="U1351" i="41"/>
  <c r="AC1350" i="41" s="1"/>
  <c r="Q1352" i="41"/>
  <c r="U605" i="41"/>
  <c r="Q606" i="41"/>
  <c r="M604" i="41"/>
  <c r="L604" i="41" s="1"/>
  <c r="O606" i="41"/>
  <c r="AB605" i="41" a="1"/>
  <c r="AB605" i="41" s="1"/>
  <c r="W605" i="41"/>
  <c r="X605" i="41"/>
  <c r="P606" i="41"/>
  <c r="AI1348" i="41"/>
  <c r="AG1348" i="41"/>
  <c r="AJ1348" i="41"/>
  <c r="AF1348" i="41"/>
  <c r="AH1348" i="41"/>
  <c r="AK1348" i="41"/>
  <c r="W1351" i="41"/>
  <c r="X1351" i="41"/>
  <c r="P1352" i="41"/>
  <c r="S604" i="41"/>
  <c r="AC1349" i="41"/>
  <c r="O1352" i="41"/>
  <c r="S1350" i="41"/>
  <c r="S605" i="41" l="1"/>
  <c r="I605" i="41" s="1"/>
  <c r="L1347" i="41"/>
  <c r="AB606" i="41" a="1"/>
  <c r="AB606" i="41" s="1"/>
  <c r="AG663" i="41"/>
  <c r="AI663" i="41"/>
  <c r="S1351" i="41"/>
  <c r="H1351" i="41" s="1"/>
  <c r="G1351" i="41" s="1"/>
  <c r="AJ663" i="41"/>
  <c r="AF663" i="41"/>
  <c r="AD1350" i="41"/>
  <c r="AH663" i="41"/>
  <c r="M1348" i="41"/>
  <c r="AE1349" i="41"/>
  <c r="T1349" i="41"/>
  <c r="U1352" i="41"/>
  <c r="AD1351" i="41" s="1"/>
  <c r="Q1353" i="41"/>
  <c r="AE1350" i="41"/>
  <c r="T1350" i="41"/>
  <c r="I604" i="41"/>
  <c r="H604" i="41"/>
  <c r="G604" i="41" s="1"/>
  <c r="O607" i="41"/>
  <c r="R1353" i="41"/>
  <c r="V1353" i="41" s="1"/>
  <c r="I1351" i="41"/>
  <c r="U606" i="41"/>
  <c r="S606" i="41" s="1"/>
  <c r="Q607" i="41"/>
  <c r="W606" i="41"/>
  <c r="X606" i="41"/>
  <c r="P607" i="41"/>
  <c r="H605" i="41"/>
  <c r="G605" i="41" s="1"/>
  <c r="I1350" i="41"/>
  <c r="H1350" i="41"/>
  <c r="G1350" i="41" s="1"/>
  <c r="AD604" i="41"/>
  <c r="AB1350" i="41"/>
  <c r="R607" i="41"/>
  <c r="M605" i="41"/>
  <c r="L605" i="41" s="1"/>
  <c r="W1352" i="41"/>
  <c r="X1352" i="41"/>
  <c r="P1353" i="41"/>
  <c r="AC604" i="41"/>
  <c r="AE664" i="41" s="1" a="1"/>
  <c r="AE664" i="41" s="1"/>
  <c r="V1352" i="41"/>
  <c r="O1353" i="41" s="1"/>
  <c r="AB607" i="41" l="1" a="1"/>
  <c r="AB607" i="41" s="1"/>
  <c r="L1348" i="41"/>
  <c r="I606" i="41"/>
  <c r="H606" i="41"/>
  <c r="G606" i="41" s="1"/>
  <c r="S1352" i="41"/>
  <c r="H1352" i="41" s="1"/>
  <c r="G1352" i="41" s="1"/>
  <c r="AD605" i="41"/>
  <c r="AC1351" i="41"/>
  <c r="AE1351" i="41" s="1"/>
  <c r="W1353" i="41"/>
  <c r="X1353" i="41"/>
  <c r="P1354" i="41"/>
  <c r="AH1350" i="41"/>
  <c r="AK1350" i="41"/>
  <c r="AF1350" i="41"/>
  <c r="AG1350" i="41"/>
  <c r="AI1350" i="41"/>
  <c r="AJ1350" i="41"/>
  <c r="U607" i="41"/>
  <c r="S607" i="41" s="1"/>
  <c r="I607" i="41" s="1"/>
  <c r="Q608" i="41"/>
  <c r="R1354" i="41"/>
  <c r="V1354" i="41" s="1"/>
  <c r="O1354" i="41"/>
  <c r="W607" i="41"/>
  <c r="X607" i="41"/>
  <c r="P608" i="41"/>
  <c r="AJ664" i="41"/>
  <c r="AG664" i="41"/>
  <c r="AF664" i="41"/>
  <c r="AH664" i="41"/>
  <c r="AI664" i="41"/>
  <c r="AK664" i="41"/>
  <c r="I1352" i="41"/>
  <c r="AB1351" i="41"/>
  <c r="V607" i="41"/>
  <c r="O608" i="41" s="1"/>
  <c r="M606" i="41"/>
  <c r="L606" i="41" s="1"/>
  <c r="U1353" i="41"/>
  <c r="AC1352" i="41" s="1"/>
  <c r="Q1354" i="41"/>
  <c r="R608" i="41"/>
  <c r="V608" i="41" s="1"/>
  <c r="AC605" i="41"/>
  <c r="AE665" i="41" s="1" a="1"/>
  <c r="AE665" i="41" s="1"/>
  <c r="AH1349" i="41"/>
  <c r="AF1349" i="41"/>
  <c r="AI1349" i="41"/>
  <c r="AJ1349" i="41"/>
  <c r="AK1349" i="41"/>
  <c r="AG1349" i="41"/>
  <c r="AD606" i="41" l="1"/>
  <c r="AC606" i="41"/>
  <c r="AE666" i="41" s="1" a="1"/>
  <c r="AE666" i="41" s="1"/>
  <c r="AI666" i="41" s="1"/>
  <c r="AD1352" i="41"/>
  <c r="AB1352" i="41"/>
  <c r="T1351" i="41"/>
  <c r="M1350" i="41"/>
  <c r="M1349" i="41"/>
  <c r="L1349" i="41" s="1"/>
  <c r="H607" i="41"/>
  <c r="G607" i="41" s="1"/>
  <c r="AB608" i="41" a="1"/>
  <c r="AB608" i="41" s="1"/>
  <c r="O1355" i="41"/>
  <c r="AE1352" i="41"/>
  <c r="T1352" i="41"/>
  <c r="R609" i="41"/>
  <c r="R1355" i="41"/>
  <c r="V1355" i="41" s="1"/>
  <c r="W1354" i="41"/>
  <c r="X1354" i="41"/>
  <c r="P1355" i="41"/>
  <c r="S1353" i="41"/>
  <c r="W608" i="41"/>
  <c r="X608" i="41"/>
  <c r="P609" i="41"/>
  <c r="AK666" i="41"/>
  <c r="M607" i="41"/>
  <c r="L607" i="41" s="1"/>
  <c r="U1354" i="41"/>
  <c r="AD1353" i="41" s="1"/>
  <c r="Q1355" i="41"/>
  <c r="AJ1351" i="41"/>
  <c r="AF1351" i="41"/>
  <c r="AK1351" i="41"/>
  <c r="AH1351" i="41"/>
  <c r="AI1351" i="41"/>
  <c r="AG1351" i="41"/>
  <c r="AH665" i="41"/>
  <c r="AI665" i="41"/>
  <c r="AK665" i="41"/>
  <c r="AJ665" i="41"/>
  <c r="AF665" i="41"/>
  <c r="AG665" i="41"/>
  <c r="O609" i="41"/>
  <c r="U608" i="41"/>
  <c r="S608" i="41" s="1"/>
  <c r="I608" i="41" s="1"/>
  <c r="Q609" i="41"/>
  <c r="AG666" i="41" l="1"/>
  <c r="AJ666" i="41"/>
  <c r="AC607" i="41"/>
  <c r="AE667" i="41" s="1" a="1"/>
  <c r="AE667" i="41" s="1"/>
  <c r="AI667" i="41" s="1"/>
  <c r="AH666" i="41"/>
  <c r="AF666" i="41"/>
  <c r="L1350" i="41"/>
  <c r="AD607" i="41"/>
  <c r="M1351" i="41"/>
  <c r="AB609" i="41" a="1"/>
  <c r="AB609" i="41" s="1"/>
  <c r="W609" i="41"/>
  <c r="X609" i="41"/>
  <c r="P610" i="41"/>
  <c r="AC1353" i="41"/>
  <c r="U609" i="41"/>
  <c r="AC608" i="41" s="1"/>
  <c r="AE668" i="41" s="1" a="1"/>
  <c r="AE668" i="41" s="1"/>
  <c r="Q610" i="41"/>
  <c r="O1356" i="41"/>
  <c r="AJ1352" i="41"/>
  <c r="AI1352" i="41"/>
  <c r="AH1352" i="41"/>
  <c r="AK1352" i="41"/>
  <c r="AG1352" i="41"/>
  <c r="AF1352" i="41"/>
  <c r="W1355" i="41"/>
  <c r="X1355" i="41"/>
  <c r="P1356" i="41"/>
  <c r="S1354" i="41"/>
  <c r="R1356" i="41"/>
  <c r="V1356" i="41" s="1"/>
  <c r="R610" i="41"/>
  <c r="H608" i="41"/>
  <c r="G608" i="41" s="1"/>
  <c r="M608" i="41"/>
  <c r="L608" i="41" s="1"/>
  <c r="AB1353" i="41"/>
  <c r="I1353" i="41"/>
  <c r="H1353" i="41"/>
  <c r="G1353" i="41" s="1"/>
  <c r="V609" i="41"/>
  <c r="O610" i="41" s="1"/>
  <c r="U1355" i="41"/>
  <c r="Q1356" i="41"/>
  <c r="AD608" i="41" l="1"/>
  <c r="V610" i="41"/>
  <c r="AK667" i="41"/>
  <c r="AF667" i="41"/>
  <c r="AH667" i="41"/>
  <c r="AJ667" i="41"/>
  <c r="AG667" i="41"/>
  <c r="L1351" i="41"/>
  <c r="M1352" i="41"/>
  <c r="S1355" i="41"/>
  <c r="H1355" i="41" s="1"/>
  <c r="G1355" i="41" s="1"/>
  <c r="AI668" i="41"/>
  <c r="AJ668" i="41"/>
  <c r="AG668" i="41"/>
  <c r="AF668" i="41"/>
  <c r="AK668" i="41"/>
  <c r="AH668" i="41"/>
  <c r="O1357" i="41"/>
  <c r="I1354" i="41"/>
  <c r="H1354" i="41"/>
  <c r="G1354" i="41" s="1"/>
  <c r="AB1354" i="41"/>
  <c r="AC1354" i="41"/>
  <c r="R611" i="41"/>
  <c r="V611" i="41" s="1"/>
  <c r="W610" i="41"/>
  <c r="X610" i="41"/>
  <c r="P611" i="41"/>
  <c r="R1357" i="41"/>
  <c r="V1357" i="41" s="1"/>
  <c r="O611" i="41"/>
  <c r="AD1354" i="41"/>
  <c r="W1356" i="41"/>
  <c r="X1356" i="41"/>
  <c r="P1357" i="41"/>
  <c r="AE1353" i="41"/>
  <c r="T1353" i="41"/>
  <c r="U610" i="41"/>
  <c r="AD609" i="41" s="1"/>
  <c r="Q611" i="41"/>
  <c r="AB610" i="41" a="1"/>
  <c r="AB610" i="41" s="1"/>
  <c r="S609" i="41"/>
  <c r="U1356" i="41"/>
  <c r="Q1357" i="41"/>
  <c r="M609" i="41"/>
  <c r="L609" i="41" s="1"/>
  <c r="S1356" i="41" l="1"/>
  <c r="I1355" i="41"/>
  <c r="L1352" i="41"/>
  <c r="I1356" i="41"/>
  <c r="H1356" i="41"/>
  <c r="G1356" i="41" s="1"/>
  <c r="W1357" i="41"/>
  <c r="X1357" i="41"/>
  <c r="P1358" i="41"/>
  <c r="R1358" i="41"/>
  <c r="O1358" i="41"/>
  <c r="I609" i="41"/>
  <c r="H609" i="41"/>
  <c r="G609" i="41" s="1"/>
  <c r="R612" i="41"/>
  <c r="V612" i="41" s="1"/>
  <c r="M610" i="41"/>
  <c r="L610" i="41" s="1"/>
  <c r="O612" i="41"/>
  <c r="W611" i="41"/>
  <c r="X611" i="41"/>
  <c r="P612" i="41"/>
  <c r="AB1355" i="41"/>
  <c r="AB611" i="41" a="1"/>
  <c r="AB611" i="41" s="1"/>
  <c r="U611" i="41"/>
  <c r="AD610" i="41" s="1"/>
  <c r="Q612" i="41"/>
  <c r="AE1354" i="41"/>
  <c r="T1354" i="41"/>
  <c r="S610" i="41"/>
  <c r="AJ1353" i="41"/>
  <c r="AI1353" i="41"/>
  <c r="AH1353" i="41"/>
  <c r="AG1353" i="41"/>
  <c r="AF1353" i="41"/>
  <c r="AK1353" i="41"/>
  <c r="U1357" i="41"/>
  <c r="Q1358" i="41"/>
  <c r="AC1355" i="41"/>
  <c r="AC609" i="41"/>
  <c r="AE669" i="41" s="1" a="1"/>
  <c r="AE669" i="41" s="1"/>
  <c r="AD1355" i="41"/>
  <c r="S1357" i="41" l="1"/>
  <c r="H1357" i="41" s="1"/>
  <c r="G1357" i="41" s="1"/>
  <c r="AC1356" i="41"/>
  <c r="T1356" i="41" s="1"/>
  <c r="AB612" i="41" a="1"/>
  <c r="AB612" i="41" s="1"/>
  <c r="U1358" i="41"/>
  <c r="Q1359" i="41"/>
  <c r="R1359" i="41"/>
  <c r="AG669" i="41"/>
  <c r="AH669" i="41"/>
  <c r="AJ669" i="41"/>
  <c r="AF669" i="41"/>
  <c r="AK669" i="41"/>
  <c r="AI669" i="41"/>
  <c r="AJ1354" i="41"/>
  <c r="AH1354" i="41"/>
  <c r="AI1354" i="41"/>
  <c r="AG1354" i="41"/>
  <c r="AF1354" i="41"/>
  <c r="AK1354" i="41"/>
  <c r="S611" i="41"/>
  <c r="I1357" i="41"/>
  <c r="W612" i="41"/>
  <c r="X612" i="41"/>
  <c r="P613" i="41"/>
  <c r="U612" i="41"/>
  <c r="AC611" i="41" s="1"/>
  <c r="AE671" i="41" s="1" a="1"/>
  <c r="AE671" i="41" s="1"/>
  <c r="Q613" i="41"/>
  <c r="I610" i="41"/>
  <c r="H610" i="41"/>
  <c r="G610" i="41" s="1"/>
  <c r="AE1355" i="41"/>
  <c r="T1355" i="41"/>
  <c r="W1358" i="41"/>
  <c r="X1358" i="41"/>
  <c r="P1359" i="41"/>
  <c r="V1358" i="41"/>
  <c r="O1359" i="41" s="1"/>
  <c r="AE1356" i="41"/>
  <c r="O613" i="41"/>
  <c r="AC610" i="41"/>
  <c r="AE670" i="41" s="1" a="1"/>
  <c r="AE670" i="41" s="1"/>
  <c r="M611" i="41"/>
  <c r="L611" i="41" s="1"/>
  <c r="AB1356" i="41"/>
  <c r="M1353" i="41"/>
  <c r="L1353" i="41" s="1"/>
  <c r="R613" i="41"/>
  <c r="V613" i="41" s="1"/>
  <c r="AD1356" i="41"/>
  <c r="S1358" i="41" l="1"/>
  <c r="AB613" i="41" a="1"/>
  <c r="AB613" i="41" s="1"/>
  <c r="H1358" i="41"/>
  <c r="G1358" i="41" s="1"/>
  <c r="I1358" i="41"/>
  <c r="S612" i="41"/>
  <c r="I612" i="41" s="1"/>
  <c r="AD611" i="41"/>
  <c r="H612" i="41"/>
  <c r="G612" i="41" s="1"/>
  <c r="M612" i="41"/>
  <c r="L612" i="41" s="1"/>
  <c r="AH671" i="41"/>
  <c r="AG671" i="41"/>
  <c r="AF671" i="41"/>
  <c r="AI671" i="41"/>
  <c r="AK671" i="41"/>
  <c r="AJ671" i="41"/>
  <c r="U1359" i="41"/>
  <c r="Q1360" i="41"/>
  <c r="W1359" i="41"/>
  <c r="P1360" i="41"/>
  <c r="X1359" i="41"/>
  <c r="AH1355" i="41"/>
  <c r="AF1355" i="41"/>
  <c r="AG1355" i="41"/>
  <c r="AI1355" i="41"/>
  <c r="AK1355" i="41"/>
  <c r="AJ1355" i="41"/>
  <c r="AB1357" i="41"/>
  <c r="W613" i="41"/>
  <c r="X613" i="41"/>
  <c r="P614" i="41"/>
  <c r="M1354" i="41"/>
  <c r="L1354" i="41" s="1"/>
  <c r="O614" i="41"/>
  <c r="AF670" i="41"/>
  <c r="AJ670" i="41"/>
  <c r="AG670" i="41"/>
  <c r="AI670" i="41"/>
  <c r="AK670" i="41"/>
  <c r="AH670" i="41"/>
  <c r="I611" i="41"/>
  <c r="H611" i="41"/>
  <c r="G611" i="41" s="1"/>
  <c r="U613" i="41"/>
  <c r="AD612" i="41" s="1"/>
  <c r="Q614" i="41"/>
  <c r="AK1356" i="41"/>
  <c r="AF1356" i="41"/>
  <c r="AJ1356" i="41"/>
  <c r="AI1356" i="41"/>
  <c r="AG1356" i="41"/>
  <c r="AH1356" i="41"/>
  <c r="AC1357" i="41"/>
  <c r="R1360" i="41"/>
  <c r="R614" i="41"/>
  <c r="V614" i="41" s="1"/>
  <c r="V1359" i="41"/>
  <c r="O1360" i="41" s="1"/>
  <c r="AD1357" i="41"/>
  <c r="V1360" i="41" l="1"/>
  <c r="M1356" i="41"/>
  <c r="S613" i="41"/>
  <c r="I613" i="41" s="1"/>
  <c r="M1355" i="41"/>
  <c r="L1355" i="41" s="1"/>
  <c r="W1360" i="41"/>
  <c r="X1360" i="41"/>
  <c r="P1361" i="41"/>
  <c r="AE1357" i="41"/>
  <c r="T1357" i="41"/>
  <c r="M613" i="41"/>
  <c r="L613" i="41" s="1"/>
  <c r="O615" i="41"/>
  <c r="R615" i="41"/>
  <c r="V615" i="41" s="1"/>
  <c r="AC1358" i="41"/>
  <c r="W614" i="41"/>
  <c r="X614" i="41"/>
  <c r="P615" i="41"/>
  <c r="AC612" i="41"/>
  <c r="AE672" i="41" s="1" a="1"/>
  <c r="AE672" i="41" s="1"/>
  <c r="AD1358" i="41"/>
  <c r="R1361" i="41"/>
  <c r="V1361" i="41" s="1"/>
  <c r="AB1358" i="41"/>
  <c r="U1360" i="41"/>
  <c r="Q1361" i="41"/>
  <c r="U614" i="41"/>
  <c r="AC613" i="41" s="1"/>
  <c r="AE673" i="41" s="1" a="1"/>
  <c r="AE673" i="41" s="1"/>
  <c r="Q615" i="41"/>
  <c r="AB614" i="41" a="1"/>
  <c r="AB614" i="41" s="1"/>
  <c r="S1359" i="41"/>
  <c r="O1361" i="41"/>
  <c r="H613" i="41" l="1"/>
  <c r="G613" i="41" s="1"/>
  <c r="L1356" i="41"/>
  <c r="AH673" i="41"/>
  <c r="AK673" i="41"/>
  <c r="AJ673" i="41"/>
  <c r="AF673" i="41"/>
  <c r="AG673" i="41"/>
  <c r="AI673" i="41"/>
  <c r="AE1358" i="41"/>
  <c r="T1358" i="41"/>
  <c r="AD613" i="41"/>
  <c r="R616" i="41"/>
  <c r="V616" i="41" s="1"/>
  <c r="M614" i="41"/>
  <c r="L614" i="41" s="1"/>
  <c r="AB1359" i="41"/>
  <c r="R1362" i="41"/>
  <c r="U615" i="41"/>
  <c r="Q616" i="41"/>
  <c r="O1362" i="41"/>
  <c r="AF1357" i="41"/>
  <c r="AJ1357" i="41"/>
  <c r="AI1357" i="41"/>
  <c r="AH1357" i="41"/>
  <c r="AG1357" i="41"/>
  <c r="AK1357" i="41"/>
  <c r="AC1359" i="41"/>
  <c r="AD1359" i="41"/>
  <c r="AB615" i="41" a="1"/>
  <c r="AB615" i="41" s="1"/>
  <c r="W615" i="41"/>
  <c r="X615" i="41"/>
  <c r="P616" i="41"/>
  <c r="O616" i="41"/>
  <c r="W1361" i="41"/>
  <c r="X1361" i="41"/>
  <c r="P1362" i="41"/>
  <c r="S1360" i="41"/>
  <c r="U1361" i="41"/>
  <c r="AD1360" i="41" s="1"/>
  <c r="Q1362" i="41"/>
  <c r="H1359" i="41"/>
  <c r="G1359" i="41" s="1"/>
  <c r="I1359" i="41"/>
  <c r="AF672" i="41"/>
  <c r="AK672" i="41"/>
  <c r="AI672" i="41"/>
  <c r="AH672" i="41"/>
  <c r="AG672" i="41"/>
  <c r="AJ672" i="41"/>
  <c r="S614" i="41"/>
  <c r="AB1360" i="41" l="1"/>
  <c r="AC1360" i="41"/>
  <c r="AE1360" i="41" s="1"/>
  <c r="M1357" i="41"/>
  <c r="L1357" i="41" s="1"/>
  <c r="S615" i="41"/>
  <c r="I615" i="41" s="1"/>
  <c r="H615" i="41"/>
  <c r="G615" i="41" s="1"/>
  <c r="O617" i="41"/>
  <c r="R1363" i="41"/>
  <c r="AJ1358" i="41"/>
  <c r="AK1358" i="41"/>
  <c r="AF1358" i="41"/>
  <c r="AI1358" i="41"/>
  <c r="AH1358" i="41"/>
  <c r="AG1358" i="41"/>
  <c r="T1360" i="41"/>
  <c r="M615" i="41"/>
  <c r="L615" i="41" s="1"/>
  <c r="AE1359" i="41"/>
  <c r="T1359" i="41"/>
  <c r="AC614" i="41"/>
  <c r="AE674" i="41" s="1" a="1"/>
  <c r="AE674" i="41" s="1"/>
  <c r="U1362" i="41"/>
  <c r="Q1363" i="41"/>
  <c r="W616" i="41"/>
  <c r="X616" i="41"/>
  <c r="P617" i="41"/>
  <c r="H1360" i="41"/>
  <c r="G1360" i="41" s="1"/>
  <c r="I1360" i="41"/>
  <c r="AD614" i="41"/>
  <c r="R617" i="41"/>
  <c r="V617" i="41" s="1"/>
  <c r="W1362" i="41"/>
  <c r="X1362" i="41"/>
  <c r="P1363" i="41"/>
  <c r="U616" i="41"/>
  <c r="Q617" i="41"/>
  <c r="I614" i="41"/>
  <c r="H614" i="41"/>
  <c r="G614" i="41" s="1"/>
  <c r="V1362" i="41"/>
  <c r="O1363" i="41" s="1"/>
  <c r="S1361" i="41"/>
  <c r="AB616" i="41" a="1"/>
  <c r="AB616" i="41" s="1"/>
  <c r="V1363" i="41" l="1"/>
  <c r="S616" i="41"/>
  <c r="I616" i="41" s="1"/>
  <c r="AD615" i="41"/>
  <c r="W1363" i="41"/>
  <c r="X1363" i="41"/>
  <c r="P1364" i="41"/>
  <c r="H616" i="41"/>
  <c r="G616" i="41" s="1"/>
  <c r="AB1361" i="41"/>
  <c r="M1358" i="41"/>
  <c r="L1358" i="41" s="1"/>
  <c r="AD1361" i="41"/>
  <c r="AI674" i="41"/>
  <c r="AG674" i="41"/>
  <c r="AJ674" i="41"/>
  <c r="AH674" i="41"/>
  <c r="AF674" i="41"/>
  <c r="AK674" i="41"/>
  <c r="U1363" i="41"/>
  <c r="Q1364" i="41"/>
  <c r="R618" i="41"/>
  <c r="W617" i="41"/>
  <c r="X617" i="41"/>
  <c r="P618" i="41"/>
  <c r="AF1359" i="41"/>
  <c r="AH1359" i="41"/>
  <c r="AG1359" i="41"/>
  <c r="AJ1359" i="41"/>
  <c r="AI1359" i="41"/>
  <c r="AK1359" i="41"/>
  <c r="I1361" i="41"/>
  <c r="H1361" i="41"/>
  <c r="G1361" i="41" s="1"/>
  <c r="U617" i="41"/>
  <c r="AC616" i="41" s="1"/>
  <c r="AE676" i="41" s="1" a="1"/>
  <c r="AE676" i="41" s="1"/>
  <c r="Q618" i="41"/>
  <c r="O618" i="41"/>
  <c r="R1364" i="41"/>
  <c r="V1364" i="41" s="1"/>
  <c r="AC1361" i="41"/>
  <c r="M616" i="41"/>
  <c r="L616" i="41" s="1"/>
  <c r="O1364" i="41"/>
  <c r="AB617" i="41" a="1"/>
  <c r="AB617" i="41" s="1"/>
  <c r="AJ1360" i="41"/>
  <c r="AG1360" i="41"/>
  <c r="AF1360" i="41"/>
  <c r="AH1360" i="41"/>
  <c r="AI1360" i="41"/>
  <c r="AK1360" i="41"/>
  <c r="AC615" i="41"/>
  <c r="AE675" i="41" s="1" a="1"/>
  <c r="AE675" i="41" s="1"/>
  <c r="S1362" i="41"/>
  <c r="AB618" i="41" l="1" a="1"/>
  <c r="AB618" i="41" s="1"/>
  <c r="S617" i="41"/>
  <c r="I617" i="41" s="1"/>
  <c r="M1360" i="41"/>
  <c r="AD616" i="41"/>
  <c r="W1364" i="41"/>
  <c r="X1364" i="41"/>
  <c r="P1365" i="41"/>
  <c r="O1365" i="41"/>
  <c r="AD1362" i="41"/>
  <c r="AG676" i="41"/>
  <c r="AF676" i="41"/>
  <c r="AH676" i="41"/>
  <c r="AI676" i="41"/>
  <c r="AK676" i="41"/>
  <c r="AJ676" i="41"/>
  <c r="AC1362" i="41"/>
  <c r="I1362" i="41"/>
  <c r="H1362" i="41"/>
  <c r="G1362" i="41" s="1"/>
  <c r="W618" i="41"/>
  <c r="X618" i="41"/>
  <c r="P619" i="41"/>
  <c r="R1365" i="41"/>
  <c r="V1365" i="41" s="1"/>
  <c r="R619" i="41"/>
  <c r="U618" i="41"/>
  <c r="AD617" i="41" s="1"/>
  <c r="Q619" i="41"/>
  <c r="AI675" i="41"/>
  <c r="AJ675" i="41"/>
  <c r="AH675" i="41"/>
  <c r="AG675" i="41"/>
  <c r="AK675" i="41"/>
  <c r="AF675" i="41"/>
  <c r="S1363" i="41"/>
  <c r="AE1361" i="41"/>
  <c r="T1361" i="41"/>
  <c r="U1364" i="41"/>
  <c r="AC1363" i="41" s="1"/>
  <c r="Q1365" i="41"/>
  <c r="M1359" i="41"/>
  <c r="L1359" i="41" s="1"/>
  <c r="AB1362" i="41"/>
  <c r="V618" i="41"/>
  <c r="O619" i="41" s="1"/>
  <c r="H617" i="41"/>
  <c r="G617" i="41" s="1"/>
  <c r="M617" i="41"/>
  <c r="L617" i="41" s="1"/>
  <c r="V619" i="41" l="1"/>
  <c r="L1360" i="41"/>
  <c r="S1364" i="41"/>
  <c r="H1364" i="41" s="1"/>
  <c r="G1364" i="41" s="1"/>
  <c r="AD1363" i="41"/>
  <c r="AC617" i="41"/>
  <c r="AE677" i="41" s="1" a="1"/>
  <c r="AE677" i="41" s="1"/>
  <c r="AH677" i="41" s="1"/>
  <c r="S618" i="41"/>
  <c r="I618" i="41" s="1"/>
  <c r="W619" i="41"/>
  <c r="X619" i="41"/>
  <c r="P620" i="41"/>
  <c r="R620" i="41"/>
  <c r="V620" i="41" s="1"/>
  <c r="W1365" i="41"/>
  <c r="X1365" i="41"/>
  <c r="P1366" i="41"/>
  <c r="R1366" i="41"/>
  <c r="V1366" i="41" s="1"/>
  <c r="O620" i="41"/>
  <c r="AE1362" i="41"/>
  <c r="T1362" i="41"/>
  <c r="I1364" i="41"/>
  <c r="O1366" i="41"/>
  <c r="AB619" i="41" a="1"/>
  <c r="AB619" i="41" s="1"/>
  <c r="M618" i="41"/>
  <c r="L618" i="41" s="1"/>
  <c r="H1363" i="41"/>
  <c r="G1363" i="41" s="1"/>
  <c r="I1363" i="41"/>
  <c r="AB1363" i="41"/>
  <c r="AE1363" i="41"/>
  <c r="T1363" i="41"/>
  <c r="AK1361" i="41"/>
  <c r="AF1361" i="41"/>
  <c r="AI1361" i="41"/>
  <c r="AH1361" i="41"/>
  <c r="AJ1361" i="41"/>
  <c r="AG1361" i="41"/>
  <c r="U619" i="41"/>
  <c r="Q620" i="41"/>
  <c r="U1365" i="41"/>
  <c r="S1365" i="41" s="1"/>
  <c r="I1365" i="41" s="1"/>
  <c r="Q1366" i="41"/>
  <c r="H618" i="41" l="1"/>
  <c r="G618" i="41" s="1"/>
  <c r="AB620" i="41" a="1"/>
  <c r="AB620" i="41" s="1"/>
  <c r="AF677" i="41"/>
  <c r="AK677" i="41"/>
  <c r="AI677" i="41"/>
  <c r="AJ677" i="41"/>
  <c r="AG677" i="41"/>
  <c r="M1361" i="41"/>
  <c r="L1361" i="41" s="1"/>
  <c r="AD1364" i="41"/>
  <c r="AC1364" i="41"/>
  <c r="AE1364" i="41" s="1"/>
  <c r="W1366" i="41"/>
  <c r="X1366" i="41"/>
  <c r="P1367" i="41"/>
  <c r="H1365" i="41"/>
  <c r="G1365" i="41" s="1"/>
  <c r="R1367" i="41"/>
  <c r="V1367" i="41" s="1"/>
  <c r="U620" i="41"/>
  <c r="AD619" i="41" s="1"/>
  <c r="Q621" i="41"/>
  <c r="O1367" i="41"/>
  <c r="R621" i="41"/>
  <c r="V621" i="41" s="1"/>
  <c r="W620" i="41"/>
  <c r="X620" i="41"/>
  <c r="P621" i="41"/>
  <c r="AJ1363" i="41"/>
  <c r="AK1363" i="41"/>
  <c r="AI1363" i="41"/>
  <c r="AH1363" i="41"/>
  <c r="AG1363" i="41"/>
  <c r="AF1363" i="41"/>
  <c r="AG1362" i="41"/>
  <c r="AF1362" i="41"/>
  <c r="AI1362" i="41"/>
  <c r="AK1362" i="41"/>
  <c r="AJ1362" i="41"/>
  <c r="AH1362" i="41"/>
  <c r="AB1364" i="41"/>
  <c r="AC618" i="41"/>
  <c r="AE678" i="41" s="1" a="1"/>
  <c r="AE678" i="41" s="1"/>
  <c r="M619" i="41"/>
  <c r="L619" i="41" s="1"/>
  <c r="AD618" i="41"/>
  <c r="S619" i="41"/>
  <c r="U1366" i="41"/>
  <c r="Q1367" i="41"/>
  <c r="O621" i="41"/>
  <c r="T1364" i="41" l="1"/>
  <c r="M1363" i="41"/>
  <c r="M1362" i="41"/>
  <c r="L1362" i="41" s="1"/>
  <c r="AC619" i="41"/>
  <c r="AE679" i="41" s="1" a="1"/>
  <c r="AE679" i="41" s="1"/>
  <c r="AJ679" i="41" s="1"/>
  <c r="AB1365" i="41"/>
  <c r="U1367" i="41"/>
  <c r="AB1366" i="41" s="1"/>
  <c r="Q1368" i="41"/>
  <c r="R622" i="41"/>
  <c r="O1368" i="41"/>
  <c r="R1368" i="41"/>
  <c r="V1368" i="41" s="1"/>
  <c r="I619" i="41"/>
  <c r="H619" i="41"/>
  <c r="G619" i="41" s="1"/>
  <c r="AH678" i="41"/>
  <c r="AI678" i="41"/>
  <c r="AG678" i="41"/>
  <c r="AJ678" i="41"/>
  <c r="AF678" i="41"/>
  <c r="AK678" i="41"/>
  <c r="AB621" i="41" a="1"/>
  <c r="AB621" i="41" s="1"/>
  <c r="W1367" i="41"/>
  <c r="X1367" i="41"/>
  <c r="P1368" i="41"/>
  <c r="AC1365" i="41"/>
  <c r="U621" i="41"/>
  <c r="AD620" i="41" s="1"/>
  <c r="Q622" i="41"/>
  <c r="S1366" i="41"/>
  <c r="M620" i="41"/>
  <c r="L620" i="41" s="1"/>
  <c r="W621" i="41"/>
  <c r="X621" i="41"/>
  <c r="P622" i="41"/>
  <c r="AD1365" i="41"/>
  <c r="O622" i="41"/>
  <c r="S620" i="41"/>
  <c r="AI1364" i="41"/>
  <c r="AK1364" i="41"/>
  <c r="AJ1364" i="41"/>
  <c r="AF1364" i="41"/>
  <c r="AH1364" i="41"/>
  <c r="AG1364" i="41"/>
  <c r="AF679" i="41" l="1"/>
  <c r="AK679" i="41"/>
  <c r="AH679" i="41"/>
  <c r="AG679" i="41"/>
  <c r="L1363" i="41"/>
  <c r="AB622" i="41" a="1"/>
  <c r="AB622" i="41" s="1"/>
  <c r="AI679" i="41"/>
  <c r="AC620" i="41"/>
  <c r="AE680" i="41" s="1" a="1"/>
  <c r="AE680" i="41" s="1"/>
  <c r="AF680" i="41" s="1"/>
  <c r="M1364" i="41"/>
  <c r="M621" i="41"/>
  <c r="L621" i="41" s="1"/>
  <c r="AE1365" i="41"/>
  <c r="T1365" i="41"/>
  <c r="U622" i="41"/>
  <c r="Q623" i="41"/>
  <c r="O1369" i="41"/>
  <c r="W1368" i="41"/>
  <c r="X1368" i="41"/>
  <c r="P1369" i="41"/>
  <c r="U1368" i="41"/>
  <c r="AB1367" i="41" s="1"/>
  <c r="Q1369" i="41"/>
  <c r="S1367" i="41"/>
  <c r="AC1366" i="41"/>
  <c r="R623" i="41"/>
  <c r="H1366" i="41"/>
  <c r="G1366" i="41" s="1"/>
  <c r="I1366" i="41"/>
  <c r="I620" i="41"/>
  <c r="H620" i="41"/>
  <c r="G620" i="41" s="1"/>
  <c r="V622" i="41"/>
  <c r="O623" i="41" s="1"/>
  <c r="AD1366" i="41"/>
  <c r="R1369" i="41"/>
  <c r="V1369" i="41" s="1"/>
  <c r="W622" i="41"/>
  <c r="X622" i="41"/>
  <c r="P623" i="41"/>
  <c r="S621" i="41"/>
  <c r="V623" i="41" l="1"/>
  <c r="L1364" i="41"/>
  <c r="S622" i="41"/>
  <c r="I622" i="41" s="1"/>
  <c r="AI680" i="41"/>
  <c r="AG680" i="41"/>
  <c r="AK680" i="41"/>
  <c r="AH680" i="41"/>
  <c r="AJ680" i="41"/>
  <c r="W623" i="41"/>
  <c r="X623" i="41"/>
  <c r="P624" i="41"/>
  <c r="H622" i="41"/>
  <c r="G622" i="41" s="1"/>
  <c r="S1368" i="41"/>
  <c r="O624" i="41"/>
  <c r="U1369" i="41"/>
  <c r="Q1370" i="41"/>
  <c r="R624" i="41"/>
  <c r="I621" i="41"/>
  <c r="H621" i="41"/>
  <c r="G621" i="41" s="1"/>
  <c r="AC1367" i="41"/>
  <c r="AD1367" i="41"/>
  <c r="M622" i="41"/>
  <c r="L622" i="41" s="1"/>
  <c r="R1370" i="41"/>
  <c r="H1367" i="41"/>
  <c r="G1367" i="41" s="1"/>
  <c r="I1367" i="41"/>
  <c r="AH1365" i="41"/>
  <c r="AI1365" i="41"/>
  <c r="AK1365" i="41"/>
  <c r="AF1365" i="41"/>
  <c r="AJ1365" i="41"/>
  <c r="AG1365" i="41"/>
  <c r="W1369" i="41"/>
  <c r="X1369" i="41"/>
  <c r="P1370" i="41"/>
  <c r="U623" i="41"/>
  <c r="AC622" i="41" s="1"/>
  <c r="AE682" i="41" s="1" a="1"/>
  <c r="AE682" i="41" s="1"/>
  <c r="Q624" i="41"/>
  <c r="AB623" i="41" a="1"/>
  <c r="AB623" i="41" s="1"/>
  <c r="AE1366" i="41"/>
  <c r="T1366" i="41"/>
  <c r="AC621" i="41"/>
  <c r="AE681" i="41" s="1" a="1"/>
  <c r="AE681" i="41" s="1"/>
  <c r="AD621" i="41"/>
  <c r="O1370" i="41"/>
  <c r="S1369" i="41" l="1"/>
  <c r="I1369" i="41" s="1"/>
  <c r="AD622" i="41"/>
  <c r="S623" i="41"/>
  <c r="I623" i="41" s="1"/>
  <c r="AC1368" i="41"/>
  <c r="AE1368" i="41" s="1"/>
  <c r="AB1368" i="41"/>
  <c r="AD1368" i="41"/>
  <c r="AH682" i="41"/>
  <c r="AI682" i="41"/>
  <c r="AJ682" i="41"/>
  <c r="AG682" i="41"/>
  <c r="AK682" i="41"/>
  <c r="AF682" i="41"/>
  <c r="W624" i="41"/>
  <c r="X624" i="41"/>
  <c r="P625" i="41"/>
  <c r="T1368" i="41"/>
  <c r="M1365" i="41"/>
  <c r="L1365" i="41" s="1"/>
  <c r="H1368" i="41"/>
  <c r="G1368" i="41" s="1"/>
  <c r="I1368" i="41"/>
  <c r="AH1366" i="41"/>
  <c r="AI1366" i="41"/>
  <c r="AJ1366" i="41"/>
  <c r="AK1366" i="41"/>
  <c r="AF1366" i="41"/>
  <c r="AG1366" i="41"/>
  <c r="U624" i="41"/>
  <c r="Q625" i="41"/>
  <c r="R625" i="41"/>
  <c r="AE1367" i="41"/>
  <c r="T1367" i="41"/>
  <c r="H623" i="41"/>
  <c r="G623" i="41" s="1"/>
  <c r="AI681" i="41"/>
  <c r="AK681" i="41"/>
  <c r="AJ681" i="41"/>
  <c r="AH681" i="41"/>
  <c r="AF681" i="41"/>
  <c r="AG681" i="41"/>
  <c r="AB624" i="41" a="1"/>
  <c r="AB624" i="41" s="1"/>
  <c r="R1371" i="41"/>
  <c r="U1370" i="41"/>
  <c r="AC1369" i="41" s="1"/>
  <c r="Q1371" i="41"/>
  <c r="M623" i="41"/>
  <c r="L623" i="41" s="1"/>
  <c r="V624" i="41"/>
  <c r="O625" i="41" s="1"/>
  <c r="H1369" i="41"/>
  <c r="G1369" i="41" s="1"/>
  <c r="W1370" i="41"/>
  <c r="X1370" i="41"/>
  <c r="P1371" i="41"/>
  <c r="V1370" i="41"/>
  <c r="O1371" i="41" s="1"/>
  <c r="M1366" i="41" l="1"/>
  <c r="L1366" i="41" s="1"/>
  <c r="V1371" i="41"/>
  <c r="V625" i="41"/>
  <c r="O626" i="41" s="1"/>
  <c r="AH1368" i="41"/>
  <c r="AF1368" i="41"/>
  <c r="AJ1368" i="41"/>
  <c r="AK1368" i="41"/>
  <c r="AG1368" i="41"/>
  <c r="AI1368" i="41"/>
  <c r="R1372" i="41"/>
  <c r="R626" i="41"/>
  <c r="V626" i="41" s="1"/>
  <c r="AE1369" i="41"/>
  <c r="T1369" i="41"/>
  <c r="U1371" i="41"/>
  <c r="Q1372" i="41"/>
  <c r="M624" i="41"/>
  <c r="L624" i="41" s="1"/>
  <c r="AD623" i="41"/>
  <c r="AC623" i="41"/>
  <c r="AE683" i="41" s="1" a="1"/>
  <c r="AE683" i="41" s="1"/>
  <c r="S624" i="41"/>
  <c r="AF1367" i="41"/>
  <c r="AJ1367" i="41"/>
  <c r="AH1367" i="41"/>
  <c r="AG1367" i="41"/>
  <c r="AI1367" i="41"/>
  <c r="AK1367" i="41"/>
  <c r="O1372" i="41"/>
  <c r="W1371" i="41"/>
  <c r="X1371" i="41"/>
  <c r="P1372" i="41"/>
  <c r="AB625" i="41" a="1"/>
  <c r="AB625" i="41" s="1"/>
  <c r="W625" i="41"/>
  <c r="X625" i="41"/>
  <c r="P626" i="41"/>
  <c r="U625" i="41"/>
  <c r="Q626" i="41"/>
  <c r="AB1369" i="41"/>
  <c r="AD1369" i="41"/>
  <c r="S1370" i="41"/>
  <c r="V1372" i="41" l="1"/>
  <c r="M1367" i="41"/>
  <c r="L1367" i="41" s="1"/>
  <c r="M1368" i="41"/>
  <c r="S1371" i="41"/>
  <c r="I1371" i="41" s="1"/>
  <c r="AD1370" i="41"/>
  <c r="AC1370" i="41"/>
  <c r="AE1370" i="41" s="1"/>
  <c r="AH683" i="41"/>
  <c r="AF683" i="41"/>
  <c r="AI683" i="41"/>
  <c r="AG683" i="41"/>
  <c r="AK683" i="41"/>
  <c r="AJ683" i="41"/>
  <c r="R627" i="41"/>
  <c r="V627" i="41" s="1"/>
  <c r="AK1369" i="41"/>
  <c r="AF1369" i="41"/>
  <c r="AG1369" i="41"/>
  <c r="AI1369" i="41"/>
  <c r="AJ1369" i="41"/>
  <c r="AH1369" i="41"/>
  <c r="I624" i="41"/>
  <c r="H624" i="41"/>
  <c r="G624" i="41" s="1"/>
  <c r="W626" i="41"/>
  <c r="X626" i="41"/>
  <c r="P627" i="41"/>
  <c r="AC624" i="41"/>
  <c r="AE684" i="41" s="1" a="1"/>
  <c r="AE684" i="41" s="1"/>
  <c r="S625" i="41"/>
  <c r="W1372" i="41"/>
  <c r="X1372" i="41"/>
  <c r="P1373" i="41"/>
  <c r="O627" i="41"/>
  <c r="U626" i="41"/>
  <c r="Q627" i="41"/>
  <c r="O1373" i="41"/>
  <c r="R1373" i="41"/>
  <c r="V1373" i="41" s="1"/>
  <c r="AB626" i="41" a="1"/>
  <c r="AB626" i="41" s="1"/>
  <c r="U1372" i="41"/>
  <c r="Q1373" i="41"/>
  <c r="AD624" i="41"/>
  <c r="M625" i="41"/>
  <c r="L625" i="41" s="1"/>
  <c r="H1370" i="41"/>
  <c r="G1370" i="41" s="1"/>
  <c r="I1370" i="41"/>
  <c r="AB1370" i="41"/>
  <c r="H1371" i="41" l="1"/>
  <c r="G1371" i="41" s="1"/>
  <c r="L1368" i="41"/>
  <c r="T1370" i="41"/>
  <c r="M1369" i="41"/>
  <c r="AI1370" i="41"/>
  <c r="AF1370" i="41"/>
  <c r="AJ1370" i="41"/>
  <c r="AG1370" i="41"/>
  <c r="AK1370" i="41"/>
  <c r="AH1370" i="41"/>
  <c r="R628" i="41"/>
  <c r="V628" i="41" s="1"/>
  <c r="O1374" i="41"/>
  <c r="U627" i="41"/>
  <c r="Q628" i="41"/>
  <c r="AB1371" i="41"/>
  <c r="AD1371" i="41"/>
  <c r="M626" i="41"/>
  <c r="L626" i="41" s="1"/>
  <c r="AB627" i="41" a="1"/>
  <c r="AB627" i="41" s="1"/>
  <c r="AF684" i="41"/>
  <c r="AJ684" i="41"/>
  <c r="AG684" i="41"/>
  <c r="AH684" i="41"/>
  <c r="AI684" i="41"/>
  <c r="AK684" i="41"/>
  <c r="S626" i="41"/>
  <c r="R1374" i="41"/>
  <c r="V1374" i="41" s="1"/>
  <c r="AC625" i="41"/>
  <c r="AE685" i="41" s="1" a="1"/>
  <c r="AE685" i="41" s="1"/>
  <c r="U1373" i="41"/>
  <c r="Q1374" i="41"/>
  <c r="AD625" i="41"/>
  <c r="AC1371" i="41"/>
  <c r="I625" i="41"/>
  <c r="H625" i="41"/>
  <c r="G625" i="41" s="1"/>
  <c r="W1373" i="41"/>
  <c r="X1373" i="41"/>
  <c r="P1374" i="41"/>
  <c r="W627" i="41"/>
  <c r="X627" i="41"/>
  <c r="P628" i="41"/>
  <c r="S1372" i="41"/>
  <c r="O628" i="41"/>
  <c r="M1370" i="41" l="1"/>
  <c r="L1369" i="41"/>
  <c r="AB628" i="41" a="1"/>
  <c r="AB628" i="41" s="1"/>
  <c r="S627" i="41"/>
  <c r="I627" i="41" s="1"/>
  <c r="W1374" i="41"/>
  <c r="X1374" i="41"/>
  <c r="P1375" i="41"/>
  <c r="M627" i="41"/>
  <c r="L627" i="41" s="1"/>
  <c r="AG685" i="41"/>
  <c r="AJ685" i="41"/>
  <c r="AF685" i="41"/>
  <c r="AI685" i="41"/>
  <c r="AH685" i="41"/>
  <c r="AK685" i="41"/>
  <c r="U628" i="41"/>
  <c r="AD627" i="41" s="1"/>
  <c r="Q629" i="41"/>
  <c r="I1372" i="41"/>
  <c r="H1372" i="41"/>
  <c r="G1372" i="41" s="1"/>
  <c r="I626" i="41"/>
  <c r="H626" i="41"/>
  <c r="G626" i="41" s="1"/>
  <c r="R1375" i="41"/>
  <c r="AC1372" i="41"/>
  <c r="AE1371" i="41"/>
  <c r="T1371" i="41"/>
  <c r="W628" i="41"/>
  <c r="X628" i="41"/>
  <c r="P629" i="41"/>
  <c r="S1373" i="41"/>
  <c r="U1374" i="41"/>
  <c r="AD1373" i="41" s="1"/>
  <c r="Q1375" i="41"/>
  <c r="AB1372" i="41"/>
  <c r="AD1372" i="41"/>
  <c r="AD626" i="41"/>
  <c r="R629" i="41"/>
  <c r="AC626" i="41"/>
  <c r="AE686" i="41" s="1" a="1"/>
  <c r="AE686" i="41" s="1"/>
  <c r="O1375" i="41"/>
  <c r="O629" i="41"/>
  <c r="H627" i="41" l="1"/>
  <c r="G627" i="41" s="1"/>
  <c r="AB629" i="41" a="1"/>
  <c r="AB629" i="41" s="1"/>
  <c r="L1370" i="41"/>
  <c r="AC1373" i="41"/>
  <c r="AE1373" i="41" s="1"/>
  <c r="R1376" i="41"/>
  <c r="U1375" i="41"/>
  <c r="AD1374" i="41" s="1"/>
  <c r="Q1376" i="41"/>
  <c r="U629" i="41"/>
  <c r="Q630" i="41"/>
  <c r="V629" i="41"/>
  <c r="O630" i="41" s="1"/>
  <c r="W629" i="41"/>
  <c r="X629" i="41"/>
  <c r="P630" i="41"/>
  <c r="M628" i="41"/>
  <c r="L628" i="41" s="1"/>
  <c r="AE1372" i="41"/>
  <c r="T1372" i="41"/>
  <c r="AI1371" i="41"/>
  <c r="AF1371" i="41"/>
  <c r="AG1371" i="41"/>
  <c r="AH1371" i="41"/>
  <c r="AJ1371" i="41"/>
  <c r="AK1371" i="41"/>
  <c r="V1375" i="41"/>
  <c r="O1376" i="41" s="1"/>
  <c r="AH686" i="41"/>
  <c r="AF686" i="41"/>
  <c r="AJ686" i="41"/>
  <c r="AK686" i="41"/>
  <c r="AG686" i="41"/>
  <c r="AI686" i="41"/>
  <c r="S628" i="41"/>
  <c r="AC627" i="41"/>
  <c r="AE687" i="41" s="1" a="1"/>
  <c r="AE687" i="41" s="1"/>
  <c r="W1375" i="41"/>
  <c r="X1375" i="41"/>
  <c r="P1376" i="41"/>
  <c r="H1373" i="41"/>
  <c r="G1373" i="41" s="1"/>
  <c r="I1373" i="41"/>
  <c r="AB1373" i="41"/>
  <c r="S1374" i="41"/>
  <c r="R630" i="41"/>
  <c r="AC1374" i="41" l="1"/>
  <c r="V1376" i="41"/>
  <c r="O1377" i="41" s="1"/>
  <c r="AB630" i="41" a="1"/>
  <c r="AB630" i="41" s="1"/>
  <c r="T1373" i="41"/>
  <c r="M1371" i="41"/>
  <c r="L1371" i="41" s="1"/>
  <c r="U630" i="41"/>
  <c r="AD629" i="41" s="1"/>
  <c r="Q631" i="41"/>
  <c r="I628" i="41"/>
  <c r="H628" i="41"/>
  <c r="G628" i="41" s="1"/>
  <c r="V630" i="41"/>
  <c r="O631" i="41" s="1"/>
  <c r="AE1374" i="41"/>
  <c r="T1374" i="41"/>
  <c r="R631" i="41"/>
  <c r="X630" i="41"/>
  <c r="W630" i="41"/>
  <c r="P631" i="41"/>
  <c r="U1376" i="41"/>
  <c r="Q1377" i="41"/>
  <c r="S629" i="41"/>
  <c r="M629" i="41"/>
  <c r="L629" i="41" s="1"/>
  <c r="R1377" i="41"/>
  <c r="W1376" i="41"/>
  <c r="X1376" i="41"/>
  <c r="P1377" i="41"/>
  <c r="AD628" i="41"/>
  <c r="AF1372" i="41"/>
  <c r="AG1372" i="41"/>
  <c r="AH1372" i="41"/>
  <c r="AK1372" i="41"/>
  <c r="AI1372" i="41"/>
  <c r="AJ1372" i="41"/>
  <c r="S1375" i="41"/>
  <c r="AK1373" i="41"/>
  <c r="AI1373" i="41"/>
  <c r="AH1373" i="41"/>
  <c r="AG1373" i="41"/>
  <c r="AF1373" i="41"/>
  <c r="AJ1373" i="41"/>
  <c r="H1374" i="41"/>
  <c r="G1374" i="41" s="1"/>
  <c r="I1374" i="41"/>
  <c r="AB1374" i="41"/>
  <c r="AH687" i="41"/>
  <c r="AJ687" i="41"/>
  <c r="AG687" i="41"/>
  <c r="AF687" i="41"/>
  <c r="AI687" i="41"/>
  <c r="AK687" i="41"/>
  <c r="AC628" i="41"/>
  <c r="AE688" i="41" s="1" a="1"/>
  <c r="AE688" i="41" s="1"/>
  <c r="S630" i="41" l="1"/>
  <c r="I630" i="41" s="1"/>
  <c r="AB631" i="41" a="1"/>
  <c r="AB631" i="41" s="1"/>
  <c r="S1376" i="41"/>
  <c r="AC1375" i="41"/>
  <c r="T1375" i="41" s="1"/>
  <c r="AD1375" i="41"/>
  <c r="M1373" i="41"/>
  <c r="H630" i="41"/>
  <c r="G630" i="41" s="1"/>
  <c r="H1376" i="41"/>
  <c r="G1376" i="41" s="1"/>
  <c r="I1376" i="41"/>
  <c r="U1377" i="41"/>
  <c r="S1377" i="41" s="1"/>
  <c r="H1377" i="41" s="1"/>
  <c r="G1377" i="41" s="1"/>
  <c r="Q1378" i="41"/>
  <c r="U631" i="41"/>
  <c r="AD630" i="41" s="1"/>
  <c r="Q632" i="41"/>
  <c r="W631" i="41"/>
  <c r="X631" i="41"/>
  <c r="P632" i="41"/>
  <c r="M1372" i="41"/>
  <c r="L1372" i="41" s="1"/>
  <c r="I629" i="41"/>
  <c r="H629" i="41"/>
  <c r="G629" i="41" s="1"/>
  <c r="R1378" i="41"/>
  <c r="V1377" i="41"/>
  <c r="O1378" i="41" s="1"/>
  <c r="W1377" i="41"/>
  <c r="P1378" i="41"/>
  <c r="X1377" i="41"/>
  <c r="H1375" i="41"/>
  <c r="G1375" i="41" s="1"/>
  <c r="I1375" i="41"/>
  <c r="AI688" i="41"/>
  <c r="AF688" i="41"/>
  <c r="AJ688" i="41"/>
  <c r="AH688" i="41"/>
  <c r="AK688" i="41"/>
  <c r="AG688" i="41"/>
  <c r="AB1375" i="41"/>
  <c r="R632" i="41"/>
  <c r="M630" i="41"/>
  <c r="L630" i="41" s="1"/>
  <c r="AJ1374" i="41"/>
  <c r="AH1374" i="41"/>
  <c r="AK1374" i="41"/>
  <c r="AF1374" i="41"/>
  <c r="AG1374" i="41"/>
  <c r="AI1374" i="41"/>
  <c r="V631" i="41"/>
  <c r="O632" i="41" s="1"/>
  <c r="AC629" i="41"/>
  <c r="AE689" i="41" s="1" a="1"/>
  <c r="AE689" i="41" s="1"/>
  <c r="S631" i="41" l="1"/>
  <c r="I631" i="41" s="1"/>
  <c r="AC630" i="41"/>
  <c r="AE690" i="41" s="1" a="1"/>
  <c r="AE690" i="41" s="1"/>
  <c r="AG690" i="41" s="1"/>
  <c r="L1373" i="41"/>
  <c r="AE1375" i="41"/>
  <c r="AJ1375" i="41" s="1"/>
  <c r="AD1376" i="41"/>
  <c r="AC1376" i="41"/>
  <c r="AE1376" i="41" s="1"/>
  <c r="H631" i="41"/>
  <c r="G631" i="41" s="1"/>
  <c r="M1374" i="41"/>
  <c r="U1378" i="41"/>
  <c r="AD1377" i="41" s="1"/>
  <c r="Q1379" i="41"/>
  <c r="W1378" i="41"/>
  <c r="X1378" i="41"/>
  <c r="P1379" i="41"/>
  <c r="V1378" i="41"/>
  <c r="O1379" i="41" s="1"/>
  <c r="I1377" i="41"/>
  <c r="R633" i="41"/>
  <c r="R1379" i="41"/>
  <c r="V1379" i="41" s="1"/>
  <c r="M631" i="41"/>
  <c r="L631" i="41" s="1"/>
  <c r="AK689" i="41"/>
  <c r="AI689" i="41"/>
  <c r="AF689" i="41"/>
  <c r="AJ689" i="41"/>
  <c r="AH689" i="41"/>
  <c r="AG689" i="41"/>
  <c r="W632" i="41"/>
  <c r="X632" i="41"/>
  <c r="P633" i="41"/>
  <c r="U632" i="41"/>
  <c r="S632" i="41" s="1"/>
  <c r="Q633" i="41"/>
  <c r="AB1376" i="41"/>
  <c r="AB632" i="41" a="1"/>
  <c r="AB632" i="41" s="1"/>
  <c r="V632" i="41"/>
  <c r="O633" i="41" s="1"/>
  <c r="L1374" i="41" l="1"/>
  <c r="T1376" i="41"/>
  <c r="AF690" i="41"/>
  <c r="AH690" i="41"/>
  <c r="AH1375" i="41"/>
  <c r="AF1375" i="41"/>
  <c r="AI1375" i="41"/>
  <c r="AK1375" i="41"/>
  <c r="AG1375" i="41"/>
  <c r="AI690" i="41"/>
  <c r="AK690" i="41"/>
  <c r="AJ690" i="41"/>
  <c r="S1378" i="41"/>
  <c r="H1378" i="41" s="1"/>
  <c r="G1378" i="41" s="1"/>
  <c r="AB1377" i="41"/>
  <c r="AC1377" i="41"/>
  <c r="T1377" i="41" s="1"/>
  <c r="AB633" i="41" a="1"/>
  <c r="AB633" i="41" s="1"/>
  <c r="M632" i="41"/>
  <c r="L632" i="41" s="1"/>
  <c r="AD631" i="41"/>
  <c r="AC631" i="41"/>
  <c r="AE691" i="41" s="1" a="1"/>
  <c r="AE691" i="41" s="1"/>
  <c r="AF691" i="41" s="1"/>
  <c r="I632" i="41"/>
  <c r="H632" i="41"/>
  <c r="G632" i="41" s="1"/>
  <c r="W1379" i="41"/>
  <c r="X1379" i="41"/>
  <c r="P1380" i="41"/>
  <c r="AF1376" i="41"/>
  <c r="AG1376" i="41"/>
  <c r="AK1376" i="41"/>
  <c r="AH1376" i="41"/>
  <c r="AJ1376" i="41"/>
  <c r="AI1376" i="41"/>
  <c r="U633" i="41"/>
  <c r="S633" i="41" s="1"/>
  <c r="Q634" i="41"/>
  <c r="V633" i="41"/>
  <c r="O634" i="41" s="1"/>
  <c r="O1380" i="41"/>
  <c r="W633" i="41"/>
  <c r="X633" i="41"/>
  <c r="P634" i="41"/>
  <c r="R634" i="41"/>
  <c r="R1380" i="41"/>
  <c r="V1380" i="41" s="1"/>
  <c r="U1379" i="41"/>
  <c r="AC1378" i="41" s="1"/>
  <c r="Q1380" i="41"/>
  <c r="I1378" i="41" l="1"/>
  <c r="V634" i="41"/>
  <c r="AB634" i="41" a="1"/>
  <c r="AB634" i="41" s="1"/>
  <c r="M1375" i="41"/>
  <c r="L1375" i="41" s="1"/>
  <c r="AE1377" i="41"/>
  <c r="AJ1377" i="41" s="1"/>
  <c r="M1376" i="41"/>
  <c r="AK691" i="41"/>
  <c r="AB1378" i="41"/>
  <c r="AJ691" i="41"/>
  <c r="AH691" i="41"/>
  <c r="I633" i="41"/>
  <c r="H633" i="41"/>
  <c r="G633" i="41" s="1"/>
  <c r="AD1378" i="41"/>
  <c r="S1379" i="41"/>
  <c r="I1379" i="41" s="1"/>
  <c r="AC632" i="41"/>
  <c r="AE692" i="41" s="1" a="1"/>
  <c r="AE692" i="41" s="1"/>
  <c r="AH692" i="41" s="1"/>
  <c r="AI691" i="41"/>
  <c r="AD632" i="41"/>
  <c r="AG691" i="41"/>
  <c r="R635" i="41"/>
  <c r="W634" i="41"/>
  <c r="X634" i="41"/>
  <c r="P635" i="41"/>
  <c r="AE1378" i="41"/>
  <c r="T1378" i="41"/>
  <c r="R1381" i="41"/>
  <c r="W1380" i="41"/>
  <c r="X1380" i="41"/>
  <c r="P1381" i="41"/>
  <c r="U1380" i="41"/>
  <c r="Q1381" i="41"/>
  <c r="U634" i="41"/>
  <c r="S634" i="41" s="1"/>
  <c r="I634" i="41" s="1"/>
  <c r="Q635" i="41"/>
  <c r="O1381" i="41"/>
  <c r="O635" i="41"/>
  <c r="M633" i="41"/>
  <c r="L633" i="41" s="1"/>
  <c r="AH1377" i="41" l="1"/>
  <c r="AG1377" i="41"/>
  <c r="V635" i="41"/>
  <c r="AF1377" i="41"/>
  <c r="AI1377" i="41"/>
  <c r="AK1377" i="41"/>
  <c r="M1377" i="41" s="1"/>
  <c r="L1376" i="41"/>
  <c r="H1379" i="41"/>
  <c r="G1379" i="41" s="1"/>
  <c r="AK692" i="41"/>
  <c r="AI692" i="41"/>
  <c r="AJ692" i="41"/>
  <c r="AG692" i="41"/>
  <c r="AF692" i="41"/>
  <c r="Q1382" i="41"/>
  <c r="U1381" i="41"/>
  <c r="AB1380" i="41" s="1"/>
  <c r="AF1378" i="41"/>
  <c r="AI1378" i="41"/>
  <c r="AJ1378" i="41"/>
  <c r="AH1378" i="41"/>
  <c r="AG1378" i="41"/>
  <c r="AK1378" i="41"/>
  <c r="AB1379" i="41"/>
  <c r="AC1379" i="41"/>
  <c r="R636" i="41"/>
  <c r="V636" i="41" s="1"/>
  <c r="W1381" i="41"/>
  <c r="X1381" i="41"/>
  <c r="P1382" i="41"/>
  <c r="H634" i="41"/>
  <c r="G634" i="41" s="1"/>
  <c r="R1382" i="41"/>
  <c r="AD1379" i="41"/>
  <c r="M634" i="41"/>
  <c r="L634" i="41" s="1"/>
  <c r="U635" i="41"/>
  <c r="AD634" i="41" s="1"/>
  <c r="Q636" i="41"/>
  <c r="AB635" i="41" a="1"/>
  <c r="AB635" i="41" s="1"/>
  <c r="W635" i="41"/>
  <c r="X635" i="41"/>
  <c r="P636" i="41"/>
  <c r="O636" i="41"/>
  <c r="S1380" i="41"/>
  <c r="AC633" i="41"/>
  <c r="AE693" i="41" s="1" a="1"/>
  <c r="AE693" i="41" s="1"/>
  <c r="AD633" i="41"/>
  <c r="V1381" i="41"/>
  <c r="O1382" i="41" s="1"/>
  <c r="V1382" i="41" l="1"/>
  <c r="L1377" i="41"/>
  <c r="AC1380" i="41"/>
  <c r="AE1380" i="41" s="1"/>
  <c r="AD1380" i="41"/>
  <c r="M1378" i="41"/>
  <c r="S1381" i="41"/>
  <c r="W1382" i="41"/>
  <c r="X1382" i="41"/>
  <c r="P1383" i="41"/>
  <c r="R1383" i="41"/>
  <c r="I1380" i="41"/>
  <c r="H1380" i="41"/>
  <c r="G1380" i="41" s="1"/>
  <c r="O637" i="41"/>
  <c r="S635" i="41"/>
  <c r="O1383" i="41"/>
  <c r="W636" i="41"/>
  <c r="X636" i="41"/>
  <c r="P637" i="41"/>
  <c r="AB636" i="41" a="1"/>
  <c r="AB636" i="41" s="1"/>
  <c r="M635" i="41"/>
  <c r="L635" i="41" s="1"/>
  <c r="AG693" i="41"/>
  <c r="AI693" i="41"/>
  <c r="AF693" i="41"/>
  <c r="AJ693" i="41"/>
  <c r="AK693" i="41"/>
  <c r="AH693" i="41"/>
  <c r="AC634" i="41"/>
  <c r="AE694" i="41" s="1" a="1"/>
  <c r="AE694" i="41" s="1"/>
  <c r="U636" i="41"/>
  <c r="AC635" i="41" s="1"/>
  <c r="AE695" i="41" s="1" a="1"/>
  <c r="AE695" i="41" s="1"/>
  <c r="Q637" i="41"/>
  <c r="R637" i="41"/>
  <c r="AE1379" i="41"/>
  <c r="T1379" i="41"/>
  <c r="U1382" i="41"/>
  <c r="Q1383" i="41"/>
  <c r="L1378" i="41" l="1"/>
  <c r="T1380" i="41"/>
  <c r="S1382" i="41"/>
  <c r="I1382" i="41" s="1"/>
  <c r="AB1381" i="41"/>
  <c r="AD635" i="41"/>
  <c r="AB637" i="41" a="1"/>
  <c r="AB637" i="41" s="1"/>
  <c r="H1381" i="41"/>
  <c r="G1381" i="41" s="1"/>
  <c r="I1381" i="41"/>
  <c r="U1383" i="41"/>
  <c r="Q1384" i="41"/>
  <c r="V1383" i="41"/>
  <c r="O1384" i="41" s="1"/>
  <c r="W1383" i="41"/>
  <c r="X1383" i="41"/>
  <c r="P1384" i="41"/>
  <c r="AK1380" i="41"/>
  <c r="AF1380" i="41"/>
  <c r="AH1380" i="41"/>
  <c r="AJ1380" i="41"/>
  <c r="AI1380" i="41"/>
  <c r="AG1380" i="41"/>
  <c r="AK695" i="41"/>
  <c r="AF695" i="41"/>
  <c r="AI695" i="41"/>
  <c r="AJ695" i="41"/>
  <c r="AH695" i="41"/>
  <c r="AG695" i="41"/>
  <c r="AI1379" i="41"/>
  <c r="AG1379" i="41"/>
  <c r="AK1379" i="41"/>
  <c r="AF1379" i="41"/>
  <c r="AJ1379" i="41"/>
  <c r="AH1379" i="41"/>
  <c r="R1384" i="41"/>
  <c r="AI694" i="41"/>
  <c r="AK694" i="41"/>
  <c r="AH694" i="41"/>
  <c r="AJ694" i="41"/>
  <c r="AG694" i="41"/>
  <c r="AF694" i="41"/>
  <c r="M636" i="41"/>
  <c r="L636" i="41" s="1"/>
  <c r="I635" i="41"/>
  <c r="H635" i="41"/>
  <c r="G635" i="41" s="1"/>
  <c r="S636" i="41"/>
  <c r="W637" i="41"/>
  <c r="X637" i="41"/>
  <c r="P638" i="41"/>
  <c r="AC1381" i="41"/>
  <c r="H1382" i="41"/>
  <c r="G1382" i="41" s="1"/>
  <c r="U637" i="41"/>
  <c r="Q638" i="41"/>
  <c r="AD1381" i="41"/>
  <c r="V637" i="41"/>
  <c r="O638" i="41" s="1"/>
  <c r="R638" i="41"/>
  <c r="V638" i="41" s="1"/>
  <c r="S637" i="41" l="1"/>
  <c r="I637" i="41" s="1"/>
  <c r="S1383" i="41"/>
  <c r="H1383" i="41" s="1"/>
  <c r="G1383" i="41" s="1"/>
  <c r="AB1382" i="41"/>
  <c r="H637" i="41"/>
  <c r="G637" i="41" s="1"/>
  <c r="M1380" i="41"/>
  <c r="M1379" i="41"/>
  <c r="L1379" i="41" s="1"/>
  <c r="R1385" i="41"/>
  <c r="I636" i="41"/>
  <c r="H636" i="41"/>
  <c r="G636" i="41" s="1"/>
  <c r="I1383" i="41"/>
  <c r="U1384" i="41"/>
  <c r="AC1383" i="41" s="1"/>
  <c r="Q1385" i="41"/>
  <c r="W638" i="41"/>
  <c r="X638" i="41"/>
  <c r="P639" i="41"/>
  <c r="M637" i="41"/>
  <c r="L637" i="41" s="1"/>
  <c r="U638" i="41"/>
  <c r="AD637" i="41" s="1"/>
  <c r="Q639" i="41"/>
  <c r="O639" i="41"/>
  <c r="AB638" i="41" a="1"/>
  <c r="AB638" i="41" s="1"/>
  <c r="AE1381" i="41"/>
  <c r="T1381" i="41"/>
  <c r="AD1382" i="41"/>
  <c r="V1384" i="41"/>
  <c r="O1385" i="41" s="1"/>
  <c r="W1384" i="41"/>
  <c r="X1384" i="41"/>
  <c r="P1385" i="41"/>
  <c r="AD636" i="41"/>
  <c r="AC636" i="41"/>
  <c r="AE696" i="41" s="1" a="1"/>
  <c r="AE696" i="41" s="1"/>
  <c r="R639" i="41"/>
  <c r="V639" i="41" s="1"/>
  <c r="AC1382" i="41"/>
  <c r="V1385" i="41" l="1"/>
  <c r="AC637" i="41"/>
  <c r="AE697" i="41" s="1" a="1"/>
  <c r="AE697" i="41" s="1"/>
  <c r="AF697" i="41" s="1"/>
  <c r="S638" i="41"/>
  <c r="I638" i="41" s="1"/>
  <c r="AB639" i="41" a="1"/>
  <c r="AB639" i="41" s="1"/>
  <c r="AD1383" i="41"/>
  <c r="L1380" i="41"/>
  <c r="W1385" i="41"/>
  <c r="P1386" i="41"/>
  <c r="X1385" i="41"/>
  <c r="R1386" i="41"/>
  <c r="AB1383" i="41"/>
  <c r="AE1383" i="41"/>
  <c r="T1383" i="41"/>
  <c r="W639" i="41"/>
  <c r="P640" i="41"/>
  <c r="X639" i="41"/>
  <c r="AE1382" i="41"/>
  <c r="T1382" i="41"/>
  <c r="M638" i="41"/>
  <c r="L638" i="41" s="1"/>
  <c r="U639" i="41"/>
  <c r="AC638" i="41" s="1"/>
  <c r="AE698" i="41" s="1" a="1"/>
  <c r="AE698" i="41" s="1"/>
  <c r="Q640" i="41"/>
  <c r="Q1386" i="41"/>
  <c r="U1385" i="41"/>
  <c r="AD1384" i="41" s="1"/>
  <c r="O1386" i="41"/>
  <c r="O640" i="41"/>
  <c r="S1384" i="41"/>
  <c r="AH696" i="41"/>
  <c r="AG696" i="41"/>
  <c r="AJ696" i="41"/>
  <c r="AF696" i="41"/>
  <c r="AK696" i="41"/>
  <c r="AI696" i="41"/>
  <c r="AJ1381" i="41"/>
  <c r="AG1381" i="41"/>
  <c r="AH1381" i="41"/>
  <c r="AI1381" i="41"/>
  <c r="AF1381" i="41"/>
  <c r="AK1381" i="41"/>
  <c r="R640" i="41"/>
  <c r="AB640" i="41" l="1" a="1"/>
  <c r="AB640" i="41" s="1"/>
  <c r="H638" i="41"/>
  <c r="G638" i="41" s="1"/>
  <c r="AG697" i="41"/>
  <c r="AJ697" i="41"/>
  <c r="AH697" i="41"/>
  <c r="AK697" i="41"/>
  <c r="AI697" i="41"/>
  <c r="M1381" i="41"/>
  <c r="L1381" i="41" s="1"/>
  <c r="AC1384" i="41"/>
  <c r="AE1384" i="41" s="1"/>
  <c r="AB1384" i="41"/>
  <c r="S639" i="41"/>
  <c r="AI698" i="41"/>
  <c r="AK698" i="41"/>
  <c r="AJ698" i="41"/>
  <c r="AG698" i="41"/>
  <c r="AF698" i="41"/>
  <c r="AH698" i="41"/>
  <c r="AJ1383" i="41"/>
  <c r="AH1383" i="41"/>
  <c r="AG1383" i="41"/>
  <c r="AF1383" i="41"/>
  <c r="AI1383" i="41"/>
  <c r="AK1383" i="41"/>
  <c r="T1384" i="41"/>
  <c r="U1386" i="41"/>
  <c r="AC1385" i="41" s="1"/>
  <c r="Q1387" i="41"/>
  <c r="R641" i="41"/>
  <c r="W640" i="41"/>
  <c r="X640" i="41"/>
  <c r="P641" i="41"/>
  <c r="M639" i="41"/>
  <c r="L639" i="41" s="1"/>
  <c r="U640" i="41"/>
  <c r="AD639" i="41" s="1"/>
  <c r="Q641" i="41"/>
  <c r="AJ1382" i="41"/>
  <c r="AG1382" i="41"/>
  <c r="AK1382" i="41"/>
  <c r="AH1382" i="41"/>
  <c r="AI1382" i="41"/>
  <c r="AF1382" i="41"/>
  <c r="V1386" i="41"/>
  <c r="O1387" i="41" s="1"/>
  <c r="AD638" i="41"/>
  <c r="W1386" i="41"/>
  <c r="X1386" i="41"/>
  <c r="P1387" i="41"/>
  <c r="R1387" i="41"/>
  <c r="H1384" i="41"/>
  <c r="G1384" i="41" s="1"/>
  <c r="I1384" i="41"/>
  <c r="S1385" i="41"/>
  <c r="V640" i="41"/>
  <c r="O641" i="41" s="1"/>
  <c r="AB641" i="41" l="1" a="1"/>
  <c r="AB641" i="41" s="1"/>
  <c r="AC639" i="41"/>
  <c r="AE699" i="41" s="1" a="1"/>
  <c r="AE699" i="41" s="1"/>
  <c r="AI699" i="41" s="1"/>
  <c r="M1382" i="41"/>
  <c r="L1382" i="41" s="1"/>
  <c r="I639" i="41"/>
  <c r="H639" i="41"/>
  <c r="G639" i="41" s="1"/>
  <c r="M1383" i="41"/>
  <c r="W641" i="41"/>
  <c r="X641" i="41"/>
  <c r="P642" i="41"/>
  <c r="AE1385" i="41"/>
  <c r="T1385" i="41"/>
  <c r="M640" i="41"/>
  <c r="L640" i="41" s="1"/>
  <c r="H1385" i="41"/>
  <c r="G1385" i="41" s="1"/>
  <c r="I1385" i="41"/>
  <c r="U1387" i="41"/>
  <c r="Q1388" i="41"/>
  <c r="AB1385" i="41"/>
  <c r="U641" i="41"/>
  <c r="AC640" i="41" s="1"/>
  <c r="AE700" i="41" s="1" a="1"/>
  <c r="AE700" i="41" s="1"/>
  <c r="Q642" i="41"/>
  <c r="V1387" i="41"/>
  <c r="R1388" i="41"/>
  <c r="V1388" i="41" s="1"/>
  <c r="O1388" i="41"/>
  <c r="V641" i="41"/>
  <c r="O642" i="41" s="1"/>
  <c r="AK1384" i="41"/>
  <c r="AG1384" i="41"/>
  <c r="AJ1384" i="41"/>
  <c r="AI1384" i="41"/>
  <c r="AF1384" i="41"/>
  <c r="AH1384" i="41"/>
  <c r="W1387" i="41"/>
  <c r="P1388" i="41"/>
  <c r="X1387" i="41"/>
  <c r="S1386" i="41"/>
  <c r="S640" i="41"/>
  <c r="AD1385" i="41"/>
  <c r="R642" i="41"/>
  <c r="V642" i="41" s="1"/>
  <c r="AK699" i="41" l="1"/>
  <c r="AH699" i="41"/>
  <c r="AJ699" i="41"/>
  <c r="AF699" i="41"/>
  <c r="AG699" i="41"/>
  <c r="L1383" i="41"/>
  <c r="M1384" i="41"/>
  <c r="S641" i="41"/>
  <c r="I641" i="41" s="1"/>
  <c r="AG700" i="41"/>
  <c r="AF700" i="41"/>
  <c r="AK700" i="41"/>
  <c r="AJ700" i="41"/>
  <c r="AH700" i="41"/>
  <c r="AI700" i="41"/>
  <c r="H1386" i="41"/>
  <c r="G1386" i="41" s="1"/>
  <c r="I1386" i="41"/>
  <c r="O1389" i="41"/>
  <c r="AC1386" i="41"/>
  <c r="R1389" i="41"/>
  <c r="V1389" i="41" s="1"/>
  <c r="AF1385" i="41"/>
  <c r="AG1385" i="41"/>
  <c r="AJ1385" i="41"/>
  <c r="AI1385" i="41"/>
  <c r="AK1385" i="41"/>
  <c r="AH1385" i="41"/>
  <c r="W642" i="41"/>
  <c r="X642" i="41"/>
  <c r="P643" i="41"/>
  <c r="O643" i="41"/>
  <c r="U642" i="41"/>
  <c r="AC641" i="41" s="1"/>
  <c r="AE701" i="41" s="1" a="1"/>
  <c r="AE701" i="41" s="1"/>
  <c r="Q643" i="41"/>
  <c r="R643" i="41"/>
  <c r="W1388" i="41"/>
  <c r="X1388" i="41"/>
  <c r="P1389" i="41"/>
  <c r="U1388" i="41"/>
  <c r="AB1387" i="41" s="1"/>
  <c r="Q1389" i="41"/>
  <c r="AD640" i="41"/>
  <c r="AD1386" i="41"/>
  <c r="AB1386" i="41"/>
  <c r="S1387" i="41"/>
  <c r="AB642" i="41" a="1"/>
  <c r="AB642" i="41" s="1"/>
  <c r="I640" i="41"/>
  <c r="H640" i="41"/>
  <c r="G640" i="41" s="1"/>
  <c r="M641" i="41"/>
  <c r="L641" i="41" s="1"/>
  <c r="H641" i="41" l="1"/>
  <c r="G641" i="41" s="1"/>
  <c r="L1384" i="41"/>
  <c r="M642" i="41"/>
  <c r="L642" i="41" s="1"/>
  <c r="AC1387" i="41"/>
  <c r="AE1387" i="41" s="1"/>
  <c r="AD1387" i="41"/>
  <c r="M1385" i="41"/>
  <c r="L1385" i="41" s="1"/>
  <c r="S1388" i="41"/>
  <c r="I1388" i="41" s="1"/>
  <c r="AJ701" i="41"/>
  <c r="AK701" i="41"/>
  <c r="AI701" i="41"/>
  <c r="AF701" i="41"/>
  <c r="AG701" i="41"/>
  <c r="AH701" i="41"/>
  <c r="U643" i="41"/>
  <c r="AD642" i="41" s="1"/>
  <c r="Q644" i="41"/>
  <c r="T1387" i="41"/>
  <c r="AB643" i="41" a="1"/>
  <c r="AB643" i="41" s="1"/>
  <c r="AD641" i="41"/>
  <c r="R1390" i="41"/>
  <c r="Q1390" i="41"/>
  <c r="U1389" i="41"/>
  <c r="AE1386" i="41"/>
  <c r="T1386" i="41"/>
  <c r="O1390" i="41"/>
  <c r="V643" i="41"/>
  <c r="O644" i="41" s="1"/>
  <c r="W643" i="41"/>
  <c r="X643" i="41"/>
  <c r="P644" i="41"/>
  <c r="S642" i="41"/>
  <c r="R644" i="41"/>
  <c r="I1387" i="41"/>
  <c r="H1387" i="41"/>
  <c r="G1387" i="41" s="1"/>
  <c r="W1389" i="41"/>
  <c r="X1389" i="41"/>
  <c r="P1390" i="41"/>
  <c r="H1388" i="41" l="1"/>
  <c r="G1388" i="41" s="1"/>
  <c r="S1389" i="41"/>
  <c r="H1389" i="41" s="1"/>
  <c r="G1389" i="41" s="1"/>
  <c r="V644" i="41"/>
  <c r="AB1388" i="41"/>
  <c r="AD1388" i="41"/>
  <c r="AC1388" i="41"/>
  <c r="AE1388" i="41" s="1"/>
  <c r="S643" i="41"/>
  <c r="W644" i="41"/>
  <c r="X644" i="41"/>
  <c r="P645" i="41"/>
  <c r="O645" i="41"/>
  <c r="M643" i="41"/>
  <c r="L643" i="41" s="1"/>
  <c r="AC642" i="41"/>
  <c r="AE702" i="41" s="1" a="1"/>
  <c r="AE702" i="41" s="1"/>
  <c r="W1390" i="41"/>
  <c r="X1390" i="41"/>
  <c r="P1391" i="41"/>
  <c r="R1391" i="41"/>
  <c r="U1390" i="41"/>
  <c r="Q1391" i="41"/>
  <c r="U644" i="41"/>
  <c r="Q645" i="41"/>
  <c r="AB644" i="41" a="1"/>
  <c r="AB644" i="41" s="1"/>
  <c r="I642" i="41"/>
  <c r="H642" i="41"/>
  <c r="G642" i="41" s="1"/>
  <c r="AF1386" i="41"/>
  <c r="AI1386" i="41"/>
  <c r="AG1386" i="41"/>
  <c r="AH1386" i="41"/>
  <c r="AK1386" i="41"/>
  <c r="AJ1386" i="41"/>
  <c r="V1390" i="41"/>
  <c r="O1391" i="41" s="1"/>
  <c r="R645" i="41"/>
  <c r="V645" i="41" s="1"/>
  <c r="AJ1387" i="41"/>
  <c r="AI1387" i="41"/>
  <c r="AK1387" i="41"/>
  <c r="AF1387" i="41"/>
  <c r="AH1387" i="41"/>
  <c r="AG1387" i="41"/>
  <c r="I1389" i="41" l="1"/>
  <c r="S644" i="41"/>
  <c r="I644" i="41" s="1"/>
  <c r="T1388" i="41"/>
  <c r="V1391" i="41"/>
  <c r="AD643" i="41"/>
  <c r="AC643" i="41"/>
  <c r="AE703" i="41" s="1" a="1"/>
  <c r="AE703" i="41" s="1"/>
  <c r="AK703" i="41" s="1"/>
  <c r="M1387" i="41"/>
  <c r="M1386" i="41"/>
  <c r="L1386" i="41" s="1"/>
  <c r="I643" i="41"/>
  <c r="H643" i="41"/>
  <c r="G643" i="41" s="1"/>
  <c r="W1391" i="41"/>
  <c r="P1392" i="41"/>
  <c r="X1391" i="41"/>
  <c r="U1391" i="41"/>
  <c r="AB1390" i="41" s="1"/>
  <c r="Q1392" i="41"/>
  <c r="AB1389" i="41"/>
  <c r="AC1389" i="41"/>
  <c r="R1392" i="41"/>
  <c r="V1392" i="41" s="1"/>
  <c r="R646" i="41"/>
  <c r="V646" i="41" s="1"/>
  <c r="W645" i="41"/>
  <c r="X645" i="41"/>
  <c r="P646" i="41"/>
  <c r="O646" i="41"/>
  <c r="S1390" i="41"/>
  <c r="AD1389" i="41"/>
  <c r="AK1388" i="41"/>
  <c r="AF1388" i="41"/>
  <c r="AG1388" i="41"/>
  <c r="AI1388" i="41"/>
  <c r="AH1388" i="41"/>
  <c r="AJ1388" i="41"/>
  <c r="Q646" i="41"/>
  <c r="U645" i="41"/>
  <c r="AB645" i="41" a="1"/>
  <c r="AB645" i="41" s="1"/>
  <c r="O1392" i="41"/>
  <c r="AF702" i="41"/>
  <c r="AK702" i="41"/>
  <c r="AH702" i="41"/>
  <c r="AI702" i="41"/>
  <c r="AJ702" i="41"/>
  <c r="AG702" i="41"/>
  <c r="M644" i="41"/>
  <c r="L644" i="41" s="1"/>
  <c r="H644" i="41" l="1"/>
  <c r="G644" i="41" s="1"/>
  <c r="AJ703" i="41"/>
  <c r="AF703" i="41"/>
  <c r="AH703" i="41"/>
  <c r="AI703" i="41"/>
  <c r="AG703" i="41"/>
  <c r="AC1390" i="41"/>
  <c r="AE1390" i="41" s="1"/>
  <c r="L1387" i="41"/>
  <c r="M1388" i="41"/>
  <c r="AD1390" i="41"/>
  <c r="AB646" i="41" a="1"/>
  <c r="AB646" i="41" s="1"/>
  <c r="S1391" i="41"/>
  <c r="H1391" i="41" s="1"/>
  <c r="G1391" i="41" s="1"/>
  <c r="AC644" i="41"/>
  <c r="AE704" i="41" s="1" a="1"/>
  <c r="AE704" i="41" s="1"/>
  <c r="H1390" i="41"/>
  <c r="G1390" i="41" s="1"/>
  <c r="I1390" i="41"/>
  <c r="M645" i="41"/>
  <c r="L645" i="41" s="1"/>
  <c r="AD644" i="41"/>
  <c r="O647" i="41"/>
  <c r="W646" i="41"/>
  <c r="X646" i="41"/>
  <c r="P647" i="41"/>
  <c r="R1393" i="41"/>
  <c r="T1390" i="41"/>
  <c r="O1393" i="41"/>
  <c r="U646" i="41"/>
  <c r="Q647" i="41"/>
  <c r="U1392" i="41"/>
  <c r="AD1391" i="41" s="1"/>
  <c r="Q1393" i="41"/>
  <c r="R647" i="41"/>
  <c r="S645" i="41"/>
  <c r="W1392" i="41"/>
  <c r="X1392" i="41"/>
  <c r="P1393" i="41"/>
  <c r="AE1389" i="41"/>
  <c r="T1389" i="41"/>
  <c r="L1388" i="41" l="1"/>
  <c r="AB647" i="41" a="1"/>
  <c r="AB647" i="41" s="1"/>
  <c r="I1391" i="41"/>
  <c r="AB1391" i="41"/>
  <c r="S1392" i="41"/>
  <c r="I1392" i="41" s="1"/>
  <c r="I645" i="41"/>
  <c r="H645" i="41"/>
  <c r="G645" i="41" s="1"/>
  <c r="AG1390" i="41"/>
  <c r="AF1390" i="41"/>
  <c r="AH1390" i="41"/>
  <c r="AK1390" i="41"/>
  <c r="AJ1390" i="41"/>
  <c r="AI1390" i="41"/>
  <c r="U647" i="41"/>
  <c r="Q648" i="41"/>
  <c r="W1393" i="41"/>
  <c r="X1393" i="41"/>
  <c r="P1394" i="41"/>
  <c r="AC1391" i="41"/>
  <c r="AH704" i="41"/>
  <c r="AI704" i="41"/>
  <c r="AG704" i="41"/>
  <c r="AJ704" i="41"/>
  <c r="AF704" i="41"/>
  <c r="AK704" i="41"/>
  <c r="AF1389" i="41"/>
  <c r="AG1389" i="41"/>
  <c r="AH1389" i="41"/>
  <c r="AJ1389" i="41"/>
  <c r="AI1389" i="41"/>
  <c r="AK1389" i="41"/>
  <c r="Q1394" i="41"/>
  <c r="U1393" i="41"/>
  <c r="R648" i="41"/>
  <c r="V648" i="41" s="1"/>
  <c r="R1394" i="41"/>
  <c r="V1393" i="41"/>
  <c r="O1394" i="41" s="1"/>
  <c r="M646" i="41"/>
  <c r="L646" i="41" s="1"/>
  <c r="W647" i="41"/>
  <c r="P648" i="41"/>
  <c r="X647" i="41"/>
  <c r="AD645" i="41"/>
  <c r="V647" i="41"/>
  <c r="O648" i="41" s="1"/>
  <c r="S646" i="41"/>
  <c r="AC645" i="41"/>
  <c r="AE705" i="41" s="1" a="1"/>
  <c r="AE705" i="41" s="1"/>
  <c r="H1392" i="41" l="1"/>
  <c r="G1392" i="41" s="1"/>
  <c r="M1390" i="41"/>
  <c r="W1394" i="41"/>
  <c r="X1394" i="41"/>
  <c r="P1395" i="41"/>
  <c r="AG705" i="41"/>
  <c r="AK705" i="41"/>
  <c r="AJ705" i="41"/>
  <c r="AF705" i="41"/>
  <c r="AH705" i="41"/>
  <c r="AI705" i="41"/>
  <c r="AB1392" i="41"/>
  <c r="U1394" i="41"/>
  <c r="Q1395" i="41"/>
  <c r="U648" i="41"/>
  <c r="Q649" i="41"/>
  <c r="AC1392" i="41"/>
  <c r="R1395" i="41"/>
  <c r="V1395" i="41" s="1"/>
  <c r="O649" i="41"/>
  <c r="AB648" i="41" a="1"/>
  <c r="AB648" i="41" s="1"/>
  <c r="AD1392" i="41"/>
  <c r="V1394" i="41"/>
  <c r="O1395" i="41" s="1"/>
  <c r="AC646" i="41"/>
  <c r="AE706" i="41" s="1" a="1"/>
  <c r="AE706" i="41" s="1"/>
  <c r="S1393" i="41"/>
  <c r="AE1391" i="41"/>
  <c r="T1391" i="41"/>
  <c r="W648" i="41"/>
  <c r="X648" i="41"/>
  <c r="P649" i="41"/>
  <c r="S647" i="41"/>
  <c r="I646" i="41"/>
  <c r="H646" i="41"/>
  <c r="G646" i="41" s="1"/>
  <c r="M1389" i="41"/>
  <c r="L1389" i="41" s="1"/>
  <c r="R649" i="41"/>
  <c r="M647" i="41"/>
  <c r="L647" i="41" s="1"/>
  <c r="AD646" i="41"/>
  <c r="AB649" i="41" l="1" a="1"/>
  <c r="AB649" i="41" s="1"/>
  <c r="L1390" i="41"/>
  <c r="W1395" i="41"/>
  <c r="X1395" i="41"/>
  <c r="P1396" i="41"/>
  <c r="AF706" i="41"/>
  <c r="AG706" i="41"/>
  <c r="AK706" i="41"/>
  <c r="AI706" i="41"/>
  <c r="AH706" i="41"/>
  <c r="AJ706" i="41"/>
  <c r="U649" i="41"/>
  <c r="AC648" i="41" s="1"/>
  <c r="AE708" i="41" s="1" a="1"/>
  <c r="AE708" i="41" s="1"/>
  <c r="Q650" i="41"/>
  <c r="V649" i="41"/>
  <c r="O650" i="41" s="1"/>
  <c r="AG1391" i="41"/>
  <c r="AJ1391" i="41"/>
  <c r="AI1391" i="41"/>
  <c r="AH1391" i="41"/>
  <c r="AF1391" i="41"/>
  <c r="AK1391" i="41"/>
  <c r="R650" i="41"/>
  <c r="AD647" i="41"/>
  <c r="I647" i="41"/>
  <c r="H647" i="41"/>
  <c r="G647" i="41" s="1"/>
  <c r="AC647" i="41"/>
  <c r="AE707" i="41" s="1" a="1"/>
  <c r="AE707" i="41" s="1"/>
  <c r="R1396" i="41"/>
  <c r="AB1393" i="41"/>
  <c r="S648" i="41"/>
  <c r="AC1393" i="41"/>
  <c r="I1393" i="41"/>
  <c r="H1393" i="41"/>
  <c r="G1393" i="41" s="1"/>
  <c r="O1396" i="41"/>
  <c r="M648" i="41"/>
  <c r="L648" i="41" s="1"/>
  <c r="U1395" i="41"/>
  <c r="AC1394" i="41" s="1"/>
  <c r="Q1396" i="41"/>
  <c r="AD1393" i="41"/>
  <c r="W649" i="41"/>
  <c r="X649" i="41"/>
  <c r="P650" i="41"/>
  <c r="S1394" i="41"/>
  <c r="AE1392" i="41"/>
  <c r="T1392" i="41"/>
  <c r="S649" i="41" l="1"/>
  <c r="M1391" i="41"/>
  <c r="L1391" i="41" s="1"/>
  <c r="AH708" i="41"/>
  <c r="AJ708" i="41"/>
  <c r="AI708" i="41"/>
  <c r="AF708" i="41"/>
  <c r="AG708" i="41"/>
  <c r="AK708" i="41"/>
  <c r="AE1394" i="41"/>
  <c r="T1394" i="41"/>
  <c r="U1396" i="41"/>
  <c r="Q1397" i="41"/>
  <c r="V1396" i="41"/>
  <c r="O1397" i="41" s="1"/>
  <c r="AH1392" i="41"/>
  <c r="AI1392" i="41"/>
  <c r="AF1392" i="41"/>
  <c r="AG1392" i="41"/>
  <c r="AK1392" i="41"/>
  <c r="AJ1392" i="41"/>
  <c r="I1394" i="41"/>
  <c r="H1394" i="41"/>
  <c r="G1394" i="41" s="1"/>
  <c r="U650" i="41"/>
  <c r="Q651" i="41"/>
  <c r="R1397" i="41"/>
  <c r="V1397" i="41" s="1"/>
  <c r="W1396" i="41"/>
  <c r="X1396" i="41"/>
  <c r="P1397" i="41"/>
  <c r="S1395" i="41"/>
  <c r="R651" i="41"/>
  <c r="V651" i="41" s="1"/>
  <c r="AF707" i="41"/>
  <c r="AK707" i="41"/>
  <c r="AG707" i="41"/>
  <c r="AH707" i="41"/>
  <c r="AI707" i="41"/>
  <c r="AJ707" i="41"/>
  <c r="W650" i="41"/>
  <c r="X650" i="41"/>
  <c r="P651" i="41"/>
  <c r="AB650" i="41" a="1"/>
  <c r="AB650" i="41" s="1"/>
  <c r="M649" i="41"/>
  <c r="L649" i="41" s="1"/>
  <c r="V650" i="41"/>
  <c r="O651" i="41" s="1"/>
  <c r="AE1393" i="41"/>
  <c r="T1393" i="41"/>
  <c r="AD648" i="41"/>
  <c r="AB1394" i="41"/>
  <c r="I648" i="41"/>
  <c r="H648" i="41"/>
  <c r="G648" i="41" s="1"/>
  <c r="AD1394" i="41"/>
  <c r="S650" i="41" l="1"/>
  <c r="AC649" i="41"/>
  <c r="AE709" i="41" s="1" a="1"/>
  <c r="AE709" i="41" s="1"/>
  <c r="AJ709" i="41" s="1"/>
  <c r="M1392" i="41"/>
  <c r="L1392" i="41" s="1"/>
  <c r="AD649" i="41"/>
  <c r="I650" i="41"/>
  <c r="H650" i="41"/>
  <c r="G650" i="41" s="1"/>
  <c r="S1396" i="41"/>
  <c r="I1396" i="41" s="1"/>
  <c r="I649" i="41"/>
  <c r="H649" i="41"/>
  <c r="G649" i="41" s="1"/>
  <c r="W651" i="41"/>
  <c r="X651" i="41"/>
  <c r="P652" i="41"/>
  <c r="W1397" i="41"/>
  <c r="X1397" i="41"/>
  <c r="P1398" i="41"/>
  <c r="O1398" i="41"/>
  <c r="AC1395" i="41"/>
  <c r="AJ1394" i="41"/>
  <c r="AI1394" i="41"/>
  <c r="AK1394" i="41"/>
  <c r="AH1394" i="41"/>
  <c r="AF1394" i="41"/>
  <c r="AG1394" i="41"/>
  <c r="AD1395" i="41"/>
  <c r="AB1395" i="41"/>
  <c r="U1397" i="41"/>
  <c r="AB1396" i="41" s="1"/>
  <c r="Q1398" i="41"/>
  <c r="I1395" i="41"/>
  <c r="H1395" i="41"/>
  <c r="G1395" i="41" s="1"/>
  <c r="R652" i="41"/>
  <c r="V652" i="41" s="1"/>
  <c r="O652" i="41"/>
  <c r="AK1393" i="41"/>
  <c r="AF1393" i="41"/>
  <c r="AG1393" i="41"/>
  <c r="AH1393" i="41"/>
  <c r="AI1393" i="41"/>
  <c r="AJ1393" i="41"/>
  <c r="R1398" i="41"/>
  <c r="V1398" i="41" s="1"/>
  <c r="U651" i="41"/>
  <c r="S651" i="41" s="1"/>
  <c r="Q652" i="41"/>
  <c r="M650" i="41"/>
  <c r="L650" i="41" s="1"/>
  <c r="AB651" i="41" a="1"/>
  <c r="AB651" i="41" s="1"/>
  <c r="H1396" i="41" l="1"/>
  <c r="G1396" i="41" s="1"/>
  <c r="AC650" i="41"/>
  <c r="AE710" i="41" s="1" a="1"/>
  <c r="AE710" i="41" s="1"/>
  <c r="AG710" i="41" s="1"/>
  <c r="AI709" i="41"/>
  <c r="AG709" i="41"/>
  <c r="AK709" i="41"/>
  <c r="AF709" i="41"/>
  <c r="AH709" i="41"/>
  <c r="M1393" i="41"/>
  <c r="L1393" i="41" s="1"/>
  <c r="AD650" i="41"/>
  <c r="M1394" i="41"/>
  <c r="I651" i="41"/>
  <c r="H651" i="41"/>
  <c r="G651" i="41" s="1"/>
  <c r="AE1395" i="41"/>
  <c r="T1395" i="41"/>
  <c r="O1399" i="41"/>
  <c r="AC1396" i="41"/>
  <c r="R653" i="41"/>
  <c r="V653" i="41" s="1"/>
  <c r="O653" i="41"/>
  <c r="AD1396" i="41"/>
  <c r="W1398" i="41"/>
  <c r="X1398" i="41"/>
  <c r="P1399" i="41"/>
  <c r="W652" i="41"/>
  <c r="P653" i="41"/>
  <c r="X652" i="41"/>
  <c r="AB652" i="41" a="1"/>
  <c r="AB652" i="41" s="1"/>
  <c r="U1398" i="41"/>
  <c r="AD1397" i="41" s="1"/>
  <c r="Q1399" i="41"/>
  <c r="M651" i="41"/>
  <c r="L651" i="41" s="1"/>
  <c r="U652" i="41"/>
  <c r="S652" i="41" s="1"/>
  <c r="I652" i="41" s="1"/>
  <c r="Q653" i="41"/>
  <c r="S1397" i="41"/>
  <c r="R1399" i="41"/>
  <c r="AI710" i="41" l="1"/>
  <c r="S1398" i="41"/>
  <c r="H1398" i="41" s="1"/>
  <c r="G1398" i="41" s="1"/>
  <c r="AK710" i="41"/>
  <c r="AF710" i="41"/>
  <c r="AH710" i="41"/>
  <c r="AJ710" i="41"/>
  <c r="L1394" i="41"/>
  <c r="AD651" i="41"/>
  <c r="AB1397" i="41"/>
  <c r="AC1397" i="41"/>
  <c r="T1397" i="41" s="1"/>
  <c r="W1399" i="41"/>
  <c r="P1400" i="41"/>
  <c r="X1399" i="41"/>
  <c r="R654" i="41"/>
  <c r="O654" i="41"/>
  <c r="AG1395" i="41"/>
  <c r="AI1395" i="41"/>
  <c r="AF1395" i="41"/>
  <c r="AK1395" i="41"/>
  <c r="AH1395" i="41"/>
  <c r="AJ1395" i="41"/>
  <c r="U1399" i="41"/>
  <c r="S1399" i="41" s="1"/>
  <c r="Q1400" i="41"/>
  <c r="H652" i="41"/>
  <c r="G652" i="41" s="1"/>
  <c r="I1397" i="41"/>
  <c r="H1397" i="41"/>
  <c r="G1397" i="41" s="1"/>
  <c r="U653" i="41"/>
  <c r="S653" i="41" s="1"/>
  <c r="I653" i="41" s="1"/>
  <c r="Q654" i="41"/>
  <c r="W653" i="41"/>
  <c r="X653" i="41"/>
  <c r="P654" i="41"/>
  <c r="M652" i="41"/>
  <c r="L652" i="41" s="1"/>
  <c r="R1400" i="41"/>
  <c r="V1400" i="41" s="1"/>
  <c r="V1399" i="41"/>
  <c r="O1400" i="41" s="1"/>
  <c r="AB653" i="41" a="1"/>
  <c r="AB653" i="41" s="1"/>
  <c r="AC651" i="41"/>
  <c r="AE711" i="41" s="1" a="1"/>
  <c r="AE711" i="41" s="1"/>
  <c r="AE1396" i="41"/>
  <c r="T1396" i="41"/>
  <c r="I1398" i="41" l="1"/>
  <c r="AC652" i="41"/>
  <c r="AE712" i="41" s="1" a="1"/>
  <c r="AE712" i="41" s="1"/>
  <c r="AG712" i="41" s="1"/>
  <c r="AD652" i="41"/>
  <c r="AE1397" i="41"/>
  <c r="AI1397" i="41" s="1"/>
  <c r="AC1398" i="41"/>
  <c r="AE1398" i="41" s="1"/>
  <c r="M1395" i="41"/>
  <c r="L1395" i="41" s="1"/>
  <c r="AD1398" i="41"/>
  <c r="H1399" i="41"/>
  <c r="G1399" i="41" s="1"/>
  <c r="I1399" i="41"/>
  <c r="W654" i="41"/>
  <c r="X654" i="41"/>
  <c r="P655" i="41"/>
  <c r="AH711" i="41"/>
  <c r="AG711" i="41"/>
  <c r="AI711" i="41"/>
  <c r="AJ711" i="41"/>
  <c r="AK711" i="41"/>
  <c r="AF711" i="41"/>
  <c r="M653" i="41"/>
  <c r="L653" i="41" s="1"/>
  <c r="W1400" i="41"/>
  <c r="P1401" i="41"/>
  <c r="X1400" i="41"/>
  <c r="O1401" i="41"/>
  <c r="H653" i="41"/>
  <c r="G653" i="41" s="1"/>
  <c r="R655" i="41"/>
  <c r="V655" i="41" s="1"/>
  <c r="U654" i="41"/>
  <c r="S654" i="41" s="1"/>
  <c r="I654" i="41" s="1"/>
  <c r="Q655" i="41"/>
  <c r="O655" i="41"/>
  <c r="V654" i="41"/>
  <c r="R1401" i="41"/>
  <c r="V1401" i="41" s="1"/>
  <c r="AI1396" i="41"/>
  <c r="AH1396" i="41"/>
  <c r="AF1396" i="41"/>
  <c r="AJ1396" i="41"/>
  <c r="AK1396" i="41"/>
  <c r="AG1396" i="41"/>
  <c r="AB654" i="41" a="1"/>
  <c r="AB654" i="41" s="1"/>
  <c r="AB1398" i="41"/>
  <c r="U1400" i="41"/>
  <c r="AC1399" i="41" s="1"/>
  <c r="Q1401" i="41"/>
  <c r="AG1397" i="41"/>
  <c r="AH1397" i="41"/>
  <c r="AK1397" i="41"/>
  <c r="AJ1397" i="41"/>
  <c r="AF1397" i="41"/>
  <c r="T1398" i="41" l="1"/>
  <c r="AH712" i="41"/>
  <c r="AJ712" i="41"/>
  <c r="AF712" i="41"/>
  <c r="AI712" i="41"/>
  <c r="AK712" i="41"/>
  <c r="M1396" i="41"/>
  <c r="L1396" i="41" s="1"/>
  <c r="M1397" i="41"/>
  <c r="AC653" i="41"/>
  <c r="AE713" i="41" s="1" a="1"/>
  <c r="AE713" i="41" s="1"/>
  <c r="AI713" i="41" s="1"/>
  <c r="AD653" i="41"/>
  <c r="AE1399" i="41"/>
  <c r="T1399" i="41"/>
  <c r="R656" i="41"/>
  <c r="H654" i="41"/>
  <c r="G654" i="41" s="1"/>
  <c r="W655" i="41"/>
  <c r="X655" i="41"/>
  <c r="P656" i="41"/>
  <c r="AF1398" i="41"/>
  <c r="AI1398" i="41"/>
  <c r="AJ1398" i="41"/>
  <c r="AG1398" i="41"/>
  <c r="AK1398" i="41"/>
  <c r="AH1398" i="41"/>
  <c r="M654" i="41"/>
  <c r="L654" i="41" s="1"/>
  <c r="O656" i="41"/>
  <c r="U655" i="41"/>
  <c r="AC654" i="41" s="1"/>
  <c r="AE714" i="41" s="1" a="1"/>
  <c r="AE714" i="41" s="1"/>
  <c r="Q656" i="41"/>
  <c r="AB1399" i="41"/>
  <c r="AB655" i="41" a="1"/>
  <c r="AB655" i="41" s="1"/>
  <c r="O1402" i="41"/>
  <c r="R1402" i="41"/>
  <c r="V1402" i="41" s="1"/>
  <c r="AD1399" i="41"/>
  <c r="W1401" i="41"/>
  <c r="X1401" i="41"/>
  <c r="P1402" i="41"/>
  <c r="U1401" i="41"/>
  <c r="Q1402" i="41"/>
  <c r="S1400" i="41"/>
  <c r="S655" i="41" l="1"/>
  <c r="I655" i="41" s="1"/>
  <c r="AD654" i="41"/>
  <c r="AH713" i="41"/>
  <c r="AK713" i="41"/>
  <c r="AF713" i="41"/>
  <c r="AJ713" i="41"/>
  <c r="AG713" i="41"/>
  <c r="L1397" i="41"/>
  <c r="M1398" i="41"/>
  <c r="R657" i="41"/>
  <c r="V657" i="41" s="1"/>
  <c r="S1401" i="41"/>
  <c r="M655" i="41"/>
  <c r="L655" i="41" s="1"/>
  <c r="R1403" i="41"/>
  <c r="U656" i="41"/>
  <c r="Q657" i="41"/>
  <c r="AB1400" i="41"/>
  <c r="AD1400" i="41"/>
  <c r="AB656" i="41" a="1"/>
  <c r="AB656" i="41" s="1"/>
  <c r="AI714" i="41"/>
  <c r="AJ714" i="41"/>
  <c r="AH714" i="41"/>
  <c r="AF714" i="41"/>
  <c r="AG714" i="41"/>
  <c r="AK714" i="41"/>
  <c r="AC1400" i="41"/>
  <c r="W1402" i="41"/>
  <c r="X1402" i="41"/>
  <c r="P1403" i="41"/>
  <c r="H1400" i="41"/>
  <c r="G1400" i="41" s="1"/>
  <c r="I1400" i="41"/>
  <c r="V656" i="41"/>
  <c r="O657" i="41" s="1"/>
  <c r="O1403" i="41"/>
  <c r="U1402" i="41"/>
  <c r="AC1401" i="41" s="1"/>
  <c r="Q1403" i="41"/>
  <c r="W656" i="41"/>
  <c r="X656" i="41"/>
  <c r="P657" i="41"/>
  <c r="AF1399" i="41"/>
  <c r="AI1399" i="41"/>
  <c r="AK1399" i="41"/>
  <c r="AJ1399" i="41"/>
  <c r="AG1399" i="41"/>
  <c r="AH1399" i="41"/>
  <c r="H655" i="41" l="1"/>
  <c r="G655" i="41" s="1"/>
  <c r="L1398" i="41"/>
  <c r="M1399" i="41"/>
  <c r="AE1401" i="41"/>
  <c r="T1401" i="41"/>
  <c r="AE1400" i="41"/>
  <c r="T1400" i="41"/>
  <c r="I1401" i="41"/>
  <c r="H1401" i="41"/>
  <c r="G1401" i="41" s="1"/>
  <c r="AB1401" i="41"/>
  <c r="AD1401" i="41"/>
  <c r="AC655" i="41"/>
  <c r="AE715" i="41" s="1" a="1"/>
  <c r="AE715" i="41" s="1"/>
  <c r="U1403" i="41"/>
  <c r="AD1402" i="41" s="1"/>
  <c r="Q1404" i="41"/>
  <c r="S656" i="41"/>
  <c r="R658" i="41"/>
  <c r="V658" i="41" s="1"/>
  <c r="U657" i="41"/>
  <c r="AD656" i="41" s="1"/>
  <c r="Q658" i="41"/>
  <c r="AD655" i="41"/>
  <c r="O1404" i="41"/>
  <c r="S1402" i="41"/>
  <c r="AB657" i="41" a="1"/>
  <c r="AB657" i="41" s="1"/>
  <c r="W657" i="41"/>
  <c r="X657" i="41"/>
  <c r="P658" i="41"/>
  <c r="M656" i="41"/>
  <c r="L656" i="41" s="1"/>
  <c r="V1403" i="41"/>
  <c r="R1404" i="41"/>
  <c r="W1403" i="41"/>
  <c r="X1403" i="41"/>
  <c r="P1404" i="41"/>
  <c r="O658" i="41"/>
  <c r="S657" i="41" l="1"/>
  <c r="I657" i="41" s="1"/>
  <c r="L1399" i="41"/>
  <c r="S1403" i="41"/>
  <c r="AC656" i="41"/>
  <c r="AE716" i="41" s="1" a="1"/>
  <c r="AE716" i="41" s="1"/>
  <c r="AI716" i="41" s="1"/>
  <c r="AC1402" i="41"/>
  <c r="AE1402" i="41" s="1"/>
  <c r="AB1402" i="41"/>
  <c r="I1403" i="41"/>
  <c r="H1403" i="41"/>
  <c r="G1403" i="41" s="1"/>
  <c r="R659" i="41"/>
  <c r="V659" i="41" s="1"/>
  <c r="R1405" i="41"/>
  <c r="V1405" i="41" s="1"/>
  <c r="U658" i="41"/>
  <c r="Q659" i="41"/>
  <c r="H657" i="41"/>
  <c r="G657" i="41" s="1"/>
  <c r="W658" i="41"/>
  <c r="P659" i="41"/>
  <c r="X658" i="41"/>
  <c r="I656" i="41"/>
  <c r="H656" i="41"/>
  <c r="G656" i="41" s="1"/>
  <c r="W1404" i="41"/>
  <c r="X1404" i="41"/>
  <c r="P1405" i="41"/>
  <c r="AJ1400" i="41"/>
  <c r="AI1400" i="41"/>
  <c r="AK1400" i="41"/>
  <c r="AG1400" i="41"/>
  <c r="AF1400" i="41"/>
  <c r="AH1400" i="41"/>
  <c r="M657" i="41"/>
  <c r="L657" i="41" s="1"/>
  <c r="U1404" i="41"/>
  <c r="AC1403" i="41" s="1"/>
  <c r="Q1405" i="41"/>
  <c r="H1402" i="41"/>
  <c r="G1402" i="41" s="1"/>
  <c r="I1402" i="41"/>
  <c r="AB658" i="41" a="1"/>
  <c r="AB658" i="41" s="1"/>
  <c r="O659" i="41"/>
  <c r="V1404" i="41"/>
  <c r="O1405" i="41" s="1"/>
  <c r="AI715" i="41"/>
  <c r="AK715" i="41"/>
  <c r="AH715" i="41"/>
  <c r="AG715" i="41"/>
  <c r="AF715" i="41"/>
  <c r="AJ715" i="41"/>
  <c r="AK1401" i="41"/>
  <c r="AF1401" i="41"/>
  <c r="AG1401" i="41"/>
  <c r="AJ1401" i="41"/>
  <c r="AI1401" i="41"/>
  <c r="AH1401" i="41"/>
  <c r="S658" i="41" l="1"/>
  <c r="I658" i="41" s="1"/>
  <c r="T1402" i="41"/>
  <c r="AK716" i="41"/>
  <c r="AD657" i="41"/>
  <c r="AC657" i="41"/>
  <c r="AE717" i="41" s="1" a="1"/>
  <c r="AE717" i="41" s="1"/>
  <c r="AG717" i="41" s="1"/>
  <c r="AF716" i="41"/>
  <c r="AG716" i="41"/>
  <c r="AJ716" i="41"/>
  <c r="AH716" i="41"/>
  <c r="M1401" i="41"/>
  <c r="AD1403" i="41"/>
  <c r="AE1403" i="41"/>
  <c r="T1403" i="41"/>
  <c r="W1405" i="41"/>
  <c r="X1405" i="41"/>
  <c r="P1406" i="41"/>
  <c r="O660" i="41"/>
  <c r="H658" i="41"/>
  <c r="G658" i="41" s="1"/>
  <c r="AB1403" i="41"/>
  <c r="R660" i="41"/>
  <c r="V660" i="41" s="1"/>
  <c r="AJ1402" i="41"/>
  <c r="AK1402" i="41"/>
  <c r="AI1402" i="41"/>
  <c r="AG1402" i="41"/>
  <c r="AH1402" i="41"/>
  <c r="AF1402" i="41"/>
  <c r="M658" i="41"/>
  <c r="L658" i="41" s="1"/>
  <c r="U1405" i="41"/>
  <c r="Q1406" i="41"/>
  <c r="O1406" i="41"/>
  <c r="R1406" i="41"/>
  <c r="V1406" i="41" s="1"/>
  <c r="U659" i="41"/>
  <c r="Q660" i="41"/>
  <c r="AB659" i="41" a="1"/>
  <c r="AB659" i="41" s="1"/>
  <c r="W659" i="41"/>
  <c r="X659" i="41"/>
  <c r="P660" i="41"/>
  <c r="S1404" i="41"/>
  <c r="M1400" i="41"/>
  <c r="L1400" i="41" s="1"/>
  <c r="S659" i="41" l="1"/>
  <c r="I659" i="41" s="1"/>
  <c r="AI717" i="41"/>
  <c r="AK717" i="41"/>
  <c r="AH717" i="41"/>
  <c r="AF717" i="41"/>
  <c r="AJ717" i="41"/>
  <c r="AB660" i="41" a="1"/>
  <c r="AB660" i="41" s="1"/>
  <c r="M1402" i="41"/>
  <c r="L1401" i="41"/>
  <c r="M659" i="41"/>
  <c r="L659" i="41" s="1"/>
  <c r="W660" i="41"/>
  <c r="X660" i="41"/>
  <c r="P661" i="41"/>
  <c r="I1404" i="41"/>
  <c r="H1404" i="41"/>
  <c r="G1404" i="41" s="1"/>
  <c r="O661" i="41"/>
  <c r="R1407" i="41"/>
  <c r="V1407" i="41" s="1"/>
  <c r="U660" i="41"/>
  <c r="AD659" i="41" s="1"/>
  <c r="Q661" i="41"/>
  <c r="AB1404" i="41"/>
  <c r="U1406" i="41"/>
  <c r="Q1407" i="41"/>
  <c r="O1407" i="41"/>
  <c r="AC658" i="41"/>
  <c r="AE718" i="41" s="1" a="1"/>
  <c r="AE718" i="41" s="1"/>
  <c r="AC1404" i="41"/>
  <c r="AD1404" i="41"/>
  <c r="R661" i="41"/>
  <c r="W1406" i="41"/>
  <c r="P1407" i="41"/>
  <c r="X1406" i="41"/>
  <c r="AD658" i="41"/>
  <c r="S1405" i="41"/>
  <c r="AH1403" i="41"/>
  <c r="AI1403" i="41"/>
  <c r="AJ1403" i="41"/>
  <c r="AK1403" i="41"/>
  <c r="AG1403" i="41"/>
  <c r="AF1403" i="41"/>
  <c r="H659" i="41" l="1"/>
  <c r="G659" i="41" s="1"/>
  <c r="AB661" i="41" a="1"/>
  <c r="AB661" i="41" s="1"/>
  <c r="L1402" i="41"/>
  <c r="M1403" i="41"/>
  <c r="S660" i="41"/>
  <c r="I660" i="41" s="1"/>
  <c r="AC659" i="41"/>
  <c r="AE719" i="41" s="1" a="1"/>
  <c r="AE719" i="41" s="1"/>
  <c r="AG719" i="41" s="1"/>
  <c r="W661" i="41"/>
  <c r="X661" i="41"/>
  <c r="P662" i="41"/>
  <c r="H1405" i="41"/>
  <c r="G1405" i="41" s="1"/>
  <c r="I1405" i="41"/>
  <c r="R662" i="41"/>
  <c r="W1407" i="41"/>
  <c r="X1407" i="41"/>
  <c r="P1408" i="41"/>
  <c r="AD1405" i="41"/>
  <c r="AE1404" i="41"/>
  <c r="T1404" i="41"/>
  <c r="S1406" i="41"/>
  <c r="M660" i="41"/>
  <c r="L660" i="41" s="1"/>
  <c r="U661" i="41"/>
  <c r="Q662" i="41"/>
  <c r="AB1405" i="41"/>
  <c r="U1407" i="41"/>
  <c r="AC1406" i="41" s="1"/>
  <c r="Q1408" i="41"/>
  <c r="AC1405" i="41"/>
  <c r="AI718" i="41"/>
  <c r="AJ718" i="41"/>
  <c r="AH718" i="41"/>
  <c r="AG718" i="41"/>
  <c r="AK718" i="41"/>
  <c r="AF718" i="41"/>
  <c r="R1408" i="41"/>
  <c r="V1408" i="41" s="1"/>
  <c r="V661" i="41"/>
  <c r="O662" i="41" s="1"/>
  <c r="O1408" i="41"/>
  <c r="H660" i="41" l="1"/>
  <c r="G660" i="41" s="1"/>
  <c r="L1403" i="41"/>
  <c r="V662" i="41"/>
  <c r="AH719" i="41"/>
  <c r="AK719" i="41"/>
  <c r="AJ719" i="41"/>
  <c r="AI719" i="41"/>
  <c r="AB1406" i="41"/>
  <c r="S1407" i="41"/>
  <c r="H1407" i="41" s="1"/>
  <c r="G1407" i="41" s="1"/>
  <c r="AD1406" i="41"/>
  <c r="AF719" i="41"/>
  <c r="O663" i="41"/>
  <c r="U662" i="41"/>
  <c r="AD661" i="41" s="1"/>
  <c r="Q663" i="41"/>
  <c r="AB662" i="41" a="1"/>
  <c r="AB662" i="41" s="1"/>
  <c r="W1408" i="41"/>
  <c r="X1408" i="41"/>
  <c r="P1409" i="41"/>
  <c r="AE1406" i="41"/>
  <c r="T1406" i="41"/>
  <c r="R663" i="41"/>
  <c r="V663" i="41" s="1"/>
  <c r="U1408" i="41"/>
  <c r="AC1407" i="41" s="1"/>
  <c r="Q1409" i="41"/>
  <c r="I1406" i="41"/>
  <c r="H1406" i="41"/>
  <c r="G1406" i="41" s="1"/>
  <c r="R1409" i="41"/>
  <c r="V1409" i="41" s="1"/>
  <c r="O1409" i="41"/>
  <c r="W662" i="41"/>
  <c r="X662" i="41"/>
  <c r="P663" i="41"/>
  <c r="AE1405" i="41"/>
  <c r="T1405" i="41"/>
  <c r="S661" i="41"/>
  <c r="AC660" i="41"/>
  <c r="AE720" i="41" s="1" a="1"/>
  <c r="AE720" i="41" s="1"/>
  <c r="AD660" i="41"/>
  <c r="AH1404" i="41"/>
  <c r="AI1404" i="41"/>
  <c r="AK1404" i="41"/>
  <c r="AJ1404" i="41"/>
  <c r="AG1404" i="41"/>
  <c r="AF1404" i="41"/>
  <c r="M661" i="41"/>
  <c r="L661" i="41" s="1"/>
  <c r="I1407" i="41" l="1"/>
  <c r="AC661" i="41"/>
  <c r="AE721" i="41" s="1" a="1"/>
  <c r="AE721" i="41" s="1"/>
  <c r="AJ721" i="41" s="1"/>
  <c r="AB663" i="41" a="1"/>
  <c r="AB663" i="41" s="1"/>
  <c r="O1410" i="41"/>
  <c r="AB1407" i="41"/>
  <c r="AD1407" i="41"/>
  <c r="AE1407" i="41"/>
  <c r="T1407" i="41"/>
  <c r="O664" i="41"/>
  <c r="W1409" i="41"/>
  <c r="X1409" i="41"/>
  <c r="P1410" i="41"/>
  <c r="U1409" i="41"/>
  <c r="Q1410" i="41"/>
  <c r="AI1406" i="41"/>
  <c r="AJ1406" i="41"/>
  <c r="AH1406" i="41"/>
  <c r="AG1406" i="41"/>
  <c r="AK1406" i="41"/>
  <c r="AF1406" i="41"/>
  <c r="R1410" i="41"/>
  <c r="V1410" i="41" s="1"/>
  <c r="S662" i="41"/>
  <c r="U663" i="41"/>
  <c r="AD662" i="41" s="1"/>
  <c r="Q664" i="41"/>
  <c r="S1408" i="41"/>
  <c r="W663" i="41"/>
  <c r="X663" i="41"/>
  <c r="P664" i="41"/>
  <c r="M662" i="41"/>
  <c r="L662" i="41" s="1"/>
  <c r="AF720" i="41"/>
  <c r="AI720" i="41"/>
  <c r="AH720" i="41"/>
  <c r="AJ720" i="41"/>
  <c r="AK720" i="41"/>
  <c r="AG720" i="41"/>
  <c r="I661" i="41"/>
  <c r="H661" i="41"/>
  <c r="G661" i="41" s="1"/>
  <c r="M1404" i="41"/>
  <c r="L1404" i="41" s="1"/>
  <c r="AI1405" i="41"/>
  <c r="AK1405" i="41"/>
  <c r="AG1405" i="41"/>
  <c r="AJ1405" i="41"/>
  <c r="AF1405" i="41"/>
  <c r="AH1405" i="41"/>
  <c r="R664" i="41"/>
  <c r="AB664" i="41" l="1" a="1"/>
  <c r="AB664" i="41" s="1"/>
  <c r="AI721" i="41"/>
  <c r="AH721" i="41"/>
  <c r="AF721" i="41"/>
  <c r="AG721" i="41"/>
  <c r="AK721" i="41"/>
  <c r="AC662" i="41"/>
  <c r="AE722" i="41" s="1" a="1"/>
  <c r="AE722" i="41" s="1"/>
  <c r="AI722" i="41" s="1"/>
  <c r="M1406" i="41"/>
  <c r="M663" i="41"/>
  <c r="L663" i="41" s="1"/>
  <c r="R665" i="41"/>
  <c r="AD1408" i="41"/>
  <c r="R1411" i="41"/>
  <c r="AC1408" i="41"/>
  <c r="H1408" i="41"/>
  <c r="G1408" i="41" s="1"/>
  <c r="I1408" i="41"/>
  <c r="U664" i="41"/>
  <c r="AC663" i="41" s="1"/>
  <c r="AE723" i="41" s="1" a="1"/>
  <c r="AE723" i="41" s="1"/>
  <c r="Q665" i="41"/>
  <c r="X664" i="41"/>
  <c r="W664" i="41"/>
  <c r="P665" i="41"/>
  <c r="S663" i="41"/>
  <c r="I662" i="41"/>
  <c r="H662" i="41"/>
  <c r="G662" i="41" s="1"/>
  <c r="V664" i="41"/>
  <c r="O665" i="41" s="1"/>
  <c r="M1405" i="41"/>
  <c r="L1405" i="41" s="1"/>
  <c r="W1410" i="41"/>
  <c r="X1410" i="41"/>
  <c r="P1411" i="41"/>
  <c r="U1410" i="41"/>
  <c r="AC1409" i="41" s="1"/>
  <c r="Q1411" i="41"/>
  <c r="AB1408" i="41"/>
  <c r="AG1407" i="41"/>
  <c r="AF1407" i="41"/>
  <c r="AH1407" i="41"/>
  <c r="AJ1407" i="41"/>
  <c r="AI1407" i="41"/>
  <c r="AK1407" i="41"/>
  <c r="O1411" i="41"/>
  <c r="S1409" i="41"/>
  <c r="AD663" i="41" l="1"/>
  <c r="AB665" i="41" a="1"/>
  <c r="AB665" i="41" s="1"/>
  <c r="AG722" i="41"/>
  <c r="L1406" i="41"/>
  <c r="AK722" i="41"/>
  <c r="AH722" i="41"/>
  <c r="AF722" i="41"/>
  <c r="AJ722" i="41"/>
  <c r="M1407" i="41"/>
  <c r="AB1409" i="41"/>
  <c r="M664" i="41"/>
  <c r="L664" i="41" s="1"/>
  <c r="AE1409" i="41"/>
  <c r="T1409" i="41"/>
  <c r="W665" i="41"/>
  <c r="P666" i="41"/>
  <c r="X665" i="41"/>
  <c r="I663" i="41"/>
  <c r="H663" i="41"/>
  <c r="G663" i="41" s="1"/>
  <c r="S664" i="41"/>
  <c r="U665" i="41"/>
  <c r="AD664" i="41" s="1"/>
  <c r="Q666" i="41"/>
  <c r="AE1408" i="41"/>
  <c r="T1408" i="41"/>
  <c r="U1411" i="41"/>
  <c r="AD1410" i="41" s="1"/>
  <c r="Q1412" i="41"/>
  <c r="AG723" i="41"/>
  <c r="AH723" i="41"/>
  <c r="AF723" i="41"/>
  <c r="AI723" i="41"/>
  <c r="AJ723" i="41"/>
  <c r="AK723" i="41"/>
  <c r="W1411" i="41"/>
  <c r="X1411" i="41"/>
  <c r="P1412" i="41"/>
  <c r="AD1409" i="41"/>
  <c r="R1412" i="41"/>
  <c r="V1412" i="41" s="1"/>
  <c r="R666" i="41"/>
  <c r="V666" i="41" s="1"/>
  <c r="H1409" i="41"/>
  <c r="G1409" i="41" s="1"/>
  <c r="I1409" i="41"/>
  <c r="S1410" i="41"/>
  <c r="V1411" i="41"/>
  <c r="O1412" i="41" s="1"/>
  <c r="V665" i="41"/>
  <c r="O666" i="41" s="1"/>
  <c r="L1407" i="41" l="1"/>
  <c r="AB666" i="41" a="1"/>
  <c r="AB666" i="41" s="1"/>
  <c r="AC1410" i="41"/>
  <c r="AE1410" i="41" s="1"/>
  <c r="H1410" i="41"/>
  <c r="G1410" i="41" s="1"/>
  <c r="I1410" i="41"/>
  <c r="I664" i="41"/>
  <c r="H664" i="41"/>
  <c r="G664" i="41" s="1"/>
  <c r="R1413" i="41"/>
  <c r="AB1410" i="41"/>
  <c r="U666" i="41"/>
  <c r="Q667" i="41"/>
  <c r="T1410" i="41"/>
  <c r="R667" i="41"/>
  <c r="V667" i="41" s="1"/>
  <c r="W1412" i="41"/>
  <c r="X1412" i="41"/>
  <c r="P1413" i="41"/>
  <c r="S1411" i="41"/>
  <c r="O1413" i="41"/>
  <c r="M665" i="41"/>
  <c r="L665" i="41" s="1"/>
  <c r="U1412" i="41"/>
  <c r="AC1411" i="41" s="1"/>
  <c r="Q1413" i="41"/>
  <c r="W666" i="41"/>
  <c r="X666" i="41"/>
  <c r="P667" i="41"/>
  <c r="S665" i="41"/>
  <c r="AI1408" i="41"/>
  <c r="AG1408" i="41"/>
  <c r="AJ1408" i="41"/>
  <c r="AK1408" i="41"/>
  <c r="AF1408" i="41"/>
  <c r="AH1408" i="41"/>
  <c r="AC664" i="41"/>
  <c r="AE724" i="41" s="1" a="1"/>
  <c r="AE724" i="41" s="1"/>
  <c r="O667" i="41"/>
  <c r="AF1409" i="41"/>
  <c r="AJ1409" i="41"/>
  <c r="AK1409" i="41"/>
  <c r="AG1409" i="41"/>
  <c r="AI1409" i="41"/>
  <c r="AH1409" i="41"/>
  <c r="M1409" i="41" l="1"/>
  <c r="M1408" i="41"/>
  <c r="L1408" i="41" s="1"/>
  <c r="AD1411" i="41"/>
  <c r="S1412" i="41"/>
  <c r="H1412" i="41" s="1"/>
  <c r="G1412" i="41" s="1"/>
  <c r="AE1411" i="41"/>
  <c r="T1411" i="41"/>
  <c r="R668" i="41"/>
  <c r="AC665" i="41"/>
  <c r="AE725" i="41" s="1" a="1"/>
  <c r="AE725" i="41" s="1"/>
  <c r="W1413" i="41"/>
  <c r="X1413" i="41"/>
  <c r="P1414" i="41"/>
  <c r="S666" i="41"/>
  <c r="U1413" i="41"/>
  <c r="AC1412" i="41" s="1"/>
  <c r="Q1414" i="41"/>
  <c r="AD665" i="41"/>
  <c r="V1413" i="41"/>
  <c r="O1414" i="41" s="1"/>
  <c r="O668" i="41"/>
  <c r="M666" i="41"/>
  <c r="L666" i="41" s="1"/>
  <c r="AI724" i="41"/>
  <c r="AF724" i="41"/>
  <c r="AJ724" i="41"/>
  <c r="AH724" i="41"/>
  <c r="AK724" i="41"/>
  <c r="AG724" i="41"/>
  <c r="W667" i="41"/>
  <c r="X667" i="41"/>
  <c r="P668" i="41"/>
  <c r="R1414" i="41"/>
  <c r="U667" i="41"/>
  <c r="AD666" i="41" s="1"/>
  <c r="Q668" i="41"/>
  <c r="I1411" i="41"/>
  <c r="H1411" i="41"/>
  <c r="G1411" i="41" s="1"/>
  <c r="AB1411" i="41"/>
  <c r="AB667" i="41" a="1"/>
  <c r="AB667" i="41" s="1"/>
  <c r="I665" i="41"/>
  <c r="H665" i="41"/>
  <c r="G665" i="41" s="1"/>
  <c r="AF1410" i="41"/>
  <c r="AJ1410" i="41"/>
  <c r="AG1410" i="41"/>
  <c r="AI1410" i="41"/>
  <c r="AK1410" i="41"/>
  <c r="AH1410" i="41"/>
  <c r="V1414" i="41" l="1"/>
  <c r="AD1412" i="41"/>
  <c r="I1412" i="41"/>
  <c r="AB668" i="41" a="1"/>
  <c r="AB668" i="41" s="1"/>
  <c r="M1410" i="41"/>
  <c r="L1409" i="41"/>
  <c r="AH725" i="41"/>
  <c r="AJ725" i="41"/>
  <c r="AF725" i="41"/>
  <c r="AI725" i="41"/>
  <c r="AK725" i="41"/>
  <c r="AG725" i="41"/>
  <c r="M667" i="41"/>
  <c r="L667" i="41" s="1"/>
  <c r="U668" i="41"/>
  <c r="AD667" i="41" s="1"/>
  <c r="Q669" i="41"/>
  <c r="W1414" i="41"/>
  <c r="X1414" i="41"/>
  <c r="P1415" i="41"/>
  <c r="O1415" i="41"/>
  <c r="S1413" i="41"/>
  <c r="AC666" i="41"/>
  <c r="AE726" i="41" s="1" a="1"/>
  <c r="AE726" i="41" s="1"/>
  <c r="V668" i="41"/>
  <c r="O669" i="41" s="1"/>
  <c r="I666" i="41"/>
  <c r="H666" i="41"/>
  <c r="G666" i="41" s="1"/>
  <c r="R1415" i="41"/>
  <c r="V1415" i="41" s="1"/>
  <c r="AE1412" i="41"/>
  <c r="T1412" i="41"/>
  <c r="U1414" i="41"/>
  <c r="Q1415" i="41"/>
  <c r="W668" i="41"/>
  <c r="X668" i="41"/>
  <c r="P669" i="41"/>
  <c r="AB1412" i="41"/>
  <c r="R669" i="41"/>
  <c r="V669" i="41" s="1"/>
  <c r="S667" i="41"/>
  <c r="AH1411" i="41"/>
  <c r="AK1411" i="41"/>
  <c r="AI1411" i="41"/>
  <c r="AG1411" i="41"/>
  <c r="AJ1411" i="41"/>
  <c r="AF1411" i="41"/>
  <c r="AB669" i="41" l="1" a="1"/>
  <c r="AB669" i="41" s="1"/>
  <c r="L1410" i="41"/>
  <c r="S1414" i="41"/>
  <c r="M1411" i="41"/>
  <c r="I1414" i="41"/>
  <c r="H1414" i="41"/>
  <c r="G1414" i="41" s="1"/>
  <c r="O1416" i="41"/>
  <c r="S668" i="41"/>
  <c r="I667" i="41"/>
  <c r="H667" i="41"/>
  <c r="G667" i="41" s="1"/>
  <c r="U669" i="41"/>
  <c r="AD668" i="41" s="1"/>
  <c r="Q670" i="41"/>
  <c r="W1415" i="41"/>
  <c r="X1415" i="41"/>
  <c r="P1416" i="41"/>
  <c r="AJ726" i="41"/>
  <c r="AF726" i="41"/>
  <c r="AI726" i="41"/>
  <c r="AK726" i="41"/>
  <c r="AG726" i="41"/>
  <c r="AH726" i="41"/>
  <c r="W669" i="41"/>
  <c r="X669" i="41"/>
  <c r="P670" i="41"/>
  <c r="U1415" i="41"/>
  <c r="Q1416" i="41"/>
  <c r="AD1413" i="41"/>
  <c r="H1413" i="41"/>
  <c r="G1413" i="41" s="1"/>
  <c r="I1413" i="41"/>
  <c r="AH1412" i="41"/>
  <c r="AG1412" i="41"/>
  <c r="AI1412" i="41"/>
  <c r="AK1412" i="41"/>
  <c r="AF1412" i="41"/>
  <c r="AJ1412" i="41"/>
  <c r="R670" i="41"/>
  <c r="V670" i="41" s="1"/>
  <c r="R1416" i="41"/>
  <c r="AC667" i="41"/>
  <c r="AE727" i="41" s="1" a="1"/>
  <c r="AE727" i="41" s="1"/>
  <c r="M668" i="41"/>
  <c r="L668" i="41" s="1"/>
  <c r="AC1413" i="41"/>
  <c r="O670" i="41"/>
  <c r="AB1413" i="41"/>
  <c r="L1411" i="41" l="1"/>
  <c r="M1412" i="41"/>
  <c r="AC668" i="41"/>
  <c r="AE728" i="41" s="1" a="1"/>
  <c r="AE728" i="41" s="1"/>
  <c r="AF728" i="41" s="1"/>
  <c r="M669" i="41"/>
  <c r="L669" i="41" s="1"/>
  <c r="O671" i="41"/>
  <c r="U670" i="41"/>
  <c r="AC669" i="41" s="1"/>
  <c r="AE729" i="41" s="1" a="1"/>
  <c r="AE729" i="41" s="1"/>
  <c r="Q671" i="41"/>
  <c r="AB670" i="41" a="1"/>
  <c r="AB670" i="41" s="1"/>
  <c r="I668" i="41"/>
  <c r="H668" i="41"/>
  <c r="G668" i="41" s="1"/>
  <c r="W1416" i="41"/>
  <c r="X1416" i="41"/>
  <c r="P1417" i="41"/>
  <c r="W670" i="41"/>
  <c r="X670" i="41"/>
  <c r="P671" i="41"/>
  <c r="R1417" i="41"/>
  <c r="AC1414" i="41"/>
  <c r="S1415" i="41"/>
  <c r="AF727" i="41"/>
  <c r="AJ727" i="41"/>
  <c r="AK727" i="41"/>
  <c r="AI727" i="41"/>
  <c r="AG727" i="41"/>
  <c r="AH727" i="41"/>
  <c r="U1416" i="41"/>
  <c r="AC1415" i="41" s="1"/>
  <c r="Q1417" i="41"/>
  <c r="V1416" i="41"/>
  <c r="S669" i="41"/>
  <c r="AD1414" i="41"/>
  <c r="R671" i="41"/>
  <c r="V671" i="41" s="1"/>
  <c r="O1417" i="41"/>
  <c r="AB1414" i="41"/>
  <c r="AE1413" i="41"/>
  <c r="T1413" i="41"/>
  <c r="L1412" i="41" l="1"/>
  <c r="AI728" i="41"/>
  <c r="AJ728" i="41"/>
  <c r="AH728" i="41"/>
  <c r="AK728" i="41"/>
  <c r="AB671" i="41" a="1"/>
  <c r="AB671" i="41" s="1"/>
  <c r="AG728" i="41"/>
  <c r="S1416" i="41"/>
  <c r="H1416" i="41" s="1"/>
  <c r="G1416" i="41" s="1"/>
  <c r="M670" i="41"/>
  <c r="L670" i="41" s="1"/>
  <c r="AD669" i="41"/>
  <c r="AE1415" i="41"/>
  <c r="T1415" i="41"/>
  <c r="U671" i="41"/>
  <c r="AD670" i="41" s="1"/>
  <c r="Q672" i="41"/>
  <c r="W1417" i="41"/>
  <c r="P1418" i="41"/>
  <c r="X1417" i="41"/>
  <c r="I1415" i="41"/>
  <c r="H1415" i="41"/>
  <c r="G1415" i="41" s="1"/>
  <c r="AE1414" i="41"/>
  <c r="T1414" i="41"/>
  <c r="I669" i="41"/>
  <c r="H669" i="41"/>
  <c r="G669" i="41" s="1"/>
  <c r="AI729" i="41"/>
  <c r="AJ729" i="41"/>
  <c r="AK729" i="41"/>
  <c r="AF729" i="41"/>
  <c r="AH729" i="41"/>
  <c r="AG729" i="41"/>
  <c r="R1418" i="41"/>
  <c r="W671" i="41"/>
  <c r="X671" i="41"/>
  <c r="P672" i="41"/>
  <c r="S670" i="41"/>
  <c r="U1417" i="41"/>
  <c r="Q1418" i="41"/>
  <c r="AF1413" i="41"/>
  <c r="AI1413" i="41"/>
  <c r="AK1413" i="41"/>
  <c r="AG1413" i="41"/>
  <c r="AH1413" i="41"/>
  <c r="AJ1413" i="41"/>
  <c r="R672" i="41"/>
  <c r="V672" i="41" s="1"/>
  <c r="O672" i="41"/>
  <c r="AD1415" i="41"/>
  <c r="V1417" i="41"/>
  <c r="O1418" i="41" s="1"/>
  <c r="AB1415" i="41"/>
  <c r="V1418" i="41" l="1"/>
  <c r="S1417" i="41"/>
  <c r="I1417" i="41" s="1"/>
  <c r="AB672" i="41" a="1"/>
  <c r="AB672" i="41" s="1"/>
  <c r="AC670" i="41"/>
  <c r="AE730" i="41" s="1" a="1"/>
  <c r="AE730" i="41" s="1"/>
  <c r="AH730" i="41" s="1"/>
  <c r="AB1416" i="41"/>
  <c r="I1416" i="41"/>
  <c r="M1413" i="41"/>
  <c r="L1413" i="41" s="1"/>
  <c r="H1417" i="41"/>
  <c r="G1417" i="41" s="1"/>
  <c r="O1419" i="41"/>
  <c r="R1419" i="41"/>
  <c r="V1419" i="41" s="1"/>
  <c r="AC1416" i="41"/>
  <c r="W1418" i="41"/>
  <c r="X1418" i="41"/>
  <c r="P1419" i="41"/>
  <c r="AD1416" i="41"/>
  <c r="I670" i="41"/>
  <c r="H670" i="41"/>
  <c r="G670" i="41" s="1"/>
  <c r="O673" i="41"/>
  <c r="AF1414" i="41"/>
  <c r="AK1414" i="41"/>
  <c r="AG1414" i="41"/>
  <c r="AI1414" i="41"/>
  <c r="AJ1414" i="41"/>
  <c r="AH1414" i="41"/>
  <c r="R673" i="41"/>
  <c r="W672" i="41"/>
  <c r="X672" i="41"/>
  <c r="P673" i="41"/>
  <c r="M671" i="41"/>
  <c r="L671" i="41" s="1"/>
  <c r="S671" i="41"/>
  <c r="U1418" i="41"/>
  <c r="Q1419" i="41"/>
  <c r="U672" i="41"/>
  <c r="AC671" i="41" s="1"/>
  <c r="AE731" i="41" s="1" a="1"/>
  <c r="AE731" i="41" s="1"/>
  <c r="Q673" i="41"/>
  <c r="AF1415" i="41"/>
  <c r="AH1415" i="41"/>
  <c r="AK1415" i="41"/>
  <c r="AI1415" i="41"/>
  <c r="AG1415" i="41"/>
  <c r="AJ1415" i="41"/>
  <c r="AF730" i="41" l="1"/>
  <c r="AI730" i="41"/>
  <c r="AG730" i="41"/>
  <c r="AK730" i="41"/>
  <c r="AJ730" i="41"/>
  <c r="AB673" i="41" a="1"/>
  <c r="AB673" i="41" s="1"/>
  <c r="M1415" i="41"/>
  <c r="AD671" i="41"/>
  <c r="AE1416" i="41"/>
  <c r="T1416" i="41"/>
  <c r="W673" i="41"/>
  <c r="X673" i="41"/>
  <c r="P674" i="41"/>
  <c r="O1420" i="41"/>
  <c r="I671" i="41"/>
  <c r="H671" i="41"/>
  <c r="G671" i="41" s="1"/>
  <c r="S672" i="41"/>
  <c r="Q1420" i="41"/>
  <c r="U1419" i="41"/>
  <c r="AC1418" i="41" s="1"/>
  <c r="W1419" i="41"/>
  <c r="X1419" i="41"/>
  <c r="P1420" i="41"/>
  <c r="M1414" i="41"/>
  <c r="L1414" i="41" s="1"/>
  <c r="S1418" i="41"/>
  <c r="S1419" i="41" s="1"/>
  <c r="I1419" i="41" s="1"/>
  <c r="R674" i="41"/>
  <c r="AC1417" i="41"/>
  <c r="AD1417" i="41"/>
  <c r="AB1417" i="41"/>
  <c r="U673" i="41"/>
  <c r="AC672" i="41" s="1"/>
  <c r="AE732" i="41" s="1" a="1"/>
  <c r="AE732" i="41" s="1"/>
  <c r="Q674" i="41"/>
  <c r="M672" i="41"/>
  <c r="L672" i="41" s="1"/>
  <c r="AH731" i="41"/>
  <c r="AJ731" i="41"/>
  <c r="AK731" i="41"/>
  <c r="AG731" i="41"/>
  <c r="AF731" i="41"/>
  <c r="AI731" i="41"/>
  <c r="V673" i="41"/>
  <c r="O674" i="41" s="1"/>
  <c r="R1420" i="41"/>
  <c r="V1420" i="41" s="1"/>
  <c r="V674" i="41" l="1"/>
  <c r="L1415" i="41"/>
  <c r="AB1418" i="41"/>
  <c r="W674" i="41"/>
  <c r="X674" i="41"/>
  <c r="P675" i="41"/>
  <c r="AE1418" i="41"/>
  <c r="T1418" i="41"/>
  <c r="R675" i="41"/>
  <c r="H1419" i="41"/>
  <c r="G1419" i="41" s="1"/>
  <c r="M673" i="41"/>
  <c r="L673" i="41" s="1"/>
  <c r="O1421" i="41"/>
  <c r="AK1416" i="41"/>
  <c r="AG1416" i="41"/>
  <c r="AJ1416" i="41"/>
  <c r="AI1416" i="41"/>
  <c r="AF1416" i="41"/>
  <c r="AH1416" i="41"/>
  <c r="O675" i="41"/>
  <c r="R1421" i="41"/>
  <c r="AD672" i="41"/>
  <c r="AE1417" i="41"/>
  <c r="T1417" i="41"/>
  <c r="U674" i="41"/>
  <c r="Q675" i="41"/>
  <c r="I672" i="41"/>
  <c r="H672" i="41"/>
  <c r="G672" i="41" s="1"/>
  <c r="AD1418" i="41"/>
  <c r="AH732" i="41"/>
  <c r="AF732" i="41"/>
  <c r="AI732" i="41"/>
  <c r="AJ732" i="41"/>
  <c r="AG732" i="41"/>
  <c r="AK732" i="41"/>
  <c r="AB674" i="41" a="1"/>
  <c r="AB674" i="41" s="1"/>
  <c r="I1418" i="41"/>
  <c r="H1418" i="41"/>
  <c r="G1418" i="41" s="1"/>
  <c r="U1420" i="41"/>
  <c r="AB1419" i="41" s="1"/>
  <c r="Q1421" i="41"/>
  <c r="S673" i="41"/>
  <c r="W1420" i="41"/>
  <c r="X1420" i="41"/>
  <c r="P1421" i="41"/>
  <c r="AB675" i="41" l="1" a="1"/>
  <c r="AB675" i="41" s="1"/>
  <c r="S674" i="41"/>
  <c r="I674" i="41" s="1"/>
  <c r="M1416" i="41"/>
  <c r="L1416" i="41" s="1"/>
  <c r="U675" i="41"/>
  <c r="AC674" i="41" s="1"/>
  <c r="AE734" i="41" s="1" a="1"/>
  <c r="AE734" i="41" s="1"/>
  <c r="Q676" i="41"/>
  <c r="R1422" i="41"/>
  <c r="AI1418" i="41"/>
  <c r="AG1418" i="41"/>
  <c r="AH1418" i="41"/>
  <c r="AJ1418" i="41"/>
  <c r="AK1418" i="41"/>
  <c r="AF1418" i="41"/>
  <c r="V675" i="41"/>
  <c r="O676" i="41" s="1"/>
  <c r="R676" i="41"/>
  <c r="W1421" i="41"/>
  <c r="X1421" i="41"/>
  <c r="P1422" i="41"/>
  <c r="H674" i="41"/>
  <c r="G674" i="41" s="1"/>
  <c r="AJ1417" i="41"/>
  <c r="AH1417" i="41"/>
  <c r="AK1417" i="41"/>
  <c r="AF1417" i="41"/>
  <c r="AG1417" i="41"/>
  <c r="AI1417" i="41"/>
  <c r="U1421" i="41"/>
  <c r="AC1420" i="41" s="1"/>
  <c r="Q1422" i="41"/>
  <c r="S1420" i="41"/>
  <c r="I673" i="41"/>
  <c r="H673" i="41"/>
  <c r="G673" i="41" s="1"/>
  <c r="V1421" i="41"/>
  <c r="O1422" i="41" s="1"/>
  <c r="AC1419" i="41"/>
  <c r="AD673" i="41"/>
  <c r="M674" i="41"/>
  <c r="L674" i="41" s="1"/>
  <c r="AD1419" i="41"/>
  <c r="W675" i="41"/>
  <c r="X675" i="41"/>
  <c r="P676" i="41"/>
  <c r="AB676" i="41" s="1" a="1"/>
  <c r="AB676" i="41" s="1"/>
  <c r="AC673" i="41"/>
  <c r="AE733" i="41" s="1" a="1"/>
  <c r="AE733" i="41" s="1"/>
  <c r="AD674" i="41" l="1"/>
  <c r="V1422" i="41"/>
  <c r="O1423" i="41" s="1"/>
  <c r="S675" i="41"/>
  <c r="I675" i="41" s="1"/>
  <c r="AD1420" i="41"/>
  <c r="S1421" i="41"/>
  <c r="M1418" i="41"/>
  <c r="AJ734" i="41"/>
  <c r="AI734" i="41"/>
  <c r="AF734" i="41"/>
  <c r="AH734" i="41"/>
  <c r="AK734" i="41"/>
  <c r="AG734" i="41"/>
  <c r="W676" i="41"/>
  <c r="X676" i="41"/>
  <c r="P677" i="41"/>
  <c r="AE1420" i="41"/>
  <c r="T1420" i="41"/>
  <c r="U676" i="41"/>
  <c r="AC675" i="41" s="1"/>
  <c r="AE735" i="41" s="1" a="1"/>
  <c r="AE735" i="41" s="1"/>
  <c r="Q677" i="41"/>
  <c r="U1422" i="41"/>
  <c r="Q1423" i="41"/>
  <c r="W1422" i="41"/>
  <c r="X1422" i="41"/>
  <c r="P1423" i="41"/>
  <c r="R1423" i="41"/>
  <c r="V1423" i="41" s="1"/>
  <c r="AK733" i="41"/>
  <c r="AG733" i="41"/>
  <c r="AF733" i="41"/>
  <c r="AH733" i="41"/>
  <c r="AJ733" i="41"/>
  <c r="AI733" i="41"/>
  <c r="R677" i="41"/>
  <c r="V677" i="41" s="1"/>
  <c r="I1420" i="41"/>
  <c r="H1420" i="41"/>
  <c r="G1420" i="41" s="1"/>
  <c r="AE1419" i="41"/>
  <c r="T1419" i="41"/>
  <c r="V676" i="41"/>
  <c r="O677" i="41" s="1"/>
  <c r="M1417" i="41"/>
  <c r="L1417" i="41" s="1"/>
  <c r="H675" i="41"/>
  <c r="G675" i="41" s="1"/>
  <c r="M675" i="41"/>
  <c r="L675" i="41" s="1"/>
  <c r="AB1420" i="41"/>
  <c r="S1422" i="41" l="1"/>
  <c r="AD675" i="41"/>
  <c r="L1418" i="41"/>
  <c r="I1422" i="41"/>
  <c r="H1422" i="41"/>
  <c r="G1422" i="41" s="1"/>
  <c r="M676" i="41"/>
  <c r="L676" i="41" s="1"/>
  <c r="I1421" i="41"/>
  <c r="H1421" i="41"/>
  <c r="G1421" i="41" s="1"/>
  <c r="W677" i="41"/>
  <c r="X677" i="41"/>
  <c r="P678" i="41"/>
  <c r="W1423" i="41"/>
  <c r="X1423" i="41"/>
  <c r="P1424" i="41"/>
  <c r="AB1421" i="41"/>
  <c r="R678" i="41"/>
  <c r="V678" i="41" s="1"/>
  <c r="AG1419" i="41"/>
  <c r="AJ1419" i="41"/>
  <c r="AF1419" i="41"/>
  <c r="AK1419" i="41"/>
  <c r="AI1419" i="41"/>
  <c r="AH1419" i="41"/>
  <c r="O678" i="41"/>
  <c r="O1424" i="41"/>
  <c r="AF735" i="41"/>
  <c r="AJ735" i="41"/>
  <c r="AI735" i="41"/>
  <c r="AK735" i="41"/>
  <c r="AH735" i="41"/>
  <c r="AG735" i="41"/>
  <c r="U1423" i="41"/>
  <c r="Q1424" i="41"/>
  <c r="AD1421" i="41"/>
  <c r="AC1421" i="41"/>
  <c r="U677" i="41"/>
  <c r="AD676" i="41" s="1"/>
  <c r="Q678" i="41"/>
  <c r="S676" i="41"/>
  <c r="AB677" i="41" a="1"/>
  <c r="AB677" i="41" s="1"/>
  <c r="R1424" i="41"/>
  <c r="V1424" i="41" s="1"/>
  <c r="AH1420" i="41"/>
  <c r="AI1420" i="41"/>
  <c r="AF1420" i="41"/>
  <c r="AG1420" i="41"/>
  <c r="AJ1420" i="41"/>
  <c r="AK1420" i="41"/>
  <c r="M1420" i="41" l="1"/>
  <c r="M1419" i="41"/>
  <c r="L1419" i="41" s="1"/>
  <c r="I676" i="41"/>
  <c r="H676" i="41"/>
  <c r="G676" i="41" s="1"/>
  <c r="O679" i="41"/>
  <c r="W678" i="41"/>
  <c r="X678" i="41"/>
  <c r="P679" i="41"/>
  <c r="R1425" i="41"/>
  <c r="V1425" i="41" s="1"/>
  <c r="AC1422" i="41"/>
  <c r="AD1422" i="41"/>
  <c r="AB1422" i="41"/>
  <c r="R679" i="41"/>
  <c r="V679" i="41" s="1"/>
  <c r="AC676" i="41"/>
  <c r="AE736" i="41" s="1" a="1"/>
  <c r="AE736" i="41" s="1"/>
  <c r="U678" i="41"/>
  <c r="Q679" i="41"/>
  <c r="S677" i="41"/>
  <c r="AE1421" i="41"/>
  <c r="T1421" i="41"/>
  <c r="W1424" i="41"/>
  <c r="X1424" i="41"/>
  <c r="P1425" i="41"/>
  <c r="U1424" i="41"/>
  <c r="Q1425" i="41"/>
  <c r="O1425" i="41"/>
  <c r="S1423" i="41"/>
  <c r="AB678" i="41" a="1"/>
  <c r="AB678" i="41" s="1"/>
  <c r="M677" i="41"/>
  <c r="L677" i="41" s="1"/>
  <c r="L1420" i="41" l="1"/>
  <c r="AB679" i="41" a="1"/>
  <c r="AB679" i="41" s="1"/>
  <c r="AE1422" i="41"/>
  <c r="T1422" i="41"/>
  <c r="AD677" i="41"/>
  <c r="M678" i="41"/>
  <c r="L678" i="41" s="1"/>
  <c r="W679" i="41"/>
  <c r="X679" i="41"/>
  <c r="P680" i="41"/>
  <c r="U1425" i="41"/>
  <c r="AD1424" i="41" s="1"/>
  <c r="Q1426" i="41"/>
  <c r="AK1421" i="41"/>
  <c r="AH1421" i="41"/>
  <c r="AG1421" i="41"/>
  <c r="AJ1421" i="41"/>
  <c r="AI1421" i="41"/>
  <c r="AF1421" i="41"/>
  <c r="S678" i="41"/>
  <c r="R1426" i="41"/>
  <c r="V1426" i="41" s="1"/>
  <c r="R680" i="41"/>
  <c r="V680" i="41" s="1"/>
  <c r="O680" i="41"/>
  <c r="I1423" i="41"/>
  <c r="H1423" i="41"/>
  <c r="G1423" i="41" s="1"/>
  <c r="AJ736" i="41"/>
  <c r="AK736" i="41"/>
  <c r="AI736" i="41"/>
  <c r="AG736" i="41"/>
  <c r="AF736" i="41"/>
  <c r="AH736" i="41"/>
  <c r="AC677" i="41"/>
  <c r="AE737" i="41" s="1" a="1"/>
  <c r="AE737" i="41" s="1"/>
  <c r="U679" i="41"/>
  <c r="AC678" i="41" s="1"/>
  <c r="AE738" i="41" s="1" a="1"/>
  <c r="AE738" i="41" s="1"/>
  <c r="Q680" i="41"/>
  <c r="W1425" i="41"/>
  <c r="X1425" i="41"/>
  <c r="P1426" i="41"/>
  <c r="I677" i="41"/>
  <c r="H677" i="41"/>
  <c r="G677" i="41" s="1"/>
  <c r="S1424" i="41"/>
  <c r="AC1423" i="41"/>
  <c r="O1426" i="41"/>
  <c r="AD1423" i="41"/>
  <c r="AB1423" i="41"/>
  <c r="AB1424" i="41" l="1"/>
  <c r="S1425" i="41"/>
  <c r="I1425" i="41" s="1"/>
  <c r="M679" i="41"/>
  <c r="L679" i="41" s="1"/>
  <c r="M1421" i="41"/>
  <c r="L1421" i="41" s="1"/>
  <c r="AC1424" i="41"/>
  <c r="AE1424" i="41" s="1"/>
  <c r="H1425" i="41"/>
  <c r="G1425" i="41" s="1"/>
  <c r="AF738" i="41"/>
  <c r="AI738" i="41"/>
  <c r="AH738" i="41"/>
  <c r="AJ738" i="41"/>
  <c r="AK738" i="41"/>
  <c r="AG738" i="41"/>
  <c r="R1427" i="41"/>
  <c r="I678" i="41"/>
  <c r="H678" i="41"/>
  <c r="G678" i="41" s="1"/>
  <c r="O681" i="41"/>
  <c r="S679" i="41"/>
  <c r="AH1422" i="41"/>
  <c r="AK1422" i="41"/>
  <c r="AG1422" i="41"/>
  <c r="AF1422" i="41"/>
  <c r="AI1422" i="41"/>
  <c r="AJ1422" i="41"/>
  <c r="AE1423" i="41"/>
  <c r="T1423" i="41"/>
  <c r="W1426" i="41"/>
  <c r="X1426" i="41"/>
  <c r="P1427" i="41"/>
  <c r="O1427" i="41"/>
  <c r="U1426" i="41"/>
  <c r="AB1425" i="41" s="1"/>
  <c r="Q1427" i="41"/>
  <c r="R681" i="41"/>
  <c r="AD678" i="41"/>
  <c r="W680" i="41"/>
  <c r="P681" i="41"/>
  <c r="X680" i="41"/>
  <c r="H1424" i="41"/>
  <c r="G1424" i="41" s="1"/>
  <c r="I1424" i="41"/>
  <c r="U680" i="41"/>
  <c r="Q681" i="41"/>
  <c r="AI737" i="41"/>
  <c r="AK737" i="41"/>
  <c r="AJ737" i="41"/>
  <c r="AH737" i="41"/>
  <c r="AF737" i="41"/>
  <c r="AG737" i="41"/>
  <c r="AB680" i="41" a="1"/>
  <c r="AB680" i="41" s="1"/>
  <c r="T1424" i="41" l="1"/>
  <c r="S680" i="41"/>
  <c r="AD679" i="41"/>
  <c r="S1426" i="41"/>
  <c r="H1426" i="41" s="1"/>
  <c r="G1426" i="41" s="1"/>
  <c r="AC679" i="41"/>
  <c r="AE739" i="41" s="1" a="1"/>
  <c r="AE739" i="41" s="1"/>
  <c r="AF739" i="41" s="1"/>
  <c r="AD1425" i="41"/>
  <c r="AC1425" i="41"/>
  <c r="T1425" i="41" s="1"/>
  <c r="M1422" i="41"/>
  <c r="L1422" i="41" s="1"/>
  <c r="AB681" i="41" a="1"/>
  <c r="AB681" i="41" s="1"/>
  <c r="I680" i="41"/>
  <c r="H680" i="41"/>
  <c r="G680" i="41" s="1"/>
  <c r="U1427" i="41"/>
  <c r="S1427" i="41" s="1"/>
  <c r="I1427" i="41" s="1"/>
  <c r="Q1428" i="41"/>
  <c r="M680" i="41"/>
  <c r="L680" i="41" s="1"/>
  <c r="U681" i="41"/>
  <c r="Q682" i="41"/>
  <c r="I679" i="41"/>
  <c r="H679" i="41"/>
  <c r="G679" i="41" s="1"/>
  <c r="W681" i="41"/>
  <c r="X681" i="41"/>
  <c r="P682" i="41"/>
  <c r="I1426" i="41"/>
  <c r="AI1423" i="41"/>
  <c r="AK1423" i="41"/>
  <c r="AJ1423" i="41"/>
  <c r="AH1423" i="41"/>
  <c r="AF1423" i="41"/>
  <c r="AG1423" i="41"/>
  <c r="R1428" i="41"/>
  <c r="V681" i="41"/>
  <c r="O682" i="41" s="1"/>
  <c r="R682" i="41"/>
  <c r="V1427" i="41"/>
  <c r="O1428" i="41" s="1"/>
  <c r="W1427" i="41"/>
  <c r="P1428" i="41"/>
  <c r="X1427" i="41"/>
  <c r="AH1424" i="41"/>
  <c r="AJ1424" i="41"/>
  <c r="AG1424" i="41"/>
  <c r="AK1424" i="41"/>
  <c r="AF1424" i="41"/>
  <c r="AI1424" i="41"/>
  <c r="V682" i="41" l="1"/>
  <c r="V1428" i="41"/>
  <c r="AB682" i="41" a="1"/>
  <c r="AB682" i="41" s="1"/>
  <c r="AH739" i="41"/>
  <c r="AJ739" i="41"/>
  <c r="AG739" i="41"/>
  <c r="AK739" i="41"/>
  <c r="AI739" i="41"/>
  <c r="AE1425" i="41"/>
  <c r="AH1425" i="41" s="1"/>
  <c r="M1423" i="41"/>
  <c r="L1423" i="41" s="1"/>
  <c r="W1428" i="41"/>
  <c r="X1428" i="41"/>
  <c r="P1429" i="41"/>
  <c r="U682" i="41"/>
  <c r="Q683" i="41"/>
  <c r="O1429" i="41"/>
  <c r="M1424" i="41"/>
  <c r="AB1426" i="41"/>
  <c r="R683" i="41"/>
  <c r="V683" i="41" s="1"/>
  <c r="M681" i="41"/>
  <c r="L681" i="41" s="1"/>
  <c r="S681" i="41"/>
  <c r="U1428" i="41"/>
  <c r="AC1427" i="41" s="1"/>
  <c r="Q1429" i="41"/>
  <c r="W682" i="41"/>
  <c r="X682" i="41"/>
  <c r="P683" i="41"/>
  <c r="AC1426" i="41"/>
  <c r="R1429" i="41"/>
  <c r="V1429" i="41" s="1"/>
  <c r="AD1426" i="41"/>
  <c r="H1427" i="41"/>
  <c r="G1427" i="41" s="1"/>
  <c r="AC680" i="41"/>
  <c r="AE740" i="41" s="1" a="1"/>
  <c r="AE740" i="41" s="1"/>
  <c r="AD680" i="41"/>
  <c r="O683" i="41"/>
  <c r="AG1425" i="41" l="1"/>
  <c r="AJ1425" i="41"/>
  <c r="AI1425" i="41"/>
  <c r="AF1425" i="41"/>
  <c r="AB683" i="41" a="1"/>
  <c r="AB683" i="41" s="1"/>
  <c r="AK1425" i="41"/>
  <c r="L1424" i="41"/>
  <c r="S682" i="41"/>
  <c r="I682" i="41" s="1"/>
  <c r="AK740" i="41"/>
  <c r="AF740" i="41"/>
  <c r="AI740" i="41"/>
  <c r="AJ740" i="41"/>
  <c r="AG740" i="41"/>
  <c r="AH740" i="41"/>
  <c r="AE1427" i="41"/>
  <c r="T1427" i="41"/>
  <c r="W1429" i="41"/>
  <c r="X1429" i="41"/>
  <c r="P1430" i="41"/>
  <c r="R1430" i="41"/>
  <c r="AB1427" i="41"/>
  <c r="I681" i="41"/>
  <c r="H681" i="41"/>
  <c r="G681" i="41" s="1"/>
  <c r="O684" i="41"/>
  <c r="W683" i="41"/>
  <c r="X683" i="41"/>
  <c r="P684" i="41"/>
  <c r="M682" i="41"/>
  <c r="L682" i="41" s="1"/>
  <c r="O1430" i="41"/>
  <c r="AD1427" i="41"/>
  <c r="S1428" i="41"/>
  <c r="U1429" i="41"/>
  <c r="AC1428" i="41" s="1"/>
  <c r="Q1430" i="41"/>
  <c r="AE1426" i="41"/>
  <c r="T1426" i="41"/>
  <c r="AD681" i="41"/>
  <c r="R684" i="41"/>
  <c r="U683" i="41"/>
  <c r="Q684" i="41"/>
  <c r="AC681" i="41"/>
  <c r="AE741" i="41" s="1" a="1"/>
  <c r="AE741" i="41" s="1"/>
  <c r="H682" i="41" l="1"/>
  <c r="G682" i="41" s="1"/>
  <c r="M1425" i="41"/>
  <c r="L1425" i="41" s="1"/>
  <c r="AB1428" i="41"/>
  <c r="AD1428" i="41"/>
  <c r="H1428" i="41"/>
  <c r="G1428" i="41" s="1"/>
  <c r="I1428" i="41"/>
  <c r="U684" i="41"/>
  <c r="AD683" i="41" s="1"/>
  <c r="Q685" i="41"/>
  <c r="AK1427" i="41"/>
  <c r="AH1427" i="41"/>
  <c r="AG1427" i="41"/>
  <c r="AF1427" i="41"/>
  <c r="AI1427" i="41"/>
  <c r="AJ1427" i="41"/>
  <c r="V684" i="41"/>
  <c r="O685" i="41" s="1"/>
  <c r="S683" i="41"/>
  <c r="R685" i="41"/>
  <c r="W1430" i="41"/>
  <c r="P1431" i="41"/>
  <c r="X1430" i="41"/>
  <c r="S1429" i="41"/>
  <c r="AJ1426" i="41"/>
  <c r="AK1426" i="41"/>
  <c r="AG1426" i="41"/>
  <c r="AI1426" i="41"/>
  <c r="AH1426" i="41"/>
  <c r="AF1426" i="41"/>
  <c r="M683" i="41"/>
  <c r="L683" i="41" s="1"/>
  <c r="AC682" i="41"/>
  <c r="AE742" i="41" s="1" a="1"/>
  <c r="AE742" i="41" s="1"/>
  <c r="U1430" i="41"/>
  <c r="AD1429" i="41" s="1"/>
  <c r="Q1431" i="41"/>
  <c r="V1430" i="41"/>
  <c r="O1431" i="41" s="1"/>
  <c r="AD682" i="41"/>
  <c r="R1431" i="41"/>
  <c r="AB684" i="41" a="1"/>
  <c r="AB684" i="41" s="1"/>
  <c r="AE1428" i="41"/>
  <c r="T1428" i="41"/>
  <c r="AF741" i="41"/>
  <c r="AH741" i="41"/>
  <c r="AK741" i="41"/>
  <c r="AJ741" i="41"/>
  <c r="AG741" i="41"/>
  <c r="AI741" i="41"/>
  <c r="W684" i="41"/>
  <c r="X684" i="41"/>
  <c r="P685" i="41"/>
  <c r="AC1429" i="41" l="1"/>
  <c r="AE1429" i="41" s="1"/>
  <c r="V685" i="41"/>
  <c r="O686" i="41" s="1"/>
  <c r="S1430" i="41"/>
  <c r="H1430" i="41" s="1"/>
  <c r="G1430" i="41" s="1"/>
  <c r="S684" i="41"/>
  <c r="I684" i="41" s="1"/>
  <c r="M1427" i="41"/>
  <c r="AC683" i="41"/>
  <c r="AE743" i="41" s="1" a="1"/>
  <c r="AE743" i="41" s="1"/>
  <c r="AJ743" i="41" s="1"/>
  <c r="I1430" i="41"/>
  <c r="M1426" i="41"/>
  <c r="L1426" i="41" s="1"/>
  <c r="R686" i="41"/>
  <c r="V686" i="41" s="1"/>
  <c r="AH1428" i="41"/>
  <c r="AG1428" i="41"/>
  <c r="AK1428" i="41"/>
  <c r="AI1428" i="41"/>
  <c r="AJ1428" i="41"/>
  <c r="AF1428" i="41"/>
  <c r="H684" i="41"/>
  <c r="G684" i="41" s="1"/>
  <c r="R1432" i="41"/>
  <c r="AB685" i="41" a="1"/>
  <c r="AB685" i="41" s="1"/>
  <c r="M684" i="41"/>
  <c r="L684" i="41" s="1"/>
  <c r="W685" i="41"/>
  <c r="X685" i="41"/>
  <c r="P686" i="41"/>
  <c r="U1431" i="41"/>
  <c r="AB1430" i="41" s="1"/>
  <c r="Q1432" i="41"/>
  <c r="T1429" i="41"/>
  <c r="U685" i="41"/>
  <c r="AD684" i="41" s="1"/>
  <c r="Q686" i="41"/>
  <c r="AH742" i="41"/>
  <c r="AG742" i="41"/>
  <c r="AK742" i="41"/>
  <c r="AI742" i="41"/>
  <c r="AF742" i="41"/>
  <c r="AJ742" i="41"/>
  <c r="W1431" i="41"/>
  <c r="X1431" i="41"/>
  <c r="P1432" i="41"/>
  <c r="I683" i="41"/>
  <c r="H683" i="41"/>
  <c r="G683" i="41" s="1"/>
  <c r="AB1429" i="41"/>
  <c r="V1431" i="41"/>
  <c r="O1432" i="41" s="1"/>
  <c r="H1429" i="41"/>
  <c r="G1429" i="41" s="1"/>
  <c r="I1429" i="41"/>
  <c r="V1432" i="41" l="1"/>
  <c r="L1427" i="41"/>
  <c r="AF743" i="41"/>
  <c r="AK743" i="41"/>
  <c r="AI743" i="41"/>
  <c r="AH743" i="41"/>
  <c r="AG743" i="41"/>
  <c r="M1428" i="41"/>
  <c r="S685" i="41"/>
  <c r="I685" i="41" s="1"/>
  <c r="AC684" i="41"/>
  <c r="AE744" i="41" s="1" a="1"/>
  <c r="AE744" i="41" s="1"/>
  <c r="AJ744" i="41" s="1"/>
  <c r="W1432" i="41"/>
  <c r="X1432" i="41"/>
  <c r="P1433" i="41"/>
  <c r="O1433" i="41"/>
  <c r="H685" i="41"/>
  <c r="G685" i="41" s="1"/>
  <c r="R687" i="41"/>
  <c r="V687" i="41" s="1"/>
  <c r="AI1429" i="41"/>
  <c r="AF1429" i="41"/>
  <c r="AG1429" i="41"/>
  <c r="AJ1429" i="41"/>
  <c r="AH1429" i="41"/>
  <c r="AK1429" i="41"/>
  <c r="AC1430" i="41"/>
  <c r="M685" i="41"/>
  <c r="L685" i="41" s="1"/>
  <c r="AD1430" i="41"/>
  <c r="S1431" i="41"/>
  <c r="U686" i="41"/>
  <c r="Q687" i="41"/>
  <c r="W686" i="41"/>
  <c r="X686" i="41"/>
  <c r="P687" i="41"/>
  <c r="O687" i="41"/>
  <c r="U1432" i="41"/>
  <c r="Q1433" i="41"/>
  <c r="R1433" i="41"/>
  <c r="AB686" i="41" a="1"/>
  <c r="AB686" i="41" s="1"/>
  <c r="L1428" i="41" l="1"/>
  <c r="S686" i="41"/>
  <c r="I686" i="41" s="1"/>
  <c r="AK744" i="41"/>
  <c r="AI744" i="41"/>
  <c r="AG744" i="41"/>
  <c r="AD685" i="41"/>
  <c r="AF744" i="41"/>
  <c r="AH744" i="41"/>
  <c r="AC685" i="41"/>
  <c r="AE745" i="41" s="1" a="1"/>
  <c r="AE745" i="41" s="1"/>
  <c r="AG745" i="41" s="1"/>
  <c r="M1429" i="41"/>
  <c r="AB687" i="41" a="1"/>
  <c r="AB687" i="41" s="1"/>
  <c r="H686" i="41"/>
  <c r="G686" i="41" s="1"/>
  <c r="M686" i="41"/>
  <c r="L686" i="41" s="1"/>
  <c r="W1433" i="41"/>
  <c r="X1433" i="41"/>
  <c r="P1434" i="41"/>
  <c r="I1431" i="41"/>
  <c r="H1431" i="41"/>
  <c r="G1431" i="41" s="1"/>
  <c r="S1432" i="41"/>
  <c r="U1433" i="41"/>
  <c r="AC1432" i="41" s="1"/>
  <c r="Q1434" i="41"/>
  <c r="R1434" i="41"/>
  <c r="U687" i="41"/>
  <c r="S687" i="41" s="1"/>
  <c r="Q688" i="41"/>
  <c r="V1433" i="41"/>
  <c r="AB1431" i="41"/>
  <c r="AE1430" i="41"/>
  <c r="T1430" i="41"/>
  <c r="W687" i="41"/>
  <c r="X687" i="41"/>
  <c r="P688" i="41"/>
  <c r="O688" i="41"/>
  <c r="O1434" i="41"/>
  <c r="AD1431" i="41"/>
  <c r="R688" i="41"/>
  <c r="AC1431" i="41"/>
  <c r="V1434" i="41" l="1"/>
  <c r="L1429" i="41"/>
  <c r="AJ745" i="41"/>
  <c r="AK745" i="41"/>
  <c r="AH745" i="41"/>
  <c r="AI745" i="41"/>
  <c r="AF745" i="41"/>
  <c r="AC686" i="41"/>
  <c r="AE746" i="41" s="1" a="1"/>
  <c r="AE746" i="41" s="1"/>
  <c r="AH746" i="41" s="1"/>
  <c r="AB688" i="41" a="1"/>
  <c r="AB688" i="41" s="1"/>
  <c r="AD686" i="41"/>
  <c r="I687" i="41"/>
  <c r="H687" i="41"/>
  <c r="G687" i="41" s="1"/>
  <c r="AE1432" i="41"/>
  <c r="T1432" i="41"/>
  <c r="AD1432" i="41"/>
  <c r="U688" i="41"/>
  <c r="AC687" i="41" s="1"/>
  <c r="AE747" i="41" s="1" a="1"/>
  <c r="AE747" i="41" s="1"/>
  <c r="Q689" i="41"/>
  <c r="M687" i="41"/>
  <c r="L687" i="41" s="1"/>
  <c r="R1435" i="41"/>
  <c r="AJ1430" i="41"/>
  <c r="AG1430" i="41"/>
  <c r="AK1430" i="41"/>
  <c r="AF1430" i="41"/>
  <c r="AI1430" i="41"/>
  <c r="AH1430" i="41"/>
  <c r="W688" i="41"/>
  <c r="X688" i="41"/>
  <c r="P689" i="41"/>
  <c r="V688" i="41"/>
  <c r="O689" i="41" s="1"/>
  <c r="I1432" i="41"/>
  <c r="H1432" i="41"/>
  <c r="G1432" i="41" s="1"/>
  <c r="O1435" i="41"/>
  <c r="W1434" i="41"/>
  <c r="X1434" i="41"/>
  <c r="P1435" i="41"/>
  <c r="S1433" i="41"/>
  <c r="AB1432" i="41"/>
  <c r="U1434" i="41"/>
  <c r="AD1433" i="41" s="1"/>
  <c r="Q1435" i="41"/>
  <c r="AE1431" i="41"/>
  <c r="T1431" i="41"/>
  <c r="R689" i="41"/>
  <c r="V1435" i="41" l="1"/>
  <c r="V689" i="41"/>
  <c r="AI746" i="41"/>
  <c r="AK746" i="41"/>
  <c r="AF746" i="41"/>
  <c r="AJ746" i="41"/>
  <c r="AG746" i="41"/>
  <c r="M1430" i="41"/>
  <c r="L1430" i="41" s="1"/>
  <c r="AF747" i="41"/>
  <c r="AH747" i="41"/>
  <c r="AG747" i="41"/>
  <c r="AK747" i="41"/>
  <c r="AJ747" i="41"/>
  <c r="AI747" i="41"/>
  <c r="R690" i="41"/>
  <c r="V690" i="41" s="1"/>
  <c r="AB689" i="41" a="1"/>
  <c r="AB689" i="41" s="1"/>
  <c r="O690" i="41"/>
  <c r="I1433" i="41"/>
  <c r="H1433" i="41"/>
  <c r="G1433" i="41" s="1"/>
  <c r="R1436" i="41"/>
  <c r="AB1433" i="41"/>
  <c r="AC1433" i="41"/>
  <c r="AG1432" i="41"/>
  <c r="AK1432" i="41"/>
  <c r="AI1432" i="41"/>
  <c r="AJ1432" i="41"/>
  <c r="AH1432" i="41"/>
  <c r="AF1432" i="41"/>
  <c r="U689" i="41"/>
  <c r="AC688" i="41" s="1"/>
  <c r="AE748" i="41" s="1" a="1"/>
  <c r="AE748" i="41" s="1"/>
  <c r="Q690" i="41"/>
  <c r="W689" i="41"/>
  <c r="X689" i="41"/>
  <c r="P690" i="41"/>
  <c r="AH1431" i="41"/>
  <c r="AI1431" i="41"/>
  <c r="AG1431" i="41"/>
  <c r="AK1431" i="41"/>
  <c r="AJ1431" i="41"/>
  <c r="AF1431" i="41"/>
  <c r="M688" i="41"/>
  <c r="L688" i="41" s="1"/>
  <c r="O1436" i="41"/>
  <c r="S688" i="41"/>
  <c r="W1435" i="41"/>
  <c r="X1435" i="41"/>
  <c r="P1436" i="41"/>
  <c r="U1435" i="41"/>
  <c r="AD1434" i="41" s="1"/>
  <c r="V1436" i="41"/>
  <c r="Q1436" i="41"/>
  <c r="AD687" i="41"/>
  <c r="S1434" i="41"/>
  <c r="M1432" i="41" l="1"/>
  <c r="M1431" i="41"/>
  <c r="L1431" i="41" s="1"/>
  <c r="S1435" i="41"/>
  <c r="H1435" i="41" s="1"/>
  <c r="G1435" i="41" s="1"/>
  <c r="M689" i="41"/>
  <c r="L689" i="41" s="1"/>
  <c r="AG748" i="41"/>
  <c r="AJ748" i="41"/>
  <c r="AI748" i="41"/>
  <c r="AF748" i="41"/>
  <c r="AK748" i="41"/>
  <c r="AH748" i="41"/>
  <c r="O691" i="41"/>
  <c r="AE1433" i="41"/>
  <c r="T1433" i="41"/>
  <c r="W690" i="41"/>
  <c r="X690" i="41"/>
  <c r="P691" i="41"/>
  <c r="S689" i="41"/>
  <c r="U690" i="41"/>
  <c r="Q691" i="41"/>
  <c r="AB690" i="41" a="1"/>
  <c r="AB690" i="41" s="1"/>
  <c r="I688" i="41"/>
  <c r="H688" i="41"/>
  <c r="G688" i="41" s="1"/>
  <c r="I1434" i="41"/>
  <c r="H1434" i="41"/>
  <c r="G1434" i="41" s="1"/>
  <c r="AC1434" i="41"/>
  <c r="AD688" i="41"/>
  <c r="W1436" i="41"/>
  <c r="X1436" i="41"/>
  <c r="P1437" i="41"/>
  <c r="R691" i="41"/>
  <c r="V691" i="41" s="1"/>
  <c r="U1436" i="41"/>
  <c r="S1436" i="41" s="1"/>
  <c r="I1436" i="41" s="1"/>
  <c r="Q1437" i="41"/>
  <c r="O1437" i="41"/>
  <c r="AB1434" i="41"/>
  <c r="R1437" i="41"/>
  <c r="V1437" i="41" s="1"/>
  <c r="AB691" i="41" l="1" a="1"/>
  <c r="AB691" i="41" s="1"/>
  <c r="L1432" i="41"/>
  <c r="I1435" i="41"/>
  <c r="U691" i="41"/>
  <c r="Q692" i="41"/>
  <c r="AD1435" i="41"/>
  <c r="AC690" i="41"/>
  <c r="AE750" i="41" s="1" a="1"/>
  <c r="AE750" i="41" s="1"/>
  <c r="AD690" i="41"/>
  <c r="W1437" i="41"/>
  <c r="X1437" i="41"/>
  <c r="P1438" i="41"/>
  <c r="AE1434" i="41"/>
  <c r="T1434" i="41"/>
  <c r="I689" i="41"/>
  <c r="H689" i="41"/>
  <c r="G689" i="41" s="1"/>
  <c r="O1438" i="41"/>
  <c r="R692" i="41"/>
  <c r="U1437" i="41"/>
  <c r="S1437" i="41" s="1"/>
  <c r="Q1438" i="41"/>
  <c r="M690" i="41"/>
  <c r="L690" i="41" s="1"/>
  <c r="AC689" i="41"/>
  <c r="AE749" i="41" s="1" a="1"/>
  <c r="AE749" i="41" s="1"/>
  <c r="R1438" i="41"/>
  <c r="AB1435" i="41"/>
  <c r="W691" i="41"/>
  <c r="X691" i="41"/>
  <c r="P692" i="41"/>
  <c r="AD689" i="41"/>
  <c r="H1436" i="41"/>
  <c r="G1436" i="41" s="1"/>
  <c r="AK1433" i="41"/>
  <c r="AJ1433" i="41"/>
  <c r="AG1433" i="41"/>
  <c r="AI1433" i="41"/>
  <c r="AF1433" i="41"/>
  <c r="AH1433" i="41"/>
  <c r="AC1435" i="41"/>
  <c r="O692" i="41"/>
  <c r="S690" i="41"/>
  <c r="AB692" i="41" l="1" a="1"/>
  <c r="AB692" i="41" s="1"/>
  <c r="H1437" i="41"/>
  <c r="G1437" i="41" s="1"/>
  <c r="I1437" i="41"/>
  <c r="AC1436" i="41"/>
  <c r="AE1436" i="41" s="1"/>
  <c r="AD1436" i="41"/>
  <c r="M1433" i="41"/>
  <c r="L1433" i="41" s="1"/>
  <c r="U1438" i="41"/>
  <c r="AD1437" i="41" s="1"/>
  <c r="Q1439" i="41"/>
  <c r="AK749" i="41"/>
  <c r="AG749" i="41"/>
  <c r="AF749" i="41"/>
  <c r="AJ749" i="41"/>
  <c r="AI749" i="41"/>
  <c r="AH749" i="41"/>
  <c r="W1438" i="41"/>
  <c r="X1438" i="41"/>
  <c r="P1439" i="41"/>
  <c r="AK750" i="41"/>
  <c r="AI750" i="41"/>
  <c r="AG750" i="41"/>
  <c r="AJ750" i="41"/>
  <c r="AF750" i="41"/>
  <c r="AH750" i="41"/>
  <c r="U692" i="41"/>
  <c r="AC691" i="41" s="1"/>
  <c r="AE751" i="41" s="1" a="1"/>
  <c r="AE751" i="41" s="1"/>
  <c r="Q693" i="41"/>
  <c r="O693" i="41"/>
  <c r="V692" i="41"/>
  <c r="I690" i="41"/>
  <c r="H690" i="41"/>
  <c r="G690" i="41" s="1"/>
  <c r="R693" i="41"/>
  <c r="V693" i="41" s="1"/>
  <c r="O1439" i="41"/>
  <c r="S691" i="41"/>
  <c r="AG1434" i="41"/>
  <c r="AF1434" i="41"/>
  <c r="AJ1434" i="41"/>
  <c r="AH1434" i="41"/>
  <c r="AK1434" i="41"/>
  <c r="AI1434" i="41"/>
  <c r="W692" i="41"/>
  <c r="X692" i="41"/>
  <c r="P693" i="41"/>
  <c r="AB693" i="41" s="1" a="1"/>
  <c r="AB693" i="41" s="1"/>
  <c r="AE1435" i="41"/>
  <c r="T1435" i="41"/>
  <c r="V1438" i="41"/>
  <c r="R1439" i="41"/>
  <c r="M691" i="41"/>
  <c r="L691" i="41" s="1"/>
  <c r="AB1436" i="41"/>
  <c r="S1438" i="41" l="1"/>
  <c r="I1438" i="41" s="1"/>
  <c r="S692" i="41"/>
  <c r="I692" i="41" s="1"/>
  <c r="T1436" i="41"/>
  <c r="AD691" i="41"/>
  <c r="AB1437" i="41"/>
  <c r="AC1437" i="41"/>
  <c r="AE1437" i="41" s="1"/>
  <c r="W693" i="41"/>
  <c r="X693" i="41"/>
  <c r="P694" i="41"/>
  <c r="R1440" i="41"/>
  <c r="Q1440" i="41"/>
  <c r="U1439" i="41"/>
  <c r="AC1438" i="41" s="1"/>
  <c r="AJ1436" i="41"/>
  <c r="AH1436" i="41"/>
  <c r="AF1436" i="41"/>
  <c r="AI1436" i="41"/>
  <c r="AG1436" i="41"/>
  <c r="AK1436" i="41"/>
  <c r="M1434" i="41"/>
  <c r="L1434" i="41" s="1"/>
  <c r="AG1435" i="41"/>
  <c r="AK1435" i="41"/>
  <c r="AF1435" i="41"/>
  <c r="AH1435" i="41"/>
  <c r="AI1435" i="41"/>
  <c r="AJ1435" i="41"/>
  <c r="R694" i="41"/>
  <c r="V694" i="41" s="1"/>
  <c r="H1438" i="41"/>
  <c r="G1438" i="41" s="1"/>
  <c r="O694" i="41"/>
  <c r="H692" i="41"/>
  <c r="G692" i="41" s="1"/>
  <c r="M692" i="41"/>
  <c r="L692" i="41" s="1"/>
  <c r="I691" i="41"/>
  <c r="H691" i="41"/>
  <c r="G691" i="41" s="1"/>
  <c r="W1439" i="41"/>
  <c r="X1439" i="41"/>
  <c r="P1440" i="41"/>
  <c r="V1439" i="41"/>
  <c r="O1440" i="41" s="1"/>
  <c r="AJ751" i="41"/>
  <c r="AH751" i="41"/>
  <c r="AK751" i="41"/>
  <c r="AG751" i="41"/>
  <c r="AF751" i="41"/>
  <c r="AI751" i="41"/>
  <c r="U693" i="41"/>
  <c r="S693" i="41" s="1"/>
  <c r="I693" i="41" s="1"/>
  <c r="Q694" i="41"/>
  <c r="T1437" i="41" l="1"/>
  <c r="AB1438" i="41"/>
  <c r="M1436" i="41"/>
  <c r="AD1438" i="41"/>
  <c r="V1440" i="41"/>
  <c r="O1441" i="41" s="1"/>
  <c r="AD692" i="41"/>
  <c r="AC692" i="41"/>
  <c r="AE752" i="41" s="1" a="1"/>
  <c r="AE752" i="41" s="1"/>
  <c r="AK752" i="41" s="1"/>
  <c r="M1435" i="41"/>
  <c r="L1435" i="41" s="1"/>
  <c r="W1440" i="41"/>
  <c r="X1440" i="41"/>
  <c r="P1441" i="41"/>
  <c r="W694" i="41"/>
  <c r="X694" i="41"/>
  <c r="P695" i="41"/>
  <c r="R695" i="41"/>
  <c r="V695" i="41" s="1"/>
  <c r="AE1438" i="41"/>
  <c r="T1438" i="41"/>
  <c r="H693" i="41"/>
  <c r="G693" i="41" s="1"/>
  <c r="U694" i="41"/>
  <c r="S694" i="41" s="1"/>
  <c r="Q695" i="41"/>
  <c r="AB694" i="41" a="1"/>
  <c r="AB694" i="41" s="1"/>
  <c r="M693" i="41"/>
  <c r="L693" i="41" s="1"/>
  <c r="O695" i="41"/>
  <c r="AD693" i="41"/>
  <c r="R1441" i="41"/>
  <c r="AH1437" i="41"/>
  <c r="AK1437" i="41"/>
  <c r="AJ1437" i="41"/>
  <c r="AI1437" i="41"/>
  <c r="AG1437" i="41"/>
  <c r="AF1437" i="41"/>
  <c r="S1439" i="41"/>
  <c r="U1440" i="41"/>
  <c r="AD1439" i="41" s="1"/>
  <c r="Q1441" i="41"/>
  <c r="AC693" i="41" l="1"/>
  <c r="AE753" i="41" s="1" a="1"/>
  <c r="AE753" i="41" s="1"/>
  <c r="AI753" i="41" s="1"/>
  <c r="AB695" i="41" a="1"/>
  <c r="AB695" i="41" s="1"/>
  <c r="L1436" i="41"/>
  <c r="AG752" i="41"/>
  <c r="AI752" i="41"/>
  <c r="AF752" i="41"/>
  <c r="AH752" i="41"/>
  <c r="AJ752" i="41"/>
  <c r="I694" i="41"/>
  <c r="H694" i="41"/>
  <c r="G694" i="41" s="1"/>
  <c r="AB1439" i="41"/>
  <c r="AC1439" i="41"/>
  <c r="AE1439" i="41" s="1"/>
  <c r="M1437" i="41"/>
  <c r="I1439" i="41"/>
  <c r="H1439" i="41"/>
  <c r="G1439" i="41" s="1"/>
  <c r="R696" i="41"/>
  <c r="V696" i="41" s="1"/>
  <c r="M694" i="41"/>
  <c r="L694" i="41" s="1"/>
  <c r="R1442" i="41"/>
  <c r="O696" i="41"/>
  <c r="W695" i="41"/>
  <c r="X695" i="41"/>
  <c r="P696" i="41"/>
  <c r="U1441" i="41"/>
  <c r="AD1440" i="41" s="1"/>
  <c r="Q1442" i="41"/>
  <c r="S1440" i="41"/>
  <c r="AI1438" i="41"/>
  <c r="AF1438" i="41"/>
  <c r="AG1438" i="41"/>
  <c r="AK1438" i="41"/>
  <c r="AH1438" i="41"/>
  <c r="AJ1438" i="41"/>
  <c r="V1441" i="41"/>
  <c r="O1442" i="41" s="1"/>
  <c r="X1441" i="41"/>
  <c r="W1441" i="41"/>
  <c r="P1442" i="41"/>
  <c r="Q696" i="41"/>
  <c r="U695" i="41"/>
  <c r="S695" i="41" s="1"/>
  <c r="I695" i="41" s="1"/>
  <c r="AK753" i="41" l="1"/>
  <c r="AJ753" i="41"/>
  <c r="AG753" i="41"/>
  <c r="AH753" i="41"/>
  <c r="AF753" i="41"/>
  <c r="L1437" i="41"/>
  <c r="T1439" i="41"/>
  <c r="AD694" i="41"/>
  <c r="M1438" i="41"/>
  <c r="S1441" i="41"/>
  <c r="H1441" i="41" s="1"/>
  <c r="G1441" i="41" s="1"/>
  <c r="AC1440" i="41"/>
  <c r="AE1440" i="41" s="1"/>
  <c r="AC694" i="41"/>
  <c r="AE754" i="41" s="1" a="1"/>
  <c r="AE754" i="41" s="1"/>
  <c r="AK754" i="41" s="1"/>
  <c r="I1441" i="41"/>
  <c r="R1443" i="41"/>
  <c r="R697" i="41"/>
  <c r="W696" i="41"/>
  <c r="X696" i="41"/>
  <c r="P697" i="41"/>
  <c r="O697" i="41"/>
  <c r="H695" i="41"/>
  <c r="G695" i="41" s="1"/>
  <c r="U696" i="41"/>
  <c r="Q697" i="41"/>
  <c r="AJ1439" i="41"/>
  <c r="AG1439" i="41"/>
  <c r="AI1439" i="41"/>
  <c r="AK1439" i="41"/>
  <c r="AF1439" i="41"/>
  <c r="AH1439" i="41"/>
  <c r="U1442" i="41"/>
  <c r="Q1443" i="41"/>
  <c r="M695" i="41"/>
  <c r="L695" i="41" s="1"/>
  <c r="H1440" i="41"/>
  <c r="G1440" i="41" s="1"/>
  <c r="I1440" i="41"/>
  <c r="W1442" i="41"/>
  <c r="X1442" i="41"/>
  <c r="P1443" i="41"/>
  <c r="AB696" i="41" a="1"/>
  <c r="AB696" i="41" s="1"/>
  <c r="O1443" i="41"/>
  <c r="AB1440" i="41"/>
  <c r="V1442" i="41"/>
  <c r="L1438" i="41" l="1"/>
  <c r="AB697" i="41" a="1"/>
  <c r="AB697" i="41" s="1"/>
  <c r="T1440" i="41"/>
  <c r="S1442" i="41"/>
  <c r="I1442" i="41" s="1"/>
  <c r="AG754" i="41"/>
  <c r="AJ754" i="41"/>
  <c r="AH754" i="41"/>
  <c r="AI754" i="41"/>
  <c r="AF754" i="41"/>
  <c r="M1439" i="41"/>
  <c r="AD1441" i="41"/>
  <c r="AC1441" i="41"/>
  <c r="AE1441" i="41" s="1"/>
  <c r="W1443" i="41"/>
  <c r="P1444" i="41"/>
  <c r="X1443" i="41"/>
  <c r="M696" i="41"/>
  <c r="L696" i="41" s="1"/>
  <c r="U697" i="41"/>
  <c r="Q698" i="41"/>
  <c r="AH1440" i="41"/>
  <c r="AF1440" i="41"/>
  <c r="AJ1440" i="41"/>
  <c r="AI1440" i="41"/>
  <c r="AG1440" i="41"/>
  <c r="AK1440" i="41"/>
  <c r="W697" i="41"/>
  <c r="X697" i="41"/>
  <c r="P698" i="41"/>
  <c r="U1443" i="41"/>
  <c r="AD1442" i="41" s="1"/>
  <c r="Q1444" i="41"/>
  <c r="H1442" i="41"/>
  <c r="G1442" i="41" s="1"/>
  <c r="AB1441" i="41"/>
  <c r="AC695" i="41"/>
  <c r="AE755" i="41" s="1" a="1"/>
  <c r="AE755" i="41" s="1"/>
  <c r="V1443" i="41"/>
  <c r="O1444" i="41" s="1"/>
  <c r="S696" i="41"/>
  <c r="R1444" i="41"/>
  <c r="V697" i="41"/>
  <c r="O698" i="41" s="1"/>
  <c r="AD695" i="41"/>
  <c r="R698" i="41"/>
  <c r="V698" i="41" s="1"/>
  <c r="T1441" i="41" l="1"/>
  <c r="L1439" i="41"/>
  <c r="M1440" i="41"/>
  <c r="M697" i="41"/>
  <c r="L697" i="41" s="1"/>
  <c r="S1443" i="41"/>
  <c r="AC1442" i="41"/>
  <c r="AE1442" i="41" s="1"/>
  <c r="W1444" i="41"/>
  <c r="X1444" i="41"/>
  <c r="P1445" i="41"/>
  <c r="O699" i="41"/>
  <c r="AB698" i="41" a="1"/>
  <c r="AB698" i="41" s="1"/>
  <c r="R1445" i="41"/>
  <c r="V1445" i="41" s="1"/>
  <c r="W698" i="41"/>
  <c r="X698" i="41"/>
  <c r="P699" i="41"/>
  <c r="S697" i="41"/>
  <c r="U698" i="41"/>
  <c r="AC697" i="41" s="1"/>
  <c r="AE757" i="41" s="1" a="1"/>
  <c r="AE757" i="41" s="1"/>
  <c r="Q699" i="41"/>
  <c r="AB1442" i="41"/>
  <c r="U1444" i="41"/>
  <c r="Q1445" i="41"/>
  <c r="V1444" i="41"/>
  <c r="O1445" i="41" s="1"/>
  <c r="AD696" i="41"/>
  <c r="AJ755" i="41"/>
  <c r="AH755" i="41"/>
  <c r="AI755" i="41"/>
  <c r="AK755" i="41"/>
  <c r="AF755" i="41"/>
  <c r="AG755" i="41"/>
  <c r="R699" i="41"/>
  <c r="AH1441" i="41"/>
  <c r="AK1441" i="41"/>
  <c r="AG1441" i="41"/>
  <c r="AF1441" i="41"/>
  <c r="AJ1441" i="41"/>
  <c r="AI1441" i="41"/>
  <c r="I696" i="41"/>
  <c r="H696" i="41"/>
  <c r="G696" i="41" s="1"/>
  <c r="AC696" i="41"/>
  <c r="AE756" i="41" s="1" a="1"/>
  <c r="AE756" i="41" s="1"/>
  <c r="S1444" i="41" l="1"/>
  <c r="I1444" i="41" s="1"/>
  <c r="L1440" i="41"/>
  <c r="T1442" i="41"/>
  <c r="M1441" i="41"/>
  <c r="H1443" i="41"/>
  <c r="G1443" i="41" s="1"/>
  <c r="I1443" i="41"/>
  <c r="AH757" i="41"/>
  <c r="AI757" i="41"/>
  <c r="AK757" i="41"/>
  <c r="AJ757" i="41"/>
  <c r="AF757" i="41"/>
  <c r="AG757" i="41"/>
  <c r="W1445" i="41"/>
  <c r="X1445" i="41"/>
  <c r="P1446" i="41"/>
  <c r="AD697" i="41"/>
  <c r="AJ1442" i="41"/>
  <c r="AK1442" i="41"/>
  <c r="AH1442" i="41"/>
  <c r="AG1442" i="41"/>
  <c r="AI1442" i="41"/>
  <c r="AF1442" i="41"/>
  <c r="R700" i="41"/>
  <c r="R1446" i="41"/>
  <c r="V1446" i="41" s="1"/>
  <c r="W699" i="41"/>
  <c r="X699" i="41"/>
  <c r="P700" i="41"/>
  <c r="U699" i="41"/>
  <c r="AD698" i="41" s="1"/>
  <c r="Q700" i="41"/>
  <c r="M698" i="41"/>
  <c r="L698" i="41" s="1"/>
  <c r="H1444" i="41"/>
  <c r="G1444" i="41" s="1"/>
  <c r="AC698" i="41"/>
  <c r="AE758" i="41" s="1" a="1"/>
  <c r="AE758" i="41" s="1"/>
  <c r="I697" i="41"/>
  <c r="H697" i="41"/>
  <c r="G697" i="41" s="1"/>
  <c r="AI756" i="41"/>
  <c r="AJ756" i="41"/>
  <c r="AK756" i="41"/>
  <c r="AF756" i="41"/>
  <c r="AH756" i="41"/>
  <c r="AG756" i="41"/>
  <c r="AD1443" i="41"/>
  <c r="AC1443" i="41"/>
  <c r="U1445" i="41"/>
  <c r="AC1444" i="41" s="1"/>
  <c r="Q1446" i="41"/>
  <c r="O1446" i="41"/>
  <c r="S698" i="41"/>
  <c r="S699" i="41" s="1"/>
  <c r="I699" i="41" s="1"/>
  <c r="AB699" i="41" a="1"/>
  <c r="AB699" i="41" s="1"/>
  <c r="AB1443" i="41"/>
  <c r="V699" i="41"/>
  <c r="O700" i="41" s="1"/>
  <c r="L1441" i="41" l="1"/>
  <c r="AB700" i="41" a="1"/>
  <c r="AB700" i="41" s="1"/>
  <c r="M1442" i="41"/>
  <c r="AE1444" i="41"/>
  <c r="T1444" i="41"/>
  <c r="AG758" i="41"/>
  <c r="AF758" i="41"/>
  <c r="AJ758" i="41"/>
  <c r="AI758" i="41"/>
  <c r="AK758" i="41"/>
  <c r="AH758" i="41"/>
  <c r="R1447" i="41"/>
  <c r="AE1443" i="41"/>
  <c r="T1443" i="41"/>
  <c r="U1446" i="41"/>
  <c r="Q1447" i="41"/>
  <c r="U700" i="41"/>
  <c r="AC699" i="41" s="1"/>
  <c r="AE759" i="41" s="1" a="1"/>
  <c r="AE759" i="41" s="1"/>
  <c r="Q701" i="41"/>
  <c r="I698" i="41"/>
  <c r="H698" i="41"/>
  <c r="G698" i="41" s="1"/>
  <c r="M699" i="41"/>
  <c r="L699" i="41" s="1"/>
  <c r="AD1444" i="41"/>
  <c r="O701" i="41"/>
  <c r="V700" i="41"/>
  <c r="W1446" i="41"/>
  <c r="X1446" i="41"/>
  <c r="P1447" i="41"/>
  <c r="R701" i="41"/>
  <c r="V701" i="41" s="1"/>
  <c r="W700" i="41"/>
  <c r="X700" i="41"/>
  <c r="P701" i="41"/>
  <c r="AB701" i="41" s="1" a="1"/>
  <c r="AB701" i="41" s="1"/>
  <c r="AB1444" i="41"/>
  <c r="AD699" i="41"/>
  <c r="S1445" i="41"/>
  <c r="O1447" i="41"/>
  <c r="H699" i="41"/>
  <c r="G699" i="41" s="1"/>
  <c r="L1442" i="41" l="1"/>
  <c r="S1446" i="41"/>
  <c r="I1446" i="41" s="1"/>
  <c r="AB1445" i="41"/>
  <c r="AD1445" i="41"/>
  <c r="R1448" i="41"/>
  <c r="V1448" i="41" s="1"/>
  <c r="U1447" i="41"/>
  <c r="AC1446" i="41" s="1"/>
  <c r="Q1448" i="41"/>
  <c r="I1445" i="41"/>
  <c r="H1445" i="41"/>
  <c r="G1445" i="41" s="1"/>
  <c r="H1446" i="41"/>
  <c r="G1446" i="41" s="1"/>
  <c r="W1447" i="41"/>
  <c r="X1447" i="41"/>
  <c r="P1448" i="41"/>
  <c r="AI1443" i="41"/>
  <c r="AK1443" i="41"/>
  <c r="AH1443" i="41"/>
  <c r="AJ1443" i="41"/>
  <c r="AF1443" i="41"/>
  <c r="AG1443" i="41"/>
  <c r="W701" i="41"/>
  <c r="X701" i="41"/>
  <c r="P702" i="41"/>
  <c r="AF759" i="41"/>
  <c r="AJ759" i="41"/>
  <c r="AK759" i="41"/>
  <c r="AH759" i="41"/>
  <c r="AI759" i="41"/>
  <c r="AG759" i="41"/>
  <c r="R702" i="41"/>
  <c r="V702" i="41" s="1"/>
  <c r="S700" i="41"/>
  <c r="M700" i="41"/>
  <c r="L700" i="41" s="1"/>
  <c r="V1447" i="41"/>
  <c r="O1448" i="41" s="1"/>
  <c r="O702" i="41"/>
  <c r="U701" i="41"/>
  <c r="AD700" i="41" s="1"/>
  <c r="Q702" i="41"/>
  <c r="AC1445" i="41"/>
  <c r="AJ1444" i="41"/>
  <c r="AF1444" i="41"/>
  <c r="AG1444" i="41"/>
  <c r="AK1444" i="41"/>
  <c r="AH1444" i="41"/>
  <c r="AI1444" i="41"/>
  <c r="M1443" i="41" l="1"/>
  <c r="L1443" i="41" s="1"/>
  <c r="M701" i="41"/>
  <c r="L701" i="41" s="1"/>
  <c r="M1444" i="41"/>
  <c r="W1448" i="41"/>
  <c r="X1448" i="41"/>
  <c r="P1449" i="41"/>
  <c r="O1449" i="41"/>
  <c r="W702" i="41"/>
  <c r="X702" i="41"/>
  <c r="P703" i="41"/>
  <c r="S701" i="41"/>
  <c r="AB1446" i="41"/>
  <c r="AE1446" i="41"/>
  <c r="T1446" i="41"/>
  <c r="I700" i="41"/>
  <c r="H700" i="41"/>
  <c r="G700" i="41" s="1"/>
  <c r="Q1449" i="41"/>
  <c r="U1448" i="41"/>
  <c r="AC700" i="41"/>
  <c r="AE760" i="41" s="1" a="1"/>
  <c r="AE760" i="41" s="1"/>
  <c r="AD1446" i="41"/>
  <c r="R1449" i="41"/>
  <c r="V1449" i="41" s="1"/>
  <c r="S1447" i="41"/>
  <c r="AE1445" i="41"/>
  <c r="T1445" i="41"/>
  <c r="U702" i="41"/>
  <c r="Q703" i="41"/>
  <c r="O703" i="41"/>
  <c r="AB702" i="41" a="1"/>
  <c r="AB702" i="41" s="1"/>
  <c r="R703" i="41"/>
  <c r="V703" i="41" s="1"/>
  <c r="L1444" i="41" l="1"/>
  <c r="AB1447" i="41"/>
  <c r="O1450" i="41"/>
  <c r="AG1445" i="41"/>
  <c r="AJ1445" i="41"/>
  <c r="AK1445" i="41"/>
  <c r="AH1445" i="41"/>
  <c r="AF1445" i="41"/>
  <c r="AI1445" i="41"/>
  <c r="U1449" i="41"/>
  <c r="Q1450" i="41"/>
  <c r="R704" i="41"/>
  <c r="V704" i="41" s="1"/>
  <c r="M702" i="41"/>
  <c r="L702" i="41" s="1"/>
  <c r="S1448" i="41"/>
  <c r="R1450" i="41"/>
  <c r="AB703" i="41" a="1"/>
  <c r="AB703" i="41" s="1"/>
  <c r="H1447" i="41"/>
  <c r="G1447" i="41" s="1"/>
  <c r="I1447" i="41"/>
  <c r="AH760" i="41"/>
  <c r="AK760" i="41"/>
  <c r="AJ760" i="41"/>
  <c r="AF760" i="41"/>
  <c r="AI760" i="41"/>
  <c r="AG760" i="41"/>
  <c r="U703" i="41"/>
  <c r="AC702" i="41" s="1"/>
  <c r="AE762" i="41" s="1" a="1"/>
  <c r="AE762" i="41" s="1"/>
  <c r="Q704" i="41"/>
  <c r="AH1446" i="41"/>
  <c r="AK1446" i="41"/>
  <c r="AG1446" i="41"/>
  <c r="AI1446" i="41"/>
  <c r="AJ1446" i="41"/>
  <c r="AF1446" i="41"/>
  <c r="AD1447" i="41"/>
  <c r="W1449" i="41"/>
  <c r="X1449" i="41"/>
  <c r="P1450" i="41"/>
  <c r="W703" i="41"/>
  <c r="X703" i="41"/>
  <c r="P704" i="41"/>
  <c r="AC1447" i="41"/>
  <c r="S702" i="41"/>
  <c r="AC701" i="41"/>
  <c r="AE761" i="41" s="1" a="1"/>
  <c r="AE761" i="41" s="1"/>
  <c r="O704" i="41"/>
  <c r="AD701" i="41"/>
  <c r="I701" i="41"/>
  <c r="H701" i="41"/>
  <c r="G701" i="41" s="1"/>
  <c r="S703" i="41" l="1"/>
  <c r="I703" i="41" s="1"/>
  <c r="M1446" i="41"/>
  <c r="M1445" i="41"/>
  <c r="L1445" i="41" s="1"/>
  <c r="AD702" i="41"/>
  <c r="S1449" i="41"/>
  <c r="H1449" i="41" s="1"/>
  <c r="G1449" i="41" s="1"/>
  <c r="U1450" i="41"/>
  <c r="S1450" i="41" s="1"/>
  <c r="H1450" i="41" s="1"/>
  <c r="G1450" i="41" s="1"/>
  <c r="Q1451" i="41"/>
  <c r="AH762" i="41"/>
  <c r="AI762" i="41"/>
  <c r="AK762" i="41"/>
  <c r="AG762" i="41"/>
  <c r="AJ762" i="41"/>
  <c r="AF762" i="41"/>
  <c r="U704" i="41"/>
  <c r="AC703" i="41" s="1"/>
  <c r="AE763" i="41" s="1" a="1"/>
  <c r="AE763" i="41" s="1"/>
  <c r="Q705" i="41"/>
  <c r="W1450" i="41"/>
  <c r="X1450" i="41"/>
  <c r="P1451" i="41"/>
  <c r="AK761" i="41"/>
  <c r="AG761" i="41"/>
  <c r="AH761" i="41"/>
  <c r="AJ761" i="41"/>
  <c r="AI761" i="41"/>
  <c r="AF761" i="41"/>
  <c r="I702" i="41"/>
  <c r="H702" i="41"/>
  <c r="G702" i="41" s="1"/>
  <c r="O705" i="41"/>
  <c r="AE1447" i="41"/>
  <c r="T1447" i="41"/>
  <c r="V1450" i="41"/>
  <c r="O1451" i="41" s="1"/>
  <c r="AC1449" i="41"/>
  <c r="AD1449" i="41"/>
  <c r="AC1448" i="41"/>
  <c r="X704" i="41"/>
  <c r="W704" i="41"/>
  <c r="P705" i="41"/>
  <c r="I1448" i="41"/>
  <c r="H1448" i="41"/>
  <c r="G1448" i="41" s="1"/>
  <c r="R705" i="41"/>
  <c r="AB704" i="41" a="1"/>
  <c r="AB704" i="41" s="1"/>
  <c r="M703" i="41"/>
  <c r="L703" i="41" s="1"/>
  <c r="R1451" i="41"/>
  <c r="V1451" i="41" s="1"/>
  <c r="AB1448" i="41"/>
  <c r="AD1448" i="41"/>
  <c r="H703" i="41" l="1"/>
  <c r="G703" i="41" s="1"/>
  <c r="I1450" i="41"/>
  <c r="L1446" i="41"/>
  <c r="I1449" i="41"/>
  <c r="AD703" i="41"/>
  <c r="S704" i="41"/>
  <c r="M704" i="41"/>
  <c r="L704" i="41" s="1"/>
  <c r="AG763" i="41"/>
  <c r="AH763" i="41"/>
  <c r="AK763" i="41"/>
  <c r="AJ763" i="41"/>
  <c r="AI763" i="41"/>
  <c r="AF763" i="41"/>
  <c r="R706" i="41"/>
  <c r="W705" i="41"/>
  <c r="X705" i="41"/>
  <c r="P706" i="41"/>
  <c r="W1451" i="41"/>
  <c r="X1451" i="41"/>
  <c r="P1452" i="41"/>
  <c r="R1452" i="41"/>
  <c r="O1452" i="41"/>
  <c r="AB1449" i="41"/>
  <c r="O706" i="41"/>
  <c r="AF1447" i="41"/>
  <c r="AK1447" i="41"/>
  <c r="AG1447" i="41"/>
  <c r="AI1447" i="41"/>
  <c r="AH1447" i="41"/>
  <c r="AJ1447" i="41"/>
  <c r="Q1452" i="41"/>
  <c r="U1451" i="41"/>
  <c r="S1451" i="41" s="1"/>
  <c r="H1451" i="41" s="1"/>
  <c r="G1451" i="41" s="1"/>
  <c r="U705" i="41"/>
  <c r="Q706" i="41"/>
  <c r="V705" i="41"/>
  <c r="AE1449" i="41"/>
  <c r="T1449" i="41"/>
  <c r="AE1448" i="41"/>
  <c r="T1448" i="41"/>
  <c r="AB705" i="41" a="1"/>
  <c r="AB705" i="41" s="1"/>
  <c r="V706" i="41" l="1"/>
  <c r="M1447" i="41"/>
  <c r="L1447" i="41" s="1"/>
  <c r="AC1450" i="41"/>
  <c r="AE1450" i="41" s="1"/>
  <c r="AD1450" i="41"/>
  <c r="I704" i="41"/>
  <c r="H704" i="41"/>
  <c r="G704" i="41" s="1"/>
  <c r="R707" i="41"/>
  <c r="T1450" i="41"/>
  <c r="AI1449" i="41"/>
  <c r="AK1449" i="41"/>
  <c r="AF1449" i="41"/>
  <c r="AG1449" i="41"/>
  <c r="AH1449" i="41"/>
  <c r="AJ1449" i="41"/>
  <c r="AH1448" i="41"/>
  <c r="AJ1448" i="41"/>
  <c r="AI1448" i="41"/>
  <c r="AK1448" i="41"/>
  <c r="AF1448" i="41"/>
  <c r="AG1448" i="41"/>
  <c r="M705" i="41"/>
  <c r="L705" i="41" s="1"/>
  <c r="Q1453" i="41"/>
  <c r="U1452" i="41"/>
  <c r="AD1451" i="41" s="1"/>
  <c r="O707" i="41"/>
  <c r="W1452" i="41"/>
  <c r="P1453" i="41"/>
  <c r="X1452" i="41"/>
  <c r="AB706" i="41" a="1"/>
  <c r="AB706" i="41" s="1"/>
  <c r="W706" i="41"/>
  <c r="X706" i="41"/>
  <c r="P707" i="41"/>
  <c r="AC704" i="41"/>
  <c r="AE764" i="41" s="1" a="1"/>
  <c r="AE764" i="41" s="1"/>
  <c r="Q707" i="41"/>
  <c r="U706" i="41"/>
  <c r="AD705" i="41" s="1"/>
  <c r="R1453" i="41"/>
  <c r="I1451" i="41"/>
  <c r="S705" i="41"/>
  <c r="AD704" i="41"/>
  <c r="AB1450" i="41"/>
  <c r="V1452" i="41"/>
  <c r="O1453" i="41" s="1"/>
  <c r="V1453" i="41" l="1"/>
  <c r="S706" i="41"/>
  <c r="I706" i="41" s="1"/>
  <c r="M1449" i="41"/>
  <c r="M1448" i="41"/>
  <c r="L1448" i="41" s="1"/>
  <c r="AC705" i="41"/>
  <c r="AE765" i="41" s="1" a="1"/>
  <c r="AE765" i="41" s="1"/>
  <c r="AK765" i="41" s="1"/>
  <c r="AC1451" i="41"/>
  <c r="AE1451" i="41" s="1"/>
  <c r="AB1451" i="41"/>
  <c r="AG1450" i="41"/>
  <c r="AH1450" i="41"/>
  <c r="AJ1450" i="41"/>
  <c r="AI1450" i="41"/>
  <c r="AK1450" i="41"/>
  <c r="AF1450" i="41"/>
  <c r="H706" i="41"/>
  <c r="G706" i="41" s="1"/>
  <c r="O1454" i="41"/>
  <c r="U707" i="41"/>
  <c r="Q708" i="41"/>
  <c r="AB707" i="41" a="1"/>
  <c r="AB707" i="41" s="1"/>
  <c r="W1453" i="41"/>
  <c r="P1454" i="41"/>
  <c r="X1453" i="41"/>
  <c r="W707" i="41"/>
  <c r="X707" i="41"/>
  <c r="P708" i="41"/>
  <c r="M706" i="41"/>
  <c r="L706" i="41" s="1"/>
  <c r="I705" i="41"/>
  <c r="H705" i="41"/>
  <c r="G705" i="41" s="1"/>
  <c r="U1453" i="41"/>
  <c r="AD1452" i="41" s="1"/>
  <c r="Q1454" i="41"/>
  <c r="V707" i="41"/>
  <c r="O708" i="41" s="1"/>
  <c r="AJ764" i="41"/>
  <c r="AG764" i="41"/>
  <c r="AK764" i="41"/>
  <c r="AF764" i="41"/>
  <c r="AI764" i="41"/>
  <c r="AH764" i="41"/>
  <c r="R1454" i="41"/>
  <c r="V1454" i="41" s="1"/>
  <c r="R708" i="41"/>
  <c r="V708" i="41" s="1"/>
  <c r="S1452" i="41"/>
  <c r="S1453" i="41" l="1"/>
  <c r="T1451" i="41"/>
  <c r="AJ765" i="41"/>
  <c r="AG765" i="41"/>
  <c r="AI765" i="41"/>
  <c r="AC1452" i="41"/>
  <c r="AE1452" i="41" s="1"/>
  <c r="AH765" i="41"/>
  <c r="AF765" i="41"/>
  <c r="AB1452" i="41"/>
  <c r="M1450" i="41"/>
  <c r="L1449" i="41"/>
  <c r="W708" i="41"/>
  <c r="X708" i="41"/>
  <c r="P709" i="41"/>
  <c r="I1453" i="41"/>
  <c r="H1453" i="41"/>
  <c r="G1453" i="41" s="1"/>
  <c r="R709" i="41"/>
  <c r="U708" i="41"/>
  <c r="AD707" i="41" s="1"/>
  <c r="Q709" i="41"/>
  <c r="O709" i="41"/>
  <c r="O1455" i="41"/>
  <c r="AJ1451" i="41"/>
  <c r="AF1451" i="41"/>
  <c r="AI1451" i="41"/>
  <c r="AK1451" i="41"/>
  <c r="AG1451" i="41"/>
  <c r="AH1451" i="41"/>
  <c r="W1454" i="41"/>
  <c r="X1454" i="41"/>
  <c r="P1455" i="41"/>
  <c r="M707" i="41"/>
  <c r="L707" i="41" s="1"/>
  <c r="AD706" i="41"/>
  <c r="R1455" i="41"/>
  <c r="V1455" i="41" s="1"/>
  <c r="H1452" i="41"/>
  <c r="G1452" i="41" s="1"/>
  <c r="I1452" i="41"/>
  <c r="AC706" i="41"/>
  <c r="AE766" i="41" s="1" a="1"/>
  <c r="AE766" i="41" s="1"/>
  <c r="AB708" i="41" a="1"/>
  <c r="AB708" i="41" s="1"/>
  <c r="U1454" i="41"/>
  <c r="Q1455" i="41"/>
  <c r="S707" i="41"/>
  <c r="S1454" i="41" l="1"/>
  <c r="AC707" i="41"/>
  <c r="AE767" i="41" s="1" a="1"/>
  <c r="AE767" i="41" s="1"/>
  <c r="AF767" i="41" s="1"/>
  <c r="T1452" i="41"/>
  <c r="AB709" i="41" a="1"/>
  <c r="AB709" i="41" s="1"/>
  <c r="M1451" i="41"/>
  <c r="AC1453" i="41"/>
  <c r="AE1453" i="41" s="1"/>
  <c r="L1450" i="41"/>
  <c r="H1454" i="41"/>
  <c r="G1454" i="41" s="1"/>
  <c r="I1454" i="41"/>
  <c r="I707" i="41"/>
  <c r="H707" i="41"/>
  <c r="G707" i="41" s="1"/>
  <c r="U709" i="41"/>
  <c r="Q710" i="41"/>
  <c r="AJ767" i="41"/>
  <c r="AI767" i="41"/>
  <c r="AG767" i="41"/>
  <c r="R1456" i="41"/>
  <c r="V1456" i="41" s="1"/>
  <c r="W1455" i="41"/>
  <c r="X1455" i="41"/>
  <c r="P1456" i="41"/>
  <c r="AG766" i="41"/>
  <c r="AK766" i="41"/>
  <c r="AH766" i="41"/>
  <c r="AI766" i="41"/>
  <c r="AF766" i="41"/>
  <c r="AJ766" i="41"/>
  <c r="AB1453" i="41"/>
  <c r="R710" i="41"/>
  <c r="V710" i="41" s="1"/>
  <c r="O710" i="41"/>
  <c r="O1456" i="41"/>
  <c r="X709" i="41"/>
  <c r="W709" i="41"/>
  <c r="P710" i="41"/>
  <c r="Q1456" i="41"/>
  <c r="U1455" i="41"/>
  <c r="AB1454" i="41" s="1"/>
  <c r="V709" i="41"/>
  <c r="M708" i="41"/>
  <c r="L708" i="41" s="1"/>
  <c r="AI1452" i="41"/>
  <c r="AJ1452" i="41"/>
  <c r="AH1452" i="41"/>
  <c r="AK1452" i="41"/>
  <c r="AF1452" i="41"/>
  <c r="AG1452" i="41"/>
  <c r="AD1453" i="41"/>
  <c r="S708" i="41"/>
  <c r="AK767" i="41" l="1"/>
  <c r="AH767" i="41"/>
  <c r="L1451" i="41"/>
  <c r="T1453" i="41"/>
  <c r="M1452" i="41"/>
  <c r="S709" i="41"/>
  <c r="I709" i="41" s="1"/>
  <c r="O711" i="41"/>
  <c r="AC1454" i="41"/>
  <c r="O1457" i="41"/>
  <c r="R711" i="41"/>
  <c r="M709" i="41"/>
  <c r="L709" i="41" s="1"/>
  <c r="AD1454" i="41"/>
  <c r="I708" i="41"/>
  <c r="H708" i="41"/>
  <c r="G708" i="41" s="1"/>
  <c r="AB710" i="41" a="1"/>
  <c r="AB710" i="41" s="1"/>
  <c r="H709" i="41"/>
  <c r="G709" i="41" s="1"/>
  <c r="W710" i="41"/>
  <c r="P711" i="41"/>
  <c r="X710" i="41"/>
  <c r="U1456" i="41"/>
  <c r="AD1455" i="41" s="1"/>
  <c r="Q1457" i="41"/>
  <c r="AC708" i="41"/>
  <c r="AE768" i="41" s="1" a="1"/>
  <c r="AE768" i="41" s="1"/>
  <c r="AD708" i="41"/>
  <c r="AK1453" i="41"/>
  <c r="AF1453" i="41"/>
  <c r="AG1453" i="41"/>
  <c r="AH1453" i="41"/>
  <c r="AJ1453" i="41"/>
  <c r="AI1453" i="41"/>
  <c r="Q711" i="41"/>
  <c r="U710" i="41"/>
  <c r="S710" i="41" s="1"/>
  <c r="R1457" i="41"/>
  <c r="V1457" i="41" s="1"/>
  <c r="W1456" i="41"/>
  <c r="P1457" i="41"/>
  <c r="X1456" i="41"/>
  <c r="S1455" i="41"/>
  <c r="L1452" i="41" l="1"/>
  <c r="M1453" i="41"/>
  <c r="M710" i="41"/>
  <c r="L710" i="41" s="1"/>
  <c r="I710" i="41"/>
  <c r="H710" i="41"/>
  <c r="G710" i="41" s="1"/>
  <c r="AD709" i="41"/>
  <c r="AC709" i="41"/>
  <c r="AE769" i="41" s="1" a="1"/>
  <c r="AE769" i="41" s="1"/>
  <c r="AF769" i="41" s="1"/>
  <c r="AB1455" i="41"/>
  <c r="I1455" i="41"/>
  <c r="H1455" i="41"/>
  <c r="G1455" i="41" s="1"/>
  <c r="S1456" i="41"/>
  <c r="W711" i="41"/>
  <c r="X711" i="41"/>
  <c r="P712" i="41"/>
  <c r="R712" i="41"/>
  <c r="AC1455" i="41"/>
  <c r="R1458" i="41"/>
  <c r="V1458" i="41" s="1"/>
  <c r="AI768" i="41"/>
  <c r="AF768" i="41"/>
  <c r="AK768" i="41"/>
  <c r="AH768" i="41"/>
  <c r="AJ768" i="41"/>
  <c r="AG768" i="41"/>
  <c r="U711" i="41"/>
  <c r="S711" i="41" s="1"/>
  <c r="I711" i="41" s="1"/>
  <c r="Q712" i="41"/>
  <c r="U1457" i="41"/>
  <c r="AB1456" i="41" s="1"/>
  <c r="Q1458" i="41"/>
  <c r="AB711" i="41" a="1"/>
  <c r="AB711" i="41" s="1"/>
  <c r="AE1454" i="41"/>
  <c r="T1454" i="41"/>
  <c r="O1458" i="41"/>
  <c r="V711" i="41"/>
  <c r="O712" i="41" s="1"/>
  <c r="W1457" i="41"/>
  <c r="X1457" i="41"/>
  <c r="P1458" i="41"/>
  <c r="AD1456" i="41" l="1"/>
  <c r="L1453" i="41"/>
  <c r="AC710" i="41"/>
  <c r="AE770" i="41" s="1" a="1"/>
  <c r="AE770" i="41" s="1"/>
  <c r="AH770" i="41" s="1"/>
  <c r="AD710" i="41"/>
  <c r="AK769" i="41"/>
  <c r="AG769" i="41"/>
  <c r="AH769" i="41"/>
  <c r="AJ769" i="41"/>
  <c r="AI769" i="41"/>
  <c r="H1456" i="41"/>
  <c r="G1456" i="41" s="1"/>
  <c r="I1456" i="41"/>
  <c r="S1457" i="41"/>
  <c r="O1459" i="41"/>
  <c r="AE1455" i="41"/>
  <c r="T1455" i="41"/>
  <c r="W1458" i="41"/>
  <c r="X1458" i="41"/>
  <c r="P1459" i="41"/>
  <c r="U712" i="41"/>
  <c r="Q713" i="41"/>
  <c r="M711" i="41"/>
  <c r="L711" i="41" s="1"/>
  <c r="U1458" i="41"/>
  <c r="Q1459" i="41"/>
  <c r="AF1454" i="41"/>
  <c r="AG1454" i="41"/>
  <c r="AK1454" i="41"/>
  <c r="AJ1454" i="41"/>
  <c r="AI1454" i="41"/>
  <c r="AH1454" i="41"/>
  <c r="V712" i="41"/>
  <c r="O713" i="41" s="1"/>
  <c r="R713" i="41"/>
  <c r="V713" i="41" s="1"/>
  <c r="X712" i="41"/>
  <c r="W712" i="41"/>
  <c r="P713" i="41"/>
  <c r="R1459" i="41"/>
  <c r="AB712" i="41" a="1"/>
  <c r="AB712" i="41" s="1"/>
  <c r="AC1456" i="41"/>
  <c r="H711" i="41"/>
  <c r="G711" i="41" s="1"/>
  <c r="AF770" i="41" l="1"/>
  <c r="AJ770" i="41"/>
  <c r="AI770" i="41"/>
  <c r="AK770" i="41"/>
  <c r="AG770" i="41"/>
  <c r="S1458" i="41"/>
  <c r="H1458" i="41" s="1"/>
  <c r="G1458" i="41" s="1"/>
  <c r="AD1457" i="41"/>
  <c r="AC1457" i="41"/>
  <c r="T1457" i="41" s="1"/>
  <c r="M1454" i="41"/>
  <c r="L1454" i="41" s="1"/>
  <c r="W713" i="41"/>
  <c r="X713" i="41"/>
  <c r="P714" i="41"/>
  <c r="H1457" i="41"/>
  <c r="G1457" i="41" s="1"/>
  <c r="I1457" i="41"/>
  <c r="R714" i="41"/>
  <c r="R1460" i="41"/>
  <c r="U1459" i="41"/>
  <c r="AC1458" i="41" s="1"/>
  <c r="Q1460" i="41"/>
  <c r="AE1456" i="41"/>
  <c r="T1456" i="41"/>
  <c r="AB1457" i="41"/>
  <c r="V1459" i="41"/>
  <c r="O1460" i="41" s="1"/>
  <c r="S712" i="41"/>
  <c r="U713" i="41"/>
  <c r="AD712" i="41" s="1"/>
  <c r="Q714" i="41"/>
  <c r="M712" i="41"/>
  <c r="L712" i="41" s="1"/>
  <c r="AC711" i="41"/>
  <c r="AE771" i="41" s="1" a="1"/>
  <c r="AE771" i="41" s="1"/>
  <c r="AB713" i="41" a="1"/>
  <c r="AB713" i="41" s="1"/>
  <c r="AK1455" i="41"/>
  <c r="AH1455" i="41"/>
  <c r="AG1455" i="41"/>
  <c r="AF1455" i="41"/>
  <c r="AI1455" i="41"/>
  <c r="AJ1455" i="41"/>
  <c r="AD711" i="41"/>
  <c r="O714" i="41"/>
  <c r="W1459" i="41"/>
  <c r="X1459" i="41"/>
  <c r="P1460" i="41"/>
  <c r="AB714" i="41" l="1" a="1"/>
  <c r="AB714" i="41" s="1"/>
  <c r="I1458" i="41"/>
  <c r="AE1457" i="41"/>
  <c r="AH1457" i="41" s="1"/>
  <c r="S713" i="41"/>
  <c r="I713" i="41" s="1"/>
  <c r="S1459" i="41"/>
  <c r="AC712" i="41"/>
  <c r="AE772" i="41" s="1" a="1"/>
  <c r="AE772" i="41" s="1"/>
  <c r="AI772" i="41" s="1"/>
  <c r="AD1458" i="41"/>
  <c r="M1455" i="41"/>
  <c r="L1455" i="41" s="1"/>
  <c r="W1460" i="41"/>
  <c r="X1460" i="41"/>
  <c r="P1461" i="41"/>
  <c r="U1460" i="41"/>
  <c r="AC1459" i="41" s="1"/>
  <c r="Q1461" i="41"/>
  <c r="AI771" i="41"/>
  <c r="AF771" i="41"/>
  <c r="AH771" i="41"/>
  <c r="AK771" i="41"/>
  <c r="AG771" i="41"/>
  <c r="AJ771" i="41"/>
  <c r="U714" i="41"/>
  <c r="Q715" i="41"/>
  <c r="R715" i="41"/>
  <c r="AB1458" i="41"/>
  <c r="AE1458" i="41"/>
  <c r="T1458" i="41"/>
  <c r="AF1457" i="41"/>
  <c r="AK1457" i="41"/>
  <c r="AG1457" i="41"/>
  <c r="V1460" i="41"/>
  <c r="O1461" i="41" s="1"/>
  <c r="H713" i="41"/>
  <c r="G713" i="41" s="1"/>
  <c r="X714" i="41"/>
  <c r="W714" i="41"/>
  <c r="P715" i="41"/>
  <c r="V714" i="41"/>
  <c r="O715" i="41" s="1"/>
  <c r="AI1456" i="41"/>
  <c r="AJ1456" i="41"/>
  <c r="AK1456" i="41"/>
  <c r="AF1456" i="41"/>
  <c r="AH1456" i="41"/>
  <c r="AG1456" i="41"/>
  <c r="I712" i="41"/>
  <c r="H712" i="41"/>
  <c r="G712" i="41" s="1"/>
  <c r="R1461" i="41"/>
  <c r="V1461" i="41" s="1"/>
  <c r="M713" i="41"/>
  <c r="L713" i="41" s="1"/>
  <c r="V715" i="41" l="1"/>
  <c r="AJ1457" i="41"/>
  <c r="AI1457" i="41"/>
  <c r="M1457" i="41" s="1"/>
  <c r="AG772" i="41"/>
  <c r="AJ772" i="41"/>
  <c r="AK772" i="41"/>
  <c r="AH772" i="41"/>
  <c r="AF772" i="41"/>
  <c r="M1456" i="41"/>
  <c r="L1456" i="41" s="1"/>
  <c r="AB715" i="41" a="1"/>
  <c r="AB715" i="41" s="1"/>
  <c r="AB1459" i="41"/>
  <c r="AD1459" i="41"/>
  <c r="M714" i="41"/>
  <c r="L714" i="41" s="1"/>
  <c r="I1459" i="41"/>
  <c r="H1459" i="41"/>
  <c r="G1459" i="41" s="1"/>
  <c r="O1462" i="41"/>
  <c r="AE1459" i="41"/>
  <c r="T1459" i="41"/>
  <c r="R1462" i="41"/>
  <c r="V1462" i="41" s="1"/>
  <c r="W1461" i="41"/>
  <c r="X1461" i="41"/>
  <c r="P1462" i="41"/>
  <c r="S1460" i="41"/>
  <c r="W715" i="41"/>
  <c r="X715" i="41"/>
  <c r="P716" i="41"/>
  <c r="AD713" i="41"/>
  <c r="U715" i="41"/>
  <c r="Q716" i="41"/>
  <c r="U1461" i="41"/>
  <c r="AC1460" i="41" s="1"/>
  <c r="Q1462" i="41"/>
  <c r="S714" i="41"/>
  <c r="AC713" i="41"/>
  <c r="AE773" i="41" s="1" a="1"/>
  <c r="AE773" i="41" s="1"/>
  <c r="AJ1458" i="41"/>
  <c r="AH1458" i="41"/>
  <c r="AK1458" i="41"/>
  <c r="AG1458" i="41"/>
  <c r="AI1458" i="41"/>
  <c r="AF1458" i="41"/>
  <c r="R716" i="41"/>
  <c r="O716" i="41"/>
  <c r="S715" i="41" l="1"/>
  <c r="I715" i="41" s="1"/>
  <c r="L1457" i="41"/>
  <c r="AD1460" i="41"/>
  <c r="AB1460" i="41"/>
  <c r="H715" i="41"/>
  <c r="G715" i="41" s="1"/>
  <c r="M1458" i="41"/>
  <c r="AB716" i="41" a="1"/>
  <c r="AB716" i="41" s="1"/>
  <c r="AC714" i="41"/>
  <c r="AE774" i="41" s="1" a="1"/>
  <c r="AE774" i="41" s="1"/>
  <c r="AI774" i="41" s="1"/>
  <c r="AD714" i="41"/>
  <c r="I1460" i="41"/>
  <c r="H1460" i="41"/>
  <c r="G1460" i="41" s="1"/>
  <c r="W716" i="41"/>
  <c r="X716" i="41"/>
  <c r="P717" i="41"/>
  <c r="AE1460" i="41"/>
  <c r="T1460" i="41"/>
  <c r="S1461" i="41"/>
  <c r="M715" i="41"/>
  <c r="L715" i="41" s="1"/>
  <c r="R1463" i="41"/>
  <c r="U716" i="41"/>
  <c r="AD715" i="41" s="1"/>
  <c r="Q717" i="41"/>
  <c r="R717" i="41"/>
  <c r="AH773" i="41"/>
  <c r="AG773" i="41"/>
  <c r="AI773" i="41"/>
  <c r="AK773" i="41"/>
  <c r="AF773" i="41"/>
  <c r="AJ773" i="41"/>
  <c r="I714" i="41"/>
  <c r="H714" i="41"/>
  <c r="G714" i="41" s="1"/>
  <c r="O1463" i="41"/>
  <c r="AH1459" i="41"/>
  <c r="AK1459" i="41"/>
  <c r="AJ1459" i="41"/>
  <c r="AI1459" i="41"/>
  <c r="AG1459" i="41"/>
  <c r="AF1459" i="41"/>
  <c r="W1462" i="41"/>
  <c r="X1462" i="41"/>
  <c r="P1463" i="41"/>
  <c r="V716" i="41"/>
  <c r="O717" i="41" s="1"/>
  <c r="U1462" i="41"/>
  <c r="Q1463" i="41"/>
  <c r="L1458" i="41" l="1"/>
  <c r="AH774" i="41"/>
  <c r="AF774" i="41"/>
  <c r="AG774" i="41"/>
  <c r="M1459" i="41"/>
  <c r="AJ774" i="41"/>
  <c r="S716" i="41"/>
  <c r="I716" i="41" s="1"/>
  <c r="AK774" i="41"/>
  <c r="AC715" i="41"/>
  <c r="AE775" i="41" s="1" a="1"/>
  <c r="AE775" i="41" s="1"/>
  <c r="AK775" i="41" s="1"/>
  <c r="W717" i="41"/>
  <c r="X717" i="41"/>
  <c r="P718" i="41"/>
  <c r="R718" i="41"/>
  <c r="V718" i="41" s="1"/>
  <c r="U717" i="41"/>
  <c r="Q718" i="41"/>
  <c r="AB717" i="41" a="1"/>
  <c r="AB717" i="41" s="1"/>
  <c r="M716" i="41"/>
  <c r="L716" i="41" s="1"/>
  <c r="AC1461" i="41"/>
  <c r="U1463" i="41"/>
  <c r="Q1464" i="41"/>
  <c r="V1463" i="41"/>
  <c r="O1464" i="41" s="1"/>
  <c r="R1464" i="41"/>
  <c r="S1462" i="41"/>
  <c r="AD1461" i="41"/>
  <c r="W1463" i="41"/>
  <c r="X1463" i="41"/>
  <c r="P1464" i="41"/>
  <c r="AB1461" i="41"/>
  <c r="H1461" i="41"/>
  <c r="G1461" i="41" s="1"/>
  <c r="I1461" i="41"/>
  <c r="AC716" i="41"/>
  <c r="AE776" i="41" s="1" a="1"/>
  <c r="AE776" i="41" s="1"/>
  <c r="V717" i="41"/>
  <c r="O718" i="41" s="1"/>
  <c r="AI1460" i="41"/>
  <c r="AK1460" i="41"/>
  <c r="AG1460" i="41"/>
  <c r="AJ1460" i="41"/>
  <c r="AH1460" i="41"/>
  <c r="AF1460" i="41"/>
  <c r="L1459" i="41" l="1"/>
  <c r="AH775" i="41"/>
  <c r="AF775" i="41"/>
  <c r="AJ775" i="41"/>
  <c r="AG775" i="41"/>
  <c r="M1460" i="41"/>
  <c r="H716" i="41"/>
  <c r="G716" i="41" s="1"/>
  <c r="AI775" i="41"/>
  <c r="O719" i="41"/>
  <c r="AE1461" i="41"/>
  <c r="T1461" i="41"/>
  <c r="AB1462" i="41"/>
  <c r="S717" i="41"/>
  <c r="U718" i="41"/>
  <c r="AD717" i="41" s="1"/>
  <c r="Q719" i="41"/>
  <c r="U1464" i="41"/>
  <c r="Q1465" i="41"/>
  <c r="AB718" i="41" a="1"/>
  <c r="AB718" i="41" s="1"/>
  <c r="AK776" i="41"/>
  <c r="AF776" i="41"/>
  <c r="AI776" i="41"/>
  <c r="AJ776" i="41"/>
  <c r="AH776" i="41"/>
  <c r="AG776" i="41"/>
  <c r="AD716" i="41"/>
  <c r="AD1462" i="41"/>
  <c r="R719" i="41"/>
  <c r="W1464" i="41"/>
  <c r="X1464" i="41"/>
  <c r="P1465" i="41"/>
  <c r="AC1462" i="41"/>
  <c r="R1465" i="41"/>
  <c r="V1465" i="41" s="1"/>
  <c r="S1463" i="41"/>
  <c r="W718" i="41"/>
  <c r="X718" i="41"/>
  <c r="P719" i="41"/>
  <c r="I1462" i="41"/>
  <c r="H1462" i="41"/>
  <c r="G1462" i="41" s="1"/>
  <c r="V1464" i="41"/>
  <c r="O1465" i="41" s="1"/>
  <c r="M717" i="41"/>
  <c r="L717" i="41" s="1"/>
  <c r="L1460" i="41" l="1"/>
  <c r="S1464" i="41"/>
  <c r="I1464" i="41" s="1"/>
  <c r="AB1463" i="41"/>
  <c r="AC1463" i="41"/>
  <c r="AE1463" i="41" s="1"/>
  <c r="AD1463" i="41"/>
  <c r="R720" i="41"/>
  <c r="V720" i="41" s="1"/>
  <c r="U719" i="41"/>
  <c r="Q720" i="41"/>
  <c r="O1466" i="41"/>
  <c r="AC717" i="41"/>
  <c r="AE777" i="41" s="1" a="1"/>
  <c r="AE777" i="41" s="1"/>
  <c r="W1465" i="41"/>
  <c r="X1465" i="41"/>
  <c r="P1466" i="41"/>
  <c r="AB719" i="41" a="1"/>
  <c r="AB719" i="41" s="1"/>
  <c r="M718" i="41"/>
  <c r="L718" i="41" s="1"/>
  <c r="H1463" i="41"/>
  <c r="G1463" i="41" s="1"/>
  <c r="I1463" i="41"/>
  <c r="O720" i="41"/>
  <c r="AH1461" i="41"/>
  <c r="AF1461" i="41"/>
  <c r="AJ1461" i="41"/>
  <c r="AG1461" i="41"/>
  <c r="AK1461" i="41"/>
  <c r="AI1461" i="41"/>
  <c r="X719" i="41"/>
  <c r="W719" i="41"/>
  <c r="P720" i="41"/>
  <c r="V719" i="41"/>
  <c r="S718" i="41"/>
  <c r="U1465" i="41"/>
  <c r="Q1466" i="41"/>
  <c r="AE1462" i="41"/>
  <c r="T1462" i="41"/>
  <c r="I717" i="41"/>
  <c r="H717" i="41"/>
  <c r="G717" i="41" s="1"/>
  <c r="R1466" i="41"/>
  <c r="T1463" i="41" l="1"/>
  <c r="H1464" i="41"/>
  <c r="G1464" i="41" s="1"/>
  <c r="U1466" i="41"/>
  <c r="Q1467" i="41"/>
  <c r="R721" i="41"/>
  <c r="V721" i="41" s="1"/>
  <c r="AC1465" i="41"/>
  <c r="AD1465" i="41"/>
  <c r="AB1465" i="41"/>
  <c r="AD1464" i="41"/>
  <c r="X720" i="41"/>
  <c r="W720" i="41"/>
  <c r="P721" i="41"/>
  <c r="AB1464" i="41"/>
  <c r="I718" i="41"/>
  <c r="H718" i="41"/>
  <c r="G718" i="41" s="1"/>
  <c r="AC1464" i="41"/>
  <c r="M1461" i="41"/>
  <c r="L1461" i="41" s="1"/>
  <c r="U720" i="41"/>
  <c r="Q721" i="41"/>
  <c r="R1467" i="41"/>
  <c r="AB720" i="41" a="1"/>
  <c r="AB720" i="41" s="1"/>
  <c r="S719" i="41"/>
  <c r="M719" i="41"/>
  <c r="L719" i="41" s="1"/>
  <c r="AK1463" i="41"/>
  <c r="AH1463" i="41"/>
  <c r="AJ1463" i="41"/>
  <c r="AI1463" i="41"/>
  <c r="AG1463" i="41"/>
  <c r="AF1463" i="41"/>
  <c r="AC718" i="41"/>
  <c r="AE778" i="41" s="1" a="1"/>
  <c r="AE778" i="41" s="1"/>
  <c r="X1466" i="41"/>
  <c r="W1466" i="41"/>
  <c r="P1467" i="41"/>
  <c r="AI777" i="41"/>
  <c r="AF777" i="41"/>
  <c r="AJ777" i="41"/>
  <c r="AH777" i="41"/>
  <c r="AG777" i="41"/>
  <c r="AK777" i="41"/>
  <c r="AI1462" i="41"/>
  <c r="AF1462" i="41"/>
  <c r="AJ1462" i="41"/>
  <c r="AH1462" i="41"/>
  <c r="AK1462" i="41"/>
  <c r="AG1462" i="41"/>
  <c r="AD718" i="41"/>
  <c r="O1467" i="41"/>
  <c r="S1465" i="41"/>
  <c r="V1466" i="41"/>
  <c r="O721" i="41"/>
  <c r="AB721" i="41" l="1" a="1"/>
  <c r="AB721" i="41" s="1"/>
  <c r="M1462" i="41"/>
  <c r="L1462" i="41" s="1"/>
  <c r="M1463" i="41"/>
  <c r="AD719" i="41"/>
  <c r="H1465" i="41"/>
  <c r="G1465" i="41" s="1"/>
  <c r="I1465" i="41"/>
  <c r="AE1464" i="41"/>
  <c r="T1464" i="41"/>
  <c r="AE1465" i="41"/>
  <c r="T1465" i="41"/>
  <c r="U721" i="41"/>
  <c r="AC720" i="41" s="1"/>
  <c r="AE780" i="41" s="1" a="1"/>
  <c r="AE780" i="41" s="1"/>
  <c r="Q722" i="41"/>
  <c r="R1468" i="41"/>
  <c r="I719" i="41"/>
  <c r="H719" i="41"/>
  <c r="G719" i="41" s="1"/>
  <c r="R722" i="41"/>
  <c r="M720" i="41"/>
  <c r="L720" i="41" s="1"/>
  <c r="W721" i="41"/>
  <c r="X721" i="41"/>
  <c r="P722" i="41"/>
  <c r="Q1468" i="41"/>
  <c r="U1467" i="41"/>
  <c r="AD1466" i="41" s="1"/>
  <c r="V1467" i="41"/>
  <c r="O1468" i="41" s="1"/>
  <c r="AG778" i="41"/>
  <c r="AF778" i="41"/>
  <c r="AH778" i="41"/>
  <c r="AI778" i="41"/>
  <c r="AK778" i="41"/>
  <c r="AJ778" i="41"/>
  <c r="W1467" i="41"/>
  <c r="X1467" i="41"/>
  <c r="P1468" i="41"/>
  <c r="S1466" i="41"/>
  <c r="S720" i="41"/>
  <c r="O722" i="41"/>
  <c r="AC719" i="41"/>
  <c r="AE779" i="41" s="1" a="1"/>
  <c r="AE779" i="41" s="1"/>
  <c r="AB1466" i="41" l="1"/>
  <c r="AC1466" i="41"/>
  <c r="T1466" i="41" s="1"/>
  <c r="L1463" i="41"/>
  <c r="S721" i="41"/>
  <c r="I721" i="41" s="1"/>
  <c r="AI780" i="41"/>
  <c r="AG780" i="41"/>
  <c r="AK780" i="41"/>
  <c r="AJ780" i="41"/>
  <c r="AF780" i="41"/>
  <c r="AH780" i="41"/>
  <c r="M721" i="41"/>
  <c r="L721" i="41" s="1"/>
  <c r="AF1465" i="41"/>
  <c r="AH1465" i="41"/>
  <c r="AK1465" i="41"/>
  <c r="AJ1465" i="41"/>
  <c r="AG1465" i="41"/>
  <c r="AI1465" i="41"/>
  <c r="AJ779" i="41"/>
  <c r="AF779" i="41"/>
  <c r="AG779" i="41"/>
  <c r="AH779" i="41"/>
  <c r="AI779" i="41"/>
  <c r="AK779" i="41"/>
  <c r="U1468" i="41"/>
  <c r="AC1467" i="41" s="1"/>
  <c r="Q1469" i="41"/>
  <c r="AH1464" i="41"/>
  <c r="AG1464" i="41"/>
  <c r="AI1464" i="41"/>
  <c r="AF1464" i="41"/>
  <c r="AJ1464" i="41"/>
  <c r="AK1464" i="41"/>
  <c r="AD720" i="41"/>
  <c r="W722" i="41"/>
  <c r="X722" i="41"/>
  <c r="P723" i="41"/>
  <c r="W1468" i="41"/>
  <c r="X1468" i="41"/>
  <c r="P1469" i="41"/>
  <c r="I720" i="41"/>
  <c r="H720" i="41"/>
  <c r="G720" i="41" s="1"/>
  <c r="I1466" i="41"/>
  <c r="H1466" i="41"/>
  <c r="G1466" i="41" s="1"/>
  <c r="R1469" i="41"/>
  <c r="S1467" i="41"/>
  <c r="R723" i="41"/>
  <c r="U722" i="41"/>
  <c r="S722" i="41" s="1"/>
  <c r="I722" i="41" s="1"/>
  <c r="Q723" i="41"/>
  <c r="V722" i="41"/>
  <c r="O723" i="41" s="1"/>
  <c r="V1468" i="41"/>
  <c r="O1469" i="41" s="1"/>
  <c r="H721" i="41"/>
  <c r="G721" i="41" s="1"/>
  <c r="AB722" i="41" a="1"/>
  <c r="AB722" i="41" s="1"/>
  <c r="V723" i="41" l="1"/>
  <c r="AE1466" i="41"/>
  <c r="AG1466" i="41" s="1"/>
  <c r="M1465" i="41"/>
  <c r="AC721" i="41"/>
  <c r="AE781" i="41" s="1" a="1"/>
  <c r="AE781" i="41" s="1"/>
  <c r="AG781" i="41" s="1"/>
  <c r="AD721" i="41"/>
  <c r="AD1467" i="41"/>
  <c r="AB1467" i="41"/>
  <c r="M1464" i="41"/>
  <c r="L1464" i="41" s="1"/>
  <c r="W723" i="41"/>
  <c r="X723" i="41"/>
  <c r="P724" i="41"/>
  <c r="R1470" i="41"/>
  <c r="AE1467" i="41"/>
  <c r="T1467" i="41"/>
  <c r="Q1470" i="41"/>
  <c r="U1469" i="41"/>
  <c r="O724" i="41"/>
  <c r="R724" i="41"/>
  <c r="H722" i="41"/>
  <c r="G722" i="41" s="1"/>
  <c r="I1467" i="41"/>
  <c r="H1467" i="41"/>
  <c r="G1467" i="41" s="1"/>
  <c r="S1468" i="41"/>
  <c r="V1469" i="41"/>
  <c r="O1470" i="41" s="1"/>
  <c r="M722" i="41"/>
  <c r="L722" i="41" s="1"/>
  <c r="W1469" i="41"/>
  <c r="X1469" i="41"/>
  <c r="P1470" i="41"/>
  <c r="AB723" i="41" a="1"/>
  <c r="AB723" i="41" s="1"/>
  <c r="AH1466" i="41"/>
  <c r="AJ1466" i="41"/>
  <c r="U723" i="41"/>
  <c r="Q724" i="41"/>
  <c r="V724" i="41" l="1"/>
  <c r="AF1466" i="41"/>
  <c r="AK1466" i="41"/>
  <c r="AI1466" i="41"/>
  <c r="AJ781" i="41"/>
  <c r="AI781" i="41"/>
  <c r="AH781" i="41"/>
  <c r="AF781" i="41"/>
  <c r="L1465" i="41"/>
  <c r="AK781" i="41"/>
  <c r="AB724" i="41" a="1"/>
  <c r="AB724" i="41" s="1"/>
  <c r="S1469" i="41"/>
  <c r="I1469" i="41" s="1"/>
  <c r="AD1468" i="41"/>
  <c r="AK1467" i="41"/>
  <c r="AH1467" i="41"/>
  <c r="AF1467" i="41"/>
  <c r="AJ1467" i="41"/>
  <c r="AG1467" i="41"/>
  <c r="AI1467" i="41"/>
  <c r="X1470" i="41"/>
  <c r="W1470" i="41"/>
  <c r="P1471" i="41"/>
  <c r="U1470" i="41"/>
  <c r="AD1469" i="41" s="1"/>
  <c r="Q1471" i="41"/>
  <c r="I1468" i="41"/>
  <c r="H1468" i="41"/>
  <c r="G1468" i="41" s="1"/>
  <c r="R725" i="41"/>
  <c r="W724" i="41"/>
  <c r="X724" i="41"/>
  <c r="P725" i="41"/>
  <c r="M723" i="41"/>
  <c r="L723" i="41" s="1"/>
  <c r="O725" i="41"/>
  <c r="U724" i="41"/>
  <c r="Q725" i="41"/>
  <c r="AD722" i="41"/>
  <c r="AC722" i="41"/>
  <c r="AE782" i="41" s="1" a="1"/>
  <c r="AE782" i="41" s="1"/>
  <c r="S723" i="41"/>
  <c r="R1471" i="41"/>
  <c r="AB1468" i="41"/>
  <c r="AC1468" i="41"/>
  <c r="V1470" i="41"/>
  <c r="O1471" i="41" s="1"/>
  <c r="V1471" i="41" l="1"/>
  <c r="M1466" i="41"/>
  <c r="L1466" i="41" s="1"/>
  <c r="H1469" i="41"/>
  <c r="G1469" i="41" s="1"/>
  <c r="M1467" i="41"/>
  <c r="S1470" i="41"/>
  <c r="H1470" i="41" s="1"/>
  <c r="G1470" i="41" s="1"/>
  <c r="AC1469" i="41"/>
  <c r="AE1469" i="41" s="1"/>
  <c r="I723" i="41"/>
  <c r="H723" i="41"/>
  <c r="G723" i="41" s="1"/>
  <c r="R1472" i="41"/>
  <c r="V1472" i="41" s="1"/>
  <c r="AF782" i="41"/>
  <c r="AK782" i="41"/>
  <c r="AH782" i="41"/>
  <c r="AJ782" i="41"/>
  <c r="AG782" i="41"/>
  <c r="AI782" i="41"/>
  <c r="M724" i="41"/>
  <c r="L724" i="41" s="1"/>
  <c r="U725" i="41"/>
  <c r="Q726" i="41"/>
  <c r="AB725" i="41" a="1"/>
  <c r="AB725" i="41" s="1"/>
  <c r="AE1468" i="41"/>
  <c r="T1468" i="41"/>
  <c r="V725" i="41"/>
  <c r="O726" i="41" s="1"/>
  <c r="W1471" i="41"/>
  <c r="X1471" i="41"/>
  <c r="P1472" i="41"/>
  <c r="AC723" i="41"/>
  <c r="AE783" i="41" s="1" a="1"/>
  <c r="AE783" i="41" s="1"/>
  <c r="X725" i="41"/>
  <c r="W725" i="41"/>
  <c r="P726" i="41"/>
  <c r="S724" i="41"/>
  <c r="AD723" i="41"/>
  <c r="O1472" i="41"/>
  <c r="U1471" i="41"/>
  <c r="Q1472" i="41"/>
  <c r="R726" i="41"/>
  <c r="AB1469" i="41"/>
  <c r="I1470" i="41" l="1"/>
  <c r="V726" i="41"/>
  <c r="L1467" i="41"/>
  <c r="T1469" i="41"/>
  <c r="M725" i="41"/>
  <c r="L725" i="41" s="1"/>
  <c r="S725" i="41"/>
  <c r="I725" i="41" s="1"/>
  <c r="AC724" i="41"/>
  <c r="AE784" i="41" s="1" a="1"/>
  <c r="AE784" i="41" s="1"/>
  <c r="AK784" i="41" s="1"/>
  <c r="AD724" i="41"/>
  <c r="W726" i="41"/>
  <c r="P727" i="41"/>
  <c r="X726" i="41"/>
  <c r="O727" i="41"/>
  <c r="R727" i="41"/>
  <c r="V727" i="41" s="1"/>
  <c r="O1473" i="41"/>
  <c r="AG1468" i="41"/>
  <c r="AF1468" i="41"/>
  <c r="AI1468" i="41"/>
  <c r="AH1468" i="41"/>
  <c r="AK1468" i="41"/>
  <c r="AJ1468" i="41"/>
  <c r="U1472" i="41"/>
  <c r="AC1471" i="41" s="1"/>
  <c r="Q1473" i="41"/>
  <c r="R1473" i="41"/>
  <c r="AB1470" i="41"/>
  <c r="AG1469" i="41"/>
  <c r="AI1469" i="41"/>
  <c r="AK1469" i="41"/>
  <c r="AH1469" i="41"/>
  <c r="AF1469" i="41"/>
  <c r="AJ1469" i="41"/>
  <c r="Q727" i="41"/>
  <c r="U726" i="41"/>
  <c r="S726" i="41" s="1"/>
  <c r="I726" i="41" s="1"/>
  <c r="AB726" i="41" a="1"/>
  <c r="AB726" i="41" s="1"/>
  <c r="AJ783" i="41"/>
  <c r="AG783" i="41"/>
  <c r="AI783" i="41"/>
  <c r="AK783" i="41"/>
  <c r="AH783" i="41"/>
  <c r="AF783" i="41"/>
  <c r="W1472" i="41"/>
  <c r="X1472" i="41"/>
  <c r="P1473" i="41"/>
  <c r="S1471" i="41"/>
  <c r="AC1470" i="41"/>
  <c r="AD1470" i="41"/>
  <c r="I724" i="41"/>
  <c r="H724" i="41"/>
  <c r="G724" i="41" s="1"/>
  <c r="H725" i="41" l="1"/>
  <c r="G725" i="41" s="1"/>
  <c r="AJ784" i="41"/>
  <c r="AI784" i="41"/>
  <c r="AG784" i="41"/>
  <c r="AB1471" i="41"/>
  <c r="AD1471" i="41"/>
  <c r="AF784" i="41"/>
  <c r="AH784" i="41"/>
  <c r="M1468" i="41"/>
  <c r="L1468" i="41" s="1"/>
  <c r="M1469" i="41"/>
  <c r="W727" i="41"/>
  <c r="X727" i="41"/>
  <c r="P728" i="41"/>
  <c r="O728" i="41"/>
  <c r="U1473" i="41"/>
  <c r="Q1474" i="41"/>
  <c r="W1473" i="41"/>
  <c r="X1473" i="41"/>
  <c r="P1474" i="41"/>
  <c r="AE1470" i="41"/>
  <c r="T1470" i="41"/>
  <c r="I1471" i="41"/>
  <c r="H1471" i="41"/>
  <c r="G1471" i="41" s="1"/>
  <c r="AC725" i="41"/>
  <c r="AE785" i="41" s="1" a="1"/>
  <c r="AE785" i="41" s="1"/>
  <c r="S1472" i="41"/>
  <c r="R728" i="41"/>
  <c r="R1474" i="41"/>
  <c r="V1474" i="41" s="1"/>
  <c r="V1473" i="41"/>
  <c r="O1474" i="41" s="1"/>
  <c r="U727" i="41"/>
  <c r="Q728" i="41"/>
  <c r="H726" i="41"/>
  <c r="G726" i="41" s="1"/>
  <c r="AE1471" i="41"/>
  <c r="T1471" i="41"/>
  <c r="AD725" i="41"/>
  <c r="AB727" i="41" a="1"/>
  <c r="AB727" i="41" s="1"/>
  <c r="M726" i="41"/>
  <c r="L726" i="41" s="1"/>
  <c r="AB728" i="41" l="1" a="1"/>
  <c r="AB728" i="41" s="1"/>
  <c r="L1469" i="41"/>
  <c r="O1475" i="41"/>
  <c r="W1474" i="41"/>
  <c r="X1474" i="41"/>
  <c r="P1475" i="41"/>
  <c r="AB1472" i="41"/>
  <c r="AF1470" i="41"/>
  <c r="AH1470" i="41"/>
  <c r="AK1470" i="41"/>
  <c r="AG1470" i="41"/>
  <c r="AJ1470" i="41"/>
  <c r="AI1470" i="41"/>
  <c r="R1475" i="41"/>
  <c r="U728" i="41"/>
  <c r="AD727" i="41" s="1"/>
  <c r="Q729" i="41"/>
  <c r="AD726" i="41"/>
  <c r="S727" i="41"/>
  <c r="R729" i="41"/>
  <c r="AC726" i="41"/>
  <c r="AE786" i="41" s="1" a="1"/>
  <c r="AE786" i="41" s="1"/>
  <c r="S1473" i="41"/>
  <c r="U1474" i="41"/>
  <c r="AD1473" i="41" s="1"/>
  <c r="Q1475" i="41"/>
  <c r="AG785" i="41"/>
  <c r="AF785" i="41"/>
  <c r="AH785" i="41"/>
  <c r="AK785" i="41"/>
  <c r="AI785" i="41"/>
  <c r="AJ785" i="41"/>
  <c r="AD1472" i="41"/>
  <c r="W728" i="41"/>
  <c r="X728" i="41"/>
  <c r="P729" i="41"/>
  <c r="AH1471" i="41"/>
  <c r="AJ1471" i="41"/>
  <c r="AK1471" i="41"/>
  <c r="AG1471" i="41"/>
  <c r="AF1471" i="41"/>
  <c r="AI1471" i="41"/>
  <c r="H1472" i="41"/>
  <c r="G1472" i="41" s="1"/>
  <c r="I1472" i="41"/>
  <c r="M727" i="41"/>
  <c r="L727" i="41" s="1"/>
  <c r="O729" i="41"/>
  <c r="V728" i="41"/>
  <c r="AC1472" i="41"/>
  <c r="V729" i="41" l="1"/>
  <c r="S728" i="41"/>
  <c r="I728" i="41" s="1"/>
  <c r="AC727" i="41"/>
  <c r="AE787" i="41" s="1" a="1"/>
  <c r="AE787" i="41" s="1"/>
  <c r="AH787" i="41" s="1"/>
  <c r="AC1473" i="41"/>
  <c r="AE1473" i="41" s="1"/>
  <c r="M1471" i="41"/>
  <c r="AB1473" i="41"/>
  <c r="M1470" i="41"/>
  <c r="L1470" i="41" s="1"/>
  <c r="T1473" i="41"/>
  <c r="O730" i="41"/>
  <c r="R1476" i="41"/>
  <c r="R730" i="41"/>
  <c r="U1475" i="41"/>
  <c r="Q1476" i="41"/>
  <c r="AE1472" i="41"/>
  <c r="T1472" i="41"/>
  <c r="H728" i="41"/>
  <c r="G728" i="41" s="1"/>
  <c r="V1475" i="41"/>
  <c r="O1476" i="41" s="1"/>
  <c r="H1473" i="41"/>
  <c r="G1473" i="41" s="1"/>
  <c r="I1473" i="41"/>
  <c r="M728" i="41"/>
  <c r="L728" i="41" s="1"/>
  <c r="W1475" i="41"/>
  <c r="X1475" i="41"/>
  <c r="P1476" i="41"/>
  <c r="W729" i="41"/>
  <c r="X729" i="41"/>
  <c r="P730" i="41"/>
  <c r="AI786" i="41"/>
  <c r="AG786" i="41"/>
  <c r="AK786" i="41"/>
  <c r="AJ786" i="41"/>
  <c r="AH786" i="41"/>
  <c r="AF786" i="41"/>
  <c r="Q730" i="41"/>
  <c r="U729" i="41"/>
  <c r="AC728" i="41" s="1"/>
  <c r="AE788" i="41" s="1" a="1"/>
  <c r="AE788" i="41" s="1"/>
  <c r="AB729" i="41" a="1"/>
  <c r="AB729" i="41" s="1"/>
  <c r="I727" i="41"/>
  <c r="H727" i="41"/>
  <c r="G727" i="41" s="1"/>
  <c r="S1474" i="41"/>
  <c r="V1476" i="41" l="1"/>
  <c r="AG787" i="41"/>
  <c r="AF787" i="41"/>
  <c r="AJ787" i="41"/>
  <c r="AK787" i="41"/>
  <c r="AI787" i="41"/>
  <c r="AF788" i="41"/>
  <c r="AJ788" i="41"/>
  <c r="AK788" i="41"/>
  <c r="AG788" i="41"/>
  <c r="AI788" i="41"/>
  <c r="AH788" i="41"/>
  <c r="W1476" i="41"/>
  <c r="X1476" i="41"/>
  <c r="P1477" i="41"/>
  <c r="O1477" i="41"/>
  <c r="AB1474" i="41"/>
  <c r="R731" i="41"/>
  <c r="U730" i="41"/>
  <c r="Q731" i="41"/>
  <c r="AB730" i="41" a="1"/>
  <c r="AB730" i="41" s="1"/>
  <c r="V730" i="41"/>
  <c r="O731" i="41" s="1"/>
  <c r="U1476" i="41"/>
  <c r="AC1475" i="41" s="1"/>
  <c r="Q1477" i="41"/>
  <c r="R1477" i="41"/>
  <c r="AG1473" i="41"/>
  <c r="AK1473" i="41"/>
  <c r="AJ1473" i="41"/>
  <c r="AH1473" i="41"/>
  <c r="AF1473" i="41"/>
  <c r="AI1473" i="41"/>
  <c r="AD728" i="41"/>
  <c r="AD1474" i="41"/>
  <c r="W730" i="41"/>
  <c r="X730" i="41"/>
  <c r="P731" i="41"/>
  <c r="AK1472" i="41"/>
  <c r="AG1472" i="41"/>
  <c r="AF1472" i="41"/>
  <c r="AJ1472" i="41"/>
  <c r="AI1472" i="41"/>
  <c r="AH1472" i="41"/>
  <c r="H1474" i="41"/>
  <c r="G1474" i="41" s="1"/>
  <c r="I1474" i="41"/>
  <c r="M729" i="41"/>
  <c r="L729" i="41" s="1"/>
  <c r="AC1474" i="41"/>
  <c r="S1475" i="41"/>
  <c r="S729" i="41"/>
  <c r="L1471" i="41"/>
  <c r="AD1475" i="41" l="1"/>
  <c r="V731" i="41"/>
  <c r="M1472" i="41"/>
  <c r="L1472" i="41" s="1"/>
  <c r="AB1475" i="41"/>
  <c r="M1473" i="41"/>
  <c r="R732" i="41"/>
  <c r="V732" i="41" s="1"/>
  <c r="AE1474" i="41"/>
  <c r="T1474" i="41"/>
  <c r="R1478" i="41"/>
  <c r="M730" i="41"/>
  <c r="L730" i="41" s="1"/>
  <c r="O732" i="41"/>
  <c r="U1477" i="41"/>
  <c r="AC1476" i="41" s="1"/>
  <c r="Q1478" i="41"/>
  <c r="AE1475" i="41"/>
  <c r="T1475" i="41"/>
  <c r="I1475" i="41"/>
  <c r="H1475" i="41"/>
  <c r="G1475" i="41" s="1"/>
  <c r="AB731" i="41" a="1"/>
  <c r="AB731" i="41" s="1"/>
  <c r="V1477" i="41"/>
  <c r="O1478" i="41" s="1"/>
  <c r="U731" i="41"/>
  <c r="Q732" i="41"/>
  <c r="S730" i="41"/>
  <c r="AC729" i="41"/>
  <c r="AE789" i="41" s="1" a="1"/>
  <c r="AE789" i="41" s="1"/>
  <c r="W731" i="41"/>
  <c r="X731" i="41"/>
  <c r="P732" i="41"/>
  <c r="AD729" i="41"/>
  <c r="I729" i="41"/>
  <c r="H729" i="41"/>
  <c r="G729" i="41" s="1"/>
  <c r="W1477" i="41"/>
  <c r="X1477" i="41"/>
  <c r="P1478" i="41"/>
  <c r="S1476" i="41"/>
  <c r="L1473" i="41" l="1"/>
  <c r="AD1476" i="41"/>
  <c r="S731" i="41"/>
  <c r="I731" i="41" s="1"/>
  <c r="AD730" i="41"/>
  <c r="S1477" i="41"/>
  <c r="I1477" i="41" s="1"/>
  <c r="W1478" i="41"/>
  <c r="X1478" i="41"/>
  <c r="P1479" i="41"/>
  <c r="W732" i="41"/>
  <c r="X732" i="41"/>
  <c r="P733" i="41"/>
  <c r="R733" i="41"/>
  <c r="I1476" i="41"/>
  <c r="H1476" i="41"/>
  <c r="G1476" i="41" s="1"/>
  <c r="U1478" i="41"/>
  <c r="AB1477" i="41" s="1"/>
  <c r="Q1479" i="41"/>
  <c r="AE1476" i="41"/>
  <c r="T1476" i="41"/>
  <c r="AG1475" i="41"/>
  <c r="AK1475" i="41"/>
  <c r="AF1475" i="41"/>
  <c r="AJ1475" i="41"/>
  <c r="AI1475" i="41"/>
  <c r="AH1475" i="41"/>
  <c r="AI1474" i="41"/>
  <c r="AJ1474" i="41"/>
  <c r="AH1474" i="41"/>
  <c r="AG1474" i="41"/>
  <c r="AK1474" i="41"/>
  <c r="AF1474" i="41"/>
  <c r="R1479" i="41"/>
  <c r="AB1476" i="41"/>
  <c r="U732" i="41"/>
  <c r="Q733" i="41"/>
  <c r="M731" i="41"/>
  <c r="L731" i="41" s="1"/>
  <c r="O733" i="41"/>
  <c r="AB732" i="41" a="1"/>
  <c r="AB732" i="41" s="1"/>
  <c r="AH789" i="41"/>
  <c r="AI789" i="41"/>
  <c r="AK789" i="41"/>
  <c r="AJ789" i="41"/>
  <c r="AF789" i="41"/>
  <c r="AG789" i="41"/>
  <c r="V1478" i="41"/>
  <c r="O1479" i="41" s="1"/>
  <c r="I730" i="41"/>
  <c r="H730" i="41"/>
  <c r="G730" i="41" s="1"/>
  <c r="AC730" i="41"/>
  <c r="AE790" i="41" s="1" a="1"/>
  <c r="AE790" i="41" s="1"/>
  <c r="H731" i="41" l="1"/>
  <c r="G731" i="41" s="1"/>
  <c r="S732" i="41"/>
  <c r="I732" i="41" s="1"/>
  <c r="V1479" i="41"/>
  <c r="H1477" i="41"/>
  <c r="G1477" i="41" s="1"/>
  <c r="S1478" i="41"/>
  <c r="H1478" i="41" s="1"/>
  <c r="G1478" i="41" s="1"/>
  <c r="AB733" i="41" a="1"/>
  <c r="AB733" i="41" s="1"/>
  <c r="M1474" i="41"/>
  <c r="L1474" i="41" s="1"/>
  <c r="M1475" i="41"/>
  <c r="AC731" i="41"/>
  <c r="AE791" i="41" s="1" a="1"/>
  <c r="AE791" i="41" s="1"/>
  <c r="AG791" i="41" s="1"/>
  <c r="AD731" i="41"/>
  <c r="Q734" i="41"/>
  <c r="U733" i="41"/>
  <c r="AC732" i="41" s="1"/>
  <c r="AE792" i="41" s="1" a="1"/>
  <c r="AE792" i="41" s="1"/>
  <c r="R734" i="41"/>
  <c r="H732" i="41"/>
  <c r="G732" i="41" s="1"/>
  <c r="AJ1476" i="41"/>
  <c r="AF1476" i="41"/>
  <c r="AI1476" i="41"/>
  <c r="AK1476" i="41"/>
  <c r="AH1476" i="41"/>
  <c r="AG1476" i="41"/>
  <c r="M732" i="41"/>
  <c r="L732" i="41" s="1"/>
  <c r="W733" i="41"/>
  <c r="X733" i="41"/>
  <c r="P734" i="41"/>
  <c r="O1480" i="41"/>
  <c r="R1480" i="41"/>
  <c r="V733" i="41"/>
  <c r="O734" i="41" s="1"/>
  <c r="W1479" i="41"/>
  <c r="X1479" i="41"/>
  <c r="P1480" i="41"/>
  <c r="I1478" i="41"/>
  <c r="AD1477" i="41"/>
  <c r="AC1477" i="41"/>
  <c r="AJ790" i="41"/>
  <c r="AI790" i="41"/>
  <c r="AF790" i="41"/>
  <c r="AK790" i="41"/>
  <c r="AG790" i="41"/>
  <c r="AH790" i="41"/>
  <c r="U1479" i="41"/>
  <c r="AC1478" i="41" s="1"/>
  <c r="Q1480" i="41"/>
  <c r="AB1478" i="41" l="1"/>
  <c r="L1475" i="41"/>
  <c r="AF791" i="41"/>
  <c r="M1476" i="41"/>
  <c r="AJ791" i="41"/>
  <c r="AH791" i="41"/>
  <c r="AK791" i="41"/>
  <c r="AI791" i="41"/>
  <c r="AD732" i="41"/>
  <c r="AD1478" i="41"/>
  <c r="W734" i="41"/>
  <c r="X734" i="41"/>
  <c r="P735" i="41"/>
  <c r="M733" i="41"/>
  <c r="L733" i="41" s="1"/>
  <c r="AE1478" i="41"/>
  <c r="T1478" i="41"/>
  <c r="AE1477" i="41"/>
  <c r="T1477" i="41"/>
  <c r="U734" i="41"/>
  <c r="AD733" i="41" s="1"/>
  <c r="Q735" i="41"/>
  <c r="R735" i="41"/>
  <c r="AB734" i="41" a="1"/>
  <c r="AB734" i="41" s="1"/>
  <c r="AF792" i="41"/>
  <c r="AG792" i="41"/>
  <c r="AK792" i="41"/>
  <c r="AJ792" i="41"/>
  <c r="AH792" i="41"/>
  <c r="AI792" i="41"/>
  <c r="U1480" i="41"/>
  <c r="AD1479" i="41" s="1"/>
  <c r="Q1481" i="41"/>
  <c r="V1480" i="41"/>
  <c r="O1481" i="41" s="1"/>
  <c r="W1480" i="41"/>
  <c r="X1480" i="41"/>
  <c r="P1481" i="41"/>
  <c r="S1479" i="41"/>
  <c r="R1481" i="41"/>
  <c r="V734" i="41"/>
  <c r="O735" i="41" s="1"/>
  <c r="S733" i="41"/>
  <c r="V735" i="41" l="1"/>
  <c r="AC1479" i="41"/>
  <c r="AE1479" i="41" s="1"/>
  <c r="AB1479" i="41"/>
  <c r="L1476" i="41"/>
  <c r="S1480" i="41"/>
  <c r="H1480" i="41"/>
  <c r="G1480" i="41" s="1"/>
  <c r="I1480" i="41"/>
  <c r="W1481" i="41"/>
  <c r="X1481" i="41"/>
  <c r="P1482" i="41"/>
  <c r="I733" i="41"/>
  <c r="H733" i="41"/>
  <c r="G733" i="41" s="1"/>
  <c r="Q1482" i="41"/>
  <c r="U1481" i="41"/>
  <c r="AD1480" i="41" s="1"/>
  <c r="AH1477" i="41"/>
  <c r="AJ1477" i="41"/>
  <c r="AI1477" i="41"/>
  <c r="AF1477" i="41"/>
  <c r="AG1477" i="41"/>
  <c r="AK1477" i="41"/>
  <c r="AC733" i="41"/>
  <c r="AE793" i="41" s="1" a="1"/>
  <c r="AE793" i="41" s="1"/>
  <c r="AK1478" i="41"/>
  <c r="AJ1478" i="41"/>
  <c r="AF1478" i="41"/>
  <c r="AH1478" i="41"/>
  <c r="AG1478" i="41"/>
  <c r="AI1478" i="41"/>
  <c r="V1481" i="41"/>
  <c r="O1482" i="41"/>
  <c r="I1479" i="41"/>
  <c r="H1479" i="41"/>
  <c r="G1479" i="41" s="1"/>
  <c r="W735" i="41"/>
  <c r="P736" i="41"/>
  <c r="X735" i="41"/>
  <c r="R736" i="41"/>
  <c r="V736" i="41" s="1"/>
  <c r="S734" i="41"/>
  <c r="M734" i="41"/>
  <c r="L734" i="41" s="1"/>
  <c r="U735" i="41"/>
  <c r="Q736" i="41"/>
  <c r="R1482" i="41"/>
  <c r="AB735" i="41" a="1"/>
  <c r="AB735" i="41" s="1"/>
  <c r="O736" i="41"/>
  <c r="V1482" i="41" l="1"/>
  <c r="T1479" i="41"/>
  <c r="M1477" i="41"/>
  <c r="L1477" i="41" s="1"/>
  <c r="M1478" i="41"/>
  <c r="M735" i="41"/>
  <c r="L735" i="41" s="1"/>
  <c r="S1481" i="41"/>
  <c r="I1481" i="41" s="1"/>
  <c r="AC1480" i="41"/>
  <c r="AE1480" i="41" s="1"/>
  <c r="O737" i="41"/>
  <c r="W1482" i="41"/>
  <c r="X1482" i="41"/>
  <c r="P1483" i="41"/>
  <c r="AF793" i="41"/>
  <c r="AH793" i="41"/>
  <c r="AI793" i="41"/>
  <c r="AJ793" i="41"/>
  <c r="AG793" i="41"/>
  <c r="AK793" i="41"/>
  <c r="R1483" i="41"/>
  <c r="AI1479" i="41"/>
  <c r="AH1479" i="41"/>
  <c r="AJ1479" i="41"/>
  <c r="AK1479" i="41"/>
  <c r="AG1479" i="41"/>
  <c r="AF1479" i="41"/>
  <c r="U736" i="41"/>
  <c r="AD735" i="41" s="1"/>
  <c r="Q737" i="41"/>
  <c r="AD734" i="41"/>
  <c r="O1483" i="41"/>
  <c r="I734" i="41"/>
  <c r="H734" i="41"/>
  <c r="G734" i="41" s="1"/>
  <c r="W736" i="41"/>
  <c r="X736" i="41"/>
  <c r="P737" i="41"/>
  <c r="S735" i="41"/>
  <c r="AB736" i="41" a="1"/>
  <c r="AB736" i="41" s="1"/>
  <c r="AC734" i="41"/>
  <c r="AE794" i="41" s="1" a="1"/>
  <c r="AE794" i="41" s="1"/>
  <c r="U1482" i="41"/>
  <c r="S1482" i="41" s="1"/>
  <c r="H1482" i="41" s="1"/>
  <c r="G1482" i="41" s="1"/>
  <c r="Q1483" i="41"/>
  <c r="R737" i="41"/>
  <c r="AB1480" i="41"/>
  <c r="V1483" i="41" l="1"/>
  <c r="H1481" i="41"/>
  <c r="G1481" i="41" s="1"/>
  <c r="L1478" i="41"/>
  <c r="AC735" i="41"/>
  <c r="AE795" i="41" s="1" a="1"/>
  <c r="AE795" i="41" s="1"/>
  <c r="AF795" i="41" s="1"/>
  <c r="AD1481" i="41"/>
  <c r="T1480" i="41"/>
  <c r="AB737" i="41" a="1"/>
  <c r="AB737" i="41" s="1"/>
  <c r="M1479" i="41"/>
  <c r="W1483" i="41"/>
  <c r="X1483" i="41"/>
  <c r="P1484" i="41"/>
  <c r="R1484" i="41"/>
  <c r="AK794" i="41"/>
  <c r="AF794" i="41"/>
  <c r="AI794" i="41"/>
  <c r="AJ794" i="41"/>
  <c r="AH794" i="41"/>
  <c r="AG794" i="41"/>
  <c r="Q738" i="41"/>
  <c r="U737" i="41"/>
  <c r="AD736" i="41" s="1"/>
  <c r="Q1484" i="41"/>
  <c r="U1483" i="41"/>
  <c r="S1483" i="41" s="1"/>
  <c r="I1482" i="41"/>
  <c r="V737" i="41"/>
  <c r="O738" i="41" s="1"/>
  <c r="I735" i="41"/>
  <c r="H735" i="41"/>
  <c r="G735" i="41" s="1"/>
  <c r="R738" i="41"/>
  <c r="O1484" i="41"/>
  <c r="W737" i="41"/>
  <c r="X737" i="41"/>
  <c r="P738" i="41"/>
  <c r="AB1481" i="41"/>
  <c r="AI1480" i="41"/>
  <c r="AJ1480" i="41"/>
  <c r="AK1480" i="41"/>
  <c r="AH1480" i="41"/>
  <c r="AG1480" i="41"/>
  <c r="AF1480" i="41"/>
  <c r="AC1481" i="41"/>
  <c r="M736" i="41"/>
  <c r="L736" i="41" s="1"/>
  <c r="S736" i="41"/>
  <c r="S737" i="41" s="1"/>
  <c r="I737" i="41" s="1"/>
  <c r="AC736" i="41" l="1"/>
  <c r="AE796" i="41" s="1" a="1"/>
  <c r="AE796" i="41" s="1"/>
  <c r="AF796" i="41" s="1"/>
  <c r="L1479" i="41"/>
  <c r="M1480" i="41"/>
  <c r="AH795" i="41"/>
  <c r="AK795" i="41"/>
  <c r="AJ795" i="41"/>
  <c r="AG795" i="41"/>
  <c r="AI795" i="41"/>
  <c r="AB1482" i="41"/>
  <c r="AB738" i="41" a="1"/>
  <c r="AB738" i="41" s="1"/>
  <c r="I1483" i="41"/>
  <c r="H1483" i="41"/>
  <c r="G1483" i="41" s="1"/>
  <c r="I736" i="41"/>
  <c r="H736" i="41"/>
  <c r="G736" i="41" s="1"/>
  <c r="U1484" i="41"/>
  <c r="S1484" i="41" s="1"/>
  <c r="I1484" i="41" s="1"/>
  <c r="Q1485" i="41"/>
  <c r="H737" i="41"/>
  <c r="G737" i="41" s="1"/>
  <c r="AD1482" i="41"/>
  <c r="V1484" i="41"/>
  <c r="R1485" i="41"/>
  <c r="W1484" i="41"/>
  <c r="X1484" i="41"/>
  <c r="P1485" i="41"/>
  <c r="U738" i="41"/>
  <c r="S738" i="41" s="1"/>
  <c r="I738" i="41" s="1"/>
  <c r="Q739" i="41"/>
  <c r="AE1481" i="41"/>
  <c r="T1481" i="41"/>
  <c r="W738" i="41"/>
  <c r="X738" i="41"/>
  <c r="P739" i="41"/>
  <c r="M737" i="41"/>
  <c r="L737" i="41" s="1"/>
  <c r="V738" i="41"/>
  <c r="O739" i="41" s="1"/>
  <c r="R739" i="41"/>
  <c r="AC1482" i="41"/>
  <c r="O1485" i="41"/>
  <c r="L1480" i="41" l="1"/>
  <c r="V1485" i="41"/>
  <c r="O1486" i="41" s="1"/>
  <c r="AK796" i="41"/>
  <c r="AI796" i="41"/>
  <c r="AG796" i="41"/>
  <c r="AH796" i="41"/>
  <c r="AJ796" i="41"/>
  <c r="AC737" i="41"/>
  <c r="AE797" i="41" s="1" a="1"/>
  <c r="AE797" i="41" s="1"/>
  <c r="AF797" i="41" s="1"/>
  <c r="AD737" i="41"/>
  <c r="W739" i="41"/>
  <c r="X739" i="41"/>
  <c r="P740" i="41"/>
  <c r="AB1483" i="41"/>
  <c r="AC1483" i="41"/>
  <c r="H1484" i="41"/>
  <c r="G1484" i="41" s="1"/>
  <c r="M738" i="41"/>
  <c r="L738" i="41" s="1"/>
  <c r="AB739" i="41" a="1"/>
  <c r="AB739" i="41" s="1"/>
  <c r="AD1483" i="41"/>
  <c r="U739" i="41"/>
  <c r="AC738" i="41" s="1"/>
  <c r="AE798" i="41" s="1" a="1"/>
  <c r="AE798" i="41" s="1"/>
  <c r="Q740" i="41"/>
  <c r="AG1481" i="41"/>
  <c r="AJ1481" i="41"/>
  <c r="AI1481" i="41"/>
  <c r="AF1481" i="41"/>
  <c r="AH1481" i="41"/>
  <c r="AK1481" i="41"/>
  <c r="W1485" i="41"/>
  <c r="X1485" i="41"/>
  <c r="P1486" i="41"/>
  <c r="AE1482" i="41"/>
  <c r="T1482" i="41"/>
  <c r="V739" i="41"/>
  <c r="O740" i="41" s="1"/>
  <c r="R1486" i="41"/>
  <c r="R740" i="41"/>
  <c r="U1485" i="41"/>
  <c r="AD1484" i="41" s="1"/>
  <c r="Q1486" i="41"/>
  <c r="H738" i="41"/>
  <c r="G738" i="41" s="1"/>
  <c r="AK797" i="41" l="1"/>
  <c r="AI797" i="41"/>
  <c r="AJ797" i="41"/>
  <c r="AB740" i="41" a="1"/>
  <c r="AB740" i="41" s="1"/>
  <c r="S1485" i="41"/>
  <c r="AC1484" i="41"/>
  <c r="AE1484" i="41" s="1"/>
  <c r="S739" i="41"/>
  <c r="I739" i="41" s="1"/>
  <c r="M1481" i="41"/>
  <c r="L1481" i="41" s="1"/>
  <c r="AD738" i="41"/>
  <c r="AG797" i="41"/>
  <c r="AH797" i="41"/>
  <c r="U740" i="41"/>
  <c r="Q741" i="41"/>
  <c r="AI798" i="41"/>
  <c r="AK798" i="41"/>
  <c r="AG798" i="41"/>
  <c r="AH798" i="41"/>
  <c r="AF798" i="41"/>
  <c r="AJ798" i="41"/>
  <c r="R741" i="41"/>
  <c r="W740" i="41"/>
  <c r="X740" i="41"/>
  <c r="P741" i="41"/>
  <c r="H739" i="41"/>
  <c r="G739" i="41" s="1"/>
  <c r="U1486" i="41"/>
  <c r="AC1485" i="41" s="1"/>
  <c r="Q1487" i="41"/>
  <c r="AE1483" i="41"/>
  <c r="T1483" i="41"/>
  <c r="AK1482" i="41"/>
  <c r="AJ1482" i="41"/>
  <c r="AF1482" i="41"/>
  <c r="AI1482" i="41"/>
  <c r="AG1482" i="41"/>
  <c r="AH1482" i="41"/>
  <c r="R1487" i="41"/>
  <c r="M739" i="41"/>
  <c r="L739" i="41" s="1"/>
  <c r="W1486" i="41"/>
  <c r="X1486" i="41"/>
  <c r="P1487" i="41"/>
  <c r="O1487" i="41"/>
  <c r="V740" i="41"/>
  <c r="O741" i="41" s="1"/>
  <c r="V1486" i="41"/>
  <c r="AB1484" i="41"/>
  <c r="S740" i="41" l="1"/>
  <c r="I740" i="41" s="1"/>
  <c r="AC739" i="41"/>
  <c r="AE799" i="41" s="1" a="1"/>
  <c r="AE799" i="41" s="1"/>
  <c r="AH799" i="41" s="1"/>
  <c r="T1484" i="41"/>
  <c r="AD739" i="41"/>
  <c r="M1482" i="41"/>
  <c r="L1482" i="41" s="1"/>
  <c r="AD1485" i="41"/>
  <c r="I1485" i="41"/>
  <c r="H1485" i="41"/>
  <c r="G1485" i="41" s="1"/>
  <c r="AE1485" i="41"/>
  <c r="T1485" i="41"/>
  <c r="Q1488" i="41"/>
  <c r="U1487" i="41"/>
  <c r="AB1486" i="41" s="1"/>
  <c r="O1488" i="41"/>
  <c r="AB1485" i="41"/>
  <c r="V1487" i="41"/>
  <c r="R742" i="41"/>
  <c r="AK1483" i="41"/>
  <c r="AH1483" i="41"/>
  <c r="AJ1483" i="41"/>
  <c r="AG1483" i="41"/>
  <c r="AF1483" i="41"/>
  <c r="AI1483" i="41"/>
  <c r="AI1484" i="41"/>
  <c r="AJ1484" i="41"/>
  <c r="AG1484" i="41"/>
  <c r="AK1484" i="41"/>
  <c r="AH1484" i="41"/>
  <c r="AF1484" i="41"/>
  <c r="AG799" i="41"/>
  <c r="AK799" i="41"/>
  <c r="AJ799" i="41"/>
  <c r="S1486" i="41"/>
  <c r="M740" i="41"/>
  <c r="L740" i="41" s="1"/>
  <c r="W741" i="41"/>
  <c r="X741" i="41"/>
  <c r="P742" i="41"/>
  <c r="R1488" i="41"/>
  <c r="H740" i="41"/>
  <c r="G740" i="41" s="1"/>
  <c r="U741" i="41"/>
  <c r="Q742" i="41"/>
  <c r="AB741" i="41" a="1"/>
  <c r="AB741" i="41" s="1"/>
  <c r="X1487" i="41"/>
  <c r="W1487" i="41"/>
  <c r="P1488" i="41"/>
  <c r="V741" i="41"/>
  <c r="O742" i="41" s="1"/>
  <c r="AF799" i="41" l="1"/>
  <c r="V742" i="41"/>
  <c r="AI799" i="41"/>
  <c r="M1483" i="41"/>
  <c r="L1483" i="41" s="1"/>
  <c r="AC1486" i="41"/>
  <c r="AE1486" i="41" s="1"/>
  <c r="S1487" i="41"/>
  <c r="I1487" i="41" s="1"/>
  <c r="M1484" i="41"/>
  <c r="AD1486" i="41"/>
  <c r="W742" i="41"/>
  <c r="X742" i="41"/>
  <c r="P743" i="41"/>
  <c r="W1488" i="41"/>
  <c r="P1489" i="41"/>
  <c r="X1488" i="41"/>
  <c r="R743" i="41"/>
  <c r="I1486" i="41"/>
  <c r="H1486" i="41"/>
  <c r="G1486" i="41" s="1"/>
  <c r="R1489" i="41"/>
  <c r="AC740" i="41"/>
  <c r="AE800" i="41" s="1" a="1"/>
  <c r="AE800" i="41" s="1"/>
  <c r="U1488" i="41"/>
  <c r="AC1487" i="41" s="1"/>
  <c r="Q1489" i="41"/>
  <c r="V1488" i="41"/>
  <c r="O1489" i="41" s="1"/>
  <c r="T1486" i="41"/>
  <c r="AD740" i="41"/>
  <c r="M741" i="41"/>
  <c r="L741" i="41" s="1"/>
  <c r="U742" i="41"/>
  <c r="AD741" i="41" s="1"/>
  <c r="Q743" i="41"/>
  <c r="O743" i="41"/>
  <c r="S741" i="41"/>
  <c r="AB742" i="41" a="1"/>
  <c r="AB742" i="41" s="1"/>
  <c r="AG1485" i="41"/>
  <c r="AF1485" i="41"/>
  <c r="AH1485" i="41"/>
  <c r="AJ1485" i="41"/>
  <c r="AI1485" i="41"/>
  <c r="AK1485" i="41"/>
  <c r="H1487" i="41" l="1"/>
  <c r="G1487" i="41" s="1"/>
  <c r="L1484" i="41"/>
  <c r="M1485" i="41"/>
  <c r="S742" i="41"/>
  <c r="H742" i="41" s="1"/>
  <c r="G742" i="41" s="1"/>
  <c r="AD1487" i="41"/>
  <c r="W1489" i="41"/>
  <c r="X1489" i="41"/>
  <c r="P1490" i="41"/>
  <c r="U1489" i="41"/>
  <c r="Q1490" i="41"/>
  <c r="AG1486" i="41"/>
  <c r="AI1486" i="41"/>
  <c r="AH1486" i="41"/>
  <c r="AJ1486" i="41"/>
  <c r="AF1486" i="41"/>
  <c r="AK1486" i="41"/>
  <c r="R1490" i="41"/>
  <c r="W743" i="41"/>
  <c r="X743" i="41"/>
  <c r="P744" i="41"/>
  <c r="R744" i="41"/>
  <c r="AB743" i="41" a="1"/>
  <c r="AB743" i="41" s="1"/>
  <c r="AE1487" i="41"/>
  <c r="T1487" i="41"/>
  <c r="I741" i="41"/>
  <c r="H741" i="41"/>
  <c r="G741" i="41" s="1"/>
  <c r="V1489" i="41"/>
  <c r="O1490" i="41" s="1"/>
  <c r="U743" i="41"/>
  <c r="S743" i="41" s="1"/>
  <c r="Q744" i="41"/>
  <c r="AB1487" i="41"/>
  <c r="S1488" i="41"/>
  <c r="M742" i="41"/>
  <c r="L742" i="41" s="1"/>
  <c r="AC741" i="41"/>
  <c r="AE801" i="41" s="1" a="1"/>
  <c r="AE801" i="41" s="1"/>
  <c r="V743" i="41"/>
  <c r="O744" i="41" s="1"/>
  <c r="AG800" i="41"/>
  <c r="AH800" i="41"/>
  <c r="AJ800" i="41"/>
  <c r="AF800" i="41"/>
  <c r="AI800" i="41"/>
  <c r="AK800" i="41"/>
  <c r="I742" i="41" l="1"/>
  <c r="V744" i="41"/>
  <c r="V1490" i="41"/>
  <c r="L1485" i="41"/>
  <c r="M1486" i="41"/>
  <c r="W744" i="41"/>
  <c r="X744" i="41"/>
  <c r="P745" i="41"/>
  <c r="I743" i="41"/>
  <c r="H743" i="41"/>
  <c r="G743" i="41" s="1"/>
  <c r="O1491" i="41"/>
  <c r="AB1488" i="41"/>
  <c r="AH801" i="41"/>
  <c r="AK801" i="41"/>
  <c r="AJ801" i="41"/>
  <c r="AF801" i="41"/>
  <c r="AI801" i="41"/>
  <c r="AG801" i="41"/>
  <c r="R745" i="41"/>
  <c r="M743" i="41"/>
  <c r="L743" i="41" s="1"/>
  <c r="W1490" i="41"/>
  <c r="X1490" i="41"/>
  <c r="P1491" i="41"/>
  <c r="U1490" i="41"/>
  <c r="AB1489" i="41" s="1"/>
  <c r="Q1491" i="41"/>
  <c r="I1488" i="41"/>
  <c r="H1488" i="41"/>
  <c r="G1488" i="41" s="1"/>
  <c r="R1491" i="41"/>
  <c r="AD742" i="41"/>
  <c r="AD1488" i="41"/>
  <c r="AC742" i="41"/>
  <c r="AE802" i="41" s="1" a="1"/>
  <c r="AE802" i="41" s="1"/>
  <c r="S1489" i="41"/>
  <c r="AF1487" i="41"/>
  <c r="AI1487" i="41"/>
  <c r="AH1487" i="41"/>
  <c r="AJ1487" i="41"/>
  <c r="AK1487" i="41"/>
  <c r="AG1487" i="41"/>
  <c r="AC1488" i="41"/>
  <c r="Q745" i="41"/>
  <c r="AB745" i="41" s="1" a="1"/>
  <c r="AB745" i="41" s="1"/>
  <c r="U744" i="41"/>
  <c r="AD743" i="41" s="1"/>
  <c r="O745" i="41"/>
  <c r="AB744" i="41" a="1"/>
  <c r="AB744" i="41" s="1"/>
  <c r="L1486" i="41" l="1"/>
  <c r="S744" i="41"/>
  <c r="I744" i="41" s="1"/>
  <c r="AD1489" i="41"/>
  <c r="AC1489" i="41"/>
  <c r="AE1489" i="41" s="1"/>
  <c r="S1490" i="41"/>
  <c r="I1490" i="41" s="1"/>
  <c r="H1490" i="41"/>
  <c r="G1490" i="41" s="1"/>
  <c r="M1487" i="41"/>
  <c r="AE1488" i="41"/>
  <c r="T1488" i="41"/>
  <c r="W1491" i="41"/>
  <c r="X1491" i="41"/>
  <c r="P1492" i="41"/>
  <c r="U1491" i="41"/>
  <c r="AD1490" i="41" s="1"/>
  <c r="Q1492" i="41"/>
  <c r="R746" i="41"/>
  <c r="H1489" i="41"/>
  <c r="G1489" i="41" s="1"/>
  <c r="I1489" i="41"/>
  <c r="R1492" i="41"/>
  <c r="H744" i="41"/>
  <c r="G744" i="41" s="1"/>
  <c r="AG802" i="41"/>
  <c r="AK802" i="41"/>
  <c r="AH802" i="41"/>
  <c r="AF802" i="41"/>
  <c r="AI802" i="41"/>
  <c r="AJ802" i="41"/>
  <c r="U745" i="41"/>
  <c r="AD744" i="41" s="1"/>
  <c r="Q746" i="41"/>
  <c r="W745" i="41"/>
  <c r="X745" i="41"/>
  <c r="P746" i="41"/>
  <c r="V1491" i="41"/>
  <c r="O1492" i="41" s="1"/>
  <c r="V745" i="41"/>
  <c r="O746" i="41" s="1"/>
  <c r="AC743" i="41"/>
  <c r="AE803" i="41" s="1" a="1"/>
  <c r="AE803" i="41" s="1"/>
  <c r="M744" i="41"/>
  <c r="L744" i="41" s="1"/>
  <c r="L1487" i="41" l="1"/>
  <c r="T1489" i="41"/>
  <c r="AB746" i="41" a="1"/>
  <c r="AB746" i="41" s="1"/>
  <c r="S745" i="41"/>
  <c r="I745" i="41" s="1"/>
  <c r="AC744" i="41"/>
  <c r="AE804" i="41" s="1" a="1"/>
  <c r="AE804" i="41" s="1"/>
  <c r="AF804" i="41" s="1"/>
  <c r="AB1490" i="41"/>
  <c r="AC1490" i="41"/>
  <c r="AE1490" i="41" s="1"/>
  <c r="S1491" i="41"/>
  <c r="I1491" i="41" s="1"/>
  <c r="W1492" i="41"/>
  <c r="X1492" i="41"/>
  <c r="P1493" i="41"/>
  <c r="AI803" i="41"/>
  <c r="AJ803" i="41"/>
  <c r="AG803" i="41"/>
  <c r="AF803" i="41"/>
  <c r="AH803" i="41"/>
  <c r="AK803" i="41"/>
  <c r="U1492" i="41"/>
  <c r="AC1491" i="41" s="1"/>
  <c r="Q1493" i="41"/>
  <c r="AK1489" i="41"/>
  <c r="AF1489" i="41"/>
  <c r="AH1489" i="41"/>
  <c r="AI1489" i="41"/>
  <c r="AG1489" i="41"/>
  <c r="AJ1489" i="41"/>
  <c r="W746" i="41"/>
  <c r="X746" i="41"/>
  <c r="P747" i="41"/>
  <c r="R747" i="41"/>
  <c r="V747" i="41" s="1"/>
  <c r="H745" i="41"/>
  <c r="G745" i="41" s="1"/>
  <c r="M745" i="41"/>
  <c r="L745" i="41" s="1"/>
  <c r="O747" i="41"/>
  <c r="AG1488" i="41"/>
  <c r="AI1488" i="41"/>
  <c r="AH1488" i="41"/>
  <c r="AK1488" i="41"/>
  <c r="AJ1488" i="41"/>
  <c r="AF1488" i="41"/>
  <c r="V1492" i="41"/>
  <c r="R1493" i="41"/>
  <c r="U746" i="41"/>
  <c r="AD745" i="41" s="1"/>
  <c r="Q747" i="41"/>
  <c r="O1493" i="41"/>
  <c r="V746" i="41"/>
  <c r="AB747" i="41" l="1" a="1"/>
  <c r="AB747" i="41" s="1"/>
  <c r="AK804" i="41"/>
  <c r="AH804" i="41"/>
  <c r="T1490" i="41"/>
  <c r="H1491" i="41"/>
  <c r="G1491" i="41" s="1"/>
  <c r="AB1491" i="41"/>
  <c r="S1492" i="41"/>
  <c r="I1492" i="41" s="1"/>
  <c r="AG804" i="41"/>
  <c r="AJ804" i="41"/>
  <c r="AD1491" i="41"/>
  <c r="AI804" i="41"/>
  <c r="S746" i="41"/>
  <c r="I746" i="41" s="1"/>
  <c r="M1488" i="41"/>
  <c r="L1488" i="41" s="1"/>
  <c r="M1489" i="41"/>
  <c r="U1493" i="41"/>
  <c r="AD1492" i="41" s="1"/>
  <c r="Q1494" i="41"/>
  <c r="AK1490" i="41"/>
  <c r="AI1490" i="41"/>
  <c r="AG1490" i="41"/>
  <c r="AH1490" i="41"/>
  <c r="AJ1490" i="41"/>
  <c r="AF1490" i="41"/>
  <c r="R1494" i="41"/>
  <c r="V1494" i="41" s="1"/>
  <c r="W1493" i="41"/>
  <c r="X1493" i="41"/>
  <c r="P1494" i="41"/>
  <c r="O748" i="41"/>
  <c r="W747" i="41"/>
  <c r="X747" i="41"/>
  <c r="P748" i="41"/>
  <c r="R748" i="41"/>
  <c r="V748" i="41" s="1"/>
  <c r="H1492" i="41"/>
  <c r="G1492" i="41" s="1"/>
  <c r="M746" i="41"/>
  <c r="L746" i="41" s="1"/>
  <c r="U747" i="41"/>
  <c r="AD746" i="41" s="1"/>
  <c r="Q748" i="41"/>
  <c r="AC745" i="41"/>
  <c r="AE805" i="41" s="1" a="1"/>
  <c r="AE805" i="41" s="1"/>
  <c r="AE1491" i="41"/>
  <c r="T1491" i="41"/>
  <c r="V1493" i="41"/>
  <c r="O1494" i="41" s="1"/>
  <c r="S1493" i="41" l="1"/>
  <c r="H1493" i="41" s="1"/>
  <c r="G1493" i="41" s="1"/>
  <c r="H746" i="41"/>
  <c r="G746" i="41" s="1"/>
  <c r="AB748" i="41" a="1"/>
  <c r="AB748" i="41" s="1"/>
  <c r="M1490" i="41"/>
  <c r="L1489" i="41"/>
  <c r="AC1492" i="41"/>
  <c r="AE1492" i="41" s="1"/>
  <c r="AC746" i="41"/>
  <c r="AE806" i="41" s="1" a="1"/>
  <c r="AE806" i="41" s="1"/>
  <c r="AK806" i="41" s="1"/>
  <c r="S747" i="41"/>
  <c r="W748" i="41"/>
  <c r="X748" i="41"/>
  <c r="P749" i="41"/>
  <c r="AI805" i="41"/>
  <c r="AG805" i="41"/>
  <c r="AF805" i="41"/>
  <c r="AK805" i="41"/>
  <c r="AH805" i="41"/>
  <c r="AJ805" i="41"/>
  <c r="AF1491" i="41"/>
  <c r="AH1491" i="41"/>
  <c r="AG1491" i="41"/>
  <c r="AJ1491" i="41"/>
  <c r="AK1491" i="41"/>
  <c r="AI1491" i="41"/>
  <c r="O1495" i="41"/>
  <c r="M747" i="41"/>
  <c r="L747" i="41" s="1"/>
  <c r="AB1492" i="41"/>
  <c r="W1494" i="41"/>
  <c r="X1494" i="41"/>
  <c r="P1495" i="41"/>
  <c r="R1495" i="41"/>
  <c r="V1495" i="41" s="1"/>
  <c r="O749" i="41"/>
  <c r="I1493" i="41"/>
  <c r="U748" i="41"/>
  <c r="AC747" i="41" s="1"/>
  <c r="AE807" i="41" s="1" a="1"/>
  <c r="AE807" i="41" s="1"/>
  <c r="Q749" i="41"/>
  <c r="U1494" i="41"/>
  <c r="AC1493" i="41" s="1"/>
  <c r="Q1495" i="41"/>
  <c r="T1492" i="41"/>
  <c r="R749" i="41"/>
  <c r="V749" i="41" s="1"/>
  <c r="AG806" i="41" l="1"/>
  <c r="AI806" i="41"/>
  <c r="AH806" i="41"/>
  <c r="L1490" i="41"/>
  <c r="AF806" i="41"/>
  <c r="AJ806" i="41"/>
  <c r="AB1493" i="41"/>
  <c r="M1491" i="41"/>
  <c r="I747" i="41"/>
  <c r="H747" i="41"/>
  <c r="G747" i="41" s="1"/>
  <c r="AH807" i="41"/>
  <c r="AK807" i="41"/>
  <c r="AJ807" i="41"/>
  <c r="AI807" i="41"/>
  <c r="AG807" i="41"/>
  <c r="AF807" i="41"/>
  <c r="AE1493" i="41"/>
  <c r="T1493" i="41"/>
  <c r="W749" i="41"/>
  <c r="P750" i="41"/>
  <c r="X749" i="41"/>
  <c r="AD1493" i="41"/>
  <c r="S748" i="41"/>
  <c r="AD747" i="41"/>
  <c r="R750" i="41"/>
  <c r="U749" i="41"/>
  <c r="AC748" i="41" s="1"/>
  <c r="AE808" i="41" s="1" a="1"/>
  <c r="AE808" i="41" s="1"/>
  <c r="Q750" i="41"/>
  <c r="AG1492" i="41"/>
  <c r="AF1492" i="41"/>
  <c r="AJ1492" i="41"/>
  <c r="AK1492" i="41"/>
  <c r="AH1492" i="41"/>
  <c r="AI1492" i="41"/>
  <c r="U1495" i="41"/>
  <c r="Q1496" i="41"/>
  <c r="O750" i="41"/>
  <c r="AB749" i="41" a="1"/>
  <c r="AB749" i="41" s="1"/>
  <c r="O1496" i="41"/>
  <c r="W1495" i="41"/>
  <c r="X1495" i="41"/>
  <c r="P1496" i="41"/>
  <c r="M748" i="41"/>
  <c r="L748" i="41" s="1"/>
  <c r="S1494" i="41"/>
  <c r="R1496" i="41"/>
  <c r="V1496" i="41" s="1"/>
  <c r="L1491" i="41" l="1"/>
  <c r="AB750" i="41" a="1"/>
  <c r="AB750" i="41" s="1"/>
  <c r="M1492" i="41"/>
  <c r="AB1494" i="41"/>
  <c r="I748" i="41"/>
  <c r="H748" i="41"/>
  <c r="G748" i="41" s="1"/>
  <c r="AJ1493" i="41"/>
  <c r="AG1493" i="41"/>
  <c r="AK1493" i="41"/>
  <c r="AF1493" i="41"/>
  <c r="AI1493" i="41"/>
  <c r="AH1493" i="41"/>
  <c r="I1494" i="41"/>
  <c r="H1494" i="41"/>
  <c r="G1494" i="41" s="1"/>
  <c r="AC1494" i="41"/>
  <c r="S1495" i="41"/>
  <c r="R751" i="41"/>
  <c r="W1496" i="41"/>
  <c r="P1497" i="41"/>
  <c r="X1496" i="41"/>
  <c r="AD1494" i="41"/>
  <c r="O751" i="41"/>
  <c r="M749" i="41"/>
  <c r="L749" i="41" s="1"/>
  <c r="AK808" i="41"/>
  <c r="AH808" i="41"/>
  <c r="AJ808" i="41"/>
  <c r="AF808" i="41"/>
  <c r="AG808" i="41"/>
  <c r="AI808" i="41"/>
  <c r="W750" i="41"/>
  <c r="X750" i="41"/>
  <c r="P751" i="41"/>
  <c r="U750" i="41"/>
  <c r="Q751" i="41"/>
  <c r="R1497" i="41"/>
  <c r="U1496" i="41"/>
  <c r="AB1495" i="41" s="1"/>
  <c r="Q1497" i="41"/>
  <c r="AD748" i="41"/>
  <c r="S749" i="41"/>
  <c r="V750" i="41"/>
  <c r="O1497" i="41"/>
  <c r="L1492" i="41" l="1"/>
  <c r="AB751" i="41" a="1"/>
  <c r="AB751" i="41" s="1"/>
  <c r="M1493" i="41"/>
  <c r="S1496" i="41"/>
  <c r="H1496" i="41" s="1"/>
  <c r="G1496" i="41" s="1"/>
  <c r="U751" i="41"/>
  <c r="AD750" i="41" s="1"/>
  <c r="Q752" i="41"/>
  <c r="H1495" i="41"/>
  <c r="G1495" i="41" s="1"/>
  <c r="I1495" i="41"/>
  <c r="U1497" i="41"/>
  <c r="AD1496" i="41" s="1"/>
  <c r="Q1498" i="41"/>
  <c r="V1497" i="41"/>
  <c r="V751" i="41"/>
  <c r="O752" i="41" s="1"/>
  <c r="I749" i="41"/>
  <c r="H749" i="41"/>
  <c r="G749" i="41" s="1"/>
  <c r="S750" i="41"/>
  <c r="W751" i="41"/>
  <c r="X751" i="41"/>
  <c r="P752" i="41"/>
  <c r="R752" i="41"/>
  <c r="AC1495" i="41"/>
  <c r="AD1495" i="41"/>
  <c r="W1497" i="41"/>
  <c r="X1497" i="41"/>
  <c r="P1498" i="41"/>
  <c r="AE1494" i="41"/>
  <c r="T1494" i="41"/>
  <c r="AC749" i="41"/>
  <c r="AE809" i="41" s="1" a="1"/>
  <c r="AE809" i="41" s="1"/>
  <c r="AD749" i="41"/>
  <c r="M750" i="41"/>
  <c r="L750" i="41" s="1"/>
  <c r="I1496" i="41"/>
  <c r="O1498" i="41"/>
  <c r="R1498" i="41"/>
  <c r="V1498" i="41" l="1"/>
  <c r="L1493" i="41"/>
  <c r="AC750" i="41"/>
  <c r="AE810" i="41" s="1" a="1"/>
  <c r="AE810" i="41" s="1"/>
  <c r="AH810" i="41" s="1"/>
  <c r="AC1496" i="41"/>
  <c r="AE1496" i="41" s="1"/>
  <c r="AB752" i="41" a="1"/>
  <c r="AB752" i="41" s="1"/>
  <c r="S1497" i="41"/>
  <c r="M751" i="41"/>
  <c r="L751" i="41" s="1"/>
  <c r="AB1496" i="41"/>
  <c r="W752" i="41"/>
  <c r="X752" i="41"/>
  <c r="P753" i="41"/>
  <c r="I750" i="41"/>
  <c r="H750" i="41"/>
  <c r="G750" i="41" s="1"/>
  <c r="AG810" i="41"/>
  <c r="W1498" i="41"/>
  <c r="X1498" i="41"/>
  <c r="P1499" i="41"/>
  <c r="AE1495" i="41"/>
  <c r="T1495" i="41"/>
  <c r="U752" i="41"/>
  <c r="AD751" i="41" s="1"/>
  <c r="Q753" i="41"/>
  <c r="V752" i="41"/>
  <c r="O753" i="41" s="1"/>
  <c r="AJ809" i="41"/>
  <c r="AF809" i="41"/>
  <c r="AI809" i="41"/>
  <c r="AH809" i="41"/>
  <c r="AK809" i="41"/>
  <c r="AG809" i="41"/>
  <c r="T1496" i="41"/>
  <c r="AH1494" i="41"/>
  <c r="AF1494" i="41"/>
  <c r="AI1494" i="41"/>
  <c r="AG1494" i="41"/>
  <c r="AK1494" i="41"/>
  <c r="AJ1494" i="41"/>
  <c r="O1499" i="41"/>
  <c r="R753" i="41"/>
  <c r="S751" i="41"/>
  <c r="U1498" i="41"/>
  <c r="AD1497" i="41" s="1"/>
  <c r="Q1499" i="41"/>
  <c r="R1499" i="41"/>
  <c r="AF810" i="41" l="1"/>
  <c r="AK810" i="41"/>
  <c r="AJ810" i="41"/>
  <c r="AI810" i="41"/>
  <c r="H1497" i="41"/>
  <c r="G1497" i="41" s="1"/>
  <c r="I1497" i="41"/>
  <c r="AB753" i="41" a="1"/>
  <c r="AB753" i="41" s="1"/>
  <c r="AC751" i="41"/>
  <c r="AE811" i="41" s="1" a="1"/>
  <c r="AE811" i="41" s="1"/>
  <c r="AF811" i="41" s="1"/>
  <c r="S1498" i="41"/>
  <c r="H1498" i="41" s="1"/>
  <c r="G1498" i="41" s="1"/>
  <c r="AB1497" i="41"/>
  <c r="AC1497" i="41"/>
  <c r="AE1497" i="41" s="1"/>
  <c r="S752" i="41"/>
  <c r="U753" i="41"/>
  <c r="AC752" i="41" s="1"/>
  <c r="AE812" i="41" s="1" a="1"/>
  <c r="AE812" i="41" s="1"/>
  <c r="Q754" i="41"/>
  <c r="AG1495" i="41"/>
  <c r="AF1495" i="41"/>
  <c r="AI1495" i="41"/>
  <c r="AJ1495" i="41"/>
  <c r="AK1495" i="41"/>
  <c r="AH1495" i="41"/>
  <c r="R1500" i="41"/>
  <c r="V1500" i="41" s="1"/>
  <c r="U1499" i="41"/>
  <c r="Q1500" i="41"/>
  <c r="I1498" i="41"/>
  <c r="R754" i="41"/>
  <c r="W1499" i="41"/>
  <c r="X1499" i="41"/>
  <c r="P1500" i="41"/>
  <c r="W753" i="41"/>
  <c r="X753" i="41"/>
  <c r="P754" i="41"/>
  <c r="O1500" i="41"/>
  <c r="V1499" i="41"/>
  <c r="V753" i="41"/>
  <c r="O754" i="41" s="1"/>
  <c r="M1494" i="41"/>
  <c r="L1494" i="41" s="1"/>
  <c r="I751" i="41"/>
  <c r="H751" i="41"/>
  <c r="G751" i="41" s="1"/>
  <c r="AJ1496" i="41"/>
  <c r="AI1496" i="41"/>
  <c r="AF1496" i="41"/>
  <c r="AG1496" i="41"/>
  <c r="AH1496" i="41"/>
  <c r="AK1496" i="41"/>
  <c r="M752" i="41"/>
  <c r="L752" i="41" s="1"/>
  <c r="S1499" i="41" l="1"/>
  <c r="I1499" i="41" s="1"/>
  <c r="S753" i="41"/>
  <c r="I753" i="41" s="1"/>
  <c r="AD752" i="41"/>
  <c r="AJ811" i="41"/>
  <c r="AI811" i="41"/>
  <c r="T1497" i="41"/>
  <c r="AK811" i="41"/>
  <c r="AH811" i="41"/>
  <c r="AG811" i="41"/>
  <c r="AB754" i="41" a="1"/>
  <c r="AB754" i="41" s="1"/>
  <c r="M1495" i="41"/>
  <c r="L1495" i="41" s="1"/>
  <c r="M753" i="41"/>
  <c r="L753" i="41" s="1"/>
  <c r="H1499" i="41"/>
  <c r="G1499" i="41" s="1"/>
  <c r="I752" i="41"/>
  <c r="H752" i="41"/>
  <c r="G752" i="41" s="1"/>
  <c r="W754" i="41"/>
  <c r="X754" i="41"/>
  <c r="P755" i="41"/>
  <c r="R1501" i="41"/>
  <c r="M1496" i="41"/>
  <c r="AJ1497" i="41"/>
  <c r="AK1497" i="41"/>
  <c r="AF1497" i="41"/>
  <c r="AI1497" i="41"/>
  <c r="AG1497" i="41"/>
  <c r="AH1497" i="41"/>
  <c r="W1500" i="41"/>
  <c r="X1500" i="41"/>
  <c r="P1501" i="41"/>
  <c r="U754" i="41"/>
  <c r="Q755" i="41"/>
  <c r="O1501" i="41"/>
  <c r="AJ812" i="41"/>
  <c r="AI812" i="41"/>
  <c r="AH812" i="41"/>
  <c r="AG812" i="41"/>
  <c r="AK812" i="41"/>
  <c r="AF812" i="41"/>
  <c r="H753" i="41"/>
  <c r="G753" i="41" s="1"/>
  <c r="U1500" i="41"/>
  <c r="S1500" i="41" s="1"/>
  <c r="I1500" i="41" s="1"/>
  <c r="Q1501" i="41"/>
  <c r="R755" i="41"/>
  <c r="AB1498" i="41"/>
  <c r="AD1498" i="41"/>
  <c r="V754" i="41"/>
  <c r="O755" i="41" s="1"/>
  <c r="AC1498" i="41"/>
  <c r="V755" i="41" l="1"/>
  <c r="L1496" i="41"/>
  <c r="M1497" i="41"/>
  <c r="R1502" i="41"/>
  <c r="V1502" i="41" s="1"/>
  <c r="AE1498" i="41"/>
  <c r="T1498" i="41"/>
  <c r="O756" i="41"/>
  <c r="H1500" i="41"/>
  <c r="G1500" i="41" s="1"/>
  <c r="U1501" i="41"/>
  <c r="S1501" i="41" s="1"/>
  <c r="Q1502" i="41"/>
  <c r="W755" i="41"/>
  <c r="X755" i="41"/>
  <c r="P756" i="41"/>
  <c r="S754" i="41"/>
  <c r="R756" i="41"/>
  <c r="V756" i="41" s="1"/>
  <c r="U755" i="41"/>
  <c r="Q756" i="41"/>
  <c r="AB1499" i="41"/>
  <c r="AC1499" i="41"/>
  <c r="AB755" i="41" a="1"/>
  <c r="AB755" i="41" s="1"/>
  <c r="AC753" i="41"/>
  <c r="AE813" i="41" s="1" a="1"/>
  <c r="AE813" i="41" s="1"/>
  <c r="AD753" i="41"/>
  <c r="V1501" i="41"/>
  <c r="O1502" i="41" s="1"/>
  <c r="AD1499" i="41"/>
  <c r="W1501" i="41"/>
  <c r="X1501" i="41"/>
  <c r="P1502" i="41"/>
  <c r="M754" i="41"/>
  <c r="L754" i="41" s="1"/>
  <c r="L1497" i="41" l="1"/>
  <c r="AB756" i="41" a="1"/>
  <c r="AB756" i="41" s="1"/>
  <c r="W1502" i="41"/>
  <c r="X1502" i="41"/>
  <c r="P1503" i="41"/>
  <c r="I1501" i="41"/>
  <c r="H1501" i="41"/>
  <c r="G1501" i="41" s="1"/>
  <c r="U756" i="41"/>
  <c r="Q757" i="41"/>
  <c r="S755" i="41"/>
  <c r="I754" i="41"/>
  <c r="H754" i="41"/>
  <c r="G754" i="41" s="1"/>
  <c r="AE1499" i="41"/>
  <c r="T1499" i="41"/>
  <c r="U1502" i="41"/>
  <c r="S1502" i="41" s="1"/>
  <c r="I1502" i="41" s="1"/>
  <c r="Q1503" i="41"/>
  <c r="AI1498" i="41"/>
  <c r="AG1498" i="41"/>
  <c r="AK1498" i="41"/>
  <c r="AF1498" i="41"/>
  <c r="AH1498" i="41"/>
  <c r="AJ1498" i="41"/>
  <c r="AC1500" i="41"/>
  <c r="AD1500" i="41"/>
  <c r="W756" i="41"/>
  <c r="X756" i="41"/>
  <c r="P757" i="41"/>
  <c r="R757" i="41"/>
  <c r="V757" i="41" s="1"/>
  <c r="AJ813" i="41"/>
  <c r="AH813" i="41"/>
  <c r="AI813" i="41"/>
  <c r="AF813" i="41"/>
  <c r="AG813" i="41"/>
  <c r="AK813" i="41"/>
  <c r="R1503" i="41"/>
  <c r="AD754" i="41"/>
  <c r="AB1500" i="41"/>
  <c r="M755" i="41"/>
  <c r="L755" i="41" s="1"/>
  <c r="O757" i="41"/>
  <c r="O1503" i="41"/>
  <c r="AC754" i="41"/>
  <c r="AE814" i="41" s="1" a="1"/>
  <c r="AE814" i="41" s="1"/>
  <c r="AB757" i="41" l="1" a="1"/>
  <c r="AB757" i="41" s="1"/>
  <c r="M1498" i="41"/>
  <c r="L1498" i="41" s="1"/>
  <c r="U1503" i="41"/>
  <c r="AC1502" i="41" s="1"/>
  <c r="Q1504" i="41"/>
  <c r="AG814" i="41"/>
  <c r="AH814" i="41"/>
  <c r="AK814" i="41"/>
  <c r="AI814" i="41"/>
  <c r="AJ814" i="41"/>
  <c r="AF814" i="41"/>
  <c r="R758" i="41"/>
  <c r="V758" i="41" s="1"/>
  <c r="S1503" i="41"/>
  <c r="I1503" i="41" s="1"/>
  <c r="AD755" i="41"/>
  <c r="AC755" i="41"/>
  <c r="AE815" i="41" s="1" a="1"/>
  <c r="AE815" i="41" s="1"/>
  <c r="AD1502" i="41"/>
  <c r="AB1502" i="41"/>
  <c r="W757" i="41"/>
  <c r="X757" i="41"/>
  <c r="P758" i="41"/>
  <c r="AB1501" i="41"/>
  <c r="R1504" i="41"/>
  <c r="H1502" i="41"/>
  <c r="G1502" i="41" s="1"/>
  <c r="W1503" i="41"/>
  <c r="X1503" i="41"/>
  <c r="P1504" i="41"/>
  <c r="M756" i="41"/>
  <c r="L756" i="41" s="1"/>
  <c r="S756" i="41"/>
  <c r="AK1499" i="41"/>
  <c r="AH1499" i="41"/>
  <c r="AF1499" i="41"/>
  <c r="AG1499" i="41"/>
  <c r="AJ1499" i="41"/>
  <c r="AI1499" i="41"/>
  <c r="AE1500" i="41"/>
  <c r="T1500" i="41"/>
  <c r="V1503" i="41"/>
  <c r="O1504" i="41" s="1"/>
  <c r="AC1501" i="41"/>
  <c r="I755" i="41"/>
  <c r="H755" i="41"/>
  <c r="G755" i="41" s="1"/>
  <c r="AD1501" i="41"/>
  <c r="U757" i="41"/>
  <c r="AD756" i="41" s="1"/>
  <c r="Q758" i="41"/>
  <c r="O758" i="41"/>
  <c r="H1503" i="41" l="1"/>
  <c r="G1503" i="41" s="1"/>
  <c r="AB758" i="41" a="1"/>
  <c r="AB758" i="41" s="1"/>
  <c r="W1504" i="41"/>
  <c r="X1504" i="41"/>
  <c r="P1505" i="41"/>
  <c r="M757" i="41"/>
  <c r="L757" i="41" s="1"/>
  <c r="AE1501" i="41"/>
  <c r="T1501" i="41"/>
  <c r="AE1502" i="41"/>
  <c r="T1502" i="41"/>
  <c r="AF1500" i="41"/>
  <c r="AG1500" i="41"/>
  <c r="AJ1500" i="41"/>
  <c r="AK1500" i="41"/>
  <c r="AH1500" i="41"/>
  <c r="AI1500" i="41"/>
  <c r="AJ815" i="41"/>
  <c r="AK815" i="41"/>
  <c r="AF815" i="41"/>
  <c r="AI815" i="41"/>
  <c r="AH815" i="41"/>
  <c r="AG815" i="41"/>
  <c r="AC756" i="41"/>
  <c r="AE816" i="41" s="1" a="1"/>
  <c r="AE816" i="41" s="1"/>
  <c r="W758" i="41"/>
  <c r="X758" i="41"/>
  <c r="P759" i="41"/>
  <c r="O759" i="41"/>
  <c r="R759" i="41"/>
  <c r="O1505" i="41"/>
  <c r="I756" i="41"/>
  <c r="H756" i="41"/>
  <c r="G756" i="41" s="1"/>
  <c r="R1505" i="41"/>
  <c r="V1505" i="41" s="1"/>
  <c r="U1504" i="41"/>
  <c r="AD1503" i="41" s="1"/>
  <c r="Q1505" i="41"/>
  <c r="M1499" i="41"/>
  <c r="L1499" i="41" s="1"/>
  <c r="S757" i="41"/>
  <c r="U758" i="41"/>
  <c r="Q759" i="41"/>
  <c r="V1504" i="41"/>
  <c r="S758" i="41" l="1"/>
  <c r="M1500" i="41"/>
  <c r="L1500" i="41" s="1"/>
  <c r="S1504" i="41"/>
  <c r="I1504" i="41" s="1"/>
  <c r="AC1503" i="41"/>
  <c r="AE1503" i="41" s="1"/>
  <c r="I758" i="41"/>
  <c r="H758" i="41"/>
  <c r="G758" i="41" s="1"/>
  <c r="AG1501" i="41"/>
  <c r="AF1501" i="41"/>
  <c r="AI1501" i="41"/>
  <c r="AK1501" i="41"/>
  <c r="AJ1501" i="41"/>
  <c r="AH1501" i="41"/>
  <c r="U759" i="41"/>
  <c r="Q760" i="41"/>
  <c r="R1506" i="41"/>
  <c r="V1506" i="41" s="1"/>
  <c r="AI1502" i="41"/>
  <c r="AJ1502" i="41"/>
  <c r="AG1502" i="41"/>
  <c r="AF1502" i="41"/>
  <c r="AK1502" i="41"/>
  <c r="AH1502" i="41"/>
  <c r="H1504" i="41"/>
  <c r="G1504" i="41" s="1"/>
  <c r="AB759" i="41" a="1"/>
  <c r="AB759" i="41" s="1"/>
  <c r="O1506" i="41"/>
  <c r="AC757" i="41"/>
  <c r="AE817" i="41" s="1" a="1"/>
  <c r="AE817" i="41" s="1"/>
  <c r="U1505" i="41"/>
  <c r="Q1506" i="41"/>
  <c r="W1505" i="41"/>
  <c r="X1505" i="41"/>
  <c r="P1506" i="41"/>
  <c r="R760" i="41"/>
  <c r="I757" i="41"/>
  <c r="H757" i="41"/>
  <c r="G757" i="41" s="1"/>
  <c r="M758" i="41"/>
  <c r="L758" i="41" s="1"/>
  <c r="W759" i="41"/>
  <c r="X759" i="41"/>
  <c r="P760" i="41"/>
  <c r="V759" i="41"/>
  <c r="O760" i="41" s="1"/>
  <c r="AD757" i="41"/>
  <c r="AB1503" i="41"/>
  <c r="AI816" i="41"/>
  <c r="AF816" i="41"/>
  <c r="AG816" i="41"/>
  <c r="AJ816" i="41"/>
  <c r="AH816" i="41"/>
  <c r="AK816" i="41"/>
  <c r="V760" i="41" l="1"/>
  <c r="T1503" i="41"/>
  <c r="AB760" i="41" a="1"/>
  <c r="AB760" i="41" s="1"/>
  <c r="M759" i="41"/>
  <c r="L759" i="41" s="1"/>
  <c r="M1502" i="41"/>
  <c r="M1501" i="41"/>
  <c r="L1501" i="41" s="1"/>
  <c r="W760" i="41"/>
  <c r="X760" i="41"/>
  <c r="P761" i="41"/>
  <c r="O1507" i="41"/>
  <c r="AB1504" i="41"/>
  <c r="AG817" i="41"/>
  <c r="AI817" i="41"/>
  <c r="AJ817" i="41"/>
  <c r="AK817" i="41"/>
  <c r="AF817" i="41"/>
  <c r="AH817" i="41"/>
  <c r="AC758" i="41"/>
  <c r="AE818" i="41" s="1" a="1"/>
  <c r="AE818" i="41" s="1"/>
  <c r="U760" i="41"/>
  <c r="Q761" i="41"/>
  <c r="AD758" i="41"/>
  <c r="AC1504" i="41"/>
  <c r="U1506" i="41"/>
  <c r="AD1505" i="41" s="1"/>
  <c r="Q1507" i="41"/>
  <c r="R1507" i="41"/>
  <c r="AD1504" i="41"/>
  <c r="AI1503" i="41"/>
  <c r="AG1503" i="41"/>
  <c r="AF1503" i="41"/>
  <c r="AJ1503" i="41"/>
  <c r="AK1503" i="41"/>
  <c r="AH1503" i="41"/>
  <c r="R761" i="41"/>
  <c r="V761" i="41" s="1"/>
  <c r="W1506" i="41"/>
  <c r="X1506" i="41"/>
  <c r="P1507" i="41"/>
  <c r="S1505" i="41"/>
  <c r="S759" i="41"/>
  <c r="O761" i="41"/>
  <c r="L1502" i="41" l="1"/>
  <c r="AC1505" i="41"/>
  <c r="M1503" i="41"/>
  <c r="S1506" i="41"/>
  <c r="H1506" i="41" s="1"/>
  <c r="G1506" i="41" s="1"/>
  <c r="I759" i="41"/>
  <c r="H759" i="41"/>
  <c r="G759" i="41" s="1"/>
  <c r="O762" i="41"/>
  <c r="AD759" i="41"/>
  <c r="AC759" i="41"/>
  <c r="AE819" i="41" s="1" a="1"/>
  <c r="AE819" i="41" s="1"/>
  <c r="I1505" i="41"/>
  <c r="H1505" i="41"/>
  <c r="G1505" i="41" s="1"/>
  <c r="R1508" i="41"/>
  <c r="V1508" i="41" s="1"/>
  <c r="U1507" i="41"/>
  <c r="AD1506" i="41" s="1"/>
  <c r="Q1508" i="41"/>
  <c r="R762" i="41"/>
  <c r="AJ818" i="41"/>
  <c r="AF818" i="41"/>
  <c r="AG818" i="41"/>
  <c r="AH818" i="41"/>
  <c r="AI818" i="41"/>
  <c r="AK818" i="41"/>
  <c r="U761" i="41"/>
  <c r="AD760" i="41" s="1"/>
  <c r="Q762" i="41"/>
  <c r="O1508" i="41"/>
  <c r="W1507" i="41"/>
  <c r="X1507" i="41"/>
  <c r="P1508" i="41"/>
  <c r="AB761" i="41" a="1"/>
  <c r="AB761" i="41" s="1"/>
  <c r="AB1505" i="41"/>
  <c r="V1507" i="41"/>
  <c r="AE1505" i="41"/>
  <c r="T1505" i="41"/>
  <c r="W761" i="41"/>
  <c r="X761" i="41"/>
  <c r="P762" i="41"/>
  <c r="S760" i="41"/>
  <c r="AE1504" i="41"/>
  <c r="T1504" i="41"/>
  <c r="M760" i="41"/>
  <c r="L760" i="41" s="1"/>
  <c r="L1503" i="41" l="1"/>
  <c r="I1506" i="41"/>
  <c r="AB762" i="41" a="1"/>
  <c r="AB762" i="41" s="1"/>
  <c r="AC760" i="41"/>
  <c r="AE820" i="41" s="1" a="1"/>
  <c r="AE820" i="41" s="1"/>
  <c r="AH820" i="41" s="1"/>
  <c r="S1507" i="41"/>
  <c r="S761" i="41"/>
  <c r="I761" i="41" s="1"/>
  <c r="AJ819" i="41"/>
  <c r="AH819" i="41"/>
  <c r="AK819" i="41"/>
  <c r="AF819" i="41"/>
  <c r="AG819" i="41"/>
  <c r="AI819" i="41"/>
  <c r="W762" i="41"/>
  <c r="X762" i="41"/>
  <c r="P763" i="41"/>
  <c r="O1509" i="41"/>
  <c r="W1508" i="41"/>
  <c r="X1508" i="41"/>
  <c r="P1509" i="41"/>
  <c r="M761" i="41"/>
  <c r="L761" i="41" s="1"/>
  <c r="U762" i="41"/>
  <c r="Q763" i="41"/>
  <c r="V762" i="41"/>
  <c r="O763" i="41" s="1"/>
  <c r="U1508" i="41"/>
  <c r="Q1509" i="41"/>
  <c r="AB1506" i="41"/>
  <c r="AC1506" i="41"/>
  <c r="AK1505" i="41"/>
  <c r="AF1505" i="41"/>
  <c r="AG1505" i="41"/>
  <c r="AH1505" i="41"/>
  <c r="AI1505" i="41"/>
  <c r="AJ1505" i="41"/>
  <c r="AK1504" i="41"/>
  <c r="AF1504" i="41"/>
  <c r="AI1504" i="41"/>
  <c r="AJ1504" i="41"/>
  <c r="AH1504" i="41"/>
  <c r="AG1504" i="41"/>
  <c r="I760" i="41"/>
  <c r="H760" i="41"/>
  <c r="G760" i="41" s="1"/>
  <c r="R763" i="41"/>
  <c r="V763" i="41" s="1"/>
  <c r="R1509" i="41"/>
  <c r="V1509" i="41" s="1"/>
  <c r="S762" i="41" l="1"/>
  <c r="AK820" i="41"/>
  <c r="H761" i="41"/>
  <c r="G761" i="41" s="1"/>
  <c r="AF820" i="41"/>
  <c r="AG820" i="41"/>
  <c r="AJ820" i="41"/>
  <c r="AI820" i="41"/>
  <c r="M1505" i="41"/>
  <c r="I1507" i="41"/>
  <c r="H1507" i="41"/>
  <c r="G1507" i="41" s="1"/>
  <c r="M1504" i="41"/>
  <c r="L1504" i="41" s="1"/>
  <c r="I762" i="41"/>
  <c r="H762" i="41"/>
  <c r="G762" i="41" s="1"/>
  <c r="W1509" i="41"/>
  <c r="X1509" i="41"/>
  <c r="P1510" i="41"/>
  <c r="S1508" i="41"/>
  <c r="M762" i="41"/>
  <c r="L762" i="41" s="1"/>
  <c r="W763" i="41"/>
  <c r="X763" i="41"/>
  <c r="P764" i="41"/>
  <c r="O1510" i="41"/>
  <c r="R764" i="41"/>
  <c r="AB1507" i="41"/>
  <c r="AE1506" i="41"/>
  <c r="T1506" i="41"/>
  <c r="O764" i="41"/>
  <c r="U1509" i="41"/>
  <c r="AC1508" i="41" s="1"/>
  <c r="Q1510" i="41"/>
  <c r="R1510" i="41"/>
  <c r="V1510" i="41" s="1"/>
  <c r="U763" i="41"/>
  <c r="AD762" i="41" s="1"/>
  <c r="Q764" i="41"/>
  <c r="AC761" i="41"/>
  <c r="AE821" i="41" s="1" a="1"/>
  <c r="AE821" i="41" s="1"/>
  <c r="AC1507" i="41"/>
  <c r="AB763" i="41" a="1"/>
  <c r="AB763" i="41" s="1"/>
  <c r="AD761" i="41"/>
  <c r="AD1507" i="41"/>
  <c r="L1505" i="41" l="1"/>
  <c r="AD1508" i="41"/>
  <c r="S763" i="41"/>
  <c r="I763" i="41" s="1"/>
  <c r="AC762" i="41"/>
  <c r="AE822" i="41" s="1" a="1"/>
  <c r="AE822" i="41" s="1"/>
  <c r="AK822" i="41" s="1"/>
  <c r="AB764" i="41" a="1"/>
  <c r="AB764" i="41" s="1"/>
  <c r="S1509" i="41"/>
  <c r="I1509" i="41" s="1"/>
  <c r="H1509" i="41"/>
  <c r="G1509" i="41" s="1"/>
  <c r="AE1508" i="41"/>
  <c r="T1508" i="41"/>
  <c r="R1511" i="41"/>
  <c r="V1511" i="41" s="1"/>
  <c r="W1510" i="41"/>
  <c r="X1510" i="41"/>
  <c r="P1511" i="41"/>
  <c r="O1511" i="41"/>
  <c r="AE1507" i="41"/>
  <c r="T1507" i="41"/>
  <c r="R765" i="41"/>
  <c r="I1508" i="41"/>
  <c r="H1508" i="41"/>
  <c r="G1508" i="41" s="1"/>
  <c r="AI1506" i="41"/>
  <c r="AJ1506" i="41"/>
  <c r="AF1506" i="41"/>
  <c r="AK1506" i="41"/>
  <c r="AG1506" i="41"/>
  <c r="AH1506" i="41"/>
  <c r="W764" i="41"/>
  <c r="X764" i="41"/>
  <c r="P765" i="41"/>
  <c r="U764" i="41"/>
  <c r="AC763" i="41" s="1"/>
  <c r="AE823" i="41" s="1" a="1"/>
  <c r="AE823" i="41" s="1"/>
  <c r="Q765" i="41"/>
  <c r="Q1511" i="41"/>
  <c r="U1510" i="41"/>
  <c r="AD1509" i="41" s="1"/>
  <c r="AH821" i="41"/>
  <c r="AI821" i="41"/>
  <c r="AJ821" i="41"/>
  <c r="AF821" i="41"/>
  <c r="AK821" i="41"/>
  <c r="AG821" i="41"/>
  <c r="O765" i="41"/>
  <c r="V764" i="41"/>
  <c r="M763" i="41"/>
  <c r="L763" i="41" s="1"/>
  <c r="AB1508" i="41"/>
  <c r="V765" i="41" l="1"/>
  <c r="H763" i="41"/>
  <c r="G763" i="41" s="1"/>
  <c r="AG822" i="41"/>
  <c r="AJ822" i="41"/>
  <c r="AF822" i="41"/>
  <c r="AI822" i="41"/>
  <c r="AH822" i="41"/>
  <c r="AC1509" i="41"/>
  <c r="AE1509" i="41" s="1"/>
  <c r="S764" i="41"/>
  <c r="I764" i="41" s="1"/>
  <c r="AD763" i="41"/>
  <c r="M1506" i="41"/>
  <c r="L1506" i="41" s="1"/>
  <c r="R1512" i="41"/>
  <c r="V1512" i="41" s="1"/>
  <c r="M764" i="41"/>
  <c r="L764" i="41" s="1"/>
  <c r="AB1509" i="41"/>
  <c r="O1512" i="41"/>
  <c r="U765" i="41"/>
  <c r="Q766" i="41"/>
  <c r="U1511" i="41"/>
  <c r="AD1510" i="41" s="1"/>
  <c r="Q1512" i="41"/>
  <c r="W765" i="41"/>
  <c r="X765" i="41"/>
  <c r="P766" i="41"/>
  <c r="O766" i="41"/>
  <c r="AB765" i="41" a="1"/>
  <c r="AB765" i="41" s="1"/>
  <c r="AK823" i="41"/>
  <c r="AI823" i="41"/>
  <c r="AJ823" i="41"/>
  <c r="AH823" i="41"/>
  <c r="AF823" i="41"/>
  <c r="AG823" i="41"/>
  <c r="AI1507" i="41"/>
  <c r="AG1507" i="41"/>
  <c r="AK1507" i="41"/>
  <c r="AJ1507" i="41"/>
  <c r="AF1507" i="41"/>
  <c r="AH1507" i="41"/>
  <c r="AJ1508" i="41"/>
  <c r="AF1508" i="41"/>
  <c r="AG1508" i="41"/>
  <c r="AI1508" i="41"/>
  <c r="AK1508" i="41"/>
  <c r="AH1508" i="41"/>
  <c r="W1511" i="41"/>
  <c r="X1511" i="41"/>
  <c r="P1512" i="41"/>
  <c r="R766" i="41"/>
  <c r="S1510" i="41"/>
  <c r="S765" i="41" l="1"/>
  <c r="I765" i="41" s="1"/>
  <c r="T1509" i="41"/>
  <c r="AB1510" i="41"/>
  <c r="AC1510" i="41"/>
  <c r="AE1510" i="41" s="1"/>
  <c r="AB766" i="41" a="1"/>
  <c r="AB766" i="41" s="1"/>
  <c r="M1508" i="41"/>
  <c r="AD764" i="41"/>
  <c r="AC764" i="41"/>
  <c r="AE824" i="41" s="1" a="1"/>
  <c r="AE824" i="41" s="1"/>
  <c r="AK824" i="41" s="1"/>
  <c r="S1511" i="41"/>
  <c r="I1511" i="41" s="1"/>
  <c r="H764" i="41"/>
  <c r="G764" i="41" s="1"/>
  <c r="M765" i="41"/>
  <c r="L765" i="41" s="1"/>
  <c r="T1510" i="41"/>
  <c r="O1513" i="41"/>
  <c r="R767" i="41"/>
  <c r="M1507" i="41"/>
  <c r="L1507" i="41" s="1"/>
  <c r="AJ1509" i="41"/>
  <c r="AK1509" i="41"/>
  <c r="AI1509" i="41"/>
  <c r="AF1509" i="41"/>
  <c r="AG1509" i="41"/>
  <c r="AH1509" i="41"/>
  <c r="H765" i="41"/>
  <c r="G765" i="41" s="1"/>
  <c r="R1513" i="41"/>
  <c r="V1513" i="41" s="1"/>
  <c r="H1511" i="41"/>
  <c r="G1511" i="41" s="1"/>
  <c r="U1512" i="41"/>
  <c r="Q1513" i="41"/>
  <c r="I1510" i="41"/>
  <c r="H1510" i="41"/>
  <c r="G1510" i="41" s="1"/>
  <c r="U766" i="41"/>
  <c r="S766" i="41" s="1"/>
  <c r="Q767" i="41"/>
  <c r="V766" i="41"/>
  <c r="O767" i="41" s="1"/>
  <c r="W766" i="41"/>
  <c r="X766" i="41"/>
  <c r="P767" i="41"/>
  <c r="W1512" i="41"/>
  <c r="X1512" i="41"/>
  <c r="P1513" i="41"/>
  <c r="AI824" i="41" l="1"/>
  <c r="AG824" i="41"/>
  <c r="AF824" i="41"/>
  <c r="L1508" i="41"/>
  <c r="AJ824" i="41"/>
  <c r="AH824" i="41"/>
  <c r="AD765" i="41"/>
  <c r="V767" i="41"/>
  <c r="I766" i="41"/>
  <c r="H766" i="41"/>
  <c r="G766" i="41" s="1"/>
  <c r="M1509" i="41"/>
  <c r="AC765" i="41"/>
  <c r="AE825" i="41" s="1" a="1"/>
  <c r="AE825" i="41" s="1"/>
  <c r="AJ825" i="41" s="1"/>
  <c r="R768" i="41"/>
  <c r="V768" i="41" s="1"/>
  <c r="M766" i="41"/>
  <c r="L766" i="41" s="1"/>
  <c r="W1513" i="41"/>
  <c r="X1513" i="41"/>
  <c r="P1514" i="41"/>
  <c r="O1514" i="41"/>
  <c r="S1512" i="41"/>
  <c r="AB1511" i="41"/>
  <c r="R1514" i="41"/>
  <c r="V1514" i="41" s="1"/>
  <c r="U1513" i="41"/>
  <c r="Q1514" i="41"/>
  <c r="AB767" i="41" a="1"/>
  <c r="AB767" i="41" s="1"/>
  <c r="AG1510" i="41"/>
  <c r="AI1510" i="41"/>
  <c r="AJ1510" i="41"/>
  <c r="AK1510" i="41"/>
  <c r="AF1510" i="41"/>
  <c r="AH1510" i="41"/>
  <c r="AC1511" i="41"/>
  <c r="W767" i="41"/>
  <c r="X767" i="41"/>
  <c r="P768" i="41"/>
  <c r="O768" i="41"/>
  <c r="U767" i="41"/>
  <c r="AD766" i="41" s="1"/>
  <c r="Q768" i="41"/>
  <c r="AD1511" i="41"/>
  <c r="L1509" i="41" l="1"/>
  <c r="AI825" i="41"/>
  <c r="AK825" i="41"/>
  <c r="M1510" i="41"/>
  <c r="AC766" i="41"/>
  <c r="AE826" i="41" s="1" a="1"/>
  <c r="AE826" i="41" s="1"/>
  <c r="AH826" i="41" s="1"/>
  <c r="AF825" i="41"/>
  <c r="AH825" i="41"/>
  <c r="AG825" i="41"/>
  <c r="AC1512" i="41"/>
  <c r="S1513" i="41"/>
  <c r="AE1511" i="41"/>
  <c r="T1511" i="41"/>
  <c r="O769" i="41"/>
  <c r="M767" i="41"/>
  <c r="L767" i="41" s="1"/>
  <c r="AD1512" i="41"/>
  <c r="U1514" i="41"/>
  <c r="Q1515" i="41"/>
  <c r="R1515" i="41"/>
  <c r="V1515" i="41" s="1"/>
  <c r="S767" i="41"/>
  <c r="AB1512" i="41"/>
  <c r="U768" i="41"/>
  <c r="AD767" i="41" s="1"/>
  <c r="Q769" i="41"/>
  <c r="W1514" i="41"/>
  <c r="X1514" i="41"/>
  <c r="P1515" i="41"/>
  <c r="W768" i="41"/>
  <c r="X768" i="41"/>
  <c r="P769" i="41"/>
  <c r="R769" i="41"/>
  <c r="O1515" i="41"/>
  <c r="I1512" i="41"/>
  <c r="H1512" i="41"/>
  <c r="G1512" i="41" s="1"/>
  <c r="AB768" i="41" a="1"/>
  <c r="AB768" i="41" s="1"/>
  <c r="L1510" i="41" l="1"/>
  <c r="AK826" i="41"/>
  <c r="AF826" i="41"/>
  <c r="AG826" i="41"/>
  <c r="S768" i="41"/>
  <c r="I768" i="41" s="1"/>
  <c r="AI826" i="41"/>
  <c r="AB769" i="41" a="1"/>
  <c r="AB769" i="41" s="1"/>
  <c r="AJ826" i="41"/>
  <c r="R1516" i="41"/>
  <c r="O1516" i="41"/>
  <c r="AC1513" i="41"/>
  <c r="W1515" i="41"/>
  <c r="P1516" i="41"/>
  <c r="X1515" i="41"/>
  <c r="I767" i="41"/>
  <c r="H767" i="41"/>
  <c r="G767" i="41" s="1"/>
  <c r="I1513" i="41"/>
  <c r="H1513" i="41"/>
  <c r="G1513" i="41" s="1"/>
  <c r="S1514" i="41"/>
  <c r="U769" i="41"/>
  <c r="AD768" i="41" s="1"/>
  <c r="Q770" i="41"/>
  <c r="AE1512" i="41"/>
  <c r="T1512" i="41"/>
  <c r="AI1511" i="41"/>
  <c r="AH1511" i="41"/>
  <c r="AJ1511" i="41"/>
  <c r="AK1511" i="41"/>
  <c r="AG1511" i="41"/>
  <c r="AF1511" i="41"/>
  <c r="AD1513" i="41"/>
  <c r="AC767" i="41"/>
  <c r="AE827" i="41" s="1" a="1"/>
  <c r="AE827" i="41" s="1"/>
  <c r="V769" i="41"/>
  <c r="O770" i="41" s="1"/>
  <c r="R770" i="41"/>
  <c r="V770" i="41" s="1"/>
  <c r="H768" i="41"/>
  <c r="G768" i="41" s="1"/>
  <c r="V1516" i="41"/>
  <c r="U1515" i="41"/>
  <c r="Q1516" i="41"/>
  <c r="M768" i="41"/>
  <c r="L768" i="41" s="1"/>
  <c r="W769" i="41"/>
  <c r="X769" i="41"/>
  <c r="P770" i="41"/>
  <c r="AB1513" i="41"/>
  <c r="S1515" i="41" l="1"/>
  <c r="S769" i="41"/>
  <c r="I769" i="41" s="1"/>
  <c r="M769" i="41"/>
  <c r="L769" i="41" s="1"/>
  <c r="M1511" i="41"/>
  <c r="L1511" i="41" s="1"/>
  <c r="H1515" i="41"/>
  <c r="G1515" i="41" s="1"/>
  <c r="I1515" i="41"/>
  <c r="AE1513" i="41"/>
  <c r="T1513" i="41"/>
  <c r="O771" i="41"/>
  <c r="AB1514" i="41"/>
  <c r="I1514" i="41"/>
  <c r="H1514" i="41"/>
  <c r="G1514" i="41" s="1"/>
  <c r="AD1514" i="41"/>
  <c r="AC1514" i="41"/>
  <c r="W1516" i="41"/>
  <c r="X1516" i="41"/>
  <c r="P1517" i="41"/>
  <c r="U770" i="41"/>
  <c r="AC769" i="41" s="1"/>
  <c r="AE829" i="41" s="1" a="1"/>
  <c r="AE829" i="41" s="1"/>
  <c r="Q771" i="41"/>
  <c r="R771" i="41"/>
  <c r="V771" i="41" s="1"/>
  <c r="U1516" i="41"/>
  <c r="AC1515" i="41" s="1"/>
  <c r="Q1517" i="41"/>
  <c r="AF827" i="41"/>
  <c r="AJ827" i="41"/>
  <c r="AK827" i="41"/>
  <c r="AG827" i="41"/>
  <c r="AH827" i="41"/>
  <c r="AI827" i="41"/>
  <c r="W770" i="41"/>
  <c r="X770" i="41"/>
  <c r="P771" i="41"/>
  <c r="O1517" i="41"/>
  <c r="AB770" i="41" a="1"/>
  <c r="AB770" i="41" s="1"/>
  <c r="H769" i="41"/>
  <c r="G769" i="41" s="1"/>
  <c r="R1517" i="41"/>
  <c r="AC768" i="41"/>
  <c r="AE828" i="41" s="1" a="1"/>
  <c r="AE828" i="41" s="1"/>
  <c r="AK1512" i="41"/>
  <c r="AF1512" i="41"/>
  <c r="AI1512" i="41"/>
  <c r="AG1512" i="41"/>
  <c r="AJ1512" i="41"/>
  <c r="AH1512" i="41"/>
  <c r="AD1515" i="41" l="1"/>
  <c r="AB771" i="41" a="1"/>
  <c r="AB771" i="41" s="1"/>
  <c r="S1516" i="41"/>
  <c r="I1516" i="41" s="1"/>
  <c r="AG829" i="41"/>
  <c r="AJ829" i="41"/>
  <c r="AH829" i="41"/>
  <c r="AI829" i="41"/>
  <c r="AF829" i="41"/>
  <c r="AK829" i="41"/>
  <c r="AI828" i="41"/>
  <c r="AK828" i="41"/>
  <c r="AF828" i="41"/>
  <c r="AG828" i="41"/>
  <c r="AJ828" i="41"/>
  <c r="AH828" i="41"/>
  <c r="AD769" i="41"/>
  <c r="X771" i="41"/>
  <c r="W771" i="41"/>
  <c r="P772" i="41"/>
  <c r="S770" i="41"/>
  <c r="Q1518" i="41"/>
  <c r="U1517" i="41"/>
  <c r="S1517" i="41" s="1"/>
  <c r="R1518" i="41"/>
  <c r="V1518" i="41" s="1"/>
  <c r="AE1515" i="41"/>
  <c r="T1515" i="41"/>
  <c r="R772" i="41"/>
  <c r="O1518" i="41"/>
  <c r="AG1513" i="41"/>
  <c r="AF1513" i="41"/>
  <c r="AH1513" i="41"/>
  <c r="AJ1513" i="41"/>
  <c r="AK1513" i="41"/>
  <c r="AI1513" i="41"/>
  <c r="AB1515" i="41"/>
  <c r="AE1514" i="41"/>
  <c r="T1514" i="41"/>
  <c r="O772" i="41"/>
  <c r="W1517" i="41"/>
  <c r="X1517" i="41"/>
  <c r="P1518" i="41"/>
  <c r="M1512" i="41"/>
  <c r="L1512" i="41" s="1"/>
  <c r="V1517" i="41"/>
  <c r="M770" i="41"/>
  <c r="L770" i="41" s="1"/>
  <c r="U771" i="41"/>
  <c r="S771" i="41" s="1"/>
  <c r="I771" i="41" s="1"/>
  <c r="V772" i="41"/>
  <c r="Q772" i="41"/>
  <c r="H1516" i="41" l="1"/>
  <c r="G1516" i="41" s="1"/>
  <c r="M771" i="41"/>
  <c r="L771" i="41" s="1"/>
  <c r="M1513" i="41"/>
  <c r="L1513" i="41" s="1"/>
  <c r="H1517" i="41"/>
  <c r="G1517" i="41" s="1"/>
  <c r="I1517" i="41"/>
  <c r="W772" i="41"/>
  <c r="X772" i="41"/>
  <c r="P773" i="41"/>
  <c r="I770" i="41"/>
  <c r="H770" i="41"/>
  <c r="G770" i="41" s="1"/>
  <c r="R773" i="41"/>
  <c r="O773" i="41"/>
  <c r="AB1516" i="41"/>
  <c r="X1518" i="41"/>
  <c r="W1518" i="41"/>
  <c r="P1519" i="41"/>
  <c r="AG1514" i="41"/>
  <c r="AH1514" i="41"/>
  <c r="AJ1514" i="41"/>
  <c r="AF1514" i="41"/>
  <c r="AI1514" i="41"/>
  <c r="AK1514" i="41"/>
  <c r="U772" i="41"/>
  <c r="AD771" i="41" s="1"/>
  <c r="Q773" i="41"/>
  <c r="AC1516" i="41"/>
  <c r="H771" i="41"/>
  <c r="G771" i="41" s="1"/>
  <c r="AD1516" i="41"/>
  <c r="O1519" i="41"/>
  <c r="AG1515" i="41"/>
  <c r="AK1515" i="41"/>
  <c r="AJ1515" i="41"/>
  <c r="AH1515" i="41"/>
  <c r="AI1515" i="41"/>
  <c r="AF1515" i="41"/>
  <c r="AC770" i="41"/>
  <c r="AE830" i="41" s="1" a="1"/>
  <c r="AE830" i="41" s="1"/>
  <c r="AB772" i="41" a="1"/>
  <c r="AB772" i="41" s="1"/>
  <c r="R1519" i="41"/>
  <c r="V1519" i="41" s="1"/>
  <c r="U1518" i="41"/>
  <c r="S1518" i="41" s="1"/>
  <c r="I1518" i="41" s="1"/>
  <c r="Q1519" i="41"/>
  <c r="AD770" i="41"/>
  <c r="AD1517" i="41" l="1"/>
  <c r="S772" i="41"/>
  <c r="I772" i="41" s="1"/>
  <c r="M1514" i="41"/>
  <c r="L1514" i="41" s="1"/>
  <c r="M1515" i="41"/>
  <c r="AB773" i="41" a="1"/>
  <c r="AB773" i="41" s="1"/>
  <c r="U773" i="41"/>
  <c r="AC772" i="41" s="1"/>
  <c r="AE832" i="41" s="1" a="1"/>
  <c r="AE832" i="41" s="1"/>
  <c r="Q774" i="41"/>
  <c r="V773" i="41"/>
  <c r="O774" i="41" s="1"/>
  <c r="H1518" i="41"/>
  <c r="G1518" i="41" s="1"/>
  <c r="H772" i="41"/>
  <c r="G772" i="41" s="1"/>
  <c r="R1520" i="41"/>
  <c r="R774" i="41"/>
  <c r="AH830" i="41"/>
  <c r="AG830" i="41"/>
  <c r="AF830" i="41"/>
  <c r="AK830" i="41"/>
  <c r="AJ830" i="41"/>
  <c r="AI830" i="41"/>
  <c r="AB1517" i="41"/>
  <c r="AE1516" i="41"/>
  <c r="T1516" i="41"/>
  <c r="O1520" i="41"/>
  <c r="AC771" i="41"/>
  <c r="AE831" i="41" s="1" a="1"/>
  <c r="AE831" i="41" s="1"/>
  <c r="AC1517" i="41"/>
  <c r="M772" i="41"/>
  <c r="L772" i="41" s="1"/>
  <c r="U1519" i="41"/>
  <c r="AC1518" i="41" s="1"/>
  <c r="Q1520" i="41"/>
  <c r="W1519" i="41"/>
  <c r="X1519" i="41"/>
  <c r="P1520" i="41"/>
  <c r="W773" i="41"/>
  <c r="X773" i="41"/>
  <c r="P774" i="41"/>
  <c r="AD772" i="41" l="1"/>
  <c r="S773" i="41"/>
  <c r="I773" i="41" s="1"/>
  <c r="L1515" i="41"/>
  <c r="V774" i="41"/>
  <c r="AB774" i="41" a="1"/>
  <c r="AB774" i="41" s="1"/>
  <c r="AE1518" i="41"/>
  <c r="T1518" i="41"/>
  <c r="U1520" i="41"/>
  <c r="Q1521" i="41"/>
  <c r="AD1518" i="41"/>
  <c r="W774" i="41"/>
  <c r="X774" i="41"/>
  <c r="P775" i="41"/>
  <c r="AB1518" i="41"/>
  <c r="H773" i="41"/>
  <c r="G773" i="41" s="1"/>
  <c r="AH832" i="41"/>
  <c r="AF832" i="41"/>
  <c r="AI832" i="41"/>
  <c r="AJ832" i="41"/>
  <c r="AK832" i="41"/>
  <c r="AG832" i="41"/>
  <c r="AE1517" i="41"/>
  <c r="T1517" i="41"/>
  <c r="W1520" i="41"/>
  <c r="X1520" i="41"/>
  <c r="P1521" i="41"/>
  <c r="O775" i="41"/>
  <c r="V1520" i="41"/>
  <c r="O1521" i="41" s="1"/>
  <c r="M773" i="41"/>
  <c r="L773" i="41" s="1"/>
  <c r="R1521" i="41"/>
  <c r="AF1516" i="41"/>
  <c r="AG1516" i="41"/>
  <c r="AI1516" i="41"/>
  <c r="AK1516" i="41"/>
  <c r="AJ1516" i="41"/>
  <c r="AH1516" i="41"/>
  <c r="R775" i="41"/>
  <c r="AJ831" i="41"/>
  <c r="AF831" i="41"/>
  <c r="AI831" i="41"/>
  <c r="AG831" i="41"/>
  <c r="AK831" i="41"/>
  <c r="AH831" i="41"/>
  <c r="S1519" i="41"/>
  <c r="U774" i="41"/>
  <c r="S774" i="41" s="1"/>
  <c r="Q775" i="41"/>
  <c r="V1521" i="41" l="1"/>
  <c r="S1520" i="41"/>
  <c r="I1520" i="41" s="1"/>
  <c r="AB775" i="41" a="1"/>
  <c r="AB775" i="41" s="1"/>
  <c r="W1521" i="41"/>
  <c r="P1522" i="41"/>
  <c r="X1521" i="41"/>
  <c r="I774" i="41"/>
  <c r="H774" i="41"/>
  <c r="G774" i="41" s="1"/>
  <c r="R776" i="41"/>
  <c r="U775" i="41"/>
  <c r="AC774" i="41" s="1"/>
  <c r="AE834" i="41" s="1" a="1"/>
  <c r="AE834" i="41" s="1"/>
  <c r="Q776" i="41"/>
  <c r="AD773" i="41"/>
  <c r="M774" i="41"/>
  <c r="L774" i="41" s="1"/>
  <c r="R1522" i="41"/>
  <c r="V1522" i="41" s="1"/>
  <c r="AC773" i="41"/>
  <c r="AE833" i="41" s="1" a="1"/>
  <c r="AE833" i="41" s="1"/>
  <c r="H1519" i="41"/>
  <c r="G1519" i="41" s="1"/>
  <c r="I1519" i="41"/>
  <c r="H1520" i="41"/>
  <c r="G1520" i="41" s="1"/>
  <c r="O1522" i="41"/>
  <c r="AB1519" i="41"/>
  <c r="X775" i="41"/>
  <c r="W775" i="41"/>
  <c r="P776" i="41"/>
  <c r="O776" i="41"/>
  <c r="AC1519" i="41"/>
  <c r="AG1518" i="41"/>
  <c r="AJ1518" i="41"/>
  <c r="AF1518" i="41"/>
  <c r="AK1518" i="41"/>
  <c r="AH1518" i="41"/>
  <c r="AI1518" i="41"/>
  <c r="V775" i="41"/>
  <c r="M1516" i="41"/>
  <c r="L1516" i="41" s="1"/>
  <c r="AD1519" i="41"/>
  <c r="U1521" i="41"/>
  <c r="AD1520" i="41" s="1"/>
  <c r="Q1522" i="41"/>
  <c r="AK1517" i="41"/>
  <c r="AH1517" i="41"/>
  <c r="AF1517" i="41"/>
  <c r="AG1517" i="41"/>
  <c r="AI1517" i="41"/>
  <c r="AJ1517" i="41"/>
  <c r="V776" i="41" l="1"/>
  <c r="M775" i="41"/>
  <c r="L775" i="41" s="1"/>
  <c r="M1518" i="41"/>
  <c r="O777" i="41"/>
  <c r="W1522" i="41"/>
  <c r="X1522" i="41"/>
  <c r="P1523" i="41"/>
  <c r="U776" i="41"/>
  <c r="Q777" i="41"/>
  <c r="AE1519" i="41"/>
  <c r="T1519" i="41"/>
  <c r="AD774" i="41"/>
  <c r="AB776" i="41" a="1"/>
  <c r="AB776" i="41" s="1"/>
  <c r="X776" i="41"/>
  <c r="W776" i="41"/>
  <c r="P777" i="41"/>
  <c r="AF833" i="41"/>
  <c r="AG833" i="41"/>
  <c r="AH833" i="41"/>
  <c r="AJ833" i="41"/>
  <c r="AI833" i="41"/>
  <c r="AK833" i="41"/>
  <c r="U1522" i="41"/>
  <c r="AD1521" i="41" s="1"/>
  <c r="Q1523" i="41"/>
  <c r="O1523" i="41"/>
  <c r="AJ834" i="41"/>
  <c r="AK834" i="41"/>
  <c r="AG834" i="41"/>
  <c r="AI834" i="41"/>
  <c r="AF834" i="41"/>
  <c r="AH834" i="41"/>
  <c r="S1521" i="41"/>
  <c r="S1522" i="41" s="1"/>
  <c r="H1522" i="41" s="1"/>
  <c r="G1522" i="41" s="1"/>
  <c r="AB1520" i="41"/>
  <c r="M1517" i="41"/>
  <c r="L1517" i="41" s="1"/>
  <c r="R1523" i="41"/>
  <c r="S775" i="41"/>
  <c r="R777" i="41"/>
  <c r="V777" i="41" s="1"/>
  <c r="AC1520" i="41"/>
  <c r="L1518" i="41" l="1"/>
  <c r="AB777" i="41" a="1"/>
  <c r="AB777" i="41" s="1"/>
  <c r="I775" i="41"/>
  <c r="H775" i="41"/>
  <c r="G775" i="41" s="1"/>
  <c r="R1524" i="41"/>
  <c r="R778" i="41"/>
  <c r="M776" i="41"/>
  <c r="L776" i="41" s="1"/>
  <c r="I1522" i="41"/>
  <c r="AC775" i="41"/>
  <c r="AE835" i="41" s="1" a="1"/>
  <c r="AE835" i="41" s="1"/>
  <c r="AD775" i="41"/>
  <c r="W777" i="41"/>
  <c r="X777" i="41"/>
  <c r="P778" i="41"/>
  <c r="W1523" i="41"/>
  <c r="X1523" i="41"/>
  <c r="P1524" i="41"/>
  <c r="I1521" i="41"/>
  <c r="H1521" i="41"/>
  <c r="G1521" i="41" s="1"/>
  <c r="S776" i="41"/>
  <c r="U1523" i="41"/>
  <c r="AC1522" i="41" s="1"/>
  <c r="Q1524" i="41"/>
  <c r="V1523" i="41"/>
  <c r="V1524" i="41" s="1"/>
  <c r="AC1521" i="41"/>
  <c r="AE1520" i="41"/>
  <c r="T1520" i="41"/>
  <c r="AB1521" i="41"/>
  <c r="AI1519" i="41"/>
  <c r="AK1519" i="41"/>
  <c r="AJ1519" i="41"/>
  <c r="AF1519" i="41"/>
  <c r="AG1519" i="41"/>
  <c r="AH1519" i="41"/>
  <c r="U777" i="41"/>
  <c r="AC776" i="41" s="1"/>
  <c r="AE836" i="41" s="1" a="1"/>
  <c r="AE836" i="41" s="1"/>
  <c r="Q778" i="41"/>
  <c r="O778" i="41"/>
  <c r="O1524" i="41" l="1"/>
  <c r="W1524" i="41" s="1"/>
  <c r="S1523" i="41"/>
  <c r="H1523" i="41" s="1"/>
  <c r="G1523" i="41" s="1"/>
  <c r="S777" i="41"/>
  <c r="I777" i="41" s="1"/>
  <c r="M1519" i="41"/>
  <c r="L1519" i="41" s="1"/>
  <c r="AE1522" i="41"/>
  <c r="T1522" i="41"/>
  <c r="I1523" i="41"/>
  <c r="R779" i="41"/>
  <c r="U778" i="41"/>
  <c r="AC777" i="41" s="1"/>
  <c r="AE837" i="41" s="1" a="1"/>
  <c r="AE837" i="41" s="1"/>
  <c r="Q779" i="41"/>
  <c r="AB1522" i="41"/>
  <c r="AB778" i="41" a="1"/>
  <c r="AB778" i="41" s="1"/>
  <c r="O1525" i="41"/>
  <c r="I776" i="41"/>
  <c r="H776" i="41"/>
  <c r="G776" i="41" s="1"/>
  <c r="M777" i="41"/>
  <c r="L777" i="41" s="1"/>
  <c r="U1524" i="41"/>
  <c r="AB1523" i="41" s="1"/>
  <c r="Q1525" i="41"/>
  <c r="W778" i="41"/>
  <c r="X778" i="41"/>
  <c r="P779" i="41"/>
  <c r="AF1520" i="41"/>
  <c r="AG1520" i="41"/>
  <c r="AH1520" i="41"/>
  <c r="AJ1520" i="41"/>
  <c r="AK1520" i="41"/>
  <c r="AI1520" i="41"/>
  <c r="O779" i="41"/>
  <c r="AE1521" i="41"/>
  <c r="T1521" i="41"/>
  <c r="AH835" i="41"/>
  <c r="AK835" i="41"/>
  <c r="AI835" i="41"/>
  <c r="AG835" i="41"/>
  <c r="AF835" i="41"/>
  <c r="AJ835" i="41"/>
  <c r="V778" i="41"/>
  <c r="R1525" i="41"/>
  <c r="AJ836" i="41"/>
  <c r="AG836" i="41"/>
  <c r="AK836" i="41"/>
  <c r="AI836" i="41"/>
  <c r="AH836" i="41"/>
  <c r="AF836" i="41"/>
  <c r="AD1522" i="41"/>
  <c r="AD776" i="41"/>
  <c r="P1525" i="41" l="1"/>
  <c r="X1524" i="41"/>
  <c r="V779" i="41"/>
  <c r="H777" i="41"/>
  <c r="G777" i="41" s="1"/>
  <c r="S1524" i="41"/>
  <c r="AC1523" i="41"/>
  <c r="AE1523" i="41" s="1"/>
  <c r="AK837" i="41"/>
  <c r="AG837" i="41"/>
  <c r="AI837" i="41"/>
  <c r="AF837" i="41"/>
  <c r="AJ837" i="41"/>
  <c r="AH837" i="41"/>
  <c r="M1520" i="41"/>
  <c r="L1520" i="41" s="1"/>
  <c r="W1525" i="41"/>
  <c r="X1525" i="41"/>
  <c r="P1526" i="41"/>
  <c r="O780" i="41"/>
  <c r="R780" i="41"/>
  <c r="U779" i="41"/>
  <c r="Q780" i="41"/>
  <c r="AB779" i="41" a="1"/>
  <c r="AB779" i="41" s="1"/>
  <c r="AI1521" i="41"/>
  <c r="AJ1521" i="41"/>
  <c r="AG1521" i="41"/>
  <c r="AK1521" i="41"/>
  <c r="AH1521" i="41"/>
  <c r="AF1521" i="41"/>
  <c r="U1525" i="41"/>
  <c r="AC1524" i="41" s="1"/>
  <c r="Q1526" i="41"/>
  <c r="W779" i="41"/>
  <c r="X779" i="41"/>
  <c r="P780" i="41"/>
  <c r="M778" i="41"/>
  <c r="L778" i="41" s="1"/>
  <c r="S778" i="41"/>
  <c r="AD1523" i="41"/>
  <c r="AD777" i="41"/>
  <c r="V1525" i="41"/>
  <c r="O1526" i="41" s="1"/>
  <c r="R1526" i="41"/>
  <c r="AI1522" i="41"/>
  <c r="AF1522" i="41"/>
  <c r="AG1522" i="41"/>
  <c r="AH1522" i="41"/>
  <c r="AJ1522" i="41"/>
  <c r="AK1522" i="41"/>
  <c r="T1523" i="41" l="1"/>
  <c r="V1526" i="41"/>
  <c r="AB780" i="41" a="1"/>
  <c r="AB780" i="41" s="1"/>
  <c r="AD1524" i="41"/>
  <c r="S779" i="41"/>
  <c r="I779" i="41" s="1"/>
  <c r="AC778" i="41"/>
  <c r="AE838" i="41" s="1" a="1"/>
  <c r="AE838" i="41" s="1"/>
  <c r="AI838" i="41" s="1"/>
  <c r="AD778" i="41"/>
  <c r="M1522" i="41"/>
  <c r="I1524" i="41"/>
  <c r="H1524" i="41"/>
  <c r="G1524" i="41" s="1"/>
  <c r="W1526" i="41"/>
  <c r="X1526" i="41"/>
  <c r="P1527" i="41"/>
  <c r="R781" i="41"/>
  <c r="V781" i="41" s="1"/>
  <c r="AE1524" i="41"/>
  <c r="T1524" i="41"/>
  <c r="W780" i="41"/>
  <c r="X780" i="41"/>
  <c r="P781" i="41"/>
  <c r="U780" i="41"/>
  <c r="AD779" i="41" s="1"/>
  <c r="Q781" i="41"/>
  <c r="M779" i="41"/>
  <c r="L779" i="41" s="1"/>
  <c r="O1527" i="41"/>
  <c r="AH1523" i="41"/>
  <c r="AF1523" i="41"/>
  <c r="AI1523" i="41"/>
  <c r="AK1523" i="41"/>
  <c r="AG1523" i="41"/>
  <c r="AJ1523" i="41"/>
  <c r="AB1524" i="41"/>
  <c r="O781" i="41"/>
  <c r="R1527" i="41"/>
  <c r="V1527" i="41" s="1"/>
  <c r="S1525" i="41"/>
  <c r="M1521" i="41"/>
  <c r="L1521" i="41" s="1"/>
  <c r="V780" i="41"/>
  <c r="I778" i="41"/>
  <c r="H778" i="41"/>
  <c r="G778" i="41" s="1"/>
  <c r="Q1527" i="41"/>
  <c r="U1526" i="41"/>
  <c r="AC1525" i="41" s="1"/>
  <c r="H779" i="41" l="1"/>
  <c r="G779" i="41" s="1"/>
  <c r="M1523" i="41"/>
  <c r="AG838" i="41"/>
  <c r="AK838" i="41"/>
  <c r="AJ838" i="41"/>
  <c r="AF838" i="41"/>
  <c r="L1522" i="41"/>
  <c r="AH838" i="41"/>
  <c r="AE1525" i="41"/>
  <c r="T1525" i="41"/>
  <c r="AD1525" i="41"/>
  <c r="R782" i="41"/>
  <c r="V782" i="41" s="1"/>
  <c r="U781" i="41"/>
  <c r="Q782" i="41"/>
  <c r="AB781" i="41" a="1"/>
  <c r="AB781" i="41" s="1"/>
  <c r="I1525" i="41"/>
  <c r="H1525" i="41"/>
  <c r="G1525" i="41" s="1"/>
  <c r="M780" i="41"/>
  <c r="L780" i="41" s="1"/>
  <c r="R1528" i="41"/>
  <c r="V1528" i="41" s="1"/>
  <c r="U1527" i="41"/>
  <c r="Q1528" i="41"/>
  <c r="AI1524" i="41"/>
  <c r="AG1524" i="41"/>
  <c r="AH1524" i="41"/>
  <c r="AF1524" i="41"/>
  <c r="AK1524" i="41"/>
  <c r="AJ1524" i="41"/>
  <c r="O1528" i="41"/>
  <c r="S780" i="41"/>
  <c r="S1526" i="41"/>
  <c r="W1527" i="41"/>
  <c r="X1527" i="41"/>
  <c r="P1528" i="41"/>
  <c r="W781" i="41"/>
  <c r="P782" i="41"/>
  <c r="X781" i="41"/>
  <c r="AC779" i="41"/>
  <c r="AE839" i="41" s="1" a="1"/>
  <c r="AE839" i="41" s="1"/>
  <c r="AB1525" i="41"/>
  <c r="O782" i="41"/>
  <c r="S781" i="41" l="1"/>
  <c r="I781" i="41" s="1"/>
  <c r="L1523" i="41"/>
  <c r="S1527" i="41"/>
  <c r="I1527" i="41" s="1"/>
  <c r="AB1526" i="41"/>
  <c r="M1524" i="41"/>
  <c r="O1529" i="41"/>
  <c r="O783" i="41"/>
  <c r="H1527" i="41"/>
  <c r="G1527" i="41" s="1"/>
  <c r="AC1526" i="41"/>
  <c r="W782" i="41"/>
  <c r="X782" i="41"/>
  <c r="P783" i="41"/>
  <c r="AD1526" i="41"/>
  <c r="U1528" i="41"/>
  <c r="Q1529" i="41"/>
  <c r="U782" i="41"/>
  <c r="AD781" i="41" s="1"/>
  <c r="Q783" i="41"/>
  <c r="R783" i="41"/>
  <c r="V783" i="41" s="1"/>
  <c r="M781" i="41"/>
  <c r="L781" i="41" s="1"/>
  <c r="AB782" i="41" a="1"/>
  <c r="AB782" i="41" s="1"/>
  <c r="R1529" i="41"/>
  <c r="H1526" i="41"/>
  <c r="G1526" i="41" s="1"/>
  <c r="I1526" i="41"/>
  <c r="I780" i="41"/>
  <c r="H780" i="41"/>
  <c r="G780" i="41" s="1"/>
  <c r="AG839" i="41"/>
  <c r="AF839" i="41"/>
  <c r="AH839" i="41"/>
  <c r="AJ839" i="41"/>
  <c r="AI839" i="41"/>
  <c r="AK839" i="41"/>
  <c r="H781" i="41"/>
  <c r="G781" i="41" s="1"/>
  <c r="AD780" i="41"/>
  <c r="W1528" i="41"/>
  <c r="X1528" i="41"/>
  <c r="P1529" i="41"/>
  <c r="AC780" i="41"/>
  <c r="AE840" i="41" s="1" a="1"/>
  <c r="AE840" i="41" s="1"/>
  <c r="AK1525" i="41"/>
  <c r="AH1525" i="41"/>
  <c r="AJ1525" i="41"/>
  <c r="AI1525" i="41"/>
  <c r="AF1525" i="41"/>
  <c r="AG1525" i="41"/>
  <c r="AB783" i="41" l="1" a="1"/>
  <c r="AB783" i="41" s="1"/>
  <c r="L1524" i="41"/>
  <c r="M1525" i="41"/>
  <c r="AC781" i="41"/>
  <c r="AE841" i="41" s="1" a="1"/>
  <c r="AE841" i="41" s="1"/>
  <c r="U1529" i="41"/>
  <c r="AC1528" i="41" s="1"/>
  <c r="Q1530" i="41"/>
  <c r="O784" i="41"/>
  <c r="AE1526" i="41"/>
  <c r="T1526" i="41"/>
  <c r="W783" i="41"/>
  <c r="X783" i="41"/>
  <c r="P784" i="41"/>
  <c r="V1529" i="41"/>
  <c r="O1530" i="41" s="1"/>
  <c r="S782" i="41"/>
  <c r="AB1527" i="41"/>
  <c r="AC1527" i="41"/>
  <c r="AD1527" i="41"/>
  <c r="R784" i="41"/>
  <c r="W1529" i="41"/>
  <c r="X1529" i="41"/>
  <c r="P1530" i="41"/>
  <c r="AG840" i="41"/>
  <c r="AF840" i="41"/>
  <c r="AI840" i="41"/>
  <c r="AK840" i="41"/>
  <c r="AH840" i="41"/>
  <c r="AJ840" i="41"/>
  <c r="S1528" i="41"/>
  <c r="R1530" i="41"/>
  <c r="AB1528" i="41"/>
  <c r="U783" i="41"/>
  <c r="AD782" i="41" s="1"/>
  <c r="Q784" i="41"/>
  <c r="M782" i="41"/>
  <c r="L782" i="41" s="1"/>
  <c r="L1525" i="41" l="1"/>
  <c r="AB784" i="41" a="1"/>
  <c r="AB784" i="41" s="1"/>
  <c r="AD1528" i="41"/>
  <c r="AC782" i="41"/>
  <c r="AE842" i="41" s="1" a="1"/>
  <c r="AE842" i="41" s="1"/>
  <c r="AG842" i="41" s="1"/>
  <c r="W1530" i="41"/>
  <c r="P1531" i="41"/>
  <c r="X1530" i="41"/>
  <c r="R1531" i="41"/>
  <c r="W784" i="41"/>
  <c r="P785" i="41"/>
  <c r="X784" i="41"/>
  <c r="AE1527" i="41"/>
  <c r="T1527" i="41"/>
  <c r="I782" i="41"/>
  <c r="H782" i="41"/>
  <c r="G782" i="41" s="1"/>
  <c r="S783" i="41"/>
  <c r="S784" i="41" s="1"/>
  <c r="I784" i="41" s="1"/>
  <c r="U1530" i="41"/>
  <c r="AD1529" i="41" s="1"/>
  <c r="Q1531" i="41"/>
  <c r="U784" i="41"/>
  <c r="AD783" i="41" s="1"/>
  <c r="Q785" i="41"/>
  <c r="R785" i="41"/>
  <c r="AK1526" i="41"/>
  <c r="AF1526" i="41"/>
  <c r="AG1526" i="41"/>
  <c r="AJ1526" i="41"/>
  <c r="AH1526" i="41"/>
  <c r="AI1526" i="41"/>
  <c r="V1530" i="41"/>
  <c r="O1531" i="41" s="1"/>
  <c r="AE1528" i="41"/>
  <c r="T1528" i="41"/>
  <c r="AH841" i="41"/>
  <c r="AK841" i="41"/>
  <c r="AI841" i="41"/>
  <c r="AF841" i="41"/>
  <c r="AJ841" i="41"/>
  <c r="AG841" i="41"/>
  <c r="H1528" i="41"/>
  <c r="G1528" i="41" s="1"/>
  <c r="I1528" i="41"/>
  <c r="V784" i="41"/>
  <c r="O785" i="41" s="1"/>
  <c r="S1529" i="41"/>
  <c r="M783" i="41"/>
  <c r="L783" i="41" s="1"/>
  <c r="AJ842" i="41" l="1"/>
  <c r="AH842" i="41"/>
  <c r="AK842" i="41"/>
  <c r="AI842" i="41"/>
  <c r="AF842" i="41"/>
  <c r="M1526" i="41"/>
  <c r="L1526" i="41" s="1"/>
  <c r="AC783" i="41"/>
  <c r="AE843" i="41" s="1" a="1"/>
  <c r="AE843" i="41" s="1"/>
  <c r="AG843" i="41" s="1"/>
  <c r="S1530" i="41"/>
  <c r="R786" i="41"/>
  <c r="M784" i="41"/>
  <c r="L784" i="41" s="1"/>
  <c r="Q1532" i="41"/>
  <c r="U1531" i="41"/>
  <c r="V1531" i="41"/>
  <c r="O1532" i="41" s="1"/>
  <c r="AC1529" i="41"/>
  <c r="I783" i="41"/>
  <c r="H783" i="41"/>
  <c r="G783" i="41" s="1"/>
  <c r="AI1528" i="41"/>
  <c r="AH1528" i="41"/>
  <c r="AF1528" i="41"/>
  <c r="AJ1528" i="41"/>
  <c r="AK1528" i="41"/>
  <c r="AG1528" i="41"/>
  <c r="W1531" i="41"/>
  <c r="X1531" i="41"/>
  <c r="P1532" i="41"/>
  <c r="X785" i="41"/>
  <c r="W785" i="41"/>
  <c r="P786" i="41"/>
  <c r="AB1529" i="41"/>
  <c r="AB785" i="41" a="1"/>
  <c r="AB785" i="41" s="1"/>
  <c r="U785" i="41"/>
  <c r="AD784" i="41" s="1"/>
  <c r="Q786" i="41"/>
  <c r="R1532" i="41"/>
  <c r="AI1527" i="41"/>
  <c r="AK1527" i="41"/>
  <c r="AH1527" i="41"/>
  <c r="AJ1527" i="41"/>
  <c r="AF1527" i="41"/>
  <c r="AG1527" i="41"/>
  <c r="H1529" i="41"/>
  <c r="G1529" i="41" s="1"/>
  <c r="I1529" i="41"/>
  <c r="V785" i="41"/>
  <c r="O786" i="41" s="1"/>
  <c r="H784" i="41"/>
  <c r="G784" i="41" s="1"/>
  <c r="V1532" i="41" l="1"/>
  <c r="V786" i="41"/>
  <c r="S785" i="41"/>
  <c r="I785" i="41" s="1"/>
  <c r="AI843" i="41"/>
  <c r="AJ843" i="41"/>
  <c r="AK843" i="41"/>
  <c r="AF843" i="41"/>
  <c r="AH843" i="41"/>
  <c r="M1528" i="41"/>
  <c r="M785" i="41"/>
  <c r="L785" i="41" s="1"/>
  <c r="W786" i="41"/>
  <c r="X786" i="41"/>
  <c r="P787" i="41"/>
  <c r="O1533" i="41"/>
  <c r="AC1530" i="41"/>
  <c r="AE1529" i="41"/>
  <c r="T1529" i="41"/>
  <c r="AB1530" i="41"/>
  <c r="W1532" i="41"/>
  <c r="X1532" i="41"/>
  <c r="P1533" i="41"/>
  <c r="S1531" i="41"/>
  <c r="R787" i="41"/>
  <c r="O787" i="41"/>
  <c r="U786" i="41"/>
  <c r="AD785" i="41" s="1"/>
  <c r="Q787" i="41"/>
  <c r="AD1530" i="41"/>
  <c r="Q1533" i="41"/>
  <c r="U1532" i="41"/>
  <c r="AC1531" i="41" s="1"/>
  <c r="AB786" i="41" a="1"/>
  <c r="AB786" i="41" s="1"/>
  <c r="M1527" i="41"/>
  <c r="L1527" i="41" s="1"/>
  <c r="H785" i="41"/>
  <c r="G785" i="41" s="1"/>
  <c r="R1533" i="41"/>
  <c r="V1533" i="41" s="1"/>
  <c r="AC784" i="41"/>
  <c r="AE844" i="41" s="1" a="1"/>
  <c r="AE844" i="41" s="1"/>
  <c r="H1530" i="41"/>
  <c r="G1530" i="41" s="1"/>
  <c r="I1530" i="41"/>
  <c r="L1528" i="41" l="1"/>
  <c r="AB787" i="41" a="1"/>
  <c r="AB787" i="41" s="1"/>
  <c r="S1532" i="41"/>
  <c r="I1532" i="41" s="1"/>
  <c r="S786" i="41"/>
  <c r="I786" i="41" s="1"/>
  <c r="AC785" i="41"/>
  <c r="AE845" i="41" s="1" a="1"/>
  <c r="AE845" i="41" s="1"/>
  <c r="AJ845" i="41" s="1"/>
  <c r="AE1531" i="41"/>
  <c r="T1531" i="41"/>
  <c r="U787" i="41"/>
  <c r="AC786" i="41" s="1"/>
  <c r="AE846" i="41" s="1" a="1"/>
  <c r="AE846" i="41" s="1"/>
  <c r="Q788" i="41"/>
  <c r="AD1531" i="41"/>
  <c r="W787" i="41"/>
  <c r="X787" i="41"/>
  <c r="P788" i="41"/>
  <c r="AE1530" i="41"/>
  <c r="T1530" i="41"/>
  <c r="R788" i="41"/>
  <c r="AI844" i="41"/>
  <c r="AK844" i="41"/>
  <c r="AJ844" i="41"/>
  <c r="AH844" i="41"/>
  <c r="AF844" i="41"/>
  <c r="AG844" i="41"/>
  <c r="H1532" i="41"/>
  <c r="G1532" i="41" s="1"/>
  <c r="H786" i="41"/>
  <c r="G786" i="41" s="1"/>
  <c r="W1533" i="41"/>
  <c r="X1533" i="41"/>
  <c r="P1534" i="41"/>
  <c r="O1534" i="41"/>
  <c r="AB1531" i="41"/>
  <c r="H1531" i="41"/>
  <c r="G1531" i="41" s="1"/>
  <c r="I1531" i="41"/>
  <c r="U1533" i="41"/>
  <c r="S1533" i="41" s="1"/>
  <c r="H1533" i="41" s="1"/>
  <c r="G1533" i="41" s="1"/>
  <c r="Q1534" i="41"/>
  <c r="V787" i="41"/>
  <c r="O788" i="41" s="1"/>
  <c r="M786" i="41"/>
  <c r="L786" i="41" s="1"/>
  <c r="AI1529" i="41"/>
  <c r="AK1529" i="41"/>
  <c r="AJ1529" i="41"/>
  <c r="AH1529" i="41"/>
  <c r="AF1529" i="41"/>
  <c r="AG1529" i="41"/>
  <c r="R1534" i="41"/>
  <c r="V1534" i="41" s="1"/>
  <c r="V788" i="41" l="1"/>
  <c r="S787" i="41"/>
  <c r="I787" i="41" s="1"/>
  <c r="AF845" i="41"/>
  <c r="AK845" i="41"/>
  <c r="AH845" i="41"/>
  <c r="AG845" i="41"/>
  <c r="AI845" i="41"/>
  <c r="H787" i="41"/>
  <c r="G787" i="41" s="1"/>
  <c r="M1529" i="41"/>
  <c r="L1529" i="41" s="1"/>
  <c r="AC1532" i="41"/>
  <c r="AE1532" i="41" s="1"/>
  <c r="AD1532" i="41"/>
  <c r="R789" i="41"/>
  <c r="V789" i="41" s="1"/>
  <c r="M787" i="41"/>
  <c r="L787" i="41" s="1"/>
  <c r="O789" i="41"/>
  <c r="AF846" i="41"/>
  <c r="AK846" i="41"/>
  <c r="AI846" i="41"/>
  <c r="AG846" i="41"/>
  <c r="AJ846" i="41"/>
  <c r="AH846" i="41"/>
  <c r="W1534" i="41"/>
  <c r="X1534" i="41"/>
  <c r="P1535" i="41"/>
  <c r="R1535" i="41"/>
  <c r="V1535" i="41" s="1"/>
  <c r="I1533" i="41"/>
  <c r="U788" i="41"/>
  <c r="AC787" i="41" s="1"/>
  <c r="AE847" i="41" s="1" a="1"/>
  <c r="AE847" i="41" s="1"/>
  <c r="Q789" i="41"/>
  <c r="AB788" i="41" a="1"/>
  <c r="AB788" i="41" s="1"/>
  <c r="AK1531" i="41"/>
  <c r="AG1531" i="41"/>
  <c r="AF1531" i="41"/>
  <c r="AH1531" i="41"/>
  <c r="AI1531" i="41"/>
  <c r="AJ1531" i="41"/>
  <c r="W788" i="41"/>
  <c r="X788" i="41"/>
  <c r="P789" i="41"/>
  <c r="O1535" i="41"/>
  <c r="U1534" i="41"/>
  <c r="AD1533" i="41" s="1"/>
  <c r="Q1535" i="41"/>
  <c r="AB1532" i="41"/>
  <c r="AD786" i="41"/>
  <c r="AH1530" i="41"/>
  <c r="AI1530" i="41"/>
  <c r="AF1530" i="41"/>
  <c r="AG1530" i="41"/>
  <c r="AK1530" i="41"/>
  <c r="AJ1530" i="41"/>
  <c r="T1532" i="41" l="1"/>
  <c r="AB1533" i="41"/>
  <c r="AC1533" i="41"/>
  <c r="T1533" i="41" s="1"/>
  <c r="M1531" i="41"/>
  <c r="AK847" i="41"/>
  <c r="AG847" i="41"/>
  <c r="AJ847" i="41"/>
  <c r="AI847" i="41"/>
  <c r="AH847" i="41"/>
  <c r="AF847" i="41"/>
  <c r="O1536" i="41"/>
  <c r="R1536" i="41"/>
  <c r="V1536" i="41" s="1"/>
  <c r="AD787" i="41"/>
  <c r="W789" i="41"/>
  <c r="X789" i="41"/>
  <c r="P790" i="41"/>
  <c r="S788" i="41"/>
  <c r="AF1532" i="41"/>
  <c r="AI1532" i="41"/>
  <c r="AJ1532" i="41"/>
  <c r="AG1532" i="41"/>
  <c r="AK1532" i="41"/>
  <c r="AH1532" i="41"/>
  <c r="AE1533" i="41"/>
  <c r="U1535" i="41"/>
  <c r="AB1534" i="41" s="1"/>
  <c r="Q1536" i="41"/>
  <c r="W1535" i="41"/>
  <c r="X1535" i="41"/>
  <c r="P1536" i="41"/>
  <c r="U789" i="41"/>
  <c r="AD788" i="41" s="1"/>
  <c r="Q790" i="41"/>
  <c r="M788" i="41"/>
  <c r="L788" i="41" s="1"/>
  <c r="M1530" i="41"/>
  <c r="L1530" i="41" s="1"/>
  <c r="S1534" i="41"/>
  <c r="R790" i="41"/>
  <c r="V790" i="41" s="1"/>
  <c r="O790" i="41"/>
  <c r="AB789" i="41" a="1"/>
  <c r="AB789" i="41" s="1"/>
  <c r="AB790" i="41" l="1" a="1"/>
  <c r="AB790" i="41" s="1"/>
  <c r="L1531" i="41"/>
  <c r="S1535" i="41"/>
  <c r="I1535" i="41" s="1"/>
  <c r="AD1534" i="41"/>
  <c r="AC1534" i="41"/>
  <c r="T1534" i="41" s="1"/>
  <c r="AC788" i="41"/>
  <c r="AE848" i="41" s="1" a="1"/>
  <c r="AE848" i="41" s="1"/>
  <c r="AG848" i="41" s="1"/>
  <c r="M1532" i="41"/>
  <c r="H1535" i="41"/>
  <c r="G1535" i="41" s="1"/>
  <c r="W1536" i="41"/>
  <c r="X1536" i="41"/>
  <c r="P1537" i="41"/>
  <c r="I788" i="41"/>
  <c r="H788" i="41"/>
  <c r="G788" i="41" s="1"/>
  <c r="O791" i="41"/>
  <c r="W790" i="41"/>
  <c r="X790" i="41"/>
  <c r="P791" i="41"/>
  <c r="I1534" i="41"/>
  <c r="H1534" i="41"/>
  <c r="G1534" i="41" s="1"/>
  <c r="O1537" i="41"/>
  <c r="R791" i="41"/>
  <c r="S789" i="41"/>
  <c r="AH1533" i="41"/>
  <c r="AJ1533" i="41"/>
  <c r="AK1533" i="41"/>
  <c r="AG1533" i="41"/>
  <c r="AI1533" i="41"/>
  <c r="AF1533" i="41"/>
  <c r="M789" i="41"/>
  <c r="L789" i="41" s="1"/>
  <c r="R1537" i="41"/>
  <c r="U790" i="41"/>
  <c r="Q791" i="41"/>
  <c r="U1536" i="41"/>
  <c r="AC1535" i="41" s="1"/>
  <c r="Q1537" i="41"/>
  <c r="L1532" i="41" l="1"/>
  <c r="AK848" i="41"/>
  <c r="AI848" i="41"/>
  <c r="AH848" i="41"/>
  <c r="AF848" i="41"/>
  <c r="AJ848" i="41"/>
  <c r="AE1534" i="41"/>
  <c r="AH1534" i="41" s="1"/>
  <c r="S790" i="41"/>
  <c r="I790" i="41" s="1"/>
  <c r="M1533" i="41"/>
  <c r="L1533" i="41" s="1"/>
  <c r="AD1535" i="41"/>
  <c r="S1536" i="41"/>
  <c r="AC789" i="41"/>
  <c r="AE849" i="41" s="1" a="1"/>
  <c r="AE849" i="41" s="1"/>
  <c r="U791" i="41"/>
  <c r="AC790" i="41" s="1"/>
  <c r="AE850" i="41" s="1" a="1"/>
  <c r="AE850" i="41" s="1"/>
  <c r="Q792" i="41"/>
  <c r="W791" i="41"/>
  <c r="X791" i="41"/>
  <c r="P792" i="41"/>
  <c r="W1537" i="41"/>
  <c r="X1537" i="41"/>
  <c r="P1538" i="41"/>
  <c r="R792" i="41"/>
  <c r="AD789" i="41"/>
  <c r="AB791" i="41" a="1"/>
  <c r="AB791" i="41" s="1"/>
  <c r="AB1535" i="41"/>
  <c r="R1538" i="41"/>
  <c r="U1537" i="41"/>
  <c r="Q1538" i="41"/>
  <c r="M790" i="41"/>
  <c r="L790" i="41" s="1"/>
  <c r="AE1535" i="41"/>
  <c r="T1535" i="41"/>
  <c r="V1537" i="41"/>
  <c r="O1538" i="41" s="1"/>
  <c r="O792" i="41"/>
  <c r="V791" i="41"/>
  <c r="I789" i="41"/>
  <c r="H789" i="41"/>
  <c r="G789" i="41" s="1"/>
  <c r="H790" i="41" l="1"/>
  <c r="G790" i="41" s="1"/>
  <c r="V1538" i="41"/>
  <c r="AF1534" i="41"/>
  <c r="AI1534" i="41"/>
  <c r="AG1534" i="41"/>
  <c r="AK1534" i="41"/>
  <c r="M1534" i="41" s="1"/>
  <c r="L1534" i="41" s="1"/>
  <c r="S1537" i="41"/>
  <c r="H1537" i="41" s="1"/>
  <c r="G1537" i="41" s="1"/>
  <c r="S791" i="41"/>
  <c r="I791" i="41" s="1"/>
  <c r="AJ1534" i="41"/>
  <c r="AB792" i="41" a="1"/>
  <c r="AB792" i="41" s="1"/>
  <c r="AD790" i="41"/>
  <c r="AD1536" i="41"/>
  <c r="H1536" i="41"/>
  <c r="G1536" i="41" s="1"/>
  <c r="I1536" i="41"/>
  <c r="W1538" i="41"/>
  <c r="X1538" i="41"/>
  <c r="P1539" i="41"/>
  <c r="M791" i="41"/>
  <c r="L791" i="41" s="1"/>
  <c r="AI1535" i="41"/>
  <c r="AF1535" i="41"/>
  <c r="AG1535" i="41"/>
  <c r="AJ1535" i="41"/>
  <c r="AH1535" i="41"/>
  <c r="AK1535" i="41"/>
  <c r="U792" i="41"/>
  <c r="AC791" i="41" s="1"/>
  <c r="AE851" i="41" s="1" a="1"/>
  <c r="AE851" i="41" s="1"/>
  <c r="Q793" i="41"/>
  <c r="V792" i="41"/>
  <c r="O793" i="41" s="1"/>
  <c r="R793" i="41"/>
  <c r="V793" i="41" s="1"/>
  <c r="AJ849" i="41"/>
  <c r="AG849" i="41"/>
  <c r="AK849" i="41"/>
  <c r="AF849" i="41"/>
  <c r="AI849" i="41"/>
  <c r="AH849" i="41"/>
  <c r="O1539" i="41"/>
  <c r="Q1539" i="41"/>
  <c r="U1538" i="41"/>
  <c r="AD1537" i="41" s="1"/>
  <c r="R1539" i="41"/>
  <c r="V1539" i="41" s="1"/>
  <c r="I1537" i="41"/>
  <c r="W792" i="41"/>
  <c r="P793" i="41"/>
  <c r="X792" i="41"/>
  <c r="AH850" i="41"/>
  <c r="AJ850" i="41"/>
  <c r="AG850" i="41"/>
  <c r="AF850" i="41"/>
  <c r="AI850" i="41"/>
  <c r="AK850" i="41"/>
  <c r="AB1536" i="41"/>
  <c r="AC1536" i="41"/>
  <c r="H791" i="41" l="1"/>
  <c r="G791" i="41" s="1"/>
  <c r="AD791" i="41"/>
  <c r="AB793" i="41" a="1"/>
  <c r="AB793" i="41" s="1"/>
  <c r="M1535" i="41"/>
  <c r="L1535" i="41" s="1"/>
  <c r="W793" i="41"/>
  <c r="X793" i="41"/>
  <c r="P794" i="41"/>
  <c r="AI851" i="41"/>
  <c r="AF851" i="41"/>
  <c r="AJ851" i="41"/>
  <c r="AK851" i="41"/>
  <c r="AG851" i="41"/>
  <c r="AH851" i="41"/>
  <c r="W1539" i="41"/>
  <c r="X1539" i="41"/>
  <c r="P1540" i="41"/>
  <c r="M792" i="41"/>
  <c r="L792" i="41" s="1"/>
  <c r="O794" i="41"/>
  <c r="R1540" i="41"/>
  <c r="V1540" i="41" s="1"/>
  <c r="AC1537" i="41"/>
  <c r="R794" i="41"/>
  <c r="V794" i="41" s="1"/>
  <c r="AE1536" i="41"/>
  <c r="T1536" i="41"/>
  <c r="O1540" i="41"/>
  <c r="AB1537" i="41"/>
  <c r="U1539" i="41"/>
  <c r="AC1538" i="41" s="1"/>
  <c r="Q1540" i="41"/>
  <c r="S1538" i="41"/>
  <c r="U793" i="41"/>
  <c r="Q794" i="41"/>
  <c r="S792" i="41"/>
  <c r="S793" i="41" l="1"/>
  <c r="AB794" i="41" a="1"/>
  <c r="AB794" i="41" s="1"/>
  <c r="AE1538" i="41"/>
  <c r="T1538" i="41"/>
  <c r="I793" i="41"/>
  <c r="H793" i="41"/>
  <c r="G793" i="41" s="1"/>
  <c r="AD1538" i="41"/>
  <c r="O1541" i="41"/>
  <c r="O795" i="41"/>
  <c r="AE1537" i="41"/>
  <c r="T1537" i="41"/>
  <c r="W794" i="41"/>
  <c r="X794" i="41"/>
  <c r="P795" i="41"/>
  <c r="X1540" i="41"/>
  <c r="W1540" i="41"/>
  <c r="P1541" i="41"/>
  <c r="AB1538" i="41"/>
  <c r="U1540" i="41"/>
  <c r="AC1539" i="41" s="1"/>
  <c r="Q1541" i="41"/>
  <c r="I792" i="41"/>
  <c r="H792" i="41"/>
  <c r="G792" i="41" s="1"/>
  <c r="S1539" i="41"/>
  <c r="AD792" i="41"/>
  <c r="AC792" i="41"/>
  <c r="AE852" i="41" s="1" a="1"/>
  <c r="AE852" i="41" s="1"/>
  <c r="R795" i="41"/>
  <c r="V795" i="41" s="1"/>
  <c r="R1541" i="41"/>
  <c r="AH1536" i="41"/>
  <c r="AJ1536" i="41"/>
  <c r="AG1536" i="41"/>
  <c r="AF1536" i="41"/>
  <c r="AI1536" i="41"/>
  <c r="AK1536" i="41"/>
  <c r="I1538" i="41"/>
  <c r="H1538" i="41"/>
  <c r="G1538" i="41" s="1"/>
  <c r="Q795" i="41"/>
  <c r="U794" i="41"/>
  <c r="S794" i="41" s="1"/>
  <c r="M793" i="41"/>
  <c r="L793" i="41" s="1"/>
  <c r="AD793" i="41" l="1"/>
  <c r="M1536" i="41"/>
  <c r="L1536" i="41" s="1"/>
  <c r="S1540" i="41"/>
  <c r="AD1539" i="41"/>
  <c r="AC793" i="41"/>
  <c r="AE853" i="41" s="1" a="1"/>
  <c r="AE853" i="41" s="1"/>
  <c r="AK853" i="41" s="1"/>
  <c r="I1540" i="41"/>
  <c r="H1540" i="41"/>
  <c r="G1540" i="41" s="1"/>
  <c r="I794" i="41"/>
  <c r="H794" i="41"/>
  <c r="G794" i="41" s="1"/>
  <c r="AE1539" i="41"/>
  <c r="T1539" i="41"/>
  <c r="R1542" i="41"/>
  <c r="W795" i="41"/>
  <c r="X795" i="41"/>
  <c r="P796" i="41"/>
  <c r="I1539" i="41"/>
  <c r="H1539" i="41"/>
  <c r="G1539" i="41" s="1"/>
  <c r="W1541" i="41"/>
  <c r="X1541" i="41"/>
  <c r="P1542" i="41"/>
  <c r="AK1537" i="41"/>
  <c r="AF1537" i="41"/>
  <c r="AH1537" i="41"/>
  <c r="AG1537" i="41"/>
  <c r="AI1537" i="41"/>
  <c r="AJ1537" i="41"/>
  <c r="Q1542" i="41"/>
  <c r="U1541" i="41"/>
  <c r="S1541" i="41" s="1"/>
  <c r="I1541" i="41" s="1"/>
  <c r="R796" i="41"/>
  <c r="V796" i="41" s="1"/>
  <c r="AJ852" i="41"/>
  <c r="AG852" i="41"/>
  <c r="AI852" i="41"/>
  <c r="AF852" i="41"/>
  <c r="AK852" i="41"/>
  <c r="AH852" i="41"/>
  <c r="O796" i="41"/>
  <c r="V1541" i="41"/>
  <c r="O1542" i="41" s="1"/>
  <c r="AB1539" i="41"/>
  <c r="U795" i="41"/>
  <c r="AD794" i="41" s="1"/>
  <c r="Q796" i="41"/>
  <c r="M794" i="41"/>
  <c r="L794" i="41" s="1"/>
  <c r="AB795" i="41" a="1"/>
  <c r="AB795" i="41" s="1"/>
  <c r="AG1538" i="41"/>
  <c r="AI1538" i="41"/>
  <c r="AJ1538" i="41"/>
  <c r="AF1538" i="41"/>
  <c r="AH1538" i="41"/>
  <c r="AK1538" i="41"/>
  <c r="V1542" i="41" l="1"/>
  <c r="AF853" i="41"/>
  <c r="M1538" i="41"/>
  <c r="AG853" i="41"/>
  <c r="S795" i="41"/>
  <c r="I795" i="41" s="1"/>
  <c r="AC794" i="41"/>
  <c r="AE854" i="41" s="1" a="1"/>
  <c r="AE854" i="41" s="1"/>
  <c r="AK854" i="41" s="1"/>
  <c r="AH853" i="41"/>
  <c r="AI853" i="41"/>
  <c r="M1537" i="41"/>
  <c r="L1537" i="41" s="1"/>
  <c r="AJ853" i="41"/>
  <c r="W1542" i="41"/>
  <c r="X1542" i="41"/>
  <c r="P1543" i="41"/>
  <c r="AB1540" i="41"/>
  <c r="H1541" i="41"/>
  <c r="G1541" i="41" s="1"/>
  <c r="W796" i="41"/>
  <c r="X796" i="41"/>
  <c r="P797" i="41"/>
  <c r="O1543" i="41"/>
  <c r="R797" i="41"/>
  <c r="H795" i="41"/>
  <c r="G795" i="41" s="1"/>
  <c r="AJ1539" i="41"/>
  <c r="AG1539" i="41"/>
  <c r="AF1539" i="41"/>
  <c r="AK1539" i="41"/>
  <c r="AH1539" i="41"/>
  <c r="AI1539" i="41"/>
  <c r="M795" i="41"/>
  <c r="L795" i="41" s="1"/>
  <c r="O797" i="41"/>
  <c r="U796" i="41"/>
  <c r="S796" i="41" s="1"/>
  <c r="I796" i="41" s="1"/>
  <c r="Q797" i="41"/>
  <c r="R1543" i="41"/>
  <c r="V1543" i="41" s="1"/>
  <c r="AD1540" i="41"/>
  <c r="Q1543" i="41"/>
  <c r="U1542" i="41"/>
  <c r="S1542" i="41" s="1"/>
  <c r="AC1540" i="41"/>
  <c r="AB796" i="41" a="1"/>
  <c r="AB796" i="41" s="1"/>
  <c r="AJ854" i="41" l="1"/>
  <c r="AI854" i="41"/>
  <c r="AH854" i="41"/>
  <c r="AC1541" i="41"/>
  <c r="AE1541" i="41" s="1"/>
  <c r="AB797" i="41" a="1"/>
  <c r="AB797" i="41" s="1"/>
  <c r="L1538" i="41"/>
  <c r="AG854" i="41"/>
  <c r="AF854" i="41"/>
  <c r="AD1541" i="41"/>
  <c r="M1539" i="41"/>
  <c r="AB1541" i="41"/>
  <c r="I1542" i="41"/>
  <c r="H1542" i="41"/>
  <c r="G1542" i="41" s="1"/>
  <c r="M796" i="41"/>
  <c r="L796" i="41" s="1"/>
  <c r="U797" i="41"/>
  <c r="AD796" i="41" s="1"/>
  <c r="Q798" i="41"/>
  <c r="R1544" i="41"/>
  <c r="O1544" i="41"/>
  <c r="H796" i="41"/>
  <c r="G796" i="41" s="1"/>
  <c r="W1543" i="41"/>
  <c r="X1543" i="41"/>
  <c r="P1544" i="41"/>
  <c r="U1543" i="41"/>
  <c r="AC1542" i="41" s="1"/>
  <c r="Q1544" i="41"/>
  <c r="V797" i="41"/>
  <c r="O798" i="41" s="1"/>
  <c r="AE1540" i="41"/>
  <c r="T1540" i="41"/>
  <c r="AC795" i="41"/>
  <c r="AE855" i="41" s="1" a="1"/>
  <c r="AE855" i="41" s="1"/>
  <c r="W797" i="41"/>
  <c r="X797" i="41"/>
  <c r="P798" i="41"/>
  <c r="AD795" i="41"/>
  <c r="R798" i="41"/>
  <c r="V798" i="41" s="1"/>
  <c r="T1541" i="41" l="1"/>
  <c r="L1539" i="41"/>
  <c r="M797" i="41"/>
  <c r="L797" i="41" s="1"/>
  <c r="AD1542" i="41"/>
  <c r="O799" i="41"/>
  <c r="AC796" i="41"/>
  <c r="AE856" i="41" s="1" a="1"/>
  <c r="AE856" i="41" s="1"/>
  <c r="R1545" i="41"/>
  <c r="AJ1541" i="41"/>
  <c r="AG1541" i="41"/>
  <c r="AI1541" i="41"/>
  <c r="AK1541" i="41"/>
  <c r="AF1541" i="41"/>
  <c r="AH1541" i="41"/>
  <c r="AF1540" i="41"/>
  <c r="AH1540" i="41"/>
  <c r="AK1540" i="41"/>
  <c r="AI1540" i="41"/>
  <c r="AG1540" i="41"/>
  <c r="AJ1540" i="41"/>
  <c r="AB798" i="41" a="1"/>
  <c r="AB798" i="41" s="1"/>
  <c r="AG855" i="41"/>
  <c r="AI855" i="41"/>
  <c r="AJ855" i="41"/>
  <c r="AH855" i="41"/>
  <c r="AK855" i="41"/>
  <c r="AF855" i="41"/>
  <c r="U798" i="41"/>
  <c r="Q799" i="41"/>
  <c r="Q1545" i="41"/>
  <c r="U1544" i="41"/>
  <c r="W1544" i="41"/>
  <c r="X1544" i="41"/>
  <c r="P1545" i="41"/>
  <c r="AE1542" i="41"/>
  <c r="T1542" i="41"/>
  <c r="W798" i="41"/>
  <c r="X798" i="41"/>
  <c r="P799" i="41"/>
  <c r="S797" i="41"/>
  <c r="R799" i="41"/>
  <c r="V799" i="41" s="1"/>
  <c r="AB1542" i="41"/>
  <c r="V1544" i="41"/>
  <c r="O1545" i="41" s="1"/>
  <c r="S1543" i="41"/>
  <c r="M1540" i="41" l="1"/>
  <c r="L1540" i="41" s="1"/>
  <c r="M1541" i="41"/>
  <c r="U1545" i="41"/>
  <c r="AC1544" i="41" s="1"/>
  <c r="Q1546" i="41"/>
  <c r="W1545" i="41"/>
  <c r="X1545" i="41"/>
  <c r="P1546" i="41"/>
  <c r="AH856" i="41"/>
  <c r="AJ856" i="41"/>
  <c r="AI856" i="41"/>
  <c r="AK856" i="41"/>
  <c r="AF856" i="41"/>
  <c r="AG856" i="41"/>
  <c r="AB1543" i="41"/>
  <c r="AC797" i="41"/>
  <c r="AE857" i="41" s="1" a="1"/>
  <c r="AE857" i="41" s="1"/>
  <c r="S1544" i="41"/>
  <c r="H1543" i="41"/>
  <c r="G1543" i="41" s="1"/>
  <c r="I1543" i="41"/>
  <c r="W799" i="41"/>
  <c r="X799" i="41"/>
  <c r="P800" i="41"/>
  <c r="S798" i="41"/>
  <c r="R800" i="41"/>
  <c r="V800" i="41" s="1"/>
  <c r="O800" i="41"/>
  <c r="M798" i="41"/>
  <c r="L798" i="41" s="1"/>
  <c r="AD797" i="41"/>
  <c r="AC1543" i="41"/>
  <c r="AK1542" i="41"/>
  <c r="AG1542" i="41"/>
  <c r="AH1542" i="41"/>
  <c r="AI1542" i="41"/>
  <c r="AJ1542" i="41"/>
  <c r="AF1542" i="41"/>
  <c r="AD1543" i="41"/>
  <c r="U799" i="41"/>
  <c r="Q800" i="41"/>
  <c r="V1545" i="41"/>
  <c r="O1546" i="41" s="1"/>
  <c r="R1546" i="41"/>
  <c r="AB799" i="41" a="1"/>
  <c r="AB799" i="41" s="1"/>
  <c r="I797" i="41"/>
  <c r="H797" i="41"/>
  <c r="G797" i="41" s="1"/>
  <c r="AD1544" i="41" l="1"/>
  <c r="L1541" i="41"/>
  <c r="M1542" i="41"/>
  <c r="AB800" i="41" a="1"/>
  <c r="AB800" i="41" s="1"/>
  <c r="R1547" i="41"/>
  <c r="V1547" i="41" s="1"/>
  <c r="H1544" i="41"/>
  <c r="G1544" i="41" s="1"/>
  <c r="I1544" i="41"/>
  <c r="S799" i="41"/>
  <c r="U1546" i="41"/>
  <c r="Q1547" i="41"/>
  <c r="W800" i="41"/>
  <c r="X800" i="41"/>
  <c r="P801" i="41"/>
  <c r="AJ857" i="41"/>
  <c r="AI857" i="41"/>
  <c r="AH857" i="41"/>
  <c r="AF857" i="41"/>
  <c r="AG857" i="41"/>
  <c r="AK857" i="41"/>
  <c r="U800" i="41"/>
  <c r="Q801" i="41"/>
  <c r="AE1544" i="41"/>
  <c r="T1544" i="41"/>
  <c r="W1546" i="41"/>
  <c r="X1546" i="41"/>
  <c r="P1547" i="41"/>
  <c r="V1546" i="41"/>
  <c r="O1547" i="41" s="1"/>
  <c r="R801" i="41"/>
  <c r="V801" i="41" s="1"/>
  <c r="S1545" i="41"/>
  <c r="O801" i="41"/>
  <c r="I798" i="41"/>
  <c r="H798" i="41"/>
  <c r="G798" i="41" s="1"/>
  <c r="AD798" i="41"/>
  <c r="AC798" i="41"/>
  <c r="AE858" i="41" s="1" a="1"/>
  <c r="AE858" i="41" s="1"/>
  <c r="AE1543" i="41"/>
  <c r="T1543" i="41"/>
  <c r="M799" i="41"/>
  <c r="L799" i="41" s="1"/>
  <c r="AB1544" i="41"/>
  <c r="L1542" i="41" l="1"/>
  <c r="W1547" i="41"/>
  <c r="X1547" i="41"/>
  <c r="P1548" i="41"/>
  <c r="M800" i="41"/>
  <c r="L800" i="41" s="1"/>
  <c r="O802" i="41"/>
  <c r="O1548" i="41"/>
  <c r="AI858" i="41"/>
  <c r="AJ858" i="41"/>
  <c r="AF858" i="41"/>
  <c r="AH858" i="41"/>
  <c r="AG858" i="41"/>
  <c r="AK858" i="41"/>
  <c r="I799" i="41"/>
  <c r="H799" i="41"/>
  <c r="G799" i="41" s="1"/>
  <c r="R1548" i="41"/>
  <c r="W801" i="41"/>
  <c r="X801" i="41"/>
  <c r="P802" i="41"/>
  <c r="H1545" i="41"/>
  <c r="G1545" i="41" s="1"/>
  <c r="I1545" i="41"/>
  <c r="U801" i="41"/>
  <c r="AC800" i="41" s="1"/>
  <c r="AE860" i="41" s="1" a="1"/>
  <c r="AE860" i="41" s="1"/>
  <c r="Q802" i="41"/>
  <c r="AC799" i="41"/>
  <c r="AE859" i="41" s="1" a="1"/>
  <c r="AE859" i="41" s="1"/>
  <c r="AB801" i="41" a="1"/>
  <c r="AB801" i="41" s="1"/>
  <c r="AI1544" i="41"/>
  <c r="AF1544" i="41"/>
  <c r="AG1544" i="41"/>
  <c r="AK1544" i="41"/>
  <c r="AH1544" i="41"/>
  <c r="AJ1544" i="41"/>
  <c r="AD799" i="41"/>
  <c r="AB1545" i="41"/>
  <c r="AC1545" i="41"/>
  <c r="AD1545" i="41"/>
  <c r="R802" i="41"/>
  <c r="V802" i="41" s="1"/>
  <c r="S800" i="41"/>
  <c r="U1547" i="41"/>
  <c r="AB1546" i="41" s="1"/>
  <c r="Q1548" i="41"/>
  <c r="AI1543" i="41"/>
  <c r="AJ1543" i="41"/>
  <c r="AF1543" i="41"/>
  <c r="AG1543" i="41"/>
  <c r="AK1543" i="41"/>
  <c r="AH1543" i="41"/>
  <c r="S1546" i="41"/>
  <c r="M1544" i="41" l="1"/>
  <c r="M1543" i="41"/>
  <c r="L1543" i="41" s="1"/>
  <c r="AB802" i="41" a="1"/>
  <c r="AB802" i="41" s="1"/>
  <c r="AC1546" i="41"/>
  <c r="AE1546" i="41" s="1"/>
  <c r="AD1546" i="41"/>
  <c r="S1547" i="41"/>
  <c r="H1547" i="41" s="1"/>
  <c r="G1547" i="41" s="1"/>
  <c r="AK860" i="41"/>
  <c r="AJ860" i="41"/>
  <c r="AH860" i="41"/>
  <c r="AI860" i="41"/>
  <c r="AG860" i="41"/>
  <c r="AF860" i="41"/>
  <c r="U1548" i="41"/>
  <c r="Q1549" i="41"/>
  <c r="W1548" i="41"/>
  <c r="X1548" i="41"/>
  <c r="P1549" i="41"/>
  <c r="W802" i="41"/>
  <c r="X802" i="41"/>
  <c r="P803" i="41"/>
  <c r="AD800" i="41"/>
  <c r="AE1545" i="41"/>
  <c r="T1545" i="41"/>
  <c r="V1548" i="41"/>
  <c r="O1549" i="41" s="1"/>
  <c r="R1549" i="41"/>
  <c r="AF859" i="41"/>
  <c r="AH859" i="41"/>
  <c r="AI859" i="41"/>
  <c r="AK859" i="41"/>
  <c r="AG859" i="41"/>
  <c r="AJ859" i="41"/>
  <c r="O803" i="41"/>
  <c r="I800" i="41"/>
  <c r="H800" i="41"/>
  <c r="G800" i="41" s="1"/>
  <c r="S801" i="41"/>
  <c r="R803" i="41"/>
  <c r="V803" i="41" s="1"/>
  <c r="H1546" i="41"/>
  <c r="G1546" i="41" s="1"/>
  <c r="I1546" i="41"/>
  <c r="U802" i="41"/>
  <c r="AD801" i="41" s="1"/>
  <c r="Q803" i="41"/>
  <c r="M801" i="41"/>
  <c r="L801" i="41" s="1"/>
  <c r="V1549" i="41" l="1"/>
  <c r="AB803" i="41" a="1"/>
  <c r="AB803" i="41" s="1"/>
  <c r="L1544" i="41"/>
  <c r="S1548" i="41"/>
  <c r="T1546" i="41"/>
  <c r="I1547" i="41"/>
  <c r="I1548" i="41"/>
  <c r="H1548" i="41"/>
  <c r="G1548" i="41" s="1"/>
  <c r="I801" i="41"/>
  <c r="H801" i="41"/>
  <c r="G801" i="41" s="1"/>
  <c r="AI1546" i="41"/>
  <c r="AJ1546" i="41"/>
  <c r="AK1546" i="41"/>
  <c r="AG1546" i="41"/>
  <c r="AH1546" i="41"/>
  <c r="AF1546" i="41"/>
  <c r="W1549" i="41"/>
  <c r="X1549" i="41"/>
  <c r="P1550" i="41"/>
  <c r="AF1545" i="41"/>
  <c r="AK1545" i="41"/>
  <c r="AG1545" i="41"/>
  <c r="AJ1545" i="41"/>
  <c r="AI1545" i="41"/>
  <c r="AH1545" i="41"/>
  <c r="R804" i="41"/>
  <c r="O804" i="41"/>
  <c r="W803" i="41"/>
  <c r="X803" i="41"/>
  <c r="P804" i="41"/>
  <c r="S802" i="41"/>
  <c r="AC1547" i="41"/>
  <c r="AD1547" i="41"/>
  <c r="Q1550" i="41"/>
  <c r="U1549" i="41"/>
  <c r="M802" i="41"/>
  <c r="L802" i="41" s="1"/>
  <c r="R1550" i="41"/>
  <c r="V1550" i="41" s="1"/>
  <c r="AC801" i="41"/>
  <c r="AE861" i="41" s="1" a="1"/>
  <c r="AE861" i="41" s="1"/>
  <c r="AB1547" i="41"/>
  <c r="U803" i="41"/>
  <c r="Q804" i="41"/>
  <c r="O1550" i="41"/>
  <c r="AB804" i="41" l="1" a="1"/>
  <c r="AB804" i="41" s="1"/>
  <c r="M1546" i="41"/>
  <c r="M1545" i="41"/>
  <c r="L1545" i="41" s="1"/>
  <c r="AH861" i="41"/>
  <c r="AG861" i="41"/>
  <c r="AF861" i="41"/>
  <c r="AI861" i="41"/>
  <c r="AJ861" i="41"/>
  <c r="AK861" i="41"/>
  <c r="O1551" i="41"/>
  <c r="R805" i="41"/>
  <c r="U804" i="41"/>
  <c r="AD803" i="41" s="1"/>
  <c r="Q805" i="41"/>
  <c r="U1550" i="41"/>
  <c r="AB1549" i="41" s="1"/>
  <c r="Q1551" i="41"/>
  <c r="AE1547" i="41"/>
  <c r="T1547" i="41"/>
  <c r="AC1548" i="41"/>
  <c r="W1550" i="41"/>
  <c r="X1550" i="41"/>
  <c r="P1551" i="41"/>
  <c r="R1551" i="41"/>
  <c r="V1551" i="41" s="1"/>
  <c r="M803" i="41"/>
  <c r="L803" i="41" s="1"/>
  <c r="I802" i="41"/>
  <c r="H802" i="41"/>
  <c r="G802" i="41" s="1"/>
  <c r="AD1548" i="41"/>
  <c r="S1549" i="41"/>
  <c r="AB1548" i="41"/>
  <c r="AC802" i="41"/>
  <c r="AE862" i="41" s="1" a="1"/>
  <c r="AE862" i="41" s="1"/>
  <c r="W804" i="41"/>
  <c r="X804" i="41"/>
  <c r="P805" i="41"/>
  <c r="V804" i="41"/>
  <c r="O805" i="41" s="1"/>
  <c r="AD802" i="41"/>
  <c r="S803" i="41"/>
  <c r="V805" i="41" l="1"/>
  <c r="AD1549" i="41"/>
  <c r="S1550" i="41"/>
  <c r="H1550" i="41" s="1"/>
  <c r="G1550" i="41" s="1"/>
  <c r="L1546" i="41"/>
  <c r="M804" i="41"/>
  <c r="L804" i="41" s="1"/>
  <c r="S804" i="41"/>
  <c r="AC803" i="41"/>
  <c r="AE863" i="41" s="1" a="1"/>
  <c r="AE863" i="41" s="1"/>
  <c r="AJ863" i="41" s="1"/>
  <c r="R806" i="41"/>
  <c r="AF1547" i="41"/>
  <c r="AG1547" i="41"/>
  <c r="AH1547" i="41"/>
  <c r="AI1547" i="41"/>
  <c r="AJ1547" i="41"/>
  <c r="AK1547" i="41"/>
  <c r="W805" i="41"/>
  <c r="X805" i="41"/>
  <c r="P806" i="41"/>
  <c r="O1552" i="41"/>
  <c r="O806" i="41"/>
  <c r="AJ862" i="41"/>
  <c r="AH862" i="41"/>
  <c r="AG862" i="41"/>
  <c r="AI862" i="41"/>
  <c r="AF862" i="41"/>
  <c r="AK862" i="41"/>
  <c r="R1552" i="41"/>
  <c r="V1552" i="41" s="1"/>
  <c r="I1550" i="41"/>
  <c r="AB805" i="41" a="1"/>
  <c r="AB805" i="41" s="1"/>
  <c r="W1551" i="41"/>
  <c r="X1551" i="41"/>
  <c r="P1552" i="41"/>
  <c r="U1551" i="41"/>
  <c r="AB1550" i="41" s="1"/>
  <c r="Q1552" i="41"/>
  <c r="U805" i="41"/>
  <c r="Q806" i="41"/>
  <c r="I1549" i="41"/>
  <c r="H1549" i="41"/>
  <c r="G1549" i="41" s="1"/>
  <c r="I803" i="41"/>
  <c r="H803" i="41"/>
  <c r="G803" i="41" s="1"/>
  <c r="AE1548" i="41"/>
  <c r="T1548" i="41"/>
  <c r="AC1549" i="41"/>
  <c r="AG863" i="41" l="1"/>
  <c r="AF863" i="41"/>
  <c r="AI863" i="41"/>
  <c r="AK863" i="41"/>
  <c r="AH863" i="41"/>
  <c r="S805" i="41"/>
  <c r="I805" i="41" s="1"/>
  <c r="M1547" i="41"/>
  <c r="L1547" i="41" s="1"/>
  <c r="I804" i="41"/>
  <c r="H804" i="41"/>
  <c r="G804" i="41" s="1"/>
  <c r="AD804" i="41"/>
  <c r="AE1549" i="41"/>
  <c r="T1549" i="41"/>
  <c r="M805" i="41"/>
  <c r="L805" i="41" s="1"/>
  <c r="AF1548" i="41"/>
  <c r="AH1548" i="41"/>
  <c r="AG1548" i="41"/>
  <c r="AJ1548" i="41"/>
  <c r="AK1548" i="41"/>
  <c r="AI1548" i="41"/>
  <c r="W806" i="41"/>
  <c r="X806" i="41"/>
  <c r="P807" i="41"/>
  <c r="AC1550" i="41"/>
  <c r="O807" i="41"/>
  <c r="AD1550" i="41"/>
  <c r="U806" i="41"/>
  <c r="Q807" i="41"/>
  <c r="V806" i="41"/>
  <c r="AB806" i="41" a="1"/>
  <c r="AB806" i="41" s="1"/>
  <c r="O1553" i="41"/>
  <c r="R1553" i="41"/>
  <c r="W1552" i="41"/>
  <c r="X1552" i="41"/>
  <c r="P1553" i="41"/>
  <c r="S1551" i="41"/>
  <c r="AC804" i="41"/>
  <c r="AE864" i="41" s="1" a="1"/>
  <c r="AE864" i="41" s="1"/>
  <c r="U1552" i="41"/>
  <c r="Q1553" i="41"/>
  <c r="R807" i="41"/>
  <c r="H805" i="41" l="1"/>
  <c r="G805" i="41" s="1"/>
  <c r="S806" i="41"/>
  <c r="I806" i="41" s="1"/>
  <c r="AB807" i="41" a="1"/>
  <c r="AB807" i="41" s="1"/>
  <c r="AD805" i="41"/>
  <c r="M1548" i="41"/>
  <c r="L1548" i="41" s="1"/>
  <c r="U807" i="41"/>
  <c r="S807" i="41" s="1"/>
  <c r="I807" i="41" s="1"/>
  <c r="Q808" i="41"/>
  <c r="W807" i="41"/>
  <c r="X807" i="41"/>
  <c r="P808" i="41"/>
  <c r="W1553" i="41"/>
  <c r="P1554" i="41"/>
  <c r="X1553" i="41"/>
  <c r="AB1551" i="41"/>
  <c r="AC1551" i="41"/>
  <c r="AD1551" i="41"/>
  <c r="AH864" i="41"/>
  <c r="AF864" i="41"/>
  <c r="AJ864" i="41"/>
  <c r="AK864" i="41"/>
  <c r="AI864" i="41"/>
  <c r="AG864" i="41"/>
  <c r="AF1549" i="41"/>
  <c r="AG1549" i="41"/>
  <c r="AJ1549" i="41"/>
  <c r="AH1549" i="41"/>
  <c r="AK1549" i="41"/>
  <c r="AI1549" i="41"/>
  <c r="U1553" i="41"/>
  <c r="AB1552" i="41" s="1"/>
  <c r="Q1554" i="41"/>
  <c r="AE1550" i="41"/>
  <c r="T1550" i="41"/>
  <c r="R808" i="41"/>
  <c r="R1554" i="41"/>
  <c r="V1553" i="41"/>
  <c r="O1554" i="41" s="1"/>
  <c r="S1552" i="41"/>
  <c r="H1551" i="41"/>
  <c r="G1551" i="41" s="1"/>
  <c r="I1551" i="41"/>
  <c r="H806" i="41"/>
  <c r="G806" i="41" s="1"/>
  <c r="M806" i="41"/>
  <c r="L806" i="41" s="1"/>
  <c r="V807" i="41"/>
  <c r="O808" i="41" s="1"/>
  <c r="AC805" i="41"/>
  <c r="AE865" i="41" s="1" a="1"/>
  <c r="AE865" i="41" s="1"/>
  <c r="AB808" i="41" l="1" a="1"/>
  <c r="AB808" i="41" s="1"/>
  <c r="AD1552" i="41"/>
  <c r="AC806" i="41"/>
  <c r="AE866" i="41" s="1" a="1"/>
  <c r="AE866" i="41" s="1"/>
  <c r="AF866" i="41" s="1"/>
  <c r="AD806" i="41"/>
  <c r="AC1552" i="41"/>
  <c r="AE1552" i="41" s="1"/>
  <c r="M1549" i="41"/>
  <c r="L1549" i="41" s="1"/>
  <c r="W1554" i="41"/>
  <c r="X1554" i="41"/>
  <c r="P1555" i="41"/>
  <c r="I1552" i="41"/>
  <c r="H1552" i="41"/>
  <c r="G1552" i="41" s="1"/>
  <c r="R1555" i="41"/>
  <c r="AH865" i="41"/>
  <c r="AI865" i="41"/>
  <c r="AG865" i="41"/>
  <c r="AJ865" i="41"/>
  <c r="AK865" i="41"/>
  <c r="AF865" i="41"/>
  <c r="U1554" i="41"/>
  <c r="AC1553" i="41" s="1"/>
  <c r="Q1555" i="41"/>
  <c r="AE1551" i="41"/>
  <c r="T1551" i="41"/>
  <c r="R809" i="41"/>
  <c r="V809" i="41" s="1"/>
  <c r="U808" i="41"/>
  <c r="AC807" i="41" s="1"/>
  <c r="AE867" i="41" s="1" a="1"/>
  <c r="AE867" i="41" s="1"/>
  <c r="Q809" i="41"/>
  <c r="AK1550" i="41"/>
  <c r="AF1550" i="41"/>
  <c r="AI1550" i="41"/>
  <c r="AG1550" i="41"/>
  <c r="AH1550" i="41"/>
  <c r="AJ1550" i="41"/>
  <c r="H807" i="41"/>
  <c r="G807" i="41" s="1"/>
  <c r="W808" i="41"/>
  <c r="X808" i="41"/>
  <c r="P809" i="41"/>
  <c r="T1552" i="41"/>
  <c r="M807" i="41"/>
  <c r="L807" i="41" s="1"/>
  <c r="O809" i="41"/>
  <c r="V808" i="41"/>
  <c r="O1555" i="41"/>
  <c r="V1554" i="41"/>
  <c r="S1553" i="41"/>
  <c r="AD1553" i="41" l="1"/>
  <c r="AI866" i="41"/>
  <c r="AJ866" i="41"/>
  <c r="AH866" i="41"/>
  <c r="AK866" i="41"/>
  <c r="AG866" i="41"/>
  <c r="AD807" i="41"/>
  <c r="AB809" i="41" a="1"/>
  <c r="AB809" i="41" s="1"/>
  <c r="M1550" i="41"/>
  <c r="L1550" i="41" s="1"/>
  <c r="U1555" i="41"/>
  <c r="Q1556" i="41"/>
  <c r="AJ867" i="41"/>
  <c r="AH867" i="41"/>
  <c r="AK867" i="41"/>
  <c r="AG867" i="41"/>
  <c r="AF867" i="41"/>
  <c r="AI867" i="41"/>
  <c r="AF1552" i="41"/>
  <c r="AK1552" i="41"/>
  <c r="AH1552" i="41"/>
  <c r="AJ1552" i="41"/>
  <c r="AI1552" i="41"/>
  <c r="AG1552" i="41"/>
  <c r="H1553" i="41"/>
  <c r="G1553" i="41" s="1"/>
  <c r="I1553" i="41"/>
  <c r="W1555" i="41"/>
  <c r="X1555" i="41"/>
  <c r="P1556" i="41"/>
  <c r="AE1553" i="41"/>
  <c r="T1553" i="41"/>
  <c r="S1554" i="41"/>
  <c r="V1555" i="41"/>
  <c r="O1556" i="41" s="1"/>
  <c r="R1556" i="41"/>
  <c r="V1556" i="41" s="1"/>
  <c r="O810" i="41"/>
  <c r="M808" i="41"/>
  <c r="L808" i="41" s="1"/>
  <c r="AD1554" i="41"/>
  <c r="AC1554" i="41"/>
  <c r="AB1553" i="41"/>
  <c r="AB1554" i="41"/>
  <c r="W809" i="41"/>
  <c r="X809" i="41"/>
  <c r="P810" i="41"/>
  <c r="AF1551" i="41"/>
  <c r="AG1551" i="41"/>
  <c r="AK1551" i="41"/>
  <c r="AI1551" i="41"/>
  <c r="AH1551" i="41"/>
  <c r="AJ1551" i="41"/>
  <c r="R810" i="41"/>
  <c r="V810" i="41" s="1"/>
  <c r="Q810" i="41"/>
  <c r="U809" i="41"/>
  <c r="AD808" i="41" s="1"/>
  <c r="S808" i="41"/>
  <c r="AB810" i="41" l="1" a="1"/>
  <c r="AB810" i="41" s="1"/>
  <c r="S1555" i="41"/>
  <c r="I1555" i="41"/>
  <c r="H1555" i="41"/>
  <c r="G1555" i="41" s="1"/>
  <c r="AC808" i="41"/>
  <c r="AE868" i="41" s="1" a="1"/>
  <c r="AE868" i="41" s="1"/>
  <c r="AF868" i="41" s="1"/>
  <c r="M1552" i="41"/>
  <c r="W1556" i="41"/>
  <c r="X1556" i="41"/>
  <c r="P1557" i="41"/>
  <c r="M1551" i="41"/>
  <c r="L1551" i="41" s="1"/>
  <c r="AE1554" i="41"/>
  <c r="T1554" i="41"/>
  <c r="O1557" i="41"/>
  <c r="AJ1553" i="41"/>
  <c r="AK1553" i="41"/>
  <c r="AF1553" i="41"/>
  <c r="AG1553" i="41"/>
  <c r="AI1553" i="41"/>
  <c r="AH1553" i="41"/>
  <c r="I808" i="41"/>
  <c r="H808" i="41"/>
  <c r="G808" i="41" s="1"/>
  <c r="S809" i="41"/>
  <c r="R811" i="41"/>
  <c r="V811" i="41" s="1"/>
  <c r="W810" i="41"/>
  <c r="P811" i="41"/>
  <c r="X810" i="41"/>
  <c r="Q1557" i="41"/>
  <c r="U1556" i="41"/>
  <c r="S1556" i="41" s="1"/>
  <c r="M809" i="41"/>
  <c r="L809" i="41" s="1"/>
  <c r="H1554" i="41"/>
  <c r="G1554" i="41" s="1"/>
  <c r="I1554" i="41"/>
  <c r="R1557" i="41"/>
  <c r="O811" i="41"/>
  <c r="U810" i="41"/>
  <c r="Q811" i="41"/>
  <c r="L1552" i="41" l="1"/>
  <c r="AG868" i="41"/>
  <c r="AH868" i="41"/>
  <c r="AI868" i="41"/>
  <c r="AJ868" i="41"/>
  <c r="AK868" i="41"/>
  <c r="M1553" i="41"/>
  <c r="I1556" i="41"/>
  <c r="H1556" i="41"/>
  <c r="G1556" i="41" s="1"/>
  <c r="O812" i="41"/>
  <c r="R812" i="41"/>
  <c r="V812" i="41" s="1"/>
  <c r="AK1554" i="41"/>
  <c r="AF1554" i="41"/>
  <c r="AH1554" i="41"/>
  <c r="AG1554" i="41"/>
  <c r="AI1554" i="41"/>
  <c r="AJ1554" i="41"/>
  <c r="Q1558" i="41"/>
  <c r="U1557" i="41"/>
  <c r="AC1556" i="41" s="1"/>
  <c r="AB1555" i="41"/>
  <c r="M810" i="41"/>
  <c r="L810" i="41" s="1"/>
  <c r="Q812" i="41"/>
  <c r="U811" i="41"/>
  <c r="AD810" i="41" s="1"/>
  <c r="W1557" i="41"/>
  <c r="X1557" i="41"/>
  <c r="P1558" i="41"/>
  <c r="R1558" i="41"/>
  <c r="AB811" i="41" a="1"/>
  <c r="AB811" i="41" s="1"/>
  <c r="I809" i="41"/>
  <c r="H809" i="41"/>
  <c r="G809" i="41" s="1"/>
  <c r="S810" i="41"/>
  <c r="W811" i="41"/>
  <c r="X811" i="41"/>
  <c r="P812" i="41"/>
  <c r="AC1555" i="41"/>
  <c r="AD1555" i="41"/>
  <c r="AC809" i="41"/>
  <c r="AE869" i="41" s="1" a="1"/>
  <c r="AE869" i="41" s="1"/>
  <c r="V1557" i="41"/>
  <c r="O1558" i="41" s="1"/>
  <c r="AD809" i="41"/>
  <c r="L1553" i="41" l="1"/>
  <c r="AD1556" i="41"/>
  <c r="M1554" i="41"/>
  <c r="M811" i="41"/>
  <c r="L811" i="41" s="1"/>
  <c r="AC810" i="41"/>
  <c r="AE870" i="41" s="1" a="1"/>
  <c r="AE870" i="41" s="1"/>
  <c r="AJ870" i="41" s="1"/>
  <c r="AE1556" i="41"/>
  <c r="T1556" i="41"/>
  <c r="W1558" i="41"/>
  <c r="X1558" i="41"/>
  <c r="P1559" i="41"/>
  <c r="O813" i="41"/>
  <c r="U812" i="41"/>
  <c r="Q813" i="41"/>
  <c r="I810" i="41"/>
  <c r="H810" i="41"/>
  <c r="G810" i="41" s="1"/>
  <c r="U1558" i="41"/>
  <c r="Q1559" i="41"/>
  <c r="AB812" i="41" a="1"/>
  <c r="AB812" i="41" s="1"/>
  <c r="AB1556" i="41"/>
  <c r="W812" i="41"/>
  <c r="X812" i="41"/>
  <c r="P813" i="41"/>
  <c r="R1559" i="41"/>
  <c r="V1559" i="41" s="1"/>
  <c r="V1558" i="41"/>
  <c r="O1559" i="41" s="1"/>
  <c r="S811" i="41"/>
  <c r="S1557" i="41"/>
  <c r="AE1555" i="41"/>
  <c r="T1555" i="41"/>
  <c r="AG869" i="41"/>
  <c r="AK869" i="41"/>
  <c r="AI869" i="41"/>
  <c r="AH869" i="41"/>
  <c r="AJ869" i="41"/>
  <c r="AF869" i="41"/>
  <c r="R813" i="41"/>
  <c r="V813" i="41" s="1"/>
  <c r="AD811" i="41"/>
  <c r="AC811" i="41"/>
  <c r="AE871" i="41" s="1" a="1"/>
  <c r="AE871" i="41" s="1"/>
  <c r="S812" i="41" l="1"/>
  <c r="L1554" i="41"/>
  <c r="AH870" i="41"/>
  <c r="AF870" i="41"/>
  <c r="S1558" i="41"/>
  <c r="I1558" i="41" s="1"/>
  <c r="AK870" i="41"/>
  <c r="I812" i="41"/>
  <c r="H812" i="41"/>
  <c r="G812" i="41" s="1"/>
  <c r="AG870" i="41"/>
  <c r="AI870" i="41"/>
  <c r="W1559" i="41"/>
  <c r="X1559" i="41"/>
  <c r="P1560" i="41"/>
  <c r="O1560" i="41"/>
  <c r="U1559" i="41"/>
  <c r="AD1558" i="41" s="1"/>
  <c r="Q1560" i="41"/>
  <c r="W813" i="41"/>
  <c r="X813" i="41"/>
  <c r="P814" i="41"/>
  <c r="R1560" i="41"/>
  <c r="O814" i="41"/>
  <c r="R814" i="41"/>
  <c r="V814" i="41" s="1"/>
  <c r="AF1555" i="41"/>
  <c r="AH1555" i="41"/>
  <c r="AI1555" i="41"/>
  <c r="AJ1555" i="41"/>
  <c r="AK1555" i="41"/>
  <c r="AG1555" i="41"/>
  <c r="M812" i="41"/>
  <c r="L812" i="41" s="1"/>
  <c r="H1558" i="41"/>
  <c r="G1558" i="41" s="1"/>
  <c r="AG871" i="41"/>
  <c r="AJ871" i="41"/>
  <c r="AH871" i="41"/>
  <c r="AI871" i="41"/>
  <c r="AF871" i="41"/>
  <c r="AK871" i="41"/>
  <c r="I1557" i="41"/>
  <c r="H1557" i="41"/>
  <c r="G1557" i="41" s="1"/>
  <c r="AB813" i="41" a="1"/>
  <c r="AB813" i="41" s="1"/>
  <c r="AB1557" i="41"/>
  <c r="AC1557" i="41"/>
  <c r="U813" i="41"/>
  <c r="AD812" i="41" s="1"/>
  <c r="Q814" i="41"/>
  <c r="I811" i="41"/>
  <c r="H811" i="41"/>
  <c r="G811" i="41" s="1"/>
  <c r="AD1557" i="41"/>
  <c r="AH1556" i="41"/>
  <c r="AJ1556" i="41"/>
  <c r="AK1556" i="41"/>
  <c r="AF1556" i="41"/>
  <c r="AG1556" i="41"/>
  <c r="AI1556" i="41"/>
  <c r="S813" i="41" l="1"/>
  <c r="I813" i="41" s="1"/>
  <c r="AC812" i="41"/>
  <c r="AE872" i="41" s="1" a="1"/>
  <c r="AE872" i="41" s="1"/>
  <c r="AF872" i="41" s="1"/>
  <c r="M1556" i="41"/>
  <c r="W814" i="41"/>
  <c r="X814" i="41"/>
  <c r="P815" i="41"/>
  <c r="O1561" i="41"/>
  <c r="U1560" i="41"/>
  <c r="AD1559" i="41" s="1"/>
  <c r="Q1561" i="41"/>
  <c r="V1560" i="41"/>
  <c r="W1560" i="41"/>
  <c r="X1560" i="41"/>
  <c r="P1561" i="41"/>
  <c r="S1559" i="41"/>
  <c r="R1561" i="41"/>
  <c r="O815" i="41"/>
  <c r="H813" i="41"/>
  <c r="G813" i="41" s="1"/>
  <c r="R815" i="41"/>
  <c r="M1555" i="41"/>
  <c r="L1555" i="41" s="1"/>
  <c r="M813" i="41"/>
  <c r="L813" i="41" s="1"/>
  <c r="AE1557" i="41"/>
  <c r="T1557" i="41"/>
  <c r="Q815" i="41"/>
  <c r="U814" i="41"/>
  <c r="AB1558" i="41"/>
  <c r="AB814" i="41" a="1"/>
  <c r="AB814" i="41" s="1"/>
  <c r="AC1558" i="41"/>
  <c r="V1561" i="41" l="1"/>
  <c r="AJ872" i="41"/>
  <c r="AI872" i="41"/>
  <c r="AB815" i="41" a="1"/>
  <c r="AB815" i="41" s="1"/>
  <c r="AG872" i="41"/>
  <c r="AK872" i="41"/>
  <c r="AH872" i="41"/>
  <c r="L1556" i="41"/>
  <c r="O1562" i="41"/>
  <c r="AE1558" i="41"/>
  <c r="T1558" i="41"/>
  <c r="U815" i="41"/>
  <c r="AD814" i="41" s="1"/>
  <c r="Q816" i="41"/>
  <c r="W1561" i="41"/>
  <c r="X1561" i="41"/>
  <c r="P1562" i="41"/>
  <c r="AJ1557" i="41"/>
  <c r="AG1557" i="41"/>
  <c r="AI1557" i="41"/>
  <c r="AK1557" i="41"/>
  <c r="AH1557" i="41"/>
  <c r="AF1557" i="41"/>
  <c r="R816" i="41"/>
  <c r="V816" i="41" s="1"/>
  <c r="W815" i="41"/>
  <c r="X815" i="41"/>
  <c r="P816" i="41"/>
  <c r="V815" i="41"/>
  <c r="O816" i="41" s="1"/>
  <c r="S814" i="41"/>
  <c r="S1560" i="41"/>
  <c r="AB1559" i="41"/>
  <c r="U1561" i="41"/>
  <c r="AD1560" i="41" s="1"/>
  <c r="Q1562" i="41"/>
  <c r="AC1559" i="41"/>
  <c r="AC813" i="41"/>
  <c r="AE873" i="41" s="1" a="1"/>
  <c r="AE873" i="41" s="1"/>
  <c r="H1559" i="41"/>
  <c r="G1559" i="41" s="1"/>
  <c r="I1559" i="41"/>
  <c r="AD813" i="41"/>
  <c r="R1562" i="41"/>
  <c r="M814" i="41"/>
  <c r="L814" i="41" s="1"/>
  <c r="AB1560" i="41" l="1"/>
  <c r="AC1560" i="41"/>
  <c r="S815" i="41"/>
  <c r="I815" i="41" s="1"/>
  <c r="AC814" i="41"/>
  <c r="AE874" i="41" s="1" a="1"/>
  <c r="AE874" i="41" s="1"/>
  <c r="AI874" i="41" s="1"/>
  <c r="M1557" i="41"/>
  <c r="L1557" i="41" s="1"/>
  <c r="W816" i="41"/>
  <c r="X816" i="41"/>
  <c r="P817" i="41"/>
  <c r="I814" i="41"/>
  <c r="H814" i="41"/>
  <c r="G814" i="41" s="1"/>
  <c r="O817" i="41"/>
  <c r="U1562" i="41"/>
  <c r="AD1561" i="41" s="1"/>
  <c r="Q1563" i="41"/>
  <c r="AE1560" i="41"/>
  <c r="T1560" i="41"/>
  <c r="AE1559" i="41"/>
  <c r="T1559" i="41"/>
  <c r="H815" i="41"/>
  <c r="G815" i="41" s="1"/>
  <c r="AK1558" i="41"/>
  <c r="AG1558" i="41"/>
  <c r="AJ1558" i="41"/>
  <c r="AH1558" i="41"/>
  <c r="AF1558" i="41"/>
  <c r="AI1558" i="41"/>
  <c r="W1562" i="41"/>
  <c r="X1562" i="41"/>
  <c r="P1563" i="41"/>
  <c r="I1560" i="41"/>
  <c r="H1560" i="41"/>
  <c r="G1560" i="41" s="1"/>
  <c r="R817" i="41"/>
  <c r="V817" i="41" s="1"/>
  <c r="M815" i="41"/>
  <c r="L815" i="41" s="1"/>
  <c r="S1561" i="41"/>
  <c r="AF873" i="41"/>
  <c r="AH873" i="41"/>
  <c r="AG873" i="41"/>
  <c r="AK873" i="41"/>
  <c r="AI873" i="41"/>
  <c r="AJ873" i="41"/>
  <c r="R1563" i="41"/>
  <c r="V1562" i="41"/>
  <c r="O1563" i="41" s="1"/>
  <c r="Q817" i="41"/>
  <c r="U816" i="41"/>
  <c r="AB816" i="41" a="1"/>
  <c r="AB816" i="41" s="1"/>
  <c r="AB817" i="41" l="1" a="1"/>
  <c r="AB817" i="41" s="1"/>
  <c r="AC1561" i="41"/>
  <c r="AE1561" i="41" s="1"/>
  <c r="AG874" i="41"/>
  <c r="AJ874" i="41"/>
  <c r="AF874" i="41"/>
  <c r="AK874" i="41"/>
  <c r="AH874" i="41"/>
  <c r="M1558" i="41"/>
  <c r="L1558" i="41" s="1"/>
  <c r="AG1559" i="41"/>
  <c r="AH1559" i="41"/>
  <c r="AI1559" i="41"/>
  <c r="AJ1559" i="41"/>
  <c r="AK1559" i="41"/>
  <c r="AF1559" i="41"/>
  <c r="I1561" i="41"/>
  <c r="H1561" i="41"/>
  <c r="G1561" i="41" s="1"/>
  <c r="AC815" i="41"/>
  <c r="AE875" i="41" s="1" a="1"/>
  <c r="AE875" i="41" s="1"/>
  <c r="O818" i="41"/>
  <c r="AD815" i="41"/>
  <c r="T1561" i="41"/>
  <c r="AH1560" i="41"/>
  <c r="AG1560" i="41"/>
  <c r="AI1560" i="41"/>
  <c r="AK1560" i="41"/>
  <c r="AJ1560" i="41"/>
  <c r="AF1560" i="41"/>
  <c r="U1563" i="41"/>
  <c r="AD1562" i="41" s="1"/>
  <c r="Q1564" i="41"/>
  <c r="S1562" i="41"/>
  <c r="AB1561" i="41"/>
  <c r="W1563" i="41"/>
  <c r="X1563" i="41"/>
  <c r="P1564" i="41"/>
  <c r="U817" i="41"/>
  <c r="Q818" i="41"/>
  <c r="V1563" i="41"/>
  <c r="O1564" i="41" s="1"/>
  <c r="W817" i="41"/>
  <c r="X817" i="41"/>
  <c r="P818" i="41"/>
  <c r="R818" i="41"/>
  <c r="V818" i="41" s="1"/>
  <c r="S816" i="41"/>
  <c r="R1564" i="41"/>
  <c r="V1564" i="41" s="1"/>
  <c r="M816" i="41"/>
  <c r="L816" i="41" s="1"/>
  <c r="M1560" i="41" l="1"/>
  <c r="S817" i="41"/>
  <c r="I817" i="41" s="1"/>
  <c r="AC816" i="41"/>
  <c r="AE876" i="41" s="1" a="1"/>
  <c r="AE876" i="41" s="1"/>
  <c r="AK876" i="41" s="1"/>
  <c r="AD816" i="41"/>
  <c r="AB1562" i="41"/>
  <c r="AB818" i="41" a="1"/>
  <c r="AB818" i="41" s="1"/>
  <c r="AC1562" i="41"/>
  <c r="AE1562" i="41" s="1"/>
  <c r="M1559" i="41"/>
  <c r="L1559" i="41" s="1"/>
  <c r="AK875" i="41"/>
  <c r="AF875" i="41"/>
  <c r="AG875" i="41"/>
  <c r="AJ875" i="41"/>
  <c r="AI875" i="41"/>
  <c r="AH875" i="41"/>
  <c r="R819" i="41"/>
  <c r="M817" i="41"/>
  <c r="L817" i="41" s="1"/>
  <c r="H817" i="41"/>
  <c r="G817" i="41" s="1"/>
  <c r="I1562" i="41"/>
  <c r="H1562" i="41"/>
  <c r="G1562" i="41" s="1"/>
  <c r="U1564" i="41"/>
  <c r="Q1565" i="41"/>
  <c r="S1563" i="41"/>
  <c r="AH1561" i="41"/>
  <c r="AI1561" i="41"/>
  <c r="AG1561" i="41"/>
  <c r="AJ1561" i="41"/>
  <c r="AF1561" i="41"/>
  <c r="AK1561" i="41"/>
  <c r="O819" i="41"/>
  <c r="R1565" i="41"/>
  <c r="V1565" i="41" s="1"/>
  <c r="O1565" i="41"/>
  <c r="W1564" i="41"/>
  <c r="X1564" i="41"/>
  <c r="P1565" i="41"/>
  <c r="I816" i="41"/>
  <c r="H816" i="41"/>
  <c r="G816" i="41" s="1"/>
  <c r="Q819" i="41"/>
  <c r="U818" i="41"/>
  <c r="S818" i="41" s="1"/>
  <c r="I818" i="41" s="1"/>
  <c r="W818" i="41"/>
  <c r="X818" i="41"/>
  <c r="P819" i="41"/>
  <c r="T1562" i="41" l="1"/>
  <c r="L1560" i="41"/>
  <c r="AG876" i="41"/>
  <c r="AF876" i="41"/>
  <c r="AH876" i="41"/>
  <c r="AI876" i="41"/>
  <c r="AJ876" i="41"/>
  <c r="M1561" i="41"/>
  <c r="AB819" i="41" a="1"/>
  <c r="AB819" i="41" s="1"/>
  <c r="AD817" i="41"/>
  <c r="AC817" i="41"/>
  <c r="AE877" i="41" s="1" a="1"/>
  <c r="AE877" i="41" s="1"/>
  <c r="AF877" i="41" s="1"/>
  <c r="O1566" i="41"/>
  <c r="U819" i="41"/>
  <c r="Q820" i="41"/>
  <c r="W819" i="41"/>
  <c r="X819" i="41"/>
  <c r="P820" i="41"/>
  <c r="M818" i="41"/>
  <c r="L818" i="41" s="1"/>
  <c r="AB1563" i="41"/>
  <c r="AF1562" i="41"/>
  <c r="AG1562" i="41"/>
  <c r="AI1562" i="41"/>
  <c r="AH1562" i="41"/>
  <c r="AJ1562" i="41"/>
  <c r="AK1562" i="41"/>
  <c r="AC1563" i="41"/>
  <c r="R1566" i="41"/>
  <c r="V1566" i="41" s="1"/>
  <c r="H818" i="41"/>
  <c r="G818" i="41" s="1"/>
  <c r="R820" i="41"/>
  <c r="W1565" i="41"/>
  <c r="P1566" i="41"/>
  <c r="X1565" i="41"/>
  <c r="AD1563" i="41"/>
  <c r="S1564" i="41"/>
  <c r="V819" i="41"/>
  <c r="O820" i="41" s="1"/>
  <c r="U1565" i="41"/>
  <c r="Q1566" i="41"/>
  <c r="H1563" i="41"/>
  <c r="G1563" i="41" s="1"/>
  <c r="I1563" i="41"/>
  <c r="V820" i="41" l="1"/>
  <c r="L1561" i="41"/>
  <c r="AH877" i="41"/>
  <c r="AK877" i="41"/>
  <c r="AG877" i="41"/>
  <c r="AI877" i="41"/>
  <c r="AJ877" i="41"/>
  <c r="AB820" i="41" a="1"/>
  <c r="AB820" i="41" s="1"/>
  <c r="M1562" i="41"/>
  <c r="W820" i="41"/>
  <c r="X820" i="41"/>
  <c r="P821" i="41"/>
  <c r="S819" i="41"/>
  <c r="AE1563" i="41"/>
  <c r="T1563" i="41"/>
  <c r="U1566" i="41"/>
  <c r="Q1567" i="41"/>
  <c r="M819" i="41"/>
  <c r="L819" i="41" s="1"/>
  <c r="O1567" i="41"/>
  <c r="R821" i="41"/>
  <c r="I1564" i="41"/>
  <c r="H1564" i="41"/>
  <c r="G1564" i="41" s="1"/>
  <c r="R1567" i="41"/>
  <c r="AB1564" i="41"/>
  <c r="AC1564" i="41"/>
  <c r="AD1564" i="41"/>
  <c r="AD818" i="41"/>
  <c r="W1566" i="41"/>
  <c r="X1566" i="41"/>
  <c r="P1567" i="41"/>
  <c r="AC818" i="41"/>
  <c r="AE878" i="41" s="1" a="1"/>
  <c r="AE878" i="41" s="1"/>
  <c r="U820" i="41"/>
  <c r="AC819" i="41" s="1"/>
  <c r="AE879" i="41" s="1" a="1"/>
  <c r="AE879" i="41" s="1"/>
  <c r="Q821" i="41"/>
  <c r="O821" i="41"/>
  <c r="S1565" i="41"/>
  <c r="L1562" i="41" l="1"/>
  <c r="S1566" i="41"/>
  <c r="AB821" i="41" a="1"/>
  <c r="AB821" i="41" s="1"/>
  <c r="AK879" i="41"/>
  <c r="AJ879" i="41"/>
  <c r="AI879" i="41"/>
  <c r="AF879" i="41"/>
  <c r="AH879" i="41"/>
  <c r="AG879" i="41"/>
  <c r="H1566" i="41"/>
  <c r="G1566" i="41" s="1"/>
  <c r="I1566" i="41"/>
  <c r="R1568" i="41"/>
  <c r="I819" i="41"/>
  <c r="H819" i="41"/>
  <c r="G819" i="41" s="1"/>
  <c r="AJ1563" i="41"/>
  <c r="AF1563" i="41"/>
  <c r="AH1563" i="41"/>
  <c r="AI1563" i="41"/>
  <c r="AK1563" i="41"/>
  <c r="AG1563" i="41"/>
  <c r="H1565" i="41"/>
  <c r="G1565" i="41" s="1"/>
  <c r="I1565" i="41"/>
  <c r="M820" i="41"/>
  <c r="L820" i="41" s="1"/>
  <c r="W1567" i="41"/>
  <c r="X1567" i="41"/>
  <c r="P1568" i="41"/>
  <c r="AE1564" i="41"/>
  <c r="T1564" i="41"/>
  <c r="AD819" i="41"/>
  <c r="U821" i="41"/>
  <c r="Q822" i="41"/>
  <c r="R822" i="41"/>
  <c r="V822" i="41" s="1"/>
  <c r="S820" i="41"/>
  <c r="W821" i="41"/>
  <c r="P822" i="41"/>
  <c r="X821" i="41"/>
  <c r="AC1565" i="41"/>
  <c r="AB1565" i="41"/>
  <c r="AD1565" i="41"/>
  <c r="V821" i="41"/>
  <c r="O822" i="41" s="1"/>
  <c r="AI878" i="41"/>
  <c r="AH878" i="41"/>
  <c r="AJ878" i="41"/>
  <c r="AK878" i="41"/>
  <c r="AF878" i="41"/>
  <c r="AG878" i="41"/>
  <c r="U1567" i="41"/>
  <c r="AD1566" i="41" s="1"/>
  <c r="Q1568" i="41"/>
  <c r="V1567" i="41"/>
  <c r="O1568" i="41" s="1"/>
  <c r="AB822" i="41" l="1" a="1"/>
  <c r="AB822" i="41" s="1"/>
  <c r="AB1566" i="41"/>
  <c r="S821" i="41"/>
  <c r="I821" i="41" s="1"/>
  <c r="S1567" i="41"/>
  <c r="H1567" i="41" s="1"/>
  <c r="G1567" i="41" s="1"/>
  <c r="AC1566" i="41"/>
  <c r="AE1566" i="41" s="1"/>
  <c r="M1563" i="41"/>
  <c r="L1563" i="41" s="1"/>
  <c r="Q1569" i="41"/>
  <c r="U1568" i="41"/>
  <c r="AD1567" i="41" s="1"/>
  <c r="O823" i="41"/>
  <c r="H821" i="41"/>
  <c r="G821" i="41" s="1"/>
  <c r="R1569" i="41"/>
  <c r="V1569" i="41" s="1"/>
  <c r="W1568" i="41"/>
  <c r="X1568" i="41"/>
  <c r="P1569" i="41"/>
  <c r="M821" i="41"/>
  <c r="L821" i="41" s="1"/>
  <c r="AC820" i="41"/>
  <c r="AE880" i="41" s="1" a="1"/>
  <c r="AE880" i="41" s="1"/>
  <c r="AD820" i="41"/>
  <c r="W822" i="41"/>
  <c r="X822" i="41"/>
  <c r="P823" i="41"/>
  <c r="AI1564" i="41"/>
  <c r="AK1564" i="41"/>
  <c r="AF1564" i="41"/>
  <c r="AH1564" i="41"/>
  <c r="AJ1564" i="41"/>
  <c r="AG1564" i="41"/>
  <c r="V1568" i="41"/>
  <c r="I1567" i="41"/>
  <c r="AE1565" i="41"/>
  <c r="T1565" i="41"/>
  <c r="R823" i="41"/>
  <c r="V823" i="41" s="1"/>
  <c r="O1569" i="41"/>
  <c r="I820" i="41"/>
  <c r="H820" i="41"/>
  <c r="G820" i="41" s="1"/>
  <c r="U822" i="41"/>
  <c r="AD821" i="41" s="1"/>
  <c r="Q823" i="41"/>
  <c r="T1566" i="41" l="1"/>
  <c r="S1568" i="41"/>
  <c r="H1568" i="41" s="1"/>
  <c r="G1568" i="41" s="1"/>
  <c r="AB823" i="41" a="1"/>
  <c r="AB823" i="41" s="1"/>
  <c r="AC1567" i="41"/>
  <c r="AE1567" i="41" s="1"/>
  <c r="M822" i="41"/>
  <c r="L822" i="41" s="1"/>
  <c r="O824" i="41"/>
  <c r="AC821" i="41"/>
  <c r="AE881" i="41" s="1" a="1"/>
  <c r="AE881" i="41" s="1"/>
  <c r="T1567" i="41"/>
  <c r="AK1566" i="41"/>
  <c r="AF1566" i="41"/>
  <c r="AG1566" i="41"/>
  <c r="AJ1566" i="41"/>
  <c r="AI1566" i="41"/>
  <c r="AH1566" i="41"/>
  <c r="W823" i="41"/>
  <c r="X823" i="41"/>
  <c r="P824" i="41"/>
  <c r="S822" i="41"/>
  <c r="U823" i="41"/>
  <c r="Q824" i="41"/>
  <c r="AB1567" i="41"/>
  <c r="R1570" i="41"/>
  <c r="V1570" i="41" s="1"/>
  <c r="O1570" i="41"/>
  <c r="W1569" i="41"/>
  <c r="X1569" i="41"/>
  <c r="P1570" i="41"/>
  <c r="I1568" i="41"/>
  <c r="R824" i="41"/>
  <c r="V824" i="41" s="1"/>
  <c r="AI880" i="41"/>
  <c r="AK880" i="41"/>
  <c r="AF880" i="41"/>
  <c r="AJ880" i="41"/>
  <c r="AH880" i="41"/>
  <c r="AG880" i="41"/>
  <c r="M1564" i="41"/>
  <c r="L1564" i="41" s="1"/>
  <c r="AF1565" i="41"/>
  <c r="AK1565" i="41"/>
  <c r="AG1565" i="41"/>
  <c r="AJ1565" i="41"/>
  <c r="AI1565" i="41"/>
  <c r="AH1565" i="41"/>
  <c r="U1569" i="41"/>
  <c r="AD1568" i="41" s="1"/>
  <c r="Q1570" i="41"/>
  <c r="AB824" i="41" l="1" a="1"/>
  <c r="AB824" i="41" s="1"/>
  <c r="M1566" i="41"/>
  <c r="AC1568" i="41"/>
  <c r="AE1568" i="41" s="1"/>
  <c r="M1565" i="41"/>
  <c r="L1565" i="41" s="1"/>
  <c r="AJ1567" i="41"/>
  <c r="AH1567" i="41"/>
  <c r="AK1567" i="41"/>
  <c r="AF1567" i="41"/>
  <c r="AG1567" i="41"/>
  <c r="AI1567" i="41"/>
  <c r="T1568" i="41"/>
  <c r="AI881" i="41"/>
  <c r="AG881" i="41"/>
  <c r="AH881" i="41"/>
  <c r="AK881" i="41"/>
  <c r="AF881" i="41"/>
  <c r="AJ881" i="41"/>
  <c r="AD822" i="41"/>
  <c r="R1571" i="41"/>
  <c r="V1571" i="41" s="1"/>
  <c r="O825" i="41"/>
  <c r="O1571" i="41"/>
  <c r="I822" i="41"/>
  <c r="H822" i="41"/>
  <c r="G822" i="41" s="1"/>
  <c r="AC822" i="41"/>
  <c r="AE882" i="41" s="1" a="1"/>
  <c r="AE882" i="41" s="1"/>
  <c r="W824" i="41"/>
  <c r="X824" i="41"/>
  <c r="P825" i="41"/>
  <c r="W1570" i="41"/>
  <c r="X1570" i="41"/>
  <c r="P1571" i="41"/>
  <c r="R825" i="41"/>
  <c r="S1569" i="41"/>
  <c r="U1570" i="41"/>
  <c r="AB1569" i="41" s="1"/>
  <c r="Q1571" i="41"/>
  <c r="M823" i="41"/>
  <c r="L823" i="41" s="1"/>
  <c r="U824" i="41"/>
  <c r="AD823" i="41" s="1"/>
  <c r="Q825" i="41"/>
  <c r="AB1568" i="41"/>
  <c r="S823" i="41"/>
  <c r="AB825" i="41" l="1" a="1"/>
  <c r="AB825" i="41" s="1"/>
  <c r="AC823" i="41"/>
  <c r="AE883" i="41" s="1" a="1"/>
  <c r="AE883" i="41" s="1"/>
  <c r="AI883" i="41" s="1"/>
  <c r="M1567" i="41"/>
  <c r="L1566" i="41"/>
  <c r="O1572" i="41"/>
  <c r="AG1568" i="41"/>
  <c r="AK1568" i="41"/>
  <c r="AJ1568" i="41"/>
  <c r="AH1568" i="41"/>
  <c r="AF1568" i="41"/>
  <c r="AI1568" i="41"/>
  <c r="M824" i="41"/>
  <c r="L824" i="41" s="1"/>
  <c r="I1569" i="41"/>
  <c r="H1569" i="41"/>
  <c r="G1569" i="41" s="1"/>
  <c r="AD1569" i="41"/>
  <c r="Q826" i="41"/>
  <c r="U825" i="41"/>
  <c r="AC1569" i="41"/>
  <c r="I823" i="41"/>
  <c r="H823" i="41"/>
  <c r="G823" i="41" s="1"/>
  <c r="W1571" i="41"/>
  <c r="X1571" i="41"/>
  <c r="P1572" i="41"/>
  <c r="S1570" i="41"/>
  <c r="W825" i="41"/>
  <c r="X825" i="41"/>
  <c r="P826" i="41"/>
  <c r="AF882" i="41"/>
  <c r="AH882" i="41"/>
  <c r="AG882" i="41"/>
  <c r="AI882" i="41"/>
  <c r="AJ882" i="41"/>
  <c r="AK882" i="41"/>
  <c r="R1572" i="41"/>
  <c r="V1572" i="41" s="1"/>
  <c r="V825" i="41"/>
  <c r="O826" i="41" s="1"/>
  <c r="S824" i="41"/>
  <c r="Q1572" i="41"/>
  <c r="U1571" i="41"/>
  <c r="AD1570" i="41" s="1"/>
  <c r="R826" i="41"/>
  <c r="AB1570" i="41" l="1"/>
  <c r="AK883" i="41"/>
  <c r="AG883" i="41"/>
  <c r="AF883" i="41"/>
  <c r="AH883" i="41"/>
  <c r="AJ883" i="41"/>
  <c r="L1567" i="41"/>
  <c r="M1568" i="41"/>
  <c r="AC1570" i="41"/>
  <c r="AE1570" i="41" s="1"/>
  <c r="AB826" i="41" a="1"/>
  <c r="AB826" i="41" s="1"/>
  <c r="U826" i="41"/>
  <c r="AC825" i="41" s="1"/>
  <c r="AE885" i="41" s="1" a="1"/>
  <c r="AE885" i="41" s="1"/>
  <c r="Q827" i="41"/>
  <c r="V826" i="41"/>
  <c r="O827" i="41" s="1"/>
  <c r="R1573" i="41"/>
  <c r="W1572" i="41"/>
  <c r="X1572" i="41"/>
  <c r="P1573" i="41"/>
  <c r="I824" i="41"/>
  <c r="H824" i="41"/>
  <c r="G824" i="41" s="1"/>
  <c r="AC824" i="41"/>
  <c r="AE884" i="41" s="1" a="1"/>
  <c r="AE884" i="41" s="1"/>
  <c r="M825" i="41"/>
  <c r="L825" i="41" s="1"/>
  <c r="S1571" i="41"/>
  <c r="W826" i="41"/>
  <c r="X826" i="41"/>
  <c r="P827" i="41"/>
  <c r="S825" i="41"/>
  <c r="O1573" i="41"/>
  <c r="R827" i="41"/>
  <c r="AD824" i="41"/>
  <c r="U1572" i="41"/>
  <c r="Q1573" i="41"/>
  <c r="I1570" i="41"/>
  <c r="H1570" i="41"/>
  <c r="G1570" i="41" s="1"/>
  <c r="AE1569" i="41"/>
  <c r="T1569" i="41"/>
  <c r="T1570" i="41" l="1"/>
  <c r="L1568" i="41"/>
  <c r="AD825" i="41"/>
  <c r="AB827" i="41" a="1"/>
  <c r="AB827" i="41" s="1"/>
  <c r="S1572" i="41"/>
  <c r="I1572" i="41" s="1"/>
  <c r="AD1571" i="41"/>
  <c r="AC1571" i="41"/>
  <c r="AE1571" i="41" s="1"/>
  <c r="S826" i="41"/>
  <c r="I826" i="41" s="1"/>
  <c r="U1573" i="41"/>
  <c r="AB1572" i="41" s="1"/>
  <c r="Q1574" i="41"/>
  <c r="U827" i="41"/>
  <c r="AD826" i="41" s="1"/>
  <c r="Q828" i="41"/>
  <c r="W827" i="41"/>
  <c r="X827" i="41"/>
  <c r="P828" i="41"/>
  <c r="W1573" i="41"/>
  <c r="X1573" i="41"/>
  <c r="P1574" i="41"/>
  <c r="R828" i="41"/>
  <c r="H1572" i="41"/>
  <c r="G1572" i="41" s="1"/>
  <c r="AK1569" i="41"/>
  <c r="AH1569" i="41"/>
  <c r="AF1569" i="41"/>
  <c r="AG1569" i="41"/>
  <c r="AI1569" i="41"/>
  <c r="AJ1569" i="41"/>
  <c r="AF884" i="41"/>
  <c r="AJ884" i="41"/>
  <c r="AK884" i="41"/>
  <c r="AH884" i="41"/>
  <c r="AG884" i="41"/>
  <c r="AI884" i="41"/>
  <c r="O1574" i="41"/>
  <c r="AJ1570" i="41"/>
  <c r="AH1570" i="41"/>
  <c r="AG1570" i="41"/>
  <c r="AK1570" i="41"/>
  <c r="AF1570" i="41"/>
  <c r="AI1570" i="41"/>
  <c r="AJ885" i="41"/>
  <c r="AG885" i="41"/>
  <c r="AK885" i="41"/>
  <c r="AF885" i="41"/>
  <c r="AH885" i="41"/>
  <c r="AI885" i="41"/>
  <c r="I825" i="41"/>
  <c r="H825" i="41"/>
  <c r="G825" i="41" s="1"/>
  <c r="R1574" i="41"/>
  <c r="V827" i="41"/>
  <c r="O828" i="41" s="1"/>
  <c r="M826" i="41"/>
  <c r="L826" i="41" s="1"/>
  <c r="V1573" i="41"/>
  <c r="H1571" i="41"/>
  <c r="G1571" i="41" s="1"/>
  <c r="I1571" i="41"/>
  <c r="AB1571" i="41"/>
  <c r="AC1572" i="41" l="1"/>
  <c r="AD1572" i="41"/>
  <c r="T1571" i="41"/>
  <c r="S827" i="41"/>
  <c r="I827" i="41" s="1"/>
  <c r="M827" i="41"/>
  <c r="L827" i="41" s="1"/>
  <c r="M1570" i="41"/>
  <c r="AC826" i="41"/>
  <c r="AE886" i="41" s="1" a="1"/>
  <c r="AE886" i="41" s="1"/>
  <c r="AI886" i="41" s="1"/>
  <c r="S1573" i="41"/>
  <c r="I1573" i="41" s="1"/>
  <c r="M1569" i="41"/>
  <c r="L1569" i="41" s="1"/>
  <c r="H826" i="41"/>
  <c r="G826" i="41" s="1"/>
  <c r="W828" i="41"/>
  <c r="X828" i="41"/>
  <c r="P829" i="41"/>
  <c r="R829" i="41"/>
  <c r="H827" i="41"/>
  <c r="G827" i="41" s="1"/>
  <c r="AJ1571" i="41"/>
  <c r="AF1571" i="41"/>
  <c r="AG1571" i="41"/>
  <c r="AK1571" i="41"/>
  <c r="AI1571" i="41"/>
  <c r="AH1571" i="41"/>
  <c r="Q829" i="41"/>
  <c r="U828" i="41"/>
  <c r="S828" i="41" s="1"/>
  <c r="I828" i="41" s="1"/>
  <c r="Q1575" i="41"/>
  <c r="U1574" i="41"/>
  <c r="AB828" i="41" a="1"/>
  <c r="AB828" i="41" s="1"/>
  <c r="V828" i="41"/>
  <c r="O829" i="41" s="1"/>
  <c r="AE1572" i="41"/>
  <c r="T1572" i="41"/>
  <c r="R1575" i="41"/>
  <c r="X1574" i="41"/>
  <c r="W1574" i="41"/>
  <c r="P1575" i="41"/>
  <c r="V1574" i="41"/>
  <c r="O1575" i="41" s="1"/>
  <c r="V1575" i="41" l="1"/>
  <c r="V829" i="41"/>
  <c r="H1573" i="41"/>
  <c r="G1573" i="41" s="1"/>
  <c r="AF886" i="41"/>
  <c r="AK886" i="41"/>
  <c r="AD827" i="41"/>
  <c r="AH886" i="41"/>
  <c r="AG886" i="41"/>
  <c r="L1570" i="41"/>
  <c r="M1571" i="41"/>
  <c r="AC827" i="41"/>
  <c r="AE887" i="41" s="1" a="1"/>
  <c r="AE887" i="41" s="1"/>
  <c r="AF887" i="41" s="1"/>
  <c r="AJ886" i="41"/>
  <c r="O830" i="41"/>
  <c r="R1576" i="41"/>
  <c r="V1576" i="41" s="1"/>
  <c r="U829" i="41"/>
  <c r="AD828" i="41" s="1"/>
  <c r="Q830" i="41"/>
  <c r="AC1573" i="41"/>
  <c r="R830" i="41"/>
  <c r="V830" i="41" s="1"/>
  <c r="W1575" i="41"/>
  <c r="X1575" i="41"/>
  <c r="P1576" i="41"/>
  <c r="W829" i="41"/>
  <c r="X829" i="41"/>
  <c r="P830" i="41"/>
  <c r="H828" i="41"/>
  <c r="G828" i="41" s="1"/>
  <c r="AG1572" i="41"/>
  <c r="AI1572" i="41"/>
  <c r="AK1572" i="41"/>
  <c r="AJ1572" i="41"/>
  <c r="AF1572" i="41"/>
  <c r="AH1572" i="41"/>
  <c r="AB1573" i="41"/>
  <c r="AB829" i="41" a="1"/>
  <c r="AB829" i="41" s="1"/>
  <c r="O1576" i="41"/>
  <c r="AD1573" i="41"/>
  <c r="S1574" i="41"/>
  <c r="U1575" i="41"/>
  <c r="AC1574" i="41" s="1"/>
  <c r="Q1576" i="41"/>
  <c r="M828" i="41"/>
  <c r="L828" i="41" s="1"/>
  <c r="L1571" i="41" l="1"/>
  <c r="AK887" i="41"/>
  <c r="AJ887" i="41"/>
  <c r="M1572" i="41"/>
  <c r="AI887" i="41"/>
  <c r="AG887" i="41"/>
  <c r="AH887" i="41"/>
  <c r="S1575" i="41"/>
  <c r="H1575" i="41" s="1"/>
  <c r="G1575" i="41" s="1"/>
  <c r="AE1574" i="41"/>
  <c r="T1574" i="41"/>
  <c r="AE1573" i="41"/>
  <c r="T1573" i="41"/>
  <c r="O831" i="41"/>
  <c r="W1576" i="41"/>
  <c r="X1576" i="41"/>
  <c r="P1577" i="41"/>
  <c r="AB1574" i="41"/>
  <c r="R831" i="41"/>
  <c r="V831" i="41" s="1"/>
  <c r="M829" i="41"/>
  <c r="L829" i="41" s="1"/>
  <c r="R1577" i="41"/>
  <c r="V1577" i="41" s="1"/>
  <c r="W830" i="41"/>
  <c r="X830" i="41"/>
  <c r="P831" i="41"/>
  <c r="O1577" i="41"/>
  <c r="S829" i="41"/>
  <c r="I1574" i="41"/>
  <c r="H1574" i="41"/>
  <c r="G1574" i="41" s="1"/>
  <c r="AD1574" i="41"/>
  <c r="U1576" i="41"/>
  <c r="Q1577" i="41"/>
  <c r="U830" i="41"/>
  <c r="AC829" i="41" s="1"/>
  <c r="AE889" i="41" s="1" a="1"/>
  <c r="AE889" i="41" s="1"/>
  <c r="Q831" i="41"/>
  <c r="AC828" i="41"/>
  <c r="AE888" i="41" s="1" a="1"/>
  <c r="AE888" i="41" s="1"/>
  <c r="AB830" i="41" a="1"/>
  <c r="AB830" i="41" s="1"/>
  <c r="L1572" i="41" l="1"/>
  <c r="I1575" i="41"/>
  <c r="AG889" i="41"/>
  <c r="AI889" i="41"/>
  <c r="AH889" i="41"/>
  <c r="AF889" i="41"/>
  <c r="AJ889" i="41"/>
  <c r="AK889" i="41"/>
  <c r="R832" i="41"/>
  <c r="W831" i="41"/>
  <c r="X831" i="41"/>
  <c r="P832" i="41"/>
  <c r="R1578" i="41"/>
  <c r="V1578" i="41" s="1"/>
  <c r="AB1575" i="41"/>
  <c r="U1577" i="41"/>
  <c r="AD1576" i="41" s="1"/>
  <c r="Q1578" i="41"/>
  <c r="S830" i="41"/>
  <c r="O832" i="41"/>
  <c r="AC1575" i="41"/>
  <c r="M830" i="41"/>
  <c r="L830" i="41" s="1"/>
  <c r="S1576" i="41"/>
  <c r="AD1575" i="41"/>
  <c r="I829" i="41"/>
  <c r="H829" i="41"/>
  <c r="G829" i="41" s="1"/>
  <c r="U831" i="41"/>
  <c r="S831" i="41" s="1"/>
  <c r="I831" i="41" s="1"/>
  <c r="Q832" i="41"/>
  <c r="AJ1573" i="41"/>
  <c r="AF1573" i="41"/>
  <c r="AI1573" i="41"/>
  <c r="AK1573" i="41"/>
  <c r="AH1573" i="41"/>
  <c r="AG1573" i="41"/>
  <c r="AD829" i="41"/>
  <c r="AI888" i="41"/>
  <c r="AK888" i="41"/>
  <c r="AG888" i="41"/>
  <c r="AH888" i="41"/>
  <c r="AJ888" i="41"/>
  <c r="AF888" i="41"/>
  <c r="AB831" i="41" a="1"/>
  <c r="AB831" i="41" s="1"/>
  <c r="O1578" i="41"/>
  <c r="W1577" i="41"/>
  <c r="X1577" i="41"/>
  <c r="P1578" i="41"/>
  <c r="AH1574" i="41"/>
  <c r="AI1574" i="41"/>
  <c r="AK1574" i="41"/>
  <c r="AJ1574" i="41"/>
  <c r="AF1574" i="41"/>
  <c r="AG1574" i="41"/>
  <c r="M831" i="41" l="1"/>
  <c r="L831" i="41" s="1"/>
  <c r="M1574" i="41"/>
  <c r="AB832" i="41" a="1"/>
  <c r="AB832" i="41" s="1"/>
  <c r="U832" i="41"/>
  <c r="S832" i="41" s="1"/>
  <c r="I832" i="41" s="1"/>
  <c r="Q833" i="41"/>
  <c r="W832" i="41"/>
  <c r="X832" i="41"/>
  <c r="P833" i="41"/>
  <c r="AC1576" i="41"/>
  <c r="AC830" i="41"/>
  <c r="AE890" i="41" s="1" a="1"/>
  <c r="AE890" i="41" s="1"/>
  <c r="AD830" i="41"/>
  <c r="I830" i="41"/>
  <c r="H830" i="41"/>
  <c r="G830" i="41" s="1"/>
  <c r="V832" i="41"/>
  <c r="O833" i="41" s="1"/>
  <c r="AB1576" i="41"/>
  <c r="R1579" i="41"/>
  <c r="V1579" i="41" s="1"/>
  <c r="O1579" i="41"/>
  <c r="W1578" i="41"/>
  <c r="X1578" i="41"/>
  <c r="P1579" i="41"/>
  <c r="U1578" i="41"/>
  <c r="AD1577" i="41" s="1"/>
  <c r="Q1579" i="41"/>
  <c r="S1577" i="41"/>
  <c r="H1576" i="41"/>
  <c r="G1576" i="41" s="1"/>
  <c r="I1576" i="41"/>
  <c r="R833" i="41"/>
  <c r="M1573" i="41"/>
  <c r="L1573" i="41" s="1"/>
  <c r="AE1575" i="41"/>
  <c r="T1575" i="41"/>
  <c r="H831" i="41"/>
  <c r="G831" i="41" s="1"/>
  <c r="AC831" i="41" l="1"/>
  <c r="AE891" i="41" s="1" a="1"/>
  <c r="AE891" i="41" s="1"/>
  <c r="AH891" i="41" s="1"/>
  <c r="AD831" i="41"/>
  <c r="L1574" i="41"/>
  <c r="AE1576" i="41"/>
  <c r="T1576" i="41"/>
  <c r="R834" i="41"/>
  <c r="W833" i="41"/>
  <c r="X833" i="41"/>
  <c r="P834" i="41"/>
  <c r="AG1575" i="41"/>
  <c r="AF1575" i="41"/>
  <c r="AJ1575" i="41"/>
  <c r="AK1575" i="41"/>
  <c r="AI1575" i="41"/>
  <c r="AH1575" i="41"/>
  <c r="AC1577" i="41"/>
  <c r="H832" i="41"/>
  <c r="G832" i="41" s="1"/>
  <c r="AB1577" i="41"/>
  <c r="M832" i="41"/>
  <c r="L832" i="41" s="1"/>
  <c r="O1580" i="41"/>
  <c r="U833" i="41"/>
  <c r="AC832" i="41" s="1"/>
  <c r="AE892" i="41" s="1" a="1"/>
  <c r="AE892" i="41" s="1"/>
  <c r="Q834" i="41"/>
  <c r="R1580" i="41"/>
  <c r="V1580" i="41" s="1"/>
  <c r="W1579" i="41"/>
  <c r="X1579" i="41"/>
  <c r="P1580" i="41"/>
  <c r="V833" i="41"/>
  <c r="O834" i="41" s="1"/>
  <c r="AB833" i="41" a="1"/>
  <c r="AB833" i="41" s="1"/>
  <c r="S1578" i="41"/>
  <c r="I1577" i="41"/>
  <c r="H1577" i="41"/>
  <c r="G1577" i="41" s="1"/>
  <c r="U1579" i="41"/>
  <c r="AC1578" i="41" s="1"/>
  <c r="Q1580" i="41"/>
  <c r="AH890" i="41"/>
  <c r="AK890" i="41"/>
  <c r="AG890" i="41"/>
  <c r="AF890" i="41"/>
  <c r="AI890" i="41"/>
  <c r="AJ890" i="41"/>
  <c r="AJ891" i="41" l="1"/>
  <c r="AF891" i="41"/>
  <c r="AG891" i="41"/>
  <c r="AI891" i="41"/>
  <c r="AK891" i="41"/>
  <c r="M1575" i="41"/>
  <c r="L1575" i="41" s="1"/>
  <c r="S833" i="41"/>
  <c r="I833" i="41" s="1"/>
  <c r="AB834" i="41" a="1"/>
  <c r="AB834" i="41" s="1"/>
  <c r="AJ892" i="41"/>
  <c r="AI892" i="41"/>
  <c r="AG892" i="41"/>
  <c r="AF892" i="41"/>
  <c r="AH892" i="41"/>
  <c r="AK892" i="41"/>
  <c r="AE1578" i="41"/>
  <c r="T1578" i="41"/>
  <c r="U834" i="41"/>
  <c r="AD833" i="41" s="1"/>
  <c r="Q835" i="41"/>
  <c r="M833" i="41"/>
  <c r="L833" i="41" s="1"/>
  <c r="AG1576" i="41"/>
  <c r="AI1576" i="41"/>
  <c r="AJ1576" i="41"/>
  <c r="AK1576" i="41"/>
  <c r="AH1576" i="41"/>
  <c r="AF1576" i="41"/>
  <c r="W1580" i="41"/>
  <c r="X1580" i="41"/>
  <c r="P1581" i="41"/>
  <c r="R1581" i="41"/>
  <c r="V1581" i="41" s="1"/>
  <c r="O1581" i="41"/>
  <c r="S1579" i="41"/>
  <c r="AD1578" i="41"/>
  <c r="R835" i="41"/>
  <c r="W834" i="41"/>
  <c r="X834" i="41"/>
  <c r="P835" i="41"/>
  <c r="AE1577" i="41"/>
  <c r="T1577" i="41"/>
  <c r="V834" i="41"/>
  <c r="O835" i="41" s="1"/>
  <c r="AD832" i="41"/>
  <c r="Q1581" i="41"/>
  <c r="U1580" i="41"/>
  <c r="AB1578" i="41"/>
  <c r="H1578" i="41"/>
  <c r="G1578" i="41" s="1"/>
  <c r="I1578" i="41"/>
  <c r="H833" i="41"/>
  <c r="G833" i="41" s="1"/>
  <c r="S1580" i="41" l="1"/>
  <c r="AC833" i="41"/>
  <c r="AE893" i="41" s="1" a="1"/>
  <c r="AE893" i="41" s="1"/>
  <c r="AK893" i="41" s="1"/>
  <c r="AC1579" i="41"/>
  <c r="AE1579" i="41" s="1"/>
  <c r="M834" i="41"/>
  <c r="L834" i="41" s="1"/>
  <c r="M1576" i="41"/>
  <c r="L1576" i="41" s="1"/>
  <c r="AD1579" i="41"/>
  <c r="W835" i="41"/>
  <c r="X835" i="41"/>
  <c r="P836" i="41"/>
  <c r="H1580" i="41"/>
  <c r="G1580" i="41" s="1"/>
  <c r="I1580" i="41"/>
  <c r="O836" i="41"/>
  <c r="U835" i="41"/>
  <c r="Q836" i="41"/>
  <c r="AB835" i="41" a="1"/>
  <c r="AB835" i="41" s="1"/>
  <c r="V835" i="41"/>
  <c r="H1579" i="41"/>
  <c r="G1579" i="41" s="1"/>
  <c r="I1579" i="41"/>
  <c r="AH1578" i="41"/>
  <c r="AG1578" i="41"/>
  <c r="AK1578" i="41"/>
  <c r="AF1578" i="41"/>
  <c r="AI1578" i="41"/>
  <c r="AJ1578" i="41"/>
  <c r="AF1577" i="41"/>
  <c r="AG1577" i="41"/>
  <c r="AH1577" i="41"/>
  <c r="AJ1577" i="41"/>
  <c r="AI1577" i="41"/>
  <c r="AK1577" i="41"/>
  <c r="W1581" i="41"/>
  <c r="X1581" i="41"/>
  <c r="P1582" i="41"/>
  <c r="R836" i="41"/>
  <c r="Q1582" i="41"/>
  <c r="U1581" i="41"/>
  <c r="AC1580" i="41" s="1"/>
  <c r="AB1579" i="41"/>
  <c r="O1582" i="41"/>
  <c r="R1582" i="41"/>
  <c r="V1582" i="41" s="1"/>
  <c r="S834" i="41"/>
  <c r="T1579" i="41" l="1"/>
  <c r="S1581" i="41"/>
  <c r="I1581" i="41" s="1"/>
  <c r="AD1580" i="41"/>
  <c r="AF893" i="41"/>
  <c r="AJ893" i="41"/>
  <c r="AH893" i="41"/>
  <c r="AI893" i="41"/>
  <c r="AG893" i="41"/>
  <c r="M1578" i="41"/>
  <c r="M1577" i="41"/>
  <c r="L1577" i="41" s="1"/>
  <c r="H1581" i="41"/>
  <c r="G1581" i="41" s="1"/>
  <c r="O1583" i="41"/>
  <c r="O837" i="41"/>
  <c r="U836" i="41"/>
  <c r="AD835" i="41" s="1"/>
  <c r="Q837" i="41"/>
  <c r="AB836" i="41" a="1"/>
  <c r="AB836" i="41" s="1"/>
  <c r="V836" i="41"/>
  <c r="W836" i="41"/>
  <c r="X836" i="41"/>
  <c r="P837" i="41"/>
  <c r="W1582" i="41"/>
  <c r="X1582" i="41"/>
  <c r="P1583" i="41"/>
  <c r="S835" i="41"/>
  <c r="I834" i="41"/>
  <c r="H834" i="41"/>
  <c r="G834" i="41" s="1"/>
  <c r="R1583" i="41"/>
  <c r="V1583" i="41" s="1"/>
  <c r="R837" i="41"/>
  <c r="V837" i="41" s="1"/>
  <c r="U1582" i="41"/>
  <c r="AC1581" i="41" s="1"/>
  <c r="Q1583" i="41"/>
  <c r="AG1579" i="41"/>
  <c r="AH1579" i="41"/>
  <c r="AK1579" i="41"/>
  <c r="AI1579" i="41"/>
  <c r="AJ1579" i="41"/>
  <c r="AF1579" i="41"/>
  <c r="AE1580" i="41"/>
  <c r="T1580" i="41"/>
  <c r="AC834" i="41"/>
  <c r="AE894" i="41" s="1" a="1"/>
  <c r="AE894" i="41" s="1"/>
  <c r="AD834" i="41"/>
  <c r="AB1580" i="41"/>
  <c r="M835" i="41"/>
  <c r="L835" i="41" s="1"/>
  <c r="L1578" i="41" l="1"/>
  <c r="M1579" i="41"/>
  <c r="AC835" i="41"/>
  <c r="AE895" i="41" s="1" a="1"/>
  <c r="AE895" i="41" s="1"/>
  <c r="AG895" i="41" s="1"/>
  <c r="AD1581" i="41"/>
  <c r="AB1581" i="41"/>
  <c r="M836" i="41"/>
  <c r="L836" i="41" s="1"/>
  <c r="I835" i="41"/>
  <c r="H835" i="41"/>
  <c r="G835" i="41" s="1"/>
  <c r="O838" i="41"/>
  <c r="AE1581" i="41"/>
  <c r="T1581" i="41"/>
  <c r="AK894" i="41"/>
  <c r="AJ894" i="41"/>
  <c r="AF894" i="41"/>
  <c r="AG894" i="41"/>
  <c r="AH894" i="41"/>
  <c r="AI894" i="41"/>
  <c r="W837" i="41"/>
  <c r="X837" i="41"/>
  <c r="P838" i="41"/>
  <c r="AI1580" i="41"/>
  <c r="AH1580" i="41"/>
  <c r="AJ1580" i="41"/>
  <c r="AF1580" i="41"/>
  <c r="AK1580" i="41"/>
  <c r="AG1580" i="41"/>
  <c r="AB837" i="41" a="1"/>
  <c r="AB837" i="41" s="1"/>
  <c r="R838" i="41"/>
  <c r="V838" i="41" s="1"/>
  <c r="S836" i="41"/>
  <c r="R1584" i="41"/>
  <c r="V1584" i="41" s="1"/>
  <c r="O1584" i="41"/>
  <c r="U837" i="41"/>
  <c r="Q838" i="41"/>
  <c r="W1583" i="41"/>
  <c r="X1583" i="41"/>
  <c r="P1584" i="41"/>
  <c r="U1583" i="41"/>
  <c r="AD1582" i="41" s="1"/>
  <c r="Q1584" i="41"/>
  <c r="S1582" i="41"/>
  <c r="AH895" i="41" l="1"/>
  <c r="AJ895" i="41"/>
  <c r="L1579" i="41"/>
  <c r="AF895" i="41"/>
  <c r="AI895" i="41"/>
  <c r="AK895" i="41"/>
  <c r="M1580" i="41"/>
  <c r="AC1582" i="41"/>
  <c r="AE1582" i="41" s="1"/>
  <c r="AB1582" i="41"/>
  <c r="S1583" i="41"/>
  <c r="R1585" i="41"/>
  <c r="AC836" i="41"/>
  <c r="AE896" i="41" s="1" a="1"/>
  <c r="AE896" i="41" s="1"/>
  <c r="W1584" i="41"/>
  <c r="X1584" i="41"/>
  <c r="P1585" i="41"/>
  <c r="AD836" i="41"/>
  <c r="U1584" i="41"/>
  <c r="AD1583" i="41" s="1"/>
  <c r="Q1585" i="41"/>
  <c r="R839" i="41"/>
  <c r="V839" i="41" s="1"/>
  <c r="Q839" i="41"/>
  <c r="U838" i="41"/>
  <c r="I1582" i="41"/>
  <c r="H1582" i="41"/>
  <c r="G1582" i="41" s="1"/>
  <c r="O1585" i="41"/>
  <c r="I836" i="41"/>
  <c r="H836" i="41"/>
  <c r="G836" i="41" s="1"/>
  <c r="AH1581" i="41"/>
  <c r="AK1581" i="41"/>
  <c r="AI1581" i="41"/>
  <c r="AG1581" i="41"/>
  <c r="AJ1581" i="41"/>
  <c r="AF1581" i="41"/>
  <c r="W838" i="41"/>
  <c r="X838" i="41"/>
  <c r="P839" i="41"/>
  <c r="O839" i="41"/>
  <c r="AB838" i="41" a="1"/>
  <c r="AB838" i="41" s="1"/>
  <c r="M837" i="41"/>
  <c r="L837" i="41" s="1"/>
  <c r="S837" i="41"/>
  <c r="AB839" i="41" l="1" a="1"/>
  <c r="AB839" i="41" s="1"/>
  <c r="T1582" i="41"/>
  <c r="L1580" i="41"/>
  <c r="S838" i="41"/>
  <c r="I838" i="41" s="1"/>
  <c r="M1581" i="41"/>
  <c r="U1585" i="41"/>
  <c r="AC1584" i="41" s="1"/>
  <c r="Q1586" i="41"/>
  <c r="O1586" i="41"/>
  <c r="I1583" i="41"/>
  <c r="H1583" i="41"/>
  <c r="G1583" i="41" s="1"/>
  <c r="R840" i="41"/>
  <c r="AB1583" i="41"/>
  <c r="AC1583" i="41"/>
  <c r="S1584" i="41"/>
  <c r="S1585" i="41" s="1"/>
  <c r="R1586" i="41"/>
  <c r="V1585" i="41"/>
  <c r="AI1582" i="41"/>
  <c r="AJ1582" i="41"/>
  <c r="AK1582" i="41"/>
  <c r="AF1582" i="41"/>
  <c r="AG1582" i="41"/>
  <c r="AH1582" i="41"/>
  <c r="W1585" i="41"/>
  <c r="X1585" i="41"/>
  <c r="P1586" i="41"/>
  <c r="H838" i="41"/>
  <c r="G838" i="41" s="1"/>
  <c r="M838" i="41"/>
  <c r="L838" i="41" s="1"/>
  <c r="O840" i="41"/>
  <c r="AC837" i="41"/>
  <c r="AE897" i="41" s="1" a="1"/>
  <c r="AE897" i="41" s="1"/>
  <c r="W839" i="41"/>
  <c r="X839" i="41"/>
  <c r="P840" i="41"/>
  <c r="I837" i="41"/>
  <c r="H837" i="41"/>
  <c r="G837" i="41" s="1"/>
  <c r="AD837" i="41"/>
  <c r="U839" i="41"/>
  <c r="AD838" i="41" s="1"/>
  <c r="Q840" i="41"/>
  <c r="AF896" i="41"/>
  <c r="AH896" i="41"/>
  <c r="AG896" i="41"/>
  <c r="AK896" i="41"/>
  <c r="AJ896" i="41"/>
  <c r="AI896" i="41"/>
  <c r="L1581" i="41" l="1"/>
  <c r="AD1584" i="41"/>
  <c r="AB840" i="41" a="1"/>
  <c r="AB840" i="41" s="1"/>
  <c r="AC838" i="41"/>
  <c r="AE898" i="41" s="1" a="1"/>
  <c r="AE898" i="41" s="1"/>
  <c r="AG898" i="41" s="1"/>
  <c r="H1585" i="41"/>
  <c r="G1585" i="41" s="1"/>
  <c r="I1585" i="41"/>
  <c r="M1582" i="41"/>
  <c r="U840" i="41"/>
  <c r="AC839" i="41" s="1"/>
  <c r="AE899" i="41" s="1" a="1"/>
  <c r="AE899" i="41" s="1"/>
  <c r="Q841" i="41"/>
  <c r="W1586" i="41"/>
  <c r="X1586" i="41"/>
  <c r="P1587" i="41"/>
  <c r="U1586" i="41"/>
  <c r="AD1585" i="41" s="1"/>
  <c r="Q1587" i="41"/>
  <c r="O1587" i="41"/>
  <c r="M839" i="41"/>
  <c r="L839" i="41" s="1"/>
  <c r="R841" i="41"/>
  <c r="AI897" i="41"/>
  <c r="AK897" i="41"/>
  <c r="AG897" i="41"/>
  <c r="AJ897" i="41"/>
  <c r="AF897" i="41"/>
  <c r="AH897" i="41"/>
  <c r="I1584" i="41"/>
  <c r="H1584" i="41"/>
  <c r="G1584" i="41" s="1"/>
  <c r="V1586" i="41"/>
  <c r="R1587" i="41"/>
  <c r="V1587" i="41" s="1"/>
  <c r="AE1584" i="41"/>
  <c r="T1584" i="41"/>
  <c r="V840" i="41"/>
  <c r="O841" i="41" s="1"/>
  <c r="X840" i="41"/>
  <c r="W840" i="41"/>
  <c r="P841" i="41"/>
  <c r="AE1583" i="41"/>
  <c r="T1583" i="41"/>
  <c r="AB1584" i="41"/>
  <c r="S839" i="41"/>
  <c r="AB1585" i="41"/>
  <c r="L1582" i="41" l="1"/>
  <c r="AD839" i="41"/>
  <c r="S1586" i="41"/>
  <c r="H1586" i="41" s="1"/>
  <c r="G1586" i="41" s="1"/>
  <c r="AI898" i="41"/>
  <c r="AH898" i="41"/>
  <c r="AJ898" i="41"/>
  <c r="AF898" i="41"/>
  <c r="AK898" i="41"/>
  <c r="W841" i="41"/>
  <c r="X841" i="41"/>
  <c r="P842" i="41"/>
  <c r="M840" i="41"/>
  <c r="L840" i="41" s="1"/>
  <c r="U841" i="41"/>
  <c r="Q842" i="41"/>
  <c r="U1587" i="41"/>
  <c r="AD1586" i="41" s="1"/>
  <c r="Q1588" i="41"/>
  <c r="AC1585" i="41"/>
  <c r="V841" i="41"/>
  <c r="O842" i="41" s="1"/>
  <c r="AJ899" i="41"/>
  <c r="AF899" i="41"/>
  <c r="AH899" i="41"/>
  <c r="AG899" i="41"/>
  <c r="AI899" i="41"/>
  <c r="AK899" i="41"/>
  <c r="AF1584" i="41"/>
  <c r="AG1584" i="41"/>
  <c r="AH1584" i="41"/>
  <c r="AI1584" i="41"/>
  <c r="AJ1584" i="41"/>
  <c r="AK1584" i="41"/>
  <c r="AB841" i="41" a="1"/>
  <c r="AB841" i="41" s="1"/>
  <c r="AH1583" i="41"/>
  <c r="AK1583" i="41"/>
  <c r="AF1583" i="41"/>
  <c r="AI1583" i="41"/>
  <c r="AG1583" i="41"/>
  <c r="AJ1583" i="41"/>
  <c r="W1587" i="41"/>
  <c r="X1587" i="41"/>
  <c r="P1588" i="41"/>
  <c r="O1588" i="41"/>
  <c r="I839" i="41"/>
  <c r="H839" i="41"/>
  <c r="G839" i="41" s="1"/>
  <c r="R1588" i="41"/>
  <c r="R842" i="41"/>
  <c r="S840" i="41"/>
  <c r="I1586" i="41" l="1"/>
  <c r="S1587" i="41"/>
  <c r="H1587" i="41" s="1"/>
  <c r="G1587" i="41" s="1"/>
  <c r="AB1586" i="41"/>
  <c r="AB842" i="41" a="1"/>
  <c r="AB842" i="41" s="1"/>
  <c r="M1584" i="41"/>
  <c r="AC1586" i="41"/>
  <c r="T1586" i="41" s="1"/>
  <c r="M1583" i="41"/>
  <c r="L1583" i="41" s="1"/>
  <c r="I1587" i="41"/>
  <c r="W842" i="41"/>
  <c r="X842" i="41"/>
  <c r="P843" i="41"/>
  <c r="I840" i="41"/>
  <c r="H840" i="41"/>
  <c r="G840" i="41" s="1"/>
  <c r="U842" i="41"/>
  <c r="Q843" i="41"/>
  <c r="AE1585" i="41"/>
  <c r="T1585" i="41"/>
  <c r="S841" i="41"/>
  <c r="R1589" i="41"/>
  <c r="U1588" i="41"/>
  <c r="Q1589" i="41"/>
  <c r="AC840" i="41"/>
  <c r="AE900" i="41" s="1" a="1"/>
  <c r="AE900" i="41" s="1"/>
  <c r="R843" i="41"/>
  <c r="AD840" i="41"/>
  <c r="M841" i="41"/>
  <c r="L841" i="41" s="1"/>
  <c r="V1588" i="41"/>
  <c r="O1589" i="41" s="1"/>
  <c r="W1588" i="41"/>
  <c r="X1588" i="41"/>
  <c r="P1589" i="41"/>
  <c r="V842" i="41"/>
  <c r="O843" i="41" s="1"/>
  <c r="AE1586" i="41" l="1"/>
  <c r="S842" i="41"/>
  <c r="I842" i="41" s="1"/>
  <c r="AB843" i="41" a="1"/>
  <c r="AB843" i="41" s="1"/>
  <c r="L1584" i="41"/>
  <c r="W1589" i="41"/>
  <c r="X1589" i="41"/>
  <c r="P1590" i="41"/>
  <c r="W843" i="41"/>
  <c r="X843" i="41"/>
  <c r="P844" i="41"/>
  <c r="AB1587" i="41"/>
  <c r="U843" i="41"/>
  <c r="AD842" i="41" s="1"/>
  <c r="Q844" i="41"/>
  <c r="O1590" i="41"/>
  <c r="V843" i="41"/>
  <c r="AJ1586" i="41"/>
  <c r="AK1586" i="41"/>
  <c r="AH1586" i="41"/>
  <c r="AF1586" i="41"/>
  <c r="AI1586" i="41"/>
  <c r="AG1586" i="41"/>
  <c r="U1589" i="41"/>
  <c r="Q1590" i="41"/>
  <c r="H842" i="41"/>
  <c r="G842" i="41" s="1"/>
  <c r="V1589" i="41"/>
  <c r="M842" i="41"/>
  <c r="L842" i="41" s="1"/>
  <c r="AC841" i="41"/>
  <c r="AE901" i="41" s="1" a="1"/>
  <c r="AE901" i="41" s="1"/>
  <c r="AI900" i="41"/>
  <c r="AK900" i="41"/>
  <c r="AH900" i="41"/>
  <c r="AJ900" i="41"/>
  <c r="AF900" i="41"/>
  <c r="AG900" i="41"/>
  <c r="R844" i="41"/>
  <c r="R1590" i="41"/>
  <c r="AC1587" i="41"/>
  <c r="AD1587" i="41"/>
  <c r="I841" i="41"/>
  <c r="H841" i="41"/>
  <c r="G841" i="41" s="1"/>
  <c r="S1588" i="41"/>
  <c r="AH1585" i="41"/>
  <c r="AK1585" i="41"/>
  <c r="AI1585" i="41"/>
  <c r="AJ1585" i="41"/>
  <c r="AF1585" i="41"/>
  <c r="AG1585" i="41"/>
  <c r="AD841" i="41"/>
  <c r="O844" i="41"/>
  <c r="S1589" i="41" l="1"/>
  <c r="I1589" i="41" s="1"/>
  <c r="M1586" i="41"/>
  <c r="M1585" i="41"/>
  <c r="L1585" i="41" s="1"/>
  <c r="AD1588" i="41"/>
  <c r="AC1588" i="41"/>
  <c r="AE1588" i="41" s="1"/>
  <c r="AC842" i="41"/>
  <c r="AE902" i="41" s="1" a="1"/>
  <c r="AE902" i="41" s="1"/>
  <c r="AI902" i="41" s="1"/>
  <c r="AE1587" i="41"/>
  <c r="T1587" i="41"/>
  <c r="R845" i="41"/>
  <c r="AF901" i="41"/>
  <c r="AG901" i="41"/>
  <c r="AH901" i="41"/>
  <c r="AI901" i="41"/>
  <c r="AJ901" i="41"/>
  <c r="AK901" i="41"/>
  <c r="U1590" i="41"/>
  <c r="S1590" i="41" s="1"/>
  <c r="Q1591" i="41"/>
  <c r="M843" i="41"/>
  <c r="L843" i="41" s="1"/>
  <c r="U844" i="41"/>
  <c r="AD843" i="41" s="1"/>
  <c r="Q845" i="41"/>
  <c r="AB844" i="41" a="1"/>
  <c r="AB844" i="41" s="1"/>
  <c r="R1591" i="41"/>
  <c r="H1589" i="41"/>
  <c r="G1589" i="41" s="1"/>
  <c r="W1590" i="41"/>
  <c r="X1590" i="41"/>
  <c r="P1591" i="41"/>
  <c r="I1588" i="41"/>
  <c r="H1588" i="41"/>
  <c r="G1588" i="41" s="1"/>
  <c r="V1590" i="41"/>
  <c r="O1591" i="41" s="1"/>
  <c r="W844" i="41"/>
  <c r="X844" i="41"/>
  <c r="P845" i="41"/>
  <c r="AB1588" i="41"/>
  <c r="V844" i="41"/>
  <c r="O845" i="41" s="1"/>
  <c r="S843" i="41"/>
  <c r="T1588" i="41" l="1"/>
  <c r="L1586" i="41"/>
  <c r="AK902" i="41"/>
  <c r="AF902" i="41"/>
  <c r="AJ902" i="41"/>
  <c r="AH902" i="41"/>
  <c r="AG902" i="41"/>
  <c r="I1590" i="41"/>
  <c r="H1590" i="41"/>
  <c r="G1590" i="41" s="1"/>
  <c r="AC1589" i="41"/>
  <c r="T1589" i="41" s="1"/>
  <c r="AD1589" i="41"/>
  <c r="W845" i="41"/>
  <c r="X845" i="41"/>
  <c r="P846" i="41"/>
  <c r="W1591" i="41"/>
  <c r="X1591" i="41"/>
  <c r="P1592" i="41"/>
  <c r="U1591" i="41"/>
  <c r="AC1590" i="41" s="1"/>
  <c r="Q1592" i="41"/>
  <c r="U845" i="41"/>
  <c r="Q846" i="41"/>
  <c r="R846" i="41"/>
  <c r="V845" i="41"/>
  <c r="O846" i="41" s="1"/>
  <c r="AB845" i="41" a="1"/>
  <c r="AB845" i="41" s="1"/>
  <c r="I843" i="41"/>
  <c r="H843" i="41"/>
  <c r="G843" i="41" s="1"/>
  <c r="AI1587" i="41"/>
  <c r="AG1587" i="41"/>
  <c r="AF1587" i="41"/>
  <c r="AH1587" i="41"/>
  <c r="AK1587" i="41"/>
  <c r="AJ1587" i="41"/>
  <c r="V1591" i="41"/>
  <c r="O1592" i="41" s="1"/>
  <c r="R1592" i="41"/>
  <c r="M844" i="41"/>
  <c r="L844" i="41" s="1"/>
  <c r="AC843" i="41"/>
  <c r="AE903" i="41" s="1" a="1"/>
  <c r="AE903" i="41" s="1"/>
  <c r="S844" i="41"/>
  <c r="AB1589" i="41"/>
  <c r="AG1588" i="41"/>
  <c r="AJ1588" i="41"/>
  <c r="AI1588" i="41"/>
  <c r="AH1588" i="41"/>
  <c r="AK1588" i="41"/>
  <c r="AF1588" i="41"/>
  <c r="M1588" i="41" l="1"/>
  <c r="AE1589" i="41"/>
  <c r="V1592" i="41"/>
  <c r="AD1590" i="41"/>
  <c r="AB846" i="41" a="1"/>
  <c r="AB846" i="41" s="1"/>
  <c r="AB1590" i="41"/>
  <c r="W846" i="41"/>
  <c r="X846" i="41"/>
  <c r="P847" i="41"/>
  <c r="O1593" i="41"/>
  <c r="U846" i="41"/>
  <c r="Q847" i="41"/>
  <c r="R1593" i="41"/>
  <c r="V1593" i="41" s="1"/>
  <c r="I844" i="41"/>
  <c r="H844" i="41"/>
  <c r="G844" i="41" s="1"/>
  <c r="AJ903" i="41"/>
  <c r="AK903" i="41"/>
  <c r="AH903" i="41"/>
  <c r="AF903" i="41"/>
  <c r="AG903" i="41"/>
  <c r="AI903" i="41"/>
  <c r="O847" i="41"/>
  <c r="W1592" i="41"/>
  <c r="X1592" i="41"/>
  <c r="P1593" i="41"/>
  <c r="AE1590" i="41"/>
  <c r="T1590" i="41"/>
  <c r="S1591" i="41"/>
  <c r="V846" i="41"/>
  <c r="AD844" i="41"/>
  <c r="R847" i="41"/>
  <c r="AC844" i="41"/>
  <c r="AE904" i="41" s="1" a="1"/>
  <c r="AE904" i="41" s="1"/>
  <c r="M1587" i="41"/>
  <c r="L1587" i="41" s="1"/>
  <c r="U1592" i="41"/>
  <c r="Q1593" i="41"/>
  <c r="AI1589" i="41"/>
  <c r="AJ1589" i="41"/>
  <c r="AF1589" i="41"/>
  <c r="AK1589" i="41"/>
  <c r="AH1589" i="41"/>
  <c r="AG1589" i="41"/>
  <c r="S845" i="41"/>
  <c r="M845" i="41"/>
  <c r="L845" i="41" s="1"/>
  <c r="L1588" i="41" l="1"/>
  <c r="V847" i="41"/>
  <c r="M1589" i="41"/>
  <c r="W1593" i="41"/>
  <c r="X1593" i="41"/>
  <c r="P1594" i="41"/>
  <c r="R1594" i="41"/>
  <c r="R848" i="41"/>
  <c r="V848" i="41" s="1"/>
  <c r="AJ1590" i="41"/>
  <c r="AI1590" i="41"/>
  <c r="AK1590" i="41"/>
  <c r="AG1590" i="41"/>
  <c r="AF1590" i="41"/>
  <c r="AH1590" i="41"/>
  <c r="AC845" i="41"/>
  <c r="AE905" i="41" s="1" a="1"/>
  <c r="AE905" i="41" s="1"/>
  <c r="AI904" i="41"/>
  <c r="AK904" i="41"/>
  <c r="AH904" i="41"/>
  <c r="AJ904" i="41"/>
  <c r="AF904" i="41"/>
  <c r="AG904" i="41"/>
  <c r="U1593" i="41"/>
  <c r="AD1592" i="41" s="1"/>
  <c r="Q1594" i="41"/>
  <c r="O1594" i="41"/>
  <c r="AD845" i="41"/>
  <c r="U847" i="41"/>
  <c r="Q848" i="41"/>
  <c r="AB847" i="41" a="1"/>
  <c r="AB847" i="41" s="1"/>
  <c r="M846" i="41"/>
  <c r="L846" i="41" s="1"/>
  <c r="O848" i="41"/>
  <c r="S1592" i="41"/>
  <c r="I845" i="41"/>
  <c r="H845" i="41"/>
  <c r="G845" i="41" s="1"/>
  <c r="W847" i="41"/>
  <c r="X847" i="41"/>
  <c r="P848" i="41"/>
  <c r="AB1591" i="41"/>
  <c r="S846" i="41"/>
  <c r="AC1591" i="41"/>
  <c r="I1591" i="41"/>
  <c r="H1591" i="41"/>
  <c r="G1591" i="41" s="1"/>
  <c r="AD1591" i="41"/>
  <c r="L1589" i="41" l="1"/>
  <c r="M1590" i="41"/>
  <c r="AC1592" i="41"/>
  <c r="AE1592" i="41" s="1"/>
  <c r="M847" i="41"/>
  <c r="L847" i="41" s="1"/>
  <c r="T1592" i="41"/>
  <c r="O849" i="41"/>
  <c r="U1594" i="41"/>
  <c r="AD1593" i="41" s="1"/>
  <c r="Q1595" i="41"/>
  <c r="R1595" i="41"/>
  <c r="H1592" i="41"/>
  <c r="G1592" i="41" s="1"/>
  <c r="I1592" i="41"/>
  <c r="AI905" i="41"/>
  <c r="AH905" i="41"/>
  <c r="AG905" i="41"/>
  <c r="AK905" i="41"/>
  <c r="AJ905" i="41"/>
  <c r="AF905" i="41"/>
  <c r="W92" i="41"/>
  <c r="W93" i="41"/>
  <c r="W94" i="41"/>
  <c r="W95" i="41"/>
  <c r="W96" i="41"/>
  <c r="W97" i="41"/>
  <c r="W98" i="41"/>
  <c r="W99" i="41"/>
  <c r="W100" i="41"/>
  <c r="W101" i="41"/>
  <c r="W102" i="41"/>
  <c r="W103" i="41"/>
  <c r="W104" i="41"/>
  <c r="W105" i="41"/>
  <c r="W106" i="41"/>
  <c r="W107" i="41"/>
  <c r="W108" i="41"/>
  <c r="W109" i="41"/>
  <c r="W110" i="41"/>
  <c r="W111" i="41"/>
  <c r="W112" i="41"/>
  <c r="W113" i="41"/>
  <c r="W1594" i="41"/>
  <c r="X1594" i="41"/>
  <c r="P1595" i="41"/>
  <c r="S1593" i="41"/>
  <c r="AE1591" i="41"/>
  <c r="T1591" i="41"/>
  <c r="AC1593" i="41"/>
  <c r="AB1592" i="41"/>
  <c r="AC846" i="41"/>
  <c r="W848" i="41"/>
  <c r="X848" i="41"/>
  <c r="P849" i="41"/>
  <c r="AD846" i="41"/>
  <c r="V1594" i="41"/>
  <c r="O1595" i="41" s="1"/>
  <c r="S847" i="41"/>
  <c r="I846" i="41"/>
  <c r="H846" i="41"/>
  <c r="G846" i="41" s="1"/>
  <c r="U848" i="41"/>
  <c r="AD847" i="41" s="1"/>
  <c r="Q849" i="41"/>
  <c r="R849" i="41"/>
  <c r="V849" i="41" s="1"/>
  <c r="AB848" i="41" a="1"/>
  <c r="AB848" i="41" s="1"/>
  <c r="L1590" i="41" l="1"/>
  <c r="AB849" i="41" a="1"/>
  <c r="AB849" i="41" s="1"/>
  <c r="AB1593" i="41"/>
  <c r="H1593" i="41"/>
  <c r="G1593" i="41" s="1"/>
  <c r="I1593" i="41"/>
  <c r="U1595" i="41"/>
  <c r="AB1594" i="41" s="1"/>
  <c r="Q1596" i="41"/>
  <c r="AC847" i="41"/>
  <c r="W114" i="41"/>
  <c r="AE17" i="41" s="1"/>
  <c r="AE92" i="41"/>
  <c r="AE93" i="41"/>
  <c r="AE94" i="41"/>
  <c r="AE95" i="41"/>
  <c r="AE96" i="41"/>
  <c r="AE97" i="41"/>
  <c r="AE98" i="41"/>
  <c r="AE99" i="41"/>
  <c r="AE100" i="41"/>
  <c r="AE101" i="41"/>
  <c r="AE102" i="41"/>
  <c r="AE103" i="41"/>
  <c r="AE104" i="41"/>
  <c r="AE105" i="41"/>
  <c r="AE106" i="41"/>
  <c r="AE107" i="41"/>
  <c r="AE108" i="41"/>
  <c r="AE109" i="41"/>
  <c r="AE110" i="41"/>
  <c r="AE111" i="41"/>
  <c r="AE112" i="41"/>
  <c r="AE113" i="41"/>
  <c r="V1595" i="41"/>
  <c r="O1596" i="41" s="1"/>
  <c r="W1595" i="41"/>
  <c r="X1595" i="41"/>
  <c r="P1596" i="41"/>
  <c r="M848" i="41"/>
  <c r="L848" i="41" s="1"/>
  <c r="I847" i="41"/>
  <c r="H847" i="41"/>
  <c r="G847" i="41" s="1"/>
  <c r="AI92" i="41"/>
  <c r="AI93" i="41"/>
  <c r="AI94" i="41"/>
  <c r="AI95" i="41"/>
  <c r="AI96" i="41"/>
  <c r="AI97" i="41"/>
  <c r="AI98" i="41"/>
  <c r="AI99" i="41"/>
  <c r="AI100" i="41"/>
  <c r="AI101" i="41"/>
  <c r="AI102" i="41"/>
  <c r="AI103" i="41"/>
  <c r="AI104" i="41"/>
  <c r="AI105" i="41"/>
  <c r="AI106" i="41"/>
  <c r="AI107" i="41"/>
  <c r="AI108" i="41"/>
  <c r="AI109" i="41"/>
  <c r="AI110" i="41"/>
  <c r="AI111" i="41"/>
  <c r="AI112" i="41"/>
  <c r="AI113" i="41"/>
  <c r="W849" i="41"/>
  <c r="X849" i="41"/>
  <c r="P850" i="41"/>
  <c r="AJ92" i="41"/>
  <c r="AJ93" i="41"/>
  <c r="AJ94" i="41"/>
  <c r="AJ95" i="41"/>
  <c r="AJ96" i="41"/>
  <c r="AJ97" i="41"/>
  <c r="AJ98" i="41"/>
  <c r="AJ99" i="41"/>
  <c r="AJ100" i="41"/>
  <c r="AJ101" i="41"/>
  <c r="AJ102" i="41"/>
  <c r="AJ103" i="41"/>
  <c r="AJ104" i="41"/>
  <c r="AJ105" i="41"/>
  <c r="AJ106" i="41"/>
  <c r="AJ107" i="41"/>
  <c r="AJ108" i="41"/>
  <c r="AJ109" i="41"/>
  <c r="AJ110" i="41"/>
  <c r="AJ111" i="41"/>
  <c r="AJ112" i="41"/>
  <c r="AJ113" i="41"/>
  <c r="S848" i="41"/>
  <c r="R850" i="41"/>
  <c r="V850" i="41" s="1"/>
  <c r="R1596" i="41"/>
  <c r="AF92" i="41"/>
  <c r="AF93" i="41"/>
  <c r="AF94" i="41"/>
  <c r="AF95" i="41"/>
  <c r="AF96" i="41"/>
  <c r="AF97" i="41"/>
  <c r="AF98" i="41"/>
  <c r="AF99" i="41"/>
  <c r="AF100" i="41"/>
  <c r="AF101" i="41"/>
  <c r="AF102" i="41"/>
  <c r="AF103" i="41"/>
  <c r="AF104" i="41"/>
  <c r="AF105" i="41"/>
  <c r="AF106" i="41"/>
  <c r="AF107" i="41"/>
  <c r="AF108" i="41"/>
  <c r="AF109" i="41"/>
  <c r="AF110" i="41"/>
  <c r="AF111" i="41"/>
  <c r="AF112" i="41"/>
  <c r="AF113" i="41"/>
  <c r="AG92" i="41"/>
  <c r="AG93" i="41"/>
  <c r="AG94" i="41"/>
  <c r="AG95" i="41"/>
  <c r="AG96" i="41"/>
  <c r="AG97" i="41"/>
  <c r="AG98" i="41"/>
  <c r="AG99" i="41"/>
  <c r="AG100" i="41"/>
  <c r="AG101" i="41"/>
  <c r="AG102" i="41"/>
  <c r="AG103" i="41"/>
  <c r="AG104" i="41"/>
  <c r="AG105" i="41"/>
  <c r="AG106" i="41"/>
  <c r="AG107" i="41"/>
  <c r="AG108" i="41"/>
  <c r="AG109" i="41"/>
  <c r="AG110" i="41"/>
  <c r="AG111" i="41"/>
  <c r="AG112" i="41"/>
  <c r="AG113" i="41"/>
  <c r="AF1592" i="41"/>
  <c r="AG1592" i="41"/>
  <c r="AJ1592" i="41"/>
  <c r="AK1592" i="41"/>
  <c r="AI1592" i="41"/>
  <c r="AH1592" i="41"/>
  <c r="O850" i="41"/>
  <c r="AE1593" i="41"/>
  <c r="T1593" i="41"/>
  <c r="Q850" i="41"/>
  <c r="U849" i="41"/>
  <c r="S1594" i="41"/>
  <c r="AF1591" i="41"/>
  <c r="AH1591" i="41"/>
  <c r="AG1591" i="41"/>
  <c r="AI1591" i="41"/>
  <c r="AJ1591" i="41"/>
  <c r="AK1591" i="41"/>
  <c r="AH92" i="41"/>
  <c r="AH93" i="41"/>
  <c r="AH94" i="41"/>
  <c r="AH95" i="41"/>
  <c r="AH96" i="41"/>
  <c r="AH97" i="41"/>
  <c r="AH98" i="41"/>
  <c r="AH99" i="41"/>
  <c r="AH100" i="41"/>
  <c r="AH101" i="41"/>
  <c r="AH102" i="41"/>
  <c r="AH103" i="41"/>
  <c r="AH104" i="41"/>
  <c r="AH105" i="41"/>
  <c r="AH106" i="41"/>
  <c r="AH107" i="41"/>
  <c r="AH108" i="41"/>
  <c r="AH109" i="41"/>
  <c r="AH110" i="41"/>
  <c r="AH111" i="41"/>
  <c r="AH112" i="41"/>
  <c r="AH113" i="41"/>
  <c r="AD1594" i="41" l="1"/>
  <c r="S849" i="41"/>
  <c r="I849" i="41" s="1"/>
  <c r="M849" i="41"/>
  <c r="L849" i="41" s="1"/>
  <c r="M1592" i="41"/>
  <c r="AH114" i="41"/>
  <c r="AE29" i="41" s="1"/>
  <c r="AC29" i="41" s="1"/>
  <c r="M1591" i="41"/>
  <c r="L1591" i="41" s="1"/>
  <c r="H1594" i="41"/>
  <c r="G1594" i="41" s="1"/>
  <c r="I1594" i="41"/>
  <c r="AC22" i="41"/>
  <c r="R25" i="18" s="1"/>
  <c r="X28" i="41"/>
  <c r="P31" i="18" s="1"/>
  <c r="AC32" i="41"/>
  <c r="R35" i="18" s="1"/>
  <c r="AC20" i="41"/>
  <c r="R23" i="18" s="1"/>
  <c r="X30" i="41"/>
  <c r="P33" i="18" s="1"/>
  <c r="S20" i="18"/>
  <c r="O851" i="41"/>
  <c r="Q1597" i="41"/>
  <c r="U1596" i="41"/>
  <c r="AB1595" i="41" s="1"/>
  <c r="R1597" i="41"/>
  <c r="W1596" i="41"/>
  <c r="X1596" i="41"/>
  <c r="P1597" i="41"/>
  <c r="U850" i="41"/>
  <c r="Q851" i="41"/>
  <c r="AJ114" i="41"/>
  <c r="AE31" i="41" s="1"/>
  <c r="AC31" i="41" s="1"/>
  <c r="S1595" i="41"/>
  <c r="AC848" i="41"/>
  <c r="AK1593" i="41"/>
  <c r="AI1593" i="41"/>
  <c r="AJ1593" i="41"/>
  <c r="AF1593" i="41"/>
  <c r="AH1593" i="41"/>
  <c r="AG1593" i="41"/>
  <c r="AB850" i="41" a="1"/>
  <c r="AB850" i="41" s="1"/>
  <c r="AE114" i="41"/>
  <c r="AE26" i="41" s="1"/>
  <c r="AD848" i="41"/>
  <c r="W850" i="41"/>
  <c r="X850" i="41"/>
  <c r="P851" i="41"/>
  <c r="I848" i="41"/>
  <c r="H848" i="41"/>
  <c r="G848" i="41" s="1"/>
  <c r="R851" i="41"/>
  <c r="V851" i="41" s="1"/>
  <c r="H849" i="41"/>
  <c r="G849" i="41" s="1"/>
  <c r="AI114" i="41"/>
  <c r="AE30" i="41" s="1"/>
  <c r="AC30" i="41" s="1"/>
  <c r="AG114" i="41"/>
  <c r="AE28" i="41" s="1"/>
  <c r="AC28" i="41" s="1"/>
  <c r="AF114" i="41"/>
  <c r="AE27" i="41" s="1"/>
  <c r="AC27" i="41" s="1"/>
  <c r="AC1594" i="41"/>
  <c r="V1596" i="41"/>
  <c r="O1597" i="41" s="1"/>
  <c r="AC1595" i="41" l="1"/>
  <c r="AE1595" i="41" s="1"/>
  <c r="AD1595" i="41"/>
  <c r="L1592" i="41"/>
  <c r="M1593" i="41"/>
  <c r="S1596" i="41"/>
  <c r="H1596" i="41"/>
  <c r="G1596" i="41" s="1"/>
  <c r="I1596" i="41"/>
  <c r="AE1594" i="41"/>
  <c r="T1594" i="41"/>
  <c r="R852" i="41"/>
  <c r="V852" i="41" s="1"/>
  <c r="W1597" i="41"/>
  <c r="X1597" i="41"/>
  <c r="P1598" i="41"/>
  <c r="AC26" i="41"/>
  <c r="AB26" i="41"/>
  <c r="Q1598" i="41"/>
  <c r="U1597" i="41"/>
  <c r="O852" i="41"/>
  <c r="V1597" i="41"/>
  <c r="O1598" i="41" s="1"/>
  <c r="W851" i="41"/>
  <c r="X851" i="41"/>
  <c r="P852" i="41"/>
  <c r="AB852" i="41" s="1" a="1"/>
  <c r="AB852" i="41" s="1"/>
  <c r="H1595" i="41"/>
  <c r="G1595" i="41" s="1"/>
  <c r="I1595" i="41"/>
  <c r="AB1596" i="41"/>
  <c r="M850" i="41"/>
  <c r="L850" i="41" s="1"/>
  <c r="S850" i="41"/>
  <c r="U851" i="41"/>
  <c r="Q852" i="41"/>
  <c r="R1598" i="41"/>
  <c r="V1598" i="41" s="1"/>
  <c r="AD849" i="41"/>
  <c r="AB851" i="41" a="1"/>
  <c r="AB851" i="41" s="1"/>
  <c r="AC849" i="41"/>
  <c r="T1595" i="41" l="1"/>
  <c r="L1593" i="41"/>
  <c r="S851" i="41"/>
  <c r="I851" i="41" s="1"/>
  <c r="AD850" i="41"/>
  <c r="O1599" i="41"/>
  <c r="AH1595" i="41"/>
  <c r="AK1595" i="41"/>
  <c r="AG1595" i="41"/>
  <c r="AJ1595" i="41"/>
  <c r="AF1595" i="41"/>
  <c r="AI1595" i="41"/>
  <c r="AD1596" i="41"/>
  <c r="X26" i="41"/>
  <c r="P29" i="18" s="1"/>
  <c r="Q29" i="18"/>
  <c r="U1598" i="41"/>
  <c r="AC1597" i="41" s="1"/>
  <c r="Q1599" i="41"/>
  <c r="O853" i="41"/>
  <c r="H851" i="41"/>
  <c r="G851" i="41" s="1"/>
  <c r="S1597" i="41"/>
  <c r="AI1594" i="41"/>
  <c r="AG1594" i="41"/>
  <c r="AH1594" i="41"/>
  <c r="AK1594" i="41"/>
  <c r="AF1594" i="41"/>
  <c r="AJ1594" i="41"/>
  <c r="W1598" i="41"/>
  <c r="X1598" i="41"/>
  <c r="P1599" i="41"/>
  <c r="R1599" i="41"/>
  <c r="R853" i="41"/>
  <c r="V853" i="41" s="1"/>
  <c r="I850" i="41"/>
  <c r="H850" i="41"/>
  <c r="G850" i="41" s="1"/>
  <c r="M851" i="41"/>
  <c r="L851" i="41" s="1"/>
  <c r="AC1596" i="41"/>
  <c r="Q853" i="41"/>
  <c r="U852" i="41"/>
  <c r="S852" i="41" s="1"/>
  <c r="I852" i="41" s="1"/>
  <c r="AC850" i="41"/>
  <c r="W852" i="41"/>
  <c r="X852" i="41"/>
  <c r="P853" i="41"/>
  <c r="M1595" i="41" l="1"/>
  <c r="AC851" i="41"/>
  <c r="AD851" i="41"/>
  <c r="AD1597" i="41"/>
  <c r="M1594" i="41"/>
  <c r="L1594" i="41" s="1"/>
  <c r="U1599" i="41"/>
  <c r="AC1598" i="41" s="1"/>
  <c r="Q1600" i="41"/>
  <c r="AE1596" i="41"/>
  <c r="T1596" i="41"/>
  <c r="AE1597" i="41"/>
  <c r="T1597" i="41"/>
  <c r="R1600" i="41"/>
  <c r="R854" i="41"/>
  <c r="X853" i="41"/>
  <c r="W853" i="41"/>
  <c r="P854" i="41"/>
  <c r="H852" i="41"/>
  <c r="G852" i="41" s="1"/>
  <c r="V1599" i="41"/>
  <c r="O1600" i="41" s="1"/>
  <c r="W1599" i="41"/>
  <c r="X1599" i="41"/>
  <c r="P1600" i="41"/>
  <c r="S1598" i="41"/>
  <c r="S1599" i="41" s="1"/>
  <c r="I1599" i="41" s="1"/>
  <c r="O854" i="41"/>
  <c r="M852" i="41"/>
  <c r="L852" i="41" s="1"/>
  <c r="I1597" i="41"/>
  <c r="H1597" i="41"/>
  <c r="G1597" i="41" s="1"/>
  <c r="U853" i="41"/>
  <c r="S853" i="41" s="1"/>
  <c r="I853" i="41" s="1"/>
  <c r="Q854" i="41"/>
  <c r="AB853" i="41" a="1"/>
  <c r="AB853" i="41" s="1"/>
  <c r="AB1597" i="41"/>
  <c r="AC852" i="41" l="1"/>
  <c r="AB854" i="41" a="1"/>
  <c r="AB854" i="41" s="1"/>
  <c r="L1595" i="41"/>
  <c r="AD852" i="41"/>
  <c r="AE1598" i="41"/>
  <c r="T1598" i="41"/>
  <c r="R1601" i="41"/>
  <c r="H1599" i="41"/>
  <c r="G1599" i="41" s="1"/>
  <c r="W1600" i="41"/>
  <c r="X1600" i="41"/>
  <c r="P1601" i="41"/>
  <c r="AH1597" i="41"/>
  <c r="AF1597" i="41"/>
  <c r="AK1597" i="41"/>
  <c r="AI1597" i="41"/>
  <c r="AG1597" i="41"/>
  <c r="AJ1597" i="41"/>
  <c r="U854" i="41"/>
  <c r="S854" i="41" s="1"/>
  <c r="I854" i="41" s="1"/>
  <c r="Q855" i="41"/>
  <c r="V854" i="41"/>
  <c r="O855" i="41" s="1"/>
  <c r="U1600" i="41"/>
  <c r="AC1599" i="41" s="1"/>
  <c r="Q1601" i="41"/>
  <c r="H853" i="41"/>
  <c r="G853" i="41" s="1"/>
  <c r="X854" i="41"/>
  <c r="W854" i="41"/>
  <c r="P855" i="41"/>
  <c r="AI1596" i="41"/>
  <c r="AG1596" i="41"/>
  <c r="AH1596" i="41"/>
  <c r="AK1596" i="41"/>
  <c r="AJ1596" i="41"/>
  <c r="AF1596" i="41"/>
  <c r="R855" i="41"/>
  <c r="V855" i="41" s="1"/>
  <c r="I1598" i="41"/>
  <c r="H1598" i="41"/>
  <c r="G1598" i="41" s="1"/>
  <c r="AB1598" i="41"/>
  <c r="M853" i="41"/>
  <c r="L853" i="41" s="1"/>
  <c r="V1600" i="41"/>
  <c r="O1601" i="41" s="1"/>
  <c r="AD1598" i="41"/>
  <c r="V1601" i="41" l="1"/>
  <c r="M854" i="41"/>
  <c r="L854" i="41" s="1"/>
  <c r="M1597" i="41"/>
  <c r="M1596" i="41"/>
  <c r="L1596" i="41" s="1"/>
  <c r="W855" i="41"/>
  <c r="X855" i="41"/>
  <c r="P856" i="41"/>
  <c r="AE1599" i="41"/>
  <c r="T1599" i="41"/>
  <c r="R1602" i="41"/>
  <c r="O856" i="41"/>
  <c r="O1602" i="41"/>
  <c r="AD1599" i="41"/>
  <c r="AB1599" i="41"/>
  <c r="R856" i="41"/>
  <c r="AD853" i="41"/>
  <c r="U1601" i="41"/>
  <c r="AD1600" i="41" s="1"/>
  <c r="Q1602" i="41"/>
  <c r="S1600" i="41"/>
  <c r="H854" i="41"/>
  <c r="G854" i="41" s="1"/>
  <c r="AC853" i="41"/>
  <c r="AB855" i="41" a="1"/>
  <c r="AB855" i="41" s="1"/>
  <c r="U855" i="41"/>
  <c r="S855" i="41" s="1"/>
  <c r="I855" i="41" s="1"/>
  <c r="Q856" i="41"/>
  <c r="W1601" i="41"/>
  <c r="X1601" i="41"/>
  <c r="P1602" i="41"/>
  <c r="AK1598" i="41"/>
  <c r="AG1598" i="41"/>
  <c r="AF1598" i="41"/>
  <c r="AH1598" i="41"/>
  <c r="AI1598" i="41"/>
  <c r="AJ1598" i="41"/>
  <c r="L1597" i="41" l="1"/>
  <c r="AB1600" i="41"/>
  <c r="AC1600" i="41"/>
  <c r="AE1600" i="41" s="1"/>
  <c r="M1598" i="41"/>
  <c r="W856" i="41"/>
  <c r="X856" i="41"/>
  <c r="P857" i="41"/>
  <c r="U856" i="41"/>
  <c r="Q857" i="41"/>
  <c r="AB856" i="41" a="1"/>
  <c r="AB856" i="41" s="1"/>
  <c r="R1603" i="41"/>
  <c r="H1600" i="41"/>
  <c r="G1600" i="41" s="1"/>
  <c r="I1600" i="41"/>
  <c r="W1602" i="41"/>
  <c r="X1602" i="41"/>
  <c r="P1603" i="41"/>
  <c r="U1602" i="41"/>
  <c r="AD1601" i="41" s="1"/>
  <c r="Q1603" i="41"/>
  <c r="V856" i="41"/>
  <c r="O857" i="41" s="1"/>
  <c r="T1600" i="41"/>
  <c r="AG1599" i="41"/>
  <c r="AJ1599" i="41"/>
  <c r="AI1599" i="41"/>
  <c r="AK1599" i="41"/>
  <c r="AH1599" i="41"/>
  <c r="AF1599" i="41"/>
  <c r="AD854" i="41"/>
  <c r="R857" i="41"/>
  <c r="V857" i="41" s="1"/>
  <c r="AC854" i="41"/>
  <c r="V1602" i="41"/>
  <c r="O1603" i="41" s="1"/>
  <c r="H855" i="41"/>
  <c r="G855" i="41" s="1"/>
  <c r="S1601" i="41"/>
  <c r="M855" i="41"/>
  <c r="L855" i="41" s="1"/>
  <c r="L1598" i="41" l="1"/>
  <c r="M1599" i="41"/>
  <c r="AC1601" i="41"/>
  <c r="AE1601" i="41" s="1"/>
  <c r="W1603" i="41"/>
  <c r="X1603" i="41"/>
  <c r="P1604" i="41"/>
  <c r="O858" i="41"/>
  <c r="R858" i="41"/>
  <c r="R1604" i="41"/>
  <c r="V1604" i="41" s="1"/>
  <c r="T1601" i="41"/>
  <c r="M856" i="41"/>
  <c r="L856" i="41" s="1"/>
  <c r="AD855" i="41"/>
  <c r="U1603" i="41"/>
  <c r="AB1602" i="41" s="1"/>
  <c r="Q1604" i="41"/>
  <c r="AC855" i="41"/>
  <c r="W857" i="41"/>
  <c r="X857" i="41"/>
  <c r="P858" i="41"/>
  <c r="I1601" i="41"/>
  <c r="H1601" i="41"/>
  <c r="G1601" i="41" s="1"/>
  <c r="Q858" i="41"/>
  <c r="U857" i="41"/>
  <c r="AJ1600" i="41"/>
  <c r="AG1600" i="41"/>
  <c r="AK1600" i="41"/>
  <c r="AH1600" i="41"/>
  <c r="AI1600" i="41"/>
  <c r="AF1600" i="41"/>
  <c r="AB857" i="41" a="1"/>
  <c r="AB857" i="41" s="1"/>
  <c r="V1603" i="41"/>
  <c r="O1604" i="41" s="1"/>
  <c r="S1602" i="41"/>
  <c r="AD1602" i="41"/>
  <c r="AB1601" i="41"/>
  <c r="S856" i="41"/>
  <c r="L1599" i="41" l="1"/>
  <c r="AB858" i="41" a="1"/>
  <c r="AB858" i="41" s="1"/>
  <c r="M1600" i="41"/>
  <c r="W1604" i="41"/>
  <c r="X1604" i="41"/>
  <c r="P1605" i="41"/>
  <c r="S1603" i="41"/>
  <c r="AD856" i="41"/>
  <c r="W858" i="41"/>
  <c r="X858" i="41"/>
  <c r="P859" i="41"/>
  <c r="R1605" i="41"/>
  <c r="V1605" i="41" s="1"/>
  <c r="U858" i="41"/>
  <c r="AC857" i="41" s="1"/>
  <c r="Q859" i="41"/>
  <c r="AC1602" i="41"/>
  <c r="R859" i="41"/>
  <c r="AF1601" i="41"/>
  <c r="AI1601" i="41"/>
  <c r="AG1601" i="41"/>
  <c r="AK1601" i="41"/>
  <c r="AJ1601" i="41"/>
  <c r="AH1601" i="41"/>
  <c r="I1602" i="41"/>
  <c r="H1602" i="41"/>
  <c r="G1602" i="41" s="1"/>
  <c r="O1605" i="41"/>
  <c r="S857" i="41"/>
  <c r="V858" i="41"/>
  <c r="O859" i="41" s="1"/>
  <c r="AC856" i="41"/>
  <c r="I856" i="41"/>
  <c r="H856" i="41"/>
  <c r="G856" i="41" s="1"/>
  <c r="M857" i="41"/>
  <c r="L857" i="41" s="1"/>
  <c r="U1604" i="41"/>
  <c r="AC1603" i="41" s="1"/>
  <c r="Q1605" i="41"/>
  <c r="V859" i="41" l="1"/>
  <c r="AB859" i="41" a="1"/>
  <c r="AB859" i="41" s="1"/>
  <c r="L1600" i="41"/>
  <c r="M1601" i="41"/>
  <c r="M858" i="41"/>
  <c r="L858" i="41" s="1"/>
  <c r="W859" i="41"/>
  <c r="X859" i="41"/>
  <c r="P860" i="41"/>
  <c r="O1606" i="41"/>
  <c r="AE1602" i="41"/>
  <c r="T1602" i="41"/>
  <c r="R1606" i="41"/>
  <c r="V1606" i="41" s="1"/>
  <c r="W1605" i="41"/>
  <c r="X1605" i="41"/>
  <c r="P1606" i="41"/>
  <c r="O860" i="41"/>
  <c r="AD857" i="41"/>
  <c r="AD1603" i="41"/>
  <c r="S1604" i="41"/>
  <c r="U1605" i="41"/>
  <c r="AD1604" i="41" s="1"/>
  <c r="Q1606" i="41"/>
  <c r="I857" i="41"/>
  <c r="H857" i="41"/>
  <c r="G857" i="41" s="1"/>
  <c r="R860" i="41"/>
  <c r="AE1603" i="41"/>
  <c r="T1603" i="41"/>
  <c r="U859" i="41"/>
  <c r="AC858" i="41" s="1"/>
  <c r="Q860" i="41"/>
  <c r="H1603" i="41"/>
  <c r="G1603" i="41" s="1"/>
  <c r="I1603" i="41"/>
  <c r="AB1603" i="41"/>
  <c r="S858" i="41"/>
  <c r="L1601" i="41" l="1"/>
  <c r="AB1604" i="41"/>
  <c r="S859" i="41"/>
  <c r="AD858" i="41"/>
  <c r="AB860" i="41" a="1"/>
  <c r="AB860" i="41" s="1"/>
  <c r="AC1604" i="41"/>
  <c r="T1604" i="41" s="1"/>
  <c r="I859" i="41"/>
  <c r="H859" i="41"/>
  <c r="G859" i="41" s="1"/>
  <c r="U860" i="41"/>
  <c r="AD859" i="41" s="1"/>
  <c r="Q861" i="41"/>
  <c r="X860" i="41"/>
  <c r="W860" i="41"/>
  <c r="P861" i="41"/>
  <c r="W1606" i="41"/>
  <c r="X1606" i="41"/>
  <c r="P1607" i="41"/>
  <c r="R1607" i="41"/>
  <c r="I1604" i="41"/>
  <c r="H1604" i="41"/>
  <c r="G1604" i="41" s="1"/>
  <c r="AG1603" i="41"/>
  <c r="AK1603" i="41"/>
  <c r="AF1603" i="41"/>
  <c r="AJ1603" i="41"/>
  <c r="AH1603" i="41"/>
  <c r="AI1603" i="41"/>
  <c r="I858" i="41"/>
  <c r="H858" i="41"/>
  <c r="G858" i="41" s="1"/>
  <c r="AJ1602" i="41"/>
  <c r="AF1602" i="41"/>
  <c r="AG1602" i="41"/>
  <c r="AI1602" i="41"/>
  <c r="AK1602" i="41"/>
  <c r="AH1602" i="41"/>
  <c r="S1605" i="41"/>
  <c r="S860" i="41"/>
  <c r="I860" i="41" s="1"/>
  <c r="O861" i="41"/>
  <c r="R861" i="41"/>
  <c r="O1607" i="41"/>
  <c r="V860" i="41"/>
  <c r="U1606" i="41"/>
  <c r="AD1605" i="41" s="1"/>
  <c r="Q1607" i="41"/>
  <c r="M859" i="41"/>
  <c r="L859" i="41" s="1"/>
  <c r="S1606" i="41" l="1"/>
  <c r="I1606" i="41" s="1"/>
  <c r="AE1604" i="41"/>
  <c r="AG1604" i="41" s="1"/>
  <c r="AC859" i="41"/>
  <c r="M860" i="41"/>
  <c r="L860" i="41" s="1"/>
  <c r="H1606" i="41"/>
  <c r="G1606" i="41" s="1"/>
  <c r="H860" i="41"/>
  <c r="G860" i="41" s="1"/>
  <c r="M1603" i="41"/>
  <c r="AC1605" i="41"/>
  <c r="AE1605" i="41" s="1"/>
  <c r="M1602" i="41"/>
  <c r="L1602" i="41" s="1"/>
  <c r="R862" i="41"/>
  <c r="W1607" i="41"/>
  <c r="X1607" i="41"/>
  <c r="P1608" i="41"/>
  <c r="U861" i="41"/>
  <c r="Q862" i="41"/>
  <c r="U1607" i="41"/>
  <c r="AD1606" i="41" s="1"/>
  <c r="Q1608" i="41"/>
  <c r="V861" i="41"/>
  <c r="O862" i="41" s="1"/>
  <c r="W861" i="41"/>
  <c r="X861" i="41"/>
  <c r="P862" i="41"/>
  <c r="T1605" i="41"/>
  <c r="R1608" i="41"/>
  <c r="AB861" i="41" a="1"/>
  <c r="AB861" i="41" s="1"/>
  <c r="V1607" i="41"/>
  <c r="O1608" i="41" s="1"/>
  <c r="AB1605" i="41"/>
  <c r="I1605" i="41"/>
  <c r="H1605" i="41"/>
  <c r="G1605" i="41" s="1"/>
  <c r="AK1604" i="41"/>
  <c r="AH1604" i="41"/>
  <c r="AF1604" i="41"/>
  <c r="AJ1604" i="41"/>
  <c r="V862" i="41" l="1"/>
  <c r="AI1604" i="41"/>
  <c r="AC1606" i="41"/>
  <c r="AE1606" i="41" s="1"/>
  <c r="AB1606" i="41"/>
  <c r="L1603" i="41"/>
  <c r="W1608" i="41"/>
  <c r="X1608" i="41"/>
  <c r="P1609" i="41"/>
  <c r="R863" i="41"/>
  <c r="R1609" i="41"/>
  <c r="T1606" i="41"/>
  <c r="Q1609" i="41"/>
  <c r="U1608" i="41"/>
  <c r="M861" i="41"/>
  <c r="L861" i="41" s="1"/>
  <c r="S861" i="41"/>
  <c r="W862" i="41"/>
  <c r="X862" i="41"/>
  <c r="P863" i="41"/>
  <c r="V1608" i="41"/>
  <c r="O1609" i="41" s="1"/>
  <c r="AH1605" i="41"/>
  <c r="AJ1605" i="41"/>
  <c r="AF1605" i="41"/>
  <c r="AI1605" i="41"/>
  <c r="AK1605" i="41"/>
  <c r="AG1605" i="41"/>
  <c r="U862" i="41"/>
  <c r="AC861" i="41" s="1"/>
  <c r="Q863" i="41"/>
  <c r="S1607" i="41"/>
  <c r="AB862" i="41" a="1"/>
  <c r="AB862" i="41" s="1"/>
  <c r="M1604" i="41"/>
  <c r="AD860" i="41"/>
  <c r="AC860" i="41"/>
  <c r="O863" i="41"/>
  <c r="AD861" i="41" l="1"/>
  <c r="S862" i="41"/>
  <c r="I862" i="41" s="1"/>
  <c r="L1604" i="41"/>
  <c r="AB863" i="41" a="1"/>
  <c r="AB863" i="41" s="1"/>
  <c r="S1608" i="41"/>
  <c r="H1608" i="41" s="1"/>
  <c r="G1608" i="41" s="1"/>
  <c r="M1605" i="41"/>
  <c r="AC1607" i="41"/>
  <c r="AE1607" i="41" s="1"/>
  <c r="W863" i="41"/>
  <c r="X863" i="41"/>
  <c r="P864" i="41"/>
  <c r="AK1606" i="41"/>
  <c r="AF1606" i="41"/>
  <c r="AG1606" i="41"/>
  <c r="AH1606" i="41"/>
  <c r="AI1606" i="41"/>
  <c r="AJ1606" i="41"/>
  <c r="U1609" i="41"/>
  <c r="Q1610" i="41"/>
  <c r="U863" i="41"/>
  <c r="AC862" i="41" s="1"/>
  <c r="Q864" i="41"/>
  <c r="I1607" i="41"/>
  <c r="H1607" i="41"/>
  <c r="G1607" i="41" s="1"/>
  <c r="H862" i="41"/>
  <c r="G862" i="41" s="1"/>
  <c r="R864" i="41"/>
  <c r="W1609" i="41"/>
  <c r="X1609" i="41"/>
  <c r="P1610" i="41"/>
  <c r="AB1607" i="41"/>
  <c r="V1609" i="41"/>
  <c r="O1610" i="41" s="1"/>
  <c r="T1607" i="41"/>
  <c r="R1610" i="41"/>
  <c r="V863" i="41"/>
  <c r="O864" i="41" s="1"/>
  <c r="M862" i="41"/>
  <c r="L862" i="41" s="1"/>
  <c r="I861" i="41"/>
  <c r="H861" i="41"/>
  <c r="G861" i="41" s="1"/>
  <c r="AD1607" i="41"/>
  <c r="I1608" i="41" l="1"/>
  <c r="AD862" i="41"/>
  <c r="AB864" i="41" a="1"/>
  <c r="AB864" i="41" s="1"/>
  <c r="S863" i="41"/>
  <c r="I863" i="41" s="1"/>
  <c r="L1605" i="41"/>
  <c r="M1606" i="41"/>
  <c r="W1610" i="41"/>
  <c r="X1610" i="41"/>
  <c r="P1611" i="41"/>
  <c r="U864" i="41"/>
  <c r="AD863" i="41" s="1"/>
  <c r="Q865" i="41"/>
  <c r="AB1608" i="41"/>
  <c r="R865" i="41"/>
  <c r="U1610" i="41"/>
  <c r="AD1609" i="41" s="1"/>
  <c r="Q1611" i="41"/>
  <c r="AC1608" i="41"/>
  <c r="H863" i="41"/>
  <c r="G863" i="41" s="1"/>
  <c r="R1611" i="41"/>
  <c r="V1611" i="41" s="1"/>
  <c r="V864" i="41"/>
  <c r="O865" i="41" s="1"/>
  <c r="V1610" i="41"/>
  <c r="AG1607" i="41"/>
  <c r="AI1607" i="41"/>
  <c r="AF1607" i="41"/>
  <c r="AK1607" i="41"/>
  <c r="AH1607" i="41"/>
  <c r="AJ1607" i="41"/>
  <c r="W864" i="41"/>
  <c r="X864" i="41"/>
  <c r="P865" i="41"/>
  <c r="AD1608" i="41"/>
  <c r="S1609" i="41"/>
  <c r="O1611" i="41"/>
  <c r="M863" i="41"/>
  <c r="L863" i="41" s="1"/>
  <c r="V865" i="41" l="1"/>
  <c r="L1606" i="41"/>
  <c r="AC863" i="41"/>
  <c r="S864" i="41"/>
  <c r="I864" i="41" s="1"/>
  <c r="S1610" i="41"/>
  <c r="H1610" i="41" s="1"/>
  <c r="G1610" i="41" s="1"/>
  <c r="AB1609" i="41"/>
  <c r="AC1609" i="41"/>
  <c r="AE1609" i="41" s="1"/>
  <c r="M1607" i="41"/>
  <c r="M864" i="41"/>
  <c r="L864" i="41" s="1"/>
  <c r="W865" i="41"/>
  <c r="X865" i="41"/>
  <c r="P866" i="41"/>
  <c r="AE1608" i="41"/>
  <c r="T1608" i="41"/>
  <c r="W1611" i="41"/>
  <c r="X1611" i="41"/>
  <c r="P1612" i="41"/>
  <c r="I1609" i="41"/>
  <c r="H1609" i="41"/>
  <c r="G1609" i="41" s="1"/>
  <c r="R1612" i="41"/>
  <c r="V1612" i="41" s="1"/>
  <c r="R866" i="41"/>
  <c r="H864" i="41"/>
  <c r="G864" i="41" s="1"/>
  <c r="O866" i="41"/>
  <c r="O1612" i="41"/>
  <c r="U1611" i="41"/>
  <c r="Q1612" i="41"/>
  <c r="U865" i="41"/>
  <c r="Q866" i="41"/>
  <c r="AB865" i="41" a="1"/>
  <c r="AB865" i="41" s="1"/>
  <c r="L1607" i="41" l="1"/>
  <c r="I1610" i="41"/>
  <c r="T1609" i="41"/>
  <c r="AB866" i="41" a="1"/>
  <c r="AB866" i="41" s="1"/>
  <c r="AI1608" i="41"/>
  <c r="AJ1608" i="41"/>
  <c r="AF1608" i="41"/>
  <c r="AG1608" i="41"/>
  <c r="AK1608" i="41"/>
  <c r="AH1608" i="41"/>
  <c r="R867" i="41"/>
  <c r="O1613" i="41"/>
  <c r="U866" i="41"/>
  <c r="AC865" i="41" s="1"/>
  <c r="Q867" i="41"/>
  <c r="U1612" i="41"/>
  <c r="AB1611" i="41" s="1"/>
  <c r="Q1613" i="41"/>
  <c r="AC1610" i="41"/>
  <c r="M865" i="41"/>
  <c r="L865" i="41" s="1"/>
  <c r="AB1610" i="41"/>
  <c r="AD1610" i="41"/>
  <c r="S865" i="41"/>
  <c r="R1613" i="41"/>
  <c r="V1613" i="41" s="1"/>
  <c r="AH1609" i="41"/>
  <c r="AK1609" i="41"/>
  <c r="AJ1609" i="41"/>
  <c r="AF1609" i="41"/>
  <c r="AI1609" i="41"/>
  <c r="AG1609" i="41"/>
  <c r="S1611" i="41"/>
  <c r="AD864" i="41"/>
  <c r="W1612" i="41"/>
  <c r="X1612" i="41"/>
  <c r="P1613" i="41"/>
  <c r="AC864" i="41"/>
  <c r="V866" i="41"/>
  <c r="O867" i="41" s="1"/>
  <c r="W866" i="41"/>
  <c r="X866" i="41"/>
  <c r="P867" i="41"/>
  <c r="M1608" i="41" l="1"/>
  <c r="L1608" i="41" s="1"/>
  <c r="AB867" i="41" a="1"/>
  <c r="AB867" i="41" s="1"/>
  <c r="AD865" i="41"/>
  <c r="S1612" i="41"/>
  <c r="M1609" i="41"/>
  <c r="I1612" i="41"/>
  <c r="H1612" i="41"/>
  <c r="G1612" i="41" s="1"/>
  <c r="AE1610" i="41"/>
  <c r="T1610" i="41"/>
  <c r="U867" i="41"/>
  <c r="AC866" i="41" s="1"/>
  <c r="Q868" i="41"/>
  <c r="AC1611" i="41"/>
  <c r="O1614" i="41"/>
  <c r="AD1611" i="41"/>
  <c r="Q1614" i="41"/>
  <c r="U1613" i="41"/>
  <c r="AB1612" i="41" s="1"/>
  <c r="V867" i="41"/>
  <c r="O868" i="41" s="1"/>
  <c r="W1613" i="41"/>
  <c r="X1613" i="41"/>
  <c r="P1614" i="41"/>
  <c r="W867" i="41"/>
  <c r="X867" i="41"/>
  <c r="P868" i="41"/>
  <c r="I865" i="41"/>
  <c r="H865" i="41"/>
  <c r="G865" i="41" s="1"/>
  <c r="M866" i="41"/>
  <c r="L866" i="41" s="1"/>
  <c r="S866" i="41"/>
  <c r="R1614" i="41"/>
  <c r="V1614" i="41" s="1"/>
  <c r="R868" i="41"/>
  <c r="H1611" i="41"/>
  <c r="G1611" i="41" s="1"/>
  <c r="I1611" i="41"/>
  <c r="V868" i="41" l="1"/>
  <c r="L1609" i="41"/>
  <c r="R869" i="41"/>
  <c r="V869" i="41" s="1"/>
  <c r="O869" i="41"/>
  <c r="U868" i="41"/>
  <c r="Q869" i="41"/>
  <c r="O1615" i="41"/>
  <c r="W868" i="41"/>
  <c r="X868" i="41"/>
  <c r="P869" i="41"/>
  <c r="AF1610" i="41"/>
  <c r="AG1610" i="41"/>
  <c r="AK1610" i="41"/>
  <c r="AH1610" i="41"/>
  <c r="AI1610" i="41"/>
  <c r="AJ1610" i="41"/>
  <c r="AB868" i="41" a="1"/>
  <c r="AB868" i="41" s="1"/>
  <c r="AE1611" i="41"/>
  <c r="T1611" i="41"/>
  <c r="R1615" i="41"/>
  <c r="V1615" i="41" s="1"/>
  <c r="AC1612" i="41"/>
  <c r="M867" i="41"/>
  <c r="L867" i="41" s="1"/>
  <c r="AD1612" i="41"/>
  <c r="Q1615" i="41"/>
  <c r="U1614" i="41"/>
  <c r="AC1613" i="41" s="1"/>
  <c r="S867" i="41"/>
  <c r="I866" i="41"/>
  <c r="H866" i="41"/>
  <c r="G866" i="41" s="1"/>
  <c r="W1614" i="41"/>
  <c r="X1614" i="41"/>
  <c r="P1615" i="41"/>
  <c r="AD866" i="41"/>
  <c r="S1613" i="41"/>
  <c r="AE1613" i="41" l="1"/>
  <c r="T1613" i="41"/>
  <c r="W1615" i="41"/>
  <c r="X1615" i="41"/>
  <c r="P1616" i="41"/>
  <c r="O1616" i="41"/>
  <c r="S1614" i="41"/>
  <c r="O870" i="41"/>
  <c r="R1616" i="41"/>
  <c r="M1610" i="41"/>
  <c r="L1610" i="41" s="1"/>
  <c r="AE1612" i="41"/>
  <c r="T1612" i="41"/>
  <c r="AD1613" i="41"/>
  <c r="W869" i="41"/>
  <c r="X869" i="41"/>
  <c r="P870" i="41"/>
  <c r="S868" i="41"/>
  <c r="R870" i="41"/>
  <c r="V870" i="41" s="1"/>
  <c r="M868" i="41"/>
  <c r="L868" i="41" s="1"/>
  <c r="U869" i="41"/>
  <c r="Q870" i="41"/>
  <c r="AB1613" i="41"/>
  <c r="U1615" i="41"/>
  <c r="AD1614" i="41" s="1"/>
  <c r="Q1616" i="41"/>
  <c r="AF1611" i="41"/>
  <c r="AI1611" i="41"/>
  <c r="AK1611" i="41"/>
  <c r="AJ1611" i="41"/>
  <c r="AG1611" i="41"/>
  <c r="AH1611" i="41"/>
  <c r="AD867" i="41"/>
  <c r="AB869" i="41" a="1"/>
  <c r="AB869" i="41" s="1"/>
  <c r="H1613" i="41"/>
  <c r="G1613" i="41" s="1"/>
  <c r="I1613" i="41"/>
  <c r="I867" i="41"/>
  <c r="H867" i="41"/>
  <c r="G867" i="41" s="1"/>
  <c r="AC867" i="41"/>
  <c r="S869" i="41" l="1"/>
  <c r="AB870" i="41" a="1"/>
  <c r="AB870" i="41" s="1"/>
  <c r="AC1614" i="41"/>
  <c r="T1614" i="41" s="1"/>
  <c r="M1611" i="41"/>
  <c r="L1611" i="41" s="1"/>
  <c r="M869" i="41"/>
  <c r="L869" i="41" s="1"/>
  <c r="AB1614" i="41"/>
  <c r="I869" i="41"/>
  <c r="H869" i="41"/>
  <c r="G869" i="41" s="1"/>
  <c r="W870" i="41"/>
  <c r="X870" i="41"/>
  <c r="P871" i="41"/>
  <c r="I1614" i="41"/>
  <c r="H1614" i="41"/>
  <c r="G1614" i="41" s="1"/>
  <c r="W1616" i="41"/>
  <c r="X1616" i="41"/>
  <c r="P1617" i="41"/>
  <c r="AJ1612" i="41"/>
  <c r="AK1612" i="41"/>
  <c r="AF1612" i="41"/>
  <c r="AG1612" i="41"/>
  <c r="AH1612" i="41"/>
  <c r="AI1612" i="41"/>
  <c r="S1615" i="41"/>
  <c r="R1617" i="41"/>
  <c r="V1617" i="41" s="1"/>
  <c r="U870" i="41"/>
  <c r="S870" i="41" s="1"/>
  <c r="I870" i="41" s="1"/>
  <c r="Q871" i="41"/>
  <c r="U1616" i="41"/>
  <c r="Q1617" i="41"/>
  <c r="R871" i="41"/>
  <c r="I868" i="41"/>
  <c r="H868" i="41"/>
  <c r="G868" i="41" s="1"/>
  <c r="V1616" i="41"/>
  <c r="O1617" i="41" s="1"/>
  <c r="AD868" i="41"/>
  <c r="O871" i="41"/>
  <c r="AC868" i="41"/>
  <c r="AJ1613" i="41"/>
  <c r="AK1613" i="41"/>
  <c r="AG1613" i="41"/>
  <c r="AI1613" i="41"/>
  <c r="AF1613" i="41"/>
  <c r="AH1613" i="41"/>
  <c r="AE1614" i="41" l="1"/>
  <c r="AF1614" i="41" s="1"/>
  <c r="M1613" i="41"/>
  <c r="M1612" i="41"/>
  <c r="L1612" i="41" s="1"/>
  <c r="AB871" i="41" a="1"/>
  <c r="AB871" i="41" s="1"/>
  <c r="AC869" i="41"/>
  <c r="S1616" i="41"/>
  <c r="I1616" i="41" s="1"/>
  <c r="AG1614" i="41"/>
  <c r="AH1614" i="41"/>
  <c r="AK1614" i="41"/>
  <c r="U871" i="41"/>
  <c r="Q872" i="41"/>
  <c r="I1615" i="41"/>
  <c r="H1615" i="41"/>
  <c r="G1615" i="41" s="1"/>
  <c r="R872" i="41"/>
  <c r="V872" i="41" s="1"/>
  <c r="M870" i="41"/>
  <c r="L870" i="41" s="1"/>
  <c r="W1617" i="41"/>
  <c r="X1617" i="41"/>
  <c r="P1618" i="41"/>
  <c r="V871" i="41"/>
  <c r="O872" i="41" s="1"/>
  <c r="H870" i="41"/>
  <c r="G870" i="41" s="1"/>
  <c r="AD1615" i="41"/>
  <c r="O1618" i="41"/>
  <c r="AB1615" i="41"/>
  <c r="AC1615" i="41"/>
  <c r="U1617" i="41"/>
  <c r="Q1618" i="41"/>
  <c r="W871" i="41"/>
  <c r="X871" i="41"/>
  <c r="P872" i="41"/>
  <c r="AD869" i="41"/>
  <c r="R1618" i="41"/>
  <c r="V1618" i="41" s="1"/>
  <c r="L1613" i="41" l="1"/>
  <c r="H1616" i="41"/>
  <c r="G1616" i="41" s="1"/>
  <c r="AJ1614" i="41"/>
  <c r="AI1614" i="41"/>
  <c r="M1614" i="41" s="1"/>
  <c r="S1617" i="41"/>
  <c r="H1617" i="41" s="1"/>
  <c r="G1617" i="41" s="1"/>
  <c r="AC1616" i="41"/>
  <c r="AE1616" i="41" s="1"/>
  <c r="AD1616" i="41"/>
  <c r="I1617" i="41"/>
  <c r="O873" i="41"/>
  <c r="R873" i="41"/>
  <c r="V873" i="41" s="1"/>
  <c r="AD870" i="41"/>
  <c r="AC870" i="41"/>
  <c r="Q873" i="41"/>
  <c r="U872" i="41"/>
  <c r="AD871" i="41" s="1"/>
  <c r="M871" i="41"/>
  <c r="L871" i="41" s="1"/>
  <c r="S871" i="41"/>
  <c r="AB1616" i="41"/>
  <c r="AB872" i="41" a="1"/>
  <c r="AB872" i="41" s="1"/>
  <c r="W1618" i="41"/>
  <c r="X1618" i="41"/>
  <c r="P1619" i="41"/>
  <c r="W872" i="41"/>
  <c r="X872" i="41"/>
  <c r="P873" i="41"/>
  <c r="O1619" i="41"/>
  <c r="AE1615" i="41"/>
  <c r="T1615" i="41"/>
  <c r="R1619" i="41"/>
  <c r="V1619" i="41" s="1"/>
  <c r="U1618" i="41"/>
  <c r="AD1617" i="41" s="1"/>
  <c r="Q1619" i="41"/>
  <c r="L1614" i="41" l="1"/>
  <c r="T1616" i="41"/>
  <c r="AC871" i="41"/>
  <c r="AC1617" i="41"/>
  <c r="AE1617" i="41" s="1"/>
  <c r="S1618" i="41"/>
  <c r="S872" i="41"/>
  <c r="I872" i="41" s="1"/>
  <c r="H872" i="41"/>
  <c r="G872" i="41" s="1"/>
  <c r="O874" i="41"/>
  <c r="W1619" i="41"/>
  <c r="X1619" i="41"/>
  <c r="P1620" i="41"/>
  <c r="U1619" i="41"/>
  <c r="Q1620" i="41"/>
  <c r="AI1615" i="41"/>
  <c r="AG1615" i="41"/>
  <c r="AK1615" i="41"/>
  <c r="AH1615" i="41"/>
  <c r="AJ1615" i="41"/>
  <c r="AF1615" i="41"/>
  <c r="W873" i="41"/>
  <c r="X873" i="41"/>
  <c r="P874" i="41"/>
  <c r="T1617" i="41"/>
  <c r="I871" i="41"/>
  <c r="H871" i="41"/>
  <c r="G871" i="41" s="1"/>
  <c r="O1620" i="41"/>
  <c r="M872" i="41"/>
  <c r="L872" i="41" s="1"/>
  <c r="Q874" i="41"/>
  <c r="U873" i="41"/>
  <c r="AC872" i="41" s="1"/>
  <c r="AB873" i="41" a="1"/>
  <c r="AB873" i="41" s="1"/>
  <c r="R874" i="41"/>
  <c r="V874" i="41" s="1"/>
  <c r="AB1617" i="41"/>
  <c r="R1620" i="41"/>
  <c r="V1620" i="41" s="1"/>
  <c r="AG1616" i="41"/>
  <c r="AF1616" i="41"/>
  <c r="AJ1616" i="41"/>
  <c r="AH1616" i="41"/>
  <c r="AK1616" i="41"/>
  <c r="AI1616" i="41"/>
  <c r="M1615" i="41" l="1"/>
  <c r="L1615" i="41" s="1"/>
  <c r="S873" i="41"/>
  <c r="H1618" i="41"/>
  <c r="G1618" i="41" s="1"/>
  <c r="I1618" i="41"/>
  <c r="M1616" i="41"/>
  <c r="I873" i="41"/>
  <c r="H873" i="41"/>
  <c r="G873" i="41" s="1"/>
  <c r="R875" i="41"/>
  <c r="U1620" i="41"/>
  <c r="Q1621" i="41"/>
  <c r="R1621" i="41"/>
  <c r="V1621" i="41" s="1"/>
  <c r="O875" i="41"/>
  <c r="O1621" i="41"/>
  <c r="M873" i="41"/>
  <c r="L873" i="41" s="1"/>
  <c r="AI1617" i="41"/>
  <c r="AG1617" i="41"/>
  <c r="AK1617" i="41"/>
  <c r="AF1617" i="41"/>
  <c r="AH1617" i="41"/>
  <c r="AJ1617" i="41"/>
  <c r="W874" i="41"/>
  <c r="X874" i="41"/>
  <c r="P875" i="41"/>
  <c r="AD872" i="41"/>
  <c r="AB1618" i="41"/>
  <c r="AC1618" i="41"/>
  <c r="W1620" i="41"/>
  <c r="X1620" i="41"/>
  <c r="P1621" i="41"/>
  <c r="AD1618" i="41"/>
  <c r="S1619" i="41"/>
  <c r="Q875" i="41"/>
  <c r="U874" i="41"/>
  <c r="AB874" i="41" a="1"/>
  <c r="AB874" i="41" s="1"/>
  <c r="AB875" i="41" l="1" a="1"/>
  <c r="AB875" i="41" s="1"/>
  <c r="L1616" i="41"/>
  <c r="M1617" i="41"/>
  <c r="O1622" i="41"/>
  <c r="Q1622" i="41"/>
  <c r="U1621" i="41"/>
  <c r="U875" i="41"/>
  <c r="AC874" i="41" s="1"/>
  <c r="Q876" i="41"/>
  <c r="AD873" i="41"/>
  <c r="V875" i="41"/>
  <c r="I1619" i="41"/>
  <c r="H1619" i="41"/>
  <c r="G1619" i="41" s="1"/>
  <c r="R876" i="41"/>
  <c r="AB1619" i="41"/>
  <c r="W1621" i="41"/>
  <c r="X1621" i="41"/>
  <c r="P1622" i="41"/>
  <c r="AC1619" i="41"/>
  <c r="R1622" i="41"/>
  <c r="V1622" i="41" s="1"/>
  <c r="S1620" i="41"/>
  <c r="AD1619" i="41"/>
  <c r="AE1618" i="41"/>
  <c r="T1618" i="41"/>
  <c r="O876" i="41"/>
  <c r="M874" i="41"/>
  <c r="L874" i="41" s="1"/>
  <c r="AC873" i="41"/>
  <c r="W875" i="41"/>
  <c r="X875" i="41"/>
  <c r="P876" i="41"/>
  <c r="S874" i="41"/>
  <c r="V876" i="41" l="1"/>
  <c r="S875" i="41"/>
  <c r="I875" i="41" s="1"/>
  <c r="L1617" i="41"/>
  <c r="AF1618" i="41"/>
  <c r="AK1618" i="41"/>
  <c r="AG1618" i="41"/>
  <c r="AH1618" i="41"/>
  <c r="AI1618" i="41"/>
  <c r="AJ1618" i="41"/>
  <c r="O1623" i="41"/>
  <c r="I874" i="41"/>
  <c r="H874" i="41"/>
  <c r="G874" i="41" s="1"/>
  <c r="I1620" i="41"/>
  <c r="H1620" i="41"/>
  <c r="G1620" i="41" s="1"/>
  <c r="U1622" i="41"/>
  <c r="AD1621" i="41" s="1"/>
  <c r="Q1623" i="41"/>
  <c r="AC1620" i="41"/>
  <c r="W876" i="41"/>
  <c r="X876" i="41"/>
  <c r="P877" i="41"/>
  <c r="AD874" i="41"/>
  <c r="U876" i="41"/>
  <c r="AD875" i="41" s="1"/>
  <c r="Q877" i="41"/>
  <c r="H875" i="41"/>
  <c r="G875" i="41" s="1"/>
  <c r="AD1620" i="41"/>
  <c r="W1622" i="41"/>
  <c r="X1622" i="41"/>
  <c r="P1623" i="41"/>
  <c r="S1621" i="41"/>
  <c r="R877" i="41"/>
  <c r="V877" i="41" s="1"/>
  <c r="AB876" i="41" a="1"/>
  <c r="AB876" i="41" s="1"/>
  <c r="M875" i="41"/>
  <c r="L875" i="41" s="1"/>
  <c r="AE1619" i="41"/>
  <c r="T1619" i="41"/>
  <c r="AB1620" i="41"/>
  <c r="R1623" i="41"/>
  <c r="V1623" i="41" s="1"/>
  <c r="O877" i="41"/>
  <c r="AB1621" i="41" l="1"/>
  <c r="M1618" i="41"/>
  <c r="L1618" i="41" s="1"/>
  <c r="AC875" i="41"/>
  <c r="M876" i="41"/>
  <c r="L876" i="41" s="1"/>
  <c r="O1624" i="41"/>
  <c r="AC1621" i="41"/>
  <c r="O878" i="41"/>
  <c r="U877" i="41"/>
  <c r="AC876" i="41" s="1"/>
  <c r="Q878" i="41"/>
  <c r="AB877" i="41" a="1"/>
  <c r="AB877" i="41" s="1"/>
  <c r="W877" i="41"/>
  <c r="X877" i="41"/>
  <c r="P878" i="41"/>
  <c r="W1623" i="41"/>
  <c r="X1623" i="41"/>
  <c r="P1624" i="41"/>
  <c r="AE1620" i="41"/>
  <c r="T1620" i="41"/>
  <c r="AJ1619" i="41"/>
  <c r="AG1619" i="41"/>
  <c r="AF1619" i="41"/>
  <c r="AI1619" i="41"/>
  <c r="AK1619" i="41"/>
  <c r="AH1619" i="41"/>
  <c r="H1621" i="41"/>
  <c r="G1621" i="41" s="1"/>
  <c r="I1621" i="41"/>
  <c r="S876" i="41"/>
  <c r="R1624" i="41"/>
  <c r="V1624" i="41" s="1"/>
  <c r="R878" i="41"/>
  <c r="V878" i="41" s="1"/>
  <c r="Q1624" i="41"/>
  <c r="U1623" i="41"/>
  <c r="S1622" i="41"/>
  <c r="S1623" i="41" l="1"/>
  <c r="H1623" i="41"/>
  <c r="G1623" i="41" s="1"/>
  <c r="I1623" i="41"/>
  <c r="O879" i="41"/>
  <c r="I876" i="41"/>
  <c r="H876" i="41"/>
  <c r="G876" i="41" s="1"/>
  <c r="S877" i="41"/>
  <c r="M1619" i="41"/>
  <c r="L1619" i="41" s="1"/>
  <c r="AC1622" i="41"/>
  <c r="I1622" i="41"/>
  <c r="H1622" i="41"/>
  <c r="G1622" i="41" s="1"/>
  <c r="R879" i="41"/>
  <c r="V879" i="41" s="1"/>
  <c r="AD1622" i="41"/>
  <c r="AE1621" i="41"/>
  <c r="T1621" i="41"/>
  <c r="W1624" i="41"/>
  <c r="X1624" i="41"/>
  <c r="P1625" i="41"/>
  <c r="X878" i="41"/>
  <c r="W878" i="41"/>
  <c r="P879" i="41"/>
  <c r="AD876" i="41"/>
  <c r="U878" i="41"/>
  <c r="S878" i="41" s="1"/>
  <c r="Q879" i="41"/>
  <c r="AB878" i="41" a="1"/>
  <c r="AB878" i="41" s="1"/>
  <c r="AJ1620" i="41"/>
  <c r="AG1620" i="41"/>
  <c r="AF1620" i="41"/>
  <c r="AI1620" i="41"/>
  <c r="AK1620" i="41"/>
  <c r="AH1620" i="41"/>
  <c r="AB1622" i="41"/>
  <c r="O1625" i="41"/>
  <c r="U1624" i="41"/>
  <c r="Q1625" i="41"/>
  <c r="M877" i="41"/>
  <c r="L877" i="41" s="1"/>
  <c r="R1625" i="41"/>
  <c r="V1625" i="41" s="1"/>
  <c r="I878" i="41" l="1"/>
  <c r="H878" i="41"/>
  <c r="G878" i="41" s="1"/>
  <c r="AB1623" i="41"/>
  <c r="AE1622" i="41"/>
  <c r="T1622" i="41"/>
  <c r="I877" i="41"/>
  <c r="H877" i="41"/>
  <c r="G877" i="41" s="1"/>
  <c r="O1626" i="41"/>
  <c r="R1626" i="41"/>
  <c r="V1626" i="41" s="1"/>
  <c r="W879" i="41"/>
  <c r="X879" i="41"/>
  <c r="P880" i="41"/>
  <c r="M1620" i="41"/>
  <c r="L1620" i="41" s="1"/>
  <c r="O880" i="41"/>
  <c r="AD1623" i="41"/>
  <c r="S1624" i="41"/>
  <c r="AC1623" i="41"/>
  <c r="W1625" i="41"/>
  <c r="X1625" i="41"/>
  <c r="P1626" i="41"/>
  <c r="AH1621" i="41"/>
  <c r="AG1621" i="41"/>
  <c r="AF1621" i="41"/>
  <c r="AK1621" i="41"/>
  <c r="AJ1621" i="41"/>
  <c r="AI1621" i="41"/>
  <c r="U1625" i="41"/>
  <c r="AD1624" i="41" s="1"/>
  <c r="Q1626" i="41"/>
  <c r="AD877" i="41"/>
  <c r="AC877" i="41"/>
  <c r="R880" i="41"/>
  <c r="V880" i="41" s="1"/>
  <c r="U879" i="41"/>
  <c r="S879" i="41" s="1"/>
  <c r="I879" i="41" s="1"/>
  <c r="Q880" i="41"/>
  <c r="M878" i="41"/>
  <c r="L878" i="41" s="1"/>
  <c r="AB879" i="41" a="1"/>
  <c r="AB879" i="41" s="1"/>
  <c r="AB880" i="41" l="1" a="1"/>
  <c r="AB880" i="41" s="1"/>
  <c r="AC878" i="41"/>
  <c r="AD878" i="41"/>
  <c r="M1621" i="41"/>
  <c r="L1621" i="41" s="1"/>
  <c r="I1624" i="41"/>
  <c r="H1624" i="41"/>
  <c r="G1624" i="41" s="1"/>
  <c r="Q881" i="41"/>
  <c r="U880" i="41"/>
  <c r="S880" i="41" s="1"/>
  <c r="I880" i="41" s="1"/>
  <c r="S1625" i="41"/>
  <c r="R1627" i="41"/>
  <c r="AK1622" i="41"/>
  <c r="AG1622" i="41"/>
  <c r="AI1622" i="41"/>
  <c r="AF1622" i="41"/>
  <c r="AH1622" i="41"/>
  <c r="AJ1622" i="41"/>
  <c r="W1626" i="41"/>
  <c r="X1626" i="41"/>
  <c r="P1627" i="41"/>
  <c r="R881" i="41"/>
  <c r="H879" i="41"/>
  <c r="G879" i="41" s="1"/>
  <c r="AC1624" i="41"/>
  <c r="W880" i="41"/>
  <c r="X880" i="41"/>
  <c r="P881" i="41"/>
  <c r="O1627" i="41"/>
  <c r="AB1624" i="41"/>
  <c r="O881" i="41"/>
  <c r="M879" i="41"/>
  <c r="L879" i="41" s="1"/>
  <c r="AE1623" i="41"/>
  <c r="T1623" i="41"/>
  <c r="U1626" i="41"/>
  <c r="AC1625" i="41" s="1"/>
  <c r="Q1627" i="41"/>
  <c r="AB881" i="41" l="1" a="1"/>
  <c r="AB881" i="41" s="1"/>
  <c r="M1622" i="41"/>
  <c r="L1622" i="41" s="1"/>
  <c r="AE1624" i="41"/>
  <c r="T1624" i="41"/>
  <c r="W881" i="41"/>
  <c r="X881" i="41"/>
  <c r="P882" i="41"/>
  <c r="O1628" i="41"/>
  <c r="W1627" i="41"/>
  <c r="X1627" i="41"/>
  <c r="P1628" i="41"/>
  <c r="R1628" i="41"/>
  <c r="U881" i="41"/>
  <c r="S881" i="41" s="1"/>
  <c r="Q882" i="41"/>
  <c r="AB1625" i="41"/>
  <c r="AK1623" i="41"/>
  <c r="AI1623" i="41"/>
  <c r="AF1623" i="41"/>
  <c r="AH1623" i="41"/>
  <c r="AJ1623" i="41"/>
  <c r="AG1623" i="41"/>
  <c r="V881" i="41"/>
  <c r="O882" i="41" s="1"/>
  <c r="AE1625" i="41"/>
  <c r="T1625" i="41"/>
  <c r="U1627" i="41"/>
  <c r="AD1626" i="41" s="1"/>
  <c r="Q1628" i="41"/>
  <c r="AD1625" i="41"/>
  <c r="V1627" i="41"/>
  <c r="H1625" i="41"/>
  <c r="G1625" i="41" s="1"/>
  <c r="I1625" i="41"/>
  <c r="S1626" i="41"/>
  <c r="S1627" i="41" s="1"/>
  <c r="R882" i="41"/>
  <c r="V882" i="41" s="1"/>
  <c r="AD879" i="41"/>
  <c r="H880" i="41"/>
  <c r="G880" i="41" s="1"/>
  <c r="AC879" i="41"/>
  <c r="M880" i="41"/>
  <c r="L880" i="41" s="1"/>
  <c r="AB882" i="41" l="1" a="1"/>
  <c r="AB882" i="41" s="1"/>
  <c r="M1623" i="41"/>
  <c r="L1623" i="41" s="1"/>
  <c r="AC880" i="41"/>
  <c r="AD880" i="41"/>
  <c r="AC1626" i="41"/>
  <c r="AE1626" i="41" s="1"/>
  <c r="I881" i="41"/>
  <c r="H881" i="41"/>
  <c r="G881" i="41" s="1"/>
  <c r="I1627" i="41"/>
  <c r="H1627" i="41"/>
  <c r="G1627" i="41" s="1"/>
  <c r="W1628" i="41"/>
  <c r="X1628" i="41"/>
  <c r="P1629" i="41"/>
  <c r="AG1625" i="41"/>
  <c r="AH1625" i="41"/>
  <c r="AF1625" i="41"/>
  <c r="AI1625" i="41"/>
  <c r="AK1625" i="41"/>
  <c r="AJ1625" i="41"/>
  <c r="O883" i="41"/>
  <c r="R883" i="41"/>
  <c r="H1626" i="41"/>
  <c r="G1626" i="41" s="1"/>
  <c r="I1626" i="41"/>
  <c r="U882" i="41"/>
  <c r="AC881" i="41" s="1"/>
  <c r="Q883" i="41"/>
  <c r="M881" i="41"/>
  <c r="L881" i="41" s="1"/>
  <c r="W882" i="41"/>
  <c r="X882" i="41"/>
  <c r="P883" i="41"/>
  <c r="U1628" i="41"/>
  <c r="AD1627" i="41" s="1"/>
  <c r="Q1629" i="41"/>
  <c r="O1629" i="41"/>
  <c r="V1628" i="41"/>
  <c r="AB1626" i="41"/>
  <c r="R1629" i="41"/>
  <c r="AH1624" i="41"/>
  <c r="AK1624" i="41"/>
  <c r="AI1624" i="41"/>
  <c r="AJ1624" i="41"/>
  <c r="AG1624" i="41"/>
  <c r="AF1624" i="41"/>
  <c r="T1626" i="41" l="1"/>
  <c r="S1628" i="41"/>
  <c r="I1628" i="41" s="1"/>
  <c r="AB883" i="41" a="1"/>
  <c r="AB883" i="41" s="1"/>
  <c r="M1624" i="41"/>
  <c r="L1624" i="41" s="1"/>
  <c r="S882" i="41"/>
  <c r="I882" i="41" s="1"/>
  <c r="AD881" i="41"/>
  <c r="H1628" i="41"/>
  <c r="G1628" i="41" s="1"/>
  <c r="M1625" i="41"/>
  <c r="AB1627" i="41"/>
  <c r="AC1627" i="41"/>
  <c r="AE1627" i="41" s="1"/>
  <c r="U1629" i="41"/>
  <c r="S1629" i="41" s="1"/>
  <c r="H1629" i="41" s="1"/>
  <c r="G1629" i="41" s="1"/>
  <c r="Q1630" i="41"/>
  <c r="U883" i="41"/>
  <c r="S883" i="41" s="1"/>
  <c r="I883" i="41" s="1"/>
  <c r="Q884" i="41"/>
  <c r="AH1626" i="41"/>
  <c r="AJ1626" i="41"/>
  <c r="AI1626" i="41"/>
  <c r="AG1626" i="41"/>
  <c r="AF1626" i="41"/>
  <c r="AK1626" i="41"/>
  <c r="W883" i="41"/>
  <c r="X883" i="41"/>
  <c r="P884" i="41"/>
  <c r="M882" i="41"/>
  <c r="L882" i="41" s="1"/>
  <c r="R884" i="41"/>
  <c r="V1629" i="41"/>
  <c r="W1629" i="41"/>
  <c r="X1629" i="41"/>
  <c r="P1630" i="41"/>
  <c r="O884" i="41"/>
  <c r="V883" i="41"/>
  <c r="O1630" i="41"/>
  <c r="R1630" i="41"/>
  <c r="L1625" i="41" l="1"/>
  <c r="T1627" i="41"/>
  <c r="AB884" i="41" a="1"/>
  <c r="AB884" i="41" s="1"/>
  <c r="AC1628" i="41"/>
  <c r="AE1628" i="41" s="1"/>
  <c r="AD1628" i="41"/>
  <c r="H882" i="41"/>
  <c r="G882" i="41" s="1"/>
  <c r="M1626" i="41"/>
  <c r="W1630" i="41"/>
  <c r="X1630" i="41"/>
  <c r="P1631" i="41"/>
  <c r="W884" i="41"/>
  <c r="X884" i="41"/>
  <c r="P885" i="41"/>
  <c r="AF1627" i="41"/>
  <c r="AJ1627" i="41"/>
  <c r="AG1627" i="41"/>
  <c r="AH1627" i="41"/>
  <c r="AI1627" i="41"/>
  <c r="AK1627" i="41"/>
  <c r="U884" i="41"/>
  <c r="S884" i="41" s="1"/>
  <c r="I884" i="41" s="1"/>
  <c r="Q885" i="41"/>
  <c r="R885" i="41"/>
  <c r="V885" i="41" s="1"/>
  <c r="I1629" i="41"/>
  <c r="AB1628" i="41"/>
  <c r="U1630" i="41"/>
  <c r="AC1629" i="41" s="1"/>
  <c r="Q1631" i="41"/>
  <c r="V1630" i="41"/>
  <c r="O1631" i="41" s="1"/>
  <c r="O885" i="41"/>
  <c r="AD882" i="41"/>
  <c r="R1631" i="41"/>
  <c r="V1631" i="41" s="1"/>
  <c r="V884" i="41"/>
  <c r="H883" i="41"/>
  <c r="G883" i="41" s="1"/>
  <c r="M883" i="41"/>
  <c r="L883" i="41" s="1"/>
  <c r="AC882" i="41"/>
  <c r="L1626" i="41" l="1"/>
  <c r="T1628" i="41"/>
  <c r="AD883" i="41"/>
  <c r="AC883" i="41"/>
  <c r="AB885" i="41" a="1"/>
  <c r="AB885" i="41" s="1"/>
  <c r="M1627" i="41"/>
  <c r="S1630" i="41"/>
  <c r="H1630" i="41" s="1"/>
  <c r="G1630" i="41" s="1"/>
  <c r="AE1629" i="41"/>
  <c r="T1629" i="41"/>
  <c r="W1631" i="41"/>
  <c r="X1631" i="41"/>
  <c r="P1632" i="41"/>
  <c r="R886" i="41"/>
  <c r="H884" i="41"/>
  <c r="G884" i="41" s="1"/>
  <c r="M884" i="41"/>
  <c r="L884" i="41" s="1"/>
  <c r="O886" i="41"/>
  <c r="AB1629" i="41"/>
  <c r="R1632" i="41"/>
  <c r="U885" i="41"/>
  <c r="AC884" i="41" s="1"/>
  <c r="Q886" i="41"/>
  <c r="AF1628" i="41"/>
  <c r="AK1628" i="41"/>
  <c r="AJ1628" i="41"/>
  <c r="AG1628" i="41"/>
  <c r="AI1628" i="41"/>
  <c r="AH1628" i="41"/>
  <c r="O1632" i="41"/>
  <c r="Q1632" i="41"/>
  <c r="U1631" i="41"/>
  <c r="AD1630" i="41" s="1"/>
  <c r="I1630" i="41"/>
  <c r="AD1629" i="41"/>
  <c r="W885" i="41"/>
  <c r="X885" i="41"/>
  <c r="P886" i="41"/>
  <c r="L1627" i="41" l="1"/>
  <c r="AD884" i="41"/>
  <c r="M1628" i="41"/>
  <c r="AB886" i="41" a="1"/>
  <c r="AB886" i="41" s="1"/>
  <c r="M885" i="41"/>
  <c r="L885" i="41" s="1"/>
  <c r="R1633" i="41"/>
  <c r="U1632" i="41"/>
  <c r="AC1631" i="41" s="1"/>
  <c r="Q1633" i="41"/>
  <c r="W1632" i="41"/>
  <c r="X1632" i="41"/>
  <c r="P1633" i="41"/>
  <c r="AC1630" i="41"/>
  <c r="R887" i="41"/>
  <c r="U886" i="41"/>
  <c r="AC885" i="41" s="1"/>
  <c r="Q887" i="41"/>
  <c r="V1632" i="41"/>
  <c r="O1633" i="41" s="1"/>
  <c r="S1631" i="41"/>
  <c r="V886" i="41"/>
  <c r="O887" i="41" s="1"/>
  <c r="W886" i="41"/>
  <c r="X886" i="41"/>
  <c r="P887" i="41"/>
  <c r="S885" i="41"/>
  <c r="AB1630" i="41"/>
  <c r="AJ1629" i="41"/>
  <c r="AH1629" i="41"/>
  <c r="AI1629" i="41"/>
  <c r="AG1629" i="41"/>
  <c r="AF1629" i="41"/>
  <c r="AK1629" i="41"/>
  <c r="V1633" i="41" l="1"/>
  <c r="V887" i="41"/>
  <c r="L1628" i="41"/>
  <c r="AD885" i="41"/>
  <c r="M1629" i="41"/>
  <c r="AB1631" i="41"/>
  <c r="S886" i="41"/>
  <c r="I886" i="41" s="1"/>
  <c r="M886" i="41"/>
  <c r="L886" i="41" s="1"/>
  <c r="S1632" i="41"/>
  <c r="AE1631" i="41"/>
  <c r="T1631" i="41"/>
  <c r="I885" i="41"/>
  <c r="H885" i="41"/>
  <c r="G885" i="41" s="1"/>
  <c r="R888" i="41"/>
  <c r="R1634" i="41"/>
  <c r="O888" i="41"/>
  <c r="O1634" i="41"/>
  <c r="W887" i="41"/>
  <c r="X887" i="41"/>
  <c r="P888" i="41"/>
  <c r="W1633" i="41"/>
  <c r="X1633" i="41"/>
  <c r="P1634" i="41"/>
  <c r="U1633" i="41"/>
  <c r="AD1632" i="41" s="1"/>
  <c r="Q1634" i="41"/>
  <c r="I1631" i="41"/>
  <c r="H1631" i="41"/>
  <c r="G1631" i="41" s="1"/>
  <c r="U887" i="41"/>
  <c r="Q888" i="41"/>
  <c r="AB887" i="41" a="1"/>
  <c r="AB887" i="41" s="1"/>
  <c r="AE1630" i="41"/>
  <c r="T1630" i="41"/>
  <c r="AD1631" i="41"/>
  <c r="H886" i="41" l="1"/>
  <c r="G886" i="41" s="1"/>
  <c r="L1629" i="41"/>
  <c r="AB888" i="41" a="1"/>
  <c r="AB888" i="41" s="1"/>
  <c r="S887" i="41"/>
  <c r="H887" i="41" s="1"/>
  <c r="G887" i="41" s="1"/>
  <c r="AC1632" i="41"/>
  <c r="AB1632" i="41"/>
  <c r="H1632" i="41"/>
  <c r="G1632" i="41" s="1"/>
  <c r="I1632" i="41"/>
  <c r="U1634" i="41"/>
  <c r="Q1635" i="41"/>
  <c r="AD886" i="41"/>
  <c r="U888" i="41"/>
  <c r="Q889" i="41"/>
  <c r="AC886" i="41"/>
  <c r="R889" i="41"/>
  <c r="V889" i="41" s="1"/>
  <c r="AG1630" i="41"/>
  <c r="AI1630" i="41"/>
  <c r="AK1630" i="41"/>
  <c r="AF1630" i="41"/>
  <c r="AJ1630" i="41"/>
  <c r="AH1630" i="41"/>
  <c r="M887" i="41"/>
  <c r="L887" i="41" s="1"/>
  <c r="AF1631" i="41"/>
  <c r="AI1631" i="41"/>
  <c r="AJ1631" i="41"/>
  <c r="AK1631" i="41"/>
  <c r="AG1631" i="41"/>
  <c r="AH1631" i="41"/>
  <c r="V1634" i="41"/>
  <c r="O1635" i="41" s="1"/>
  <c r="O889" i="41"/>
  <c r="AE1632" i="41"/>
  <c r="T1632" i="41"/>
  <c r="W1634" i="41"/>
  <c r="X1634" i="41"/>
  <c r="P1635" i="41"/>
  <c r="R1635" i="41"/>
  <c r="S1633" i="41"/>
  <c r="V888" i="41"/>
  <c r="W888" i="41"/>
  <c r="X888" i="41"/>
  <c r="P889" i="41"/>
  <c r="I887" i="41" l="1"/>
  <c r="M1631" i="41"/>
  <c r="M888" i="41"/>
  <c r="L888" i="41" s="1"/>
  <c r="AB889" i="41" a="1"/>
  <c r="AB889" i="41" s="1"/>
  <c r="H1633" i="41"/>
  <c r="G1633" i="41" s="1"/>
  <c r="I1633" i="41"/>
  <c r="U1635" i="41"/>
  <c r="AC1634" i="41" s="1"/>
  <c r="Q1636" i="41"/>
  <c r="AD887" i="41"/>
  <c r="W889" i="41"/>
  <c r="P890" i="41"/>
  <c r="X889" i="41"/>
  <c r="S888" i="41"/>
  <c r="AC887" i="41"/>
  <c r="W1635" i="41"/>
  <c r="X1635" i="41"/>
  <c r="P1636" i="41"/>
  <c r="S1634" i="41"/>
  <c r="V1635" i="41"/>
  <c r="O1636" i="41" s="1"/>
  <c r="AB1633" i="41"/>
  <c r="M1630" i="41"/>
  <c r="L1630" i="41" s="1"/>
  <c r="U889" i="41"/>
  <c r="Q890" i="41"/>
  <c r="R1636" i="41"/>
  <c r="R890" i="41"/>
  <c r="V890" i="41" s="1"/>
  <c r="AC1633" i="41"/>
  <c r="AI1632" i="41"/>
  <c r="AH1632" i="41"/>
  <c r="AK1632" i="41"/>
  <c r="AG1632" i="41"/>
  <c r="AJ1632" i="41"/>
  <c r="AF1632" i="41"/>
  <c r="AD1633" i="41"/>
  <c r="O890" i="41"/>
  <c r="L1631" i="41" l="1"/>
  <c r="M1632" i="41"/>
  <c r="S1635" i="41"/>
  <c r="S889" i="41"/>
  <c r="I889" i="41" s="1"/>
  <c r="M889" i="41"/>
  <c r="L889" i="41" s="1"/>
  <c r="I1635" i="41"/>
  <c r="H1635" i="41"/>
  <c r="G1635" i="41" s="1"/>
  <c r="AE1634" i="41"/>
  <c r="T1634" i="41"/>
  <c r="W1636" i="41"/>
  <c r="X1636" i="41"/>
  <c r="P1637" i="41"/>
  <c r="O891" i="41"/>
  <c r="R891" i="41"/>
  <c r="V891" i="41" s="1"/>
  <c r="U1636" i="41"/>
  <c r="AC1635" i="41" s="1"/>
  <c r="Q1637" i="41"/>
  <c r="W890" i="41"/>
  <c r="X890" i="41"/>
  <c r="P891" i="41"/>
  <c r="H889" i="41"/>
  <c r="G889" i="41" s="1"/>
  <c r="R1637" i="41"/>
  <c r="V1637" i="41" s="1"/>
  <c r="AB890" i="41" a="1"/>
  <c r="AB890" i="41" s="1"/>
  <c r="I1634" i="41"/>
  <c r="H1634" i="41"/>
  <c r="G1634" i="41" s="1"/>
  <c r="V1636" i="41"/>
  <c r="O1637" i="41" s="1"/>
  <c r="AB1634" i="41"/>
  <c r="AD888" i="41"/>
  <c r="AE1633" i="41"/>
  <c r="T1633" i="41"/>
  <c r="I888" i="41"/>
  <c r="H888" i="41"/>
  <c r="G888" i="41" s="1"/>
  <c r="AC888" i="41"/>
  <c r="U890" i="41"/>
  <c r="AC889" i="41" s="1"/>
  <c r="Q891" i="41"/>
  <c r="AD1634" i="41"/>
  <c r="L1632" i="41" l="1"/>
  <c r="AD1635" i="41"/>
  <c r="S1636" i="41"/>
  <c r="AB1635" i="41"/>
  <c r="W891" i="41"/>
  <c r="X891" i="41"/>
  <c r="P892" i="41"/>
  <c r="S890" i="41"/>
  <c r="M890" i="41"/>
  <c r="L890" i="41" s="1"/>
  <c r="AE1635" i="41"/>
  <c r="T1635" i="41"/>
  <c r="AD889" i="41"/>
  <c r="R1638" i="41"/>
  <c r="V1638" i="41" s="1"/>
  <c r="W1637" i="41"/>
  <c r="X1637" i="41"/>
  <c r="P1638" i="41"/>
  <c r="O1638" i="41"/>
  <c r="AF1634" i="41"/>
  <c r="AH1634" i="41"/>
  <c r="AI1634" i="41"/>
  <c r="AJ1634" i="41"/>
  <c r="AK1634" i="41"/>
  <c r="AG1634" i="41"/>
  <c r="AI1633" i="41"/>
  <c r="AK1633" i="41"/>
  <c r="AG1633" i="41"/>
  <c r="AF1633" i="41"/>
  <c r="AH1633" i="41"/>
  <c r="AJ1633" i="41"/>
  <c r="O892" i="41"/>
  <c r="Q1638" i="41"/>
  <c r="U1637" i="41"/>
  <c r="S1637" i="41" s="1"/>
  <c r="I1637" i="41" s="1"/>
  <c r="U891" i="41"/>
  <c r="Q892" i="41"/>
  <c r="R892" i="41"/>
  <c r="V892" i="41" s="1"/>
  <c r="AB891" i="41" a="1"/>
  <c r="AB891" i="41" s="1"/>
  <c r="H1636" i="41" l="1"/>
  <c r="G1636" i="41" s="1"/>
  <c r="I1636" i="41"/>
  <c r="M1634" i="41"/>
  <c r="M1633" i="41"/>
  <c r="L1633" i="41" s="1"/>
  <c r="O893" i="41"/>
  <c r="AD890" i="41"/>
  <c r="AJ1635" i="41"/>
  <c r="AH1635" i="41"/>
  <c r="AI1635" i="41"/>
  <c r="AG1635" i="41"/>
  <c r="AK1635" i="41"/>
  <c r="AF1635" i="41"/>
  <c r="H1637" i="41"/>
  <c r="G1637" i="41" s="1"/>
  <c r="X892" i="41"/>
  <c r="W892" i="41"/>
  <c r="P893" i="41"/>
  <c r="W1638" i="41"/>
  <c r="X1638" i="41"/>
  <c r="P1639" i="41"/>
  <c r="I890" i="41"/>
  <c r="H890" i="41"/>
  <c r="G890" i="41" s="1"/>
  <c r="S891" i="41"/>
  <c r="M891" i="41"/>
  <c r="L891" i="41" s="1"/>
  <c r="O1639" i="41"/>
  <c r="AC890" i="41"/>
  <c r="R1639" i="41"/>
  <c r="R893" i="41"/>
  <c r="AB1636" i="41"/>
  <c r="U892" i="41"/>
  <c r="AC891" i="41" s="1"/>
  <c r="Q893" i="41"/>
  <c r="AC1636" i="41"/>
  <c r="AB892" i="41" a="1"/>
  <c r="AB892" i="41" s="1"/>
  <c r="AD1636" i="41"/>
  <c r="U1638" i="41"/>
  <c r="Q1639" i="41"/>
  <c r="M1635" i="41" l="1"/>
  <c r="L1634" i="41"/>
  <c r="AB893" i="41" a="1"/>
  <c r="AB893" i="41" s="1"/>
  <c r="U893" i="41"/>
  <c r="AD892" i="41" s="1"/>
  <c r="Q894" i="41"/>
  <c r="I891" i="41"/>
  <c r="H891" i="41"/>
  <c r="G891" i="41" s="1"/>
  <c r="O1640" i="41"/>
  <c r="AB1637" i="41"/>
  <c r="W1639" i="41"/>
  <c r="X1639" i="41"/>
  <c r="P1640" i="41"/>
  <c r="R894" i="41"/>
  <c r="AD891" i="41"/>
  <c r="R1640" i="41"/>
  <c r="V1640" i="41" s="1"/>
  <c r="AE1636" i="41"/>
  <c r="T1636" i="41"/>
  <c r="M892" i="41"/>
  <c r="L892" i="41" s="1"/>
  <c r="S1638" i="41"/>
  <c r="AD1637" i="41"/>
  <c r="O894" i="41"/>
  <c r="AC1637" i="41"/>
  <c r="S892" i="41"/>
  <c r="S893" i="41" s="1"/>
  <c r="U1639" i="41"/>
  <c r="AB1638" i="41" s="1"/>
  <c r="Q1640" i="41"/>
  <c r="V1639" i="41"/>
  <c r="V893" i="41"/>
  <c r="W893" i="41"/>
  <c r="X893" i="41"/>
  <c r="P894" i="41"/>
  <c r="L1635" i="41" l="1"/>
  <c r="I893" i="41"/>
  <c r="H893" i="41"/>
  <c r="G893" i="41" s="1"/>
  <c r="AC1638" i="41"/>
  <c r="W1640" i="41"/>
  <c r="X1640" i="41"/>
  <c r="P1641" i="41"/>
  <c r="W894" i="41"/>
  <c r="X894" i="41"/>
  <c r="P895" i="41"/>
  <c r="M893" i="41"/>
  <c r="L893" i="41" s="1"/>
  <c r="Q1641" i="41"/>
  <c r="U1640" i="41"/>
  <c r="AD1639" i="41" s="1"/>
  <c r="R1641" i="41"/>
  <c r="AK1636" i="41"/>
  <c r="AF1636" i="41"/>
  <c r="AJ1636" i="41"/>
  <c r="AI1636" i="41"/>
  <c r="AH1636" i="41"/>
  <c r="AG1636" i="41"/>
  <c r="I892" i="41"/>
  <c r="H892" i="41"/>
  <c r="G892" i="41" s="1"/>
  <c r="R895" i="41"/>
  <c r="S1639" i="41"/>
  <c r="AB894" i="41" a="1"/>
  <c r="AB894" i="41" s="1"/>
  <c r="H1638" i="41"/>
  <c r="G1638" i="41" s="1"/>
  <c r="I1638" i="41"/>
  <c r="AE1637" i="41"/>
  <c r="T1637" i="41"/>
  <c r="AD1638" i="41"/>
  <c r="U894" i="41"/>
  <c r="AD893" i="41" s="1"/>
  <c r="Q895" i="41"/>
  <c r="AC892" i="41"/>
  <c r="O1641" i="41"/>
  <c r="V894" i="41"/>
  <c r="O895" i="41" s="1"/>
  <c r="M1636" i="41" l="1"/>
  <c r="L1636" i="41" s="1"/>
  <c r="S894" i="41"/>
  <c r="I894" i="41" s="1"/>
  <c r="W895" i="41"/>
  <c r="X895" i="41"/>
  <c r="P896" i="41"/>
  <c r="Q1642" i="41"/>
  <c r="U1641" i="41"/>
  <c r="AB1640" i="41" s="1"/>
  <c r="R1642" i="41"/>
  <c r="M894" i="41"/>
  <c r="L894" i="41" s="1"/>
  <c r="O1642" i="41"/>
  <c r="V1641" i="41"/>
  <c r="AC1639" i="41"/>
  <c r="AE1638" i="41"/>
  <c r="T1638" i="41"/>
  <c r="U895" i="41"/>
  <c r="S895" i="41" s="1"/>
  <c r="Q896" i="41"/>
  <c r="AG1637" i="41"/>
  <c r="AF1637" i="41"/>
  <c r="AK1637" i="41"/>
  <c r="AH1637" i="41"/>
  <c r="AI1637" i="41"/>
  <c r="AJ1637" i="41"/>
  <c r="AC893" i="41"/>
  <c r="AB1639" i="41"/>
  <c r="W1641" i="41"/>
  <c r="X1641" i="41"/>
  <c r="P1642" i="41"/>
  <c r="AB895" i="41" a="1"/>
  <c r="AB895" i="41" s="1"/>
  <c r="R896" i="41"/>
  <c r="V896" i="41" s="1"/>
  <c r="H1639" i="41"/>
  <c r="G1639" i="41" s="1"/>
  <c r="I1639" i="41"/>
  <c r="V895" i="41"/>
  <c r="O896" i="41" s="1"/>
  <c r="S1640" i="41"/>
  <c r="H894" i="41"/>
  <c r="G894" i="41" s="1"/>
  <c r="AC894" i="41" l="1"/>
  <c r="AB896" i="41" a="1"/>
  <c r="AB896" i="41" s="1"/>
  <c r="AD894" i="41"/>
  <c r="M1637" i="41"/>
  <c r="L1637" i="41" s="1"/>
  <c r="I895" i="41"/>
  <c r="H895" i="41"/>
  <c r="G895" i="41" s="1"/>
  <c r="Q1643" i="41"/>
  <c r="U1642" i="41"/>
  <c r="P897" i="41"/>
  <c r="W896" i="41"/>
  <c r="X896" i="41"/>
  <c r="O897" i="41"/>
  <c r="U896" i="41"/>
  <c r="AD895" i="41" s="1"/>
  <c r="Q897" i="41"/>
  <c r="R1643" i="41"/>
  <c r="R897" i="41"/>
  <c r="I1640" i="41"/>
  <c r="H1640" i="41"/>
  <c r="G1640" i="41" s="1"/>
  <c r="W1642" i="41"/>
  <c r="X1642" i="41"/>
  <c r="P1643" i="41"/>
  <c r="O1643" i="41"/>
  <c r="V1642" i="41"/>
  <c r="AK1638" i="41"/>
  <c r="AG1638" i="41"/>
  <c r="AJ1638" i="41"/>
  <c r="AH1638" i="41"/>
  <c r="AI1638" i="41"/>
  <c r="AF1638" i="41"/>
  <c r="AE1639" i="41"/>
  <c r="T1639" i="41"/>
  <c r="AC1640" i="41"/>
  <c r="AD1640" i="41"/>
  <c r="S1641" i="41"/>
  <c r="M895" i="41"/>
  <c r="L895" i="41" s="1"/>
  <c r="M1638" i="41" l="1"/>
  <c r="L1638" i="41" s="1"/>
  <c r="S896" i="41"/>
  <c r="I896" i="41" s="1"/>
  <c r="AC895" i="41"/>
  <c r="H1641" i="41"/>
  <c r="G1641" i="41" s="1"/>
  <c r="I1641" i="41"/>
  <c r="AE1640" i="41"/>
  <c r="T1640" i="41"/>
  <c r="W897" i="41"/>
  <c r="X897" i="41"/>
  <c r="P898" i="41"/>
  <c r="Q1644" i="41"/>
  <c r="U1643" i="41"/>
  <c r="AB1642" i="41" s="1"/>
  <c r="X1643" i="41"/>
  <c r="W1643" i="41"/>
  <c r="P1644" i="41"/>
  <c r="S1642" i="41"/>
  <c r="R898" i="41"/>
  <c r="H896" i="41"/>
  <c r="G896" i="41" s="1"/>
  <c r="V1643" i="41"/>
  <c r="M896" i="41"/>
  <c r="L896" i="41" s="1"/>
  <c r="AI1639" i="41"/>
  <c r="AK1639" i="41"/>
  <c r="AF1639" i="41"/>
  <c r="AJ1639" i="41"/>
  <c r="AH1639" i="41"/>
  <c r="AG1639" i="41"/>
  <c r="AB1641" i="41"/>
  <c r="Q898" i="41"/>
  <c r="U897" i="41"/>
  <c r="AB897" i="41" a="1"/>
  <c r="AB897" i="41" s="1"/>
  <c r="AC1641" i="41"/>
  <c r="O1644" i="41"/>
  <c r="AD1641" i="41"/>
  <c r="R1644" i="41"/>
  <c r="V1644" i="41" s="1"/>
  <c r="V897" i="41"/>
  <c r="O898" i="41" s="1"/>
  <c r="AC1642" i="41" l="1"/>
  <c r="AD1642" i="41"/>
  <c r="S1643" i="41"/>
  <c r="M1639" i="41"/>
  <c r="L1639" i="41" s="1"/>
  <c r="H1643" i="41"/>
  <c r="G1643" i="41" s="1"/>
  <c r="I1643" i="41"/>
  <c r="O899" i="41"/>
  <c r="AB898" i="41" a="1"/>
  <c r="AB898" i="41" s="1"/>
  <c r="U898" i="41"/>
  <c r="Q899" i="41"/>
  <c r="R899" i="41"/>
  <c r="V899" i="41" s="1"/>
  <c r="V898" i="41"/>
  <c r="R1645" i="41"/>
  <c r="V1645" i="41" s="1"/>
  <c r="S897" i="41"/>
  <c r="AE1642" i="41"/>
  <c r="T1642" i="41"/>
  <c r="M897" i="41"/>
  <c r="L897" i="41" s="1"/>
  <c r="W1644" i="41"/>
  <c r="X1644" i="41"/>
  <c r="P1645" i="41"/>
  <c r="AK1640" i="41"/>
  <c r="AG1640" i="41"/>
  <c r="AJ1640" i="41"/>
  <c r="AI1640" i="41"/>
  <c r="AH1640" i="41"/>
  <c r="AF1640" i="41"/>
  <c r="Q1645" i="41"/>
  <c r="U1644" i="41"/>
  <c r="AD1643" i="41" s="1"/>
  <c r="I1642" i="41"/>
  <c r="H1642" i="41"/>
  <c r="G1642" i="41" s="1"/>
  <c r="AE1641" i="41"/>
  <c r="T1641" i="41"/>
  <c r="W898" i="41"/>
  <c r="X898" i="41"/>
  <c r="P899" i="41"/>
  <c r="AB899" i="41" s="1" a="1"/>
  <c r="AB899" i="41" s="1"/>
  <c r="AC896" i="41"/>
  <c r="AD896" i="41"/>
  <c r="O1645" i="41"/>
  <c r="S1644" i="41" l="1"/>
  <c r="H1644" i="41" s="1"/>
  <c r="G1644" i="41" s="1"/>
  <c r="AC1643" i="41"/>
  <c r="M1640" i="41"/>
  <c r="L1640" i="41" s="1"/>
  <c r="O900" i="41"/>
  <c r="O1646" i="41"/>
  <c r="AD897" i="41"/>
  <c r="AG1642" i="41"/>
  <c r="AH1642" i="41"/>
  <c r="AI1642" i="41"/>
  <c r="AK1642" i="41"/>
  <c r="AJ1642" i="41"/>
  <c r="AF1642" i="41"/>
  <c r="I897" i="41"/>
  <c r="H897" i="41"/>
  <c r="G897" i="41" s="1"/>
  <c r="AC897" i="41"/>
  <c r="W899" i="41"/>
  <c r="X899" i="41"/>
  <c r="P900" i="41"/>
  <c r="AF1641" i="41"/>
  <c r="AI1641" i="41"/>
  <c r="AG1641" i="41"/>
  <c r="AK1641" i="41"/>
  <c r="AJ1641" i="41"/>
  <c r="AH1641" i="41"/>
  <c r="U1645" i="41"/>
  <c r="S1645" i="41" s="1"/>
  <c r="Q1646" i="41"/>
  <c r="S898" i="41"/>
  <c r="W1645" i="41"/>
  <c r="X1645" i="41"/>
  <c r="P1646" i="41"/>
  <c r="AE1643" i="41"/>
  <c r="T1643" i="41"/>
  <c r="R900" i="41"/>
  <c r="M898" i="41"/>
  <c r="L898" i="41" s="1"/>
  <c r="R1646" i="41"/>
  <c r="I1644" i="41"/>
  <c r="AB1643" i="41"/>
  <c r="U899" i="41"/>
  <c r="AD898" i="41" s="1"/>
  <c r="Q900" i="41"/>
  <c r="AC1644" i="41" l="1"/>
  <c r="AE1644" i="41" s="1"/>
  <c r="M1642" i="41"/>
  <c r="AD1644" i="41"/>
  <c r="H1645" i="41"/>
  <c r="G1645" i="41" s="1"/>
  <c r="I1645" i="41"/>
  <c r="AJ1643" i="41"/>
  <c r="AF1643" i="41"/>
  <c r="AH1643" i="41"/>
  <c r="AK1643" i="41"/>
  <c r="AI1643" i="41"/>
  <c r="AG1643" i="41"/>
  <c r="R1647" i="41"/>
  <c r="V1647" i="41" s="1"/>
  <c r="R901" i="41"/>
  <c r="V901" i="41" s="1"/>
  <c r="U1646" i="41"/>
  <c r="Q1647" i="41"/>
  <c r="I898" i="41"/>
  <c r="H898" i="41"/>
  <c r="G898" i="41" s="1"/>
  <c r="AC898" i="41"/>
  <c r="T1644" i="41"/>
  <c r="M899" i="41"/>
  <c r="L899" i="41" s="1"/>
  <c r="W1646" i="41"/>
  <c r="X1646" i="41"/>
  <c r="P1647" i="41"/>
  <c r="U900" i="41"/>
  <c r="AD899" i="41" s="1"/>
  <c r="Q901" i="41"/>
  <c r="W900" i="41"/>
  <c r="X900" i="41"/>
  <c r="P901" i="41"/>
  <c r="M1641" i="41"/>
  <c r="L1641" i="41" s="1"/>
  <c r="O901" i="41"/>
  <c r="AD1645" i="41"/>
  <c r="AC1645" i="41"/>
  <c r="V900" i="41"/>
  <c r="AB900" i="41" a="1"/>
  <c r="AB900" i="41" s="1"/>
  <c r="V1646" i="41"/>
  <c r="O1647" i="41" s="1"/>
  <c r="AB1644" i="41"/>
  <c r="S899" i="41"/>
  <c r="L1642" i="41" l="1"/>
  <c r="M1643" i="41"/>
  <c r="S900" i="41"/>
  <c r="I900" i="41" s="1"/>
  <c r="H900" i="41"/>
  <c r="G900" i="41" s="1"/>
  <c r="W1647" i="41"/>
  <c r="X1647" i="41"/>
  <c r="P1648" i="41"/>
  <c r="O1648" i="41"/>
  <c r="O902" i="41"/>
  <c r="W901" i="41"/>
  <c r="P902" i="41"/>
  <c r="X901" i="41"/>
  <c r="AB1645" i="41"/>
  <c r="U1647" i="41"/>
  <c r="AD1646" i="41" s="1"/>
  <c r="Q1648" i="41"/>
  <c r="I899" i="41"/>
  <c r="H899" i="41"/>
  <c r="G899" i="41" s="1"/>
  <c r="R902" i="41"/>
  <c r="V902" i="41" s="1"/>
  <c r="R1648" i="41"/>
  <c r="V1648" i="41" s="1"/>
  <c r="M900" i="41"/>
  <c r="L900" i="41" s="1"/>
  <c r="AF1644" i="41"/>
  <c r="AK1644" i="41"/>
  <c r="AG1644" i="41"/>
  <c r="AI1644" i="41"/>
  <c r="AJ1644" i="41"/>
  <c r="AH1644" i="41"/>
  <c r="AE1645" i="41"/>
  <c r="T1645" i="41"/>
  <c r="Q902" i="41"/>
  <c r="U901" i="41"/>
  <c r="S901" i="41" s="1"/>
  <c r="I901" i="41" s="1"/>
  <c r="AC899" i="41"/>
  <c r="S1646" i="41"/>
  <c r="AB901" i="41" a="1"/>
  <c r="AB901" i="41" s="1"/>
  <c r="L1643" i="41" l="1"/>
  <c r="M1644" i="41"/>
  <c r="W1648" i="41"/>
  <c r="P1649" i="41"/>
  <c r="X1648" i="41"/>
  <c r="S1647" i="41"/>
  <c r="O903" i="41"/>
  <c r="R1649" i="41"/>
  <c r="V1649" i="41" s="1"/>
  <c r="W902" i="41"/>
  <c r="X902" i="41"/>
  <c r="P903" i="41"/>
  <c r="H1646" i="41"/>
  <c r="G1646" i="41" s="1"/>
  <c r="I1646" i="41"/>
  <c r="AC1646" i="41"/>
  <c r="H901" i="41"/>
  <c r="G901" i="41" s="1"/>
  <c r="O1649" i="41"/>
  <c r="U1648" i="41"/>
  <c r="AC1647" i="41" s="1"/>
  <c r="Q1649" i="41"/>
  <c r="U902" i="41"/>
  <c r="AD901" i="41" s="1"/>
  <c r="Q903" i="41"/>
  <c r="AB1646" i="41"/>
  <c r="AG1645" i="41"/>
  <c r="AJ1645" i="41"/>
  <c r="AF1645" i="41"/>
  <c r="AH1645" i="41"/>
  <c r="AK1645" i="41"/>
  <c r="AI1645" i="41"/>
  <c r="AD900" i="41"/>
  <c r="AC900" i="41"/>
  <c r="AB902" i="41" a="1"/>
  <c r="AB902" i="41" s="1"/>
  <c r="R903" i="41"/>
  <c r="V903" i="41" s="1"/>
  <c r="M901" i="41"/>
  <c r="L901" i="41" s="1"/>
  <c r="AD1647" i="41" l="1"/>
  <c r="AB903" i="41" a="1"/>
  <c r="AB903" i="41" s="1"/>
  <c r="L1644" i="41"/>
  <c r="S902" i="41"/>
  <c r="I902" i="41" s="1"/>
  <c r="M1645" i="41"/>
  <c r="S1648" i="41"/>
  <c r="H1648" i="41" s="1"/>
  <c r="G1648" i="41" s="1"/>
  <c r="AB1647" i="41"/>
  <c r="AC901" i="41"/>
  <c r="W1649" i="41"/>
  <c r="X1649" i="41"/>
  <c r="P1650" i="41"/>
  <c r="Q1650" i="41"/>
  <c r="U1649" i="41"/>
  <c r="AE1647" i="41"/>
  <c r="T1647" i="41"/>
  <c r="AE1646" i="41"/>
  <c r="T1646" i="41"/>
  <c r="M902" i="41"/>
  <c r="L902" i="41" s="1"/>
  <c r="W903" i="41"/>
  <c r="P904" i="41"/>
  <c r="AB904" i="41" s="1" a="1"/>
  <c r="AB904" i="41" s="1"/>
  <c r="X903" i="41"/>
  <c r="I1647" i="41"/>
  <c r="H1647" i="41"/>
  <c r="G1647" i="41" s="1"/>
  <c r="O904" i="41"/>
  <c r="R904" i="41"/>
  <c r="V904" i="41" s="1"/>
  <c r="U903" i="41"/>
  <c r="AC902" i="41" s="1"/>
  <c r="Q904" i="41"/>
  <c r="R1650" i="41"/>
  <c r="O1650" i="41"/>
  <c r="H902" i="41"/>
  <c r="G902" i="41" s="1"/>
  <c r="I1648" i="41" l="1"/>
  <c r="S1649" i="41"/>
  <c r="H1649" i="41" s="1"/>
  <c r="G1649" i="41" s="1"/>
  <c r="L1645" i="41"/>
  <c r="S903" i="41"/>
  <c r="I903" i="41" s="1"/>
  <c r="AD902" i="41"/>
  <c r="W904" i="41"/>
  <c r="X904" i="41"/>
  <c r="P905" i="41"/>
  <c r="U1650" i="41"/>
  <c r="AB1649" i="41" s="1"/>
  <c r="Q1651" i="41"/>
  <c r="R1651" i="41"/>
  <c r="V1650" i="41"/>
  <c r="O1651" i="41" s="1"/>
  <c r="I1649" i="41"/>
  <c r="M903" i="41"/>
  <c r="L903" i="41" s="1"/>
  <c r="AB1648" i="41"/>
  <c r="W1650" i="41"/>
  <c r="X1650" i="41"/>
  <c r="P1651" i="41"/>
  <c r="AF1647" i="41"/>
  <c r="AI1647" i="41"/>
  <c r="AK1647" i="41"/>
  <c r="AG1647" i="41"/>
  <c r="AJ1647" i="41"/>
  <c r="AH1647" i="41"/>
  <c r="R905" i="41"/>
  <c r="U905" i="41" s="1"/>
  <c r="H903" i="41"/>
  <c r="G903" i="41" s="1"/>
  <c r="O905" i="41"/>
  <c r="AC1648" i="41"/>
  <c r="AD1648" i="41"/>
  <c r="Q905" i="41"/>
  <c r="U904" i="41"/>
  <c r="S904" i="41" s="1"/>
  <c r="I904" i="41" s="1"/>
  <c r="AI1646" i="41"/>
  <c r="AJ1646" i="41"/>
  <c r="AG1646" i="41"/>
  <c r="AH1646" i="41"/>
  <c r="AF1646" i="41"/>
  <c r="AK1646" i="41"/>
  <c r="AB905" i="41" l="1" a="1"/>
  <c r="AB905" i="41" s="1"/>
  <c r="M1646" i="41"/>
  <c r="L1646" i="41" s="1"/>
  <c r="M1647" i="41"/>
  <c r="W1651" i="41"/>
  <c r="P1652" i="41"/>
  <c r="X1651" i="41"/>
  <c r="AC90" i="41"/>
  <c r="AC91" i="41"/>
  <c r="AC92" i="41"/>
  <c r="AC93" i="41"/>
  <c r="AC94" i="41"/>
  <c r="AC95" i="41"/>
  <c r="AC96" i="41"/>
  <c r="AC97" i="41"/>
  <c r="AC98" i="41"/>
  <c r="AC99" i="41"/>
  <c r="AC100" i="41"/>
  <c r="AC101" i="41"/>
  <c r="AC102" i="41"/>
  <c r="AC103" i="41"/>
  <c r="AC104" i="41"/>
  <c r="AC105" i="41"/>
  <c r="AC106" i="41"/>
  <c r="AC107" i="41"/>
  <c r="AC108" i="41"/>
  <c r="AC109" i="41"/>
  <c r="AC110" i="41"/>
  <c r="AC111" i="41"/>
  <c r="AC112" i="41"/>
  <c r="AC113" i="41"/>
  <c r="Q1652" i="41"/>
  <c r="U1651" i="41"/>
  <c r="S905" i="41"/>
  <c r="I905" i="41" s="1"/>
  <c r="R1652" i="41"/>
  <c r="U1652" i="41" s="1"/>
  <c r="AC904" i="41"/>
  <c r="AD904" i="41"/>
  <c r="S1650" i="41"/>
  <c r="V1651" i="41"/>
  <c r="O1652" i="41" s="1"/>
  <c r="H904" i="41"/>
  <c r="G904" i="41" s="1"/>
  <c r="AE1648" i="41"/>
  <c r="T1648" i="41"/>
  <c r="AC905" i="41"/>
  <c r="AD905" i="41"/>
  <c r="V905" i="41"/>
  <c r="M904" i="41"/>
  <c r="L904" i="41" s="1"/>
  <c r="W905" i="41"/>
  <c r="X905" i="41"/>
  <c r="AC1649" i="41"/>
  <c r="AC903" i="41"/>
  <c r="AD1649" i="41"/>
  <c r="AD903" i="41"/>
  <c r="L1647" i="41" l="1"/>
  <c r="V1652" i="41"/>
  <c r="AD1651" i="41"/>
  <c r="AC1651" i="41"/>
  <c r="AC114" i="41"/>
  <c r="AB1651" i="41"/>
  <c r="AF1648" i="41"/>
  <c r="AK1648" i="41"/>
  <c r="AG1648" i="41"/>
  <c r="AH1648" i="41"/>
  <c r="AJ1648" i="41"/>
  <c r="AI1648" i="41"/>
  <c r="AB65" i="41" a="1"/>
  <c r="AB65" i="41" s="1"/>
  <c r="Q68" i="18" s="1"/>
  <c r="AB59" i="41" a="1"/>
  <c r="AB59" i="41" s="1"/>
  <c r="Q62" i="18" s="1"/>
  <c r="AB58" i="41" a="1"/>
  <c r="AB58" i="41" s="1"/>
  <c r="Q61" i="18" s="1"/>
  <c r="Z68" i="41" a="1"/>
  <c r="Z68" i="41" s="1"/>
  <c r="AA68" i="41" s="1" a="1"/>
  <c r="AA68" i="41" s="1"/>
  <c r="AB63" i="41" a="1"/>
  <c r="AB63" i="41" s="1"/>
  <c r="Q66" i="18" s="1"/>
  <c r="AB62" i="41" a="1"/>
  <c r="AB62" i="41" s="1"/>
  <c r="Q65" i="18" s="1"/>
  <c r="Z63" i="41" a="1"/>
  <c r="Z63" i="41" s="1"/>
  <c r="AA63" i="41" s="1" a="1"/>
  <c r="AA63" i="41" s="1"/>
  <c r="Z66" i="41" a="1"/>
  <c r="Z66" i="41" s="1"/>
  <c r="AA66" i="41" s="1" a="1"/>
  <c r="AA66" i="41" s="1"/>
  <c r="AB64" i="41" a="1"/>
  <c r="AB64" i="41" s="1"/>
  <c r="Q67" i="18" s="1"/>
  <c r="Z58" i="41" a="1"/>
  <c r="Z58" i="41" s="1"/>
  <c r="AA58" i="41" s="1" a="1"/>
  <c r="AA58" i="41" s="1"/>
  <c r="AB68" i="41" a="1"/>
  <c r="AB68" i="41" s="1"/>
  <c r="Q71" i="18" s="1"/>
  <c r="AB66" i="41" a="1"/>
  <c r="AB66" i="41" s="1"/>
  <c r="Q69" i="18" s="1"/>
  <c r="AB60" i="41" a="1"/>
  <c r="AB60" i="41" s="1"/>
  <c r="Q63" i="18" s="1"/>
  <c r="Z59" i="41" a="1"/>
  <c r="Z59" i="41" s="1"/>
  <c r="AA59" i="41" s="1" a="1"/>
  <c r="AA59" i="41" s="1"/>
  <c r="Z60" i="41" a="1"/>
  <c r="Z60" i="41" s="1"/>
  <c r="AA60" i="41" s="1" a="1"/>
  <c r="AA60" i="41" s="1"/>
  <c r="Z67" i="41" a="1"/>
  <c r="Z67" i="41" s="1"/>
  <c r="AA67" i="41" s="1" a="1"/>
  <c r="AA67" i="41" s="1"/>
  <c r="Z61" i="41" a="1"/>
  <c r="Z61" i="41" s="1"/>
  <c r="AA61" i="41" s="1" a="1"/>
  <c r="AA61" i="41" s="1"/>
  <c r="Z62" i="41" a="1"/>
  <c r="Z62" i="41" s="1"/>
  <c r="AA62" i="41" s="1" a="1"/>
  <c r="AA62" i="41" s="1"/>
  <c r="AB67" i="41" a="1"/>
  <c r="AB67" i="41" s="1"/>
  <c r="Q70" i="18" s="1"/>
  <c r="AB57" i="41" a="1"/>
  <c r="AB57" i="41" s="1"/>
  <c r="Q60" i="18" s="1"/>
  <c r="Z64" i="41" a="1"/>
  <c r="Z64" i="41" s="1"/>
  <c r="AA64" i="41" s="1" a="1"/>
  <c r="AA64" i="41" s="1"/>
  <c r="AB61" i="41" a="1"/>
  <c r="AB61" i="41" s="1"/>
  <c r="Q64" i="18" s="1"/>
  <c r="Z57" i="41" a="1"/>
  <c r="Z57" i="41" s="1"/>
  <c r="AA57" i="41" s="1" a="1"/>
  <c r="AA57" i="41" s="1"/>
  <c r="Z65" i="41" a="1"/>
  <c r="Z65" i="41" s="1"/>
  <c r="AA65" i="41" s="1" a="1"/>
  <c r="AA65" i="41" s="1"/>
  <c r="AB90" i="41"/>
  <c r="AB91" i="41"/>
  <c r="AB92" i="41"/>
  <c r="AB93" i="41"/>
  <c r="AB94" i="41"/>
  <c r="AB95" i="41"/>
  <c r="AB96" i="41"/>
  <c r="AB97" i="41"/>
  <c r="AB98" i="41"/>
  <c r="AB99" i="41"/>
  <c r="AB100" i="41"/>
  <c r="AB101" i="41"/>
  <c r="AB102" i="41"/>
  <c r="AB103" i="41"/>
  <c r="AB104" i="41"/>
  <c r="AB105" i="41"/>
  <c r="AB106" i="41"/>
  <c r="AB107" i="41"/>
  <c r="AB108" i="41"/>
  <c r="AB109" i="41"/>
  <c r="AB110" i="41"/>
  <c r="AB111" i="41"/>
  <c r="AB112" i="41"/>
  <c r="AB113" i="41"/>
  <c r="AE1649" i="41"/>
  <c r="T1649" i="41"/>
  <c r="I1650" i="41"/>
  <c r="H1650" i="41"/>
  <c r="G1650" i="41" s="1"/>
  <c r="H905" i="41"/>
  <c r="G905" i="41" s="1"/>
  <c r="AD1650" i="41"/>
  <c r="M905" i="41"/>
  <c r="L905" i="41" s="1"/>
  <c r="X90" i="41"/>
  <c r="X91" i="41"/>
  <c r="X92" i="41"/>
  <c r="X93" i="41"/>
  <c r="X94" i="41"/>
  <c r="X95" i="41"/>
  <c r="X96" i="41"/>
  <c r="X97" i="41"/>
  <c r="X98" i="41"/>
  <c r="X99" i="41"/>
  <c r="X100" i="41"/>
  <c r="X101" i="41"/>
  <c r="X102" i="41"/>
  <c r="X103" i="41"/>
  <c r="X104" i="41"/>
  <c r="X105" i="41"/>
  <c r="X106" i="41"/>
  <c r="X107" i="41"/>
  <c r="X108" i="41"/>
  <c r="X109" i="41"/>
  <c r="X110" i="41"/>
  <c r="X111" i="41"/>
  <c r="X112" i="41"/>
  <c r="X113" i="41"/>
  <c r="AC1650" i="41"/>
  <c r="W1652" i="41"/>
  <c r="X1652" i="41"/>
  <c r="S1651" i="41"/>
  <c r="S1652" i="41" s="1"/>
  <c r="I1652" i="41" s="1"/>
  <c r="AB1650" i="41"/>
  <c r="AB1652" i="41"/>
  <c r="AD1652" i="41"/>
  <c r="AC1652" i="41"/>
  <c r="AE25" i="41" l="1"/>
  <c r="AK98" i="41"/>
  <c r="M1648" i="41"/>
  <c r="L1648" i="41" s="1"/>
  <c r="AK92" i="41"/>
  <c r="AK113" i="41"/>
  <c r="AK101" i="41"/>
  <c r="AK100" i="41"/>
  <c r="AK106" i="41"/>
  <c r="AK94" i="41"/>
  <c r="AK103" i="41"/>
  <c r="AK91" i="41"/>
  <c r="AK105" i="41"/>
  <c r="AK93" i="41"/>
  <c r="AK95" i="41"/>
  <c r="AK102" i="41"/>
  <c r="AK112" i="41"/>
  <c r="AK110" i="41"/>
  <c r="AK109" i="41"/>
  <c r="AK97" i="41"/>
  <c r="AK108" i="41"/>
  <c r="AK96" i="41"/>
  <c r="AK107" i="41"/>
  <c r="H1652" i="41"/>
  <c r="G1652" i="41" s="1"/>
  <c r="AK99" i="41"/>
  <c r="AK111" i="41"/>
  <c r="AK104" i="41"/>
  <c r="Z56" i="41" a="1"/>
  <c r="Z56" i="41" s="1"/>
  <c r="AA56" i="41" s="1" a="1"/>
  <c r="AA56" i="41" s="1"/>
  <c r="AB56" i="41" a="1"/>
  <c r="AB56" i="41" s="1"/>
  <c r="Q59" i="18" s="1"/>
  <c r="AE1650" i="41"/>
  <c r="T1650" i="41"/>
  <c r="AI1649" i="41"/>
  <c r="AF1649" i="41"/>
  <c r="AG1649" i="41"/>
  <c r="AK1649" i="41"/>
  <c r="AH1649" i="41"/>
  <c r="AJ1649" i="41"/>
  <c r="AE23" i="41"/>
  <c r="AB114" i="41"/>
  <c r="AE18" i="41"/>
  <c r="X114" i="41"/>
  <c r="AE21" i="41"/>
  <c r="AK90" i="41"/>
  <c r="W44" i="41"/>
  <c r="AB44" i="41"/>
  <c r="O42" i="41"/>
  <c r="H45" i="18" s="1"/>
  <c r="X44" i="41" a="1"/>
  <c r="X44" i="41" s="1"/>
  <c r="G9" i="41" a="1"/>
  <c r="G9" i="41" s="1"/>
  <c r="D9" i="41" a="1"/>
  <c r="E89" i="41" s="1"/>
  <c r="AE1651" i="41"/>
  <c r="T1651" i="41"/>
  <c r="AE1652" i="41"/>
  <c r="T1652" i="41"/>
  <c r="I1651" i="41"/>
  <c r="H1651" i="41"/>
  <c r="G1651" i="41" s="1"/>
  <c r="AC25" i="41" l="1"/>
  <c r="AE35" i="41"/>
  <c r="W27" i="41"/>
  <c r="AE24" i="41"/>
  <c r="W21" i="41"/>
  <c r="AE34" i="41"/>
  <c r="AE36" i="41" s="1"/>
  <c r="E112" i="41"/>
  <c r="E103" i="41"/>
  <c r="E95" i="41"/>
  <c r="E109" i="41"/>
  <c r="E104" i="41"/>
  <c r="E98" i="41"/>
  <c r="E114" i="41"/>
  <c r="E101" i="41"/>
  <c r="E93" i="41"/>
  <c r="E108" i="41"/>
  <c r="E99" i="41"/>
  <c r="E94" i="41"/>
  <c r="E110" i="41"/>
  <c r="E100" i="41"/>
  <c r="E92" i="41"/>
  <c r="E107" i="41"/>
  <c r="E96" i="41"/>
  <c r="E91" i="41"/>
  <c r="E105" i="41"/>
  <c r="E102" i="41"/>
  <c r="E90" i="41"/>
  <c r="E111" i="41"/>
  <c r="E106" i="41"/>
  <c r="E97" i="41"/>
  <c r="E64" i="41"/>
  <c r="E77" i="41"/>
  <c r="E86" i="41"/>
  <c r="E72" i="41"/>
  <c r="E84" i="41"/>
  <c r="E80" i="41"/>
  <c r="E71" i="41"/>
  <c r="E85" i="41"/>
  <c r="E70" i="41"/>
  <c r="E81" i="41"/>
  <c r="E67" i="41"/>
  <c r="E88" i="41"/>
  <c r="E76" i="41"/>
  <c r="E78" i="41"/>
  <c r="E68" i="41"/>
  <c r="E73" i="41"/>
  <c r="E79" i="41"/>
  <c r="E66" i="41"/>
  <c r="E87" i="41"/>
  <c r="E74" i="41"/>
  <c r="E82" i="41"/>
  <c r="E75" i="41"/>
  <c r="E65" i="41"/>
  <c r="M1649" i="41"/>
  <c r="E39" i="41"/>
  <c r="E10" i="41"/>
  <c r="E31" i="41"/>
  <c r="E56" i="41"/>
  <c r="E42" i="41"/>
  <c r="E23" i="41"/>
  <c r="E22" i="41"/>
  <c r="E16" i="41"/>
  <c r="E26" i="41"/>
  <c r="E15" i="41"/>
  <c r="E11" i="41"/>
  <c r="E38" i="41"/>
  <c r="E50" i="41"/>
  <c r="E44" i="41"/>
  <c r="E46" i="41"/>
  <c r="E62" i="41"/>
  <c r="E61" i="41"/>
  <c r="E53" i="41"/>
  <c r="E35" i="41"/>
  <c r="E14" i="41"/>
  <c r="E48" i="41"/>
  <c r="E49" i="41"/>
  <c r="E58" i="41"/>
  <c r="E36" i="41"/>
  <c r="E18" i="41"/>
  <c r="E54" i="41"/>
  <c r="E60" i="41"/>
  <c r="E34" i="41"/>
  <c r="E51" i="41"/>
  <c r="E47" i="41"/>
  <c r="E30" i="41"/>
  <c r="E28" i="41"/>
  <c r="E59" i="41"/>
  <c r="E43" i="41"/>
  <c r="E52" i="41"/>
  <c r="E40" i="41"/>
  <c r="E41" i="41"/>
  <c r="E20" i="41"/>
  <c r="E13" i="41"/>
  <c r="E55" i="41"/>
  <c r="E32" i="41"/>
  <c r="E24" i="41"/>
  <c r="D9" i="41"/>
  <c r="E9" i="41" s="1"/>
  <c r="F9" i="41" s="1"/>
  <c r="AB22" i="41"/>
  <c r="S26" i="18"/>
  <c r="AC23" i="41"/>
  <c r="R26" i="18" s="1"/>
  <c r="X45" i="41"/>
  <c r="P48" i="18" s="1"/>
  <c r="P47" i="18"/>
  <c r="X46" i="41"/>
  <c r="P49" i="18" s="1"/>
  <c r="AF1651" i="41"/>
  <c r="AG1651" i="41"/>
  <c r="AI1651" i="41"/>
  <c r="AH1651" i="41"/>
  <c r="AJ1651" i="41"/>
  <c r="AK1651" i="41"/>
  <c r="AC18" i="41"/>
  <c r="R21" i="18" s="1"/>
  <c r="S21" i="18"/>
  <c r="AB46" i="41"/>
  <c r="Q49" i="18" s="1"/>
  <c r="AB45" i="41"/>
  <c r="Q48" i="18" s="1"/>
  <c r="Q47" i="18"/>
  <c r="R28" i="18"/>
  <c r="S28" i="18"/>
  <c r="W45" i="41"/>
  <c r="O48" i="18" s="1"/>
  <c r="W46" i="41"/>
  <c r="O49" i="18" s="1"/>
  <c r="O47" i="18"/>
  <c r="AF1650" i="41"/>
  <c r="AG1650" i="41"/>
  <c r="AI1650" i="41"/>
  <c r="AK1650" i="41"/>
  <c r="AJ1650" i="41"/>
  <c r="AH1650" i="41"/>
  <c r="AH1652" i="41"/>
  <c r="AG1652" i="41"/>
  <c r="AF1652" i="41"/>
  <c r="AJ1652" i="41"/>
  <c r="AI1652" i="41"/>
  <c r="AK1652" i="41"/>
  <c r="AG17" i="41"/>
  <c r="AE38" i="41"/>
  <c r="S41" i="18" s="1"/>
  <c r="AK114" i="41"/>
  <c r="AC21" i="41"/>
  <c r="R24" i="18" s="1"/>
  <c r="AB20" i="41"/>
  <c r="S24" i="18"/>
  <c r="AG25" i="41" l="1"/>
  <c r="AG18" i="41"/>
  <c r="E113" i="41"/>
  <c r="AC24" i="41"/>
  <c r="R27" i="18" s="1"/>
  <c r="AE33" i="41"/>
  <c r="M1651" i="41"/>
  <c r="L1649" i="41"/>
  <c r="E83" i="41"/>
  <c r="M1650" i="41"/>
  <c r="O30" i="18"/>
  <c r="W30" i="41"/>
  <c r="O33" i="18" s="1"/>
  <c r="AC35" i="41"/>
  <c r="R38" i="18" s="1"/>
  <c r="S38" i="18"/>
  <c r="M1652" i="41"/>
  <c r="Q23" i="18"/>
  <c r="X20" i="41"/>
  <c r="P23" i="18" s="1"/>
  <c r="O24" i="18"/>
  <c r="W22" i="41"/>
  <c r="O25" i="18" s="1"/>
  <c r="AC34" i="41"/>
  <c r="R37" i="18" s="1"/>
  <c r="S37" i="18"/>
  <c r="X22" i="41"/>
  <c r="P25" i="18" s="1"/>
  <c r="Q25" i="18"/>
  <c r="F10" i="41"/>
  <c r="F11" i="41" s="1"/>
  <c r="S27" i="18"/>
  <c r="AF19" i="41"/>
  <c r="T22" i="18" s="1"/>
  <c r="AF32" i="41"/>
  <c r="T35" i="18" s="1"/>
  <c r="U20" i="18"/>
  <c r="E69" i="41" l="1"/>
  <c r="E37" i="41"/>
  <c r="E45" i="41"/>
  <c r="E57" i="41"/>
  <c r="E21" i="41"/>
  <c r="E12" i="41"/>
  <c r="F12" i="41" s="1"/>
  <c r="F13" i="41" s="1"/>
  <c r="F14" i="41" s="1"/>
  <c r="F15" i="41" s="1"/>
  <c r="F16" i="41" s="1"/>
  <c r="E17" i="41"/>
  <c r="E33" i="41"/>
  <c r="E27" i="41"/>
  <c r="E25" i="41"/>
  <c r="E63" i="41"/>
  <c r="E29" i="41"/>
  <c r="S36" i="18"/>
  <c r="AC33" i="41"/>
  <c r="R36" i="18" s="1"/>
  <c r="AC61" i="41"/>
  <c r="R64" i="18" s="1"/>
  <c r="AC57" i="41"/>
  <c r="R60" i="18" s="1"/>
  <c r="AC58" i="41"/>
  <c r="R61" i="18" s="1"/>
  <c r="AC56" i="41"/>
  <c r="R59" i="18" s="1"/>
  <c r="AC67" i="41"/>
  <c r="R70" i="18" s="1"/>
  <c r="AC59" i="41"/>
  <c r="R62" i="18" s="1"/>
  <c r="AC63" i="41"/>
  <c r="R66" i="18" s="1"/>
  <c r="AE37" i="41"/>
  <c r="S40" i="18" s="1"/>
  <c r="AC60" i="41"/>
  <c r="R63" i="18" s="1"/>
  <c r="AC66" i="41"/>
  <c r="R69" i="18" s="1"/>
  <c r="AC65" i="41"/>
  <c r="R68" i="18" s="1"/>
  <c r="AC36" i="41"/>
  <c r="AC68" i="41"/>
  <c r="R71" i="18" s="1"/>
  <c r="AC62" i="41"/>
  <c r="R65" i="18" s="1"/>
  <c r="S39" i="18"/>
  <c r="AC64" i="41"/>
  <c r="R67" i="18" s="1"/>
  <c r="L1650" i="41"/>
  <c r="L1651" i="41" s="1"/>
  <c r="L1652" i="41" s="1"/>
  <c r="AC44" i="41" s="1" a="1"/>
  <c r="AC44" i="41" s="1"/>
  <c r="E19" i="41"/>
  <c r="F17" i="41" l="1"/>
  <c r="F18" i="41" s="1"/>
  <c r="F19" i="41" s="1"/>
  <c r="F20" i="41" s="1"/>
  <c r="F21" i="41" s="1"/>
  <c r="F22" i="41" s="1"/>
  <c r="F23" i="41" s="1"/>
  <c r="F24" i="41" s="1"/>
  <c r="F25" i="41" s="1"/>
  <c r="F26" i="41" s="1"/>
  <c r="F27" i="41" s="1"/>
  <c r="F28" i="41" s="1"/>
  <c r="F29" i="41" s="1"/>
  <c r="F30" i="41" s="1"/>
  <c r="F31" i="41" s="1"/>
  <c r="F32" i="41" s="1"/>
  <c r="F33" i="41" s="1"/>
  <c r="F34" i="41" s="1"/>
  <c r="F35" i="41" s="1"/>
  <c r="F36" i="41" s="1"/>
  <c r="F37" i="41" s="1"/>
  <c r="F38" i="41" s="1"/>
  <c r="F39" i="41" s="1"/>
  <c r="F40" i="41" s="1"/>
  <c r="F41" i="41" s="1"/>
  <c r="F42" i="41" s="1"/>
  <c r="F43" i="41" s="1"/>
  <c r="F44" i="41" s="1"/>
  <c r="F45" i="41" s="1"/>
  <c r="F46" i="41" s="1"/>
  <c r="F47" i="41" s="1"/>
  <c r="F48" i="41" s="1"/>
  <c r="F49" i="41" s="1"/>
  <c r="F50" i="41" s="1"/>
  <c r="F51" i="41" s="1"/>
  <c r="F52" i="41" s="1"/>
  <c r="F53" i="41" s="1"/>
  <c r="F54" i="41" s="1"/>
  <c r="F55" i="41" s="1"/>
  <c r="F56" i="41" s="1"/>
  <c r="F57" i="41" s="1"/>
  <c r="F58" i="41" s="1"/>
  <c r="F59" i="41" s="1"/>
  <c r="F60" i="41" s="1"/>
  <c r="F61" i="41" s="1"/>
  <c r="F62" i="41" s="1"/>
  <c r="F63" i="41" s="1"/>
  <c r="F64" i="41" s="1"/>
  <c r="F65" i="41" s="1"/>
  <c r="F66" i="41" s="1"/>
  <c r="F67" i="41" s="1"/>
  <c r="F68" i="41" s="1"/>
  <c r="F69" i="41" s="1"/>
  <c r="F70" i="41" s="1"/>
  <c r="F71" i="41" s="1"/>
  <c r="F72" i="41" s="1"/>
  <c r="F73" i="41" s="1"/>
  <c r="F74" i="41" s="1"/>
  <c r="F75" i="41" s="1"/>
  <c r="F76" i="41" s="1"/>
  <c r="F77" i="41" s="1"/>
  <c r="F78" i="41" s="1"/>
  <c r="F79" i="41" s="1"/>
  <c r="F80" i="41" s="1"/>
  <c r="F81" i="41" s="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F93" i="41" s="1"/>
  <c r="F94" i="41" s="1"/>
  <c r="F95" i="41" s="1"/>
  <c r="F96" i="41" s="1"/>
  <c r="F97" i="41" s="1"/>
  <c r="F98" i="41" s="1"/>
  <c r="F99" i="41" s="1"/>
  <c r="F100" i="41" s="1"/>
  <c r="F101" i="41" s="1"/>
  <c r="F102" i="41" s="1"/>
  <c r="F103" i="41" s="1"/>
  <c r="F104" i="41" s="1"/>
  <c r="F105" i="41" s="1"/>
  <c r="F106" i="41" s="1"/>
  <c r="F107" i="41" s="1"/>
  <c r="F108" i="41" s="1"/>
  <c r="F109" i="41" s="1"/>
  <c r="F110" i="41" s="1"/>
  <c r="F111" i="41" s="1"/>
  <c r="F112" i="41" s="1"/>
  <c r="F113" i="41" s="1"/>
  <c r="F114" i="41" s="1"/>
  <c r="R39" i="18"/>
  <c r="Y56" i="41"/>
  <c r="W56" i="41" s="1"/>
  <c r="Y59" i="41"/>
  <c r="Y58" i="41"/>
  <c r="Y64" i="41"/>
  <c r="Y60" i="41"/>
  <c r="Y67" i="41"/>
  <c r="Y62" i="41"/>
  <c r="Y65" i="41"/>
  <c r="Y61" i="41"/>
  <c r="Y68" i="41"/>
  <c r="Y66" i="41"/>
  <c r="Y63" i="41"/>
  <c r="Y57" i="41"/>
  <c r="R47" i="18"/>
  <c r="AC45" i="41"/>
  <c r="R48" i="18" s="1"/>
  <c r="AC46" i="41"/>
  <c r="R49" i="18" s="1"/>
  <c r="W60" i="41" l="1"/>
  <c r="W61" i="41" s="1"/>
  <c r="O64" i="18" s="1"/>
  <c r="W59" i="41"/>
  <c r="O62" i="18" s="1"/>
  <c r="O59" i="18"/>
  <c r="X56" i="41"/>
  <c r="P59" i="18" s="1"/>
  <c r="W58" i="41"/>
  <c r="W57" i="41"/>
  <c r="X60" i="41" l="1"/>
  <c r="P63" i="18" s="1"/>
  <c r="O63" i="18"/>
  <c r="W62" i="41"/>
  <c r="X61" i="41"/>
  <c r="P64" i="18" s="1"/>
  <c r="X59" i="41"/>
  <c r="P62" i="18" s="1"/>
  <c r="O60" i="18"/>
  <c r="X57" i="41"/>
  <c r="P60" i="18" s="1"/>
  <c r="O61" i="18"/>
  <c r="X58" i="41"/>
  <c r="P61" i="18" s="1"/>
  <c r="O65" i="18" l="1"/>
  <c r="W63" i="41"/>
  <c r="X62" i="41"/>
  <c r="P65" i="18" s="1"/>
  <c r="W64" i="41" l="1"/>
  <c r="O66" i="18"/>
  <c r="X63" i="41"/>
  <c r="P66" i="18" s="1"/>
  <c r="W65" i="41" l="1"/>
  <c r="O67" i="18"/>
  <c r="X64" i="41"/>
  <c r="P67" i="18" s="1"/>
  <c r="O68" i="18" l="1"/>
  <c r="X65" i="41"/>
  <c r="P68" i="18" s="1"/>
  <c r="W66" i="41"/>
  <c r="W67" i="41" l="1"/>
  <c r="X66" i="41"/>
  <c r="P69" i="18" s="1"/>
  <c r="O69" i="18"/>
  <c r="O70" i="18" l="1"/>
  <c r="X67" i="41"/>
  <c r="P70" i="18" s="1"/>
  <c r="W68" i="41"/>
  <c r="X68" i="41" l="1"/>
  <c r="P71" i="18" s="1"/>
  <c r="O71" i="18"/>
  <c r="AG30" i="41" l="1"/>
  <c r="AF30" i="41" s="1"/>
  <c r="AG22" i="41"/>
  <c r="AF22" i="41" s="1"/>
  <c r="T25" i="18" s="1"/>
  <c r="AG28" i="41"/>
  <c r="AF28" i="41" s="1"/>
  <c r="AF25" i="41"/>
  <c r="T28" i="18" s="1"/>
  <c r="AF18" i="41"/>
  <c r="T21" i="18" s="1"/>
  <c r="AG23" i="41"/>
  <c r="AG21" i="41"/>
  <c r="AF21" i="41" s="1"/>
  <c r="T24" i="18" s="1"/>
  <c r="AG29" i="41"/>
  <c r="AF29" i="41" s="1"/>
  <c r="AG27" i="41"/>
  <c r="AF27" i="41" s="1"/>
  <c r="AG26" i="41"/>
  <c r="AG31" i="41"/>
  <c r="AF31" i="41" s="1"/>
  <c r="AG20" i="41"/>
  <c r="AF26" i="41" l="1"/>
  <c r="AG35" i="41"/>
  <c r="AF23" i="41"/>
  <c r="T26" i="18" s="1"/>
  <c r="AG34" i="41"/>
  <c r="AG24" i="41"/>
  <c r="U25" i="18"/>
  <c r="U21" i="18"/>
  <c r="U24" i="18"/>
  <c r="U23" i="18"/>
  <c r="U26" i="18"/>
  <c r="U28" i="18"/>
  <c r="AF20" i="41"/>
  <c r="T23" i="18" s="1"/>
  <c r="AG33" i="41" l="1"/>
  <c r="AF24" i="41"/>
  <c r="AG36" i="41"/>
  <c r="AG37" i="41" s="1"/>
  <c r="U40" i="18" s="1"/>
  <c r="AF35" i="41"/>
  <c r="T38" i="18" s="1"/>
  <c r="U38" i="18"/>
  <c r="AF34" i="41"/>
  <c r="T37" i="18" s="1"/>
  <c r="U37" i="18"/>
  <c r="U39" i="18" l="1"/>
  <c r="AF36" i="41"/>
  <c r="T39" i="18" s="1"/>
  <c r="T27" i="18"/>
  <c r="AF33" i="41"/>
  <c r="T36" i="18" s="1"/>
  <c r="U27" i="18"/>
  <c r="U36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B. Stephens</author>
    <author>Curtis Stephens</author>
  </authors>
  <commentList>
    <comment ref="D33" authorId="0" shapeId="0" xr:uid="{1A443DE5-B676-4DCD-B383-E67E6888763F}">
      <text>
        <r>
          <rPr>
            <sz val="9"/>
            <color indexed="81"/>
            <rFont val="Tahoma"/>
            <family val="2"/>
          </rPr>
          <t>Default 23% (Used for Est.)</t>
        </r>
      </text>
    </comment>
    <comment ref="D34" authorId="0" shapeId="0" xr:uid="{1DCCCF3F-9695-4950-B1ED-0E647B02C50D}">
      <text>
        <r>
          <rPr>
            <sz val="9"/>
            <color indexed="81"/>
            <rFont val="Tahoma"/>
            <family val="2"/>
          </rPr>
          <t>Default 20% (Used for Est.)</t>
        </r>
      </text>
    </comment>
    <comment ref="V40" authorId="0" shapeId="0" xr:uid="{0EAC7CD0-9DA2-40B5-A0A7-B1F5258A8CF7}">
      <text>
        <r>
          <rPr>
            <sz val="9"/>
            <color indexed="81"/>
            <rFont val="Tahoma"/>
            <family val="2"/>
          </rPr>
          <t>Return on Investment</t>
        </r>
      </text>
    </comment>
    <comment ref="V41" authorId="0" shapeId="0" xr:uid="{D0FF4FB8-0546-4D49-8513-46D48B7C05A8}">
      <text>
        <r>
          <rPr>
            <sz val="9"/>
            <color indexed="81"/>
            <rFont val="Tahoma"/>
            <family val="2"/>
          </rPr>
          <t>Internal Rate of Return</t>
        </r>
      </text>
    </comment>
    <comment ref="G45" authorId="0" shapeId="0" xr:uid="{927AB3A6-41CF-4CFA-B564-67807E910DB8}">
      <text>
        <r>
          <rPr>
            <sz val="9"/>
            <color indexed="81"/>
            <rFont val="Tahoma"/>
            <family val="2"/>
          </rPr>
          <t>Rev # = (New + # Repairs)</t>
        </r>
      </text>
    </comment>
    <comment ref="O45" authorId="0" shapeId="0" xr:uid="{AAE350FF-13F2-4279-A1A9-561253B4457E}">
      <text>
        <r>
          <rPr>
            <sz val="9"/>
            <color indexed="81"/>
            <rFont val="Tahoma"/>
            <family val="2"/>
          </rPr>
          <t>Cash Flow (w/ Payment Terms)</t>
        </r>
      </text>
    </comment>
    <comment ref="R45" authorId="0" shapeId="0" xr:uid="{FE45F4BE-0DB6-4BFD-BBE7-E6B3568BD463}">
      <text>
        <r>
          <rPr>
            <sz val="9"/>
            <color indexed="81"/>
            <rFont val="Tahoma"/>
            <family val="2"/>
          </rPr>
          <t>Cash Flow (w/o Payment Terms)</t>
        </r>
      </text>
    </comment>
    <comment ref="P46" authorId="0" shapeId="0" xr:uid="{806583D5-AEF6-46E9-9A84-AFB7226EC07C}">
      <text>
        <r>
          <rPr>
            <sz val="9"/>
            <color indexed="81"/>
            <rFont val="Tahoma"/>
            <family val="2"/>
          </rPr>
          <t>1st Day after last negative Net $</t>
        </r>
      </text>
    </comment>
    <comment ref="Q46" authorId="0" shapeId="0" xr:uid="{E7C7EF44-9E9F-48E2-9D17-24D980DC72C5}">
      <text>
        <r>
          <rPr>
            <sz val="9"/>
            <color indexed="81"/>
            <rFont val="Tahoma"/>
            <family val="2"/>
          </rPr>
          <t>End of Projected bit life</t>
        </r>
      </text>
    </comment>
    <comment ref="R46" authorId="0" shapeId="0" xr:uid="{D10535D6-85A4-40EF-9E4C-DCDF73A4D85E}">
      <text>
        <r>
          <rPr>
            <sz val="9"/>
            <color indexed="81"/>
            <rFont val="Tahoma"/>
            <family val="2"/>
          </rPr>
          <t>1 Day after last negative Net $</t>
        </r>
      </text>
    </comment>
    <comment ref="H54" authorId="0" shapeId="0" xr:uid="{EEA83793-4758-45E9-993D-4DD821153446}">
      <text>
        <r>
          <rPr>
            <sz val="9"/>
            <color indexed="81"/>
            <rFont val="Tahoma"/>
            <family val="2"/>
          </rPr>
          <t>Expected Net Return if bit gets X # of invoice(s) per repair throughout its projected bit life</t>
        </r>
      </text>
    </comment>
    <comment ref="I54" authorId="0" shapeId="0" xr:uid="{4E0CC5FD-90B7-405B-8406-39B82D928185}">
      <text>
        <r>
          <rPr>
            <sz val="9"/>
            <color indexed="81"/>
            <rFont val="Tahoma"/>
            <family val="2"/>
          </rPr>
          <t>Expected Net Profit Margin if bit gets X # of invoice(s) per repair throughout its Projected bit life</t>
        </r>
      </text>
    </comment>
    <comment ref="N54" authorId="0" shapeId="0" xr:uid="{D42C1D69-0781-456F-A6AA-774CCF9FCE9F}">
      <text>
        <r>
          <rPr>
            <sz val="9"/>
            <color indexed="81"/>
            <rFont val="Tahoma"/>
            <family val="2"/>
          </rPr>
          <t>Minimum DBR Charge as a percentage of Rev 0 DBR Charge</t>
        </r>
      </text>
    </comment>
    <comment ref="Q57" authorId="1" shapeId="0" xr:uid="{D2E01C12-5191-4C8B-9520-05C42EB5BEF5}">
      <text>
        <r>
          <rPr>
            <sz val="9"/>
            <color indexed="81"/>
            <rFont val="Tahoma"/>
            <family val="2"/>
          </rPr>
          <t>Net Return without DBR/LIH Charge</t>
        </r>
      </text>
    </comment>
    <comment ref="R57" authorId="1" shapeId="0" xr:uid="{BB49931B-7183-4EE1-8FFB-E9748E3605DF}">
      <text>
        <r>
          <rPr>
            <sz val="9"/>
            <color indexed="81"/>
            <rFont val="Tahoma"/>
            <family val="2"/>
          </rPr>
          <t>Opportunity Cost (Net)</t>
        </r>
      </text>
    </comment>
    <comment ref="O58" authorId="0" shapeId="0" xr:uid="{1FD49E60-B1D7-40BD-93E8-1F1060FB8D3E}">
      <text>
        <r>
          <rPr>
            <sz val="9"/>
            <color indexed="81"/>
            <rFont val="Tahoma"/>
            <family val="2"/>
          </rPr>
          <t>Gross Sales Needed for Cost of Sales + Commissions = Desired Net Profit Margin
+ New Bit Cutter Cost - Expected Repair Cutter Cost for Last Run</t>
        </r>
      </text>
    </comment>
    <comment ref="H70" authorId="0" shapeId="0" xr:uid="{5A6CA4CF-A1CF-4F06-93A7-6630571A24D5}">
      <text>
        <r>
          <rPr>
            <sz val="9"/>
            <color indexed="81"/>
            <rFont val="Tahoma"/>
            <family val="2"/>
          </rPr>
          <t>(Invoice or Payment)
Default Value = Payment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B. Stephens</author>
    <author>Curtis Stephens</author>
  </authors>
  <commentList>
    <comment ref="K30" authorId="0" shapeId="0" xr:uid="{5F5BBC6D-43A9-4EE8-B8A9-7367F1D95EA4}">
      <text>
        <r>
          <rPr>
            <sz val="9"/>
            <color indexed="81"/>
            <rFont val="Tahoma"/>
            <family val="2"/>
          </rPr>
          <t>Default 23% (Used for Est.)</t>
        </r>
      </text>
    </comment>
    <comment ref="K31" authorId="0" shapeId="0" xr:uid="{2E4DD2F5-1C95-4854-A947-8BA4965429C4}">
      <text>
        <r>
          <rPr>
            <sz val="9"/>
            <color indexed="81"/>
            <rFont val="Tahoma"/>
            <family val="2"/>
          </rPr>
          <t>Default 20% (Used for Est.)</t>
        </r>
      </text>
    </comment>
    <comment ref="AH37" authorId="0" shapeId="0" xr:uid="{475BC67E-B372-4357-96FE-C31DE18F5F54}">
      <text>
        <r>
          <rPr>
            <sz val="9"/>
            <color indexed="81"/>
            <rFont val="Tahoma"/>
            <family val="2"/>
          </rPr>
          <t>Return on Investment</t>
        </r>
      </text>
    </comment>
    <comment ref="AH38" authorId="0" shapeId="0" xr:uid="{1F817D00-0A31-49A8-9369-E8A969E027A6}">
      <text>
        <r>
          <rPr>
            <sz val="9"/>
            <color indexed="81"/>
            <rFont val="Tahoma"/>
            <family val="2"/>
          </rPr>
          <t>Internal Rate of Return</t>
        </r>
      </text>
    </comment>
    <comment ref="N42" authorId="0" shapeId="0" xr:uid="{5531634B-F196-4154-BFAB-E8EAC09E55DC}">
      <text>
        <r>
          <rPr>
            <sz val="9"/>
            <color indexed="81"/>
            <rFont val="Tahoma"/>
            <family val="2"/>
          </rPr>
          <t>Rev # = (New + # Repairs)</t>
        </r>
      </text>
    </comment>
    <comment ref="W42" authorId="0" shapeId="0" xr:uid="{94AF617B-10D0-4DE8-A32E-2D0FD5AD0A83}">
      <text>
        <r>
          <rPr>
            <sz val="9"/>
            <color indexed="81"/>
            <rFont val="Tahoma"/>
            <family val="2"/>
          </rPr>
          <t>Cash Flow (w/ Payment Terms)</t>
        </r>
      </text>
    </comment>
    <comment ref="AC42" authorId="0" shapeId="0" xr:uid="{E3A8037C-E2F3-4D5F-A527-7F795041C4ED}">
      <text>
        <r>
          <rPr>
            <sz val="9"/>
            <color indexed="81"/>
            <rFont val="Tahoma"/>
            <family val="2"/>
          </rPr>
          <t>Cash Flow (w/o Payment Terms)</t>
        </r>
      </text>
    </comment>
    <comment ref="X43" authorId="0" shapeId="0" xr:uid="{FF1290A3-8ADD-44B4-8A5E-70C431FFFC00}">
      <text>
        <r>
          <rPr>
            <sz val="9"/>
            <color indexed="81"/>
            <rFont val="Tahoma"/>
            <family val="2"/>
          </rPr>
          <t>1st Day after last negative Net $</t>
        </r>
      </text>
    </comment>
    <comment ref="AB43" authorId="0" shapeId="0" xr:uid="{C832A09A-CE94-4339-8087-A4140449596E}">
      <text>
        <r>
          <rPr>
            <sz val="9"/>
            <color indexed="81"/>
            <rFont val="Tahoma"/>
            <family val="2"/>
          </rPr>
          <t>End of Projected bit life</t>
        </r>
      </text>
    </comment>
    <comment ref="AC43" authorId="0" shapeId="0" xr:uid="{932B62F8-A20F-4723-A511-44CAB85A3540}">
      <text>
        <r>
          <rPr>
            <sz val="9"/>
            <color indexed="81"/>
            <rFont val="Tahoma"/>
            <family val="2"/>
          </rPr>
          <t>1 Day after last negative Net $</t>
        </r>
      </text>
    </comment>
    <comment ref="O51" authorId="0" shapeId="0" xr:uid="{47AEAA4F-C7A0-444A-9444-C7439A4D9AAF}">
      <text>
        <r>
          <rPr>
            <sz val="9"/>
            <color indexed="81"/>
            <rFont val="Tahoma"/>
            <family val="2"/>
          </rPr>
          <t>Expected Net Return if bit gets X # of invoice(s) per repair throughout its projected bit life</t>
        </r>
      </text>
    </comment>
    <comment ref="P51" authorId="0" shapeId="0" xr:uid="{004CA8A7-B5E1-4BEF-8539-31F2AC5D8CB2}">
      <text>
        <r>
          <rPr>
            <sz val="9"/>
            <color indexed="81"/>
            <rFont val="Tahoma"/>
            <family val="2"/>
          </rPr>
          <t>Expected Net Profit Margin if bit gets X # of invoice(s) per repair throughout its Projected bit life</t>
        </r>
      </text>
    </comment>
    <comment ref="V51" authorId="0" shapeId="0" xr:uid="{E540D1FC-9A7F-46F2-8F15-94AD0BD8808D}">
      <text>
        <r>
          <rPr>
            <sz val="9"/>
            <color indexed="81"/>
            <rFont val="Tahoma"/>
            <family val="2"/>
          </rPr>
          <t>Minimum DBR Charge as a percentage of Rev 0 DBR Charge</t>
        </r>
      </text>
    </comment>
    <comment ref="AB54" authorId="1" shapeId="0" xr:uid="{404C642C-F3F1-4626-BC23-BC0C9E30F2A7}">
      <text>
        <r>
          <rPr>
            <sz val="9"/>
            <color indexed="81"/>
            <rFont val="Tahoma"/>
            <family val="2"/>
          </rPr>
          <t>Net Return without DBR/LIH Charge</t>
        </r>
      </text>
    </comment>
    <comment ref="AC54" authorId="1" shapeId="0" xr:uid="{9194B948-8420-4694-93F3-2426B6060724}">
      <text>
        <r>
          <rPr>
            <sz val="9"/>
            <color indexed="81"/>
            <rFont val="Tahoma"/>
            <family val="2"/>
          </rPr>
          <t>Opportunity Cost (Net)</t>
        </r>
      </text>
    </comment>
    <comment ref="W55" authorId="0" shapeId="0" xr:uid="{32047957-B5FB-4C46-9FF5-C288BE718DDC}">
      <text>
        <r>
          <rPr>
            <sz val="9"/>
            <color indexed="81"/>
            <rFont val="Tahoma"/>
            <family val="2"/>
          </rPr>
          <t>Gross Sales Needed for Cost of Sales + Commissions = Desired Net Profit Margin
+ New Bit Cutter Cost - Expected Repair Cutter Cost for Last Run</t>
        </r>
      </text>
    </comment>
    <comment ref="Y55" authorId="0" shapeId="0" xr:uid="{E835ECAD-B89F-4F3D-AC9E-6AD97D85D49B}">
      <text>
        <r>
          <rPr>
            <sz val="9"/>
            <color indexed="81"/>
            <rFont val="Tahoma"/>
            <family val="2"/>
          </rPr>
          <t>Gross Sales needed for Cost of Sales + Commissions = Desired Net Profit Margin</t>
        </r>
      </text>
    </comment>
    <comment ref="Z55" authorId="0" shapeId="0" xr:uid="{0505F783-3601-4E6D-A4D5-36CC1CB53887}">
      <text>
        <r>
          <rPr>
            <sz val="9"/>
            <color indexed="81"/>
            <rFont val="Tahoma"/>
            <family val="2"/>
          </rPr>
          <t>Gross Sales</t>
        </r>
      </text>
    </comment>
    <comment ref="AA55" authorId="0" shapeId="0" xr:uid="{48DC3520-A3BE-4DF3-8435-2B98C8625E95}">
      <text>
        <r>
          <rPr>
            <sz val="9"/>
            <color indexed="81"/>
            <rFont val="Tahoma"/>
            <family val="2"/>
          </rPr>
          <t>Gross Cost of Sales + Commissions</t>
        </r>
      </text>
    </comment>
    <comment ref="O67" authorId="0" shapeId="0" xr:uid="{51F2EE0F-6631-487F-AA84-6F024C76569E}">
      <text>
        <r>
          <rPr>
            <sz val="9"/>
            <color indexed="81"/>
            <rFont val="Tahoma"/>
            <family val="2"/>
          </rPr>
          <t>(Invoice or Payment)
Default Value = Payment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<sst xmlns="http://schemas.openxmlformats.org/spreadsheetml/2006/main" count="366" uniqueCount="170">
  <si>
    <t>E</t>
  </si>
  <si>
    <t>Y</t>
  </si>
  <si>
    <r>
      <t>Cutter Type</t>
    </r>
    <r>
      <rPr>
        <sz val="8"/>
        <color rgb="FF808080"/>
        <rFont val="Calibri"/>
        <family val="2"/>
        <scheme val="minor"/>
      </rPr>
      <t xml:space="preserve"> (Pri, Sec)</t>
    </r>
  </si>
  <si>
    <t>DD</t>
  </si>
  <si>
    <t>Repair# . Invoice #</t>
  </si>
  <si>
    <t>Δ Return</t>
  </si>
  <si>
    <t>Return</t>
  </si>
  <si>
    <t>Profitability Projections</t>
  </si>
  <si>
    <t>Populated By:</t>
  </si>
  <si>
    <t>Cutter Type (Pri., Sec.)</t>
  </si>
  <si>
    <t>Sales Rep.</t>
  </si>
  <si>
    <t>Non-Leach</t>
  </si>
  <si>
    <t>Sales Mgr.</t>
  </si>
  <si>
    <t>I</t>
  </si>
  <si>
    <t>Int. Leach</t>
  </si>
  <si>
    <t>Engineering</t>
  </si>
  <si>
    <t>Full Life Cycle of Bit (w/o DBR/LIH Charge)</t>
  </si>
  <si>
    <t>Partial Life Cycle</t>
  </si>
  <si>
    <t>D</t>
  </si>
  <si>
    <t>Deep Leach</t>
  </si>
  <si>
    <t>Leadership</t>
  </si>
  <si>
    <t>(Y/N)</t>
  </si>
  <si>
    <t>Ammoritize New Bit?</t>
  </si>
  <si>
    <t>Rev #</t>
  </si>
  <si>
    <t>New Bit:</t>
  </si>
  <si>
    <t>Financial Projections:</t>
  </si>
  <si>
    <t>Size:</t>
  </si>
  <si>
    <t>Sales</t>
  </si>
  <si>
    <t>Σ Revenue</t>
  </si>
  <si>
    <t>Model:</t>
  </si>
  <si>
    <t>Dragon Example: 913-DR(K)(BR)</t>
  </si>
  <si>
    <t>Freight $ Collected</t>
  </si>
  <si>
    <t>DBR / LIH Charge</t>
  </si>
  <si>
    <t>Cost of Sales</t>
  </si>
  <si>
    <t>Σ New Bit</t>
  </si>
  <si>
    <t>Σ Repairs</t>
  </si>
  <si>
    <t>Cost</t>
  </si>
  <si>
    <t>Override</t>
  </si>
  <si>
    <t>Est.</t>
  </si>
  <si>
    <t>Σ Cutters (New Bit)</t>
  </si>
  <si>
    <t>Body</t>
  </si>
  <si>
    <t>Σ Cutters (Repair)</t>
  </si>
  <si>
    <t>Cutters</t>
  </si>
  <si>
    <t>Gross Profit</t>
  </si>
  <si>
    <t>Σ Return (GP)</t>
  </si>
  <si>
    <t>New Bit</t>
  </si>
  <si>
    <t>Expenses</t>
  </si>
  <si>
    <t>Σ Freight Cost</t>
  </si>
  <si>
    <t>Repairs:</t>
  </si>
  <si>
    <t>or</t>
  </si>
  <si>
    <t>Repair</t>
  </si>
  <si>
    <t>Σ Miscellaneous</t>
  </si>
  <si>
    <t>Gross Profit Less Expenses</t>
  </si>
  <si>
    <t>Σ Return (GPLS)</t>
  </si>
  <si>
    <t>Net Profit</t>
  </si>
  <si>
    <t>Σ Cost of Sales</t>
  </si>
  <si>
    <t>Freight:</t>
  </si>
  <si>
    <t>Σ Expenses</t>
  </si>
  <si>
    <t>Delivery</t>
  </si>
  <si>
    <t>Collected</t>
  </si>
  <si>
    <t>COT → Customer</t>
  </si>
  <si>
    <t>ROI</t>
  </si>
  <si>
    <t>Customer → COT</t>
  </si>
  <si>
    <t>IRR</t>
  </si>
  <si>
    <t>Bit Utilization:</t>
  </si>
  <si>
    <t>Cash Conversion Cycle (CCC):</t>
  </si>
  <si>
    <t>Bit Life (Rev #)</t>
  </si>
  <si>
    <t>Bit Life</t>
  </si>
  <si>
    <t>Cash Conversion Cycle</t>
  </si>
  <si>
    <t>Invoice</t>
  </si>
  <si>
    <t>Invoices / Repair</t>
  </si>
  <si>
    <t>Sales / Repair</t>
  </si>
  <si>
    <t>Lowest</t>
  </si>
  <si>
    <t>Last (-) $</t>
  </si>
  <si>
    <t>Highest</t>
  </si>
  <si>
    <t>Rig days / Invoice</t>
  </si>
  <si>
    <t>Run → Run</t>
  </si>
  <si>
    <t>(Repair # . Invoice # . Status . Days @ Status)</t>
  </si>
  <si>
    <t xml:space="preserve">↑    </t>
  </si>
  <si>
    <t>Pricing Schedule:</t>
  </si>
  <si>
    <t xml:space="preserve">N </t>
  </si>
  <si>
    <t>New</t>
  </si>
  <si>
    <t>Avg. Days to Pay</t>
  </si>
  <si>
    <t xml:space="preserve">O </t>
  </si>
  <si>
    <t>Ship Out → Customer</t>
  </si>
  <si>
    <t>DBR / LIH Pricing Schedule:</t>
  </si>
  <si>
    <t xml:space="preserve">D </t>
  </si>
  <si>
    <t>Drilling</t>
  </si>
  <si>
    <t>Invoice(s) Per Rev.</t>
  </si>
  <si>
    <r>
      <t>Charge DBR/LIH?</t>
    </r>
    <r>
      <rPr>
        <sz val="8"/>
        <color theme="0" tint="-0.499984740745262"/>
        <rFont val="Calibri"/>
        <family val="2"/>
        <scheme val="minor"/>
      </rPr>
      <t xml:space="preserve"> (Y/N)</t>
    </r>
  </si>
  <si>
    <t xml:space="preserve">I  </t>
  </si>
  <si>
    <t>Ship In → COT</t>
  </si>
  <si>
    <t>Invoice #</t>
  </si>
  <si>
    <t>Day</t>
  </si>
  <si>
    <t>$</t>
  </si>
  <si>
    <t>Σ Return</t>
  </si>
  <si>
    <t>Σ NPM</t>
  </si>
  <si>
    <t>min. DBR $ (% r0)</t>
  </si>
  <si>
    <t xml:space="preserve">R </t>
  </si>
  <si>
    <t>Overide DBR/LIH $</t>
  </si>
  <si>
    <t>DBR/LIH Charge</t>
  </si>
  <si>
    <t>Net w/o DBR $</t>
  </si>
  <si>
    <t>Net Opp. Cost</t>
  </si>
  <si>
    <t>PM%</t>
  </si>
  <si>
    <t>COGS</t>
  </si>
  <si>
    <t>Commissions:</t>
  </si>
  <si>
    <t>Commissions Paid @</t>
  </si>
  <si>
    <t>Payment</t>
  </si>
  <si>
    <t>Marketing</t>
  </si>
  <si>
    <t>Sales Manager</t>
  </si>
  <si>
    <t>Sales engineer</t>
  </si>
  <si>
    <t>Account Rep</t>
  </si>
  <si>
    <t>Field Rep</t>
  </si>
  <si>
    <t>Month #</t>
  </si>
  <si>
    <t>Σ mfg. $</t>
  </si>
  <si>
    <t>Σ Cutter $</t>
  </si>
  <si>
    <t>Revenue over time (with Payment Terms)</t>
  </si>
  <si>
    <t>Days</t>
  </si>
  <si>
    <t>Day #</t>
  </si>
  <si>
    <t>Cumulative $</t>
  </si>
  <si>
    <t>Δ $</t>
  </si>
  <si>
    <t>Build</t>
  </si>
  <si>
    <t>Shipping COT → Cust.</t>
  </si>
  <si>
    <t>Shipping Cust. → COT</t>
  </si>
  <si>
    <t>Run</t>
  </si>
  <si>
    <t>Repair #</t>
  </si>
  <si>
    <t>Repair $</t>
  </si>
  <si>
    <t>Cutter $</t>
  </si>
  <si>
    <t>Shipping $</t>
  </si>
  <si>
    <t>Bit Invoice $</t>
  </si>
  <si>
    <t>(Hide me) Shipping Invoice $</t>
  </si>
  <si>
    <t>Revenue $</t>
  </si>
  <si>
    <t>Revenue over time (w/out Payment Terms)</t>
  </si>
  <si>
    <t>Cumulative invoice $</t>
  </si>
  <si>
    <t>Invoice $</t>
  </si>
  <si>
    <t>Non-leach</t>
  </si>
  <si>
    <t>Intermediate Leach</t>
  </si>
  <si>
    <t>EE</t>
  </si>
  <si>
    <t>IE</t>
  </si>
  <si>
    <t>II</t>
  </si>
  <si>
    <t>DE</t>
  </si>
  <si>
    <t>DI</t>
  </si>
  <si>
    <t>Est. Cost</t>
  </si>
  <si>
    <t># of Blades</t>
  </si>
  <si>
    <t>Primary Cutter Size</t>
  </si>
  <si>
    <t>Type</t>
  </si>
  <si>
    <t>(K) ?</t>
  </si>
  <si>
    <t>(BR) ?</t>
  </si>
  <si>
    <t># of Nozzles</t>
  </si>
  <si>
    <t>Matrix ? (Not Set-up for Matrix)</t>
  </si>
  <si>
    <t>Do Not Change Grayed Out Variables !!!</t>
  </si>
  <si>
    <t>SR</t>
  </si>
  <si>
    <t>SR+</t>
  </si>
  <si>
    <t>XR &amp; YR</t>
  </si>
  <si>
    <t>DR</t>
  </si>
  <si>
    <t>(BR) * # Blades</t>
  </si>
  <si>
    <t>(K) * # Blades</t>
  </si>
  <si>
    <t>Linear .BA Price Equation (w/o PDC's)</t>
  </si>
  <si>
    <t>≈</t>
  </si>
  <si>
    <r>
      <t>m*Ø</t>
    </r>
    <r>
      <rPr>
        <vertAlign val="superscript"/>
        <sz val="11"/>
        <color theme="0" tint="-0.34998626667073579"/>
        <rFont val="Calibri"/>
        <family val="2"/>
        <scheme val="minor"/>
      </rPr>
      <t>2</t>
    </r>
  </si>
  <si>
    <t>b</t>
  </si>
  <si>
    <t>Ø Correction (by % error) 5th order Polynomial .BA Price Equation (w/o PDC's)</t>
  </si>
  <si>
    <r>
      <rPr>
        <sz val="11"/>
        <color theme="0" tint="-0.34998626667073579"/>
        <rFont val="Calibri"/>
        <family val="2"/>
        <scheme val="minor"/>
      </rPr>
      <t>c*Ø</t>
    </r>
    <r>
      <rPr>
        <vertAlign val="superscript"/>
        <sz val="11"/>
        <color theme="0" tint="-0.34998626667073579"/>
        <rFont val="Calibri"/>
        <family val="2"/>
        <scheme val="minor"/>
      </rPr>
      <t>5</t>
    </r>
  </si>
  <si>
    <r>
      <t>d*Ø</t>
    </r>
    <r>
      <rPr>
        <vertAlign val="superscript"/>
        <sz val="11"/>
        <color theme="0" tint="-0.34998626667073579"/>
        <rFont val="Calibri"/>
        <family val="2"/>
        <scheme val="minor"/>
      </rPr>
      <t>4</t>
    </r>
  </si>
  <si>
    <r>
      <t>e*Ø</t>
    </r>
    <r>
      <rPr>
        <vertAlign val="superscript"/>
        <sz val="11"/>
        <color theme="0" tint="-0.34998626667073579"/>
        <rFont val="Calibri"/>
        <family val="2"/>
        <scheme val="minor"/>
      </rPr>
      <t>3</t>
    </r>
  </si>
  <si>
    <r>
      <t>f*Ø</t>
    </r>
    <r>
      <rPr>
        <vertAlign val="superscript"/>
        <sz val="11"/>
        <color theme="0" tint="-0.34998626667073579"/>
        <rFont val="Calibri"/>
        <family val="2"/>
        <scheme val="minor"/>
      </rPr>
      <t>2</t>
    </r>
  </si>
  <si>
    <t>g*Ø</t>
  </si>
  <si>
    <t>h</t>
  </si>
  <si>
    <t>616-SR9(K)</t>
  </si>
  <si>
    <t>10.625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</si>
</sst>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0.000"/>
    <numFmt numFmtId="165" formatCode="0.0"/>
    <numFmt numFmtId="166" formatCode="0.0%"/>
    <numFmt numFmtId="167" formatCode="&quot;$&quot;#,##0.00"/>
    <numFmt numFmtId="168" formatCode="&quot;$&quot;#,##0"/>
    <numFmt numFmtId="169" formatCode="0.000000000000"/>
    <numFmt numFmtId="170" formatCode="0&quot; days&quot;"/>
    <numFmt numFmtId="171" formatCode="&quot;Day &quot;0"/>
    <numFmt numFmtId="172" formatCode="#&quot; days&quot;"/>
    <numFmt numFmtId="173" formatCode="0.0%&quot; Error&quot;"/>
    <numFmt numFmtId="174" formatCode="0\+"/>
    <numFmt numFmtId="175" formatCode="0&quot; Invoice(s)&quot;"/>
    <numFmt numFmtId="176" formatCode="0.00%\ &quot;of Invoices&quot;"/>
  </numFmts>
  <fonts count="35" x14ac:knownFonts="1"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2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4472C4"/>
      <name val="Calibri"/>
      <family val="2"/>
      <scheme val="minor"/>
    </font>
    <font>
      <b/>
      <sz val="11"/>
      <color rgb="FF4472C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548235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548235"/>
      <name val="Calibri"/>
      <family val="2"/>
      <scheme val="minor"/>
    </font>
    <font>
      <sz val="11"/>
      <color rgb="FF8EA9DB"/>
      <name val="Calibri"/>
      <family val="2"/>
      <scheme val="minor"/>
    </font>
    <font>
      <b/>
      <i/>
      <sz val="20"/>
      <name val="Calibri"/>
      <family val="2"/>
      <scheme val="minor"/>
    </font>
    <font>
      <i/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32"/>
      <color rgb="FFFF0000"/>
      <name val="Calibri"/>
      <family val="2"/>
      <scheme val="minor"/>
    </font>
    <font>
      <vertAlign val="superscript"/>
      <sz val="11"/>
      <color theme="0" tint="-0.34998626667073579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808080"/>
      <name val="Calibri"/>
      <family val="2"/>
      <scheme val="minor"/>
    </font>
    <font>
      <sz val="72"/>
      <color theme="0" tint="-0.34998626667073579"/>
      <name val="Calibri"/>
      <family val="2"/>
      <scheme val="minor"/>
    </font>
    <font>
      <sz val="72"/>
      <color theme="9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20"/>
      <name val="Calibri"/>
      <family val="2"/>
      <scheme val="minor"/>
    </font>
    <font>
      <i/>
      <sz val="10"/>
      <color rgb="FF808080"/>
      <name val="Calibri"/>
      <family val="2"/>
      <scheme val="minor"/>
    </font>
    <font>
      <i/>
      <sz val="11"/>
      <color rgb="FF808080"/>
      <name val="Calibri"/>
      <family val="2"/>
      <scheme val="minor"/>
    </font>
    <font>
      <sz val="8"/>
      <color rgb="FF80808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BFFC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B7B7"/>
        <bgColor indexed="64"/>
      </patternFill>
    </fill>
    <fill>
      <patternFill patternType="solid">
        <fgColor rgb="FFEADBF5"/>
        <bgColor indexed="64"/>
      </patternFill>
    </fill>
  </fills>
  <borders count="27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 style="double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double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double">
        <color auto="1"/>
      </top>
      <bottom/>
      <diagonal/>
    </border>
    <border>
      <left style="medium">
        <color auto="1"/>
      </left>
      <right style="hair">
        <color theme="0" tint="-0.24994659260841701"/>
      </right>
      <top style="double">
        <color auto="1"/>
      </top>
      <bottom/>
      <diagonal/>
    </border>
    <border>
      <left style="double">
        <color auto="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/>
      <right style="medium">
        <color auto="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medium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/>
      <right/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/>
      <bottom style="medium">
        <color auto="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medium">
        <color auto="1"/>
      </bottom>
      <diagonal/>
    </border>
    <border>
      <left style="medium">
        <color auto="1"/>
      </left>
      <right style="hair">
        <color theme="0" tint="-0.2499465926084170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theme="0" tint="-0.24994659260841701"/>
      </left>
      <right style="double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medium">
        <color auto="1"/>
      </left>
      <right style="hair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/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/>
      <right/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thin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theme="0" tint="-0.2499465926084170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double">
        <color auto="1"/>
      </left>
      <right style="thin">
        <color theme="0" tint="-0.24994659260841701"/>
      </right>
      <top style="double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double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theme="0" tint="-0.24994659260841701"/>
      </left>
      <right/>
      <top style="thick">
        <color auto="1"/>
      </top>
      <bottom/>
      <diagonal/>
    </border>
    <border>
      <left style="thin">
        <color theme="0" tint="-0.24994659260841701"/>
      </left>
      <right/>
      <top style="hair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double">
        <color auto="1"/>
      </right>
      <top style="hair">
        <color theme="0" tint="-0.24994659260841701"/>
      </top>
      <bottom style="double">
        <color auto="1"/>
      </bottom>
      <diagonal/>
    </border>
    <border>
      <left/>
      <right style="thin">
        <color theme="0" tint="-0.24994659260841701"/>
      </right>
      <top style="double">
        <color auto="1"/>
      </top>
      <bottom style="thick">
        <color auto="1"/>
      </bottom>
      <diagonal/>
    </border>
    <border>
      <left/>
      <right/>
      <top style="double">
        <color auto="1"/>
      </top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ck">
        <color auto="1"/>
      </bottom>
      <diagonal/>
    </border>
    <border>
      <left style="thin">
        <color theme="0" tint="-0.24994659260841701"/>
      </left>
      <right/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medium">
        <color auto="1"/>
      </top>
      <bottom style="hair">
        <color theme="0" tint="-0.2499465926084170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thick">
        <color auto="1"/>
      </top>
      <bottom/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auto="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slantDashDot">
        <color auto="1"/>
      </bottom>
      <diagonal/>
    </border>
    <border>
      <left/>
      <right style="thin">
        <color theme="0" tint="-0.24994659260841701"/>
      </right>
      <top/>
      <bottom style="slantDashDot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slantDashDot">
        <color auto="1"/>
      </bottom>
      <diagonal/>
    </border>
    <border>
      <left style="thin">
        <color theme="0" tint="-0.24994659260841701"/>
      </left>
      <right style="hair">
        <color auto="1"/>
      </right>
      <top style="hair">
        <color auto="1"/>
      </top>
      <bottom style="slantDashDot">
        <color auto="1"/>
      </bottom>
      <diagonal/>
    </border>
    <border>
      <left style="hair">
        <color auto="1"/>
      </left>
      <right style="medium">
        <color auto="1"/>
      </right>
      <top style="thin">
        <color theme="0" tint="-0.24994659260841701"/>
      </top>
      <bottom style="hair">
        <color auto="1"/>
      </bottom>
      <diagonal/>
    </border>
    <border>
      <left style="thin">
        <color theme="0" tint="-0.24994659260841701"/>
      </left>
      <right style="hair">
        <color auto="1"/>
      </right>
      <top style="thin">
        <color theme="0" tint="-0.24994659260841701"/>
      </top>
      <bottom style="hair">
        <color auto="1"/>
      </bottom>
      <diagonal/>
    </border>
    <border>
      <left/>
      <right style="thin">
        <color theme="0" tint="-0.24994659260841701"/>
      </right>
      <top style="hair">
        <color auto="1"/>
      </top>
      <bottom/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 style="thin">
        <color theme="0" tint="-0.24994659260841701"/>
      </right>
      <top/>
      <bottom style="hair">
        <color auto="1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/>
      <diagonal/>
    </border>
    <border>
      <left/>
      <right style="medium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 style="thin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 style="thin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hair">
        <color theme="0" tint="-0.24994659260841701"/>
      </left>
      <right/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medium">
        <color auto="1"/>
      </left>
      <right/>
      <top style="double">
        <color auto="1"/>
      </top>
      <bottom style="thick">
        <color auto="1"/>
      </bottom>
      <diagonal/>
    </border>
    <border>
      <left/>
      <right style="medium">
        <color auto="1"/>
      </right>
      <top style="double">
        <color auto="1"/>
      </top>
      <bottom style="thick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indexed="64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medium">
        <color auto="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medium">
        <color auto="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0" tint="-0.24994659260841701"/>
      </right>
      <top/>
      <bottom style="medium">
        <color auto="1"/>
      </bottom>
      <diagonal/>
    </border>
    <border>
      <left style="thin">
        <color theme="0" tint="-0.24994659260841701"/>
      </left>
      <right style="hair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/>
      <top style="double">
        <color auto="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medium">
        <color theme="0" tint="-0.24994659260841701"/>
      </left>
      <right style="thin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ck">
        <color auto="1"/>
      </top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 style="thick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ck">
        <color auto="1"/>
      </bottom>
      <diagonal/>
    </border>
    <border>
      <left/>
      <right/>
      <top style="thin">
        <color theme="0" tint="-0.2499465926084170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theme="0" tint="-0.24994659260841701"/>
      </left>
      <right/>
      <top style="medium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double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double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theme="0" tint="-0.2499465926084170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double">
        <color theme="0" tint="-0.2499465926084170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9" fillId="0" borderId="0">
      <alignment vertical="top"/>
    </xf>
  </cellStyleXfs>
  <cellXfs count="845">
    <xf numFmtId="0" fontId="0" fillId="0" borderId="0" xfId="0"/>
    <xf numFmtId="0" fontId="0" fillId="0" borderId="0" xfId="0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/>
    <xf numFmtId="0" fontId="1" fillId="6" borderId="0" xfId="0" applyFont="1" applyFill="1" applyAlignment="1">
      <alignment horizontal="center"/>
    </xf>
    <xf numFmtId="168" fontId="1" fillId="6" borderId="0" xfId="0" applyNumberFormat="1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6" borderId="0" xfId="0" applyFill="1"/>
    <xf numFmtId="0" fontId="0" fillId="7" borderId="34" xfId="0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167" fontId="1" fillId="6" borderId="0" xfId="0" applyNumberFormat="1" applyFont="1" applyFill="1" applyAlignment="1">
      <alignment horizontal="center"/>
    </xf>
    <xf numFmtId="167" fontId="1" fillId="7" borderId="34" xfId="0" applyNumberFormat="1" applyFont="1" applyFill="1" applyBorder="1" applyAlignment="1">
      <alignment horizontal="center"/>
    </xf>
    <xf numFmtId="168" fontId="1" fillId="8" borderId="6" xfId="0" applyNumberFormat="1" applyFont="1" applyFill="1" applyBorder="1" applyAlignment="1">
      <alignment horizontal="center"/>
    </xf>
    <xf numFmtId="168" fontId="1" fillId="8" borderId="17" xfId="0" applyNumberFormat="1" applyFont="1" applyFill="1" applyBorder="1" applyAlignment="1">
      <alignment horizontal="center"/>
    </xf>
    <xf numFmtId="0" fontId="1" fillId="8" borderId="45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8" borderId="18" xfId="0" applyFont="1" applyFill="1" applyBorder="1" applyAlignment="1">
      <alignment horizontal="center"/>
    </xf>
    <xf numFmtId="168" fontId="1" fillId="8" borderId="47" xfId="0" applyNumberFormat="1" applyFont="1" applyFill="1" applyBorder="1" applyAlignment="1">
      <alignment horizontal="center"/>
    </xf>
    <xf numFmtId="168" fontId="1" fillId="8" borderId="48" xfId="0" applyNumberFormat="1" applyFont="1" applyFill="1" applyBorder="1" applyAlignment="1">
      <alignment horizontal="center"/>
    </xf>
    <xf numFmtId="1" fontId="2" fillId="8" borderId="37" xfId="0" applyNumberFormat="1" applyFont="1" applyFill="1" applyBorder="1" applyAlignment="1">
      <alignment horizontal="center"/>
    </xf>
    <xf numFmtId="168" fontId="1" fillId="8" borderId="4" xfId="0" applyNumberFormat="1" applyFont="1" applyFill="1" applyBorder="1" applyAlignment="1">
      <alignment horizontal="center"/>
    </xf>
    <xf numFmtId="168" fontId="1" fillId="8" borderId="12" xfId="0" applyNumberFormat="1" applyFont="1" applyFill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0" fontId="1" fillId="8" borderId="30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168" fontId="1" fillId="8" borderId="20" xfId="0" applyNumberFormat="1" applyFont="1" applyFill="1" applyBorder="1" applyAlignment="1">
      <alignment horizontal="center"/>
    </xf>
    <xf numFmtId="168" fontId="1" fillId="8" borderId="50" xfId="0" applyNumberFormat="1" applyFont="1" applyFill="1" applyBorder="1" applyAlignment="1">
      <alignment horizontal="center"/>
    </xf>
    <xf numFmtId="1" fontId="2" fillId="8" borderId="32" xfId="0" applyNumberFormat="1" applyFont="1" applyFill="1" applyBorder="1" applyAlignment="1">
      <alignment horizontal="center"/>
    </xf>
    <xf numFmtId="168" fontId="1" fillId="8" borderId="2" xfId="0" applyNumberFormat="1" applyFont="1" applyFill="1" applyBorder="1" applyAlignment="1">
      <alignment horizontal="center"/>
    </xf>
    <xf numFmtId="168" fontId="1" fillId="8" borderId="25" xfId="0" applyNumberFormat="1" applyFont="1" applyFill="1" applyBorder="1" applyAlignment="1">
      <alignment horizontal="center"/>
    </xf>
    <xf numFmtId="0" fontId="1" fillId="8" borderId="26" xfId="0" applyFont="1" applyFill="1" applyBorder="1" applyAlignment="1">
      <alignment horizontal="center"/>
    </xf>
    <xf numFmtId="0" fontId="1" fillId="8" borderId="5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168" fontId="1" fillId="8" borderId="53" xfId="0" applyNumberFormat="1" applyFont="1" applyFill="1" applyBorder="1" applyAlignment="1">
      <alignment horizontal="center"/>
    </xf>
    <xf numFmtId="168" fontId="1" fillId="8" borderId="54" xfId="0" applyNumberFormat="1" applyFont="1" applyFill="1" applyBorder="1" applyAlignment="1">
      <alignment horizontal="center"/>
    </xf>
    <xf numFmtId="1" fontId="2" fillId="8" borderId="55" xfId="0" applyNumberFormat="1" applyFont="1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3" fontId="0" fillId="6" borderId="0" xfId="0" applyNumberFormat="1" applyFill="1" applyAlignment="1">
      <alignment horizontal="center"/>
    </xf>
    <xf numFmtId="168" fontId="13" fillId="6" borderId="79" xfId="0" applyNumberFormat="1" applyFont="1" applyFill="1" applyBorder="1" applyAlignment="1">
      <alignment horizontal="center"/>
    </xf>
    <xf numFmtId="168" fontId="13" fillId="6" borderId="80" xfId="0" applyNumberFormat="1" applyFont="1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168" fontId="12" fillId="6" borderId="82" xfId="0" applyNumberFormat="1" applyFont="1" applyFill="1" applyBorder="1" applyAlignment="1">
      <alignment horizontal="center"/>
    </xf>
    <xf numFmtId="168" fontId="12" fillId="6" borderId="83" xfId="0" applyNumberFormat="1" applyFont="1" applyFill="1" applyBorder="1" applyAlignment="1">
      <alignment horizontal="center"/>
    </xf>
    <xf numFmtId="168" fontId="1" fillId="6" borderId="83" xfId="0" applyNumberFormat="1" applyFont="1" applyFill="1" applyBorder="1" applyAlignment="1">
      <alignment horizontal="center"/>
    </xf>
    <xf numFmtId="168" fontId="12" fillId="6" borderId="84" xfId="0" applyNumberFormat="1" applyFont="1" applyFill="1" applyBorder="1" applyAlignment="1">
      <alignment horizontal="center"/>
    </xf>
    <xf numFmtId="0" fontId="0" fillId="6" borderId="85" xfId="0" applyFill="1" applyBorder="1" applyAlignment="1">
      <alignment horizontal="center"/>
    </xf>
    <xf numFmtId="168" fontId="12" fillId="6" borderId="86" xfId="0" applyNumberFormat="1" applyFont="1" applyFill="1" applyBorder="1" applyAlignment="1">
      <alignment horizontal="center"/>
    </xf>
    <xf numFmtId="168" fontId="12" fillId="6" borderId="87" xfId="0" applyNumberFormat="1" applyFont="1" applyFill="1" applyBorder="1" applyAlignment="1">
      <alignment horizontal="center"/>
    </xf>
    <xf numFmtId="168" fontId="1" fillId="6" borderId="87" xfId="0" applyNumberFormat="1" applyFont="1" applyFill="1" applyBorder="1" applyAlignment="1">
      <alignment horizontal="center"/>
    </xf>
    <xf numFmtId="168" fontId="12" fillId="6" borderId="88" xfId="0" applyNumberFormat="1" applyFont="1" applyFill="1" applyBorder="1" applyAlignment="1">
      <alignment horizontal="center"/>
    </xf>
    <xf numFmtId="0" fontId="0" fillId="6" borderId="89" xfId="0" applyFill="1" applyBorder="1" applyAlignment="1">
      <alignment horizontal="center"/>
    </xf>
    <xf numFmtId="0" fontId="0" fillId="6" borderId="0" xfId="0" applyFill="1" applyAlignment="1">
      <alignment vertical="center"/>
    </xf>
    <xf numFmtId="168" fontId="0" fillId="6" borderId="0" xfId="0" applyNumberFormat="1" applyFill="1" applyAlignment="1">
      <alignment horizontal="center"/>
    </xf>
    <xf numFmtId="168" fontId="12" fillId="6" borderId="101" xfId="0" applyNumberFormat="1" applyFont="1" applyFill="1" applyBorder="1" applyAlignment="1">
      <alignment horizontal="center"/>
    </xf>
    <xf numFmtId="168" fontId="12" fillId="6" borderId="102" xfId="0" applyNumberFormat="1" applyFont="1" applyFill="1" applyBorder="1" applyAlignment="1">
      <alignment horizontal="center"/>
    </xf>
    <xf numFmtId="168" fontId="12" fillId="6" borderId="103" xfId="0" applyNumberFormat="1" applyFont="1" applyFill="1" applyBorder="1" applyAlignment="1">
      <alignment horizontal="center"/>
    </xf>
    <xf numFmtId="168" fontId="1" fillId="6" borderId="103" xfId="0" applyNumberFormat="1" applyFont="1" applyFill="1" applyBorder="1" applyAlignment="1">
      <alignment horizontal="center"/>
    </xf>
    <xf numFmtId="168" fontId="12" fillId="6" borderId="104" xfId="0" applyNumberFormat="1" applyFont="1" applyFill="1" applyBorder="1" applyAlignment="1">
      <alignment horizontal="center"/>
    </xf>
    <xf numFmtId="0" fontId="0" fillId="6" borderId="105" xfId="0" applyFill="1" applyBorder="1" applyAlignment="1">
      <alignment horizontal="center"/>
    </xf>
    <xf numFmtId="0" fontId="15" fillId="6" borderId="0" xfId="0" applyFont="1" applyFill="1" applyAlignment="1">
      <alignment wrapText="1"/>
    </xf>
    <xf numFmtId="168" fontId="16" fillId="6" borderId="114" xfId="0" applyNumberFormat="1" applyFont="1" applyFill="1" applyBorder="1" applyAlignment="1">
      <alignment horizontal="center"/>
    </xf>
    <xf numFmtId="170" fontId="2" fillId="9" borderId="119" xfId="0" applyNumberFormat="1" applyFont="1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171" fontId="16" fillId="6" borderId="114" xfId="0" applyNumberFormat="1" applyFont="1" applyFill="1" applyBorder="1" applyAlignment="1">
      <alignment horizontal="center"/>
    </xf>
    <xf numFmtId="0" fontId="0" fillId="9" borderId="132" xfId="0" applyFill="1" applyBorder="1" applyAlignment="1">
      <alignment horizontal="center"/>
    </xf>
    <xf numFmtId="167" fontId="16" fillId="6" borderId="114" xfId="0" applyNumberFormat="1" applyFont="1" applyFill="1" applyBorder="1" applyAlignment="1">
      <alignment horizontal="center" wrapText="1"/>
    </xf>
    <xf numFmtId="0" fontId="0" fillId="6" borderId="114" xfId="0" applyFill="1" applyBorder="1" applyAlignment="1">
      <alignment horizontal="center"/>
    </xf>
    <xf numFmtId="166" fontId="18" fillId="10" borderId="136" xfId="1" applyNumberFormat="1" applyFont="1" applyFill="1" applyBorder="1" applyAlignment="1">
      <alignment horizontal="right"/>
    </xf>
    <xf numFmtId="0" fontId="3" fillId="10" borderId="136" xfId="0" applyFont="1" applyFill="1" applyBorder="1"/>
    <xf numFmtId="0" fontId="0" fillId="10" borderId="136" xfId="0" applyFill="1" applyBorder="1"/>
    <xf numFmtId="168" fontId="15" fillId="10" borderId="137" xfId="0" applyNumberFormat="1" applyFont="1" applyFill="1" applyBorder="1" applyAlignment="1">
      <alignment vertical="center"/>
    </xf>
    <xf numFmtId="0" fontId="0" fillId="10" borderId="0" xfId="0" applyFill="1"/>
    <xf numFmtId="166" fontId="15" fillId="10" borderId="41" xfId="0" applyNumberFormat="1" applyFont="1" applyFill="1" applyBorder="1" applyAlignment="1">
      <alignment vertical="center"/>
    </xf>
    <xf numFmtId="168" fontId="18" fillId="10" borderId="141" xfId="0" applyNumberFormat="1" applyFont="1" applyFill="1" applyBorder="1" applyAlignment="1">
      <alignment horizontal="right"/>
    </xf>
    <xf numFmtId="166" fontId="19" fillId="10" borderId="141" xfId="0" applyNumberFormat="1" applyFont="1" applyFill="1" applyBorder="1" applyAlignment="1">
      <alignment horizontal="right"/>
    </xf>
    <xf numFmtId="9" fontId="3" fillId="10" borderId="141" xfId="0" applyNumberFormat="1" applyFont="1" applyFill="1" applyBorder="1" applyAlignment="1">
      <alignment vertical="center"/>
    </xf>
    <xf numFmtId="0" fontId="20" fillId="6" borderId="0" xfId="0" applyFont="1" applyFill="1"/>
    <xf numFmtId="0" fontId="0" fillId="6" borderId="0" xfId="0" applyFill="1" applyAlignment="1">
      <alignment horizontal="right" indent="1"/>
    </xf>
    <xf numFmtId="0" fontId="0" fillId="6" borderId="152" xfId="0" applyFill="1" applyBorder="1" applyAlignment="1">
      <alignment horizontal="right" indent="1"/>
    </xf>
    <xf numFmtId="0" fontId="0" fillId="6" borderId="159" xfId="0" applyFill="1" applyBorder="1" applyAlignment="1">
      <alignment horizontal="right" indent="1"/>
    </xf>
    <xf numFmtId="0" fontId="20" fillId="6" borderId="163" xfId="0" applyFont="1" applyFill="1" applyBorder="1" applyAlignment="1">
      <alignment horizontal="center"/>
    </xf>
    <xf numFmtId="0" fontId="0" fillId="6" borderId="165" xfId="0" applyFill="1" applyBorder="1" applyAlignment="1">
      <alignment horizontal="center"/>
    </xf>
    <xf numFmtId="3" fontId="0" fillId="6" borderId="0" xfId="0" applyNumberFormat="1" applyFill="1" applyAlignment="1">
      <alignment horizontal="right"/>
    </xf>
    <xf numFmtId="172" fontId="14" fillId="4" borderId="146" xfId="0" applyNumberFormat="1" applyFont="1" applyFill="1" applyBorder="1" applyAlignment="1">
      <alignment horizontal="center" vertical="center"/>
    </xf>
    <xf numFmtId="0" fontId="0" fillId="6" borderId="171" xfId="0" applyFill="1" applyBorder="1" applyAlignment="1">
      <alignment horizontal="center"/>
    </xf>
    <xf numFmtId="0" fontId="2" fillId="7" borderId="34" xfId="0" applyFont="1" applyFill="1" applyBorder="1" applyAlignment="1">
      <alignment horizontal="center"/>
    </xf>
    <xf numFmtId="0" fontId="0" fillId="9" borderId="90" xfId="0" applyFill="1" applyBorder="1" applyAlignment="1">
      <alignment horizontal="center"/>
    </xf>
    <xf numFmtId="167" fontId="2" fillId="6" borderId="0" xfId="0" applyNumberFormat="1" applyFont="1" applyFill="1" applyAlignment="1">
      <alignment horizontal="center"/>
    </xf>
    <xf numFmtId="167" fontId="2" fillId="7" borderId="34" xfId="0" applyNumberFormat="1" applyFont="1" applyFill="1" applyBorder="1" applyAlignment="1">
      <alignment horizontal="center"/>
    </xf>
    <xf numFmtId="0" fontId="2" fillId="6" borderId="0" xfId="0" applyFont="1" applyFill="1" applyAlignment="1">
      <alignment vertical="center"/>
    </xf>
    <xf numFmtId="0" fontId="0" fillId="6" borderId="94" xfId="0" applyFill="1" applyBorder="1" applyAlignment="1">
      <alignment horizontal="right" vertical="center" indent="1"/>
    </xf>
    <xf numFmtId="0" fontId="0" fillId="6" borderId="97" xfId="0" applyFill="1" applyBorder="1" applyAlignment="1">
      <alignment horizontal="right" vertical="center" indent="1"/>
    </xf>
    <xf numFmtId="0" fontId="22" fillId="6" borderId="0" xfId="0" applyFont="1" applyFill="1" applyAlignment="1">
      <alignment vertical="center"/>
    </xf>
    <xf numFmtId="169" fontId="11" fillId="8" borderId="0" xfId="0" applyNumberFormat="1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25" fillId="8" borderId="0" xfId="0" applyFont="1" applyFill="1" applyAlignment="1">
      <alignment horizontal="center"/>
    </xf>
    <xf numFmtId="0" fontId="11" fillId="8" borderId="0" xfId="0" applyFont="1" applyFill="1"/>
    <xf numFmtId="167" fontId="11" fillId="8" borderId="0" xfId="0" applyNumberFormat="1" applyFont="1" applyFill="1"/>
    <xf numFmtId="167" fontId="11" fillId="8" borderId="0" xfId="0" applyNumberFormat="1" applyFont="1" applyFill="1" applyAlignment="1">
      <alignment horizontal="center"/>
    </xf>
    <xf numFmtId="167" fontId="11" fillId="8" borderId="0" xfId="1" applyNumberFormat="1" applyFont="1" applyFill="1" applyAlignment="1">
      <alignment horizontal="center"/>
    </xf>
    <xf numFmtId="10" fontId="11" fillId="8" borderId="0" xfId="1" applyNumberFormat="1" applyFont="1" applyFill="1" applyAlignment="1">
      <alignment horizontal="center"/>
    </xf>
    <xf numFmtId="0" fontId="0" fillId="8" borderId="0" xfId="0" applyFill="1" applyAlignment="1">
      <alignment vertical="center"/>
    </xf>
    <xf numFmtId="0" fontId="0" fillId="8" borderId="175" xfId="0" applyFill="1" applyBorder="1" applyAlignment="1">
      <alignment horizontal="center"/>
    </xf>
    <xf numFmtId="0" fontId="0" fillId="9" borderId="177" xfId="0" applyFill="1" applyBorder="1" applyAlignment="1">
      <alignment horizontal="center" vertical="center"/>
    </xf>
    <xf numFmtId="0" fontId="0" fillId="8" borderId="178" xfId="0" applyFill="1" applyBorder="1" applyAlignment="1">
      <alignment horizontal="right" vertical="center" indent="1"/>
    </xf>
    <xf numFmtId="0" fontId="0" fillId="8" borderId="175" xfId="0" applyFill="1" applyBorder="1"/>
    <xf numFmtId="164" fontId="0" fillId="9" borderId="179" xfId="0" applyNumberFormat="1" applyFill="1" applyBorder="1" applyAlignment="1">
      <alignment horizontal="center" vertical="center"/>
    </xf>
    <xf numFmtId="0" fontId="0" fillId="8" borderId="180" xfId="0" applyFill="1" applyBorder="1" applyAlignment="1">
      <alignment horizontal="right" vertical="center" indent="1"/>
    </xf>
    <xf numFmtId="0" fontId="3" fillId="2" borderId="172" xfId="0" applyFont="1" applyFill="1" applyBorder="1"/>
    <xf numFmtId="166" fontId="15" fillId="2" borderId="172" xfId="1" applyNumberFormat="1" applyFont="1" applyFill="1" applyBorder="1"/>
    <xf numFmtId="168" fontId="1" fillId="2" borderId="172" xfId="0" applyNumberFormat="1" applyFont="1" applyFill="1" applyBorder="1" applyAlignment="1">
      <alignment horizontal="right"/>
    </xf>
    <xf numFmtId="0" fontId="0" fillId="8" borderId="150" xfId="0" applyFill="1" applyBorder="1"/>
    <xf numFmtId="0" fontId="0" fillId="8" borderId="145" xfId="0" applyFill="1" applyBorder="1"/>
    <xf numFmtId="166" fontId="1" fillId="8" borderId="149" xfId="1" applyNumberFormat="1" applyFont="1" applyFill="1" applyBorder="1"/>
    <xf numFmtId="166" fontId="1" fillId="8" borderId="0" xfId="1" applyNumberFormat="1" applyFont="1" applyFill="1" applyBorder="1"/>
    <xf numFmtId="9" fontId="7" fillId="6" borderId="157" xfId="0" applyNumberFormat="1" applyFont="1" applyFill="1" applyBorder="1" applyAlignment="1">
      <alignment vertical="center"/>
    </xf>
    <xf numFmtId="166" fontId="1" fillId="6" borderId="157" xfId="0" applyNumberFormat="1" applyFont="1" applyFill="1" applyBorder="1" applyAlignment="1">
      <alignment horizontal="right"/>
    </xf>
    <xf numFmtId="0" fontId="1" fillId="8" borderId="0" xfId="0" applyFont="1" applyFill="1"/>
    <xf numFmtId="168" fontId="1" fillId="8" borderId="149" xfId="0" applyNumberFormat="1" applyFont="1" applyFill="1" applyBorder="1"/>
    <xf numFmtId="168" fontId="1" fillId="8" borderId="0" xfId="0" applyNumberFormat="1" applyFont="1" applyFill="1"/>
    <xf numFmtId="168" fontId="1" fillId="6" borderId="157" xfId="0" applyNumberFormat="1" applyFont="1" applyFill="1" applyBorder="1" applyAlignment="1">
      <alignment horizontal="right"/>
    </xf>
    <xf numFmtId="0" fontId="7" fillId="8" borderId="168" xfId="0" applyFont="1" applyFill="1" applyBorder="1" applyAlignment="1">
      <alignment horizontal="center" vertical="center"/>
    </xf>
    <xf numFmtId="0" fontId="1" fillId="8" borderId="167" xfId="0" applyFont="1" applyFill="1" applyBorder="1" applyAlignment="1">
      <alignment horizontal="center"/>
    </xf>
    <xf numFmtId="168" fontId="1" fillId="8" borderId="167" xfId="0" applyNumberFormat="1" applyFont="1" applyFill="1" applyBorder="1" applyAlignment="1">
      <alignment horizontal="center"/>
    </xf>
    <xf numFmtId="166" fontId="1" fillId="8" borderId="167" xfId="0" applyNumberFormat="1" applyFont="1" applyFill="1" applyBorder="1" applyAlignment="1">
      <alignment horizontal="center" vertical="top"/>
    </xf>
    <xf numFmtId="0" fontId="7" fillId="8" borderId="167" xfId="0" applyFont="1" applyFill="1" applyBorder="1" applyAlignment="1">
      <alignment horizontal="center" vertical="center"/>
    </xf>
    <xf numFmtId="0" fontId="1" fillId="8" borderId="162" xfId="0" applyFont="1" applyFill="1" applyBorder="1" applyAlignment="1">
      <alignment horizontal="center"/>
    </xf>
    <xf numFmtId="166" fontId="1" fillId="8" borderId="15" xfId="1" applyNumberFormat="1" applyFont="1" applyFill="1" applyBorder="1"/>
    <xf numFmtId="168" fontId="1" fillId="8" borderId="15" xfId="0" applyNumberFormat="1" applyFont="1" applyFill="1" applyBorder="1"/>
    <xf numFmtId="166" fontId="1" fillId="8" borderId="39" xfId="1" applyNumberFormat="1" applyFont="1" applyFill="1" applyBorder="1"/>
    <xf numFmtId="168" fontId="1" fillId="8" borderId="39" xfId="0" applyNumberFormat="1" applyFont="1" applyFill="1" applyBorder="1"/>
    <xf numFmtId="0" fontId="1" fillId="8" borderId="0" xfId="0" applyFont="1" applyFill="1" applyAlignment="1">
      <alignment horizontal="right"/>
    </xf>
    <xf numFmtId="0" fontId="0" fillId="6" borderId="159" xfId="0" applyFill="1" applyBorder="1" applyAlignment="1">
      <alignment horizontal="center"/>
    </xf>
    <xf numFmtId="0" fontId="0" fillId="6" borderId="127" xfId="0" applyFill="1" applyBorder="1" applyAlignment="1">
      <alignment horizontal="center"/>
    </xf>
    <xf numFmtId="165" fontId="12" fillId="6" borderId="88" xfId="0" applyNumberFormat="1" applyFont="1" applyFill="1" applyBorder="1" applyAlignment="1">
      <alignment horizontal="center"/>
    </xf>
    <xf numFmtId="168" fontId="1" fillId="8" borderId="24" xfId="0" applyNumberFormat="1" applyFont="1" applyFill="1" applyBorder="1" applyAlignment="1">
      <alignment horizontal="center"/>
    </xf>
    <xf numFmtId="168" fontId="1" fillId="8" borderId="5" xfId="0" applyNumberFormat="1" applyFont="1" applyFill="1" applyBorder="1" applyAlignment="1">
      <alignment horizontal="center"/>
    </xf>
    <xf numFmtId="168" fontId="1" fillId="8" borderId="7" xfId="0" applyNumberFormat="1" applyFont="1" applyFill="1" applyBorder="1" applyAlignment="1">
      <alignment horizontal="center"/>
    </xf>
    <xf numFmtId="174" fontId="0" fillId="6" borderId="121" xfId="0" applyNumberFormat="1" applyFill="1" applyBorder="1" applyAlignment="1">
      <alignment horizontal="center"/>
    </xf>
    <xf numFmtId="168" fontId="0" fillId="6" borderId="0" xfId="0" applyNumberFormat="1" applyFill="1"/>
    <xf numFmtId="167" fontId="0" fillId="6" borderId="0" xfId="0" applyNumberFormat="1" applyFill="1"/>
    <xf numFmtId="0" fontId="0" fillId="9" borderId="174" xfId="0" applyFill="1" applyBorder="1" applyAlignment="1">
      <alignment horizontal="center"/>
    </xf>
    <xf numFmtId="168" fontId="1" fillId="6" borderId="0" xfId="0" applyNumberFormat="1" applyFont="1" applyFill="1"/>
    <xf numFmtId="0" fontId="0" fillId="8" borderId="43" xfId="0" applyFill="1" applyBorder="1" applyAlignment="1">
      <alignment horizontal="center" textRotation="90"/>
    </xf>
    <xf numFmtId="0" fontId="0" fillId="8" borderId="0" xfId="0" applyFill="1" applyAlignment="1">
      <alignment horizontal="center" textRotation="90"/>
    </xf>
    <xf numFmtId="0" fontId="0" fillId="8" borderId="166" xfId="0" applyFill="1" applyBorder="1" applyAlignment="1">
      <alignment horizontal="center" textRotation="90"/>
    </xf>
    <xf numFmtId="165" fontId="1" fillId="8" borderId="39" xfId="0" applyNumberFormat="1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horizontal="center"/>
    </xf>
    <xf numFmtId="165" fontId="1" fillId="8" borderId="36" xfId="0" applyNumberFormat="1" applyFont="1" applyFill="1" applyBorder="1" applyAlignment="1">
      <alignment horizontal="center"/>
    </xf>
    <xf numFmtId="168" fontId="1" fillId="8" borderId="193" xfId="0" applyNumberFormat="1" applyFont="1" applyFill="1" applyBorder="1" applyAlignment="1">
      <alignment horizontal="center"/>
    </xf>
    <xf numFmtId="10" fontId="0" fillId="6" borderId="0" xfId="0" applyNumberFormat="1" applyFill="1"/>
    <xf numFmtId="168" fontId="1" fillId="6" borderId="198" xfId="0" applyNumberFormat="1" applyFont="1" applyFill="1" applyBorder="1" applyAlignment="1">
      <alignment horizontal="center"/>
    </xf>
    <xf numFmtId="168" fontId="1" fillId="6" borderId="125" xfId="0" applyNumberFormat="1" applyFont="1" applyFill="1" applyBorder="1" applyAlignment="1">
      <alignment horizontal="center"/>
    </xf>
    <xf numFmtId="168" fontId="1" fillId="6" borderId="118" xfId="0" applyNumberFormat="1" applyFont="1" applyFill="1" applyBorder="1" applyAlignment="1">
      <alignment horizontal="center"/>
    </xf>
    <xf numFmtId="166" fontId="15" fillId="2" borderId="188" xfId="1" applyNumberFormat="1" applyFont="1" applyFill="1" applyBorder="1"/>
    <xf numFmtId="168" fontId="1" fillId="2" borderId="189" xfId="0" applyNumberFormat="1" applyFont="1" applyFill="1" applyBorder="1" applyAlignment="1">
      <alignment horizontal="right"/>
    </xf>
    <xf numFmtId="166" fontId="1" fillId="8" borderId="201" xfId="1" applyNumberFormat="1" applyFont="1" applyFill="1" applyBorder="1"/>
    <xf numFmtId="168" fontId="1" fillId="8" borderId="202" xfId="0" applyNumberFormat="1" applyFont="1" applyFill="1" applyBorder="1"/>
    <xf numFmtId="166" fontId="1" fillId="8" borderId="65" xfId="1" applyNumberFormat="1" applyFont="1" applyFill="1" applyBorder="1"/>
    <xf numFmtId="168" fontId="1" fillId="8" borderId="44" xfId="0" applyNumberFormat="1" applyFont="1" applyFill="1" applyBorder="1"/>
    <xf numFmtId="166" fontId="1" fillId="8" borderId="203" xfId="1" applyNumberFormat="1" applyFont="1" applyFill="1" applyBorder="1"/>
    <xf numFmtId="168" fontId="1" fillId="8" borderId="23" xfId="0" applyNumberFormat="1" applyFont="1" applyFill="1" applyBorder="1"/>
    <xf numFmtId="166" fontId="1" fillId="8" borderId="52" xfId="1" applyNumberFormat="1" applyFont="1" applyFill="1" applyBorder="1"/>
    <xf numFmtId="168" fontId="1" fillId="8" borderId="35" xfId="0" applyNumberFormat="1" applyFont="1" applyFill="1" applyBorder="1"/>
    <xf numFmtId="166" fontId="1" fillId="6" borderId="204" xfId="0" applyNumberFormat="1" applyFont="1" applyFill="1" applyBorder="1" applyAlignment="1">
      <alignment horizontal="right"/>
    </xf>
    <xf numFmtId="168" fontId="1" fillId="6" borderId="205" xfId="0" applyNumberFormat="1" applyFont="1" applyFill="1" applyBorder="1" applyAlignment="1">
      <alignment horizontal="right"/>
    </xf>
    <xf numFmtId="166" fontId="1" fillId="8" borderId="65" xfId="0" applyNumberFormat="1" applyFont="1" applyFill="1" applyBorder="1"/>
    <xf numFmtId="166" fontId="19" fillId="10" borderId="206" xfId="0" applyNumberFormat="1" applyFont="1" applyFill="1" applyBorder="1" applyAlignment="1">
      <alignment horizontal="right"/>
    </xf>
    <xf numFmtId="0" fontId="3" fillId="10" borderId="65" xfId="0" applyFont="1" applyFill="1" applyBorder="1"/>
    <xf numFmtId="0" fontId="3" fillId="10" borderId="199" xfId="0" applyFont="1" applyFill="1" applyBorder="1"/>
    <xf numFmtId="166" fontId="18" fillId="10" borderId="207" xfId="1" applyNumberFormat="1" applyFont="1" applyFill="1" applyBorder="1" applyAlignment="1">
      <alignment horizontal="right"/>
    </xf>
    <xf numFmtId="0" fontId="16" fillId="0" borderId="208" xfId="0" applyFont="1" applyBorder="1" applyAlignment="1">
      <alignment horizontal="center" vertical="center"/>
    </xf>
    <xf numFmtId="0" fontId="16" fillId="0" borderId="94" xfId="0" applyFont="1" applyBorder="1" applyAlignment="1">
      <alignment horizontal="center" vertical="center"/>
    </xf>
    <xf numFmtId="0" fontId="16" fillId="0" borderId="92" xfId="0" applyFont="1" applyBorder="1" applyAlignment="1">
      <alignment horizontal="center" vertical="center"/>
    </xf>
    <xf numFmtId="9" fontId="6" fillId="6" borderId="158" xfId="0" applyNumberFormat="1" applyFont="1" applyFill="1" applyBorder="1" applyAlignment="1">
      <alignment horizontal="left" vertical="center" indent="1"/>
    </xf>
    <xf numFmtId="9" fontId="3" fillId="10" borderId="142" xfId="0" applyNumberFormat="1" applyFont="1" applyFill="1" applyBorder="1" applyAlignment="1">
      <alignment horizontal="left" vertical="center" indent="1"/>
    </xf>
    <xf numFmtId="2" fontId="1" fillId="8" borderId="49" xfId="0" applyNumberFormat="1" applyFont="1" applyFill="1" applyBorder="1" applyAlignment="1">
      <alignment horizontal="center"/>
    </xf>
    <xf numFmtId="2" fontId="2" fillId="8" borderId="52" xfId="0" applyNumberFormat="1" applyFont="1" applyFill="1" applyBorder="1" applyAlignment="1">
      <alignment horizontal="center"/>
    </xf>
    <xf numFmtId="2" fontId="1" fillId="8" borderId="46" xfId="0" applyNumberFormat="1" applyFont="1" applyFill="1" applyBorder="1" applyAlignment="1">
      <alignment horizontal="center"/>
    </xf>
    <xf numFmtId="166" fontId="1" fillId="8" borderId="0" xfId="0" applyNumberFormat="1" applyFont="1" applyFill="1"/>
    <xf numFmtId="0" fontId="3" fillId="10" borderId="0" xfId="0" applyFont="1" applyFill="1"/>
    <xf numFmtId="168" fontId="1" fillId="6" borderId="200" xfId="0" applyNumberFormat="1" applyFont="1" applyFill="1" applyBorder="1" applyAlignment="1">
      <alignment horizontal="center"/>
    </xf>
    <xf numFmtId="168" fontId="1" fillId="6" borderId="124" xfId="0" applyNumberFormat="1" applyFont="1" applyFill="1" applyBorder="1" applyAlignment="1">
      <alignment horizontal="center"/>
    </xf>
    <xf numFmtId="168" fontId="1" fillId="6" borderId="117" xfId="0" applyNumberFormat="1" applyFont="1" applyFill="1" applyBorder="1" applyAlignment="1">
      <alignment horizontal="center"/>
    </xf>
    <xf numFmtId="0" fontId="0" fillId="6" borderId="222" xfId="0" applyFill="1" applyBorder="1" applyAlignment="1">
      <alignment horizontal="center"/>
    </xf>
    <xf numFmtId="0" fontId="0" fillId="6" borderId="223" xfId="0" applyFill="1" applyBorder="1" applyAlignment="1">
      <alignment horizontal="center"/>
    </xf>
    <xf numFmtId="168" fontId="1" fillId="6" borderId="41" xfId="0" applyNumberFormat="1" applyFont="1" applyFill="1" applyBorder="1"/>
    <xf numFmtId="0" fontId="0" fillId="0" borderId="221" xfId="0" applyBorder="1" applyAlignment="1">
      <alignment horizontal="center"/>
    </xf>
    <xf numFmtId="166" fontId="1" fillId="8" borderId="0" xfId="1" applyNumberFormat="1" applyFont="1" applyFill="1" applyBorder="1" applyAlignment="1">
      <alignment horizontal="center" vertical="center"/>
    </xf>
    <xf numFmtId="0" fontId="0" fillId="6" borderId="222" xfId="0" applyFill="1" applyBorder="1" applyAlignment="1">
      <alignment horizontal="center" wrapText="1"/>
    </xf>
    <xf numFmtId="166" fontId="1" fillId="6" borderId="200" xfId="0" applyNumberFormat="1" applyFont="1" applyFill="1" applyBorder="1" applyAlignment="1">
      <alignment horizontal="center"/>
    </xf>
    <xf numFmtId="166" fontId="1" fillId="6" borderId="124" xfId="0" applyNumberFormat="1" applyFont="1" applyFill="1" applyBorder="1" applyAlignment="1">
      <alignment horizontal="center"/>
    </xf>
    <xf numFmtId="166" fontId="1" fillId="6" borderId="117" xfId="0" applyNumberFormat="1" applyFont="1" applyFill="1" applyBorder="1" applyAlignment="1">
      <alignment horizontal="center"/>
    </xf>
    <xf numFmtId="168" fontId="1" fillId="6" borderId="224" xfId="0" applyNumberFormat="1" applyFont="1" applyFill="1" applyBorder="1" applyAlignment="1">
      <alignment horizontal="center"/>
    </xf>
    <xf numFmtId="168" fontId="1" fillId="6" borderId="225" xfId="0" applyNumberFormat="1" applyFont="1" applyFill="1" applyBorder="1" applyAlignment="1">
      <alignment horizontal="center"/>
    </xf>
    <xf numFmtId="168" fontId="1" fillId="6" borderId="226" xfId="0" applyNumberFormat="1" applyFont="1" applyFill="1" applyBorder="1" applyAlignment="1">
      <alignment horizontal="center"/>
    </xf>
    <xf numFmtId="167" fontId="1" fillId="6" borderId="41" xfId="0" applyNumberFormat="1" applyFont="1" applyFill="1" applyBorder="1"/>
    <xf numFmtId="167" fontId="1" fillId="6" borderId="0" xfId="0" applyNumberFormat="1" applyFont="1" applyFill="1"/>
    <xf numFmtId="0" fontId="0" fillId="6" borderId="228" xfId="0" applyFill="1" applyBorder="1" applyAlignment="1">
      <alignment horizontal="center" vertical="center"/>
    </xf>
    <xf numFmtId="0" fontId="0" fillId="6" borderId="229" xfId="0" applyFill="1" applyBorder="1" applyAlignment="1">
      <alignment horizontal="center" vertical="center"/>
    </xf>
    <xf numFmtId="0" fontId="0" fillId="6" borderId="227" xfId="0" applyFill="1" applyBorder="1"/>
    <xf numFmtId="0" fontId="0" fillId="6" borderId="230" xfId="0" applyFill="1" applyBorder="1" applyAlignment="1">
      <alignment horizontal="center"/>
    </xf>
    <xf numFmtId="166" fontId="1" fillId="8" borderId="15" xfId="1" applyNumberFormat="1" applyFont="1" applyFill="1" applyBorder="1" applyAlignment="1">
      <alignment horizontal="right" vertical="center"/>
    </xf>
    <xf numFmtId="166" fontId="1" fillId="8" borderId="39" xfId="1" applyNumberFormat="1" applyFont="1" applyFill="1" applyBorder="1" applyAlignment="1">
      <alignment horizontal="right" vertical="center"/>
    </xf>
    <xf numFmtId="0" fontId="3" fillId="6" borderId="0" xfId="0" applyFont="1" applyFill="1" applyAlignment="1">
      <alignment vertical="center"/>
    </xf>
    <xf numFmtId="171" fontId="10" fillId="0" borderId="233" xfId="0" applyNumberFormat="1" applyFont="1" applyBorder="1" applyAlignment="1">
      <alignment horizontal="center"/>
    </xf>
    <xf numFmtId="171" fontId="16" fillId="0" borderId="234" xfId="0" applyNumberFormat="1" applyFont="1" applyBorder="1" applyAlignment="1">
      <alignment horizontal="center"/>
    </xf>
    <xf numFmtId="2" fontId="10" fillId="0" borderId="94" xfId="0" applyNumberFormat="1" applyFont="1" applyBorder="1" applyAlignment="1">
      <alignment horizontal="center"/>
    </xf>
    <xf numFmtId="2" fontId="16" fillId="0" borderId="87" xfId="0" applyNumberFormat="1" applyFont="1" applyBorder="1" applyAlignment="1">
      <alignment horizontal="center"/>
    </xf>
    <xf numFmtId="168" fontId="10" fillId="0" borderId="92" xfId="0" applyNumberFormat="1" applyFont="1" applyBorder="1" applyAlignment="1">
      <alignment horizontal="center"/>
    </xf>
    <xf numFmtId="168" fontId="16" fillId="0" borderId="91" xfId="0" applyNumberFormat="1" applyFont="1" applyBorder="1" applyAlignment="1">
      <alignment horizontal="center"/>
    </xf>
    <xf numFmtId="0" fontId="10" fillId="0" borderId="235" xfId="0" applyFont="1" applyBorder="1" applyAlignment="1">
      <alignment horizontal="center" wrapText="1"/>
    </xf>
    <xf numFmtId="167" fontId="16" fillId="0" borderId="83" xfId="0" applyNumberFormat="1" applyFont="1" applyBorder="1" applyAlignment="1">
      <alignment horizontal="center" wrapText="1"/>
    </xf>
    <xf numFmtId="0" fontId="15" fillId="0" borderId="236" xfId="0" applyFont="1" applyBorder="1" applyAlignment="1">
      <alignment horizontal="center" wrapText="1"/>
    </xf>
    <xf numFmtId="171" fontId="15" fillId="0" borderId="237" xfId="0" applyNumberFormat="1" applyFont="1" applyBorder="1" applyAlignment="1">
      <alignment horizontal="center"/>
    </xf>
    <xf numFmtId="2" fontId="17" fillId="0" borderId="124" xfId="0" applyNumberFormat="1" applyFont="1" applyBorder="1" applyAlignment="1">
      <alignment horizontal="center"/>
    </xf>
    <xf numFmtId="168" fontId="17" fillId="0" borderId="117" xfId="0" applyNumberFormat="1" applyFont="1" applyBorder="1" applyAlignment="1">
      <alignment horizontal="center"/>
    </xf>
    <xf numFmtId="0" fontId="0" fillId="6" borderId="238" xfId="0" applyFill="1" applyBorder="1" applyAlignment="1">
      <alignment horizontal="center"/>
    </xf>
    <xf numFmtId="167" fontId="16" fillId="0" borderId="239" xfId="0" applyNumberFormat="1" applyFont="1" applyBorder="1" applyAlignment="1">
      <alignment horizontal="center" wrapText="1"/>
    </xf>
    <xf numFmtId="171" fontId="16" fillId="0" borderId="240" xfId="0" applyNumberFormat="1" applyFont="1" applyBorder="1" applyAlignment="1">
      <alignment horizontal="center"/>
    </xf>
    <xf numFmtId="2" fontId="16" fillId="0" borderId="241" xfId="0" applyNumberFormat="1" applyFont="1" applyBorder="1" applyAlignment="1">
      <alignment horizontal="center"/>
    </xf>
    <xf numFmtId="168" fontId="16" fillId="0" borderId="242" xfId="0" applyNumberFormat="1" applyFont="1" applyBorder="1" applyAlignment="1">
      <alignment horizontal="center"/>
    </xf>
    <xf numFmtId="0" fontId="1" fillId="8" borderId="182" xfId="0" applyFont="1" applyFill="1" applyBorder="1"/>
    <xf numFmtId="0" fontId="1" fillId="8" borderId="39" xfId="0" applyFont="1" applyFill="1" applyBorder="1"/>
    <xf numFmtId="168" fontId="0" fillId="8" borderId="39" xfId="0" applyNumberFormat="1" applyFill="1" applyBorder="1"/>
    <xf numFmtId="168" fontId="0" fillId="8" borderId="35" xfId="0" applyNumberFormat="1" applyFill="1" applyBorder="1"/>
    <xf numFmtId="166" fontId="1" fillId="8" borderId="15" xfId="1" applyNumberFormat="1" applyFont="1" applyFill="1" applyBorder="1" applyAlignment="1">
      <alignment horizontal="center" vertical="center"/>
    </xf>
    <xf numFmtId="166" fontId="1" fillId="8" borderId="39" xfId="1" applyNumberFormat="1" applyFont="1" applyFill="1" applyBorder="1" applyAlignment="1">
      <alignment horizontal="center" vertical="center"/>
    </xf>
    <xf numFmtId="0" fontId="0" fillId="8" borderId="167" xfId="0" applyFill="1" applyBorder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 indent="1"/>
    </xf>
    <xf numFmtId="2" fontId="1" fillId="6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4" fontId="1" fillId="8" borderId="6" xfId="0" applyNumberFormat="1" applyFont="1" applyFill="1" applyBorder="1" applyAlignment="1">
      <alignment horizontal="center"/>
    </xf>
    <xf numFmtId="2" fontId="1" fillId="6" borderId="0" xfId="0" applyNumberFormat="1" applyFont="1" applyFill="1" applyAlignment="1">
      <alignment horizontal="right"/>
    </xf>
    <xf numFmtId="2" fontId="1" fillId="6" borderId="0" xfId="0" applyNumberFormat="1" applyFont="1" applyFill="1" applyAlignment="1">
      <alignment horizontal="right" textRotation="90"/>
    </xf>
    <xf numFmtId="166" fontId="18" fillId="10" borderId="0" xfId="0" applyNumberFormat="1" applyFont="1" applyFill="1" applyAlignment="1">
      <alignment horizontal="right"/>
    </xf>
    <xf numFmtId="166" fontId="18" fillId="10" borderId="44" xfId="0" applyNumberFormat="1" applyFont="1" applyFill="1" applyBorder="1" applyAlignment="1">
      <alignment horizontal="right"/>
    </xf>
    <xf numFmtId="2" fontId="0" fillId="6" borderId="0" xfId="0" applyNumberFormat="1" applyFill="1" applyAlignment="1">
      <alignment horizontal="center" textRotation="90"/>
    </xf>
    <xf numFmtId="0" fontId="0" fillId="6" borderId="246" xfId="0" applyFill="1" applyBorder="1" applyAlignment="1">
      <alignment horizontal="center" vertical="center" wrapText="1"/>
    </xf>
    <xf numFmtId="165" fontId="12" fillId="6" borderId="104" xfId="0" applyNumberFormat="1" applyFont="1" applyFill="1" applyBorder="1" applyAlignment="1">
      <alignment horizontal="center"/>
    </xf>
    <xf numFmtId="166" fontId="1" fillId="6" borderId="101" xfId="1" applyNumberFormat="1" applyFont="1" applyFill="1" applyBorder="1" applyAlignment="1">
      <alignment horizontal="center"/>
    </xf>
    <xf numFmtId="166" fontId="1" fillId="6" borderId="122" xfId="1" applyNumberFormat="1" applyFont="1" applyFill="1" applyBorder="1" applyAlignment="1">
      <alignment horizontal="center"/>
    </xf>
    <xf numFmtId="168" fontId="2" fillId="9" borderId="101" xfId="0" applyNumberFormat="1" applyFont="1" applyFill="1" applyBorder="1" applyAlignment="1">
      <alignment horizontal="right"/>
    </xf>
    <xf numFmtId="168" fontId="1" fillId="6" borderId="101" xfId="0" applyNumberFormat="1" applyFont="1" applyFill="1" applyBorder="1" applyAlignment="1">
      <alignment horizontal="right"/>
    </xf>
    <xf numFmtId="168" fontId="1" fillId="6" borderId="122" xfId="0" applyNumberFormat="1" applyFont="1" applyFill="1" applyBorder="1" applyAlignment="1">
      <alignment horizontal="right"/>
    </xf>
    <xf numFmtId="168" fontId="20" fillId="6" borderId="159" xfId="0" applyNumberFormat="1" applyFont="1" applyFill="1" applyBorder="1" applyAlignment="1">
      <alignment horizontal="right" vertical="center"/>
    </xf>
    <xf numFmtId="168" fontId="20" fillId="6" borderId="152" xfId="0" applyNumberFormat="1" applyFont="1" applyFill="1" applyBorder="1" applyAlignment="1">
      <alignment horizontal="right"/>
    </xf>
    <xf numFmtId="168" fontId="12" fillId="6" borderId="125" xfId="0" applyNumberFormat="1" applyFont="1" applyFill="1" applyBorder="1" applyAlignment="1">
      <alignment horizontal="right"/>
    </xf>
    <xf numFmtId="168" fontId="1" fillId="6" borderId="161" xfId="0" applyNumberFormat="1" applyFont="1" applyFill="1" applyBorder="1" applyAlignment="1">
      <alignment horizontal="right"/>
    </xf>
    <xf numFmtId="168" fontId="1" fillId="6" borderId="155" xfId="0" applyNumberFormat="1" applyFont="1" applyFill="1" applyBorder="1" applyAlignment="1">
      <alignment horizontal="right"/>
    </xf>
    <xf numFmtId="168" fontId="7" fillId="6" borderId="169" xfId="0" applyNumberFormat="1" applyFont="1" applyFill="1" applyBorder="1" applyAlignment="1">
      <alignment horizontal="right"/>
    </xf>
    <xf numFmtId="170" fontId="12" fillId="6" borderId="118" xfId="0" applyNumberFormat="1" applyFont="1" applyFill="1" applyBorder="1" applyAlignment="1">
      <alignment horizontal="right"/>
    </xf>
    <xf numFmtId="170" fontId="1" fillId="6" borderId="131" xfId="0" applyNumberFormat="1" applyFont="1" applyFill="1" applyBorder="1" applyAlignment="1">
      <alignment horizontal="right"/>
    </xf>
    <xf numFmtId="168" fontId="1" fillId="6" borderId="195" xfId="0" applyNumberFormat="1" applyFont="1" applyFill="1" applyBorder="1" applyAlignment="1">
      <alignment horizontal="right"/>
    </xf>
    <xf numFmtId="168" fontId="1" fillId="6" borderId="218" xfId="0" applyNumberFormat="1" applyFont="1" applyFill="1" applyBorder="1" applyAlignment="1">
      <alignment horizontal="right"/>
    </xf>
    <xf numFmtId="168" fontId="1" fillId="6" borderId="196" xfId="0" applyNumberFormat="1" applyFont="1" applyFill="1" applyBorder="1" applyAlignment="1">
      <alignment horizontal="right"/>
    </xf>
    <xf numFmtId="168" fontId="1" fillId="6" borderId="214" xfId="0" applyNumberFormat="1" applyFont="1" applyFill="1" applyBorder="1" applyAlignment="1">
      <alignment horizontal="right"/>
    </xf>
    <xf numFmtId="168" fontId="1" fillId="6" borderId="197" xfId="0" applyNumberFormat="1" applyFont="1" applyFill="1" applyBorder="1" applyAlignment="1">
      <alignment horizontal="right"/>
    </xf>
    <xf numFmtId="168" fontId="1" fillId="6" borderId="215" xfId="0" applyNumberFormat="1" applyFont="1" applyFill="1" applyBorder="1" applyAlignment="1">
      <alignment horizontal="right"/>
    </xf>
    <xf numFmtId="9" fontId="0" fillId="10" borderId="65" xfId="0" applyNumberFormat="1" applyFill="1" applyBorder="1" applyAlignment="1">
      <alignment horizontal="left" indent="1"/>
    </xf>
    <xf numFmtId="0" fontId="0" fillId="10" borderId="199" xfId="0" applyFill="1" applyBorder="1" applyAlignment="1">
      <alignment horizontal="left" indent="1"/>
    </xf>
    <xf numFmtId="0" fontId="16" fillId="6" borderId="0" xfId="0" applyFont="1" applyFill="1"/>
    <xf numFmtId="0" fontId="16" fillId="6" borderId="0" xfId="0" applyFont="1" applyFill="1" applyAlignment="1">
      <alignment horizontal="right"/>
    </xf>
    <xf numFmtId="0" fontId="16" fillId="6" borderId="0" xfId="0" applyFont="1" applyFill="1" applyAlignment="1">
      <alignment horizontal="right" indent="1"/>
    </xf>
    <xf numFmtId="0" fontId="0" fillId="6" borderId="192" xfId="0" applyFill="1" applyBorder="1" applyAlignment="1">
      <alignment horizontal="right" indent="1"/>
    </xf>
    <xf numFmtId="0" fontId="0" fillId="6" borderId="247" xfId="0" applyFill="1" applyBorder="1" applyAlignment="1">
      <alignment horizontal="right" vertical="center" indent="1"/>
    </xf>
    <xf numFmtId="0" fontId="0" fillId="6" borderId="248" xfId="0" applyFill="1" applyBorder="1" applyAlignment="1">
      <alignment horizontal="right" vertical="center" indent="1"/>
    </xf>
    <xf numFmtId="0" fontId="0" fillId="0" borderId="220" xfId="0" applyBorder="1" applyAlignment="1">
      <alignment horizontal="center"/>
    </xf>
    <xf numFmtId="168" fontId="1" fillId="0" borderId="185" xfId="0" applyNumberFormat="1" applyFont="1" applyBorder="1" applyAlignment="1">
      <alignment horizontal="right"/>
    </xf>
    <xf numFmtId="168" fontId="1" fillId="0" borderId="212" xfId="0" applyNumberFormat="1" applyFont="1" applyBorder="1" applyAlignment="1">
      <alignment horizontal="right"/>
    </xf>
    <xf numFmtId="168" fontId="1" fillId="0" borderId="213" xfId="0" applyNumberFormat="1" applyFont="1" applyBorder="1" applyAlignment="1">
      <alignment horizontal="right"/>
    </xf>
    <xf numFmtId="9" fontId="0" fillId="10" borderId="0" xfId="0" applyNumberFormat="1" applyFill="1"/>
    <xf numFmtId="9" fontId="0" fillId="10" borderId="139" xfId="0" applyNumberFormat="1" applyFill="1" applyBorder="1"/>
    <xf numFmtId="0" fontId="0" fillId="10" borderId="135" xfId="0" applyFill="1" applyBorder="1"/>
    <xf numFmtId="166" fontId="2" fillId="6" borderId="230" xfId="0" applyNumberFormat="1" applyFont="1" applyFill="1" applyBorder="1" applyAlignment="1">
      <alignment horizontal="center"/>
    </xf>
    <xf numFmtId="168" fontId="1" fillId="6" borderId="212" xfId="0" applyNumberFormat="1" applyFont="1" applyFill="1" applyBorder="1" applyAlignment="1">
      <alignment horizontal="right"/>
    </xf>
    <xf numFmtId="168" fontId="7" fillId="6" borderId="147" xfId="0" applyNumberFormat="1" applyFont="1" applyFill="1" applyBorder="1" applyAlignment="1">
      <alignment horizontal="right"/>
    </xf>
    <xf numFmtId="0" fontId="24" fillId="8" borderId="0" xfId="0" applyFont="1" applyFill="1" applyAlignment="1">
      <alignment vertical="center" wrapText="1"/>
    </xf>
    <xf numFmtId="167" fontId="1" fillId="3" borderId="164" xfId="0" applyNumberFormat="1" applyFont="1" applyFill="1" applyBorder="1" applyAlignment="1">
      <alignment vertical="center"/>
    </xf>
    <xf numFmtId="167" fontId="1" fillId="3" borderId="176" xfId="0" applyNumberFormat="1" applyFont="1" applyFill="1" applyBorder="1" applyAlignment="1">
      <alignment vertical="center"/>
    </xf>
    <xf numFmtId="1" fontId="0" fillId="6" borderId="0" xfId="0" applyNumberFormat="1" applyFill="1"/>
    <xf numFmtId="0" fontId="21" fillId="0" borderId="16" xfId="0" applyFont="1" applyBorder="1"/>
    <xf numFmtId="0" fontId="8" fillId="0" borderId="16" xfId="0" applyFont="1" applyBorder="1" applyAlignment="1">
      <alignment vertical="top"/>
    </xf>
    <xf numFmtId="0" fontId="8" fillId="0" borderId="0" xfId="0" applyFont="1" applyAlignment="1">
      <alignment vertical="top"/>
    </xf>
    <xf numFmtId="167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1" fillId="0" borderId="41" xfId="0" applyFont="1" applyBorder="1"/>
    <xf numFmtId="0" fontId="21" fillId="0" borderId="0" xfId="0" applyFont="1"/>
    <xf numFmtId="0" fontId="27" fillId="6" borderId="0" xfId="0" applyFont="1" applyFill="1"/>
    <xf numFmtId="0" fontId="27" fillId="6" borderId="44" xfId="0" applyFont="1" applyFill="1" applyBorder="1"/>
    <xf numFmtId="173" fontId="20" fillId="6" borderId="0" xfId="0" applyNumberFormat="1" applyFont="1" applyFill="1" applyAlignment="1">
      <alignment vertical="top"/>
    </xf>
    <xf numFmtId="0" fontId="6" fillId="6" borderId="0" xfId="0" applyFont="1" applyFill="1"/>
    <xf numFmtId="0" fontId="20" fillId="6" borderId="114" xfId="0" applyFont="1" applyFill="1" applyBorder="1"/>
    <xf numFmtId="0" fontId="3" fillId="2" borderId="173" xfId="0" applyFont="1" applyFill="1" applyBorder="1" applyAlignment="1">
      <alignment horizontal="left" vertical="center" indent="1"/>
    </xf>
    <xf numFmtId="166" fontId="14" fillId="0" borderId="172" xfId="0" applyNumberFormat="1" applyFont="1" applyBorder="1" applyAlignment="1">
      <alignment horizontal="center"/>
    </xf>
    <xf numFmtId="168" fontId="1" fillId="8" borderId="249" xfId="0" applyNumberFormat="1" applyFont="1" applyFill="1" applyBorder="1" applyAlignment="1">
      <alignment horizontal="center"/>
    </xf>
    <xf numFmtId="168" fontId="1" fillId="8" borderId="250" xfId="0" applyNumberFormat="1" applyFont="1" applyFill="1" applyBorder="1" applyAlignment="1">
      <alignment horizontal="center"/>
    </xf>
    <xf numFmtId="168" fontId="13" fillId="6" borderId="0" xfId="0" applyNumberFormat="1" applyFont="1" applyFill="1" applyAlignment="1">
      <alignment horizontal="center"/>
    </xf>
    <xf numFmtId="168" fontId="1" fillId="8" borderId="251" xfId="0" applyNumberFormat="1" applyFont="1" applyFill="1" applyBorder="1" applyAlignment="1">
      <alignment horizontal="center"/>
    </xf>
    <xf numFmtId="168" fontId="1" fillId="8" borderId="252" xfId="0" applyNumberFormat="1" applyFont="1" applyFill="1" applyBorder="1" applyAlignment="1">
      <alignment horizontal="center"/>
    </xf>
    <xf numFmtId="168" fontId="1" fillId="8" borderId="253" xfId="0" applyNumberFormat="1" applyFont="1" applyFill="1" applyBorder="1" applyAlignment="1">
      <alignment horizontal="center"/>
    </xf>
    <xf numFmtId="168" fontId="1" fillId="8" borderId="254" xfId="0" applyNumberFormat="1" applyFont="1" applyFill="1" applyBorder="1" applyAlignment="1">
      <alignment horizontal="center"/>
    </xf>
    <xf numFmtId="168" fontId="12" fillId="6" borderId="122" xfId="0" applyNumberFormat="1" applyFont="1" applyFill="1" applyBorder="1" applyAlignment="1">
      <alignment horizontal="center"/>
    </xf>
    <xf numFmtId="168" fontId="12" fillId="6" borderId="154" xfId="0" applyNumberFormat="1" applyFont="1" applyFill="1" applyBorder="1" applyAlignment="1">
      <alignment horizontal="center"/>
    </xf>
    <xf numFmtId="168" fontId="13" fillId="6" borderId="110" xfId="0" applyNumberFormat="1" applyFont="1" applyFill="1" applyBorder="1" applyAlignment="1">
      <alignment horizontal="center"/>
    </xf>
    <xf numFmtId="0" fontId="31" fillId="0" borderId="16" xfId="0" applyFont="1" applyBorder="1"/>
    <xf numFmtId="0" fontId="0" fillId="6" borderId="186" xfId="0" applyFill="1" applyBorder="1" applyAlignment="1">
      <alignment horizontal="center"/>
    </xf>
    <xf numFmtId="0" fontId="0" fillId="6" borderId="184" xfId="0" applyFill="1" applyBorder="1" applyAlignment="1">
      <alignment horizontal="center"/>
    </xf>
    <xf numFmtId="168" fontId="16" fillId="9" borderId="219" xfId="0" applyNumberFormat="1" applyFont="1" applyFill="1" applyBorder="1" applyAlignment="1">
      <alignment horizontal="center"/>
    </xf>
    <xf numFmtId="168" fontId="14" fillId="9" borderId="213" xfId="0" applyNumberFormat="1" applyFont="1" applyFill="1" applyBorder="1" applyAlignment="1">
      <alignment horizontal="center"/>
    </xf>
    <xf numFmtId="0" fontId="0" fillId="6" borderId="98" xfId="0" applyFill="1" applyBorder="1" applyAlignment="1">
      <alignment horizontal="center"/>
    </xf>
    <xf numFmtId="10" fontId="20" fillId="6" borderId="114" xfId="0" applyNumberFormat="1" applyFont="1" applyFill="1" applyBorder="1" applyAlignment="1">
      <alignment vertical="top"/>
    </xf>
    <xf numFmtId="168" fontId="0" fillId="9" borderId="122" xfId="0" applyNumberFormat="1" applyFill="1" applyBorder="1" applyAlignment="1">
      <alignment horizontal="right"/>
    </xf>
    <xf numFmtId="168" fontId="0" fillId="9" borderId="93" xfId="0" applyNumberFormat="1" applyFill="1" applyBorder="1" applyAlignment="1">
      <alignment horizontal="right"/>
    </xf>
    <xf numFmtId="0" fontId="0" fillId="6" borderId="0" xfId="0" applyFill="1" applyAlignment="1">
      <alignment horizontal="center"/>
    </xf>
    <xf numFmtId="167" fontId="16" fillId="0" borderId="0" xfId="0" applyNumberFormat="1" applyFont="1" applyAlignment="1">
      <alignment horizontal="center" wrapText="1"/>
    </xf>
    <xf numFmtId="171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168" fontId="16" fillId="0" borderId="0" xfId="0" applyNumberFormat="1" applyFont="1" applyAlignment="1">
      <alignment horizontal="center"/>
    </xf>
    <xf numFmtId="0" fontId="0" fillId="6" borderId="0" xfId="0" applyFill="1" applyAlignment="1">
      <alignment horizontal="center" wrapText="1"/>
    </xf>
    <xf numFmtId="168" fontId="1" fillId="6" borderId="0" xfId="0" applyNumberFormat="1" applyFont="1" applyFill="1" applyAlignment="1">
      <alignment horizontal="right"/>
    </xf>
    <xf numFmtId="168" fontId="0" fillId="0" borderId="0" xfId="0" applyNumberFormat="1"/>
    <xf numFmtId="1" fontId="0" fillId="0" borderId="0" xfId="0" applyNumberFormat="1"/>
    <xf numFmtId="168" fontId="12" fillId="2" borderId="172" xfId="0" applyNumberFormat="1" applyFont="1" applyFill="1" applyBorder="1" applyAlignment="1">
      <alignment horizontal="right"/>
    </xf>
    <xf numFmtId="166" fontId="12" fillId="2" borderId="172" xfId="1" applyNumberFormat="1" applyFont="1" applyFill="1" applyBorder="1"/>
    <xf numFmtId="168" fontId="1" fillId="8" borderId="257" xfId="0" applyNumberFormat="1" applyFont="1" applyFill="1" applyBorder="1"/>
    <xf numFmtId="0" fontId="0" fillId="8" borderId="40" xfId="0" applyFill="1" applyBorder="1" applyAlignment="1">
      <alignment horizontal="center" textRotation="90"/>
    </xf>
    <xf numFmtId="0" fontId="0" fillId="8" borderId="10" xfId="0" applyFill="1" applyBorder="1" applyAlignment="1">
      <alignment horizontal="center" textRotation="90"/>
    </xf>
    <xf numFmtId="0" fontId="0" fillId="8" borderId="29" xfId="0" applyFill="1" applyBorder="1" applyAlignment="1">
      <alignment horizontal="center" textRotation="90"/>
    </xf>
    <xf numFmtId="0" fontId="0" fillId="6" borderId="111" xfId="0" applyFill="1" applyBorder="1" applyAlignment="1">
      <alignment horizontal="center" textRotation="90"/>
    </xf>
    <xf numFmtId="0" fontId="0" fillId="6" borderId="107" xfId="0" applyFill="1" applyBorder="1" applyAlignment="1">
      <alignment horizontal="center" textRotation="90"/>
    </xf>
    <xf numFmtId="0" fontId="3" fillId="6" borderId="0" xfId="0" applyFont="1" applyFill="1" applyAlignment="1">
      <alignment horizontal="left"/>
    </xf>
    <xf numFmtId="0" fontId="0" fillId="6" borderId="164" xfId="0" applyFill="1" applyBorder="1" applyAlignment="1">
      <alignment horizontal="center"/>
    </xf>
    <xf numFmtId="0" fontId="16" fillId="6" borderId="0" xfId="0" applyFont="1" applyFill="1" applyAlignment="1">
      <alignment horizontal="left" indent="1"/>
    </xf>
    <xf numFmtId="166" fontId="1" fillId="8" borderId="149" xfId="1" applyNumberFormat="1" applyFont="1" applyFill="1" applyBorder="1" applyAlignment="1">
      <alignment horizontal="right" vertical="center"/>
    </xf>
    <xf numFmtId="166" fontId="1" fillId="8" borderId="0" xfId="1" applyNumberFormat="1" applyFont="1" applyFill="1" applyBorder="1" applyAlignment="1">
      <alignment horizontal="right" vertical="center"/>
    </xf>
    <xf numFmtId="168" fontId="0" fillId="6" borderId="0" xfId="0" applyNumberFormat="1" applyFill="1" applyAlignment="1">
      <alignment horizontal="center" textRotation="90"/>
    </xf>
    <xf numFmtId="0" fontId="0" fillId="6" borderId="0" xfId="0" applyFill="1" applyAlignment="1">
      <alignment horizontal="center" textRotation="90"/>
    </xf>
    <xf numFmtId="0" fontId="3" fillId="6" borderId="0" xfId="0" applyFont="1" applyFill="1" applyAlignment="1">
      <alignment horizontal="left" vertical="center"/>
    </xf>
    <xf numFmtId="0" fontId="23" fillId="6" borderId="0" xfId="0" applyFont="1" applyFill="1" applyAlignment="1">
      <alignment horizontal="left" vertical="center"/>
    </xf>
    <xf numFmtId="0" fontId="22" fillId="6" borderId="0" xfId="0" applyFont="1" applyFill="1" applyAlignment="1">
      <alignment horizontal="center" vertical="center"/>
    </xf>
    <xf numFmtId="168" fontId="2" fillId="11" borderId="170" xfId="0" applyNumberFormat="1" applyFont="1" applyFill="1" applyBorder="1" applyAlignment="1">
      <alignment horizontal="right"/>
    </xf>
    <xf numFmtId="168" fontId="2" fillId="11" borderId="81" xfId="0" applyNumberFormat="1" applyFont="1" applyFill="1" applyBorder="1" applyAlignment="1">
      <alignment horizontal="right"/>
    </xf>
    <xf numFmtId="168" fontId="2" fillId="11" borderId="101" xfId="0" applyNumberFormat="1" applyFont="1" applyFill="1" applyBorder="1" applyAlignment="1">
      <alignment horizontal="center"/>
    </xf>
    <xf numFmtId="168" fontId="2" fillId="11" borderId="154" xfId="0" applyNumberFormat="1" applyFont="1" applyFill="1" applyBorder="1" applyAlignment="1">
      <alignment horizontal="center"/>
    </xf>
    <xf numFmtId="9" fontId="0" fillId="11" borderId="160" xfId="1" applyFont="1" applyFill="1" applyBorder="1"/>
    <xf numFmtId="9" fontId="0" fillId="11" borderId="153" xfId="1" applyFont="1" applyFill="1" applyBorder="1"/>
    <xf numFmtId="168" fontId="0" fillId="9" borderId="174" xfId="0" applyNumberFormat="1" applyFill="1" applyBorder="1" applyAlignment="1">
      <alignment horizontal="center"/>
    </xf>
    <xf numFmtId="166" fontId="12" fillId="2" borderId="188" xfId="1" applyNumberFormat="1" applyFont="1" applyFill="1" applyBorder="1"/>
    <xf numFmtId="0" fontId="16" fillId="12" borderId="192" xfId="1" applyNumberFormat="1" applyFont="1" applyFill="1" applyBorder="1" applyAlignment="1">
      <alignment horizontal="center"/>
    </xf>
    <xf numFmtId="166" fontId="16" fillId="12" borderId="192" xfId="1" applyNumberFormat="1" applyFont="1" applyFill="1" applyBorder="1" applyAlignment="1">
      <alignment horizontal="center"/>
    </xf>
    <xf numFmtId="0" fontId="14" fillId="12" borderId="98" xfId="0" applyFont="1" applyFill="1" applyBorder="1" applyAlignment="1">
      <alignment horizontal="center"/>
    </xf>
    <xf numFmtId="166" fontId="14" fillId="12" borderId="95" xfId="0" applyNumberFormat="1" applyFont="1" applyFill="1" applyBorder="1" applyAlignment="1">
      <alignment horizontal="center"/>
    </xf>
    <xf numFmtId="166" fontId="14" fillId="12" borderId="93" xfId="0" applyNumberFormat="1" applyFont="1" applyFill="1" applyBorder="1" applyAlignment="1">
      <alignment horizontal="center"/>
    </xf>
    <xf numFmtId="166" fontId="14" fillId="12" borderId="90" xfId="0" applyNumberFormat="1" applyFont="1" applyFill="1" applyBorder="1" applyAlignment="1">
      <alignment horizontal="center"/>
    </xf>
    <xf numFmtId="0" fontId="0" fillId="9" borderId="207" xfId="0" applyFill="1" applyBorder="1" applyAlignment="1">
      <alignment horizontal="left" vertical="center" indent="1"/>
    </xf>
    <xf numFmtId="0" fontId="0" fillId="0" borderId="189" xfId="0" applyBorder="1" applyAlignment="1">
      <alignment horizontal="left" vertical="center" indent="1"/>
    </xf>
    <xf numFmtId="167" fontId="1" fillId="7" borderId="9" xfId="0" applyNumberFormat="1" applyFont="1" applyFill="1" applyBorder="1" applyAlignment="1">
      <alignment horizontal="center"/>
    </xf>
    <xf numFmtId="0" fontId="0" fillId="7" borderId="9" xfId="0" applyFill="1" applyBorder="1"/>
    <xf numFmtId="167" fontId="1" fillId="7" borderId="261" xfId="0" applyNumberFormat="1" applyFont="1" applyFill="1" applyBorder="1" applyAlignment="1">
      <alignment horizontal="center"/>
    </xf>
    <xf numFmtId="0" fontId="0" fillId="7" borderId="262" xfId="0" applyFill="1" applyBorder="1"/>
    <xf numFmtId="0" fontId="0" fillId="7" borderId="263" xfId="0" applyFill="1" applyBorder="1"/>
    <xf numFmtId="167" fontId="1" fillId="7" borderId="31" xfId="0" applyNumberFormat="1" applyFont="1" applyFill="1" applyBorder="1" applyAlignment="1">
      <alignment horizontal="center"/>
    </xf>
    <xf numFmtId="0" fontId="31" fillId="0" borderId="0" xfId="0" applyFont="1"/>
    <xf numFmtId="167" fontId="1" fillId="0" borderId="0" xfId="0" applyNumberFormat="1" applyFont="1"/>
    <xf numFmtId="0" fontId="22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7" fillId="0" borderId="0" xfId="0" applyFont="1"/>
    <xf numFmtId="0" fontId="27" fillId="0" borderId="44" xfId="0" applyFont="1" applyBorder="1"/>
    <xf numFmtId="0" fontId="0" fillId="0" borderId="192" xfId="0" applyBorder="1" applyAlignment="1">
      <alignment horizontal="right" indent="1"/>
    </xf>
    <xf numFmtId="0" fontId="0" fillId="0" borderId="0" xfId="0" applyAlignment="1">
      <alignment horizontal="left" vertical="center" indent="1"/>
    </xf>
    <xf numFmtId="0" fontId="0" fillId="0" borderId="247" xfId="0" applyBorder="1" applyAlignment="1">
      <alignment horizontal="right" vertical="center" indent="1"/>
    </xf>
    <xf numFmtId="0" fontId="0" fillId="0" borderId="248" xfId="0" applyBorder="1" applyAlignment="1">
      <alignment horizontal="right" vertical="center" indent="1"/>
    </xf>
    <xf numFmtId="0" fontId="2" fillId="0" borderId="0" xfId="0" applyFont="1" applyAlignment="1">
      <alignment vertical="center"/>
    </xf>
    <xf numFmtId="0" fontId="7" fillId="0" borderId="168" xfId="0" applyFont="1" applyBorder="1" applyAlignment="1">
      <alignment horizontal="center" vertical="center"/>
    </xf>
    <xf numFmtId="166" fontId="1" fillId="0" borderId="149" xfId="1" applyNumberFormat="1" applyFont="1" applyFill="1" applyBorder="1"/>
    <xf numFmtId="168" fontId="1" fillId="0" borderId="149" xfId="0" applyNumberFormat="1" applyFont="1" applyBorder="1"/>
    <xf numFmtId="166" fontId="1" fillId="0" borderId="201" xfId="1" applyNumberFormat="1" applyFont="1" applyFill="1" applyBorder="1"/>
    <xf numFmtId="168" fontId="1" fillId="0" borderId="202" xfId="0" applyNumberFormat="1" applyFont="1" applyBorder="1"/>
    <xf numFmtId="168" fontId="1" fillId="0" borderId="167" xfId="0" applyNumberFormat="1" applyFont="1" applyBorder="1" applyAlignment="1">
      <alignment horizontal="center"/>
    </xf>
    <xf numFmtId="166" fontId="1" fillId="0" borderId="0" xfId="1" applyNumberFormat="1" applyFont="1" applyFill="1" applyBorder="1"/>
    <xf numFmtId="168" fontId="1" fillId="0" borderId="0" xfId="0" applyNumberFormat="1" applyFont="1"/>
    <xf numFmtId="166" fontId="1" fillId="0" borderId="65" xfId="1" applyNumberFormat="1" applyFont="1" applyFill="1" applyBorder="1"/>
    <xf numFmtId="168" fontId="1" fillId="0" borderId="44" xfId="0" applyNumberFormat="1" applyFont="1" applyBorder="1"/>
    <xf numFmtId="0" fontId="0" fillId="0" borderId="165" xfId="0" applyBorder="1" applyAlignment="1">
      <alignment horizontal="center"/>
    </xf>
    <xf numFmtId="0" fontId="0" fillId="0" borderId="171" xfId="0" applyBorder="1" applyAlignment="1">
      <alignment horizontal="center"/>
    </xf>
    <xf numFmtId="0" fontId="20" fillId="0" borderId="163" xfId="0" applyFont="1" applyBorder="1" applyAlignment="1">
      <alignment horizontal="center"/>
    </xf>
    <xf numFmtId="0" fontId="20" fillId="0" borderId="114" xfId="0" applyFont="1" applyBorder="1"/>
    <xf numFmtId="0" fontId="20" fillId="0" borderId="0" xfId="0" applyFont="1"/>
    <xf numFmtId="166" fontId="1" fillId="0" borderId="167" xfId="0" applyNumberFormat="1" applyFont="1" applyBorder="1" applyAlignment="1">
      <alignment horizontal="center" vertical="top"/>
    </xf>
    <xf numFmtId="166" fontId="1" fillId="0" borderId="15" xfId="1" applyNumberFormat="1" applyFont="1" applyFill="1" applyBorder="1"/>
    <xf numFmtId="168" fontId="1" fillId="0" borderId="15" xfId="0" applyNumberFormat="1" applyFont="1" applyBorder="1"/>
    <xf numFmtId="166" fontId="1" fillId="0" borderId="203" xfId="1" applyNumberFormat="1" applyFont="1" applyFill="1" applyBorder="1"/>
    <xf numFmtId="168" fontId="1" fillId="0" borderId="23" xfId="0" applyNumberFormat="1" applyFont="1" applyBorder="1"/>
    <xf numFmtId="0" fontId="0" fillId="0" borderId="159" xfId="0" applyBorder="1" applyAlignment="1">
      <alignment horizontal="right" indent="1"/>
    </xf>
    <xf numFmtId="168" fontId="1" fillId="0" borderId="161" xfId="0" applyNumberFormat="1" applyFont="1" applyBorder="1" applyAlignment="1">
      <alignment horizontal="right"/>
    </xf>
    <xf numFmtId="168" fontId="20" fillId="0" borderId="159" xfId="0" applyNumberFormat="1" applyFont="1" applyBorder="1" applyAlignment="1">
      <alignment horizontal="right" vertical="center"/>
    </xf>
    <xf numFmtId="10" fontId="20" fillId="0" borderId="114" xfId="0" applyNumberFormat="1" applyFont="1" applyBorder="1" applyAlignment="1">
      <alignment vertical="top"/>
    </xf>
    <xf numFmtId="173" fontId="20" fillId="0" borderId="0" xfId="0" applyNumberFormat="1" applyFont="1" applyAlignment="1">
      <alignment vertical="top"/>
    </xf>
    <xf numFmtId="0" fontId="7" fillId="0" borderId="167" xfId="0" applyFont="1" applyBorder="1" applyAlignment="1">
      <alignment horizontal="center" vertical="center"/>
    </xf>
    <xf numFmtId="166" fontId="1" fillId="0" borderId="39" xfId="1" applyNumberFormat="1" applyFont="1" applyFill="1" applyBorder="1"/>
    <xf numFmtId="168" fontId="1" fillId="0" borderId="39" xfId="0" applyNumberFormat="1" applyFont="1" applyBorder="1"/>
    <xf numFmtId="166" fontId="1" fillId="0" borderId="52" xfId="1" applyNumberFormat="1" applyFont="1" applyFill="1" applyBorder="1"/>
    <xf numFmtId="168" fontId="1" fillId="0" borderId="35" xfId="0" applyNumberFormat="1" applyFont="1" applyBorder="1"/>
    <xf numFmtId="0" fontId="0" fillId="0" borderId="152" xfId="0" applyBorder="1" applyAlignment="1">
      <alignment horizontal="right" indent="1"/>
    </xf>
    <xf numFmtId="168" fontId="1" fillId="0" borderId="155" xfId="0" applyNumberFormat="1" applyFont="1" applyBorder="1" applyAlignment="1">
      <alignment horizontal="right"/>
    </xf>
    <xf numFmtId="168" fontId="20" fillId="0" borderId="152" xfId="0" applyNumberFormat="1" applyFont="1" applyBorder="1" applyAlignment="1">
      <alignment horizontal="right"/>
    </xf>
    <xf numFmtId="166" fontId="1" fillId="0" borderId="157" xfId="0" applyNumberFormat="1" applyFont="1" applyBorder="1" applyAlignment="1">
      <alignment horizontal="right"/>
    </xf>
    <xf numFmtId="168" fontId="1" fillId="0" borderId="157" xfId="0" applyNumberFormat="1" applyFont="1" applyBorder="1" applyAlignment="1">
      <alignment horizontal="right"/>
    </xf>
    <xf numFmtId="166" fontId="1" fillId="0" borderId="204" xfId="0" applyNumberFormat="1" applyFont="1" applyBorder="1" applyAlignment="1">
      <alignment horizontal="right"/>
    </xf>
    <xf numFmtId="168" fontId="1" fillId="0" borderId="205" xfId="0" applyNumberFormat="1" applyFont="1" applyBorder="1" applyAlignment="1">
      <alignment horizontal="right"/>
    </xf>
    <xf numFmtId="0" fontId="0" fillId="0" borderId="0" xfId="0" applyAlignment="1">
      <alignment horizontal="right" indent="1"/>
    </xf>
    <xf numFmtId="168" fontId="7" fillId="0" borderId="169" xfId="0" applyNumberFormat="1" applyFont="1" applyBorder="1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167" xfId="0" applyBorder="1"/>
    <xf numFmtId="0" fontId="6" fillId="0" borderId="0" xfId="0" applyFont="1"/>
    <xf numFmtId="0" fontId="1" fillId="0" borderId="167" xfId="0" applyFont="1" applyBorder="1" applyAlignment="1">
      <alignment horizontal="center"/>
    </xf>
    <xf numFmtId="168" fontId="7" fillId="0" borderId="147" xfId="0" applyNumberFormat="1" applyFont="1" applyBorder="1" applyAlignment="1">
      <alignment horizontal="right"/>
    </xf>
    <xf numFmtId="0" fontId="1" fillId="0" borderId="162" xfId="0" applyFont="1" applyBorder="1" applyAlignment="1">
      <alignment horizontal="center"/>
    </xf>
    <xf numFmtId="0" fontId="1" fillId="0" borderId="182" xfId="0" applyFont="1" applyBorder="1"/>
    <xf numFmtId="0" fontId="1" fillId="0" borderId="39" xfId="0" applyFont="1" applyBorder="1"/>
    <xf numFmtId="168" fontId="0" fillId="0" borderId="39" xfId="0" applyNumberFormat="1" applyBorder="1"/>
    <xf numFmtId="168" fontId="0" fillId="0" borderId="35" xfId="0" applyNumberFormat="1" applyBorder="1"/>
    <xf numFmtId="0" fontId="0" fillId="0" borderId="184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86" xfId="0" applyBorder="1" applyAlignment="1">
      <alignment horizontal="center"/>
    </xf>
    <xf numFmtId="170" fontId="1" fillId="0" borderId="131" xfId="0" applyNumberFormat="1" applyFont="1" applyBorder="1" applyAlignment="1">
      <alignment horizontal="right"/>
    </xf>
    <xf numFmtId="0" fontId="0" fillId="0" borderId="238" xfId="0" applyBorder="1" applyAlignment="1">
      <alignment horizontal="center"/>
    </xf>
    <xf numFmtId="0" fontId="0" fillId="0" borderId="114" xfId="0" applyBorder="1" applyAlignment="1">
      <alignment horizontal="center"/>
    </xf>
    <xf numFmtId="0" fontId="15" fillId="0" borderId="0" xfId="0" applyFont="1" applyAlignment="1">
      <alignment wrapText="1"/>
    </xf>
    <xf numFmtId="168" fontId="12" fillId="0" borderId="125" xfId="0" applyNumberFormat="1" applyFont="1" applyBorder="1" applyAlignment="1">
      <alignment horizontal="right"/>
    </xf>
    <xf numFmtId="167" fontId="16" fillId="0" borderId="114" xfId="0" applyNumberFormat="1" applyFont="1" applyBorder="1" applyAlignment="1">
      <alignment horizontal="center" wrapText="1"/>
    </xf>
    <xf numFmtId="170" fontId="12" fillId="0" borderId="118" xfId="0" applyNumberFormat="1" applyFont="1" applyBorder="1" applyAlignment="1">
      <alignment horizontal="right"/>
    </xf>
    <xf numFmtId="171" fontId="16" fillId="0" borderId="114" xfId="0" applyNumberFormat="1" applyFont="1" applyBorder="1" applyAlignment="1">
      <alignment horizontal="center"/>
    </xf>
    <xf numFmtId="0" fontId="16" fillId="0" borderId="0" xfId="0" applyFont="1" applyAlignment="1">
      <alignment horizontal="left" indent="1"/>
    </xf>
    <xf numFmtId="168" fontId="16" fillId="0" borderId="114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0" fontId="16" fillId="0" borderId="0" xfId="0" applyFont="1" applyAlignment="1">
      <alignment horizontal="right" indent="1"/>
    </xf>
    <xf numFmtId="0" fontId="3" fillId="0" borderId="0" xfId="0" applyFont="1" applyAlignment="1">
      <alignment vertical="center"/>
    </xf>
    <xf numFmtId="0" fontId="0" fillId="0" borderId="164" xfId="0" applyBorder="1" applyAlignment="1">
      <alignment horizontal="center"/>
    </xf>
    <xf numFmtId="0" fontId="0" fillId="0" borderId="246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30" xfId="0" applyBorder="1" applyAlignment="1">
      <alignment horizontal="center"/>
    </xf>
    <xf numFmtId="166" fontId="2" fillId="0" borderId="230" xfId="0" applyNumberFormat="1" applyFont="1" applyBorder="1" applyAlignment="1">
      <alignment horizontal="center"/>
    </xf>
    <xf numFmtId="0" fontId="0" fillId="0" borderId="159" xfId="0" applyBorder="1" applyAlignment="1">
      <alignment horizontal="center"/>
    </xf>
    <xf numFmtId="165" fontId="12" fillId="0" borderId="104" xfId="0" applyNumberFormat="1" applyFont="1" applyBorder="1" applyAlignment="1">
      <alignment horizontal="center"/>
    </xf>
    <xf numFmtId="168" fontId="1" fillId="0" borderId="101" xfId="0" applyNumberFormat="1" applyFont="1" applyBorder="1" applyAlignment="1">
      <alignment horizontal="right"/>
    </xf>
    <xf numFmtId="166" fontId="1" fillId="0" borderId="101" xfId="1" applyNumberFormat="1" applyFont="1" applyFill="1" applyBorder="1" applyAlignment="1">
      <alignment horizontal="center"/>
    </xf>
    <xf numFmtId="0" fontId="0" fillId="0" borderId="127" xfId="0" applyBorder="1" applyAlignment="1">
      <alignment horizontal="center"/>
    </xf>
    <xf numFmtId="165" fontId="12" fillId="0" borderId="88" xfId="0" applyNumberFormat="1" applyFont="1" applyBorder="1" applyAlignment="1">
      <alignment horizontal="center"/>
    </xf>
    <xf numFmtId="168" fontId="1" fillId="0" borderId="122" xfId="0" applyNumberFormat="1" applyFont="1" applyBorder="1" applyAlignment="1">
      <alignment horizontal="right"/>
    </xf>
    <xf numFmtId="166" fontId="1" fillId="0" borderId="122" xfId="1" applyNumberFormat="1" applyFont="1" applyFill="1" applyBorder="1" applyAlignment="1">
      <alignment horizontal="center"/>
    </xf>
    <xf numFmtId="0" fontId="0" fillId="0" borderId="222" xfId="0" applyBorder="1" applyAlignment="1">
      <alignment horizontal="center" wrapText="1"/>
    </xf>
    <xf numFmtId="166" fontId="1" fillId="0" borderId="200" xfId="0" applyNumberFormat="1" applyFont="1" applyBorder="1" applyAlignment="1">
      <alignment horizontal="center"/>
    </xf>
    <xf numFmtId="168" fontId="1" fillId="0" borderId="195" xfId="0" applyNumberFormat="1" applyFont="1" applyBorder="1" applyAlignment="1">
      <alignment horizontal="right"/>
    </xf>
    <xf numFmtId="168" fontId="1" fillId="0" borderId="218" xfId="0" applyNumberFormat="1" applyFont="1" applyBorder="1" applyAlignment="1">
      <alignment horizontal="right"/>
    </xf>
    <xf numFmtId="166" fontId="1" fillId="0" borderId="124" xfId="0" applyNumberFormat="1" applyFont="1" applyBorder="1" applyAlignment="1">
      <alignment horizontal="center"/>
    </xf>
    <xf numFmtId="168" fontId="1" fillId="0" borderId="196" xfId="0" applyNumberFormat="1" applyFont="1" applyBorder="1" applyAlignment="1">
      <alignment horizontal="right"/>
    </xf>
    <xf numFmtId="168" fontId="1" fillId="0" borderId="214" xfId="0" applyNumberFormat="1" applyFont="1" applyBorder="1" applyAlignment="1">
      <alignment horizontal="right"/>
    </xf>
    <xf numFmtId="174" fontId="0" fillId="0" borderId="121" xfId="0" applyNumberFormat="1" applyBorder="1" applyAlignment="1">
      <alignment horizontal="center"/>
    </xf>
    <xf numFmtId="166" fontId="1" fillId="0" borderId="117" xfId="0" applyNumberFormat="1" applyFont="1" applyBorder="1" applyAlignment="1">
      <alignment horizontal="center"/>
    </xf>
    <xf numFmtId="168" fontId="1" fillId="0" borderId="197" xfId="0" applyNumberFormat="1" applyFont="1" applyBorder="1" applyAlignment="1">
      <alignment horizontal="right"/>
    </xf>
    <xf numFmtId="168" fontId="1" fillId="0" borderId="215" xfId="0" applyNumberFormat="1" applyFont="1" applyBorder="1" applyAlignment="1">
      <alignment horizontal="right"/>
    </xf>
    <xf numFmtId="0" fontId="3" fillId="10" borderId="172" xfId="0" applyFont="1" applyFill="1" applyBorder="1"/>
    <xf numFmtId="166" fontId="15" fillId="10" borderId="172" xfId="1" applyNumberFormat="1" applyFont="1" applyFill="1" applyBorder="1"/>
    <xf numFmtId="168" fontId="1" fillId="10" borderId="172" xfId="0" applyNumberFormat="1" applyFont="1" applyFill="1" applyBorder="1" applyAlignment="1">
      <alignment horizontal="right"/>
    </xf>
    <xf numFmtId="166" fontId="15" fillId="10" borderId="188" xfId="1" applyNumberFormat="1" applyFont="1" applyFill="1" applyBorder="1"/>
    <xf numFmtId="168" fontId="1" fillId="10" borderId="189" xfId="0" applyNumberFormat="1" applyFont="1" applyFill="1" applyBorder="1" applyAlignment="1">
      <alignment horizontal="right"/>
    </xf>
    <xf numFmtId="166" fontId="12" fillId="10" borderId="172" xfId="1" applyNumberFormat="1" applyFont="1" applyFill="1" applyBorder="1"/>
    <xf numFmtId="168" fontId="12" fillId="10" borderId="172" xfId="0" applyNumberFormat="1" applyFont="1" applyFill="1" applyBorder="1" applyAlignment="1">
      <alignment horizontal="right"/>
    </xf>
    <xf numFmtId="166" fontId="12" fillId="10" borderId="188" xfId="1" applyNumberFormat="1" applyFont="1" applyFill="1" applyBorder="1"/>
    <xf numFmtId="0" fontId="0" fillId="10" borderId="150" xfId="0" applyFill="1" applyBorder="1"/>
    <xf numFmtId="0" fontId="1" fillId="10" borderId="0" xfId="0" applyFont="1" applyFill="1"/>
    <xf numFmtId="166" fontId="1" fillId="10" borderId="0" xfId="0" applyNumberFormat="1" applyFont="1" applyFill="1"/>
    <xf numFmtId="168" fontId="1" fillId="10" borderId="44" xfId="0" applyNumberFormat="1" applyFont="1" applyFill="1" applyBorder="1"/>
    <xf numFmtId="166" fontId="1" fillId="10" borderId="65" xfId="0" applyNumberFormat="1" applyFont="1" applyFill="1" applyBorder="1"/>
    <xf numFmtId="0" fontId="0" fillId="10" borderId="145" xfId="0" applyFill="1" applyBorder="1"/>
    <xf numFmtId="168" fontId="1" fillId="10" borderId="0" xfId="0" applyNumberFormat="1" applyFont="1" applyFill="1"/>
    <xf numFmtId="168" fontId="1" fillId="10" borderId="257" xfId="0" applyNumberFormat="1" applyFont="1" applyFill="1" applyBorder="1"/>
    <xf numFmtId="172" fontId="14" fillId="5" borderId="146" xfId="0" applyNumberFormat="1" applyFont="1" applyFill="1" applyBorder="1" applyAlignment="1">
      <alignment horizontal="center" vertical="center"/>
    </xf>
    <xf numFmtId="0" fontId="0" fillId="9" borderId="90" xfId="0" applyFill="1" applyBorder="1" applyAlignment="1" applyProtection="1">
      <alignment horizontal="center"/>
      <protection locked="0"/>
    </xf>
    <xf numFmtId="0" fontId="0" fillId="0" borderId="97" xfId="0" applyBorder="1" applyAlignment="1">
      <alignment horizontal="right" vertical="center" indent="1"/>
    </xf>
    <xf numFmtId="0" fontId="0" fillId="0" borderId="94" xfId="0" applyBorder="1" applyAlignment="1">
      <alignment horizontal="right" vertical="center" indent="1"/>
    </xf>
    <xf numFmtId="168" fontId="16" fillId="9" borderId="219" xfId="0" applyNumberFormat="1" applyFont="1" applyFill="1" applyBorder="1" applyAlignment="1" applyProtection="1">
      <alignment horizontal="center"/>
      <protection locked="0"/>
    </xf>
    <xf numFmtId="168" fontId="14" fillId="9" borderId="213" xfId="0" applyNumberFormat="1" applyFont="1" applyFill="1" applyBorder="1" applyAlignment="1" applyProtection="1">
      <alignment horizontal="center"/>
      <protection locked="0"/>
    </xf>
    <xf numFmtId="0" fontId="0" fillId="9" borderId="132" xfId="0" applyFill="1" applyBorder="1" applyAlignment="1" applyProtection="1">
      <alignment horizontal="center"/>
      <protection locked="0"/>
    </xf>
    <xf numFmtId="0" fontId="0" fillId="9" borderId="86" xfId="0" applyFill="1" applyBorder="1" applyAlignment="1" applyProtection="1">
      <alignment horizontal="center"/>
      <protection locked="0"/>
    </xf>
    <xf numFmtId="170" fontId="2" fillId="9" borderId="119" xfId="0" applyNumberFormat="1" applyFont="1" applyFill="1" applyBorder="1" applyAlignment="1" applyProtection="1">
      <alignment horizontal="center"/>
      <protection locked="0"/>
    </xf>
    <xf numFmtId="0" fontId="0" fillId="9" borderId="174" xfId="0" applyFill="1" applyBorder="1" applyAlignment="1" applyProtection="1">
      <alignment horizontal="center"/>
      <protection locked="0"/>
    </xf>
    <xf numFmtId="168" fontId="2" fillId="9" borderId="101" xfId="0" applyNumberFormat="1" applyFont="1" applyFill="1" applyBorder="1" applyAlignment="1" applyProtection="1">
      <alignment horizontal="right"/>
      <protection locked="0"/>
    </xf>
    <xf numFmtId="168" fontId="0" fillId="9" borderId="122" xfId="0" applyNumberFormat="1" applyFill="1" applyBorder="1" applyAlignment="1" applyProtection="1">
      <alignment horizontal="right"/>
      <protection locked="0"/>
    </xf>
    <xf numFmtId="168" fontId="0" fillId="9" borderId="93" xfId="0" applyNumberFormat="1" applyFill="1" applyBorder="1" applyAlignment="1" applyProtection="1">
      <alignment horizontal="right"/>
      <protection locked="0"/>
    </xf>
    <xf numFmtId="168" fontId="0" fillId="9" borderId="192" xfId="0" applyNumberFormat="1" applyFill="1" applyBorder="1" applyAlignment="1" applyProtection="1">
      <alignment horizontal="center"/>
      <protection locked="0"/>
    </xf>
    <xf numFmtId="0" fontId="0" fillId="9" borderId="207" xfId="0" applyFill="1" applyBorder="1" applyAlignment="1" applyProtection="1">
      <alignment horizontal="left" vertical="center" indent="1"/>
      <protection locked="0"/>
    </xf>
    <xf numFmtId="172" fontId="16" fillId="9" borderId="95" xfId="0" applyNumberFormat="1" applyFont="1" applyFill="1" applyBorder="1" applyAlignment="1">
      <alignment horizontal="center"/>
    </xf>
    <xf numFmtId="172" fontId="14" fillId="9" borderId="90" xfId="0" applyNumberFormat="1" applyFont="1" applyFill="1" applyBorder="1" applyAlignment="1">
      <alignment horizontal="center"/>
    </xf>
    <xf numFmtId="172" fontId="16" fillId="9" borderId="95" xfId="0" applyNumberFormat="1" applyFont="1" applyFill="1" applyBorder="1" applyAlignment="1" applyProtection="1">
      <alignment horizontal="center"/>
      <protection locked="0"/>
    </xf>
    <xf numFmtId="172" fontId="14" fillId="9" borderId="90" xfId="0" applyNumberFormat="1" applyFont="1" applyFill="1" applyBorder="1" applyAlignment="1" applyProtection="1">
      <alignment horizontal="center"/>
      <protection locked="0"/>
    </xf>
    <xf numFmtId="0" fontId="16" fillId="6" borderId="0" xfId="0" applyFont="1" applyFill="1" applyAlignment="1">
      <alignment vertical="center"/>
    </xf>
    <xf numFmtId="0" fontId="16" fillId="0" borderId="0" xfId="0" applyFont="1" applyAlignment="1">
      <alignment horizontal="left" vertical="center"/>
    </xf>
    <xf numFmtId="10" fontId="20" fillId="0" borderId="0" xfId="0" applyNumberFormat="1" applyFont="1" applyAlignment="1">
      <alignment horizontal="center" vertical="top"/>
    </xf>
    <xf numFmtId="0" fontId="2" fillId="9" borderId="194" xfId="0" applyFont="1" applyFill="1" applyBorder="1" applyAlignment="1" applyProtection="1">
      <alignment horizontal="left" vertical="center" indent="1"/>
      <protection locked="0"/>
    </xf>
    <xf numFmtId="168" fontId="12" fillId="6" borderId="0" xfId="0" applyNumberFormat="1" applyFont="1" applyFill="1"/>
    <xf numFmtId="174" fontId="0" fillId="6" borderId="269" xfId="0" applyNumberFormat="1" applyFill="1" applyBorder="1" applyAlignment="1">
      <alignment horizontal="center"/>
    </xf>
    <xf numFmtId="165" fontId="12" fillId="6" borderId="270" xfId="0" applyNumberFormat="1" applyFont="1" applyFill="1" applyBorder="1" applyAlignment="1">
      <alignment horizontal="center"/>
    </xf>
    <xf numFmtId="168" fontId="0" fillId="9" borderId="271" xfId="0" applyNumberFormat="1" applyFill="1" applyBorder="1" applyAlignment="1">
      <alignment horizontal="right"/>
    </xf>
    <xf numFmtId="168" fontId="1" fillId="6" borderId="272" xfId="0" applyNumberFormat="1" applyFont="1" applyFill="1" applyBorder="1" applyAlignment="1">
      <alignment horizontal="right"/>
    </xf>
    <xf numFmtId="166" fontId="1" fillId="6" borderId="272" xfId="1" applyNumberFormat="1" applyFont="1" applyFill="1" applyBorder="1" applyAlignment="1">
      <alignment horizontal="center"/>
    </xf>
    <xf numFmtId="174" fontId="0" fillId="0" borderId="269" xfId="0" applyNumberFormat="1" applyBorder="1" applyAlignment="1">
      <alignment horizontal="center"/>
    </xf>
    <xf numFmtId="165" fontId="12" fillId="0" borderId="270" xfId="0" applyNumberFormat="1" applyFont="1" applyBorder="1" applyAlignment="1">
      <alignment horizontal="center"/>
    </xf>
    <xf numFmtId="168" fontId="0" fillId="9" borderId="271" xfId="0" applyNumberFormat="1" applyFill="1" applyBorder="1" applyAlignment="1" applyProtection="1">
      <alignment horizontal="right"/>
      <protection locked="0"/>
    </xf>
    <xf numFmtId="168" fontId="1" fillId="0" borderId="272" xfId="0" applyNumberFormat="1" applyFont="1" applyBorder="1" applyAlignment="1">
      <alignment horizontal="right"/>
    </xf>
    <xf numFmtId="166" fontId="1" fillId="0" borderId="272" xfId="1" applyNumberFormat="1" applyFont="1" applyFill="1" applyBorder="1" applyAlignment="1">
      <alignment horizontal="center"/>
    </xf>
    <xf numFmtId="168" fontId="12" fillId="0" borderId="0" xfId="0" applyNumberFormat="1" applyFont="1"/>
    <xf numFmtId="0" fontId="27" fillId="0" borderId="184" xfId="0" applyFont="1" applyBorder="1" applyAlignment="1">
      <alignment horizontal="center" vertical="center"/>
    </xf>
    <xf numFmtId="0" fontId="27" fillId="0" borderId="194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1" fillId="0" borderId="15" xfId="0" applyNumberFormat="1" applyFont="1" applyBorder="1" applyAlignment="1">
      <alignment horizontal="right" vertical="center"/>
    </xf>
    <xf numFmtId="0" fontId="1" fillId="0" borderId="39" xfId="0" applyFont="1" applyBorder="1" applyAlignment="1">
      <alignment horizontal="right" vertical="center"/>
    </xf>
    <xf numFmtId="164" fontId="0" fillId="9" borderId="96" xfId="0" applyNumberFormat="1" applyFill="1" applyBorder="1" applyAlignment="1" applyProtection="1">
      <alignment horizontal="center" vertical="center"/>
      <protection locked="0"/>
    </xf>
    <xf numFmtId="164" fontId="0" fillId="9" borderId="95" xfId="0" applyNumberFormat="1" applyFill="1" applyBorder="1" applyAlignment="1" applyProtection="1">
      <alignment horizontal="center" vertical="center"/>
      <protection locked="0"/>
    </xf>
    <xf numFmtId="0" fontId="0" fillId="6" borderId="92" xfId="0" applyFill="1" applyBorder="1" applyAlignment="1">
      <alignment horizontal="right"/>
    </xf>
    <xf numFmtId="0" fontId="0" fillId="6" borderId="91" xfId="0" applyFill="1" applyBorder="1" applyAlignment="1">
      <alignment horizontal="right"/>
    </xf>
    <xf numFmtId="166" fontId="1" fillId="0" borderId="33" xfId="1" applyNumberFormat="1" applyFont="1" applyFill="1" applyBorder="1" applyAlignment="1">
      <alignment horizontal="right" vertical="center"/>
    </xf>
    <xf numFmtId="166" fontId="1" fillId="0" borderId="182" xfId="1" applyNumberFormat="1" applyFont="1" applyFill="1" applyBorder="1" applyAlignment="1">
      <alignment horizontal="right" vertical="center"/>
    </xf>
    <xf numFmtId="0" fontId="32" fillId="0" borderId="136" xfId="0" applyFont="1" applyBorder="1" applyAlignment="1">
      <alignment horizontal="center"/>
    </xf>
    <xf numFmtId="0" fontId="33" fillId="9" borderId="113" xfId="0" applyFont="1" applyFill="1" applyBorder="1" applyAlignment="1">
      <alignment horizontal="center" vertical="center"/>
    </xf>
    <xf numFmtId="0" fontId="33" fillId="9" borderId="174" xfId="0" applyFont="1" applyFill="1" applyBorder="1" applyAlignment="1">
      <alignment horizontal="center" vertical="center"/>
    </xf>
    <xf numFmtId="0" fontId="3" fillId="10" borderId="259" xfId="0" applyFont="1" applyFill="1" applyBorder="1" applyAlignment="1">
      <alignment horizontal="left" vertical="center"/>
    </xf>
    <xf numFmtId="0" fontId="3" fillId="10" borderId="260" xfId="0" applyFont="1" applyFill="1" applyBorder="1" applyAlignment="1">
      <alignment horizontal="left" vertical="center"/>
    </xf>
    <xf numFmtId="9" fontId="0" fillId="10" borderId="172" xfId="0" applyNumberFormat="1" applyFill="1" applyBorder="1" applyAlignment="1">
      <alignment horizontal="left" indent="1"/>
    </xf>
    <xf numFmtId="9" fontId="0" fillId="10" borderId="164" xfId="0" applyNumberFormat="1" applyFill="1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181" xfId="0" applyBorder="1" applyAlignment="1">
      <alignment horizontal="left" indent="1"/>
    </xf>
    <xf numFmtId="0" fontId="16" fillId="0" borderId="91" xfId="0" applyFont="1" applyBorder="1" applyAlignment="1">
      <alignment horizontal="center" vertical="center"/>
    </xf>
    <xf numFmtId="0" fontId="16" fillId="0" borderId="90" xfId="0" applyFont="1" applyBorder="1" applyAlignment="1">
      <alignment horizontal="center" vertical="center"/>
    </xf>
    <xf numFmtId="0" fontId="16" fillId="0" borderId="87" xfId="0" applyFont="1" applyBorder="1" applyAlignment="1">
      <alignment horizontal="center" vertical="center"/>
    </xf>
    <xf numFmtId="0" fontId="16" fillId="0" borderId="93" xfId="0" applyFont="1" applyBorder="1" applyAlignment="1">
      <alignment horizontal="center" vertical="center"/>
    </xf>
    <xf numFmtId="175" fontId="1" fillId="0" borderId="0" xfId="0" applyNumberFormat="1" applyFont="1" applyAlignment="1">
      <alignment horizontal="left" vertical="center" indent="1"/>
    </xf>
    <xf numFmtId="175" fontId="1" fillId="0" borderId="136" xfId="0" applyNumberFormat="1" applyFont="1" applyBorder="1" applyAlignment="1">
      <alignment horizontal="left" vertical="center" indent="1"/>
    </xf>
    <xf numFmtId="0" fontId="27" fillId="0" borderId="0" xfId="0" applyFont="1" applyAlignment="1">
      <alignment horizontal="center"/>
    </xf>
    <xf numFmtId="0" fontId="27" fillId="0" borderId="44" xfId="0" applyFont="1" applyBorder="1" applyAlignment="1">
      <alignment horizontal="center"/>
    </xf>
    <xf numFmtId="168" fontId="1" fillId="0" borderId="149" xfId="0" applyNumberFormat="1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166" fontId="1" fillId="0" borderId="149" xfId="1" applyNumberFormat="1" applyFont="1" applyFill="1" applyBorder="1" applyAlignment="1">
      <alignment horizontal="right" vertical="center"/>
    </xf>
    <xf numFmtId="166" fontId="1" fillId="0" borderId="0" xfId="1" applyNumberFormat="1" applyFont="1" applyFill="1" applyBorder="1" applyAlignment="1">
      <alignment horizontal="right" vertical="center"/>
    </xf>
    <xf numFmtId="0" fontId="3" fillId="0" borderId="243" xfId="0" applyFont="1" applyBorder="1" applyAlignment="1">
      <alignment horizontal="center" vertical="center" textRotation="90"/>
    </xf>
    <xf numFmtId="0" fontId="3" fillId="0" borderId="244" xfId="0" applyFont="1" applyBorder="1" applyAlignment="1">
      <alignment horizontal="center" vertical="center" textRotation="90"/>
    </xf>
    <xf numFmtId="0" fontId="3" fillId="0" borderId="245" xfId="0" applyFont="1" applyBorder="1" applyAlignment="1">
      <alignment horizontal="center" vertical="center" textRotation="90"/>
    </xf>
    <xf numFmtId="0" fontId="33" fillId="5" borderId="113" xfId="0" applyFont="1" applyFill="1" applyBorder="1" applyAlignment="1">
      <alignment horizontal="center" vertical="center"/>
    </xf>
    <xf numFmtId="0" fontId="33" fillId="5" borderId="174" xfId="0" applyFont="1" applyFill="1" applyBorder="1" applyAlignment="1">
      <alignment horizontal="center" vertical="center"/>
    </xf>
    <xf numFmtId="0" fontId="16" fillId="11" borderId="113" xfId="0" applyFont="1" applyFill="1" applyBorder="1" applyAlignment="1">
      <alignment horizontal="center"/>
    </xf>
    <xf numFmtId="0" fontId="16" fillId="11" borderId="174" xfId="0" applyFont="1" applyFill="1" applyBorder="1" applyAlignment="1">
      <alignment horizontal="center"/>
    </xf>
    <xf numFmtId="0" fontId="16" fillId="12" borderId="113" xfId="0" applyFont="1" applyFill="1" applyBorder="1" applyAlignment="1">
      <alignment horizontal="center"/>
    </xf>
    <xf numFmtId="0" fontId="16" fillId="12" borderId="174" xfId="0" applyFont="1" applyFill="1" applyBorder="1" applyAlignment="1">
      <alignment horizontal="center"/>
    </xf>
    <xf numFmtId="0" fontId="2" fillId="0" borderId="172" xfId="0" applyFont="1" applyBorder="1" applyAlignment="1">
      <alignment horizontal="center" vertical="center"/>
    </xf>
    <xf numFmtId="0" fontId="3" fillId="10" borderId="258" xfId="0" applyFont="1" applyFill="1" applyBorder="1" applyAlignment="1">
      <alignment horizontal="left" vertical="center"/>
    </xf>
    <xf numFmtId="0" fontId="3" fillId="10" borderId="227" xfId="0" applyFont="1" applyFill="1" applyBorder="1" applyAlignment="1">
      <alignment horizontal="left" vertical="center"/>
    </xf>
    <xf numFmtId="0" fontId="2" fillId="0" borderId="134" xfId="0" applyFont="1" applyBorder="1" applyAlignment="1">
      <alignment horizontal="right" vertical="center" indent="1"/>
    </xf>
    <xf numFmtId="0" fontId="2" fillId="0" borderId="129" xfId="0" applyFont="1" applyBorder="1" applyAlignment="1">
      <alignment horizontal="right" vertical="center" indent="1"/>
    </xf>
    <xf numFmtId="0" fontId="27" fillId="0" borderId="209" xfId="0" applyFont="1" applyBorder="1" applyAlignment="1">
      <alignment horizontal="center" vertical="center"/>
    </xf>
    <xf numFmtId="0" fontId="27" fillId="0" borderId="210" xfId="0" applyFont="1" applyBorder="1" applyAlignment="1">
      <alignment horizontal="center" vertical="center"/>
    </xf>
    <xf numFmtId="0" fontId="27" fillId="0" borderId="211" xfId="0" applyFont="1" applyBorder="1" applyAlignment="1">
      <alignment horizontal="center" vertical="center"/>
    </xf>
    <xf numFmtId="0" fontId="0" fillId="0" borderId="219" xfId="0" applyBorder="1" applyAlignment="1">
      <alignment horizontal="center"/>
    </xf>
    <xf numFmtId="0" fontId="0" fillId="0" borderId="129" xfId="0" applyBorder="1" applyAlignment="1">
      <alignment horizont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113" xfId="0" applyBorder="1" applyAlignment="1">
      <alignment horizontal="right"/>
    </xf>
    <xf numFmtId="0" fontId="0" fillId="0" borderId="227" xfId="0" applyBorder="1" applyAlignment="1">
      <alignment horizontal="right"/>
    </xf>
    <xf numFmtId="0" fontId="0" fillId="0" borderId="194" xfId="0" applyBorder="1" applyAlignment="1">
      <alignment horizontal="right"/>
    </xf>
    <xf numFmtId="0" fontId="3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/>
    </xf>
    <xf numFmtId="0" fontId="0" fillId="0" borderId="121" xfId="0" applyBorder="1" applyAlignment="1">
      <alignment horizontal="right" vertical="center" indent="1"/>
    </xf>
    <xf numFmtId="0" fontId="0" fillId="0" borderId="120" xfId="0" applyBorder="1" applyAlignment="1">
      <alignment horizontal="right" vertical="center" indent="1"/>
    </xf>
    <xf numFmtId="0" fontId="0" fillId="0" borderId="130" xfId="0" applyBorder="1" applyAlignment="1">
      <alignment horizontal="left" indent="1"/>
    </xf>
    <xf numFmtId="0" fontId="0" fillId="0" borderId="129" xfId="0" applyBorder="1" applyAlignment="1">
      <alignment horizontal="left" indent="1"/>
    </xf>
    <xf numFmtId="0" fontId="0" fillId="0" borderId="128" xfId="0" applyBorder="1" applyAlignment="1">
      <alignment horizontal="left" indent="1"/>
    </xf>
    <xf numFmtId="0" fontId="0" fillId="0" borderId="124" xfId="0" applyBorder="1" applyAlignment="1">
      <alignment horizontal="left" indent="1"/>
    </xf>
    <xf numFmtId="0" fontId="0" fillId="0" borderId="123" xfId="0" applyBorder="1" applyAlignment="1">
      <alignment horizontal="left" indent="1"/>
    </xf>
    <xf numFmtId="0" fontId="0" fillId="0" borderId="122" xfId="0" applyBorder="1" applyAlignment="1">
      <alignment horizontal="left" indent="1"/>
    </xf>
    <xf numFmtId="0" fontId="0" fillId="9" borderId="87" xfId="0" applyFill="1" applyBorder="1" applyAlignment="1" applyProtection="1">
      <alignment horizontal="center" vertical="center"/>
      <protection locked="0"/>
    </xf>
    <xf numFmtId="0" fontId="0" fillId="9" borderId="93" xfId="0" applyFill="1" applyBorder="1" applyAlignment="1" applyProtection="1">
      <alignment horizontal="center" vertical="center"/>
      <protection locked="0"/>
    </xf>
    <xf numFmtId="166" fontId="1" fillId="0" borderId="33" xfId="1" applyNumberFormat="1" applyFont="1" applyFill="1" applyBorder="1" applyAlignment="1">
      <alignment horizontal="center" vertical="center"/>
    </xf>
    <xf numFmtId="166" fontId="1" fillId="0" borderId="14" xfId="1" applyNumberFormat="1" applyFont="1" applyFill="1" applyBorder="1" applyAlignment="1">
      <alignment horizontal="center" vertical="center"/>
    </xf>
    <xf numFmtId="166" fontId="1" fillId="0" borderId="182" xfId="1" applyNumberFormat="1" applyFont="1" applyFill="1" applyBorder="1" applyAlignment="1">
      <alignment horizontal="center" vertical="center"/>
    </xf>
    <xf numFmtId="14" fontId="14" fillId="0" borderId="0" xfId="0" applyNumberFormat="1" applyFont="1" applyAlignment="1">
      <alignment horizontal="right"/>
    </xf>
    <xf numFmtId="0" fontId="14" fillId="0" borderId="0" xfId="0" applyFont="1" applyAlignment="1">
      <alignment horizontal="right"/>
    </xf>
    <xf numFmtId="0" fontId="0" fillId="0" borderId="9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0" borderId="134" xfId="0" applyBorder="1" applyAlignment="1">
      <alignment horizontal="right" vertical="center" indent="1"/>
    </xf>
    <xf numFmtId="0" fontId="0" fillId="0" borderId="133" xfId="0" applyBorder="1" applyAlignment="1">
      <alignment horizontal="right" vertical="center" indent="1"/>
    </xf>
    <xf numFmtId="0" fontId="0" fillId="0" borderId="231" xfId="0" applyBorder="1" applyAlignment="1">
      <alignment horizontal="center" wrapText="1"/>
    </xf>
    <xf numFmtId="0" fontId="0" fillId="0" borderId="232" xfId="0" applyBorder="1" applyAlignment="1">
      <alignment horizontal="center" wrapText="1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right" vertical="center"/>
    </xf>
    <xf numFmtId="0" fontId="0" fillId="0" borderId="39" xfId="0" applyBorder="1" applyAlignment="1">
      <alignment horizontal="left" indent="1"/>
    </xf>
    <xf numFmtId="0" fontId="0" fillId="0" borderId="183" xfId="0" applyBorder="1" applyAlignment="1">
      <alignment horizontal="left" indent="1"/>
    </xf>
    <xf numFmtId="0" fontId="0" fillId="0" borderId="203" xfId="0" applyBorder="1" applyAlignment="1">
      <alignment horizontal="left" indent="1"/>
    </xf>
    <xf numFmtId="0" fontId="2" fillId="0" borderId="121" xfId="0" applyFont="1" applyBorder="1" applyAlignment="1">
      <alignment horizontal="right" vertical="center" indent="1"/>
    </xf>
    <xf numFmtId="0" fontId="2" fillId="0" borderId="116" xfId="0" applyFont="1" applyBorder="1" applyAlignment="1">
      <alignment horizontal="right" vertical="center" indent="1"/>
    </xf>
    <xf numFmtId="0" fontId="0" fillId="0" borderId="52" xfId="0" applyBorder="1" applyAlignment="1">
      <alignment horizontal="left" indent="1"/>
    </xf>
    <xf numFmtId="9" fontId="0" fillId="0" borderId="204" xfId="0" applyNumberFormat="1" applyBorder="1" applyAlignment="1">
      <alignment horizontal="left" indent="1"/>
    </xf>
    <xf numFmtId="9" fontId="0" fillId="0" borderId="157" xfId="0" applyNumberFormat="1" applyBorder="1" applyAlignment="1">
      <alignment horizontal="left" indent="1"/>
    </xf>
    <xf numFmtId="9" fontId="0" fillId="0" borderId="156" xfId="0" applyNumberFormat="1" applyBorder="1" applyAlignment="1">
      <alignment horizontal="left" indent="1"/>
    </xf>
    <xf numFmtId="0" fontId="0" fillId="0" borderId="149" xfId="0" applyBorder="1" applyAlignment="1">
      <alignment horizontal="left" indent="1"/>
    </xf>
    <xf numFmtId="0" fontId="0" fillId="0" borderId="148" xfId="0" applyBorder="1" applyAlignment="1">
      <alignment horizontal="left" indent="1"/>
    </xf>
    <xf numFmtId="168" fontId="1" fillId="0" borderId="15" xfId="0" applyNumberFormat="1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168" fontId="1" fillId="0" borderId="39" xfId="0" applyNumberFormat="1" applyFont="1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86" xfId="0" applyBorder="1" applyAlignment="1">
      <alignment horizontal="right" vertical="center" indent="1"/>
    </xf>
    <xf numFmtId="0" fontId="0" fillId="0" borderId="187" xfId="0" applyBorder="1" applyAlignment="1">
      <alignment horizontal="right" vertical="center" indent="1"/>
    </xf>
    <xf numFmtId="0" fontId="2" fillId="0" borderId="94" xfId="0" applyFont="1" applyBorder="1" applyAlignment="1">
      <alignment horizontal="right" indent="1"/>
    </xf>
    <xf numFmtId="0" fontId="2" fillId="0" borderId="87" xfId="0" applyFont="1" applyBorder="1" applyAlignment="1">
      <alignment horizontal="right" indent="1"/>
    </xf>
    <xf numFmtId="0" fontId="2" fillId="0" borderId="97" xfId="0" applyFont="1" applyBorder="1" applyAlignment="1">
      <alignment horizontal="right" indent="1"/>
    </xf>
    <xf numFmtId="0" fontId="2" fillId="0" borderId="96" xfId="0" applyFont="1" applyBorder="1" applyAlignment="1">
      <alignment horizontal="right" indent="1"/>
    </xf>
    <xf numFmtId="0" fontId="16" fillId="0" borderId="114" xfId="0" applyFont="1" applyBorder="1" applyAlignment="1">
      <alignment horizontal="left" indent="1"/>
    </xf>
    <xf numFmtId="0" fontId="16" fillId="0" borderId="0" xfId="0" applyFont="1" applyAlignment="1">
      <alignment horizontal="left" indent="1"/>
    </xf>
    <xf numFmtId="0" fontId="0" fillId="0" borderId="216" xfId="0" applyBorder="1" applyAlignment="1">
      <alignment horizontal="center" wrapText="1"/>
    </xf>
    <xf numFmtId="0" fontId="0" fillId="0" borderId="217" xfId="0" applyBorder="1" applyAlignment="1">
      <alignment horizontal="center" wrapText="1"/>
    </xf>
    <xf numFmtId="0" fontId="0" fillId="0" borderId="190" xfId="0" applyBorder="1" applyAlignment="1">
      <alignment horizontal="center" textRotation="90"/>
    </xf>
    <xf numFmtId="0" fontId="0" fillId="0" borderId="191" xfId="0" applyBorder="1" applyAlignment="1">
      <alignment horizontal="center" textRotation="90"/>
    </xf>
    <xf numFmtId="0" fontId="2" fillId="0" borderId="100" xfId="0" applyFont="1" applyBorder="1" applyAlignment="1">
      <alignment horizontal="right" indent="1"/>
    </xf>
    <xf numFmtId="0" fontId="2" fillId="0" borderId="99" xfId="0" applyFont="1" applyBorder="1" applyAlignment="1">
      <alignment horizontal="right" indent="1"/>
    </xf>
    <xf numFmtId="0" fontId="2" fillId="0" borderId="92" xfId="0" applyFont="1" applyBorder="1" applyAlignment="1">
      <alignment horizontal="right" indent="1"/>
    </xf>
    <xf numFmtId="0" fontId="2" fillId="0" borderId="91" xfId="0" applyFont="1" applyBorder="1" applyAlignment="1">
      <alignment horizontal="right" indent="1"/>
    </xf>
    <xf numFmtId="0" fontId="0" fillId="0" borderId="0" xfId="0" applyAlignment="1">
      <alignment horizontal="left" indent="1"/>
    </xf>
    <xf numFmtId="0" fontId="0" fillId="0" borderId="139" xfId="0" applyBorder="1" applyAlignment="1">
      <alignment horizontal="left" indent="1"/>
    </xf>
    <xf numFmtId="168" fontId="16" fillId="9" borderId="255" xfId="0" applyNumberFormat="1" applyFont="1" applyFill="1" applyBorder="1" applyAlignment="1" applyProtection="1">
      <alignment horizontal="center" vertical="center"/>
      <protection locked="0"/>
    </xf>
    <xf numFmtId="168" fontId="16" fillId="9" borderId="256" xfId="0" applyNumberFormat="1" applyFont="1" applyFill="1" applyBorder="1" applyAlignment="1" applyProtection="1">
      <alignment horizontal="center" vertical="center"/>
      <protection locked="0"/>
    </xf>
    <xf numFmtId="9" fontId="3" fillId="10" borderId="142" xfId="0" applyNumberFormat="1" applyFont="1" applyFill="1" applyBorder="1" applyAlignment="1">
      <alignment horizontal="left" vertical="center"/>
    </xf>
    <xf numFmtId="9" fontId="3" fillId="10" borderId="141" xfId="0" applyNumberFormat="1" applyFont="1" applyFill="1" applyBorder="1" applyAlignment="1">
      <alignment horizontal="left" vertical="center"/>
    </xf>
    <xf numFmtId="0" fontId="0" fillId="0" borderId="127" xfId="0" applyBorder="1" applyAlignment="1">
      <alignment horizontal="right" vertical="center" indent="1"/>
    </xf>
    <xf numFmtId="0" fontId="0" fillId="0" borderId="126" xfId="0" applyBorder="1" applyAlignment="1">
      <alignment horizontal="right" vertical="center" indent="1"/>
    </xf>
    <xf numFmtId="0" fontId="0" fillId="0" borderId="117" xfId="0" applyBorder="1" applyAlignment="1">
      <alignment horizontal="left" indent="1"/>
    </xf>
    <xf numFmtId="0" fontId="0" fillId="0" borderId="116" xfId="0" applyBorder="1" applyAlignment="1">
      <alignment horizontal="left" indent="1"/>
    </xf>
    <xf numFmtId="0" fontId="0" fillId="0" borderId="115" xfId="0" applyBorder="1" applyAlignment="1">
      <alignment horizontal="left" indent="1"/>
    </xf>
    <xf numFmtId="9" fontId="2" fillId="0" borderId="204" xfId="0" applyNumberFormat="1" applyFont="1" applyBorder="1" applyAlignment="1">
      <alignment horizontal="left" indent="1"/>
    </xf>
    <xf numFmtId="9" fontId="2" fillId="0" borderId="157" xfId="0" applyNumberFormat="1" applyFont="1" applyBorder="1" applyAlignment="1">
      <alignment horizontal="left" indent="1"/>
    </xf>
    <xf numFmtId="9" fontId="2" fillId="0" borderId="156" xfId="0" applyNumberFormat="1" applyFont="1" applyBorder="1" applyAlignment="1">
      <alignment horizontal="left" indent="1"/>
    </xf>
    <xf numFmtId="9" fontId="0" fillId="10" borderId="206" xfId="0" applyNumberFormat="1" applyFill="1" applyBorder="1" applyAlignment="1">
      <alignment horizontal="left" indent="1"/>
    </xf>
    <xf numFmtId="9" fontId="0" fillId="10" borderId="141" xfId="0" applyNumberFormat="1" applyFill="1" applyBorder="1" applyAlignment="1">
      <alignment horizontal="left" indent="1"/>
    </xf>
    <xf numFmtId="9" fontId="0" fillId="10" borderId="140" xfId="0" applyNumberFormat="1" applyFill="1" applyBorder="1" applyAlignment="1">
      <alignment horizontal="left" indent="1"/>
    </xf>
    <xf numFmtId="0" fontId="0" fillId="10" borderId="144" xfId="0" applyFill="1" applyBorder="1" applyAlignment="1">
      <alignment horizontal="left" indent="1"/>
    </xf>
    <xf numFmtId="0" fontId="0" fillId="10" borderId="143" xfId="0" applyFill="1" applyBorder="1" applyAlignment="1">
      <alignment horizontal="left" indent="1"/>
    </xf>
    <xf numFmtId="0" fontId="0" fillId="10" borderId="149" xfId="0" applyFill="1" applyBorder="1" applyAlignment="1">
      <alignment horizontal="left" indent="1"/>
    </xf>
    <xf numFmtId="0" fontId="0" fillId="10" borderId="148" xfId="0" applyFill="1" applyBorder="1" applyAlignment="1">
      <alignment horizontal="left" indent="1"/>
    </xf>
    <xf numFmtId="9" fontId="6" fillId="0" borderId="158" xfId="0" applyNumberFormat="1" applyFont="1" applyBorder="1" applyAlignment="1">
      <alignment horizontal="left" vertical="center"/>
    </xf>
    <xf numFmtId="9" fontId="6" fillId="0" borderId="157" xfId="0" applyNumberFormat="1" applyFont="1" applyBorder="1" applyAlignment="1">
      <alignment horizontal="left" vertical="center"/>
    </xf>
    <xf numFmtId="9" fontId="3" fillId="10" borderId="151" xfId="0" applyNumberFormat="1" applyFont="1" applyFill="1" applyBorder="1" applyAlignment="1">
      <alignment horizontal="center" vertical="center" textRotation="90"/>
    </xf>
    <xf numFmtId="9" fontId="3" fillId="10" borderId="114" xfId="0" applyNumberFormat="1" applyFont="1" applyFill="1" applyBorder="1" applyAlignment="1">
      <alignment horizontal="center" vertical="center" textRotation="90"/>
    </xf>
    <xf numFmtId="9" fontId="3" fillId="10" borderId="138" xfId="0" applyNumberFormat="1" applyFont="1" applyFill="1" applyBorder="1" applyAlignment="1">
      <alignment horizontal="center" vertical="center" textRotation="90"/>
    </xf>
    <xf numFmtId="0" fontId="0" fillId="0" borderId="0" xfId="0" applyAlignment="1">
      <alignment horizontal="center"/>
    </xf>
    <xf numFmtId="176" fontId="20" fillId="0" borderId="0" xfId="0" applyNumberFormat="1" applyFont="1" applyAlignment="1">
      <alignment horizontal="left" vertical="top"/>
    </xf>
    <xf numFmtId="176" fontId="20" fillId="0" borderId="139" xfId="0" applyNumberFormat="1" applyFont="1" applyBorder="1" applyAlignment="1">
      <alignment horizontal="left" vertical="top"/>
    </xf>
    <xf numFmtId="0" fontId="27" fillId="0" borderId="266" xfId="0" applyFont="1" applyBorder="1" applyAlignment="1">
      <alignment horizontal="center" vertical="center"/>
    </xf>
    <xf numFmtId="0" fontId="27" fillId="0" borderId="267" xfId="0" applyFont="1" applyBorder="1" applyAlignment="1">
      <alignment horizontal="center" vertical="center"/>
    </xf>
    <xf numFmtId="0" fontId="27" fillId="0" borderId="268" xfId="0" applyFont="1" applyBorder="1" applyAlignment="1">
      <alignment horizontal="center" vertical="center"/>
    </xf>
    <xf numFmtId="0" fontId="32" fillId="6" borderId="136" xfId="0" applyFont="1" applyFill="1" applyBorder="1" applyAlignment="1">
      <alignment horizontal="center"/>
    </xf>
    <xf numFmtId="0" fontId="16" fillId="0" borderId="264" xfId="0" applyFont="1" applyBorder="1" applyAlignment="1">
      <alignment horizontal="center" vertical="center"/>
    </xf>
    <xf numFmtId="0" fontId="16" fillId="0" borderId="265" xfId="0" applyFont="1" applyBorder="1" applyAlignment="1">
      <alignment horizontal="center" vertical="center"/>
    </xf>
    <xf numFmtId="0" fontId="16" fillId="0" borderId="124" xfId="0" applyFont="1" applyBorder="1" applyAlignment="1">
      <alignment horizontal="center" vertical="center"/>
    </xf>
    <xf numFmtId="0" fontId="16" fillId="0" borderId="122" xfId="0" applyFont="1" applyBorder="1" applyAlignment="1">
      <alignment horizontal="center" vertical="center"/>
    </xf>
    <xf numFmtId="14" fontId="14" fillId="6" borderId="0" xfId="0" applyNumberFormat="1" applyFont="1" applyFill="1" applyAlignment="1">
      <alignment horizontal="right"/>
    </xf>
    <xf numFmtId="0" fontId="14" fillId="6" borderId="0" xfId="0" applyFont="1" applyFill="1" applyAlignment="1">
      <alignment horizontal="right"/>
    </xf>
    <xf numFmtId="2" fontId="2" fillId="6" borderId="0" xfId="0" applyNumberFormat="1" applyFont="1" applyFill="1" applyAlignment="1">
      <alignment horizontal="center" textRotation="90"/>
    </xf>
    <xf numFmtId="168" fontId="0" fillId="6" borderId="0" xfId="0" applyNumberFormat="1" applyFill="1" applyAlignment="1">
      <alignment horizontal="center" textRotation="90"/>
    </xf>
    <xf numFmtId="0" fontId="0" fillId="6" borderId="0" xfId="0" applyFill="1" applyAlignment="1">
      <alignment horizontal="center" textRotation="90"/>
    </xf>
    <xf numFmtId="0" fontId="22" fillId="6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right" vertical="center"/>
    </xf>
    <xf numFmtId="0" fontId="23" fillId="6" borderId="0" xfId="0" applyFont="1" applyFill="1" applyAlignment="1">
      <alignment horizontal="left" vertical="center"/>
    </xf>
    <xf numFmtId="164" fontId="0" fillId="9" borderId="96" xfId="0" applyNumberFormat="1" applyFill="1" applyBorder="1" applyAlignment="1">
      <alignment horizontal="center" vertical="center"/>
    </xf>
    <xf numFmtId="164" fontId="0" fillId="9" borderId="95" xfId="0" applyNumberFormat="1" applyFill="1" applyBorder="1" applyAlignment="1">
      <alignment horizontal="center" vertical="center"/>
    </xf>
    <xf numFmtId="9" fontId="0" fillId="2" borderId="172" xfId="0" applyNumberFormat="1" applyFill="1" applyBorder="1" applyAlignment="1">
      <alignment horizontal="left" indent="1"/>
    </xf>
    <xf numFmtId="9" fontId="0" fillId="2" borderId="164" xfId="0" applyNumberFormat="1" applyFill="1" applyBorder="1" applyAlignment="1">
      <alignment horizontal="left" indent="1"/>
    </xf>
    <xf numFmtId="0" fontId="0" fillId="9" borderId="87" xfId="0" applyFill="1" applyBorder="1" applyAlignment="1">
      <alignment horizontal="center" vertical="center"/>
    </xf>
    <xf numFmtId="0" fontId="0" fillId="9" borderId="93" xfId="0" applyFill="1" applyBorder="1" applyAlignment="1">
      <alignment horizontal="center" vertical="center"/>
    </xf>
    <xf numFmtId="0" fontId="27" fillId="6" borderId="0" xfId="0" applyFont="1" applyFill="1" applyAlignment="1">
      <alignment horizontal="center"/>
    </xf>
    <xf numFmtId="0" fontId="27" fillId="6" borderId="44" xfId="0" applyFont="1" applyFill="1" applyBorder="1" applyAlignment="1">
      <alignment horizontal="center"/>
    </xf>
    <xf numFmtId="0" fontId="27" fillId="6" borderId="184" xfId="0" applyFont="1" applyFill="1" applyBorder="1" applyAlignment="1">
      <alignment horizontal="center" vertical="center"/>
    </xf>
    <xf numFmtId="0" fontId="27" fillId="6" borderId="194" xfId="0" applyFont="1" applyFill="1" applyBorder="1" applyAlignment="1">
      <alignment horizontal="center" vertical="center"/>
    </xf>
    <xf numFmtId="0" fontId="16" fillId="0" borderId="117" xfId="0" applyFont="1" applyBorder="1" applyAlignment="1">
      <alignment horizontal="center" vertical="center"/>
    </xf>
    <xf numFmtId="0" fontId="16" fillId="0" borderId="115" xfId="0" applyFont="1" applyBorder="1" applyAlignment="1">
      <alignment horizontal="center" vertical="center"/>
    </xf>
    <xf numFmtId="175" fontId="1" fillId="6" borderId="0" xfId="0" applyNumberFormat="1" applyFont="1" applyFill="1" applyAlignment="1">
      <alignment horizontal="left" vertical="center" indent="1"/>
    </xf>
    <xf numFmtId="175" fontId="1" fillId="6" borderId="136" xfId="0" applyNumberFormat="1" applyFont="1" applyFill="1" applyBorder="1" applyAlignment="1">
      <alignment horizontal="left" vertical="center" indent="1"/>
    </xf>
    <xf numFmtId="0" fontId="6" fillId="6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3" fillId="6" borderId="243" xfId="0" applyFont="1" applyFill="1" applyBorder="1" applyAlignment="1">
      <alignment horizontal="center" vertical="center" textRotation="90"/>
    </xf>
    <xf numFmtId="0" fontId="3" fillId="6" borderId="244" xfId="0" applyFont="1" applyFill="1" applyBorder="1" applyAlignment="1">
      <alignment horizontal="center" vertical="center" textRotation="90"/>
    </xf>
    <xf numFmtId="0" fontId="3" fillId="6" borderId="245" xfId="0" applyFont="1" applyFill="1" applyBorder="1" applyAlignment="1">
      <alignment horizontal="center" vertical="center" textRotation="90"/>
    </xf>
    <xf numFmtId="166" fontId="1" fillId="8" borderId="149" xfId="1" applyNumberFormat="1" applyFont="1" applyFill="1" applyBorder="1" applyAlignment="1">
      <alignment horizontal="right" vertical="center"/>
    </xf>
    <xf numFmtId="166" fontId="1" fillId="8" borderId="0" xfId="1" applyNumberFormat="1" applyFont="1" applyFill="1" applyBorder="1" applyAlignment="1">
      <alignment horizontal="right" vertical="center"/>
    </xf>
    <xf numFmtId="168" fontId="1" fillId="8" borderId="149" xfId="0" applyNumberFormat="1" applyFont="1" applyFill="1" applyBorder="1" applyAlignment="1">
      <alignment horizontal="right" vertical="center"/>
    </xf>
    <xf numFmtId="0" fontId="1" fillId="8" borderId="0" xfId="0" applyFont="1" applyFill="1" applyAlignment="1">
      <alignment horizontal="right" vertical="center"/>
    </xf>
    <xf numFmtId="0" fontId="0" fillId="8" borderId="149" xfId="0" applyFill="1" applyBorder="1" applyAlignment="1">
      <alignment horizontal="left" indent="1"/>
    </xf>
    <xf numFmtId="0" fontId="0" fillId="8" borderId="148" xfId="0" applyFill="1" applyBorder="1" applyAlignment="1">
      <alignment horizontal="left" indent="1"/>
    </xf>
    <xf numFmtId="0" fontId="0" fillId="8" borderId="52" xfId="0" applyFill="1" applyBorder="1" applyAlignment="1">
      <alignment horizontal="left" indent="1"/>
    </xf>
    <xf numFmtId="0" fontId="0" fillId="8" borderId="39" xfId="0" applyFill="1" applyBorder="1" applyAlignment="1">
      <alignment horizontal="left" indent="1"/>
    </xf>
    <xf numFmtId="0" fontId="0" fillId="8" borderId="183" xfId="0" applyFill="1" applyBorder="1" applyAlignment="1">
      <alignment horizontal="left" indent="1"/>
    </xf>
    <xf numFmtId="166" fontId="1" fillId="8" borderId="33" xfId="1" applyNumberFormat="1" applyFont="1" applyFill="1" applyBorder="1" applyAlignment="1">
      <alignment horizontal="right" vertical="center"/>
    </xf>
    <xf numFmtId="166" fontId="1" fillId="8" borderId="182" xfId="1" applyNumberFormat="1" applyFont="1" applyFill="1" applyBorder="1" applyAlignment="1">
      <alignment horizontal="right" vertical="center"/>
    </xf>
    <xf numFmtId="168" fontId="1" fillId="8" borderId="15" xfId="0" applyNumberFormat="1" applyFont="1" applyFill="1" applyBorder="1" applyAlignment="1">
      <alignment horizontal="right" vertical="center"/>
    </xf>
    <xf numFmtId="0" fontId="1" fillId="8" borderId="39" xfId="0" applyFont="1" applyFill="1" applyBorder="1" applyAlignment="1">
      <alignment horizontal="right" vertical="center"/>
    </xf>
    <xf numFmtId="0" fontId="0" fillId="8" borderId="15" xfId="0" applyFill="1" applyBorder="1" applyAlignment="1">
      <alignment horizontal="left" indent="1"/>
    </xf>
    <xf numFmtId="0" fontId="0" fillId="8" borderId="181" xfId="0" applyFill="1" applyBorder="1" applyAlignment="1">
      <alignment horizontal="left" indent="1"/>
    </xf>
    <xf numFmtId="9" fontId="0" fillId="6" borderId="204" xfId="0" applyNumberFormat="1" applyFill="1" applyBorder="1" applyAlignment="1">
      <alignment horizontal="left" indent="1"/>
    </xf>
    <xf numFmtId="9" fontId="0" fillId="6" borderId="157" xfId="0" applyNumberFormat="1" applyFill="1" applyBorder="1" applyAlignment="1">
      <alignment horizontal="left" indent="1"/>
    </xf>
    <xf numFmtId="9" fontId="0" fillId="6" borderId="156" xfId="0" applyNumberFormat="1" applyFill="1" applyBorder="1" applyAlignment="1">
      <alignment horizontal="left" indent="1"/>
    </xf>
    <xf numFmtId="0" fontId="0" fillId="8" borderId="0" xfId="0" applyFill="1" applyAlignment="1">
      <alignment horizontal="left" indent="1"/>
    </xf>
    <xf numFmtId="0" fontId="0" fillId="8" borderId="139" xfId="0" applyFill="1" applyBorder="1" applyAlignment="1">
      <alignment horizontal="left" indent="1"/>
    </xf>
    <xf numFmtId="166" fontId="1" fillId="8" borderId="33" xfId="1" applyNumberFormat="1" applyFont="1" applyFill="1" applyBorder="1" applyAlignment="1">
      <alignment horizontal="center" vertical="center"/>
    </xf>
    <xf numFmtId="166" fontId="1" fillId="8" borderId="14" xfId="1" applyNumberFormat="1" applyFont="1" applyFill="1" applyBorder="1" applyAlignment="1">
      <alignment horizontal="center" vertical="center"/>
    </xf>
    <xf numFmtId="166" fontId="1" fillId="8" borderId="182" xfId="1" applyNumberFormat="1" applyFont="1" applyFill="1" applyBorder="1" applyAlignment="1">
      <alignment horizontal="center" vertical="center"/>
    </xf>
    <xf numFmtId="168" fontId="1" fillId="8" borderId="15" xfId="0" applyNumberFormat="1" applyFont="1" applyFill="1" applyBorder="1" applyAlignment="1">
      <alignment horizontal="center" vertical="center"/>
    </xf>
    <xf numFmtId="168" fontId="1" fillId="8" borderId="0" xfId="0" applyNumberFormat="1" applyFont="1" applyFill="1" applyAlignment="1">
      <alignment horizontal="center" vertical="center"/>
    </xf>
    <xf numFmtId="168" fontId="1" fillId="8" borderId="39" xfId="0" applyNumberFormat="1" applyFont="1" applyFill="1" applyBorder="1" applyAlignment="1">
      <alignment horizontal="center" vertical="center"/>
    </xf>
    <xf numFmtId="0" fontId="0" fillId="8" borderId="203" xfId="0" applyFill="1" applyBorder="1" applyAlignment="1">
      <alignment horizontal="left" indent="1"/>
    </xf>
    <xf numFmtId="9" fontId="2" fillId="6" borderId="204" xfId="0" applyNumberFormat="1" applyFont="1" applyFill="1" applyBorder="1" applyAlignment="1">
      <alignment horizontal="left" indent="1"/>
    </xf>
    <xf numFmtId="9" fontId="2" fillId="6" borderId="157" xfId="0" applyNumberFormat="1" applyFont="1" applyFill="1" applyBorder="1" applyAlignment="1">
      <alignment horizontal="left" indent="1"/>
    </xf>
    <xf numFmtId="9" fontId="2" fillId="6" borderId="156" xfId="0" applyNumberFormat="1" applyFont="1" applyFill="1" applyBorder="1" applyAlignment="1">
      <alignment horizontal="left" indent="1"/>
    </xf>
    <xf numFmtId="176" fontId="20" fillId="6" borderId="0" xfId="0" applyNumberFormat="1" applyFont="1" applyFill="1" applyAlignment="1">
      <alignment horizontal="left"/>
    </xf>
    <xf numFmtId="0" fontId="3" fillId="6" borderId="0" xfId="0" applyFont="1" applyFill="1" applyAlignment="1">
      <alignment horizontal="left" vertical="center" wrapText="1"/>
    </xf>
    <xf numFmtId="0" fontId="0" fillId="6" borderId="134" xfId="0" applyFill="1" applyBorder="1" applyAlignment="1">
      <alignment horizontal="right" vertical="center" indent="1"/>
    </xf>
    <xf numFmtId="0" fontId="0" fillId="6" borderId="133" xfId="0" applyFill="1" applyBorder="1" applyAlignment="1">
      <alignment horizontal="right" vertical="center" indent="1"/>
    </xf>
    <xf numFmtId="0" fontId="0" fillId="6" borderId="130" xfId="0" applyFill="1" applyBorder="1" applyAlignment="1">
      <alignment horizontal="left" indent="1"/>
    </xf>
    <xf numFmtId="0" fontId="0" fillId="6" borderId="129" xfId="0" applyFill="1" applyBorder="1" applyAlignment="1">
      <alignment horizontal="left" indent="1"/>
    </xf>
    <xf numFmtId="0" fontId="0" fillId="6" borderId="128" xfId="0" applyFill="1" applyBorder="1" applyAlignment="1">
      <alignment horizontal="left" indent="1"/>
    </xf>
    <xf numFmtId="0" fontId="0" fillId="6" borderId="97" xfId="0" applyFill="1" applyBorder="1" applyAlignment="1">
      <alignment horizontal="center"/>
    </xf>
    <xf numFmtId="0" fontId="0" fillId="6" borderId="96" xfId="0" applyFill="1" applyBorder="1" applyAlignment="1">
      <alignment horizontal="center"/>
    </xf>
    <xf numFmtId="0" fontId="0" fillId="6" borderId="130" xfId="0" applyFill="1" applyBorder="1" applyAlignment="1">
      <alignment horizontal="center"/>
    </xf>
    <xf numFmtId="0" fontId="0" fillId="6" borderId="127" xfId="0" applyFill="1" applyBorder="1" applyAlignment="1">
      <alignment horizontal="right" vertical="center" indent="1"/>
    </xf>
    <xf numFmtId="0" fontId="0" fillId="6" borderId="126" xfId="0" applyFill="1" applyBorder="1" applyAlignment="1">
      <alignment horizontal="right" vertical="center" indent="1"/>
    </xf>
    <xf numFmtId="0" fontId="0" fillId="6" borderId="124" xfId="0" applyFill="1" applyBorder="1" applyAlignment="1">
      <alignment horizontal="left" indent="1"/>
    </xf>
    <xf numFmtId="0" fontId="0" fillId="6" borderId="123" xfId="0" applyFill="1" applyBorder="1" applyAlignment="1">
      <alignment horizontal="left" indent="1"/>
    </xf>
    <xf numFmtId="0" fontId="0" fillId="6" borderId="122" xfId="0" applyFill="1" applyBorder="1" applyAlignment="1">
      <alignment horizontal="left" indent="1"/>
    </xf>
    <xf numFmtId="9" fontId="3" fillId="6" borderId="151" xfId="0" applyNumberFormat="1" applyFont="1" applyFill="1" applyBorder="1" applyAlignment="1">
      <alignment horizontal="center" vertical="center" textRotation="90"/>
    </xf>
    <xf numFmtId="9" fontId="3" fillId="6" borderId="114" xfId="0" applyNumberFormat="1" applyFont="1" applyFill="1" applyBorder="1" applyAlignment="1">
      <alignment horizontal="center" vertical="center" textRotation="90"/>
    </xf>
    <xf numFmtId="9" fontId="3" fillId="6" borderId="138" xfId="0" applyNumberFormat="1" applyFont="1" applyFill="1" applyBorder="1" applyAlignment="1">
      <alignment horizontal="center" vertical="center" textRotation="90"/>
    </xf>
    <xf numFmtId="0" fontId="0" fillId="8" borderId="144" xfId="0" applyFill="1" applyBorder="1" applyAlignment="1">
      <alignment horizontal="left" indent="1"/>
    </xf>
    <xf numFmtId="0" fontId="0" fillId="8" borderId="143" xfId="0" applyFill="1" applyBorder="1" applyAlignment="1">
      <alignment horizontal="left" indent="1"/>
    </xf>
    <xf numFmtId="0" fontId="2" fillId="6" borderId="134" xfId="0" applyFont="1" applyFill="1" applyBorder="1" applyAlignment="1">
      <alignment horizontal="right" vertical="center" indent="1"/>
    </xf>
    <xf numFmtId="0" fontId="2" fillId="6" borderId="129" xfId="0" applyFont="1" applyFill="1" applyBorder="1" applyAlignment="1">
      <alignment horizontal="right" vertical="center" indent="1"/>
    </xf>
    <xf numFmtId="168" fontId="16" fillId="9" borderId="255" xfId="0" applyNumberFormat="1" applyFont="1" applyFill="1" applyBorder="1" applyAlignment="1">
      <alignment horizontal="center" vertical="center"/>
    </xf>
    <xf numFmtId="168" fontId="16" fillId="9" borderId="256" xfId="0" applyNumberFormat="1" applyFont="1" applyFill="1" applyBorder="1" applyAlignment="1">
      <alignment horizontal="center" vertical="center"/>
    </xf>
    <xf numFmtId="0" fontId="2" fillId="6" borderId="121" xfId="0" applyFont="1" applyFill="1" applyBorder="1" applyAlignment="1">
      <alignment horizontal="right" vertical="center" indent="1"/>
    </xf>
    <xf numFmtId="0" fontId="2" fillId="6" borderId="116" xfId="0" applyFont="1" applyFill="1" applyBorder="1" applyAlignment="1">
      <alignment horizontal="right" vertical="center" indent="1"/>
    </xf>
    <xf numFmtId="0" fontId="0" fillId="6" borderId="188" xfId="0" applyFill="1" applyBorder="1" applyAlignment="1">
      <alignment horizontal="center"/>
    </xf>
    <xf numFmtId="0" fontId="0" fillId="6" borderId="172" xfId="0" applyFill="1" applyBorder="1" applyAlignment="1">
      <alignment horizontal="center"/>
    </xf>
    <xf numFmtId="0" fontId="0" fillId="6" borderId="164" xfId="0" applyFill="1" applyBorder="1" applyAlignment="1">
      <alignment horizontal="center"/>
    </xf>
    <xf numFmtId="0" fontId="0" fillId="6" borderId="113" xfId="0" applyFill="1" applyBorder="1" applyAlignment="1">
      <alignment horizontal="right" indent="1"/>
    </xf>
    <xf numFmtId="0" fontId="0" fillId="6" borderId="227" xfId="0" applyFill="1" applyBorder="1" applyAlignment="1">
      <alignment horizontal="right" indent="1"/>
    </xf>
    <xf numFmtId="0" fontId="0" fillId="6" borderId="194" xfId="0" applyFill="1" applyBorder="1" applyAlignment="1">
      <alignment horizontal="right" indent="1"/>
    </xf>
    <xf numFmtId="0" fontId="0" fillId="6" borderId="190" xfId="0" applyFill="1" applyBorder="1" applyAlignment="1">
      <alignment horizontal="center" textRotation="90"/>
    </xf>
    <xf numFmtId="0" fontId="0" fillId="6" borderId="191" xfId="0" applyFill="1" applyBorder="1" applyAlignment="1">
      <alignment horizontal="center" textRotation="90"/>
    </xf>
    <xf numFmtId="0" fontId="0" fillId="6" borderId="219" xfId="0" applyFill="1" applyBorder="1" applyAlignment="1">
      <alignment horizontal="center"/>
    </xf>
    <xf numFmtId="0" fontId="0" fillId="6" borderId="129" xfId="0" applyFill="1" applyBorder="1" applyAlignment="1">
      <alignment horizontal="center"/>
    </xf>
    <xf numFmtId="0" fontId="0" fillId="6" borderId="121" xfId="0" applyFill="1" applyBorder="1" applyAlignment="1">
      <alignment horizontal="right" vertical="center" indent="1"/>
    </xf>
    <xf numFmtId="0" fontId="0" fillId="6" borderId="120" xfId="0" applyFill="1" applyBorder="1" applyAlignment="1">
      <alignment horizontal="right" vertical="center" indent="1"/>
    </xf>
    <xf numFmtId="0" fontId="0" fillId="6" borderId="117" xfId="0" applyFill="1" applyBorder="1" applyAlignment="1">
      <alignment horizontal="left" indent="1"/>
    </xf>
    <xf numFmtId="0" fontId="0" fillId="6" borderId="116" xfId="0" applyFill="1" applyBorder="1" applyAlignment="1">
      <alignment horizontal="left" indent="1"/>
    </xf>
    <xf numFmtId="0" fontId="0" fillId="6" borderId="115" xfId="0" applyFill="1" applyBorder="1" applyAlignment="1">
      <alignment horizontal="left" indent="1"/>
    </xf>
    <xf numFmtId="0" fontId="16" fillId="6" borderId="114" xfId="0" applyFont="1" applyFill="1" applyBorder="1" applyAlignment="1">
      <alignment horizontal="left" indent="1"/>
    </xf>
    <xf numFmtId="0" fontId="16" fillId="6" borderId="0" xfId="0" applyFont="1" applyFill="1" applyAlignment="1">
      <alignment horizontal="left" indent="1"/>
    </xf>
    <xf numFmtId="0" fontId="0" fillId="6" borderId="186" xfId="0" applyFill="1" applyBorder="1" applyAlignment="1">
      <alignment horizontal="right" vertical="center" indent="1"/>
    </xf>
    <xf numFmtId="0" fontId="0" fillId="6" borderId="187" xfId="0" applyFill="1" applyBorder="1" applyAlignment="1">
      <alignment horizontal="right" vertical="center" indent="1"/>
    </xf>
    <xf numFmtId="0" fontId="3" fillId="6" borderId="0" xfId="0" applyFont="1" applyFill="1" applyAlignment="1">
      <alignment horizontal="left" vertical="center"/>
    </xf>
    <xf numFmtId="0" fontId="2" fillId="6" borderId="94" xfId="0" applyFont="1" applyFill="1" applyBorder="1" applyAlignment="1">
      <alignment horizontal="right" indent="1"/>
    </xf>
    <xf numFmtId="0" fontId="2" fillId="6" borderId="87" xfId="0" applyFont="1" applyFill="1" applyBorder="1" applyAlignment="1">
      <alignment horizontal="right" indent="1"/>
    </xf>
    <xf numFmtId="0" fontId="0" fillId="6" borderId="0" xfId="0" applyFill="1" applyAlignment="1">
      <alignment horizontal="center"/>
    </xf>
    <xf numFmtId="0" fontId="2" fillId="6" borderId="92" xfId="0" applyFont="1" applyFill="1" applyBorder="1" applyAlignment="1">
      <alignment horizontal="right" indent="1"/>
    </xf>
    <xf numFmtId="0" fontId="2" fillId="6" borderId="91" xfId="0" applyFont="1" applyFill="1" applyBorder="1" applyAlignment="1">
      <alignment horizontal="right" indent="1"/>
    </xf>
    <xf numFmtId="0" fontId="0" fillId="6" borderId="44" xfId="0" applyFill="1" applyBorder="1" applyAlignment="1">
      <alignment horizontal="center" textRotation="90"/>
    </xf>
    <xf numFmtId="0" fontId="0" fillId="6" borderId="109" xfId="0" applyFill="1" applyBorder="1" applyAlignment="1">
      <alignment horizontal="center" textRotation="90"/>
    </xf>
    <xf numFmtId="0" fontId="0" fillId="6" borderId="216" xfId="0" applyFill="1" applyBorder="1" applyAlignment="1">
      <alignment horizontal="center" wrapText="1"/>
    </xf>
    <xf numFmtId="0" fontId="0" fillId="6" borderId="217" xfId="0" applyFill="1" applyBorder="1" applyAlignment="1">
      <alignment horizontal="center" wrapText="1"/>
    </xf>
    <xf numFmtId="0" fontId="0" fillId="6" borderId="231" xfId="0" applyFill="1" applyBorder="1" applyAlignment="1">
      <alignment horizontal="center" wrapText="1"/>
    </xf>
    <xf numFmtId="0" fontId="0" fillId="6" borderId="232" xfId="0" applyFill="1" applyBorder="1" applyAlignment="1">
      <alignment horizontal="center" wrapText="1"/>
    </xf>
    <xf numFmtId="0" fontId="2" fillId="6" borderId="100" xfId="0" applyFont="1" applyFill="1" applyBorder="1" applyAlignment="1">
      <alignment horizontal="right" indent="1"/>
    </xf>
    <xf numFmtId="0" fontId="2" fillId="6" borderId="99" xfId="0" applyFont="1" applyFill="1" applyBorder="1" applyAlignment="1">
      <alignment horizontal="right" indent="1"/>
    </xf>
    <xf numFmtId="0" fontId="2" fillId="6" borderId="97" xfId="0" applyFont="1" applyFill="1" applyBorder="1" applyAlignment="1">
      <alignment horizontal="right" indent="1"/>
    </xf>
    <xf numFmtId="0" fontId="2" fillId="6" borderId="96" xfId="0" applyFont="1" applyFill="1" applyBorder="1" applyAlignment="1">
      <alignment horizontal="right" indent="1"/>
    </xf>
    <xf numFmtId="0" fontId="0" fillId="6" borderId="111" xfId="0" applyFill="1" applyBorder="1" applyAlignment="1">
      <alignment horizontal="center" textRotation="90"/>
    </xf>
    <xf numFmtId="0" fontId="0" fillId="6" borderId="107" xfId="0" applyFill="1" applyBorder="1" applyAlignment="1">
      <alignment horizontal="center" textRotation="90"/>
    </xf>
    <xf numFmtId="0" fontId="0" fillId="6" borderId="110" xfId="0" applyFill="1" applyBorder="1" applyAlignment="1">
      <alignment horizontal="center" textRotation="90"/>
    </xf>
    <xf numFmtId="0" fontId="0" fillId="6" borderId="106" xfId="0" applyFill="1" applyBorder="1" applyAlignment="1">
      <alignment horizontal="center" textRotation="90"/>
    </xf>
    <xf numFmtId="0" fontId="0" fillId="6" borderId="0" xfId="0" applyFill="1" applyAlignment="1">
      <alignment horizontal="center" textRotation="90" wrapText="1"/>
    </xf>
    <xf numFmtId="0" fontId="0" fillId="6" borderId="166" xfId="0" applyFill="1" applyBorder="1" applyAlignment="1">
      <alignment horizontal="center" textRotation="90" wrapText="1"/>
    </xf>
    <xf numFmtId="0" fontId="26" fillId="6" borderId="0" xfId="0" applyFont="1" applyFill="1" applyAlignment="1">
      <alignment horizontal="center" vertical="center"/>
    </xf>
    <xf numFmtId="9" fontId="0" fillId="6" borderId="112" xfId="0" applyNumberFormat="1" applyFill="1" applyBorder="1" applyAlignment="1">
      <alignment horizontal="center" textRotation="90"/>
    </xf>
    <xf numFmtId="9" fontId="0" fillId="6" borderId="108" xfId="0" applyNumberFormat="1" applyFill="1" applyBorder="1" applyAlignment="1">
      <alignment horizontal="center" textRotation="90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75" xfId="0" applyFill="1" applyBorder="1" applyAlignment="1">
      <alignment horizontal="center"/>
    </xf>
    <xf numFmtId="0" fontId="0" fillId="8" borderId="78" xfId="0" applyFill="1" applyBorder="1" applyAlignment="1">
      <alignment horizontal="center" textRotation="90"/>
    </xf>
    <xf numFmtId="0" fontId="0" fillId="8" borderId="77" xfId="0" applyFill="1" applyBorder="1" applyAlignment="1">
      <alignment horizontal="center" textRotation="90"/>
    </xf>
    <xf numFmtId="0" fontId="0" fillId="8" borderId="76" xfId="0" applyFill="1" applyBorder="1" applyAlignment="1">
      <alignment horizontal="center" textRotation="90"/>
    </xf>
    <xf numFmtId="0" fontId="0" fillId="8" borderId="74" xfId="0" applyFill="1" applyBorder="1" applyAlignment="1">
      <alignment horizontal="center" textRotation="90"/>
    </xf>
    <xf numFmtId="0" fontId="0" fillId="8" borderId="66" xfId="0" applyFill="1" applyBorder="1" applyAlignment="1">
      <alignment horizontal="center" textRotation="90"/>
    </xf>
    <xf numFmtId="0" fontId="0" fillId="8" borderId="62" xfId="0" applyFill="1" applyBorder="1" applyAlignment="1">
      <alignment horizontal="center" textRotation="90"/>
    </xf>
    <xf numFmtId="0" fontId="0" fillId="8" borderId="73" xfId="0" applyFill="1" applyBorder="1" applyAlignment="1">
      <alignment horizontal="center" textRotation="90"/>
    </xf>
    <xf numFmtId="0" fontId="0" fillId="8" borderId="19" xfId="0" applyFill="1" applyBorder="1" applyAlignment="1">
      <alignment horizontal="center" textRotation="90"/>
    </xf>
    <xf numFmtId="0" fontId="0" fillId="8" borderId="61" xfId="0" applyFill="1" applyBorder="1" applyAlignment="1">
      <alignment horizontal="center" textRotation="90"/>
    </xf>
    <xf numFmtId="0" fontId="0" fillId="8" borderId="72" xfId="0" applyFill="1" applyBorder="1" applyAlignment="1">
      <alignment horizontal="center" textRotation="90"/>
    </xf>
    <xf numFmtId="0" fontId="0" fillId="8" borderId="22" xfId="0" applyFill="1" applyBorder="1" applyAlignment="1">
      <alignment horizontal="center" textRotation="90"/>
    </xf>
    <xf numFmtId="0" fontId="0" fillId="8" borderId="60" xfId="0" applyFill="1" applyBorder="1" applyAlignment="1">
      <alignment horizontal="center" textRotation="90"/>
    </xf>
    <xf numFmtId="0" fontId="0" fillId="8" borderId="40" xfId="0" applyFill="1" applyBorder="1" applyAlignment="1">
      <alignment horizontal="center" textRotation="90"/>
    </xf>
    <xf numFmtId="0" fontId="0" fillId="8" borderId="10" xfId="0" applyFill="1" applyBorder="1" applyAlignment="1">
      <alignment horizontal="center" textRotation="90"/>
    </xf>
    <xf numFmtId="0" fontId="0" fillId="8" borderId="29" xfId="0" applyFill="1" applyBorder="1" applyAlignment="1">
      <alignment horizontal="center" textRotation="90"/>
    </xf>
    <xf numFmtId="0" fontId="0" fillId="8" borderId="69" xfId="0" applyFill="1" applyBorder="1" applyAlignment="1">
      <alignment horizontal="center" textRotation="90"/>
    </xf>
    <xf numFmtId="0" fontId="0" fillId="8" borderId="28" xfId="0" applyFill="1" applyBorder="1" applyAlignment="1">
      <alignment horizontal="center" textRotation="90"/>
    </xf>
    <xf numFmtId="0" fontId="0" fillId="8" borderId="57" xfId="0" applyFill="1" applyBorder="1" applyAlignment="1">
      <alignment horizontal="center" textRotation="90"/>
    </xf>
    <xf numFmtId="0" fontId="0" fillId="8" borderId="71" xfId="0" applyFill="1" applyBorder="1" applyAlignment="1">
      <alignment horizontal="center" textRotation="90"/>
    </xf>
    <xf numFmtId="0" fontId="0" fillId="8" borderId="65" xfId="0" applyFill="1" applyBorder="1" applyAlignment="1">
      <alignment horizontal="center" textRotation="90"/>
    </xf>
    <xf numFmtId="0" fontId="0" fillId="8" borderId="59" xfId="0" applyFill="1" applyBorder="1" applyAlignment="1">
      <alignment horizontal="center" textRotation="90"/>
    </xf>
    <xf numFmtId="0" fontId="0" fillId="8" borderId="70" xfId="0" applyFill="1" applyBorder="1" applyAlignment="1">
      <alignment horizontal="center" textRotation="90"/>
    </xf>
    <xf numFmtId="0" fontId="0" fillId="8" borderId="64" xfId="0" applyFill="1" applyBorder="1" applyAlignment="1">
      <alignment horizontal="center" textRotation="90"/>
    </xf>
    <xf numFmtId="0" fontId="0" fillId="8" borderId="58" xfId="0" applyFill="1" applyBorder="1" applyAlignment="1">
      <alignment horizontal="center" textRotation="90"/>
    </xf>
    <xf numFmtId="0" fontId="0" fillId="8" borderId="68" xfId="0" applyFill="1" applyBorder="1" applyAlignment="1">
      <alignment horizontal="center" textRotation="90"/>
    </xf>
    <xf numFmtId="0" fontId="0" fillId="8" borderId="13" xfId="0" applyFill="1" applyBorder="1" applyAlignment="1">
      <alignment horizontal="center" textRotation="90"/>
    </xf>
    <xf numFmtId="0" fontId="0" fillId="8" borderId="38" xfId="0" applyFill="1" applyBorder="1" applyAlignment="1">
      <alignment horizontal="center" textRotation="90"/>
    </xf>
    <xf numFmtId="0" fontId="0" fillId="8" borderId="67" xfId="0" applyFill="1" applyBorder="1" applyAlignment="1">
      <alignment horizontal="center" textRotation="90"/>
    </xf>
    <xf numFmtId="0" fontId="0" fillId="8" borderId="11" xfId="0" applyFill="1" applyBorder="1" applyAlignment="1">
      <alignment horizontal="center" textRotation="90"/>
    </xf>
    <xf numFmtId="0" fontId="0" fillId="8" borderId="56" xfId="0" applyFill="1" applyBorder="1" applyAlignment="1">
      <alignment horizontal="center" textRotation="90"/>
    </xf>
    <xf numFmtId="0" fontId="0" fillId="8" borderId="31" xfId="0" applyFill="1" applyBorder="1" applyAlignment="1">
      <alignment horizontal="center" textRotation="90"/>
    </xf>
    <xf numFmtId="0" fontId="0" fillId="8" borderId="41" xfId="0" applyFill="1" applyBorder="1" applyAlignment="1">
      <alignment horizontal="center" textRotation="90"/>
    </xf>
    <xf numFmtId="0" fontId="0" fillId="8" borderId="63" xfId="0" applyFill="1" applyBorder="1" applyAlignment="1">
      <alignment horizontal="center" textRotation="90"/>
    </xf>
    <xf numFmtId="0" fontId="24" fillId="8" borderId="0" xfId="0" applyFont="1" applyFill="1" applyAlignment="1">
      <alignment horizontal="center" vertical="center" wrapText="1"/>
    </xf>
    <xf numFmtId="0" fontId="11" fillId="8" borderId="0" xfId="0" applyFont="1" applyFill="1" applyAlignment="1">
      <alignment horizontal="left"/>
    </xf>
    <xf numFmtId="0" fontId="29" fillId="8" borderId="0" xfId="0" applyFont="1" applyFill="1" applyAlignment="1">
      <alignment horizontal="center" vertical="center"/>
    </xf>
    <xf numFmtId="167" fontId="1" fillId="3" borderId="164" xfId="0" applyNumberFormat="1" applyFont="1" applyFill="1" applyBorder="1" applyAlignment="1">
      <alignment horizontal="center" vertical="center"/>
    </xf>
    <xf numFmtId="167" fontId="1" fillId="3" borderId="176" xfId="0" applyNumberFormat="1" applyFont="1" applyFill="1" applyBorder="1" applyAlignment="1">
      <alignment horizontal="center" vertical="center"/>
    </xf>
    <xf numFmtId="0" fontId="28" fillId="8" borderId="0" xfId="0" applyFont="1" applyFill="1" applyAlignment="1">
      <alignment horizontal="center" vertical="center"/>
    </xf>
  </cellXfs>
  <cellStyles count="3">
    <cellStyle name="Normal" xfId="0" builtinId="0"/>
    <cellStyle name="Normal 2" xfId="2" xr:uid="{C02D812C-5F27-423B-A77D-A5B42F2FDB79}"/>
    <cellStyle name="Percent" xfId="1" builtinId="5"/>
  </cellStyles>
  <dxfs count="2">
    <dxf>
      <font>
        <color theme="0"/>
      </font>
      <fill>
        <patternFill patternType="none">
          <bgColor auto="1"/>
        </patternFill>
      </fill>
    </dxf>
    <dxf>
      <font>
        <color rgb="FFFBFFCD"/>
      </font>
      <fill>
        <patternFill>
          <bgColor rgb="FFFBFFCD"/>
        </patternFill>
      </fill>
    </dxf>
  </dxfs>
  <tableStyles count="1" defaultTableStyle="TableStyleMedium2" defaultPivotStyle="PivotStyleLight16">
    <tableStyle name="Invisible" pivot="0" table="0" count="0" xr9:uid="{BCFB49C8-588F-4DC8-9E99-CBF07AC75279}"/>
  </tableStyles>
  <colors>
    <mruColors>
      <color rgb="FF4472C4"/>
      <color rgb="FFFBFFCD"/>
      <color rgb="FFFFF2CC"/>
      <color rgb="FFFFB7B7"/>
      <color rgb="FFEADBF5"/>
      <color rgb="FFE2EFDA"/>
      <color rgb="FF808080"/>
      <color rgb="FFD8BEEC"/>
      <color rgb="FFF8CBAD"/>
      <color rgb="FFB381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29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32" Type="http://schemas.microsoft.com/office/2006/relationships/vbaProject" Target="vbaProject.bin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31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Relationship Id="rId30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6</xdr:col>
          <xdr:colOff>571500</xdr:colOff>
          <xdr:row>21</xdr:row>
          <xdr:rowOff>0</xdr:rowOff>
        </xdr:to>
        <xdr:sp macro="" textlink="">
          <xdr:nvSpPr>
            <xdr:cNvPr id="6151" name="Text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9525</xdr:rowOff>
        </xdr:from>
        <xdr:to>
          <xdr:col>6</xdr:col>
          <xdr:colOff>571500</xdr:colOff>
          <xdr:row>20</xdr:row>
          <xdr:rowOff>0</xdr:rowOff>
        </xdr:to>
        <xdr:sp macro="" textlink="">
          <xdr:nvSpPr>
            <xdr:cNvPr id="6152" name="TextBox2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41275</xdr:colOff>
      <xdr:row>3</xdr:row>
      <xdr:rowOff>39319</xdr:rowOff>
    </xdr:from>
    <xdr:ext cx="3967412" cy="84015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2275" y="452069"/>
          <a:ext cx="3967412" cy="8401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28575</xdr:colOff>
      <xdr:row>0</xdr:row>
      <xdr:rowOff>45669</xdr:rowOff>
    </xdr:from>
    <xdr:ext cx="3967412" cy="840155"/>
    <xdr:pic>
      <xdr:nvPicPr>
        <xdr:cNvPr id="2" name="Picture 1">
          <a:extLst>
            <a:ext uri="{FF2B5EF4-FFF2-40B4-BE49-F238E27FC236}">
              <a16:creationId xmlns:a16="http://schemas.microsoft.com/office/drawing/2014/main" id="{DDEF19B7-4FA1-4743-A8AD-BACE2B5D4F3F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8625" y="45669"/>
          <a:ext cx="3967412" cy="8401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466AB-51DF-43B5-B860-86C5DEC0179C}">
  <sheetPr codeName="Sheet1">
    <pageSetUpPr fitToPage="1"/>
  </sheetPr>
  <dimension ref="A2:AB79"/>
  <sheetViews>
    <sheetView showGridLines="0" tabSelected="1" topLeftCell="A19" zoomScaleNormal="100" workbookViewId="0">
      <selection activeCell="U17" sqref="U17"/>
    </sheetView>
  </sheetViews>
  <sheetFormatPr defaultRowHeight="15" x14ac:dyDescent="0.25"/>
  <cols>
    <col min="1" max="1" width="2.7109375" style="289" customWidth="1"/>
    <col min="2" max="2" width="0.5703125" style="289" customWidth="1"/>
    <col min="3" max="3" width="2.7109375" style="289" customWidth="1"/>
    <col min="4" max="4" width="5.28515625" customWidth="1"/>
    <col min="5" max="7" width="8.7109375" customWidth="1"/>
    <col min="8" max="8" width="10.140625" bestFit="1" customWidth="1"/>
    <col min="9" max="9" width="8.7109375" customWidth="1"/>
    <col min="10" max="11" width="4.7109375" customWidth="1"/>
    <col min="12" max="12" width="6.7109375" customWidth="1"/>
    <col min="13" max="13" width="5.7109375" customWidth="1"/>
    <col min="14" max="14" width="3.7109375" customWidth="1"/>
    <col min="15" max="25" width="8.7109375" customWidth="1"/>
    <col min="26" max="26" width="3" customWidth="1"/>
    <col min="27" max="27" width="0.5703125" customWidth="1"/>
    <col min="28" max="28" width="2.7109375" customWidth="1"/>
  </cols>
  <sheetData>
    <row r="2" spans="1:28" ht="3" customHeight="1" x14ac:dyDescent="0.25">
      <c r="B2" s="367"/>
      <c r="C2" s="362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6"/>
    </row>
    <row r="3" spans="1:28" ht="15" customHeight="1" x14ac:dyDescent="0.4">
      <c r="A3" s="368"/>
      <c r="B3" s="12"/>
      <c r="AA3" s="8"/>
    </row>
    <row r="4" spans="1:28" ht="15" customHeight="1" x14ac:dyDescent="0.4">
      <c r="A4" s="368"/>
      <c r="B4" s="12"/>
      <c r="AA4" s="8"/>
    </row>
    <row r="5" spans="1:28" ht="15" customHeight="1" x14ac:dyDescent="0.4">
      <c r="A5" s="292"/>
      <c r="B5" s="12"/>
      <c r="W5" s="595">
        <f ca="1">IF(s!AI2&lt;&gt;"",s!AI2,"")</f>
        <v>46055</v>
      </c>
      <c r="X5" s="595" t="str">
        <f>IF(s!AJ2&lt;&gt;"",s!AJ2,"")</f>
        <v/>
      </c>
      <c r="Y5" s="596" t="str">
        <f>IF(s!AK2&lt;&gt;"",s!AK2,"")</f>
        <v/>
      </c>
      <c r="AA5" s="8"/>
      <c r="AB5" s="292"/>
    </row>
    <row r="6" spans="1:28" ht="15" customHeight="1" x14ac:dyDescent="0.4">
      <c r="A6" s="292"/>
      <c r="B6" s="12"/>
      <c r="AA6" s="8"/>
      <c r="AB6" s="292"/>
    </row>
    <row r="7" spans="1:28" ht="15" customHeight="1" x14ac:dyDescent="0.4">
      <c r="A7" s="292"/>
      <c r="B7" s="12"/>
      <c r="AA7" s="8"/>
      <c r="AB7" s="292"/>
    </row>
    <row r="8" spans="1:28" ht="15" customHeight="1" x14ac:dyDescent="0.4">
      <c r="A8" s="292"/>
      <c r="B8" s="12"/>
      <c r="AA8" s="8"/>
      <c r="AB8" s="292"/>
    </row>
    <row r="9" spans="1:28" ht="15" customHeight="1" x14ac:dyDescent="0.4">
      <c r="A9" s="292"/>
      <c r="B9" s="12"/>
      <c r="C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T9" s="369"/>
      <c r="U9" s="369"/>
      <c r="V9" s="369"/>
      <c r="W9" s="369"/>
      <c r="X9" s="369"/>
      <c r="Y9" s="369"/>
      <c r="AA9" s="8"/>
      <c r="AB9" s="292"/>
    </row>
    <row r="10" spans="1:28" ht="15" customHeight="1" x14ac:dyDescent="0.4">
      <c r="A10" s="292"/>
      <c r="B10" s="12"/>
      <c r="AA10" s="8"/>
      <c r="AB10" s="292"/>
    </row>
    <row r="11" spans="1:28" ht="15" customHeight="1" x14ac:dyDescent="0.4">
      <c r="A11" s="292"/>
      <c r="B11" s="12"/>
      <c r="G11" s="370"/>
      <c r="H11" s="370"/>
      <c r="I11" s="370"/>
      <c r="J11" s="370"/>
      <c r="K11" s="526" t="str">
        <f>IF(s!R8&lt;&gt;"",s!R8,"")</f>
        <v>Profitability Projections</v>
      </c>
      <c r="L11" s="526" t="str">
        <f>IF(s!S8&lt;&gt;"",s!S8,"")</f>
        <v/>
      </c>
      <c r="M11" s="526" t="str">
        <f>IF(s!U8&lt;&gt;"",s!U8,"")</f>
        <v/>
      </c>
      <c r="N11" s="526" t="str">
        <f>IF(s!V8&lt;&gt;"",s!V8,"")</f>
        <v/>
      </c>
      <c r="O11" s="526" t="str">
        <f>IF(s!W8&lt;&gt;"",s!W8,"")</f>
        <v/>
      </c>
      <c r="P11" s="526" t="str">
        <f>IF(s!X8&lt;&gt;"",s!X8,"")</f>
        <v/>
      </c>
      <c r="Q11" s="526" t="str">
        <f>IF(s!AB8&lt;&gt;"",s!AB8,"")</f>
        <v/>
      </c>
      <c r="R11" s="526" t="str">
        <f>IF(s!AC8&lt;&gt;"",s!AC8,"")</f>
        <v/>
      </c>
      <c r="S11" s="370"/>
      <c r="T11" s="605"/>
      <c r="U11" s="605"/>
      <c r="V11" s="604"/>
      <c r="W11" s="604"/>
      <c r="X11" s="371"/>
      <c r="Y11" s="370"/>
      <c r="AA11" s="8"/>
      <c r="AB11" s="292"/>
    </row>
    <row r="12" spans="1:28" ht="15" customHeight="1" x14ac:dyDescent="0.4">
      <c r="A12" s="292"/>
      <c r="B12" s="12"/>
      <c r="D12" s="369"/>
      <c r="E12" s="369"/>
      <c r="F12" s="369"/>
      <c r="G12" s="370"/>
      <c r="H12" s="370"/>
      <c r="I12" s="370"/>
      <c r="J12" s="370"/>
      <c r="K12" s="526" t="str">
        <f>IF(s!R9&lt;&gt;"",s!R9,"")</f>
        <v/>
      </c>
      <c r="L12" s="526" t="str">
        <f>IF(s!S9&lt;&gt;"",s!S9,"")</f>
        <v/>
      </c>
      <c r="M12" s="526" t="str">
        <f>IF(s!U9&lt;&gt;"",s!U9,"")</f>
        <v/>
      </c>
      <c r="N12" s="526" t="str">
        <f>IF(s!V9&lt;&gt;"",s!V9,"")</f>
        <v/>
      </c>
      <c r="O12" s="526" t="str">
        <f>IF(s!W9&lt;&gt;"",s!W9,"")</f>
        <v/>
      </c>
      <c r="P12" s="526" t="str">
        <f>IF(s!X9&lt;&gt;"",s!X9,"")</f>
        <v/>
      </c>
      <c r="Q12" s="526" t="str">
        <f>IF(s!AB9&lt;&gt;"",s!AB9,"")</f>
        <v/>
      </c>
      <c r="R12" s="526" t="str">
        <f>IF(s!AC9&lt;&gt;"",s!AC9,"")</f>
        <v/>
      </c>
      <c r="S12" s="370"/>
      <c r="T12" s="605"/>
      <c r="U12" s="605"/>
      <c r="V12" s="604"/>
      <c r="W12" s="604"/>
      <c r="X12" s="371"/>
      <c r="Y12" s="370"/>
      <c r="AA12" s="8"/>
      <c r="AB12" s="292"/>
    </row>
    <row r="13" spans="1:28" ht="15" customHeight="1" x14ac:dyDescent="0.4">
      <c r="A13" s="292"/>
      <c r="B13" s="12"/>
      <c r="G13" s="370"/>
      <c r="H13" s="535" t="str">
        <f>IF(s!O10&lt;&gt;"",s!O10,"")</f>
        <v>Populated By:</v>
      </c>
      <c r="I13" s="535" t="str">
        <f>IF(s!P10&lt;&gt;"",s!P10,"")</f>
        <v/>
      </c>
      <c r="S13" s="372"/>
      <c r="Y13" s="372"/>
      <c r="AA13" s="8"/>
      <c r="AB13" s="292"/>
    </row>
    <row r="14" spans="1:28" ht="15" customHeight="1" thickBot="1" x14ac:dyDescent="0.45">
      <c r="A14" s="292"/>
      <c r="B14" s="12"/>
      <c r="D14" s="570" t="str">
        <f>IF(s!K11&lt;&gt;"",s!K11,"")</f>
        <v>Cutter Type (Pri., Sec.)</v>
      </c>
      <c r="E14" s="571" t="str">
        <f>IF(s!L11&lt;&gt;"",s!L11,"")</f>
        <v/>
      </c>
      <c r="F14" s="572" t="str">
        <f>IF(s!M11&lt;&gt;"",s!M11,"")</f>
        <v/>
      </c>
      <c r="H14" s="536" t="str">
        <f>IF(s!O11&lt;&gt;"",s!O11,"")</f>
        <v>Sales Rep.</v>
      </c>
      <c r="I14" s="537" t="str">
        <f>IF(s!P11&lt;&gt;"",s!P11,"")</f>
        <v/>
      </c>
      <c r="S14" s="372"/>
      <c r="T14" s="372"/>
      <c r="U14" s="372"/>
      <c r="V14" s="372"/>
      <c r="W14" s="372"/>
      <c r="X14" s="372"/>
      <c r="Y14" s="372"/>
      <c r="AA14" s="8"/>
      <c r="AB14" s="292"/>
    </row>
    <row r="15" spans="1:28" ht="15" customHeight="1" x14ac:dyDescent="0.4">
      <c r="A15" s="292"/>
      <c r="B15" s="12"/>
      <c r="D15" s="175" t="s">
        <v>0</v>
      </c>
      <c r="E15" s="546" t="str">
        <f>IF(s!L12&lt;&gt;"",s!L12,"")</f>
        <v>Non-Leach</v>
      </c>
      <c r="F15" s="547" t="str">
        <f>IF(s!M12&lt;&gt;"",s!M12,"")</f>
        <v/>
      </c>
      <c r="H15" s="559" t="str">
        <f>IF(s!O12&lt;&gt;"",s!O12,"")</f>
        <v>Sales Mgr.</v>
      </c>
      <c r="I15" s="560" t="str">
        <f>IF(s!P12&lt;&gt;"",s!P12,"")</f>
        <v/>
      </c>
      <c r="M15" s="373"/>
      <c r="N15" s="373"/>
      <c r="O15" s="373"/>
      <c r="P15" s="373"/>
      <c r="Q15" s="373"/>
      <c r="R15" s="372"/>
      <c r="S15" s="372"/>
      <c r="U15" s="372"/>
      <c r="V15" s="372"/>
      <c r="W15" s="372"/>
      <c r="X15" s="372"/>
      <c r="Y15" s="372"/>
      <c r="AA15" s="8"/>
      <c r="AB15" s="292"/>
    </row>
    <row r="16" spans="1:28" ht="15" customHeight="1" x14ac:dyDescent="0.25">
      <c r="A16" s="288"/>
      <c r="B16" s="12"/>
      <c r="D16" s="176" t="str">
        <f>IF(s!K13&lt;&gt;"",s!K13,"")</f>
        <v>I</v>
      </c>
      <c r="E16" s="546" t="str">
        <f>IF(s!L13&lt;&gt;"",s!L13,"")</f>
        <v>Int. Leach</v>
      </c>
      <c r="F16" s="547" t="str">
        <f>IF(s!M13&lt;&gt;"",s!M13,"")</f>
        <v/>
      </c>
      <c r="H16" s="561" t="str">
        <f>IF(s!O13&lt;&gt;"",s!O13,"")</f>
        <v>Engineering</v>
      </c>
      <c r="I16" s="562" t="str">
        <f>IF(s!P13&lt;&gt;"",s!P13,"")</f>
        <v/>
      </c>
      <c r="M16" s="372"/>
      <c r="N16" s="372"/>
      <c r="O16" s="550" t="str">
        <f>IF(s!W13&lt;&gt;"",s!W13,"")</f>
        <v>Full Life Cycle of Bit (w/o DBR/LIH Charge)</v>
      </c>
      <c r="P16" s="550" t="str">
        <f>IF(s!X13&lt;&gt;"",s!X13,"")</f>
        <v/>
      </c>
      <c r="Q16" s="550" t="str">
        <f>IF(s!AB13&lt;&gt;"",s!AB13,"")</f>
        <v/>
      </c>
      <c r="R16" s="550" t="str">
        <f>IF(s!AC13&lt;&gt;"",s!AC13,"")</f>
        <v/>
      </c>
      <c r="S16" s="551" t="str">
        <f>IF(s!AE13&lt;&gt;"",s!AE13,"")</f>
        <v/>
      </c>
      <c r="T16" s="524" t="str">
        <f>IF(s!AF13&lt;&gt;"",s!AF13,"")</f>
        <v>Partial Life Cycle</v>
      </c>
      <c r="U16" s="525" t="str">
        <f>IF(s!AG13&lt;&gt;"",s!AG13,"")</f>
        <v/>
      </c>
      <c r="W16" s="372"/>
      <c r="X16" s="372"/>
      <c r="Y16" s="372"/>
      <c r="AA16" s="8"/>
    </row>
    <row r="17" spans="1:27" ht="15" customHeight="1" x14ac:dyDescent="0.25">
      <c r="A17" s="288"/>
      <c r="B17" s="12"/>
      <c r="D17" s="177" t="str">
        <f>IF(s!K14&lt;&gt;"",s!K14,"")</f>
        <v>D</v>
      </c>
      <c r="E17" s="544" t="str">
        <f>IF(s!L14&lt;&gt;"",s!L14,"")</f>
        <v>Deep Leach</v>
      </c>
      <c r="F17" s="545" t="str">
        <f>IF(s!M14&lt;&gt;"",s!M14,"")</f>
        <v/>
      </c>
      <c r="H17" s="563" t="str">
        <f>IF(s!O14&lt;&gt;"",s!O14,"")</f>
        <v>Leadership</v>
      </c>
      <c r="I17" s="564" t="str">
        <f>IF(s!P14&lt;&gt;"",s!P14,"")</f>
        <v/>
      </c>
      <c r="J17" s="372"/>
      <c r="K17" s="372"/>
      <c r="M17" s="372"/>
      <c r="N17" s="372"/>
      <c r="O17" s="372"/>
      <c r="P17" s="372"/>
      <c r="Q17" s="374"/>
      <c r="R17" s="374"/>
      <c r="S17" s="375"/>
      <c r="T17" s="376" t="str">
        <f>IF(s!AF14&lt;&gt;"",s!AF14,"")</f>
        <v>(Y/N)</v>
      </c>
      <c r="U17" s="511" t="s">
        <v>1</v>
      </c>
      <c r="V17" s="377" t="str">
        <f>IF(s!AH14&lt;&gt;"",s!AH14,"")</f>
        <v>Ammoritize New Bit?</v>
      </c>
      <c r="W17" s="372"/>
      <c r="X17" s="372"/>
      <c r="Y17" s="372"/>
      <c r="AA17" s="8"/>
    </row>
    <row r="18" spans="1:27" ht="15" customHeight="1" x14ac:dyDescent="0.25">
      <c r="B18" s="12"/>
      <c r="H18" s="565"/>
      <c r="I18" s="565"/>
      <c r="T18" s="378" t="str">
        <f>IF(s!AF15&lt;&gt;"",s!AF15,"")</f>
        <v>Rev #</v>
      </c>
      <c r="U18" s="361">
        <f>IF(s!AG15&lt;&gt;"",s!AG15,"")</f>
        <v>0</v>
      </c>
      <c r="V18" s="548">
        <f>IF(s!AH15&lt;&gt;"",s!AH15,"")</f>
        <v>9</v>
      </c>
      <c r="W18" s="548" t="str">
        <f>IF(s!AI15&lt;&gt;"",s!AI15,"")</f>
        <v/>
      </c>
      <c r="X18" s="548" t="str">
        <f>IF(s!AJ15&lt;&gt;"",s!AJ15,"")</f>
        <v/>
      </c>
      <c r="Y18" s="548" t="str">
        <f>IF(s!AK15&lt;&gt;"",s!AK15,"")</f>
        <v/>
      </c>
      <c r="AA18" s="8"/>
    </row>
    <row r="19" spans="1:27" ht="15" customHeight="1" x14ac:dyDescent="0.25">
      <c r="B19" s="12"/>
      <c r="D19" s="581" t="str">
        <f>IF(s!K16&lt;&gt;"",s!K16,"")</f>
        <v>New Bit:</v>
      </c>
      <c r="E19" s="581" t="str">
        <f>IF(s!L16&lt;&gt;"",s!L16,"")</f>
        <v/>
      </c>
      <c r="F19" s="581" t="str">
        <f>IF(s!M16&lt;&gt;"",s!M16,"")</f>
        <v/>
      </c>
      <c r="G19" s="581" t="str">
        <f>IF(s!N16&lt;&gt;"",s!N16,"")</f>
        <v/>
      </c>
      <c r="H19" s="581" t="str">
        <f>IF(s!O16&lt;&gt;"",s!O16,"")</f>
        <v/>
      </c>
      <c r="M19" s="576" t="str">
        <f>IF(s!U16&lt;&gt;"",s!U16,"")</f>
        <v>Financial Projections:</v>
      </c>
      <c r="N19" s="576" t="str">
        <f>IF(s!V16&lt;&gt;"",s!V16,"")</f>
        <v/>
      </c>
      <c r="O19" s="576" t="str">
        <f>IF(s!W16&lt;&gt;"",s!W16,"")</f>
        <v/>
      </c>
      <c r="P19" s="576" t="str">
        <f>IF(s!X16&lt;&gt;"",s!X16,"")</f>
        <v/>
      </c>
      <c r="T19" s="379" t="str">
        <f>IF(s!AF16&lt;&gt;"",s!AF16,"")</f>
        <v>Rev #</v>
      </c>
      <c r="U19" s="503">
        <f>G45</f>
        <v>8</v>
      </c>
      <c r="V19" s="549" t="str">
        <f>IF(s!AH16&lt;&gt;"",s!AH16,"")</f>
        <v/>
      </c>
      <c r="W19" s="549" t="str">
        <f>IF(s!AI16&lt;&gt;"",s!AI16,"")</f>
        <v/>
      </c>
      <c r="X19" s="549" t="str">
        <f>IF(s!AJ16&lt;&gt;"",s!AJ16,"")</f>
        <v/>
      </c>
      <c r="Y19" s="549" t="str">
        <f>IF(s!AK16&lt;&gt;"",s!AK16,"")</f>
        <v/>
      </c>
      <c r="AA19" s="8"/>
    </row>
    <row r="20" spans="1:27" ht="20.100000000000001" customHeight="1" x14ac:dyDescent="0.25">
      <c r="B20" s="12"/>
      <c r="E20" s="491" t="str">
        <f>IF(s!L17&lt;&gt;"",s!L17,"")</f>
        <v>Size:</v>
      </c>
      <c r="F20" s="529" t="s">
        <v>169</v>
      </c>
      <c r="G20" s="530"/>
      <c r="M20" s="372"/>
      <c r="O20" s="566" t="str">
        <f>IF(s!W17&lt;&gt;"",s!W17,"")</f>
        <v>Sales</v>
      </c>
      <c r="P20" s="567"/>
      <c r="Q20" s="567"/>
      <c r="R20" s="474" t="str">
        <f>IF(s!AC17&lt;&gt;"",s!AC17,"")</f>
        <v/>
      </c>
      <c r="S20" s="475">
        <f>IF(s!AE17&lt;&gt;"",s!AE17,"")</f>
        <v>49500</v>
      </c>
      <c r="T20" s="476" t="str">
        <f>IF(s!AF17&lt;&gt;"",s!AF17,"")</f>
        <v/>
      </c>
      <c r="U20" s="477">
        <f>IF(s!AG17&lt;&gt;"",s!AG17,"")</f>
        <v>49500</v>
      </c>
      <c r="V20" s="540" t="str">
        <f>IF(s!AH17&lt;&gt;"",s!AH17,"")</f>
        <v>Σ Revenue</v>
      </c>
      <c r="W20" s="540" t="str">
        <f>IF(s!AI17&lt;&gt;"",s!AI17,"")</f>
        <v/>
      </c>
      <c r="X20" s="540" t="str">
        <f>IF(s!AJ17&lt;&gt;"",s!AJ17,"")</f>
        <v/>
      </c>
      <c r="Y20" s="541" t="str">
        <f>IF(s!AK17&lt;&gt;"",s!AK17,"")</f>
        <v/>
      </c>
      <c r="AA20" s="8"/>
    </row>
    <row r="21" spans="1:27" ht="20.100000000000001" customHeight="1" x14ac:dyDescent="0.25">
      <c r="B21" s="12"/>
      <c r="E21" s="492" t="str">
        <f>IF(s!L18&lt;&gt;"",s!L18,"")</f>
        <v>Model:</v>
      </c>
      <c r="F21" s="590" t="s">
        <v>168</v>
      </c>
      <c r="G21" s="591"/>
      <c r="H21" s="509" t="str">
        <f>IF(s!O18&lt;&gt;"",s!O18,"")</f>
        <v>Dragon Example: 913-DR(K)(BR)</v>
      </c>
      <c r="I21" s="380"/>
      <c r="J21" s="380"/>
      <c r="O21" s="566" t="str">
        <f>IF(s!W18&lt;&gt;"",s!W18,"")</f>
        <v>Freight $ Collected</v>
      </c>
      <c r="P21" s="567"/>
      <c r="Q21" s="567"/>
      <c r="R21" s="478">
        <f>IF(s!AC18&lt;&gt;"",s!AC18,"")</f>
        <v>9.5454545454545459E-2</v>
      </c>
      <c r="S21" s="479">
        <f>IF(s!AE18&lt;&gt;"",s!AE18,"")</f>
        <v>4725</v>
      </c>
      <c r="T21" s="480">
        <f>IF(s!AF18&lt;&gt;"",s!AF18,"")</f>
        <v>-7.2727272727272724E-2</v>
      </c>
      <c r="U21" s="477">
        <f>IF(s!AG18&lt;&gt;"",s!AG18,"")</f>
        <v>-3600</v>
      </c>
      <c r="V21" s="540" t="str">
        <f>IF(s!AH18&lt;&gt;"",s!AH18,"")</f>
        <v>Σ Revenue</v>
      </c>
      <c r="W21" s="540" t="str">
        <f>IF(s!AI18&lt;&gt;"",s!AI18,"")</f>
        <v/>
      </c>
      <c r="X21" s="540" t="str">
        <f>IF(s!AJ18&lt;&gt;"",s!AJ18,"")</f>
        <v/>
      </c>
      <c r="Y21" s="541" t="str">
        <f>IF(s!AK18&lt;&gt;"",s!AK18,"")</f>
        <v/>
      </c>
      <c r="AA21" s="8"/>
    </row>
    <row r="22" spans="1:27" ht="15" customHeight="1" thickBot="1" x14ac:dyDescent="0.3">
      <c r="A22" s="290"/>
      <c r="B22" s="89"/>
      <c r="C22" s="290"/>
      <c r="E22" s="531" t="s">
        <v>2</v>
      </c>
      <c r="F22" s="532"/>
      <c r="G22" s="490" t="s">
        <v>141</v>
      </c>
      <c r="I22" s="380"/>
      <c r="J22" s="380"/>
      <c r="O22" s="538" t="str">
        <f>IF(s!W19&lt;&gt;"",s!W19,"")</f>
        <v>DBR / LIH Charge</v>
      </c>
      <c r="P22" s="539"/>
      <c r="Q22" s="539"/>
      <c r="R22" s="474" t="str">
        <f>IF(s!AC19&lt;&gt;"",s!AC19,"")</f>
        <v/>
      </c>
      <c r="S22" s="475" t="str">
        <f>IF(s!AE19&lt;&gt;"",s!AE19,"")</f>
        <v/>
      </c>
      <c r="T22" s="480">
        <f>IF(s!AF19&lt;&gt;"",s!AF19,"")</f>
        <v>0.44444444444444442</v>
      </c>
      <c r="U22" s="477">
        <f>IF(s!AG19&lt;&gt;"",s!AG19,"")</f>
        <v>22000</v>
      </c>
      <c r="V22" s="540" t="str">
        <f>IF(s!AH19&lt;&gt;"",s!AH19,"")</f>
        <v>Σ Revenue</v>
      </c>
      <c r="W22" s="540" t="str">
        <f>IF(s!AI19&lt;&gt;"",s!AI19,"")</f>
        <v/>
      </c>
      <c r="X22" s="540" t="str">
        <f>IF(s!AJ19&lt;&gt;"",s!AJ19,"")</f>
        <v/>
      </c>
      <c r="Y22" s="541" t="str">
        <f>IF(s!AK19&lt;&gt;"",s!AK19,"")</f>
        <v/>
      </c>
      <c r="AA22" s="8"/>
    </row>
    <row r="23" spans="1:27" ht="15.75" customHeight="1" thickTop="1" x14ac:dyDescent="0.25">
      <c r="A23" s="2"/>
      <c r="B23" s="92"/>
      <c r="C23" s="2"/>
      <c r="H23" s="380"/>
      <c r="I23" s="380"/>
      <c r="J23" s="380"/>
      <c r="M23" s="380"/>
      <c r="N23" s="556" t="str">
        <f>IF(s!V20&lt;&gt;"",s!V20,"")</f>
        <v>Cost of Sales</v>
      </c>
      <c r="O23" s="381" t="str">
        <f>IF(s!W20&lt;&gt;"",s!W20,"")</f>
        <v/>
      </c>
      <c r="P23" s="554">
        <f>IF(s!X20&lt;&gt;"",s!X20,"")</f>
        <v>-0.2540292139824879</v>
      </c>
      <c r="Q23" s="552">
        <f>IF(s!AB20&lt;&gt;"",s!AB20,"")</f>
        <v>-12574.446092133152</v>
      </c>
      <c r="R23" s="382">
        <f>IF(s!AC20&lt;&gt;"",s!AC20,"")</f>
        <v>-8.9446906331861947E-2</v>
      </c>
      <c r="S23" s="383">
        <f>IF(s!AE20&lt;&gt;"",s!AE20,"")</f>
        <v>-4427.6218634271663</v>
      </c>
      <c r="T23" s="384">
        <f>IF(s!AF20&lt;&gt;"",s!AF20,"")</f>
        <v>-8.9446906331861947E-2</v>
      </c>
      <c r="U23" s="385">
        <f>IF(s!AG20&lt;&gt;"",s!AG20,"")</f>
        <v>-4427.6218634271663</v>
      </c>
      <c r="V23" s="615" t="str">
        <f>IF(s!AH20&lt;&gt;"",s!AH20,"")</f>
        <v>Σ New Bit</v>
      </c>
      <c r="W23" s="615" t="str">
        <f>IF(s!AI20&lt;&gt;"",s!AI20,"")</f>
        <v/>
      </c>
      <c r="X23" s="615" t="str">
        <f>IF(s!AJ20&lt;&gt;"",s!AJ20,"")</f>
        <v/>
      </c>
      <c r="Y23" s="616" t="str">
        <f>IF(s!AK20&lt;&gt;"",s!AK20,"")</f>
        <v/>
      </c>
      <c r="AA23" s="8"/>
    </row>
    <row r="24" spans="1:27" x14ac:dyDescent="0.25">
      <c r="B24" s="12"/>
      <c r="E24" s="372"/>
      <c r="F24" s="372"/>
      <c r="G24" s="372"/>
      <c r="H24" s="380"/>
      <c r="I24" s="380"/>
      <c r="N24" s="557" t="str">
        <f>IF(s!V21&lt;&gt;"",s!V21,"")</f>
        <v/>
      </c>
      <c r="O24" s="386">
        <f>IF(s!W21&lt;&gt;"",s!W21,"")</f>
        <v>-33313.091623800683</v>
      </c>
      <c r="P24" s="555" t="str">
        <f>IF(s!X21&lt;&gt;"",s!X21,"")</f>
        <v/>
      </c>
      <c r="Q24" s="553" t="str">
        <f>IF(s!AB21&lt;&gt;"",s!AB21,"")</f>
        <v/>
      </c>
      <c r="R24" s="387">
        <f>IF(s!AC21&lt;&gt;"",s!AC21,"")</f>
        <v>-0.16458230765062598</v>
      </c>
      <c r="S24" s="388">
        <f>IF(s!AE21&lt;&gt;"",s!AE21,"")</f>
        <v>-8146.8242287059866</v>
      </c>
      <c r="T24" s="389">
        <f>IF(s!AF21&lt;&gt;"",s!AF21,"")</f>
        <v>-0.16458230765062598</v>
      </c>
      <c r="U24" s="390">
        <f>IF(s!AG21&lt;&gt;"",s!AG21,"")</f>
        <v>-8146.8242287059857</v>
      </c>
      <c r="V24" s="611" t="str">
        <f>IF(s!AH21&lt;&gt;"",s!AH21,"")</f>
        <v>Σ Repairs</v>
      </c>
      <c r="W24" s="606" t="str">
        <f>IF(s!AI21&lt;&gt;"",s!AI21,"")</f>
        <v/>
      </c>
      <c r="X24" s="606" t="str">
        <f>IF(s!AJ21&lt;&gt;"",s!AJ21,"")</f>
        <v/>
      </c>
      <c r="Y24" s="607" t="str">
        <f>IF(s!AK21&lt;&gt;"",s!AK21,"")</f>
        <v/>
      </c>
      <c r="AA24" s="8"/>
    </row>
    <row r="25" spans="1:27" ht="15.75" thickBot="1" x14ac:dyDescent="0.3">
      <c r="B25" s="12"/>
      <c r="F25" s="391" t="str">
        <f>IF(s!M22&lt;&gt;"",s!M22,"")</f>
        <v>Cost</v>
      </c>
      <c r="G25" s="392" t="str">
        <f>IF(s!N22&lt;&gt;"",s!N22,"")</f>
        <v>Override</v>
      </c>
      <c r="H25" s="393" t="str">
        <f>IF(s!O22&lt;&gt;"",s!O22,"")</f>
        <v>Est.</v>
      </c>
      <c r="I25" s="394"/>
      <c r="K25" s="395"/>
      <c r="L25" s="395"/>
      <c r="N25" s="557" t="str">
        <f>IF(s!V22&lt;&gt;"",s!V22,"")</f>
        <v/>
      </c>
      <c r="O25" s="396">
        <f>IF(s!W22&lt;&gt;"",s!W22,"")</f>
        <v>-0.67299174997577138</v>
      </c>
      <c r="P25" s="533">
        <f>IF(s!X22&lt;&gt;"",s!X22,"")</f>
        <v>-0.41896253599328348</v>
      </c>
      <c r="Q25" s="527">
        <f>IF(s!AB22&lt;&gt;"",s!AB22,"")</f>
        <v>-20738.645531667531</v>
      </c>
      <c r="R25" s="397">
        <f>IF(s!AC22&lt;&gt;"",s!AC22,"")</f>
        <v>-0.16113943692049362</v>
      </c>
      <c r="S25" s="398">
        <f>IF(s!AE22&lt;&gt;"",s!AE22,"")</f>
        <v>-7976.4021275644345</v>
      </c>
      <c r="T25" s="399">
        <f>IF(s!AF22&lt;&gt;"",s!AF22,"")</f>
        <v>-0.16113943692049362</v>
      </c>
      <c r="U25" s="400">
        <f>IF(s!AG22&lt;&gt;"",s!AG22,"")</f>
        <v>-7976.4021275644345</v>
      </c>
      <c r="V25" s="542" t="str">
        <f>IF(s!AH22&lt;&gt;"",s!AH22,"")</f>
        <v>Σ Cutters (New Bit)</v>
      </c>
      <c r="W25" s="542" t="str">
        <f>IF(s!AI22&lt;&gt;"",s!AI22,"")</f>
        <v/>
      </c>
      <c r="X25" s="542" t="str">
        <f>IF(s!AJ22&lt;&gt;"",s!AJ22,"")</f>
        <v/>
      </c>
      <c r="Y25" s="543" t="str">
        <f>IF(s!AK22&lt;&gt;"",s!AK22,"")</f>
        <v/>
      </c>
      <c r="AA25" s="8"/>
    </row>
    <row r="26" spans="1:27" ht="15.75" thickBot="1" x14ac:dyDescent="0.3">
      <c r="B26" s="12"/>
      <c r="E26" s="401" t="str">
        <f>IF(s!L23&lt;&gt;"",s!L23,"")</f>
        <v>Body</v>
      </c>
      <c r="F26" s="402">
        <f>IF(s!M23&lt;&gt;"",s!M23,"")</f>
        <v>4427.6218634271663</v>
      </c>
      <c r="G26" s="346" t="str">
        <f>IF(s!N23&lt;&gt;"",s!N23,"")</f>
        <v/>
      </c>
      <c r="H26" s="403">
        <f>IF(s!O23&lt;&gt;"",s!O23,"")</f>
        <v>4427.6218634271663</v>
      </c>
      <c r="I26" s="404" t="str">
        <f>IF(s!P23&lt;&gt;"",s!P23,"")</f>
        <v/>
      </c>
      <c r="K26" s="405"/>
      <c r="L26" s="405"/>
      <c r="N26" s="557" t="str">
        <f>IF(s!V23&lt;&gt;"",s!V23,"")</f>
        <v/>
      </c>
      <c r="O26" s="406" t="str">
        <f>IF(s!W23&lt;&gt;"",s!W23,"")</f>
        <v/>
      </c>
      <c r="P26" s="534" t="str">
        <f>IF(s!X23&lt;&gt;"",s!X23,"")</f>
        <v/>
      </c>
      <c r="Q26" s="528" t="str">
        <f>IF(s!AB23&lt;&gt;"",s!AB23,"")</f>
        <v/>
      </c>
      <c r="R26" s="407">
        <f>IF(s!AC23&lt;&gt;"",s!AC23,"")</f>
        <v>-0.25782309907278983</v>
      </c>
      <c r="S26" s="408">
        <f>IF(s!AE23&lt;&gt;"",s!AE23,"")</f>
        <v>-12762.243404103096</v>
      </c>
      <c r="T26" s="409">
        <f>IF(s!AF23&lt;&gt;"",s!AF23,"")</f>
        <v>-0.25782309907278983</v>
      </c>
      <c r="U26" s="410">
        <f>IF(s!AG23&lt;&gt;"",s!AG23,"")</f>
        <v>-12762.243404103097</v>
      </c>
      <c r="V26" s="611" t="str">
        <f>IF(s!AH23&lt;&gt;"",s!AH23,"")</f>
        <v>Σ Cutters (Repair)</v>
      </c>
      <c r="W26" s="606" t="str">
        <f>IF(s!AI23&lt;&gt;"",s!AI23,"")</f>
        <v/>
      </c>
      <c r="X26" s="606" t="str">
        <f>IF(s!AJ23&lt;&gt;"",s!AJ23,"")</f>
        <v/>
      </c>
      <c r="Y26" s="607" t="str">
        <f>IF(s!AK23&lt;&gt;"",s!AK23,"")</f>
        <v/>
      </c>
      <c r="AA26" s="8"/>
    </row>
    <row r="27" spans="1:27" ht="16.5" thickTop="1" thickBot="1" x14ac:dyDescent="0.3">
      <c r="B27" s="12"/>
      <c r="E27" s="411" t="str">
        <f>IF(s!L24&lt;&gt;"",s!L24,"")</f>
        <v>Cutters</v>
      </c>
      <c r="F27" s="412">
        <f>IF(s!M24&lt;&gt;"",s!M24,"")</f>
        <v>7976.4021275644345</v>
      </c>
      <c r="G27" s="347" t="str">
        <f>IF(s!N24&lt;&gt;"",s!N24,"")</f>
        <v/>
      </c>
      <c r="H27" s="413">
        <f>IF(s!O24&lt;&gt;"",s!O24,"")</f>
        <v>7976.4021275644345</v>
      </c>
      <c r="I27" s="404" t="str">
        <f>IF(s!P24&lt;&gt;"",s!P24,"")</f>
        <v/>
      </c>
      <c r="K27" s="405"/>
      <c r="L27" s="405"/>
      <c r="M27" s="395"/>
      <c r="N27" s="558" t="str">
        <f>IF(s!V24&lt;&gt;"",s!V24,"")</f>
        <v/>
      </c>
      <c r="O27" s="660" t="str">
        <f>IF(s!W24&lt;&gt;"",s!W24,"")</f>
        <v>Gross Profit</v>
      </c>
      <c r="P27" s="661"/>
      <c r="Q27" s="661"/>
      <c r="R27" s="414">
        <f>IF(s!AC24&lt;&gt;"",s!AC24,"")</f>
        <v>0.42246279547877424</v>
      </c>
      <c r="S27" s="415">
        <f>IF(s!AE24&lt;&gt;"",s!AE24,"")</f>
        <v>20911.908376199324</v>
      </c>
      <c r="T27" s="416">
        <f>IF(s!AF24&lt;&gt;"",s!AF24,"")</f>
        <v>0.69872542174140051</v>
      </c>
      <c r="U27" s="417">
        <f>IF(s!AG24&lt;&gt;"",s!AG24,"")</f>
        <v>34586.908376199324</v>
      </c>
      <c r="V27" s="612" t="str">
        <f>IF(s!AH24&lt;&gt;"",s!AH24,"")</f>
        <v>Σ Return (GP)</v>
      </c>
      <c r="W27" s="613" t="str">
        <f>IF(s!AI24&lt;&gt;"",s!AI24,"")</f>
        <v/>
      </c>
      <c r="X27" s="613" t="str">
        <f>IF(s!AJ24&lt;&gt;"",s!AJ24,"")</f>
        <v/>
      </c>
      <c r="Y27" s="614" t="str">
        <f>IF(s!AK24&lt;&gt;"",s!AK24,"")</f>
        <v/>
      </c>
      <c r="AA27" s="8"/>
    </row>
    <row r="28" spans="1:27" ht="15.75" customHeight="1" thickTop="1" x14ac:dyDescent="0.25">
      <c r="B28" s="12"/>
      <c r="E28" s="418" t="str">
        <f>IF(s!L25&lt;&gt;"",s!L25,"")</f>
        <v>New Bit</v>
      </c>
      <c r="F28" s="419">
        <f>IF(s!M25&lt;&gt;"",s!M25,"")</f>
        <v>12404.02</v>
      </c>
      <c r="G28" s="489">
        <f>IF(s!N25&lt;&gt;"",s!N25,"")</f>
        <v>5</v>
      </c>
      <c r="H28" s="420"/>
      <c r="L28" s="395"/>
      <c r="M28" s="395"/>
      <c r="N28" s="556" t="str">
        <f>IF(s!V25&lt;&gt;"",s!V25,"")</f>
        <v>Expenses</v>
      </c>
      <c r="O28" s="381" t="str">
        <f>IF(s!W25&lt;&gt;"",s!W25,"")</f>
        <v/>
      </c>
      <c r="P28" s="421" t="str">
        <f>IF(s!X25&lt;&gt;"",s!X25,"")</f>
        <v/>
      </c>
      <c r="Q28" s="421"/>
      <c r="R28" s="387">
        <f>IF(s!AC25&lt;&gt;"",s!AC25,"")</f>
        <v>-7.2727272727272724E-2</v>
      </c>
      <c r="S28" s="388">
        <f>IF(s!AE25&lt;&gt;"",s!AE25,"")</f>
        <v>-3600</v>
      </c>
      <c r="T28" s="389">
        <f>IF(s!AF25&lt;&gt;"",s!AF25,"")</f>
        <v>-7.2727272727272724E-2</v>
      </c>
      <c r="U28" s="390">
        <f>IF(s!AG25&lt;&gt;"",s!AG25,"")</f>
        <v>-3600</v>
      </c>
      <c r="V28" s="639" t="str">
        <f>IF(s!AH25&lt;&gt;"",s!AH25,"")</f>
        <v>Σ Freight Cost</v>
      </c>
      <c r="W28" s="639" t="str">
        <f>IF(s!AI25&lt;&gt;"",s!AI25,"")</f>
        <v/>
      </c>
      <c r="X28" s="639" t="str">
        <f>IF(s!AJ25&lt;&gt;"",s!AJ25,"")</f>
        <v/>
      </c>
      <c r="Y28" s="640" t="str">
        <f>IF(s!AK25&lt;&gt;"",s!AK25,"")</f>
        <v/>
      </c>
      <c r="AA28" s="8"/>
    </row>
    <row r="29" spans="1:27" ht="15.75" customHeight="1" x14ac:dyDescent="0.25">
      <c r="B29" s="12"/>
      <c r="F29" s="326"/>
      <c r="L29" s="395"/>
      <c r="M29" s="395"/>
      <c r="N29" s="557" t="str">
        <f>IF(s!V26&lt;&gt;"",s!V26,"")</f>
        <v/>
      </c>
      <c r="O29" s="422" t="str">
        <f>IF(s!W26&lt;&gt;"",s!W26,"")</f>
        <v/>
      </c>
      <c r="P29" s="592">
        <f>IF(s!X26&lt;&gt;"",s!X26,"")</f>
        <v>-0.2</v>
      </c>
      <c r="Q29" s="617">
        <f>IF(s!AB26&lt;&gt;"",s!AB26,"")</f>
        <v>-9900</v>
      </c>
      <c r="R29" s="397"/>
      <c r="S29" s="398"/>
      <c r="T29" s="399"/>
      <c r="U29" s="400"/>
      <c r="V29" s="608" t="str">
        <f>IF(s!AH26&lt;&gt;"",s!AH26,"")</f>
        <v>Σ Com Marketing</v>
      </c>
      <c r="W29" s="542" t="str">
        <f>IF(s!AI26&lt;&gt;"",s!AI26,"")</f>
        <v/>
      </c>
      <c r="X29" s="542" t="str">
        <f>IF(s!AJ26&lt;&gt;"",s!AJ26,"")</f>
        <v/>
      </c>
      <c r="Y29" s="543" t="str">
        <f>IF(s!AK26&lt;&gt;"",s!AK26,"")</f>
        <v/>
      </c>
      <c r="AA29" s="8"/>
    </row>
    <row r="30" spans="1:27" ht="15.75" customHeight="1" x14ac:dyDescent="0.25">
      <c r="B30" s="12"/>
      <c r="F30" s="3"/>
      <c r="L30" s="395"/>
      <c r="M30" s="395"/>
      <c r="N30" s="557" t="str">
        <f>IF(s!V27&lt;&gt;"",s!V27,"")</f>
        <v/>
      </c>
      <c r="O30" s="386">
        <f>IF(s!W27&lt;&gt;"",s!W27,"")</f>
        <v>-13500</v>
      </c>
      <c r="P30" s="593" t="str">
        <f>IF(s!X27&lt;&gt;"",s!X27,"")</f>
        <v/>
      </c>
      <c r="Q30" s="618" t="str">
        <f>IF(s!AB27&lt;&gt;"",s!AB27,"")</f>
        <v/>
      </c>
      <c r="R30" s="387"/>
      <c r="S30" s="388"/>
      <c r="T30" s="389"/>
      <c r="U30" s="390"/>
      <c r="V30" s="639" t="str">
        <f>IF(s!AH27&lt;&gt;"",s!AH27,"")</f>
        <v>Σ Com Leadership</v>
      </c>
      <c r="W30" s="639" t="str">
        <f>IF(s!AI27&lt;&gt;"",s!AI27,"")</f>
        <v/>
      </c>
      <c r="X30" s="639" t="str">
        <f>IF(s!AJ27&lt;&gt;"",s!AJ27,"")</f>
        <v/>
      </c>
      <c r="Y30" s="640" t="str">
        <f>IF(s!AK27&lt;&gt;"",s!AK27,"")</f>
        <v/>
      </c>
      <c r="AA30" s="8"/>
    </row>
    <row r="31" spans="1:27" ht="15.75" customHeight="1" x14ac:dyDescent="0.25">
      <c r="B31" s="12"/>
      <c r="D31" s="581" t="str">
        <f>IF(s!K28&lt;&gt;"",s!K28,"")</f>
        <v>Repairs:</v>
      </c>
      <c r="E31" s="581" t="str">
        <f>IF(s!L28&lt;&gt;"",s!L28,"")</f>
        <v/>
      </c>
      <c r="F31" s="423"/>
      <c r="G31" s="423"/>
      <c r="L31" s="395"/>
      <c r="M31" s="395"/>
      <c r="N31" s="557" t="str">
        <f>IF(s!V28&lt;&gt;"",s!V28,"")</f>
        <v/>
      </c>
      <c r="O31" s="386" t="str">
        <f>IF(s!W28&lt;&gt;"",s!W28,"")</f>
        <v/>
      </c>
      <c r="P31" s="593">
        <f>IF(s!X28&lt;&gt;"",s!X28,"")</f>
        <v>0</v>
      </c>
      <c r="Q31" s="618" t="str">
        <f>IF(s!AB28&lt;&gt;"",s!AB28,"")</f>
        <v/>
      </c>
      <c r="R31" s="387"/>
      <c r="S31" s="388"/>
      <c r="T31" s="389"/>
      <c r="U31" s="390"/>
      <c r="V31" s="639" t="str">
        <f>IF(s!AH28&lt;&gt;"",s!AH28,"")</f>
        <v>Σ Com Sales Manager</v>
      </c>
      <c r="W31" s="639" t="str">
        <f>IF(s!AI28&lt;&gt;"",s!AI28,"")</f>
        <v/>
      </c>
      <c r="X31" s="639" t="str">
        <f>IF(s!AJ28&lt;&gt;"",s!AJ28,"")</f>
        <v/>
      </c>
      <c r="Y31" s="640" t="str">
        <f>IF(s!AK28&lt;&gt;"",s!AK28,"")</f>
        <v/>
      </c>
      <c r="AA31" s="8"/>
    </row>
    <row r="32" spans="1:27" ht="15.75" customHeight="1" thickBot="1" x14ac:dyDescent="0.3">
      <c r="B32" s="12"/>
      <c r="F32" s="391" t="str">
        <f>IF(s!M29&lt;&gt;"",s!M29,"")</f>
        <v>Cost</v>
      </c>
      <c r="G32" s="448" t="str">
        <f>IF(s!N29&lt;&gt;"",s!N29,"")</f>
        <v>Override</v>
      </c>
      <c r="H32" s="393" t="str">
        <f>IF(s!O29&lt;&gt;"",s!O29,"")</f>
        <v>Est.</v>
      </c>
      <c r="I32" s="394"/>
      <c r="L32" s="395"/>
      <c r="M32" s="395"/>
      <c r="N32" s="557" t="str">
        <f>IF(s!V29&lt;&gt;"",s!V29,"")</f>
        <v/>
      </c>
      <c r="O32" s="386" t="str">
        <f>IF(s!W29&lt;&gt;"",s!W29,"")</f>
        <v/>
      </c>
      <c r="P32" s="593" t="str">
        <f>IF(s!X29&lt;&gt;"",s!X29,"")</f>
        <v/>
      </c>
      <c r="Q32" s="618" t="str">
        <f>IF(s!AB29&lt;&gt;"",s!AB29,"")</f>
        <v/>
      </c>
      <c r="R32" s="387"/>
      <c r="S32" s="388"/>
      <c r="T32" s="389"/>
      <c r="U32" s="390"/>
      <c r="V32" s="639" t="str">
        <f>IF(s!AH29&lt;&gt;"",s!AH29,"")</f>
        <v>Σ Com Sales engineer</v>
      </c>
      <c r="W32" s="639" t="str">
        <f>IF(s!AI29&lt;&gt;"",s!AI29,"")</f>
        <v/>
      </c>
      <c r="X32" s="639" t="str">
        <f>IF(s!AJ29&lt;&gt;"",s!AJ29,"")</f>
        <v/>
      </c>
      <c r="Y32" s="640" t="str">
        <f>IF(s!AK29&lt;&gt;"",s!AK29,"")</f>
        <v/>
      </c>
      <c r="AA32" s="8"/>
    </row>
    <row r="33" spans="2:27" x14ac:dyDescent="0.25">
      <c r="B33" s="12"/>
      <c r="D33" s="350">
        <f>IF(s!K30&lt;&gt;"",s!K30,"")</f>
        <v>0.23</v>
      </c>
      <c r="E33" s="401" t="str">
        <f>IF(s!L30&lt;&gt;"",s!L30,"")</f>
        <v>Body</v>
      </c>
      <c r="F33" s="402">
        <f>IF(s!M30&lt;&gt;"",s!M30,"")</f>
        <v>1018.3530285882483</v>
      </c>
      <c r="G33" s="348" t="str">
        <f>IF(s!N30&lt;&gt;"",s!N30,"")</f>
        <v/>
      </c>
      <c r="H33" s="403">
        <f>IF(s!O30&lt;&gt;"",s!O30,"")</f>
        <v>1018.3530285882483</v>
      </c>
      <c r="I33" s="404" t="str">
        <f>IF(s!P30&lt;&gt;"",s!P30,"")</f>
        <v/>
      </c>
      <c r="L33" s="395"/>
      <c r="M33" s="395"/>
      <c r="N33" s="557" t="str">
        <f>IF(s!V30&lt;&gt;"",s!V30,"")</f>
        <v/>
      </c>
      <c r="O33" s="396">
        <f>IF(s!W30&lt;&gt;"",s!W30,"")</f>
        <v>-0.27272727272727271</v>
      </c>
      <c r="P33" s="593">
        <f>IF(s!X30&lt;&gt;"",s!X30,"")</f>
        <v>0</v>
      </c>
      <c r="Q33" s="618" t="str">
        <f>IF(s!AB30&lt;&gt;"",s!AB30,"")</f>
        <v/>
      </c>
      <c r="R33" s="387"/>
      <c r="S33" s="388"/>
      <c r="T33" s="389"/>
      <c r="U33" s="390"/>
      <c r="V33" s="639" t="str">
        <f>IF(s!AH30&lt;&gt;"",s!AH30,"")</f>
        <v>Σ Com Account Rep</v>
      </c>
      <c r="W33" s="639" t="str">
        <f>IF(s!AI30&lt;&gt;"",s!AI30,"")</f>
        <v/>
      </c>
      <c r="X33" s="639" t="str">
        <f>IF(s!AJ30&lt;&gt;"",s!AJ30,"")</f>
        <v/>
      </c>
      <c r="Y33" s="640" t="str">
        <f>IF(s!AK30&lt;&gt;"",s!AK30,"")</f>
        <v/>
      </c>
      <c r="AA33" s="8"/>
    </row>
    <row r="34" spans="2:27" ht="15.75" thickBot="1" x14ac:dyDescent="0.3">
      <c r="B34" s="12"/>
      <c r="D34" s="351">
        <f>IF(s!K31&lt;&gt;"",s!K31,"")</f>
        <v>0.2</v>
      </c>
      <c r="E34" s="411" t="str">
        <f>IF(s!L31&lt;&gt;"",s!L31,"")</f>
        <v>Cutters</v>
      </c>
      <c r="F34" s="412">
        <f>IF(s!M31&lt;&gt;"",s!M31,"")</f>
        <v>1595.2804255128869</v>
      </c>
      <c r="G34" s="349" t="str">
        <f>IF(s!N31&lt;&gt;"",s!N31,"")</f>
        <v/>
      </c>
      <c r="H34" s="413">
        <f>IF(s!O31&lt;&gt;"",s!O31,"")</f>
        <v>1595.2804255128869</v>
      </c>
      <c r="I34" s="404" t="str">
        <f>IF(s!P31&lt;&gt;"",s!P31,"")</f>
        <v/>
      </c>
      <c r="J34" s="510" t="str">
        <f>IF(s!Q31&lt;&gt;"",s!Q31,"")</f>
        <v>or</v>
      </c>
      <c r="K34" s="666">
        <f>IF(s!R31&lt;&gt;"",s!R31,"")</f>
        <v>0.29005098645688854</v>
      </c>
      <c r="L34" s="666"/>
      <c r="M34" s="667"/>
      <c r="N34" s="557" t="str">
        <f>IF(s!V31&lt;&gt;"",s!V31,"")</f>
        <v/>
      </c>
      <c r="O34" s="424" t="str">
        <f>IF(s!W31&lt;&gt;"",s!W31,"")</f>
        <v/>
      </c>
      <c r="P34" s="594" t="str">
        <f>IF(s!X31&lt;&gt;"",s!X31,"")</f>
        <v/>
      </c>
      <c r="Q34" s="619" t="str">
        <f>IF(s!AB31&lt;&gt;"",s!AB31,"")</f>
        <v/>
      </c>
      <c r="R34" s="407"/>
      <c r="S34" s="408"/>
      <c r="T34" s="409"/>
      <c r="U34" s="410"/>
      <c r="V34" s="606" t="str">
        <f>IF(s!AH31&lt;&gt;"",s!AH31,"")</f>
        <v>Σ Com Field Rep</v>
      </c>
      <c r="W34" s="606" t="str">
        <f>IF(s!AI31&lt;&gt;"",s!AI31,"")</f>
        <v/>
      </c>
      <c r="X34" s="606" t="str">
        <f>IF(s!AJ31&lt;&gt;"",s!AJ31,"")</f>
        <v/>
      </c>
      <c r="Y34" s="607" t="str">
        <f>IF(s!AK31&lt;&gt;"",s!AK31,"")</f>
        <v/>
      </c>
      <c r="AA34" s="8"/>
    </row>
    <row r="35" spans="2:27" ht="15" customHeight="1" thickTop="1" thickBot="1" x14ac:dyDescent="0.3">
      <c r="B35" s="12"/>
      <c r="E35" s="418" t="str">
        <f>IF(s!L32&lt;&gt;"",s!L32,"")</f>
        <v>Repair</v>
      </c>
      <c r="F35" s="425">
        <f>IF(s!M32&lt;&gt;"",s!M32,"")</f>
        <v>2613.63</v>
      </c>
      <c r="G35" s="489">
        <f>IF(s!N32&lt;&gt;"",s!N32,"")</f>
        <v>3</v>
      </c>
      <c r="H35" s="327"/>
      <c r="I35" s="1"/>
      <c r="K35" s="405"/>
      <c r="L35" s="405"/>
      <c r="M35" s="395"/>
      <c r="N35" s="557" t="str">
        <f>IF(s!V32&lt;&gt;"",s!V32,"")</f>
        <v/>
      </c>
      <c r="O35" s="426" t="str">
        <f>IF(s!W32&lt;&gt;"",s!W32,"")</f>
        <v/>
      </c>
      <c r="P35" s="427" t="str">
        <f>IF(s!X32&lt;&gt;"",s!X32,"")</f>
        <v/>
      </c>
      <c r="Q35" s="428"/>
      <c r="R35" s="407" t="str">
        <f>IF(s!AC32&lt;&gt;"",s!AC32,"")</f>
        <v/>
      </c>
      <c r="S35" s="429" t="str">
        <f>IF(s!AE32&lt;&gt;"",s!AE32,"")</f>
        <v/>
      </c>
      <c r="T35" s="409" t="str">
        <f>IF(s!AF32&lt;&gt;"",s!AF32,"")</f>
        <v/>
      </c>
      <c r="U35" s="430" t="str">
        <f>IF(s!AG32&lt;&gt;"",s!AG32,"")</f>
        <v/>
      </c>
      <c r="V35" s="606" t="str">
        <f>IF(s!AH32&lt;&gt;"",s!AH32,"")</f>
        <v>Σ Miscellaneous</v>
      </c>
      <c r="W35" s="606" t="str">
        <f>IF(s!AI32&lt;&gt;"",s!AI32,"")</f>
        <v/>
      </c>
      <c r="X35" s="606" t="str">
        <f>IF(s!AJ32&lt;&gt;"",s!AJ32,"")</f>
        <v/>
      </c>
      <c r="Y35" s="607" t="str">
        <f>IF(s!AK32&lt;&gt;"",s!AK32,"")</f>
        <v/>
      </c>
      <c r="AA35" s="8"/>
    </row>
    <row r="36" spans="2:27" ht="16.5" thickTop="1" thickBot="1" x14ac:dyDescent="0.3">
      <c r="B36" s="12"/>
      <c r="K36" s="405"/>
      <c r="L36" s="405"/>
      <c r="M36" s="395"/>
      <c r="N36" s="558" t="str">
        <f>IF(s!V33&lt;&gt;"",s!V33,"")</f>
        <v/>
      </c>
      <c r="O36" s="660" t="str">
        <f>IF(s!W33&lt;&gt;"",s!W33,"")</f>
        <v>Gross Profit Less Expenses</v>
      </c>
      <c r="P36" s="661"/>
      <c r="Q36" s="661"/>
      <c r="R36" s="414">
        <f>IF(s!AC33&lt;&gt;"",s!AC33,"")</f>
        <v>0.14973552275150151</v>
      </c>
      <c r="S36" s="415">
        <f>IF(s!AE33&lt;&gt;"",s!AE33,"")</f>
        <v>7411.9083761993243</v>
      </c>
      <c r="T36" s="416">
        <f>IF(s!AF33&lt;&gt;"",s!AF33,"")</f>
        <v>0.56099814901412781</v>
      </c>
      <c r="U36" s="417">
        <f>IF(s!AG33&lt;&gt;"",s!AG33,"")</f>
        <v>27769.408376199324</v>
      </c>
      <c r="V36" s="650" t="str">
        <f>IF(s!AH33&lt;&gt;"",s!AH33,"")</f>
        <v>Σ Return (GPLS)</v>
      </c>
      <c r="W36" s="651" t="str">
        <f>IF(s!AI33&lt;&gt;"",s!AI33,"")</f>
        <v/>
      </c>
      <c r="X36" s="651" t="str">
        <f>IF(s!AJ33&lt;&gt;"",s!AJ33,"")</f>
        <v/>
      </c>
      <c r="Y36" s="652" t="str">
        <f>IF(s!AK33&lt;&gt;"",s!AK33,"")</f>
        <v/>
      </c>
      <c r="AA36" s="8"/>
    </row>
    <row r="37" spans="2:27" ht="15.75" customHeight="1" thickTop="1" x14ac:dyDescent="0.25">
      <c r="B37" s="12"/>
      <c r="K37" s="1"/>
      <c r="L37" s="395"/>
      <c r="M37" s="395"/>
      <c r="N37" s="662" t="str">
        <f>IF(s!V34&lt;&gt;"",s!V34,"")</f>
        <v>Net Profit</v>
      </c>
      <c r="O37" s="481"/>
      <c r="P37" s="482"/>
      <c r="Q37" s="482"/>
      <c r="R37" s="483">
        <f>IF(s!AC34&lt;&gt;"",s!AC34,"")</f>
        <v>-0.67299174997577138</v>
      </c>
      <c r="S37" s="484">
        <f>IF(s!AE34&lt;&gt;"",s!AE34,"")</f>
        <v>-33313.091623800683</v>
      </c>
      <c r="T37" s="485">
        <f>IF(s!AF34&lt;&gt;"",s!AF34,"")</f>
        <v>-0.67299174997577138</v>
      </c>
      <c r="U37" s="484">
        <f>IF(s!AG34&lt;&gt;"",s!AG34,"")</f>
        <v>-33313.091623800683</v>
      </c>
      <c r="V37" s="658" t="str">
        <f>IF(s!AH34&lt;&gt;"",s!AH34,"")</f>
        <v>Σ Cost of Sales</v>
      </c>
      <c r="W37" s="658" t="str">
        <f>IF(s!AI34&lt;&gt;"",s!AI34,"")</f>
        <v/>
      </c>
      <c r="X37" s="658" t="str">
        <f>IF(s!AJ34&lt;&gt;"",s!AJ34,"")</f>
        <v/>
      </c>
      <c r="Y37" s="659" t="str">
        <f>IF(s!AK34&lt;&gt;"",s!AK34,"")</f>
        <v/>
      </c>
      <c r="AA37" s="8"/>
    </row>
    <row r="38" spans="2:27" ht="15.75" thickBot="1" x14ac:dyDescent="0.3">
      <c r="B38" s="12"/>
      <c r="D38" s="581" t="str">
        <f>IF(s!K35&lt;&gt;"",s!K35,"")</f>
        <v>Freight:</v>
      </c>
      <c r="E38" s="581" t="str">
        <f>IF(s!L35&lt;&gt;"",s!L35,"")</f>
        <v/>
      </c>
      <c r="F38" s="581" t="str">
        <f>IF(s!M35&lt;&gt;"",s!M35,"")</f>
        <v/>
      </c>
      <c r="G38" s="581" t="str">
        <f>IF(s!N35&lt;&gt;"",s!N35,"")</f>
        <v/>
      </c>
      <c r="H38" s="581" t="str">
        <f>IF(s!O35&lt;&gt;"",s!O35,"")</f>
        <v/>
      </c>
      <c r="I38" s="327"/>
      <c r="L38" s="395"/>
      <c r="M38" s="395"/>
      <c r="N38" s="663" t="str">
        <f>IF(s!V35&lt;&gt;"",s!V35,"")</f>
        <v/>
      </c>
      <c r="O38" s="486"/>
      <c r="P38" s="482"/>
      <c r="Q38" s="482"/>
      <c r="R38" s="483">
        <f>IF(s!AC35&lt;&gt;"",s!AC35,"")</f>
        <v>-0.27272727272727271</v>
      </c>
      <c r="S38" s="487">
        <f>IF(s!AE35&lt;&gt;"",s!AE35,"")</f>
        <v>-13500</v>
      </c>
      <c r="T38" s="485">
        <f>IF(s!AF35&lt;&gt;"",s!AF35,"")</f>
        <v>-0.13772727272727273</v>
      </c>
      <c r="U38" s="488">
        <f>IF(s!AG35&lt;&gt;"",s!AG35,"")</f>
        <v>-6817.5</v>
      </c>
      <c r="V38" s="656" t="str">
        <f>IF(s!AH35&lt;&gt;"",s!AH35,"")</f>
        <v>Σ Expenses</v>
      </c>
      <c r="W38" s="656" t="str">
        <f>IF(s!AI35&lt;&gt;"",s!AI35,"")</f>
        <v/>
      </c>
      <c r="X38" s="656" t="str">
        <f>IF(s!AJ35&lt;&gt;"",s!AJ35,"")</f>
        <v/>
      </c>
      <c r="Y38" s="657" t="str">
        <f>IF(s!AK35&lt;&gt;"",s!AK35,"")</f>
        <v/>
      </c>
      <c r="AA38" s="8"/>
    </row>
    <row r="39" spans="2:27" ht="15.75" customHeight="1" thickTop="1" x14ac:dyDescent="0.25">
      <c r="B39" s="12"/>
      <c r="G39" s="431" t="str">
        <f>IF(s!N36&lt;&gt;"",s!N36,"")</f>
        <v>Cost</v>
      </c>
      <c r="H39" s="432" t="str">
        <f>IF(s!O36&lt;&gt;"",s!O36,"")</f>
        <v>Delivery</v>
      </c>
      <c r="I39" s="433" t="str">
        <f>IF(s!P36&lt;&gt;"",s!P36,"")</f>
        <v>Collected</v>
      </c>
      <c r="M39" s="395"/>
      <c r="N39" s="663" t="str">
        <f>IF(s!V36&lt;&gt;"",s!V36,"")</f>
        <v/>
      </c>
      <c r="O39" s="643" t="str">
        <f>IF(s!W36&lt;&gt;"",s!W36,"")</f>
        <v>Net Profit</v>
      </c>
      <c r="P39" s="644"/>
      <c r="Q39" s="644"/>
      <c r="R39" s="78">
        <f>IF(s!AC36&lt;&gt;"",s!AC36,"")</f>
        <v>0.14973552275150134</v>
      </c>
      <c r="S39" s="77">
        <f>IF(s!AE36&lt;&gt;"",s!AE36,"")</f>
        <v>7411.908376199317</v>
      </c>
      <c r="T39" s="171">
        <f>IF(s!AF36&lt;&gt;"",s!AF36,"")</f>
        <v>0.56099814901412759</v>
      </c>
      <c r="U39" s="77">
        <f>IF(s!AG36&lt;&gt;"",s!AG36,"")</f>
        <v>27769.408376199317</v>
      </c>
      <c r="V39" s="653" t="str">
        <f>IF(s!AH36&lt;&gt;"",s!AH36,"")</f>
        <v>Return</v>
      </c>
      <c r="W39" s="654" t="str">
        <f>IF(s!AI36&lt;&gt;"",s!AI36,"")</f>
        <v/>
      </c>
      <c r="X39" s="654" t="str">
        <f>IF(s!AJ36&lt;&gt;"",s!AJ36,"")</f>
        <v/>
      </c>
      <c r="Y39" s="655" t="str">
        <f>IF(s!AK36&lt;&gt;"",s!AK36,"")</f>
        <v/>
      </c>
      <c r="AA39" s="8"/>
    </row>
    <row r="40" spans="2:27" x14ac:dyDescent="0.25">
      <c r="B40" s="12"/>
      <c r="E40" s="568" t="str">
        <f>IF(s!L37&lt;&gt;"",s!L37,"")</f>
        <v>COT → Customer</v>
      </c>
      <c r="F40" s="569" t="str">
        <f>IF(s!M37&lt;&gt;"",s!M37,"")</f>
        <v/>
      </c>
      <c r="G40" s="493">
        <v>200</v>
      </c>
      <c r="H40" s="506">
        <v>2</v>
      </c>
      <c r="I40" s="641">
        <v>525</v>
      </c>
      <c r="M40" s="395"/>
      <c r="N40" s="663" t="str">
        <f>IF(s!V37&lt;&gt;"",s!V37,"")</f>
        <v/>
      </c>
      <c r="O40" s="76"/>
      <c r="P40" s="75"/>
      <c r="Q40" s="75"/>
      <c r="R40" s="184"/>
      <c r="S40" s="240">
        <f>IF(s!AE37&lt;&gt;"",s!AE37,"")</f>
        <v>0.15832982012303071</v>
      </c>
      <c r="T40" s="172"/>
      <c r="U40" s="241">
        <f>IF(s!AG37&lt;&gt;"",s!AG37,"")</f>
        <v>0.69197605249681426</v>
      </c>
      <c r="V40" s="264" t="str">
        <f>IF(s!AH37&lt;&gt;"",s!AH37,"")</f>
        <v>ROI</v>
      </c>
      <c r="W40" s="276" t="str">
        <f>IF(s!AI37&lt;&gt;"",s!AI37,"")</f>
        <v/>
      </c>
      <c r="X40" s="276" t="str">
        <f>IF(s!AJ37&lt;&gt;"",s!AJ37,"")</f>
        <v/>
      </c>
      <c r="Y40" s="277" t="str">
        <f>IF(s!AK37&lt;&gt;"",s!AK37,"")</f>
        <v/>
      </c>
      <c r="AA40" s="8"/>
    </row>
    <row r="41" spans="2:27" ht="15" customHeight="1" x14ac:dyDescent="0.25">
      <c r="B41" s="12"/>
      <c r="E41" s="609" t="str">
        <f>IF(s!L38&lt;&gt;"",s!L38,"")</f>
        <v>Customer → COT</v>
      </c>
      <c r="F41" s="610" t="str">
        <f>IF(s!M38&lt;&gt;"",s!M38,"")</f>
        <v/>
      </c>
      <c r="G41" s="494">
        <v>200</v>
      </c>
      <c r="H41" s="507">
        <v>2</v>
      </c>
      <c r="I41" s="642"/>
      <c r="N41" s="664" t="str">
        <f>IF(s!V38&lt;&gt;"",s!V38,"")</f>
        <v/>
      </c>
      <c r="O41" s="74"/>
      <c r="P41" s="73"/>
      <c r="Q41" s="73"/>
      <c r="R41" s="72"/>
      <c r="S41" s="71">
        <f>IF(s!AE38&lt;&gt;"",s!AE38,"")</f>
        <v>6.8401773214976203E-2</v>
      </c>
      <c r="T41" s="173"/>
      <c r="U41" s="174"/>
      <c r="V41" s="265" t="str">
        <f>IF(s!AH38&lt;&gt;"",s!AH38,"")</f>
        <v>IRR</v>
      </c>
      <c r="W41" s="73" t="str">
        <f>IF(s!AI38&lt;&gt;"",s!AI38,"")</f>
        <v/>
      </c>
      <c r="X41" s="73" t="str">
        <f>IF(s!AJ38&lt;&gt;"",s!AJ38,"")</f>
        <v/>
      </c>
      <c r="Y41" s="278" t="str">
        <f>IF(s!AK38&lt;&gt;"",s!AK38,"")</f>
        <v/>
      </c>
      <c r="AA41" s="8"/>
    </row>
    <row r="42" spans="2:27" x14ac:dyDescent="0.25">
      <c r="B42" s="12"/>
      <c r="AA42" s="8"/>
    </row>
    <row r="43" spans="2:27" ht="15" customHeight="1" x14ac:dyDescent="0.25">
      <c r="B43" s="12"/>
      <c r="AA43" s="8"/>
    </row>
    <row r="44" spans="2:27" ht="15.75" customHeight="1" x14ac:dyDescent="0.25">
      <c r="B44" s="12"/>
      <c r="D44" s="576" t="str">
        <f>IF(s!K41&lt;&gt;"",s!K41,"")</f>
        <v>Bit Utilization:</v>
      </c>
      <c r="E44" s="576" t="str">
        <f>IF(s!L41&lt;&gt;"",s!L41,"")</f>
        <v/>
      </c>
      <c r="F44" s="576" t="str">
        <f>IF(s!M41&lt;&gt;"",s!M41,"")</f>
        <v/>
      </c>
      <c r="G44" s="576" t="str">
        <f>IF(s!N41&lt;&gt;"",s!N41,"")</f>
        <v/>
      </c>
      <c r="H44" s="576" t="str">
        <f>IF(s!O41&lt;&gt;"",s!O41,"")</f>
        <v/>
      </c>
      <c r="M44" s="580" t="str">
        <f>IF(s!U41&lt;&gt;"",s!U41,"")</f>
        <v>Cash Conversion Cycle (CCC):</v>
      </c>
      <c r="N44" s="580" t="str">
        <f>IF(s!V41&lt;&gt;"",s!V41,"")</f>
        <v/>
      </c>
      <c r="O44" s="580" t="str">
        <f>IF(s!W41&lt;&gt;"",s!W41,"")</f>
        <v/>
      </c>
      <c r="P44" s="580" t="str">
        <f>IF(s!X41&lt;&gt;"",s!X41,"")</f>
        <v/>
      </c>
      <c r="Q44" s="580" t="str">
        <f>IF(s!AB41&lt;&gt;"",s!AB41,"")</f>
        <v/>
      </c>
      <c r="AA44" s="8"/>
    </row>
    <row r="45" spans="2:27" ht="15" customHeight="1" x14ac:dyDescent="0.25">
      <c r="B45" s="12"/>
      <c r="E45" s="600" t="str">
        <f>IF(s!L42&lt;&gt;"",s!L42,"")</f>
        <v>Bit Life (Rev #)</v>
      </c>
      <c r="F45" s="601" t="str">
        <f>IF(s!M42&lt;&gt;"",s!M42,"")</f>
        <v/>
      </c>
      <c r="G45" s="495">
        <v>8</v>
      </c>
      <c r="H45" s="434">
        <f>IF(s!O42&lt;&gt;"",s!O42,"")</f>
        <v>141</v>
      </c>
      <c r="I45" s="584" t="str">
        <f>IF(s!P42&lt;&gt;"",s!P42,"")</f>
        <v>Bit Life</v>
      </c>
      <c r="J45" s="585" t="str">
        <f>IF(s!Q42&lt;&gt;"",s!Q42,"")</f>
        <v/>
      </c>
      <c r="K45" s="586" t="str">
        <f>IF(s!R42&lt;&gt;"",s!R42,"")</f>
        <v/>
      </c>
      <c r="O45" s="597" t="str">
        <f>IF(s!W42&lt;&gt;"",s!W42,"")</f>
        <v>Cash Conversion Cycle</v>
      </c>
      <c r="P45" s="598" t="str">
        <f>IF(s!X42&lt;&gt;"",s!X42,"")</f>
        <v/>
      </c>
      <c r="Q45" s="599" t="str">
        <f>IF(s!AB42&lt;&gt;"",s!AB42,"")</f>
        <v/>
      </c>
      <c r="R45" s="435" t="str">
        <f>IF(s!AC42&lt;&gt;"",s!AC42,"")</f>
        <v>Invoice</v>
      </c>
      <c r="S45" s="436"/>
      <c r="T45" s="437"/>
      <c r="AA45" s="8"/>
    </row>
    <row r="46" spans="2:27" ht="15.75" customHeight="1" thickBot="1" x14ac:dyDescent="0.3">
      <c r="B46" s="12"/>
      <c r="E46" s="645" t="str">
        <f>IF(s!L43&lt;&gt;"",s!L43,"")</f>
        <v>Invoices / Repair</v>
      </c>
      <c r="F46" s="646" t="str">
        <f>IF(s!M43&lt;&gt;"",s!M43,"")</f>
        <v/>
      </c>
      <c r="G46" s="496">
        <v>1</v>
      </c>
      <c r="H46" s="438">
        <f>IF(s!O43&lt;&gt;"",s!O43,"")</f>
        <v>5500</v>
      </c>
      <c r="I46" s="587" t="str">
        <f>IF(s!P43&lt;&gt;"",s!P43,"")</f>
        <v>Sales / Repair</v>
      </c>
      <c r="J46" s="588" t="str">
        <f>IF(s!Q43&lt;&gt;"",s!Q43,"")</f>
        <v/>
      </c>
      <c r="K46" s="589" t="str">
        <f>IF(s!R43&lt;&gt;"",s!R43,"")</f>
        <v/>
      </c>
      <c r="O46" s="215" t="str">
        <f>IF(s!W43&lt;&gt;"",s!W43,"")</f>
        <v>Lowest</v>
      </c>
      <c r="P46" s="216" t="str">
        <f>IF(s!X43&lt;&gt;"",s!X43,"")</f>
        <v>Last (-) $</v>
      </c>
      <c r="Q46" s="217" t="str">
        <f>IF(s!AB43&lt;&gt;"",s!AB43,"")</f>
        <v>Highest</v>
      </c>
      <c r="R46" s="222" t="str">
        <f>IF(s!AC43&lt;&gt;"",s!AC43,"")</f>
        <v>Last (-) $</v>
      </c>
      <c r="S46" s="439"/>
      <c r="T46" s="437"/>
      <c r="U46" s="437"/>
      <c r="AA46" s="8"/>
    </row>
    <row r="47" spans="2:27" ht="15.75" thickTop="1" x14ac:dyDescent="0.25">
      <c r="B47" s="12"/>
      <c r="E47" s="582" t="str">
        <f>IF(s!L44&lt;&gt;"",s!L44,"")</f>
        <v>Rig days / Invoice</v>
      </c>
      <c r="F47" s="583" t="str">
        <f>IF(s!M44&lt;&gt;"",s!M44,"")</f>
        <v/>
      </c>
      <c r="G47" s="497">
        <v>7</v>
      </c>
      <c r="H47" s="440">
        <f>IF(s!O44&lt;&gt;"",s!O44,"")</f>
        <v>9</v>
      </c>
      <c r="I47" s="647" t="str">
        <f>IF(s!P44&lt;&gt;"",s!P44,"")</f>
        <v>Run → Run</v>
      </c>
      <c r="J47" s="648" t="str">
        <f>IF(s!Q44&lt;&gt;"",s!Q44,"")</f>
        <v/>
      </c>
      <c r="K47" s="649" t="str">
        <f>IF(s!R44&lt;&gt;"",s!R44,"")</f>
        <v/>
      </c>
      <c r="O47" s="209">
        <f>IF(s!W44&lt;&gt;"",s!W44,"")</f>
        <v>66</v>
      </c>
      <c r="P47" s="210">
        <f>IF(s!X44&lt;&gt;"",s!X44,"")</f>
        <v>123</v>
      </c>
      <c r="Q47" s="218">
        <f>IF(s!AB44&lt;&gt;"",s!AB44,"")</f>
        <v>141</v>
      </c>
      <c r="R47" s="223">
        <f>IF(s!AC44&lt;&gt;"",s!AC44,"")</f>
        <v>54</v>
      </c>
      <c r="S47" s="441"/>
      <c r="AA47" s="8"/>
    </row>
    <row r="48" spans="2:27" x14ac:dyDescent="0.25">
      <c r="B48" s="12"/>
      <c r="O48" s="211" t="str">
        <f>IF(s!W45&lt;&gt;"",s!W45,"")</f>
        <v>07.00.R.1</v>
      </c>
      <c r="P48" s="212" t="str">
        <f>IF(s!X45&lt;&gt;"",s!X45,"")</f>
        <v>09.00</v>
      </c>
      <c r="Q48" s="219" t="str">
        <f>IF(s!AB45&lt;&gt;"",s!AB45,"")</f>
        <v>09.00</v>
      </c>
      <c r="R48" s="224" t="str">
        <f>IF(s!AC45&lt;&gt;"",s!AC45,"")</f>
        <v>05.01.D.2</v>
      </c>
      <c r="S48" s="629" t="str">
        <f>IF(s!AE45&lt;&gt;"",s!AE45,"")</f>
        <v>(Repair # . Invoice # . Status . Days @ Status)</v>
      </c>
      <c r="T48" s="630" t="str">
        <f>IF(s!AF45&lt;&gt;"",s!AF45,"")</f>
        <v/>
      </c>
      <c r="U48" s="630" t="str">
        <f>IF(s!AG45&lt;&gt;"",s!AG45,"")</f>
        <v/>
      </c>
      <c r="V48" s="630" t="str">
        <f>IF(s!AH45&lt;&gt;"",s!AH45,"")</f>
        <v/>
      </c>
      <c r="W48" s="630" t="str">
        <f>IF(s!AI45&lt;&gt;"",s!AI45,"")</f>
        <v/>
      </c>
      <c r="X48" s="442"/>
      <c r="AA48" s="8"/>
    </row>
    <row r="49" spans="2:27" x14ac:dyDescent="0.25">
      <c r="B49" s="12"/>
      <c r="M49" s="372"/>
      <c r="O49" s="213">
        <f>IF(s!W46&lt;&gt;"",s!W46,"")</f>
        <v>-33499.458169707948</v>
      </c>
      <c r="P49" s="214">
        <f>IF(s!X46&lt;&gt;"",s!X46,"")</f>
        <v>641.9083761909169</v>
      </c>
      <c r="Q49" s="220">
        <f>IF(s!AB46&lt;&gt;"",s!AB46,"")</f>
        <v>11371.908376190917</v>
      </c>
      <c r="R49" s="225">
        <f>IF(s!AC46&lt;&gt;"",s!AC46,"")</f>
        <v>4517.8087384943256</v>
      </c>
      <c r="S49" s="443"/>
      <c r="T49" s="444"/>
      <c r="U49" s="445" t="str">
        <f>IF(s!AG46&lt;&gt;"",s!AG46,"")</f>
        <v xml:space="preserve">↑    </v>
      </c>
      <c r="AA49" s="8"/>
    </row>
    <row r="50" spans="2:27" x14ac:dyDescent="0.25">
      <c r="B50" s="12"/>
      <c r="D50" s="576" t="str">
        <f>IF(s!K47&lt;&gt;"",s!K47,"")</f>
        <v>Pricing Schedule:</v>
      </c>
      <c r="E50" s="576" t="str">
        <f>IF(s!L47&lt;&gt;"",s!L47,"")</f>
        <v/>
      </c>
      <c r="F50" s="576" t="str">
        <f>IF(s!M47&lt;&gt;"",s!M47,"")</f>
        <v/>
      </c>
      <c r="G50" s="576" t="str">
        <f>IF(s!N47&lt;&gt;"",s!N47,"")</f>
        <v/>
      </c>
      <c r="H50" s="576" t="str">
        <f>IF(s!O47&lt;&gt;"",s!O47,"")</f>
        <v/>
      </c>
      <c r="M50" s="372"/>
      <c r="U50" s="446" t="str">
        <f>IF(s!AG47&lt;&gt;"",s!AG47,"")</f>
        <v xml:space="preserve">N </v>
      </c>
      <c r="V50" s="444" t="str">
        <f>IF(s!AH47&lt;&gt;"",s!AH47,"")</f>
        <v>New</v>
      </c>
      <c r="AA50" s="8"/>
    </row>
    <row r="51" spans="2:27" x14ac:dyDescent="0.25">
      <c r="B51" s="12"/>
      <c r="E51" s="623" t="str">
        <f>IF(s!L48&lt;&gt;"",s!L48,"")</f>
        <v>Avg. Days to Pay</v>
      </c>
      <c r="F51" s="624" t="str">
        <f>IF(s!M48&lt;&gt;"",s!M48,"")</f>
        <v/>
      </c>
      <c r="G51" s="498">
        <v>60</v>
      </c>
      <c r="I51" s="326"/>
      <c r="M51" s="372"/>
      <c r="U51" s="446" t="str">
        <f>IF(s!AG48&lt;&gt;"",s!AG48,"")</f>
        <v xml:space="preserve">O </v>
      </c>
      <c r="V51" s="444" t="str">
        <f>IF(s!AH48&lt;&gt;"",s!AH48,"")</f>
        <v>Ship Out → Customer</v>
      </c>
      <c r="AA51" s="8"/>
    </row>
    <row r="52" spans="2:27" ht="15" customHeight="1" x14ac:dyDescent="0.25">
      <c r="B52" s="12"/>
      <c r="K52" s="326"/>
      <c r="L52" s="326"/>
      <c r="M52" s="575" t="str">
        <f>IF(s!U49&lt;&gt;"",s!U49,"")</f>
        <v>DBR / LIH Pricing Schedule:</v>
      </c>
      <c r="N52" s="575" t="str">
        <f>IF(s!V49&lt;&gt;"",s!V49,"")</f>
        <v/>
      </c>
      <c r="O52" s="575" t="str">
        <f>IF(s!W49&lt;&gt;"",s!W49,"")</f>
        <v/>
      </c>
      <c r="P52" s="575" t="str">
        <f>IF(s!X49&lt;&gt;"",s!X49,"")</f>
        <v/>
      </c>
      <c r="Q52" s="575" t="str">
        <f>IF(s!AB49&lt;&gt;"",s!AB49,"")</f>
        <v/>
      </c>
      <c r="R52" s="575" t="str">
        <f>IF(s!AC49&lt;&gt;"",s!AC49,"")</f>
        <v/>
      </c>
      <c r="S52" s="447"/>
      <c r="U52" s="446" t="str">
        <f>IF(s!AG49&lt;&gt;"",s!AG49,"")</f>
        <v xml:space="preserve">D </v>
      </c>
      <c r="V52" s="444" t="str">
        <f>IF(s!AH49&lt;&gt;"",s!AH49,"")</f>
        <v>Drilling</v>
      </c>
      <c r="W52" s="447"/>
      <c r="X52" s="447"/>
      <c r="AA52" s="8"/>
    </row>
    <row r="53" spans="2:27" ht="15" customHeight="1" x14ac:dyDescent="0.25">
      <c r="B53" s="12"/>
      <c r="F53" s="620" t="str">
        <f>IF(s!M50&lt;&gt;"",s!M50,"")</f>
        <v>Invoice(s) Per Rev.</v>
      </c>
      <c r="G53" s="621" t="str">
        <f>IF(s!N50&lt;&gt;"",s!N50,"")</f>
        <v/>
      </c>
      <c r="H53" s="621" t="str">
        <f>IF(s!O50&lt;&gt;"",s!O50,"")</f>
        <v/>
      </c>
      <c r="I53" s="622" t="str">
        <f>IF(s!P50&lt;&gt;"",s!P50,"")</f>
        <v/>
      </c>
      <c r="K53" s="326"/>
      <c r="L53" s="326"/>
      <c r="N53" s="577" t="str">
        <f>IF(s!V50&lt;&gt;"",s!V50,"")</f>
        <v>Charge DBR/LIH? (Y/N)</v>
      </c>
      <c r="O53" s="578" t="str">
        <f>IF(s!W50&lt;&gt;"",s!W50,"")</f>
        <v/>
      </c>
      <c r="P53" s="579" t="str">
        <f>IF(s!X50&lt;&gt;"",s!X50,"")</f>
        <v/>
      </c>
      <c r="Q53" s="354" t="str">
        <f>IF(s!AB50&lt;&gt;"",s!AB50,"")</f>
        <v>Y</v>
      </c>
      <c r="U53" s="446" t="str">
        <f>IF(s!AG50&lt;&gt;"",s!AG50,"")</f>
        <v xml:space="preserve">I  </v>
      </c>
      <c r="V53" s="444" t="str">
        <f>IF(s!AH50&lt;&gt;"",s!AH50,"")</f>
        <v>Ship In → COT</v>
      </c>
      <c r="AA53" s="8"/>
    </row>
    <row r="54" spans="2:27" ht="15" customHeight="1" thickBot="1" x14ac:dyDescent="0.3">
      <c r="B54" s="12"/>
      <c r="E54" s="449" t="str">
        <f>IF(s!L51&lt;&gt;"",s!L51,"")</f>
        <v>Invoice #</v>
      </c>
      <c r="F54" s="450" t="str">
        <f>IF(s!M51&lt;&gt;"",s!M51,"")</f>
        <v>Day</v>
      </c>
      <c r="G54" s="451" t="str">
        <f>IF(s!N51&lt;&gt;"",s!N51,"")</f>
        <v>$</v>
      </c>
      <c r="H54" s="452" t="str">
        <f>IF(s!O51&lt;&gt;"",s!O51,"")</f>
        <v>Σ Return</v>
      </c>
      <c r="I54" s="453" t="str">
        <f>IF(s!P51&lt;&gt;"",s!P51,"")</f>
        <v>Σ NPM</v>
      </c>
      <c r="N54" s="577" t="str">
        <f>IF(s!V51&lt;&gt;"",s!V51,"")</f>
        <v>min. DBR $ (% r0)</v>
      </c>
      <c r="O54" s="578" t="str">
        <f>IF(s!W51&lt;&gt;"",s!W51,"")</f>
        <v/>
      </c>
      <c r="P54" s="579" t="str">
        <f>IF(s!X51&lt;&gt;"",s!X51,"")</f>
        <v/>
      </c>
      <c r="Q54" s="355">
        <f>IF(s!AB51&lt;&gt;"",s!AB51,"")</f>
        <v>0.5</v>
      </c>
      <c r="U54" s="446" t="str">
        <f>IF(s!AG51&lt;&gt;"",s!AG51,"")</f>
        <v xml:space="preserve">R </v>
      </c>
      <c r="V54" s="444" t="str">
        <f>IF(s!AH51&lt;&gt;"",s!AH51,"")</f>
        <v>Repair</v>
      </c>
      <c r="AA54" s="8"/>
    </row>
    <row r="55" spans="2:27" ht="15" customHeight="1" x14ac:dyDescent="0.25">
      <c r="B55" s="12"/>
      <c r="D55" s="388"/>
      <c r="E55" s="454">
        <f>IF(s!L52&lt;&gt;"",s!L52,"")</f>
        <v>1</v>
      </c>
      <c r="F55" s="455">
        <f>IF(s!M52&lt;&gt;"",s!M52,"")</f>
        <v>2</v>
      </c>
      <c r="G55" s="499">
        <v>5500</v>
      </c>
      <c r="H55" s="456">
        <f>IF(s!O52&lt;&gt;"",s!O52,"")</f>
        <v>2686.9123671909183</v>
      </c>
      <c r="I55" s="457">
        <f>IF(s!P52&lt;&gt;"",s!P52,"")</f>
        <v>5.4281057923048853E-2</v>
      </c>
      <c r="N55" s="577" t="str">
        <f>IF(s!V52&lt;&gt;"",s!V52,"")</f>
        <v>Overide DBR/LIH $</v>
      </c>
      <c r="O55" s="578" t="str">
        <f>IF(s!W52&lt;&gt;"",s!W52,"")</f>
        <v/>
      </c>
      <c r="P55" s="579" t="str">
        <f>IF(s!X52&lt;&gt;"",s!X52,"")</f>
        <v/>
      </c>
      <c r="Q55" s="502">
        <v>22000</v>
      </c>
      <c r="S55" s="447"/>
      <c r="T55" s="447"/>
      <c r="AA55" s="8"/>
    </row>
    <row r="56" spans="2:27" ht="15" customHeight="1" x14ac:dyDescent="0.25">
      <c r="B56" s="12"/>
      <c r="D56" s="388"/>
      <c r="E56" s="458" t="str">
        <f>IF(s!L53&lt;&gt;"",s!L53,"")</f>
        <v/>
      </c>
      <c r="F56" s="459" t="str">
        <f>IF(s!M53&lt;&gt;"",s!M53,"")</f>
        <v/>
      </c>
      <c r="G56" s="500">
        <v>0</v>
      </c>
      <c r="H56" s="460" t="str">
        <f>IF(s!O53&lt;&gt;"",s!O53,"")</f>
        <v/>
      </c>
      <c r="I56" s="461" t="str">
        <f>IF(s!P53&lt;&gt;"",s!P53,"")</f>
        <v/>
      </c>
      <c r="M56" s="372"/>
      <c r="S56" s="447"/>
      <c r="T56" s="447"/>
      <c r="U56" s="447"/>
      <c r="V56" s="447"/>
      <c r="W56" s="447"/>
      <c r="X56" s="447"/>
      <c r="Y56" s="447"/>
      <c r="AA56" s="8"/>
    </row>
    <row r="57" spans="2:27" ht="15" customHeight="1" x14ac:dyDescent="0.25">
      <c r="B57" s="12"/>
      <c r="D57" s="388"/>
      <c r="E57" s="458" t="str">
        <f>IF(s!L54&lt;&gt;"",s!L54,"")</f>
        <v/>
      </c>
      <c r="F57" s="459" t="str">
        <f>IF(s!M54&lt;&gt;"",s!M54,"")</f>
        <v/>
      </c>
      <c r="G57" s="500">
        <v>0</v>
      </c>
      <c r="H57" s="460" t="str">
        <f>IF(s!O54&lt;&gt;"",s!O54,"")</f>
        <v/>
      </c>
      <c r="I57" s="461" t="str">
        <f>IF(s!P54&lt;&gt;"",s!P54,"")</f>
        <v/>
      </c>
      <c r="N57" s="633" t="str">
        <f>IF(s!V54&lt;&gt;"",s!V54,"")</f>
        <v>Rev #</v>
      </c>
      <c r="O57" s="573" t="str">
        <f>IF(s!W54&lt;&gt;"",s!W54,"")</f>
        <v>DBR/LIH Charge</v>
      </c>
      <c r="P57" s="574" t="str">
        <f>IF(s!X54&lt;&gt;"",s!X54,"")</f>
        <v/>
      </c>
      <c r="Q57" s="631" t="str">
        <f>IF(s!AB54&lt;&gt;"",s!AB54,"")</f>
        <v>Net w/o DBR $</v>
      </c>
      <c r="R57" s="602" t="str">
        <f>IF(s!AC54&lt;&gt;"",s!AC54,"")</f>
        <v>Net Opp. Cost</v>
      </c>
      <c r="S57" s="447"/>
      <c r="T57" s="447"/>
      <c r="U57" s="447"/>
      <c r="V57" s="447"/>
      <c r="W57" s="447"/>
      <c r="X57" s="447"/>
      <c r="Y57" s="447"/>
      <c r="AA57" s="8"/>
    </row>
    <row r="58" spans="2:27" ht="15.75" customHeight="1" thickBot="1" x14ac:dyDescent="0.3">
      <c r="B58" s="12"/>
      <c r="D58" s="388"/>
      <c r="E58" s="458" t="str">
        <f>IF(s!L55&lt;&gt;"",s!L55,"")</f>
        <v/>
      </c>
      <c r="F58" s="459" t="str">
        <f>IF(s!M55&lt;&gt;"",s!M55,"")</f>
        <v/>
      </c>
      <c r="G58" s="501">
        <v>0</v>
      </c>
      <c r="H58" s="460" t="str">
        <f>IF(s!O55&lt;&gt;"",s!O55,"")</f>
        <v/>
      </c>
      <c r="I58" s="461" t="str">
        <f>IF(s!P55&lt;&gt;"",s!P55,"")</f>
        <v/>
      </c>
      <c r="N58" s="634" t="str">
        <f>IF(s!V55&lt;&gt;"",s!V55,"")</f>
        <v/>
      </c>
      <c r="O58" s="272" t="str">
        <f>IF(s!W55&lt;&gt;"",s!W55,"")</f>
        <v>$</v>
      </c>
      <c r="P58" s="462" t="str">
        <f>IF(s!X55&lt;&gt;"",s!X55,"")</f>
        <v>PM%</v>
      </c>
      <c r="Q58" s="632" t="str">
        <f>IF(s!AB55&lt;&gt;"",s!AB55,"")</f>
        <v/>
      </c>
      <c r="R58" s="603" t="str">
        <f>IF(s!AC55&lt;&gt;"",s!AC55,"")</f>
        <v/>
      </c>
      <c r="S58" s="447"/>
      <c r="T58" s="447"/>
      <c r="U58" s="447"/>
      <c r="V58" s="447"/>
      <c r="W58" s="447"/>
      <c r="X58" s="447"/>
      <c r="Y58" s="447"/>
      <c r="AA58" s="8"/>
    </row>
    <row r="59" spans="2:27" x14ac:dyDescent="0.25">
      <c r="B59" s="12"/>
      <c r="C59" s="388"/>
      <c r="D59" s="388"/>
      <c r="E59" s="458" t="str">
        <f>IF(s!L56&lt;&gt;"",s!L56,"")</f>
        <v/>
      </c>
      <c r="F59" s="459" t="str">
        <f>IF(s!M56&lt;&gt;"",s!M56,"")</f>
        <v/>
      </c>
      <c r="G59" s="501">
        <v>0</v>
      </c>
      <c r="H59" s="460" t="str">
        <f>IF(s!O56&lt;&gt;"",s!O56,"")</f>
        <v/>
      </c>
      <c r="I59" s="461" t="str">
        <f>IF(s!P56&lt;&gt;"",s!P56,"")</f>
        <v/>
      </c>
      <c r="N59" s="454">
        <f>IF(s!V56&lt;&gt;"",s!V56,"")</f>
        <v>0</v>
      </c>
      <c r="O59" s="273">
        <f>IF(s!W56&lt;&gt;"",s!W56,"")</f>
        <v>16098.767901821499</v>
      </c>
      <c r="P59" s="463">
        <f>IF(s!X56&lt;&gt;"",s!X56,"")</f>
        <v>0.40093694002291647</v>
      </c>
      <c r="Q59" s="464">
        <f>IF(s!AB56&lt;&gt;"",s!AB56,"")</f>
        <v>-7439.023991</v>
      </c>
      <c r="R59" s="465">
        <f>IF(s!AC56&lt;&gt;"",s!AC56,"")</f>
        <v>14850.932367199317</v>
      </c>
      <c r="S59" s="447"/>
      <c r="T59" s="447"/>
      <c r="U59" s="447"/>
      <c r="V59" s="447"/>
      <c r="W59" s="447"/>
      <c r="X59" s="447"/>
      <c r="Y59" s="447"/>
      <c r="AA59" s="8"/>
    </row>
    <row r="60" spans="2:27" x14ac:dyDescent="0.25">
      <c r="B60" s="12"/>
      <c r="C60" s="388"/>
      <c r="D60" s="388"/>
      <c r="E60" s="458" t="str">
        <f>IF(s!L57&lt;&gt;"",s!L57,"")</f>
        <v/>
      </c>
      <c r="F60" s="459" t="str">
        <f>IF(s!M57&lt;&gt;"",s!M57,"")</f>
        <v/>
      </c>
      <c r="G60" s="501">
        <v>0</v>
      </c>
      <c r="H60" s="460" t="str">
        <f>IF(s!O57&lt;&gt;"",s!O57,"")</f>
        <v/>
      </c>
      <c r="I60" s="461" t="str">
        <f>IF(s!P57&lt;&gt;"",s!P57,"")</f>
        <v/>
      </c>
      <c r="N60" s="458">
        <f>IF(s!V57&lt;&gt;"",s!V57,"")</f>
        <v>1</v>
      </c>
      <c r="O60" s="274">
        <f>IF(s!W57&lt;&gt;"",s!W57,"")</f>
        <v>14301.890328257894</v>
      </c>
      <c r="P60" s="466">
        <f>IF(s!X57&lt;&gt;"",s!X57,"")</f>
        <v>0.36417171854017694</v>
      </c>
      <c r="Q60" s="467">
        <f>IF(s!AB57&lt;&gt;"",s!AB57,"")</f>
        <v>-5087.6574451011347</v>
      </c>
      <c r="R60" s="468">
        <f>IF(s!AC57&lt;&gt;"",s!AC57,"")</f>
        <v>12499.565821300452</v>
      </c>
      <c r="S60" s="447"/>
      <c r="T60" s="447"/>
      <c r="U60" s="447"/>
      <c r="V60" s="447"/>
      <c r="W60" s="447"/>
      <c r="X60" s="447"/>
      <c r="Y60" s="447"/>
      <c r="AA60" s="8"/>
    </row>
    <row r="61" spans="2:27" x14ac:dyDescent="0.25">
      <c r="B61" s="12"/>
      <c r="C61" s="388"/>
      <c r="D61" s="388"/>
      <c r="E61" s="458" t="str">
        <f>IF(s!L58&lt;&gt;"",s!L58,"")</f>
        <v/>
      </c>
      <c r="F61" s="459" t="str">
        <f>IF(s!M58&lt;&gt;"",s!M58,"")</f>
        <v/>
      </c>
      <c r="G61" s="501">
        <v>0</v>
      </c>
      <c r="H61" s="460" t="str">
        <f>IF(s!O58&lt;&gt;"",s!O58,"")</f>
        <v/>
      </c>
      <c r="I61" s="461" t="str">
        <f>IF(s!P58&lt;&gt;"",s!P58,"")</f>
        <v/>
      </c>
      <c r="N61" s="458">
        <f>IF(s!V58&lt;&gt;"",s!V58,"")</f>
        <v>2</v>
      </c>
      <c r="O61" s="274">
        <f>IF(s!W58&lt;&gt;"",s!W58,"")</f>
        <v>12505.012754694293</v>
      </c>
      <c r="P61" s="466">
        <f>IF(s!X58&lt;&gt;"",s!X58,"")</f>
        <v>0.33679426167157989</v>
      </c>
      <c r="Q61" s="467">
        <f>IF(s!AB58&lt;&gt;"",s!AB58,"")</f>
        <v>-2736.2908992022694</v>
      </c>
      <c r="R61" s="468">
        <f>IF(s!AC58&lt;&gt;"",s!AC58,"")</f>
        <v>10148.199275401586</v>
      </c>
      <c r="S61" s="447"/>
      <c r="T61" s="447"/>
      <c r="U61" s="447"/>
      <c r="V61" s="447"/>
      <c r="W61" s="447"/>
      <c r="X61" s="447"/>
      <c r="Y61" s="447"/>
      <c r="AA61" s="8"/>
    </row>
    <row r="62" spans="2:27" x14ac:dyDescent="0.25">
      <c r="B62" s="12"/>
      <c r="C62" s="388"/>
      <c r="D62" s="388"/>
      <c r="E62" s="458" t="str">
        <f>IF(s!L59&lt;&gt;"",s!L59,"")</f>
        <v/>
      </c>
      <c r="F62" s="459" t="str">
        <f>IF(s!M59&lt;&gt;"",s!M59,"")</f>
        <v/>
      </c>
      <c r="G62" s="501">
        <v>0</v>
      </c>
      <c r="H62" s="460" t="str">
        <f>IF(s!O59&lt;&gt;"",s!O59,"")</f>
        <v/>
      </c>
      <c r="I62" s="461" t="str">
        <f>IF(s!P59&lt;&gt;"",s!P59,"")</f>
        <v/>
      </c>
      <c r="N62" s="458">
        <f>IF(s!V59&lt;&gt;"",s!V59,"")</f>
        <v>3</v>
      </c>
      <c r="O62" s="274">
        <f>IF(s!W59&lt;&gt;"",s!W59,"")</f>
        <v>11239.944801936523</v>
      </c>
      <c r="P62" s="466">
        <f>IF(s!X59&lt;&gt;"",s!X59,"")</f>
        <v>0.32656553773821906</v>
      </c>
      <c r="Q62" s="467">
        <f>IF(s!AB59&lt;&gt;"",s!AB59,"")</f>
        <v>-384.92435330340413</v>
      </c>
      <c r="R62" s="468">
        <f>IF(s!AC59&lt;&gt;"",s!AC59,"")</f>
        <v>7796.8327295027211</v>
      </c>
      <c r="S62" s="447"/>
      <c r="T62" s="447"/>
      <c r="U62" s="447"/>
      <c r="V62" s="447"/>
      <c r="W62" s="447"/>
      <c r="X62" s="447"/>
      <c r="Y62" s="447"/>
      <c r="AA62" s="8"/>
    </row>
    <row r="63" spans="2:27" ht="15" customHeight="1" x14ac:dyDescent="0.25">
      <c r="B63" s="12"/>
      <c r="C63" s="388"/>
      <c r="D63" s="388"/>
      <c r="E63" s="458" t="str">
        <f>IF(s!L60&lt;&gt;"",s!L60,"")</f>
        <v/>
      </c>
      <c r="F63" s="459" t="str">
        <f>IF(s!M60&lt;&gt;"",s!M60,"")</f>
        <v/>
      </c>
      <c r="G63" s="501">
        <v>0</v>
      </c>
      <c r="H63" s="460" t="str">
        <f>IF(s!O60&lt;&gt;"",s!O60,"")</f>
        <v/>
      </c>
      <c r="I63" s="461" t="str">
        <f>IF(s!P60&lt;&gt;"",s!P60,"")</f>
        <v/>
      </c>
      <c r="N63" s="458">
        <f>IF(s!V60&lt;&gt;"",s!V60,"")</f>
        <v>4</v>
      </c>
      <c r="O63" s="274">
        <f>IF(s!W60&lt;&gt;"",s!W60,"")</f>
        <v>11239.944801936523</v>
      </c>
      <c r="P63" s="466">
        <f>IF(s!X60&lt;&gt;"",s!X60,"")</f>
        <v>0.34089844634656852</v>
      </c>
      <c r="Q63" s="467">
        <f>IF(s!AB60&lt;&gt;"",s!AB60,"")</f>
        <v>1966.4421925954607</v>
      </c>
      <c r="R63" s="468">
        <f>IF(s!AC60&lt;&gt;"",s!AC60,"")</f>
        <v>5445.4661836038558</v>
      </c>
      <c r="S63" s="447"/>
      <c r="T63" s="447"/>
      <c r="U63" s="447"/>
      <c r="V63" s="447"/>
      <c r="W63" s="447"/>
      <c r="X63" s="447"/>
      <c r="Y63" s="447"/>
      <c r="AA63" s="8"/>
    </row>
    <row r="64" spans="2:27" x14ac:dyDescent="0.25">
      <c r="B64" s="12"/>
      <c r="C64" s="388"/>
      <c r="D64" s="388"/>
      <c r="E64" s="458" t="str">
        <f>IF(s!L61&lt;&gt;"",s!L61,"")</f>
        <v/>
      </c>
      <c r="F64" s="459" t="str">
        <f>IF(s!M61&lt;&gt;"",s!M61,"")</f>
        <v/>
      </c>
      <c r="G64" s="501">
        <v>0</v>
      </c>
      <c r="H64" s="460" t="str">
        <f>IF(s!O61&lt;&gt;"",s!O61,"")</f>
        <v/>
      </c>
      <c r="I64" s="461" t="str">
        <f>IF(s!P61&lt;&gt;"",s!P61,"")</f>
        <v/>
      </c>
      <c r="N64" s="458">
        <f>IF(s!V61&lt;&gt;"",s!V61,"")</f>
        <v>5</v>
      </c>
      <c r="O64" s="274">
        <f>IF(s!W61&lt;&gt;"",s!W61,"")</f>
        <v>11239.944801936523</v>
      </c>
      <c r="P64" s="466">
        <f>IF(s!X61&lt;&gt;"",s!X61,"")</f>
        <v>0.35166756220161099</v>
      </c>
      <c r="Q64" s="467">
        <f>IF(s!AB61&lt;&gt;"",s!AB61,"")</f>
        <v>4317.8087384943256</v>
      </c>
      <c r="R64" s="468">
        <f>IF(s!AC61&lt;&gt;"",s!AC61,"")</f>
        <v>3094.0996377049914</v>
      </c>
      <c r="S64" s="447"/>
      <c r="T64" s="447"/>
      <c r="U64" s="447"/>
      <c r="V64" s="447"/>
      <c r="W64" s="447"/>
      <c r="X64" s="447"/>
      <c r="Y64" s="447"/>
      <c r="AA64" s="8"/>
    </row>
    <row r="65" spans="2:28" x14ac:dyDescent="0.25">
      <c r="B65" s="12"/>
      <c r="C65" s="388"/>
      <c r="D65" s="388"/>
      <c r="E65" s="458" t="str">
        <f>IF(s!L62&lt;&gt;"",s!L62,"")</f>
        <v/>
      </c>
      <c r="F65" s="459" t="str">
        <f>IF(s!M62&lt;&gt;"",s!M62,"")</f>
        <v/>
      </c>
      <c r="G65" s="501">
        <v>0</v>
      </c>
      <c r="H65" s="460" t="str">
        <f>IF(s!O62&lt;&gt;"",s!O62,"")</f>
        <v/>
      </c>
      <c r="I65" s="461" t="str">
        <f>IF(s!P62&lt;&gt;"",s!P62,"")</f>
        <v/>
      </c>
      <c r="N65" s="458">
        <f>IF(s!V62&lt;&gt;"",s!V62,"")</f>
        <v>6</v>
      </c>
      <c r="O65" s="274">
        <f>IF(s!W62&lt;&gt;"",s!W62,"")</f>
        <v>11239.944801936523</v>
      </c>
      <c r="P65" s="466">
        <f>IF(s!X62&lt;&gt;"",s!X62,"")</f>
        <v>0.36005508565889</v>
      </c>
      <c r="Q65" s="467">
        <f>IF(s!AB62&lt;&gt;"",s!AB62,"")</f>
        <v>6669.1752843931899</v>
      </c>
      <c r="R65" s="468">
        <f>IF(s!AC62&lt;&gt;"",s!AC62,"")</f>
        <v>742.73309180612705</v>
      </c>
      <c r="S65" s="447"/>
      <c r="T65" s="447"/>
      <c r="U65" s="447"/>
      <c r="V65" s="447"/>
      <c r="W65" s="447"/>
      <c r="X65" s="447"/>
      <c r="Y65" s="447"/>
      <c r="AA65" s="8"/>
    </row>
    <row r="66" spans="2:28" ht="15.75" thickBot="1" x14ac:dyDescent="0.3">
      <c r="B66" s="12"/>
      <c r="C66" s="388"/>
      <c r="D66" s="388"/>
      <c r="E66" s="518" t="str">
        <f>IF(s!L63&lt;&gt;"",s!L63,"")</f>
        <v/>
      </c>
      <c r="F66" s="519" t="str">
        <f>IF(s!M63&lt;&gt;"",s!M63,"")</f>
        <v/>
      </c>
      <c r="G66" s="520">
        <v>0</v>
      </c>
      <c r="H66" s="521" t="str">
        <f>IF(s!O63&lt;&gt;"",s!O63,"")</f>
        <v/>
      </c>
      <c r="I66" s="522" t="str">
        <f>IF(s!P63&lt;&gt;"",s!P63,"")</f>
        <v/>
      </c>
      <c r="N66" s="458">
        <f>IF(s!V63&lt;&gt;"",s!V63,"")</f>
        <v>7</v>
      </c>
      <c r="O66" s="274">
        <f>IF(s!W63&lt;&gt;"",s!W63,"")</f>
        <v>11239.944801936523</v>
      </c>
      <c r="P66" s="466">
        <f>IF(s!X63&lt;&gt;"",s!X63,"")</f>
        <v>0.36677239097310466</v>
      </c>
      <c r="Q66" s="467">
        <f>IF(s!AB63&lt;&gt;"",s!AB63,"")</f>
        <v>9020.5418302920552</v>
      </c>
      <c r="R66" s="468">
        <f>IF(s!AC63&lt;&gt;"",s!AC63,"")</f>
        <v>-1608.6334540927382</v>
      </c>
      <c r="S66" s="447"/>
      <c r="T66" s="447"/>
      <c r="U66" s="447"/>
      <c r="V66" s="447"/>
      <c r="W66" s="447"/>
      <c r="X66" s="447"/>
      <c r="Y66" s="447"/>
      <c r="AA66" s="8"/>
    </row>
    <row r="67" spans="2:28" ht="15.75" thickTop="1" x14ac:dyDescent="0.25">
      <c r="B67" s="12"/>
      <c r="C67" s="388"/>
      <c r="G67" s="523">
        <f>IF(s!N64&lt;&gt;"",s!N64,"")</f>
        <v>5500</v>
      </c>
      <c r="N67" s="458">
        <f>IF(s!V64&lt;&gt;"",s!V64,"")</f>
        <v>8</v>
      </c>
      <c r="O67" s="274">
        <f>IF(s!W64&lt;&gt;"",s!W64,"")</f>
        <v>11239.944801936523</v>
      </c>
      <c r="P67" s="466">
        <f>IF(s!X64&lt;&gt;"",s!X64,"")</f>
        <v>0.37227319273768134</v>
      </c>
      <c r="Q67" s="467">
        <f>IF(s!AB64&lt;&gt;"",s!AB64,"")</f>
        <v>11371.908376190921</v>
      </c>
      <c r="R67" s="468">
        <f>IF(s!AC64&lt;&gt;"",s!AC64,"")</f>
        <v>-3959.9999999916035</v>
      </c>
      <c r="S67" s="447"/>
      <c r="T67" s="447"/>
      <c r="U67" s="447"/>
      <c r="V67" s="447"/>
      <c r="W67" s="447"/>
      <c r="X67" s="447"/>
      <c r="Y67" s="447"/>
      <c r="AA67" s="8"/>
    </row>
    <row r="68" spans="2:28" x14ac:dyDescent="0.25">
      <c r="B68" s="12"/>
      <c r="C68" s="388"/>
      <c r="N68" s="458">
        <f>IF(s!V65&lt;&gt;"",s!V65,"")</f>
        <v>9</v>
      </c>
      <c r="O68" s="274">
        <f>IF(s!W65&lt;&gt;"",s!W65,"")</f>
        <v>11239.944801936523</v>
      </c>
      <c r="P68" s="466" t="str">
        <f>IF(s!X65&lt;&gt;"",s!X65,"")</f>
        <v/>
      </c>
      <c r="Q68" s="467" t="str">
        <f>IF(s!AB65&lt;&gt;"",s!AB65,"")</f>
        <v/>
      </c>
      <c r="R68" s="468" t="str">
        <f>IF(s!AC65&lt;&gt;"",s!AC65,"")</f>
        <v/>
      </c>
      <c r="S68" s="447"/>
      <c r="T68" s="447"/>
      <c r="U68" s="447"/>
      <c r="V68" s="447"/>
      <c r="W68" s="447"/>
      <c r="X68" s="447"/>
      <c r="Y68" s="447"/>
      <c r="AA68" s="8"/>
    </row>
    <row r="69" spans="2:28" x14ac:dyDescent="0.25">
      <c r="B69" s="12"/>
      <c r="C69" s="388"/>
      <c r="D69" s="576" t="str">
        <f>IF(s!K66&lt;&gt;"",s!K66,"")</f>
        <v>Commissions:</v>
      </c>
      <c r="E69" s="576" t="str">
        <f>IF(s!L66&lt;&gt;"",s!L66,"")</f>
        <v/>
      </c>
      <c r="F69" s="576" t="str">
        <f>IF(s!M66&lt;&gt;"",s!M66,"")</f>
        <v/>
      </c>
      <c r="G69" s="576" t="str">
        <f>IF(s!N66&lt;&gt;"",s!N66,"")</f>
        <v/>
      </c>
      <c r="H69" s="576" t="str">
        <f>IF(s!O66&lt;&gt;"",s!O66,"")</f>
        <v/>
      </c>
      <c r="N69" s="458">
        <f>IF(s!V66&lt;&gt;"",s!V66,"")</f>
        <v>10</v>
      </c>
      <c r="O69" s="274">
        <f>IF(s!W66&lt;&gt;"",s!W66,"")</f>
        <v>11239.944801936523</v>
      </c>
      <c r="P69" s="466" t="str">
        <f>IF(s!X66&lt;&gt;"",s!X66,"")</f>
        <v/>
      </c>
      <c r="Q69" s="467" t="str">
        <f>IF(s!AB66&lt;&gt;"",s!AB66,"")</f>
        <v/>
      </c>
      <c r="R69" s="468" t="str">
        <f>IF(s!AC66&lt;&gt;"",s!AC66,"")</f>
        <v/>
      </c>
      <c r="S69" s="447"/>
      <c r="T69" s="447"/>
      <c r="U69" s="447"/>
      <c r="V69" s="447"/>
      <c r="W69" s="447"/>
      <c r="X69" s="447"/>
      <c r="Y69" s="447"/>
      <c r="Z69" s="1"/>
      <c r="AA69" s="40"/>
      <c r="AB69" s="1"/>
    </row>
    <row r="70" spans="2:28" x14ac:dyDescent="0.25">
      <c r="B70" s="12"/>
      <c r="C70" s="388"/>
      <c r="E70" s="635" t="str">
        <f>IF(s!L67&lt;&gt;"",s!L67,"")</f>
        <v>Commissions Paid @</v>
      </c>
      <c r="F70" s="636" t="str">
        <f>IF(s!M67&lt;&gt;"",s!M67,"")</f>
        <v/>
      </c>
      <c r="G70" s="636" t="str">
        <f>IF(s!N67&lt;&gt;"",s!N67,"")</f>
        <v/>
      </c>
      <c r="H70" s="356" t="str">
        <f>IF(s!O67&lt;&gt;"",s!O67,"")</f>
        <v>Payment</v>
      </c>
      <c r="N70" s="458">
        <f>IF(s!V67&lt;&gt;"",s!V67,"")</f>
        <v>11</v>
      </c>
      <c r="O70" s="274">
        <f>IF(s!W67&lt;&gt;"",s!W67,"")</f>
        <v>11239.944801936523</v>
      </c>
      <c r="P70" s="466" t="str">
        <f>IF(s!X67&lt;&gt;"",s!X67,"")</f>
        <v/>
      </c>
      <c r="Q70" s="467" t="str">
        <f>IF(s!AB67&lt;&gt;"",s!AB67,"")</f>
        <v/>
      </c>
      <c r="R70" s="468" t="str">
        <f>IF(s!AC67&lt;&gt;"",s!AC67,"")</f>
        <v/>
      </c>
      <c r="S70" s="447"/>
      <c r="T70" s="447"/>
      <c r="U70" s="447"/>
      <c r="V70" s="447"/>
      <c r="W70" s="447"/>
      <c r="X70" s="447"/>
      <c r="Y70" s="447"/>
      <c r="Z70" s="1"/>
      <c r="AA70" s="40"/>
      <c r="AB70" s="1"/>
    </row>
    <row r="71" spans="2:28" x14ac:dyDescent="0.25">
      <c r="B71" s="12"/>
      <c r="C71" s="388"/>
      <c r="E71" s="627" t="str">
        <f>IF(s!L68&lt;&gt;"",s!L68,"")</f>
        <v>Marketing</v>
      </c>
      <c r="F71" s="628" t="str">
        <f>IF(s!M68&lt;&gt;"",s!M68,"")</f>
        <v/>
      </c>
      <c r="G71" s="628" t="str">
        <f>IF(s!N68&lt;&gt;"",s!N68,"")</f>
        <v/>
      </c>
      <c r="H71" s="357"/>
      <c r="N71" s="469">
        <f>IF(s!V68&lt;&gt;"",s!V68,"")</f>
        <v>12</v>
      </c>
      <c r="O71" s="275">
        <f>IF(s!W68&lt;&gt;"",s!W68,"")</f>
        <v>11239.944801936523</v>
      </c>
      <c r="P71" s="470" t="str">
        <f>IF(s!X68&lt;&gt;"",s!X68,"")</f>
        <v/>
      </c>
      <c r="Q71" s="471" t="str">
        <f>IF(s!AB68&lt;&gt;"",s!AB68,"")</f>
        <v/>
      </c>
      <c r="R71" s="472" t="str">
        <f>IF(s!AC68&lt;&gt;"",s!AC68,"")</f>
        <v/>
      </c>
      <c r="S71" s="447"/>
      <c r="T71" s="447"/>
      <c r="U71" s="447"/>
      <c r="V71" s="447"/>
      <c r="W71" s="447"/>
      <c r="X71" s="447"/>
      <c r="Y71" s="447"/>
      <c r="Z71" s="1"/>
      <c r="AA71" s="40"/>
      <c r="AB71" s="1"/>
    </row>
    <row r="72" spans="2:28" x14ac:dyDescent="0.25">
      <c r="B72" s="12"/>
      <c r="E72" s="625" t="str">
        <f>IF(s!L69&lt;&gt;"",s!L69,"")</f>
        <v>Leadership</v>
      </c>
      <c r="F72" s="626" t="str">
        <f>IF(s!M69&lt;&gt;"",s!M69,"")</f>
        <v/>
      </c>
      <c r="G72" s="626" t="str">
        <f>IF(s!N69&lt;&gt;"",s!N69,"")</f>
        <v/>
      </c>
      <c r="H72" s="358"/>
      <c r="J72" s="1"/>
      <c r="K72" s="1"/>
      <c r="L72" s="1"/>
      <c r="M72" s="372"/>
      <c r="S72" s="447"/>
      <c r="T72" s="447"/>
      <c r="U72" s="447"/>
      <c r="V72" s="447"/>
      <c r="W72" s="447"/>
      <c r="X72" s="447"/>
      <c r="Y72" s="447"/>
      <c r="Z72" s="1"/>
      <c r="AA72" s="40"/>
      <c r="AB72" s="1"/>
    </row>
    <row r="73" spans="2:28" x14ac:dyDescent="0.25">
      <c r="B73" s="12"/>
      <c r="E73" s="625" t="str">
        <f>IF(s!L70&lt;&gt;"",s!L70,"")</f>
        <v>Sales Manager</v>
      </c>
      <c r="F73" s="626" t="str">
        <f>IF(s!M70&lt;&gt;"",s!M70,"")</f>
        <v/>
      </c>
      <c r="G73" s="626" t="str">
        <f>IF(s!N70&lt;&gt;"",s!N70,"")</f>
        <v/>
      </c>
      <c r="H73" s="358"/>
      <c r="M73" s="1"/>
      <c r="S73" s="447"/>
      <c r="T73" s="447"/>
      <c r="U73" s="447"/>
      <c r="V73" s="447"/>
      <c r="W73" s="447"/>
      <c r="X73" s="447"/>
      <c r="Y73" s="447"/>
      <c r="Z73" s="1"/>
      <c r="AA73" s="40"/>
      <c r="AB73" s="1"/>
    </row>
    <row r="74" spans="2:28" x14ac:dyDescent="0.25">
      <c r="B74" s="12"/>
      <c r="E74" s="625" t="str">
        <f>IF(s!L71&lt;&gt;"",s!L71,"")</f>
        <v>Sales engineer</v>
      </c>
      <c r="F74" s="626" t="str">
        <f>IF(s!M71&lt;&gt;"",s!M71,"")</f>
        <v/>
      </c>
      <c r="G74" s="626" t="str">
        <f>IF(s!N71&lt;&gt;"",s!N71,"")</f>
        <v/>
      </c>
      <c r="H74" s="358"/>
      <c r="J74" s="665"/>
      <c r="K74" s="665"/>
      <c r="M74" s="1"/>
      <c r="S74" s="447"/>
      <c r="T74" s="447"/>
      <c r="U74" s="447"/>
      <c r="V74" s="447"/>
      <c r="W74" s="447"/>
      <c r="X74" s="447"/>
      <c r="Y74" s="447"/>
      <c r="Z74" s="1"/>
      <c r="AA74" s="40"/>
      <c r="AB74" s="1"/>
    </row>
    <row r="75" spans="2:28" x14ac:dyDescent="0.25">
      <c r="B75" s="12"/>
      <c r="E75" s="625" t="str">
        <f>IF(s!L72&lt;&gt;"",s!L72,"")</f>
        <v>Account Rep</v>
      </c>
      <c r="F75" s="626" t="str">
        <f>IF(s!M72&lt;&gt;"",s!M72,"")</f>
        <v/>
      </c>
      <c r="G75" s="626" t="str">
        <f>IF(s!N72&lt;&gt;"",s!N72,"")</f>
        <v/>
      </c>
      <c r="H75" s="358"/>
      <c r="M75" s="1"/>
      <c r="S75" s="447"/>
      <c r="T75" s="447"/>
      <c r="U75" s="447"/>
      <c r="V75" s="447"/>
      <c r="W75" s="447"/>
      <c r="X75" s="447"/>
      <c r="Y75" s="447"/>
      <c r="Z75" s="1"/>
      <c r="AA75" s="40"/>
      <c r="AB75" s="1"/>
    </row>
    <row r="76" spans="2:28" x14ac:dyDescent="0.25">
      <c r="B76" s="12"/>
      <c r="E76" s="637" t="str">
        <f>IF(s!L73&lt;&gt;"",s!L73,"")</f>
        <v>Field Rep</v>
      </c>
      <c r="F76" s="638" t="str">
        <f>IF(s!M73&lt;&gt;"",s!M73,"")</f>
        <v/>
      </c>
      <c r="G76" s="638" t="str">
        <f>IF(s!N73&lt;&gt;"",s!N73,"")</f>
        <v/>
      </c>
      <c r="H76" s="359"/>
      <c r="M76" s="1"/>
      <c r="S76" s="447"/>
      <c r="T76" s="447"/>
      <c r="U76" s="447"/>
      <c r="V76" s="447"/>
      <c r="W76" s="447"/>
      <c r="X76" s="447"/>
      <c r="Y76" s="447"/>
      <c r="Z76" s="1"/>
      <c r="AA76" s="40"/>
      <c r="AB76" s="1"/>
    </row>
    <row r="77" spans="2:28" x14ac:dyDescent="0.25">
      <c r="B77" s="12"/>
      <c r="H77" s="299">
        <f>IF(s!O74&lt;&gt;"",s!O74,"")</f>
        <v>0.2</v>
      </c>
      <c r="M77" s="1"/>
      <c r="S77" s="447"/>
      <c r="T77" s="447"/>
      <c r="U77" s="447"/>
      <c r="V77" s="447"/>
      <c r="W77" s="447"/>
      <c r="X77" s="447"/>
      <c r="Y77" s="447"/>
      <c r="Z77" s="1"/>
      <c r="AA77" s="40"/>
      <c r="AB77" s="1"/>
    </row>
    <row r="78" spans="2:28" x14ac:dyDescent="0.25">
      <c r="B78" s="12"/>
      <c r="AA78" s="8"/>
    </row>
    <row r="79" spans="2:28" ht="3" customHeight="1" x14ac:dyDescent="0.25">
      <c r="B79" s="364"/>
      <c r="C79" s="362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5"/>
    </row>
  </sheetData>
  <sheetProtection algorithmName="SHA-512" hashValue="FpGjNQb9QYHTLAT1V49DE1xaFNzfMYL0J2F3FmTCvfRY4gauedWkijqW6FVnnGP52fr2fLlDMzZQjFrnaWA0Cg==" saltValue="MDsyiICKQE69Ifd5sHKOZA==" spinCount="100000" sheet="1" selectLockedCells="1"/>
  <mergeCells count="93">
    <mergeCell ref="V22:Y22"/>
    <mergeCell ref="V31:Y31"/>
    <mergeCell ref="V32:Y32"/>
    <mergeCell ref="D31:E31"/>
    <mergeCell ref="O27:Q27"/>
    <mergeCell ref="O36:Q36"/>
    <mergeCell ref="V28:Y28"/>
    <mergeCell ref="V30:Y30"/>
    <mergeCell ref="N37:N41"/>
    <mergeCell ref="J74:K74"/>
    <mergeCell ref="K34:M34"/>
    <mergeCell ref="E75:G75"/>
    <mergeCell ref="E76:G76"/>
    <mergeCell ref="V33:Y33"/>
    <mergeCell ref="V34:Y34"/>
    <mergeCell ref="I40:I41"/>
    <mergeCell ref="O39:Q39"/>
    <mergeCell ref="E46:F46"/>
    <mergeCell ref="I47:K47"/>
    <mergeCell ref="D38:H38"/>
    <mergeCell ref="V36:Y36"/>
    <mergeCell ref="V39:Y39"/>
    <mergeCell ref="V38:Y38"/>
    <mergeCell ref="V37:Y37"/>
    <mergeCell ref="N28:N36"/>
    <mergeCell ref="E72:G72"/>
    <mergeCell ref="E73:G73"/>
    <mergeCell ref="F53:I53"/>
    <mergeCell ref="E51:F51"/>
    <mergeCell ref="E74:G74"/>
    <mergeCell ref="E71:G71"/>
    <mergeCell ref="S48:W48"/>
    <mergeCell ref="Q57:Q58"/>
    <mergeCell ref="N57:N58"/>
    <mergeCell ref="D69:H69"/>
    <mergeCell ref="E70:G70"/>
    <mergeCell ref="W5:Y5"/>
    <mergeCell ref="O45:Q45"/>
    <mergeCell ref="E45:F45"/>
    <mergeCell ref="R57:R58"/>
    <mergeCell ref="N54:P54"/>
    <mergeCell ref="E16:F16"/>
    <mergeCell ref="V11:W12"/>
    <mergeCell ref="T11:U12"/>
    <mergeCell ref="V35:Y35"/>
    <mergeCell ref="V29:Y29"/>
    <mergeCell ref="E41:F41"/>
    <mergeCell ref="V24:Y24"/>
    <mergeCell ref="V26:Y26"/>
    <mergeCell ref="V27:Y27"/>
    <mergeCell ref="V23:Y23"/>
    <mergeCell ref="Q29:Q34"/>
    <mergeCell ref="E40:F40"/>
    <mergeCell ref="D14:F14"/>
    <mergeCell ref="O57:P57"/>
    <mergeCell ref="M52:R52"/>
    <mergeCell ref="D50:H50"/>
    <mergeCell ref="N53:P53"/>
    <mergeCell ref="N55:P55"/>
    <mergeCell ref="M44:Q44"/>
    <mergeCell ref="D19:H19"/>
    <mergeCell ref="M19:P19"/>
    <mergeCell ref="E47:F47"/>
    <mergeCell ref="D44:H44"/>
    <mergeCell ref="I45:K45"/>
    <mergeCell ref="I46:K46"/>
    <mergeCell ref="F21:G21"/>
    <mergeCell ref="P29:P34"/>
    <mergeCell ref="V20:Y20"/>
    <mergeCell ref="V25:Y25"/>
    <mergeCell ref="E17:F17"/>
    <mergeCell ref="E15:F15"/>
    <mergeCell ref="V18:Y19"/>
    <mergeCell ref="O16:S16"/>
    <mergeCell ref="Q23:Q24"/>
    <mergeCell ref="P23:P24"/>
    <mergeCell ref="V21:Y21"/>
    <mergeCell ref="N23:N27"/>
    <mergeCell ref="H15:I15"/>
    <mergeCell ref="H16:I16"/>
    <mergeCell ref="H17:I17"/>
    <mergeCell ref="H18:I18"/>
    <mergeCell ref="O20:Q20"/>
    <mergeCell ref="O21:Q21"/>
    <mergeCell ref="T16:U16"/>
    <mergeCell ref="K11:R12"/>
    <mergeCell ref="Q25:Q26"/>
    <mergeCell ref="F20:G20"/>
    <mergeCell ref="E22:F22"/>
    <mergeCell ref="P25:P26"/>
    <mergeCell ref="H13:I13"/>
    <mergeCell ref="H14:I14"/>
    <mergeCell ref="O22:Q22"/>
  </mergeCells>
  <conditionalFormatting sqref="G55:G66">
    <cfRule type="expression" dxfId="1" priority="14">
      <formula>$E55=""</formula>
    </cfRule>
  </conditionalFormatting>
  <dataValidations count="10">
    <dataValidation type="list" allowBlank="1" showInputMessage="1" showErrorMessage="1" sqref="G22" xr:uid="{1FCAFA38-B73E-4F09-876F-ECB1D47F78D9}">
      <formula1>"EE,IE,II,DE,DI,DD"</formula1>
    </dataValidation>
    <dataValidation type="whole" allowBlank="1" showInputMessage="1" showErrorMessage="1" sqref="G28 H40:H41 G35 G47" xr:uid="{88C074A3-38B9-421E-971F-600A292AED00}">
      <formula1>1</formula1>
      <formula2>10000</formula2>
    </dataValidation>
    <dataValidation type="decimal" allowBlank="1" showInputMessage="1" showErrorMessage="1" sqref="G26:G27 G33:G34 G40:G41 G55:G66 Q55" xr:uid="{771D29C9-FEEF-4338-889F-6569410D5A6D}">
      <formula1>0</formula1>
      <formula2>100000</formula2>
    </dataValidation>
    <dataValidation type="whole" allowBlank="1" showInputMessage="1" showErrorMessage="1" sqref="G45" xr:uid="{1A516E17-2A1B-4975-B146-7A2135D993E0}">
      <formula1>0</formula1>
      <formula2>100</formula2>
    </dataValidation>
    <dataValidation type="whole" allowBlank="1" showInputMessage="1" showErrorMessage="1" sqref="G46 U19" xr:uid="{B13ED4A5-49D1-4700-8B60-B995B2E6A5DE}">
      <formula1>1</formula1>
      <formula2>100</formula2>
    </dataValidation>
    <dataValidation type="decimal" allowBlank="1" showInputMessage="1" showErrorMessage="1" sqref="Q54" xr:uid="{F5233461-6C9F-4EC6-81C1-4CDABAE4D3CE}">
      <formula1>0</formula1>
      <formula2>1</formula2>
    </dataValidation>
    <dataValidation type="list" allowBlank="1" showInputMessage="1" showErrorMessage="1" sqref="Q53" xr:uid="{51E6FEB2-122A-4143-8D29-484FAF958789}">
      <formula1>"Y,N"</formula1>
    </dataValidation>
    <dataValidation type="decimal" allowBlank="1" showInputMessage="1" showErrorMessage="1" sqref="H71:H76" xr:uid="{609FAF77-1366-4B7D-A7C2-A41484A91AC2}">
      <formula1>0</formula1>
      <formula2>0.2</formula2>
    </dataValidation>
    <dataValidation type="decimal" allowBlank="1" showInputMessage="1" showErrorMessage="1" sqref="I40:I41" xr:uid="{6CD33023-ED44-4BA2-8E61-751565787FF4}">
      <formula1>0</formula1>
      <formula2>50000</formula2>
    </dataValidation>
    <dataValidation type="whole" allowBlank="1" showInputMessage="1" showErrorMessage="1" sqref="G51" xr:uid="{96B8FF39-D77D-4463-9DCC-8DA7BF07962F}">
      <formula1>1</formula1>
      <formula2>1000</formula2>
    </dataValidation>
  </dataValidations>
  <pageMargins left="0.25" right="0.25" top="0.75" bottom="0.75" header="0.3" footer="0.3"/>
  <pageSetup scale="60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52" r:id="rId4" name="TextBox2">
          <controlPr defaultSize="0" autoLine="0" linkedCell="$F$20" r:id="rId5">
            <anchor moveWithCells="1">
              <from>
                <xdr:col>5</xdr:col>
                <xdr:colOff>19050</xdr:colOff>
                <xdr:row>19</xdr:row>
                <xdr:rowOff>9525</xdr:rowOff>
              </from>
              <to>
                <xdr:col>6</xdr:col>
                <xdr:colOff>571500</xdr:colOff>
                <xdr:row>20</xdr:row>
                <xdr:rowOff>0</xdr:rowOff>
              </to>
            </anchor>
          </controlPr>
        </control>
      </mc:Choice>
      <mc:Fallback>
        <control shapeId="6152" r:id="rId4" name="TextBox2"/>
      </mc:Fallback>
    </mc:AlternateContent>
    <mc:AlternateContent xmlns:mc="http://schemas.openxmlformats.org/markup-compatibility/2006">
      <mc:Choice Requires="x14">
        <control shapeId="6151" r:id="rId6" name="TextBox1">
          <controlPr defaultSize="0" autoLine="0" autoPict="0" linkedCell="$F$21" r:id="rId7">
            <anchor moveWithCells="1">
              <from>
                <xdr:col>5</xdr:col>
                <xdr:colOff>19050</xdr:colOff>
                <xdr:row>20</xdr:row>
                <xdr:rowOff>9525</xdr:rowOff>
              </from>
              <to>
                <xdr:col>6</xdr:col>
                <xdr:colOff>571500</xdr:colOff>
                <xdr:row>21</xdr:row>
                <xdr:rowOff>0</xdr:rowOff>
              </to>
            </anchor>
          </controlPr>
        </control>
      </mc:Choice>
      <mc:Fallback>
        <control shapeId="6151" r:id="rId6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8CA62-E88F-43AC-A1E9-ECE97900AFC4}">
  <sheetPr codeName="Sheet2">
    <pageSetUpPr fitToPage="1"/>
  </sheetPr>
  <dimension ref="A1:AQ1652"/>
  <sheetViews>
    <sheetView zoomScaleNormal="100" workbookViewId="0">
      <selection activeCell="T20" sqref="T20"/>
    </sheetView>
  </sheetViews>
  <sheetFormatPr defaultRowHeight="15" x14ac:dyDescent="0.25"/>
  <cols>
    <col min="1" max="1" width="2.7109375" style="289" customWidth="1"/>
    <col min="2" max="2" width="0.5703125" style="12" customWidth="1"/>
    <col min="3" max="3" width="2.7109375" style="11" customWidth="1"/>
    <col min="4" max="4" width="5.5703125" style="238" hidden="1" customWidth="1"/>
    <col min="5" max="5" width="8.7109375" style="5" hidden="1" customWidth="1"/>
    <col min="6" max="6" width="8.7109375" style="11" hidden="1" customWidth="1"/>
    <col min="7" max="7" width="8.7109375" style="235" hidden="1" customWidth="1"/>
    <col min="8" max="9" width="8.7109375" style="11" hidden="1" customWidth="1"/>
    <col min="10" max="10" width="2.7109375" style="11" customWidth="1"/>
    <col min="11" max="11" width="5.28515625" style="7" bestFit="1" customWidth="1"/>
    <col min="12" max="14" width="8.7109375" style="7" customWidth="1"/>
    <col min="15" max="15" width="10.140625" style="7" bestFit="1" customWidth="1"/>
    <col min="16" max="16" width="8.7109375" style="7" customWidth="1"/>
    <col min="17" max="18" width="4.7109375" style="7" customWidth="1"/>
    <col min="19" max="19" width="6.7109375" style="7" customWidth="1"/>
    <col min="20" max="20" width="8.7109375" style="7" customWidth="1"/>
    <col min="21" max="21" width="5.7109375" style="7" customWidth="1"/>
    <col min="22" max="22" width="3.7109375" style="7" customWidth="1"/>
    <col min="23" max="24" width="8.7109375" style="7" customWidth="1"/>
    <col min="25" max="27" width="8.7109375" style="7" hidden="1" customWidth="1"/>
    <col min="28" max="29" width="8.7109375" style="7" customWidth="1"/>
    <col min="30" max="30" width="8.7109375" style="7" hidden="1" customWidth="1"/>
    <col min="31" max="37" width="8.7109375" style="7" customWidth="1"/>
    <col min="38" max="38" width="2.7109375" style="7" customWidth="1"/>
    <col min="39" max="39" width="3" style="7" customWidth="1"/>
    <col min="40" max="40" width="0.5703125" style="8" customWidth="1"/>
    <col min="41" max="41" width="2.7109375" customWidth="1"/>
  </cols>
  <sheetData>
    <row r="1" spans="1:41" ht="15" customHeight="1" x14ac:dyDescent="0.4">
      <c r="A1" s="310"/>
      <c r="E1" s="341"/>
    </row>
    <row r="2" spans="1:41" ht="15" customHeight="1" x14ac:dyDescent="0.4">
      <c r="A2" s="286"/>
      <c r="D2" s="239"/>
      <c r="E2" s="341"/>
      <c r="AI2" s="676">
        <f ca="1">TODAY()</f>
        <v>46055</v>
      </c>
      <c r="AJ2" s="676"/>
      <c r="AK2" s="677"/>
      <c r="AO2" s="291"/>
    </row>
    <row r="3" spans="1:41" ht="15" customHeight="1" x14ac:dyDescent="0.4">
      <c r="A3" s="286"/>
      <c r="D3" s="678" t="s">
        <v>4</v>
      </c>
      <c r="E3" s="679" t="s">
        <v>5</v>
      </c>
      <c r="F3" s="680" t="s">
        <v>6</v>
      </c>
      <c r="G3" s="242"/>
      <c r="H3" s="342"/>
      <c r="I3" s="342"/>
      <c r="AO3" s="291"/>
    </row>
    <row r="4" spans="1:41" ht="15" customHeight="1" x14ac:dyDescent="0.4">
      <c r="A4" s="286"/>
      <c r="D4" s="678"/>
      <c r="E4" s="679"/>
      <c r="F4" s="680"/>
      <c r="G4" s="242"/>
      <c r="H4" s="342"/>
      <c r="I4" s="342"/>
      <c r="AO4" s="291"/>
    </row>
    <row r="5" spans="1:41" ht="15" customHeight="1" x14ac:dyDescent="0.4">
      <c r="A5" s="286"/>
      <c r="D5" s="678"/>
      <c r="E5" s="679"/>
      <c r="F5" s="680"/>
      <c r="G5" s="242"/>
      <c r="H5" s="342"/>
      <c r="I5" s="342"/>
      <c r="AO5" s="291"/>
    </row>
    <row r="6" spans="1:41" ht="15" customHeight="1" x14ac:dyDescent="0.4">
      <c r="A6" s="286"/>
      <c r="C6" s="200"/>
      <c r="D6" s="678"/>
      <c r="E6" s="679"/>
      <c r="F6" s="680"/>
      <c r="G6" s="242"/>
      <c r="H6" s="342"/>
      <c r="I6" s="342"/>
      <c r="J6" s="201"/>
      <c r="N6" s="201"/>
      <c r="O6" s="201"/>
      <c r="P6" s="201"/>
      <c r="Q6" s="201"/>
      <c r="R6" s="201"/>
      <c r="S6" s="201"/>
      <c r="T6" s="201"/>
      <c r="U6" s="201"/>
      <c r="V6" s="201"/>
      <c r="W6" s="201"/>
      <c r="X6" s="201"/>
      <c r="Y6" s="201"/>
      <c r="Z6" s="201"/>
      <c r="AA6" s="201"/>
      <c r="AF6" s="201"/>
      <c r="AG6" s="201"/>
      <c r="AH6" s="201"/>
      <c r="AI6" s="201"/>
      <c r="AJ6" s="201"/>
      <c r="AK6" s="201"/>
      <c r="AL6" s="201"/>
      <c r="AO6" s="291"/>
    </row>
    <row r="7" spans="1:41" ht="15" customHeight="1" x14ac:dyDescent="0.4">
      <c r="A7" s="286"/>
      <c r="D7" s="678"/>
      <c r="E7" s="679"/>
      <c r="F7" s="680"/>
      <c r="G7" s="242"/>
      <c r="H7" s="342"/>
      <c r="I7" s="342"/>
      <c r="AO7" s="291"/>
    </row>
    <row r="8" spans="1:41" ht="15" customHeight="1" x14ac:dyDescent="0.4">
      <c r="A8" s="286"/>
      <c r="D8" s="678"/>
      <c r="E8" s="679"/>
      <c r="F8" s="680"/>
      <c r="G8" s="242"/>
      <c r="H8" s="342"/>
      <c r="I8" s="342"/>
      <c r="N8" s="96"/>
      <c r="O8" s="96"/>
      <c r="P8" s="96"/>
      <c r="Q8" s="96"/>
      <c r="R8" s="681" t="s">
        <v>7</v>
      </c>
      <c r="S8" s="681"/>
      <c r="T8" s="681"/>
      <c r="U8" s="681"/>
      <c r="V8" s="681"/>
      <c r="W8" s="681"/>
      <c r="X8" s="681"/>
      <c r="Y8" s="681"/>
      <c r="Z8" s="681"/>
      <c r="AA8" s="681"/>
      <c r="AB8" s="681"/>
      <c r="AC8" s="681"/>
      <c r="AD8" s="345"/>
      <c r="AE8" s="96"/>
      <c r="AF8" s="682"/>
      <c r="AG8" s="682"/>
      <c r="AH8" s="683"/>
      <c r="AI8" s="683"/>
      <c r="AJ8" s="344"/>
      <c r="AK8" s="96"/>
      <c r="AO8" s="291"/>
    </row>
    <row r="9" spans="1:41" ht="15" customHeight="1" x14ac:dyDescent="0.4">
      <c r="A9" s="286"/>
      <c r="D9" s="238" cm="1">
        <f t="array" ref="D9:D26">_xlfn.UNIQUE($S$923:$S$1652)</f>
        <v>0</v>
      </c>
      <c r="E9" s="5">
        <f t="shared" ref="E9:E72" si="0">SUMIFS(M922:M1651,S922:S1651,"="&amp;D9)</f>
        <v>-12804.023990991602</v>
      </c>
      <c r="F9" s="5">
        <f>E9</f>
        <v>-12804.023990991602</v>
      </c>
      <c r="G9" s="235" cm="1">
        <f t="array" ref="G9:G17">_xlfn.UNIQUE(ROUND($S$923:$S$1652,0))</f>
        <v>0</v>
      </c>
      <c r="H9" s="5"/>
      <c r="I9" s="5"/>
      <c r="K9" s="201"/>
      <c r="L9" s="201"/>
      <c r="M9" s="201"/>
      <c r="N9" s="96"/>
      <c r="O9" s="96"/>
      <c r="P9" s="96"/>
      <c r="Q9" s="96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345"/>
      <c r="AE9" s="96"/>
      <c r="AF9" s="682"/>
      <c r="AG9" s="682"/>
      <c r="AH9" s="683"/>
      <c r="AI9" s="683"/>
      <c r="AJ9" s="344"/>
      <c r="AK9" s="96"/>
      <c r="AO9" s="291"/>
    </row>
    <row r="10" spans="1:41" ht="15" customHeight="1" x14ac:dyDescent="0.4">
      <c r="A10" s="286"/>
      <c r="D10" s="238">
        <v>0.01</v>
      </c>
      <c r="E10" s="5">
        <f t="shared" si="0"/>
        <v>5365</v>
      </c>
      <c r="F10" s="5">
        <f>E10+F9</f>
        <v>-7439.0239909916017</v>
      </c>
      <c r="G10" s="235">
        <v>1</v>
      </c>
      <c r="H10" s="5"/>
      <c r="I10" s="5"/>
      <c r="N10" s="96"/>
      <c r="O10" s="671" t="s">
        <v>8</v>
      </c>
      <c r="P10" s="671"/>
      <c r="AE10" s="55"/>
      <c r="AK10" s="55"/>
      <c r="AO10" s="291"/>
    </row>
    <row r="11" spans="1:41" ht="15" customHeight="1" thickBot="1" x14ac:dyDescent="0.45">
      <c r="A11" s="286"/>
      <c r="D11" s="238">
        <v>1</v>
      </c>
      <c r="E11" s="5">
        <f t="shared" si="0"/>
        <v>-3013.6334541011352</v>
      </c>
      <c r="F11" s="5">
        <f t="shared" ref="F11:F74" si="1">E11+F10</f>
        <v>-10452.657445092736</v>
      </c>
      <c r="G11" s="235">
        <v>2</v>
      </c>
      <c r="H11" s="5"/>
      <c r="I11" s="5"/>
      <c r="K11" s="668" t="s">
        <v>9</v>
      </c>
      <c r="L11" s="669"/>
      <c r="M11" s="670"/>
      <c r="O11" s="536" t="s">
        <v>10</v>
      </c>
      <c r="P11" s="537"/>
      <c r="AE11" s="55"/>
      <c r="AF11" s="55"/>
      <c r="AG11" s="55"/>
      <c r="AH11" s="55"/>
      <c r="AI11" s="55"/>
      <c r="AJ11" s="55"/>
      <c r="AK11" s="55"/>
      <c r="AO11" s="291"/>
    </row>
    <row r="12" spans="1:41" ht="15" customHeight="1" x14ac:dyDescent="0.4">
      <c r="A12" s="286"/>
      <c r="D12" s="238">
        <v>1.01</v>
      </c>
      <c r="E12" s="5">
        <f t="shared" si="0"/>
        <v>5365</v>
      </c>
      <c r="F12" s="5">
        <f t="shared" si="1"/>
        <v>-5087.6574450927365</v>
      </c>
      <c r="G12" s="235">
        <v>3</v>
      </c>
      <c r="H12" s="5"/>
      <c r="I12" s="5"/>
      <c r="K12" s="175" t="s">
        <v>0</v>
      </c>
      <c r="L12" s="672" t="s">
        <v>11</v>
      </c>
      <c r="M12" s="673"/>
      <c r="O12" s="559" t="s">
        <v>12</v>
      </c>
      <c r="P12" s="560"/>
      <c r="U12" s="233"/>
      <c r="V12" s="233"/>
      <c r="W12" s="233"/>
      <c r="X12" s="233"/>
      <c r="Y12" s="233"/>
      <c r="Z12" s="233"/>
      <c r="AA12" s="233"/>
      <c r="AB12" s="233"/>
      <c r="AC12" s="55"/>
      <c r="AD12" s="55"/>
      <c r="AE12" s="55"/>
      <c r="AG12" s="55"/>
      <c r="AH12" s="55"/>
      <c r="AI12" s="55"/>
      <c r="AJ12" s="55"/>
      <c r="AK12" s="55"/>
      <c r="AO12" s="292"/>
    </row>
    <row r="13" spans="1:41" ht="15" customHeight="1" x14ac:dyDescent="0.25">
      <c r="A13" s="287"/>
      <c r="D13" s="238">
        <v>2</v>
      </c>
      <c r="E13" s="5">
        <f t="shared" si="0"/>
        <v>-3013.6334541011352</v>
      </c>
      <c r="F13" s="5">
        <f t="shared" si="1"/>
        <v>-8101.2908991938712</v>
      </c>
      <c r="G13" s="235">
        <v>4</v>
      </c>
      <c r="H13" s="5"/>
      <c r="I13" s="5"/>
      <c r="K13" s="176" t="s">
        <v>13</v>
      </c>
      <c r="L13" s="674" t="s">
        <v>14</v>
      </c>
      <c r="M13" s="675"/>
      <c r="O13" s="561" t="s">
        <v>15</v>
      </c>
      <c r="P13" s="562"/>
      <c r="U13" s="55"/>
      <c r="V13" s="55"/>
      <c r="W13" s="690" t="s">
        <v>16</v>
      </c>
      <c r="X13" s="690"/>
      <c r="Y13" s="690"/>
      <c r="Z13" s="690"/>
      <c r="AA13" s="690"/>
      <c r="AB13" s="690"/>
      <c r="AC13" s="690"/>
      <c r="AD13" s="690"/>
      <c r="AE13" s="691"/>
      <c r="AF13" s="692" t="s">
        <v>17</v>
      </c>
      <c r="AG13" s="693"/>
      <c r="AI13" s="55"/>
      <c r="AJ13" s="55"/>
      <c r="AK13" s="55"/>
    </row>
    <row r="14" spans="1:41" ht="15" customHeight="1" x14ac:dyDescent="0.25">
      <c r="A14" s="288"/>
      <c r="D14" s="238">
        <v>2.0099999999999998</v>
      </c>
      <c r="E14" s="5">
        <f t="shared" si="0"/>
        <v>5365</v>
      </c>
      <c r="F14" s="5">
        <f t="shared" si="1"/>
        <v>-2736.2908991938712</v>
      </c>
      <c r="G14" s="235">
        <v>5</v>
      </c>
      <c r="H14" s="5"/>
      <c r="I14" s="5"/>
      <c r="K14" s="177" t="s">
        <v>18</v>
      </c>
      <c r="L14" s="694" t="s">
        <v>19</v>
      </c>
      <c r="M14" s="695"/>
      <c r="O14" s="563" t="s">
        <v>20</v>
      </c>
      <c r="P14" s="564"/>
      <c r="Q14" s="55"/>
      <c r="R14" s="55"/>
      <c r="U14" s="55"/>
      <c r="V14" s="55"/>
      <c r="W14" s="55"/>
      <c r="X14" s="55"/>
      <c r="Y14" s="55"/>
      <c r="Z14" s="55"/>
      <c r="AA14" s="55"/>
      <c r="AB14" s="293"/>
      <c r="AC14" s="293"/>
      <c r="AD14" s="293"/>
      <c r="AE14" s="294"/>
      <c r="AF14" s="269" t="s">
        <v>21</v>
      </c>
      <c r="AG14" s="360" t="str">
        <f>IF('Profitability Projections'!U17&lt;&gt;"",'Profitability Projections'!U17,"")</f>
        <v>Y</v>
      </c>
      <c r="AH14" s="234" t="s">
        <v>22</v>
      </c>
      <c r="AI14" s="55"/>
      <c r="AJ14" s="55"/>
      <c r="AK14" s="55"/>
    </row>
    <row r="15" spans="1:41" ht="15" customHeight="1" x14ac:dyDescent="0.25">
      <c r="D15" s="238">
        <v>3</v>
      </c>
      <c r="E15" s="5">
        <f t="shared" si="0"/>
        <v>-3013.6334541011352</v>
      </c>
      <c r="F15" s="5">
        <f t="shared" si="1"/>
        <v>-5749.9243532950059</v>
      </c>
      <c r="G15" s="235">
        <v>6</v>
      </c>
      <c r="H15" s="5"/>
      <c r="I15" s="5"/>
      <c r="O15" s="565"/>
      <c r="P15" s="565"/>
      <c r="AF15" s="270" t="s">
        <v>23</v>
      </c>
      <c r="AG15" s="361">
        <v>0</v>
      </c>
      <c r="AH15" s="696">
        <f>IF(AND(ISNUMBER($AG$15),ISNUMBER($AG$16)),($AG$16-$AG$15+1)*$N$43,"")</f>
        <v>9</v>
      </c>
      <c r="AI15" s="696"/>
      <c r="AJ15" s="696"/>
      <c r="AK15" s="696"/>
    </row>
    <row r="16" spans="1:41" ht="15" customHeight="1" x14ac:dyDescent="0.25">
      <c r="D16" s="238">
        <v>3.01</v>
      </c>
      <c r="E16" s="5">
        <f t="shared" si="0"/>
        <v>5365</v>
      </c>
      <c r="F16" s="5">
        <f t="shared" si="1"/>
        <v>-384.92435329500586</v>
      </c>
      <c r="G16" s="235">
        <v>7</v>
      </c>
      <c r="H16" s="5"/>
      <c r="I16" s="5"/>
      <c r="K16" s="698" t="s">
        <v>24</v>
      </c>
      <c r="L16" s="698"/>
      <c r="M16" s="698"/>
      <c r="N16" s="698"/>
      <c r="O16" s="698"/>
      <c r="U16" s="699" t="s">
        <v>25</v>
      </c>
      <c r="V16" s="699"/>
      <c r="W16" s="699"/>
      <c r="X16" s="699"/>
      <c r="Y16" s="336"/>
      <c r="Z16" s="336"/>
      <c r="AA16" s="336"/>
      <c r="AF16" s="271" t="s">
        <v>23</v>
      </c>
      <c r="AG16" s="360">
        <f>IF('Profitability Projections'!U19&lt;&gt;"",'Profitability Projections'!U19,"")</f>
        <v>8</v>
      </c>
      <c r="AH16" s="697"/>
      <c r="AI16" s="697"/>
      <c r="AJ16" s="697"/>
      <c r="AK16" s="697"/>
    </row>
    <row r="17" spans="1:42" ht="20.100000000000001" customHeight="1" x14ac:dyDescent="0.25">
      <c r="D17" s="238">
        <v>4</v>
      </c>
      <c r="E17" s="5">
        <f t="shared" si="0"/>
        <v>-3013.6334541011352</v>
      </c>
      <c r="F17" s="5">
        <f t="shared" si="1"/>
        <v>-3398.557807396141</v>
      </c>
      <c r="G17" s="235">
        <v>8</v>
      </c>
      <c r="H17" s="5"/>
      <c r="I17" s="5"/>
      <c r="L17" s="95" t="s">
        <v>26</v>
      </c>
      <c r="M17" s="684" t="str">
        <f>IF('Profitability Projections'!F20&lt;&gt;"",'Profitability Projections'!F20,"")</f>
        <v>10.625</v>
      </c>
      <c r="N17" s="685" t="str">
        <f>IF('Profitability Projections'!G20&lt;&gt;"",'Profitability Projections'!G20,"")</f>
        <v/>
      </c>
      <c r="U17" s="55"/>
      <c r="W17" s="298" t="s">
        <v>27</v>
      </c>
      <c r="X17" s="473"/>
      <c r="Y17" s="112"/>
      <c r="Z17" s="112"/>
      <c r="AA17" s="112"/>
      <c r="AB17" s="112"/>
      <c r="AC17" s="113"/>
      <c r="AD17" s="113"/>
      <c r="AE17" s="114">
        <f>IF($W$114=0,"",$W$114)</f>
        <v>49500</v>
      </c>
      <c r="AF17" s="158"/>
      <c r="AG17" s="159">
        <f>IF(AND(ISNUMBER($AG$15),ISNUMBER($AG$16)),IF(SUMIFS($AE$923:$AE$1652,$S$923:$S$1652,"&gt;="&amp;$AG$15,$S$923:$S$1652,"&lt;"&amp;($AG$16+1))=0,"",SUMIFS($AE$923:$AE$1652,$S$923:$S$1652,"&gt;="&amp;$AG$15,$S$923:$S$1652,"&lt;"&amp;($AG$16+1))),"")</f>
        <v>49500</v>
      </c>
      <c r="AH17" s="686" t="s">
        <v>28</v>
      </c>
      <c r="AI17" s="686"/>
      <c r="AJ17" s="686"/>
      <c r="AK17" s="687"/>
    </row>
    <row r="18" spans="1:42" ht="20.100000000000001" customHeight="1" x14ac:dyDescent="0.25">
      <c r="D18" s="238">
        <v>4.01</v>
      </c>
      <c r="E18" s="5">
        <f t="shared" si="0"/>
        <v>5365</v>
      </c>
      <c r="F18" s="5">
        <f t="shared" si="1"/>
        <v>1966.442192603859</v>
      </c>
      <c r="H18" s="5"/>
      <c r="I18" s="5"/>
      <c r="L18" s="94" t="s">
        <v>29</v>
      </c>
      <c r="M18" s="688" t="str">
        <f>IF('Profitability Projections'!F21&lt;&gt;"",'Profitability Projections'!F21,"")</f>
        <v>616-SR9(K)</v>
      </c>
      <c r="N18" s="689" t="str">
        <f>IF('Profitability Projections'!G21&lt;&gt;"",'Profitability Projections'!G21,"")</f>
        <v/>
      </c>
      <c r="O18" s="508" t="s">
        <v>30</v>
      </c>
      <c r="P18" s="93"/>
      <c r="Q18" s="93"/>
      <c r="W18" s="298" t="s">
        <v>31</v>
      </c>
      <c r="X18" s="112"/>
      <c r="Y18" s="112"/>
      <c r="Z18" s="112"/>
      <c r="AA18" s="112"/>
      <c r="AB18" s="112"/>
      <c r="AC18" s="329">
        <f>IFERROR(IF(AE18/AE$17=0,"",AE18/AE$17),"")</f>
        <v>9.5454545454545459E-2</v>
      </c>
      <c r="AD18" s="113"/>
      <c r="AE18" s="328">
        <f>SUMIF($AB$923:$AB$1652,"&gt;"&amp;0)</f>
        <v>4725</v>
      </c>
      <c r="AF18" s="353">
        <f>IFERROR(IF(AG18/AG$17=0,"",AG18/AG$17),"")</f>
        <v>-7.2727272727272724E-2</v>
      </c>
      <c r="AG18" s="159">
        <f>IF(AND(ISNUMBER($AG$15),ISNUMBER($AG$16)),IFERROR(IF(IF($AG$14="Y",$AG$17*IF($AC$25="",0,$AC$25),SUMIFS($AB$923:$AB$1652,$S$923:$S$1652,"&gt;="&amp;$AG$15,$S$923:$S$1652,"&lt;"&amp;($AG$16+1),$AB$923:$AB$1652,"&gt;"&amp;0))=0,"",IF($AG$14="Y",$AG$17*IF($AC$25="",0,$AC$25),SUMIFS($AB$923:$AB$1652,$S$923:$S$1652,"&gt;="&amp;$AG$15,$S$923:$S$1652,"&lt;"&amp;($AG$16+1),$AB$923:$AB$1652,"&gt;"&amp;0))),""),"")</f>
        <v>-3600</v>
      </c>
      <c r="AH18" s="686" t="s">
        <v>28</v>
      </c>
      <c r="AI18" s="686"/>
      <c r="AJ18" s="686"/>
      <c r="AK18" s="687"/>
    </row>
    <row r="19" spans="1:42" ht="15" customHeight="1" thickBot="1" x14ac:dyDescent="0.3">
      <c r="A19" s="290"/>
      <c r="B19" s="89"/>
      <c r="C19" s="6"/>
      <c r="D19" s="238">
        <v>5</v>
      </c>
      <c r="E19" s="5">
        <f t="shared" si="0"/>
        <v>-3013.6334541011352</v>
      </c>
      <c r="F19" s="5">
        <f t="shared" si="1"/>
        <v>-1047.1912614972762</v>
      </c>
      <c r="H19" s="5"/>
      <c r="I19" s="5"/>
      <c r="J19" s="6"/>
      <c r="L19" s="531" t="s">
        <v>2</v>
      </c>
      <c r="M19" s="532"/>
      <c r="N19" s="90" t="str">
        <f>IF('Profitability Projections'!G22&lt;&gt;"",'Profitability Projections'!G22,"")</f>
        <v>DI</v>
      </c>
      <c r="P19" s="93"/>
      <c r="Q19" s="93"/>
      <c r="W19" s="298" t="s">
        <v>32</v>
      </c>
      <c r="X19" s="112"/>
      <c r="Y19" s="112"/>
      <c r="Z19" s="112"/>
      <c r="AA19" s="112"/>
      <c r="AB19" s="112"/>
      <c r="AC19" s="113"/>
      <c r="AD19" s="113"/>
      <c r="AE19" s="114"/>
      <c r="AF19" s="353">
        <f>IFERROR(IF(AG19/AG$17=0,"",AG19/AG$17),"")</f>
        <v>0.44444444444444442</v>
      </c>
      <c r="AG19" s="159">
        <f>IF($AB$50="Y",IF(ISNUMBER(AB52),AB52,IF($AG$16&gt;$V$67,$W$68,INDEX($W$56:$W$67,MATCH($AG$16,$V$56:$V$67,0)))),0)</f>
        <v>22000</v>
      </c>
      <c r="AH19" s="686" t="s">
        <v>28</v>
      </c>
      <c r="AI19" s="686"/>
      <c r="AJ19" s="686"/>
      <c r="AK19" s="687"/>
    </row>
    <row r="20" spans="1:42" ht="15.75" customHeight="1" thickTop="1" x14ac:dyDescent="0.25">
      <c r="A20" s="2"/>
      <c r="B20" s="92"/>
      <c r="C20" s="91"/>
      <c r="D20" s="238">
        <v>5.01</v>
      </c>
      <c r="E20" s="5">
        <f t="shared" si="0"/>
        <v>5365</v>
      </c>
      <c r="F20" s="5">
        <f t="shared" si="1"/>
        <v>4317.8087385027238</v>
      </c>
      <c r="H20" s="5"/>
      <c r="I20" s="5"/>
      <c r="J20" s="91"/>
      <c r="O20" s="93"/>
      <c r="P20" s="93"/>
      <c r="Q20" s="93"/>
      <c r="U20" s="93"/>
      <c r="V20" s="700" t="s">
        <v>33</v>
      </c>
      <c r="W20" s="125"/>
      <c r="X20" s="703">
        <f>IFERROR($AB20/$AE$17,"")</f>
        <v>-0.2540292139824879</v>
      </c>
      <c r="Y20" s="339"/>
      <c r="Z20" s="339"/>
      <c r="AA20" s="339"/>
      <c r="AB20" s="705">
        <f>IF(SUM(AE20:AE21)=0,"",SUM(AE20:AE21))</f>
        <v>-12574.446092133152</v>
      </c>
      <c r="AC20" s="117">
        <f>IFERROR(IF(AE20/AE$17=0,"",AE20/AE$17),"")</f>
        <v>-8.9446906331861947E-2</v>
      </c>
      <c r="AD20" s="117"/>
      <c r="AE20" s="122">
        <f>IF($X$89=0,"",$X$89)</f>
        <v>-4427.6218634271663</v>
      </c>
      <c r="AF20" s="160">
        <f t="shared" ref="AF20:AF36" si="2">IFERROR(IF(AG20/AG$17=0,"",AG20/AG$17),"")</f>
        <v>-8.9446906331861947E-2</v>
      </c>
      <c r="AG20" s="161">
        <f>IFERROR(IF(AND(ISNUMBER($AG$15),ISNUMBER($AG$16)),IF($AG$14="Y",$AG$17*$AC$20,IFERROR(IF($AG$15=0,($M$23*-1),""),"")),""),"")</f>
        <v>-4427.6218634271663</v>
      </c>
      <c r="AH20" s="707" t="s">
        <v>34</v>
      </c>
      <c r="AI20" s="707"/>
      <c r="AJ20" s="707"/>
      <c r="AK20" s="708"/>
    </row>
    <row r="21" spans="1:42" x14ac:dyDescent="0.25">
      <c r="D21" s="238">
        <v>6</v>
      </c>
      <c r="E21" s="5">
        <f t="shared" si="0"/>
        <v>-3013.6334541011352</v>
      </c>
      <c r="F21" s="5">
        <f t="shared" si="1"/>
        <v>1304.1752844015887</v>
      </c>
      <c r="H21" s="5"/>
      <c r="I21" s="5"/>
      <c r="L21" s="55"/>
      <c r="M21" s="55"/>
      <c r="N21" s="55"/>
      <c r="O21" s="93"/>
      <c r="P21" s="93"/>
      <c r="V21" s="701"/>
      <c r="W21" s="127">
        <f>IFERROR(IF(SUM($AE$20:$AE$23)=0,"",SUM($AE$20:$AE$23)),"")</f>
        <v>-33313.091623800683</v>
      </c>
      <c r="X21" s="704"/>
      <c r="Y21" s="340"/>
      <c r="Z21" s="340"/>
      <c r="AA21" s="340"/>
      <c r="AB21" s="706"/>
      <c r="AC21" s="118">
        <f t="shared" ref="AC21:AC36" si="3">IFERROR(IF(AE21/AE$17=0,"",AE21/AE$17),"")</f>
        <v>-0.16458230765062598</v>
      </c>
      <c r="AD21" s="118"/>
      <c r="AE21" s="123">
        <f>IFERROR(IF(SUM($X$90:$X$113)=0,"",SUM($X$90:$X$113)),"")</f>
        <v>-8146.8242287059866</v>
      </c>
      <c r="AF21" s="162">
        <f t="shared" si="2"/>
        <v>-0.16458230765062598</v>
      </c>
      <c r="AG21" s="163">
        <f>IF(AND(ISNUMBER($AG$15),ISNUMBER($AG$16)),IFERROR(IF(IF($AG$14="Y",$AG$17*$AC$21,SUMIFS($W$923:$W$1652,$S$923:$S$1652,"&gt;="&amp;$AG$15,$S$923:$S$1652,"&lt;"&amp;($AG$16+1)))=0,"",IF($AG$14="Y",$AG$17*$AC$21,SUMIFS($W$923:$W$1652,$S$923:$S$1652,"&gt;="&amp;$AG$15,$S$923:$S$1652,"&lt;"&amp;($AG$16+1)))),""),"")</f>
        <v>-8146.8242287059857</v>
      </c>
      <c r="AH21" s="709" t="s">
        <v>35</v>
      </c>
      <c r="AI21" s="710"/>
      <c r="AJ21" s="710"/>
      <c r="AK21" s="711"/>
    </row>
    <row r="22" spans="1:42" ht="15.75" thickBot="1" x14ac:dyDescent="0.3">
      <c r="D22" s="238">
        <v>6.01</v>
      </c>
      <c r="E22" s="5">
        <f t="shared" si="0"/>
        <v>5365</v>
      </c>
      <c r="F22" s="5">
        <f t="shared" si="1"/>
        <v>6669.1752844015882</v>
      </c>
      <c r="H22" s="5"/>
      <c r="I22" s="5"/>
      <c r="M22" s="85" t="s">
        <v>36</v>
      </c>
      <c r="N22" s="88" t="s">
        <v>37</v>
      </c>
      <c r="O22" s="84" t="s">
        <v>38</v>
      </c>
      <c r="P22" s="297"/>
      <c r="R22" s="80"/>
      <c r="S22" s="80"/>
      <c r="V22" s="701"/>
      <c r="W22" s="128">
        <f>IFERROR(IF($W21/$AE$17=0,"",$W21/$AE$17),"")</f>
        <v>-0.67299174997577138</v>
      </c>
      <c r="X22" s="712">
        <f>IFERROR($AB22/$AE$17,"")</f>
        <v>-0.41896253599328348</v>
      </c>
      <c r="Y22" s="206"/>
      <c r="Z22" s="206"/>
      <c r="AA22" s="206"/>
      <c r="AB22" s="714">
        <f>IF(SUM(AE22:AE23)=0,"",SUM(AE22:AE23))</f>
        <v>-20738.645531667531</v>
      </c>
      <c r="AC22" s="131">
        <f t="shared" si="3"/>
        <v>-0.16113943692049362</v>
      </c>
      <c r="AD22" s="131"/>
      <c r="AE22" s="132">
        <f>IF($AB$89=0,"",$AB$89)</f>
        <v>-7976.4021275644345</v>
      </c>
      <c r="AF22" s="164">
        <f t="shared" si="2"/>
        <v>-0.16113943692049362</v>
      </c>
      <c r="AG22" s="165">
        <f>IF(AND(ISNUMBER($AG$15),ISNUMBER($AG$16)),IF($AG$14="Y",$AG$17*$AC$22,IFERROR(IF($AG$15=0,($M$24*-1),""),"")),"")</f>
        <v>-7976.4021275644345</v>
      </c>
      <c r="AH22" s="716" t="s">
        <v>39</v>
      </c>
      <c r="AI22" s="716"/>
      <c r="AJ22" s="716"/>
      <c r="AK22" s="717"/>
    </row>
    <row r="23" spans="1:42" ht="15.75" thickBot="1" x14ac:dyDescent="0.3">
      <c r="D23" s="238">
        <v>7</v>
      </c>
      <c r="E23" s="5">
        <f t="shared" si="0"/>
        <v>-3013.6334541011352</v>
      </c>
      <c r="F23" s="5">
        <f t="shared" si="1"/>
        <v>3655.5418303004531</v>
      </c>
      <c r="H23" s="5"/>
      <c r="I23" s="5"/>
      <c r="L23" s="83" t="s">
        <v>40</v>
      </c>
      <c r="M23" s="253">
        <f>IF(ISNUMBER(N23),N23,IF(ISNUMBER(O23),O23,""))</f>
        <v>4427.6218634271663</v>
      </c>
      <c r="N23" s="346"/>
      <c r="O23" s="250">
        <f>'Est. Cost Calc.'!$E$8</f>
        <v>4427.6218634271663</v>
      </c>
      <c r="P23" s="316" t="str">
        <f>IFERROR(IF(ISNUMBER(N23),(N23/O23)-1,""),"")</f>
        <v/>
      </c>
      <c r="R23" s="295"/>
      <c r="S23" s="295"/>
      <c r="V23" s="701"/>
      <c r="W23" s="129"/>
      <c r="X23" s="713"/>
      <c r="Y23" s="207"/>
      <c r="Z23" s="207"/>
      <c r="AA23" s="207"/>
      <c r="AB23" s="715"/>
      <c r="AC23" s="133">
        <f t="shared" si="3"/>
        <v>-0.25782309907278983</v>
      </c>
      <c r="AD23" s="133"/>
      <c r="AE23" s="134">
        <f>IFERROR(IF(SUM(AB90:AB113)=0,"",SUM(AB90:AB113)),"")</f>
        <v>-12762.243404103096</v>
      </c>
      <c r="AF23" s="166">
        <f t="shared" si="2"/>
        <v>-0.25782309907278983</v>
      </c>
      <c r="AG23" s="167">
        <f>IF(AND(ISNUMBER($AG$15),ISNUMBER($AG$16)),IFERROR(IF(IF($AG$14="Y",$AG$17*$AC$23,SUMIFS($X$924:$X$1652,$S$924:$S$1652,"&gt;="&amp;$AG$15,$S$924:$S$1652,"&lt;"&amp;($AG$16+1)))=0,"",IF($AG$14="Y",$AG$17*$AC$23,SUMIFS($X$924:$X$1652,$S$924:$S$1652,"&gt;="&amp;$AG$15,$S$924:$S$1652,"&lt;"&amp;($AG$16+1)))),""),"")</f>
        <v>-12762.243404103097</v>
      </c>
      <c r="AH23" s="709" t="s">
        <v>41</v>
      </c>
      <c r="AI23" s="710"/>
      <c r="AJ23" s="710"/>
      <c r="AK23" s="711"/>
    </row>
    <row r="24" spans="1:42" ht="16.5" thickTop="1" thickBot="1" x14ac:dyDescent="0.3">
      <c r="D24" s="238">
        <v>7.01</v>
      </c>
      <c r="E24" s="5">
        <f t="shared" si="0"/>
        <v>5365</v>
      </c>
      <c r="F24" s="5">
        <f t="shared" si="1"/>
        <v>9020.5418303004535</v>
      </c>
      <c r="H24" s="5"/>
      <c r="I24" s="5"/>
      <c r="L24" s="82" t="s">
        <v>42</v>
      </c>
      <c r="M24" s="254">
        <f>IF(ISNUMBER(N24),N24,IF(ISNUMBER(O24),O24,""))</f>
        <v>7976.4021275644345</v>
      </c>
      <c r="N24" s="347"/>
      <c r="O24" s="251" cm="1">
        <f t="array" ref="O24">INDEX('Est. T Cost Calc.'!E8:J8,,MATCH(s!N19,'Est. T Cost Calc.'!E7:J7,0))</f>
        <v>7976.4021275644345</v>
      </c>
      <c r="P24" s="316" t="str">
        <f>IFERROR(IF(ISNUMBER(N24),(N24/O24)-1,""),"")</f>
        <v/>
      </c>
      <c r="R24" s="295"/>
      <c r="S24" s="295"/>
      <c r="U24" s="80"/>
      <c r="V24" s="702"/>
      <c r="W24" s="178" t="s">
        <v>43</v>
      </c>
      <c r="X24" s="119"/>
      <c r="Y24" s="119"/>
      <c r="Z24" s="119"/>
      <c r="AA24" s="119"/>
      <c r="AB24" s="119"/>
      <c r="AC24" s="120">
        <f>IFERROR(IF(AE24/AE$17=0,"",AE24/AE$17),"")</f>
        <v>0.42246279547877424</v>
      </c>
      <c r="AD24" s="120"/>
      <c r="AE24" s="124">
        <f>IFERROR(IF(SUM($AE$17:$AE$23)=0,"",SUM($AE$17:$AE$23)),"")</f>
        <v>20911.908376199324</v>
      </c>
      <c r="AF24" s="168">
        <f>IFERROR(IF(AG24/AG$17=0,"",AG24/AG$17),"")</f>
        <v>0.69872542174140051</v>
      </c>
      <c r="AG24" s="169">
        <f>IF(AND(ISNUMBER($AG$15),ISNUMBER($AG$16)),IFERROR(SUM($AG$17:$AG$23),""),"")</f>
        <v>34586.908376199324</v>
      </c>
      <c r="AH24" s="718" t="s">
        <v>44</v>
      </c>
      <c r="AI24" s="719"/>
      <c r="AJ24" s="719"/>
      <c r="AK24" s="720"/>
    </row>
    <row r="25" spans="1:42" ht="15.75" customHeight="1" thickTop="1" x14ac:dyDescent="0.25">
      <c r="D25" s="238">
        <v>8</v>
      </c>
      <c r="E25" s="5">
        <f t="shared" si="0"/>
        <v>-3013.6334541011352</v>
      </c>
      <c r="F25" s="5">
        <f t="shared" si="1"/>
        <v>6006.9083761993188</v>
      </c>
      <c r="H25" s="5"/>
      <c r="I25" s="5"/>
      <c r="L25" s="81" t="s">
        <v>45</v>
      </c>
      <c r="M25" s="255">
        <f>IF(AND(ISNUMBER(M23),ISNUMBER(M24)),ROUND(SUM(M23:M24),2),IF(AND(ISNUMBER('Est. Cost Calc.'!E8),ISNUMBER(M24)),ROUND(SUM('Est. Cost Calc.'!E8,M24),2),""))</f>
        <v>12404.02</v>
      </c>
      <c r="N25" s="87">
        <v>5</v>
      </c>
      <c r="O25" s="86"/>
      <c r="S25" s="80"/>
      <c r="U25" s="80"/>
      <c r="V25" s="700" t="s">
        <v>46</v>
      </c>
      <c r="W25" s="125"/>
      <c r="X25" s="135"/>
      <c r="Y25" s="135"/>
      <c r="Z25" s="135"/>
      <c r="AA25" s="135"/>
      <c r="AB25" s="135"/>
      <c r="AC25" s="118">
        <f>IFERROR(IF(AE25/AE$17=0,"",AE25/AE$17),"")</f>
        <v>-7.2727272727272724E-2</v>
      </c>
      <c r="AD25" s="118"/>
      <c r="AE25" s="123">
        <f>IF(SUMIF($AB$923:$AB$1652,"&lt;"&amp;0)=0,"",SUMIF($AB$923:$AB$1652,"&lt;"&amp;0))</f>
        <v>-3600</v>
      </c>
      <c r="AF25" s="162">
        <f t="shared" si="2"/>
        <v>-7.2727272727272724E-2</v>
      </c>
      <c r="AG25" s="163">
        <f>IF(AND(ISNUMBER($AG$15),ISNUMBER($AG$16)),IFERROR(IF(IF($AG$14="Y",$AG$17*$AC$25,SUMIFS($AB$923:$AB$1652,$S$923:$S$1652,"&gt;="&amp;$AG$15,$S$923:$S$1652,"&lt;"&amp;($AG$16+1),$AB$923:$AB$1652,"&lt;"&amp;0))=0,"",IF($AG$14="Y",$AG$17*$AC$25,SUMIFS($AB$923:$AB$1652,$S$923:$S$1652,"&gt;="&amp;$AG$15,$S$923:$S$1652,"&lt;"&amp;($AG$16+1),$AB$923:$AB$1652,"&lt;"&amp;0))),""),"")</f>
        <v>-3600</v>
      </c>
      <c r="AH25" s="721" t="s">
        <v>47</v>
      </c>
      <c r="AI25" s="721"/>
      <c r="AJ25" s="721"/>
      <c r="AK25" s="722"/>
      <c r="AP25" s="326"/>
    </row>
    <row r="26" spans="1:42" ht="15.75" customHeight="1" x14ac:dyDescent="0.25">
      <c r="D26" s="238">
        <v>8.01</v>
      </c>
      <c r="E26" s="5">
        <f t="shared" si="0"/>
        <v>5365</v>
      </c>
      <c r="F26" s="5">
        <f t="shared" si="1"/>
        <v>11371.908376199319</v>
      </c>
      <c r="H26" s="5"/>
      <c r="I26" s="5"/>
      <c r="M26" s="143"/>
      <c r="S26" s="80"/>
      <c r="U26" s="80"/>
      <c r="V26" s="701"/>
      <c r="W26" s="232"/>
      <c r="X26" s="723">
        <f t="shared" ref="X26" si="4">IFERROR($AB26/$AE$17,"")</f>
        <v>-0.2</v>
      </c>
      <c r="Y26" s="230"/>
      <c r="Z26" s="230"/>
      <c r="AA26" s="230"/>
      <c r="AB26" s="726">
        <f>IF(SUM(AE26:AE31)=0,"",SUM(AE26:AE31))</f>
        <v>-9900</v>
      </c>
      <c r="AC26" s="131" t="str">
        <f t="shared" si="3"/>
        <v/>
      </c>
      <c r="AD26" s="131"/>
      <c r="AE26" s="132" t="str">
        <f>IF($AE$114=0,"",$AE$114)</f>
        <v/>
      </c>
      <c r="AF26" s="164" t="str">
        <f t="shared" si="2"/>
        <v/>
      </c>
      <c r="AG26" s="165" t="str">
        <f>IF(AND(ISNUMBER($AG$15),ISNUMBER($AG$16)),IFERROR(IF(IF($AG$14="Y",$AG$17*$AC$26,SUMIFS($AF$923:$AF$1652,$S$923:$S$1652,"&gt;="&amp;$AG$15,$S$923:$S$1652,"&lt;"&amp;($AG$16+1)))=0,"",IF($AG$14="Y",$AG$17*$AC$26,SUMIFS($AF$923:$AF$1652,$S$923:$S$1652,"&gt;="&amp;$AG$15,$S$923:$S$1652,"&lt;"&amp;($AG$16+1)))),""),"")</f>
        <v/>
      </c>
      <c r="AH26" s="729" t="str">
        <f>CONCATENATE("Σ Com ",$L$68)</f>
        <v>Σ Com Marketing</v>
      </c>
      <c r="AI26" s="716"/>
      <c r="AJ26" s="716"/>
      <c r="AK26" s="717"/>
    </row>
    <row r="27" spans="1:42" ht="15.75" customHeight="1" x14ac:dyDescent="0.25">
      <c r="E27" s="5">
        <f t="shared" si="0"/>
        <v>0</v>
      </c>
      <c r="F27" s="5">
        <f t="shared" si="1"/>
        <v>11371.908376199319</v>
      </c>
      <c r="H27" s="5"/>
      <c r="I27" s="5"/>
      <c r="M27" s="144"/>
      <c r="S27" s="80"/>
      <c r="U27" s="80"/>
      <c r="V27" s="701"/>
      <c r="W27" s="127">
        <f>IFERROR(IF(SUM($AE$25:$AE$32)=0,"",SUM($AE$25:$AE$32)),"")</f>
        <v>-13500</v>
      </c>
      <c r="X27" s="724"/>
      <c r="Y27" s="192"/>
      <c r="Z27" s="192"/>
      <c r="AA27" s="192"/>
      <c r="AB27" s="727"/>
      <c r="AC27" s="118">
        <f t="shared" si="3"/>
        <v>-1.4999999999999999E-2</v>
      </c>
      <c r="AD27" s="118"/>
      <c r="AE27" s="123">
        <f>IF($AF$114=0,"",$AF$114)</f>
        <v>-742.5</v>
      </c>
      <c r="AF27" s="162">
        <f t="shared" si="2"/>
        <v>-1.4999999999999999E-2</v>
      </c>
      <c r="AG27" s="163">
        <f>IF(AND(ISNUMBER($AG$15),ISNUMBER($AG$16)),IFERROR(IF(IF($AG$14="Y",$AG$17*$AC$27,SUMIFS($AG$923:$AG$1652,$S$923:$S$1652,"&gt;="&amp;$AG$15,$S$923:$S$1652,"&lt;"&amp;($AG$16+1)))=0,"",IF($AG$14="Y",$AG$17*$AC$27,SUMIFS($AG$923:$AG$1652,$S$923:$S$1652,"&gt;="&amp;$AG$15,$S$923:$S$1652,"&lt;"&amp;($AG$16+1)))),""),"")</f>
        <v>-742.5</v>
      </c>
      <c r="AH27" s="721" t="str">
        <f>CONCATENATE("Σ Com ",$L$69)</f>
        <v>Σ Com Leadership</v>
      </c>
      <c r="AI27" s="721"/>
      <c r="AJ27" s="721"/>
      <c r="AK27" s="722"/>
    </row>
    <row r="28" spans="1:42" ht="15.75" customHeight="1" x14ac:dyDescent="0.25">
      <c r="E28" s="5">
        <f t="shared" si="0"/>
        <v>0</v>
      </c>
      <c r="F28" s="5">
        <f t="shared" si="1"/>
        <v>11371.908376199319</v>
      </c>
      <c r="H28" s="5"/>
      <c r="I28" s="5"/>
      <c r="K28" s="698" t="s">
        <v>48</v>
      </c>
      <c r="L28" s="698"/>
      <c r="M28" s="296"/>
      <c r="N28" s="296"/>
      <c r="S28" s="80"/>
      <c r="U28" s="80"/>
      <c r="V28" s="701"/>
      <c r="W28" s="127"/>
      <c r="X28" s="724">
        <f t="shared" ref="X28" si="5">IFERROR($AB28/$AE$17,"")</f>
        <v>0</v>
      </c>
      <c r="Y28" s="192"/>
      <c r="Z28" s="192"/>
      <c r="AA28" s="192"/>
      <c r="AB28" s="727"/>
      <c r="AC28" s="118">
        <f t="shared" si="3"/>
        <v>-0.02</v>
      </c>
      <c r="AD28" s="118"/>
      <c r="AE28" s="123">
        <f>IF($AG$114=0,"",$AG$114)</f>
        <v>-990</v>
      </c>
      <c r="AF28" s="162">
        <f t="shared" si="2"/>
        <v>-0.02</v>
      </c>
      <c r="AG28" s="163">
        <f>IF(AND(ISNUMBER($AG$15),ISNUMBER($AG$16)),IFERROR(IF(IF($AG$14="Y",$AG$17*$AC$28,SUMIFS($AH$923:$AH$1652,$S$923:$S$1652,"&gt;="&amp;$AG$15,$S$923:$S$1652,"&lt;"&amp;($AG$16+1)))=0,"",IF($AG$14="Y",$AG$17*$AC$28,SUMIFS($AH$923:$AH$1652,$S$923:$S$1652,"&gt;="&amp;$AG$15,$S$923:$S$1652,"&lt;"&amp;($AG$16+1)))),""),"")</f>
        <v>-990</v>
      </c>
      <c r="AH28" s="721" t="str">
        <f>CONCATENATE("Σ Com ",$L$70)</f>
        <v>Σ Com Sales Manager</v>
      </c>
      <c r="AI28" s="721"/>
      <c r="AJ28" s="721"/>
      <c r="AK28" s="722"/>
    </row>
    <row r="29" spans="1:42" ht="15.75" customHeight="1" thickBot="1" x14ac:dyDescent="0.3">
      <c r="E29" s="5">
        <f t="shared" si="0"/>
        <v>0</v>
      </c>
      <c r="F29" s="5">
        <f t="shared" si="1"/>
        <v>11371.908376199319</v>
      </c>
      <c r="H29" s="5"/>
      <c r="I29" s="5"/>
      <c r="M29" s="85" t="s">
        <v>36</v>
      </c>
      <c r="N29" s="337" t="s">
        <v>37</v>
      </c>
      <c r="O29" s="84" t="s">
        <v>38</v>
      </c>
      <c r="P29" s="297"/>
      <c r="S29" s="80"/>
      <c r="U29" s="80"/>
      <c r="V29" s="701"/>
      <c r="W29" s="127"/>
      <c r="X29" s="724"/>
      <c r="Y29" s="192"/>
      <c r="Z29" s="192"/>
      <c r="AA29" s="192"/>
      <c r="AB29" s="727"/>
      <c r="AC29" s="118">
        <f t="shared" si="3"/>
        <v>-5.0000000000000001E-3</v>
      </c>
      <c r="AD29" s="118"/>
      <c r="AE29" s="123">
        <f>IF($AH$114=0,"",$AH$114)</f>
        <v>-247.5</v>
      </c>
      <c r="AF29" s="162">
        <f t="shared" si="2"/>
        <v>-5.0000000000000001E-3</v>
      </c>
      <c r="AG29" s="163">
        <f>IF(AND(ISNUMBER($AG$15),ISNUMBER($AG$16)),IFERROR(IF(IF($AG$14="Y",$AG$17*$AC$29,SUMIFS($AI$923:$AI$1652,$S$923:$S$1652,"&gt;="&amp;$AG$15,$S$923:$S$1652,"&lt;"&amp;($AG$16+1)))=0,"",IF($AG$14="Y",$AG$17*$AC$29,SUMIFS($AI$923:$AI$1652,$S$923:$S$1652,"&gt;="&amp;$AG$15,$S$923:$S$1652,"&lt;"&amp;($AG$16+1)))),""),"")</f>
        <v>-247.5</v>
      </c>
      <c r="AH29" s="721" t="str">
        <f>CONCATENATE("Σ Com ",$L$71)</f>
        <v>Σ Com Sales engineer</v>
      </c>
      <c r="AI29" s="721"/>
      <c r="AJ29" s="721"/>
      <c r="AK29" s="722"/>
    </row>
    <row r="30" spans="1:42" x14ac:dyDescent="0.25">
      <c r="E30" s="5">
        <f t="shared" si="0"/>
        <v>0</v>
      </c>
      <c r="F30" s="5">
        <f t="shared" si="1"/>
        <v>11371.908376199319</v>
      </c>
      <c r="H30" s="5"/>
      <c r="I30" s="5"/>
      <c r="K30" s="350">
        <v>0.23</v>
      </c>
      <c r="L30" s="83" t="s">
        <v>40</v>
      </c>
      <c r="M30" s="253">
        <f>IF(ISNUMBER(N30),N30,IF(ISNUMBER(O30),O30,""))</f>
        <v>1018.3530285882483</v>
      </c>
      <c r="N30" s="348"/>
      <c r="O30" s="250">
        <f>IFERROR($M23*$K30,0)</f>
        <v>1018.3530285882483</v>
      </c>
      <c r="P30" s="316" t="str">
        <f>IFERROR(IF(ISNUMBER(N30),(N30/O30)-1,""),"")</f>
        <v/>
      </c>
      <c r="Q30" s="7" t="s">
        <v>49</v>
      </c>
      <c r="R30" s="733">
        <f>$M30/(IF($L$52&lt;=$N$43,$N$52,0)+IF($L$53&lt;=$N$43,$N$53,0)+IF($L$54&lt;=$N$43,$N$54,0)+IF($L$55&lt;=$N$43,$N$55,0)+IF($L$56&lt;=$N$43,$N$56,0)+IF($L$57&lt;=$N$43,$N$57,0)+IF($L$58&lt;=$N$43,$N$58,0)+IF($L$59&lt;=$N$43,$N$59,0)+IF($L$60&lt;=$N$43,$N$60,0)+IF($L$61&lt;=$N$43,$N$61,0)+IF($L$62&lt;=$N$43,$N$62,0)+IF($L$63&lt;=$N$43,$N$63,0))</f>
        <v>0.18515509610695424</v>
      </c>
      <c r="S30" s="733"/>
      <c r="T30" s="733"/>
      <c r="U30" s="80"/>
      <c r="V30" s="701"/>
      <c r="W30" s="128">
        <f>IFERROR(IF($W27/$AE$17=0,"",$W27/$AE$17),"")</f>
        <v>-0.27272727272727271</v>
      </c>
      <c r="X30" s="724">
        <f t="shared" ref="X30" si="6">IFERROR($AB30/$AE$17,"")</f>
        <v>0</v>
      </c>
      <c r="Y30" s="192"/>
      <c r="Z30" s="192"/>
      <c r="AA30" s="192"/>
      <c r="AB30" s="727"/>
      <c r="AC30" s="118">
        <f t="shared" si="3"/>
        <v>-0.08</v>
      </c>
      <c r="AD30" s="118"/>
      <c r="AE30" s="123">
        <f>IF($AI$114=0,"",$AI$114)</f>
        <v>-3960</v>
      </c>
      <c r="AF30" s="162">
        <f t="shared" si="2"/>
        <v>-0.02</v>
      </c>
      <c r="AG30" s="163">
        <f>IF(AND(ISNUMBER($AG$15),ISNUMBER($AG$16)),IFERROR(IF(IF($AG$14="Y",$AG$17*$AC$28,SUMIFS($AJ$923:$AJ$1652,$S$923:$S$1652,"&gt;="&amp;$AG$15,$S$923:$S$1652,"&lt;"&amp;($AG$16+1)))=0,"",IF($AG$14="Y",$AG$17*$AC$28,SUMIFS($AJ$923:$AJ$1652,$S$923:$S$1652,"&gt;="&amp;$AG$15,$S$923:$S$1652,"&lt;"&amp;($AG$16+1)))),""),"")</f>
        <v>-990</v>
      </c>
      <c r="AH30" s="721" t="str">
        <f>CONCATENATE("Σ Com ",$L$72)</f>
        <v>Σ Com Account Rep</v>
      </c>
      <c r="AI30" s="721"/>
      <c r="AJ30" s="721"/>
      <c r="AK30" s="722"/>
    </row>
    <row r="31" spans="1:42" ht="15.75" thickBot="1" x14ac:dyDescent="0.3">
      <c r="E31" s="5">
        <f t="shared" si="0"/>
        <v>0</v>
      </c>
      <c r="F31" s="5">
        <f t="shared" si="1"/>
        <v>11371.908376199319</v>
      </c>
      <c r="H31" s="5"/>
      <c r="I31" s="5"/>
      <c r="K31" s="351">
        <v>0.2</v>
      </c>
      <c r="L31" s="82" t="s">
        <v>42</v>
      </c>
      <c r="M31" s="254">
        <f>IF(ISNUMBER(N31),N31,IF(ISNUMBER(O31),O31,""))</f>
        <v>1595.2804255128869</v>
      </c>
      <c r="N31" s="349"/>
      <c r="O31" s="251">
        <f>IFERROR($M24*$K31,0)</f>
        <v>1595.2804255128869</v>
      </c>
      <c r="P31" s="316" t="str">
        <f>IFERROR(IF(ISNUMBER(N31),(N31/O31)-1,""),"")</f>
        <v/>
      </c>
      <c r="Q31" s="7" t="s">
        <v>49</v>
      </c>
      <c r="R31" s="733">
        <f>$M31/(IF($L$52&lt;=$N$43,$N$52,0)+IF($L$53&lt;=$N$43,$N$53,0)+IF($L$54&lt;=$N$43,$N$54,0)+IF($L$55&lt;=$N$43,$N$55,0)+IF($L$56&lt;=$N$43,$N$56,0)+IF($L$57&lt;=$N$43,$N$57,0)+IF($L$58&lt;=$N$43,$N$58,0)+IF($L$59&lt;=$N$43,$N$59,0)+IF($L$60&lt;=$N$43,$N$60,0)+IF($L$61&lt;=$N$43,$N$61,0)+IF($L$62&lt;=$N$43,$N$62,0)+IF($L$63&lt;=$N$43,$N$63,0))</f>
        <v>0.29005098645688854</v>
      </c>
      <c r="S31" s="733"/>
      <c r="T31" s="733"/>
      <c r="U31" s="80"/>
      <c r="V31" s="701"/>
      <c r="W31" s="126"/>
      <c r="X31" s="725"/>
      <c r="Y31" s="231"/>
      <c r="Z31" s="231"/>
      <c r="AA31" s="231"/>
      <c r="AB31" s="728"/>
      <c r="AC31" s="133">
        <f t="shared" si="3"/>
        <v>-0.08</v>
      </c>
      <c r="AD31" s="133"/>
      <c r="AE31" s="134">
        <f>IF($AJ$114=0,"",$AJ$114)</f>
        <v>-3960</v>
      </c>
      <c r="AF31" s="166">
        <f t="shared" si="2"/>
        <v>-5.0000000000000001E-3</v>
      </c>
      <c r="AG31" s="167">
        <f>IF(AND(ISNUMBER($AG$15),ISNUMBER($AG$16)),IFERROR(IF(IF($AG$14="Y",$AG$17*$AC$29,SUMIFS($AK$923:$AK$1652,$S$923:$S$1652,"&gt;="&amp;$AG$15,$S$923:$S$1652,"&lt;"&amp;($AG$16+1)))=0,"",IF($AG$14="Y",$AG$17*$AC$29,SUMIFS($AK$923:$AK$1652,$S$923:$S$1652,"&gt;="&amp;$AG$15,$S$923:$S$1652,"&lt;"&amp;($AG$16+1)))),""),"")</f>
        <v>-247.5</v>
      </c>
      <c r="AH31" s="710" t="str">
        <f>CONCATENATE("Σ Com ",$L$73)</f>
        <v>Σ Com Field Rep</v>
      </c>
      <c r="AI31" s="710"/>
      <c r="AJ31" s="710"/>
      <c r="AK31" s="711"/>
    </row>
    <row r="32" spans="1:42" ht="15" customHeight="1" thickTop="1" thickBot="1" x14ac:dyDescent="0.3">
      <c r="E32" s="5">
        <f t="shared" si="0"/>
        <v>0</v>
      </c>
      <c r="F32" s="5">
        <f t="shared" si="1"/>
        <v>11371.908376199319</v>
      </c>
      <c r="H32" s="5"/>
      <c r="I32" s="5"/>
      <c r="L32" s="81" t="s">
        <v>50</v>
      </c>
      <c r="M32" s="281">
        <f>IF(AND(ISNUMBER(M30),ISNUMBER(M31)),ROUND(SUM(M30:M31),2),IF(AND(ISNUMBER('Est. Cost Calc.'!E8),ISNUMBER(M31)),ROUND(SUM('Est. Cost Calc.'!E8,M31),2),""))</f>
        <v>2613.63</v>
      </c>
      <c r="N32" s="87">
        <v>3</v>
      </c>
      <c r="O32" s="285"/>
      <c r="P32" s="319"/>
      <c r="R32" s="295"/>
      <c r="S32" s="295"/>
      <c r="U32" s="80"/>
      <c r="V32" s="701"/>
      <c r="W32" s="130"/>
      <c r="X32" s="226"/>
      <c r="Y32" s="227"/>
      <c r="Z32" s="227"/>
      <c r="AA32" s="227"/>
      <c r="AB32" s="227"/>
      <c r="AC32" s="133" t="str">
        <f t="shared" si="3"/>
        <v/>
      </c>
      <c r="AD32" s="133"/>
      <c r="AE32" s="228"/>
      <c r="AF32" s="166" t="str">
        <f t="shared" si="2"/>
        <v/>
      </c>
      <c r="AG32" s="229"/>
      <c r="AH32" s="710" t="s">
        <v>51</v>
      </c>
      <c r="AI32" s="710"/>
      <c r="AJ32" s="710"/>
      <c r="AK32" s="711"/>
    </row>
    <row r="33" spans="5:37" ht="16.5" thickTop="1" thickBot="1" x14ac:dyDescent="0.3">
      <c r="E33" s="5">
        <f t="shared" si="0"/>
        <v>0</v>
      </c>
      <c r="F33" s="5">
        <f t="shared" si="1"/>
        <v>11371.908376199319</v>
      </c>
      <c r="H33" s="5"/>
      <c r="I33" s="5"/>
      <c r="R33" s="295"/>
      <c r="S33" s="295"/>
      <c r="U33" s="80"/>
      <c r="V33" s="702"/>
      <c r="W33" s="178" t="s">
        <v>52</v>
      </c>
      <c r="X33" s="119"/>
      <c r="Y33" s="119"/>
      <c r="Z33" s="119"/>
      <c r="AA33" s="119"/>
      <c r="AB33" s="119"/>
      <c r="AC33" s="120">
        <f t="shared" si="3"/>
        <v>0.14973552275150151</v>
      </c>
      <c r="AD33" s="120"/>
      <c r="AE33" s="124">
        <f>IFERROR(IF(SUM($AE$24:$AE$32)=0,"",SUM($AE$24:$AE$32)),"")</f>
        <v>7411.9083761993243</v>
      </c>
      <c r="AF33" s="168">
        <f t="shared" si="2"/>
        <v>0.56099814901412781</v>
      </c>
      <c r="AG33" s="169">
        <f>IF(AND(ISNUMBER($AG$15),ISNUMBER($AG$16)),IFERROR(SUM($AG$24:$AG$32),""),"")</f>
        <v>27769.408376199324</v>
      </c>
      <c r="AH33" s="730" t="s">
        <v>53</v>
      </c>
      <c r="AI33" s="731"/>
      <c r="AJ33" s="731"/>
      <c r="AK33" s="732"/>
    </row>
    <row r="34" spans="5:37" ht="15.75" customHeight="1" thickTop="1" x14ac:dyDescent="0.25">
      <c r="E34" s="5">
        <f t="shared" si="0"/>
        <v>0</v>
      </c>
      <c r="F34" s="5">
        <f t="shared" si="1"/>
        <v>11371.908376199319</v>
      </c>
      <c r="H34" s="5"/>
      <c r="I34" s="5"/>
      <c r="R34" s="319"/>
      <c r="S34" s="80"/>
      <c r="U34" s="80"/>
      <c r="V34" s="748" t="s">
        <v>54</v>
      </c>
      <c r="W34" s="115"/>
      <c r="X34" s="121"/>
      <c r="Y34" s="121"/>
      <c r="Z34" s="121"/>
      <c r="AA34" s="121"/>
      <c r="AB34" s="121"/>
      <c r="AC34" s="183">
        <f t="shared" si="3"/>
        <v>-0.67299174997577138</v>
      </c>
      <c r="AD34" s="183"/>
      <c r="AE34" s="163">
        <f>IFERROR(IF(SUM(AE$20:AE$23)=0,"",SUM(AE$20:AE$23)),"")</f>
        <v>-33313.091623800683</v>
      </c>
      <c r="AF34" s="170">
        <f t="shared" si="2"/>
        <v>-0.67299174997577138</v>
      </c>
      <c r="AG34" s="163">
        <f>IFERROR(IF(SUM(AG$20:AG$23)=0,"",SUM(AG$20:AG$23)),"")</f>
        <v>-33313.091623800683</v>
      </c>
      <c r="AH34" s="707" t="s">
        <v>55</v>
      </c>
      <c r="AI34" s="707"/>
      <c r="AJ34" s="707"/>
      <c r="AK34" s="708"/>
    </row>
    <row r="35" spans="5:37" ht="15.75" thickBot="1" x14ac:dyDescent="0.3">
      <c r="E35" s="5">
        <f t="shared" si="0"/>
        <v>0</v>
      </c>
      <c r="F35" s="5">
        <f t="shared" si="1"/>
        <v>11371.908376199319</v>
      </c>
      <c r="H35" s="5"/>
      <c r="I35" s="5"/>
      <c r="K35" s="698" t="s">
        <v>56</v>
      </c>
      <c r="L35" s="698"/>
      <c r="M35" s="698"/>
      <c r="N35" s="698"/>
      <c r="O35" s="698"/>
      <c r="P35" s="285"/>
      <c r="S35" s="80"/>
      <c r="U35" s="80"/>
      <c r="V35" s="749"/>
      <c r="W35" s="116"/>
      <c r="X35" s="121"/>
      <c r="Y35" s="121"/>
      <c r="Z35" s="121"/>
      <c r="AA35" s="121"/>
      <c r="AB35" s="121"/>
      <c r="AC35" s="183">
        <f t="shared" si="3"/>
        <v>-0.27272727272727271</v>
      </c>
      <c r="AD35" s="183"/>
      <c r="AE35" s="123">
        <f>IF(SUM(AE$25:AE$32)=0,"",SUM(AE$25:AE$32))</f>
        <v>-13500</v>
      </c>
      <c r="AF35" s="170">
        <f t="shared" si="2"/>
        <v>-0.13772727272727273</v>
      </c>
      <c r="AG35" s="330">
        <f>IF(SUM(AG$25:AG$32)=0,"",SUM(AG$25:AG$32))</f>
        <v>-6817.5</v>
      </c>
      <c r="AH35" s="751" t="s">
        <v>57</v>
      </c>
      <c r="AI35" s="751"/>
      <c r="AJ35" s="751"/>
      <c r="AK35" s="752"/>
    </row>
    <row r="36" spans="5:37" ht="15.75" customHeight="1" thickTop="1" x14ac:dyDescent="0.25">
      <c r="E36" s="5">
        <f t="shared" si="0"/>
        <v>0</v>
      </c>
      <c r="F36" s="5">
        <f t="shared" si="1"/>
        <v>11371.908376199319</v>
      </c>
      <c r="H36" s="5"/>
      <c r="I36" s="5"/>
      <c r="N36" s="312" t="s">
        <v>36</v>
      </c>
      <c r="O36" s="315" t="s">
        <v>58</v>
      </c>
      <c r="P36" s="311" t="s">
        <v>59</v>
      </c>
      <c r="U36" s="80"/>
      <c r="V36" s="749"/>
      <c r="W36" s="179" t="s">
        <v>54</v>
      </c>
      <c r="X36" s="79"/>
      <c r="Y36" s="79"/>
      <c r="Z36" s="79"/>
      <c r="AA36" s="79"/>
      <c r="AB36" s="79"/>
      <c r="AC36" s="78">
        <f t="shared" si="3"/>
        <v>0.14973552275150134</v>
      </c>
      <c r="AD36" s="78"/>
      <c r="AE36" s="77">
        <f>IFERROR(IF(SUM(AE$17:AE$19)+SUM(AE$34:AE$35)=0,"",SUM(AE$17:AE$19)+SUM(AE$34:AE$35)),"")</f>
        <v>7411.908376199317</v>
      </c>
      <c r="AF36" s="171">
        <f t="shared" si="2"/>
        <v>0.56099814901412759</v>
      </c>
      <c r="AG36" s="77">
        <f>IFERROR(IF(SUM(AG$17:AG$19)+SUM(AG$34:AG$35)=0,"",SUM(AG$17:AG$19)+SUM(AG$34:AG$35)),"")</f>
        <v>27769.408376199317</v>
      </c>
      <c r="AH36" s="653" t="s">
        <v>6</v>
      </c>
      <c r="AI36" s="654"/>
      <c r="AJ36" s="654"/>
      <c r="AK36" s="655"/>
    </row>
    <row r="37" spans="5:37" x14ac:dyDescent="0.25">
      <c r="E37" s="5">
        <f t="shared" si="0"/>
        <v>0</v>
      </c>
      <c r="F37" s="5">
        <f t="shared" si="1"/>
        <v>11371.908376199319</v>
      </c>
      <c r="H37" s="5"/>
      <c r="I37" s="5"/>
      <c r="L37" s="753" t="s">
        <v>60</v>
      </c>
      <c r="M37" s="754"/>
      <c r="N37" s="313">
        <f>IF('Profitability Projections'!G40&lt;&gt;"",'Profitability Projections'!G40,"")</f>
        <v>200</v>
      </c>
      <c r="O37" s="504">
        <f>IF('Profitability Projections'!H40&lt;&gt;"",'Profitability Projections'!H40,"")</f>
        <v>2</v>
      </c>
      <c r="P37" s="755">
        <f>IF('Profitability Projections'!I40&lt;&gt;"",'Profitability Projections'!I40,"")</f>
        <v>525</v>
      </c>
      <c r="U37" s="80"/>
      <c r="V37" s="749"/>
      <c r="W37" s="76"/>
      <c r="X37" s="75"/>
      <c r="Y37" s="75"/>
      <c r="Z37" s="75"/>
      <c r="AA37" s="75"/>
      <c r="AB37" s="75"/>
      <c r="AC37" s="184"/>
      <c r="AD37" s="184"/>
      <c r="AE37" s="240">
        <f>IFERROR(IF($AE$36/(SUM($AE$34:$AE$35)*-1)=0,"",$AE$36/(SUM($AE$34:$AE$35)*-1)),"")</f>
        <v>0.15832982012303071</v>
      </c>
      <c r="AF37" s="172"/>
      <c r="AG37" s="241">
        <f>IFERROR($AG$36/(SUM($AG$34:$AG$35)*-1),"")</f>
        <v>0.69197605249681426</v>
      </c>
      <c r="AH37" s="264" t="s">
        <v>61</v>
      </c>
      <c r="AI37" s="276"/>
      <c r="AJ37" s="276"/>
      <c r="AK37" s="277"/>
    </row>
    <row r="38" spans="5:37" ht="15" customHeight="1" x14ac:dyDescent="0.25">
      <c r="E38" s="5">
        <f t="shared" si="0"/>
        <v>0</v>
      </c>
      <c r="F38" s="5">
        <f t="shared" si="1"/>
        <v>11371.908376199319</v>
      </c>
      <c r="H38" s="5"/>
      <c r="I38" s="5"/>
      <c r="L38" s="757" t="s">
        <v>62</v>
      </c>
      <c r="M38" s="758"/>
      <c r="N38" s="314">
        <f>IF('Profitability Projections'!G41&lt;&gt;"",'Profitability Projections'!G41,"")</f>
        <v>200</v>
      </c>
      <c r="O38" s="505">
        <f>IF('Profitability Projections'!H41&lt;&gt;"",'Profitability Projections'!H41,"")</f>
        <v>2</v>
      </c>
      <c r="P38" s="756" t="str">
        <f>IF('Profitability Projections'!I41&lt;&gt;"",'Profitability Projections'!I41,"")</f>
        <v/>
      </c>
      <c r="V38" s="750"/>
      <c r="W38" s="74"/>
      <c r="X38" s="73"/>
      <c r="Y38" s="73"/>
      <c r="Z38" s="73"/>
      <c r="AA38" s="73"/>
      <c r="AB38" s="73"/>
      <c r="AC38" s="72"/>
      <c r="AD38" s="72"/>
      <c r="AE38" s="71">
        <f>IFERROR(IRR(AK89:AK113),"")</f>
        <v>6.8401773214976203E-2</v>
      </c>
      <c r="AF38" s="173"/>
      <c r="AG38" s="174"/>
      <c r="AH38" s="265" t="s">
        <v>63</v>
      </c>
      <c r="AI38" s="73"/>
      <c r="AJ38" s="73"/>
      <c r="AK38" s="278"/>
    </row>
    <row r="39" spans="5:37" x14ac:dyDescent="0.25">
      <c r="E39" s="5">
        <f t="shared" si="0"/>
        <v>0</v>
      </c>
      <c r="F39" s="5">
        <f t="shared" si="1"/>
        <v>11371.908376199319</v>
      </c>
      <c r="H39" s="5"/>
      <c r="I39" s="5"/>
    </row>
    <row r="40" spans="5:37" ht="15" customHeight="1" x14ac:dyDescent="0.25">
      <c r="E40" s="5">
        <f t="shared" si="0"/>
        <v>0</v>
      </c>
      <c r="F40" s="5">
        <f t="shared" si="1"/>
        <v>11371.908376199319</v>
      </c>
      <c r="H40" s="5"/>
      <c r="I40" s="5"/>
    </row>
    <row r="41" spans="5:37" ht="15.75" customHeight="1" x14ac:dyDescent="0.25">
      <c r="E41" s="5">
        <f t="shared" si="0"/>
        <v>0</v>
      </c>
      <c r="F41" s="5">
        <f t="shared" si="1"/>
        <v>11371.908376199319</v>
      </c>
      <c r="H41" s="5"/>
      <c r="I41" s="5"/>
      <c r="K41" s="699" t="s">
        <v>64</v>
      </c>
      <c r="L41" s="699"/>
      <c r="M41" s="699"/>
      <c r="N41" s="699"/>
      <c r="O41" s="699"/>
      <c r="U41" s="734" t="s">
        <v>65</v>
      </c>
      <c r="V41" s="734"/>
      <c r="W41" s="734"/>
      <c r="X41" s="734"/>
      <c r="Y41" s="734"/>
      <c r="Z41" s="734"/>
      <c r="AA41" s="734"/>
      <c r="AB41" s="734"/>
    </row>
    <row r="42" spans="5:37" ht="15" customHeight="1" x14ac:dyDescent="0.25">
      <c r="E42" s="5">
        <f t="shared" si="0"/>
        <v>0</v>
      </c>
      <c r="F42" s="5">
        <f t="shared" si="1"/>
        <v>11371.908376199319</v>
      </c>
      <c r="H42" s="5"/>
      <c r="I42" s="5"/>
      <c r="L42" s="735" t="s">
        <v>66</v>
      </c>
      <c r="M42" s="736"/>
      <c r="N42" s="68">
        <f>IF('Profitability Projections'!G45&lt;&gt;"",'Profitability Projections'!G45,"")</f>
        <v>8</v>
      </c>
      <c r="O42" s="257">
        <f>IFERROR(INDEX($K$176:$K$905,MATCH(LARGE($L$176:$L$905,1),$L$176:$L$905,0)),"")</f>
        <v>141</v>
      </c>
      <c r="P42" s="737" t="s">
        <v>67</v>
      </c>
      <c r="Q42" s="738"/>
      <c r="R42" s="739"/>
      <c r="W42" s="740" t="s">
        <v>68</v>
      </c>
      <c r="X42" s="741"/>
      <c r="Y42" s="741"/>
      <c r="Z42" s="741"/>
      <c r="AA42" s="741"/>
      <c r="AB42" s="742"/>
      <c r="AC42" s="221" t="s">
        <v>69</v>
      </c>
      <c r="AD42" s="319"/>
      <c r="AE42" s="70"/>
      <c r="AF42" s="63"/>
    </row>
    <row r="43" spans="5:37" ht="15.75" customHeight="1" thickBot="1" x14ac:dyDescent="0.3">
      <c r="E43" s="5">
        <f t="shared" si="0"/>
        <v>0</v>
      </c>
      <c r="F43" s="5">
        <f t="shared" si="1"/>
        <v>11371.908376199319</v>
      </c>
      <c r="H43" s="5"/>
      <c r="I43" s="5"/>
      <c r="L43" s="743" t="s">
        <v>70</v>
      </c>
      <c r="M43" s="744"/>
      <c r="N43" s="66">
        <f>IF('Profitability Projections'!G46&lt;&gt;"",'Profitability Projections'!G46,"")</f>
        <v>1</v>
      </c>
      <c r="O43" s="252">
        <f>SUM($N$52:$N$63)</f>
        <v>5500</v>
      </c>
      <c r="P43" s="745" t="s">
        <v>71</v>
      </c>
      <c r="Q43" s="746"/>
      <c r="R43" s="747"/>
      <c r="T43" s="144"/>
      <c r="W43" s="215" t="s">
        <v>72</v>
      </c>
      <c r="X43" s="216" t="s">
        <v>73</v>
      </c>
      <c r="Y43" s="216"/>
      <c r="Z43" s="216"/>
      <c r="AA43" s="216"/>
      <c r="AB43" s="217" t="s">
        <v>74</v>
      </c>
      <c r="AC43" s="222" t="s">
        <v>73</v>
      </c>
      <c r="AD43" s="320"/>
      <c r="AE43" s="69"/>
      <c r="AF43" s="63"/>
      <c r="AG43" s="63"/>
    </row>
    <row r="44" spans="5:37" ht="15.75" thickTop="1" x14ac:dyDescent="0.25">
      <c r="E44" s="5">
        <f t="shared" si="0"/>
        <v>0</v>
      </c>
      <c r="F44" s="5">
        <f t="shared" si="1"/>
        <v>11371.908376199319</v>
      </c>
      <c r="H44" s="5"/>
      <c r="I44" s="5"/>
      <c r="L44" s="769" t="s">
        <v>75</v>
      </c>
      <c r="M44" s="770"/>
      <c r="N44" s="65">
        <v>2</v>
      </c>
      <c r="O44" s="256">
        <f>IF(($N$44*$N$43)+$N$32+$O$37+$O$38=0,"",($N$44*$N$43)+$N$32+$O$37+$O$38)</f>
        <v>9</v>
      </c>
      <c r="P44" s="771" t="s">
        <v>76</v>
      </c>
      <c r="Q44" s="772"/>
      <c r="R44" s="773"/>
      <c r="T44" s="143"/>
      <c r="W44" s="209">
        <f>IFERROR(INDEX(K176:K905,MATCH(SMALL(L176:L905,1),L176:L905,0)),"")</f>
        <v>66</v>
      </c>
      <c r="X44" s="210" cm="1">
        <f t="array" ref="X44">IFERROR(LOOKUP(2,1/($L$176:$L$905&lt;0),$K$176:$K$905)+1,"")</f>
        <v>123</v>
      </c>
      <c r="Y44" s="210"/>
      <c r="Z44" s="210"/>
      <c r="AA44" s="210"/>
      <c r="AB44" s="218">
        <f>IFERROR(INDEX(K176:K905,MATCH(LARGE(L176:L905,1),L176:L905,0)),"")</f>
        <v>141</v>
      </c>
      <c r="AC44" s="223" cm="1">
        <f t="array" ref="AC44">IFERROR(LOOKUP(2,1/($L$923:$L$1652&lt;0),$K$923:$K$1652)+1,"")</f>
        <v>54</v>
      </c>
      <c r="AD44" s="321"/>
      <c r="AE44" s="67"/>
    </row>
    <row r="45" spans="5:37" x14ac:dyDescent="0.25">
      <c r="E45" s="5">
        <f t="shared" si="0"/>
        <v>0</v>
      </c>
      <c r="F45" s="5">
        <f t="shared" si="1"/>
        <v>11371.908376199319</v>
      </c>
      <c r="H45" s="5"/>
      <c r="I45" s="5"/>
      <c r="T45" s="143"/>
      <c r="W45" s="211" t="str">
        <f>IFERROR(IF(INDEX($I$176:$I$905,MATCH(W$44,$K$176:$K$905,0))=0,"0.0",INDEX($I$176:$I$905,MATCH(W$44,$K$176:$K$905,0))),"")</f>
        <v>07.00.R.1</v>
      </c>
      <c r="X45" s="212" t="str">
        <f>IFERROR(INDEX($I$176:$I$905,MATCH(X$44,$K$176:$K$905,0)),"")</f>
        <v>09.00</v>
      </c>
      <c r="Y45" s="212"/>
      <c r="Z45" s="212"/>
      <c r="AA45" s="212"/>
      <c r="AB45" s="219" t="str">
        <f>IFERROR(INDEX($I$176:$I$905,MATCH(AB$44,$K$176:$K$905,0)),"")</f>
        <v>09.00</v>
      </c>
      <c r="AC45" s="224" t="str">
        <f>IFERROR(INDEX($I$923:$I$1652,MATCH(AC$44,$K$923:$K$1652,0)),"")</f>
        <v>05.01.D.2</v>
      </c>
      <c r="AD45" s="322"/>
      <c r="AE45" s="774" t="s">
        <v>77</v>
      </c>
      <c r="AF45" s="775"/>
      <c r="AG45" s="775"/>
      <c r="AH45" s="775"/>
      <c r="AI45" s="775"/>
      <c r="AJ45" s="338"/>
    </row>
    <row r="46" spans="5:37" x14ac:dyDescent="0.25">
      <c r="E46" s="5">
        <f t="shared" si="0"/>
        <v>0</v>
      </c>
      <c r="F46" s="5">
        <f t="shared" si="1"/>
        <v>11371.908376199319</v>
      </c>
      <c r="H46" s="5"/>
      <c r="I46" s="5"/>
      <c r="U46" s="55"/>
      <c r="W46" s="213">
        <f>IFERROR(INDEX($L$176:$L$905,MATCH(W$44,$K$176:$K$905,0)),"")</f>
        <v>-33499.458169707948</v>
      </c>
      <c r="X46" s="214">
        <f>IFERROR(INDEX($L$176:$L$905,MATCH(X$44,$K$176:$K$905,0)),"")</f>
        <v>641.9083761909169</v>
      </c>
      <c r="Y46" s="214"/>
      <c r="Z46" s="214"/>
      <c r="AA46" s="214"/>
      <c r="AB46" s="220">
        <f>IFERROR(INDEX($L$176:$L$905,MATCH(AB$44,$K$176:$K$905,0)),"")</f>
        <v>11371.908376190917</v>
      </c>
      <c r="AC46" s="225">
        <f>IFERROR(INDEX($L$923:$L$1652,MATCH(AC$44,$K$923:$K$1652,0)),"")</f>
        <v>4517.8087384943256</v>
      </c>
      <c r="AD46" s="323"/>
      <c r="AE46" s="64"/>
      <c r="AF46" s="266"/>
      <c r="AG46" s="267" t="s">
        <v>78</v>
      </c>
    </row>
    <row r="47" spans="5:37" x14ac:dyDescent="0.25">
      <c r="E47" s="5">
        <f t="shared" si="0"/>
        <v>0</v>
      </c>
      <c r="F47" s="5">
        <f t="shared" si="1"/>
        <v>11371.908376199319</v>
      </c>
      <c r="H47" s="5"/>
      <c r="I47" s="5"/>
      <c r="K47" s="699" t="s">
        <v>79</v>
      </c>
      <c r="L47" s="699"/>
      <c r="M47" s="699"/>
      <c r="N47" s="699"/>
      <c r="O47" s="699"/>
      <c r="T47" s="154"/>
      <c r="U47" s="55"/>
      <c r="AG47" s="268" t="s">
        <v>80</v>
      </c>
      <c r="AH47" s="266" t="s">
        <v>81</v>
      </c>
    </row>
    <row r="48" spans="5:37" x14ac:dyDescent="0.25">
      <c r="E48" s="5">
        <f t="shared" si="0"/>
        <v>0</v>
      </c>
      <c r="F48" s="5">
        <f t="shared" si="1"/>
        <v>11371.908376199319</v>
      </c>
      <c r="H48" s="5"/>
      <c r="I48" s="5"/>
      <c r="L48" s="776" t="s">
        <v>82</v>
      </c>
      <c r="M48" s="777"/>
      <c r="N48" s="145">
        <f>IF('Profitability Projections'!G51&lt;&gt;"",'Profitability Projections'!G51,"")</f>
        <v>60</v>
      </c>
      <c r="P48" s="143"/>
      <c r="U48" s="55"/>
      <c r="AG48" s="268" t="s">
        <v>83</v>
      </c>
      <c r="AH48" s="266" t="s">
        <v>84</v>
      </c>
    </row>
    <row r="49" spans="3:37" ht="15" customHeight="1" x14ac:dyDescent="0.25">
      <c r="E49" s="5">
        <f t="shared" si="0"/>
        <v>0</v>
      </c>
      <c r="F49" s="5">
        <f t="shared" si="1"/>
        <v>11371.908376199319</v>
      </c>
      <c r="H49" s="5"/>
      <c r="I49" s="5"/>
      <c r="R49" s="143"/>
      <c r="S49" s="143"/>
      <c r="U49" s="778" t="s">
        <v>85</v>
      </c>
      <c r="V49" s="778"/>
      <c r="W49" s="778"/>
      <c r="X49" s="778"/>
      <c r="Y49" s="778"/>
      <c r="Z49" s="778"/>
      <c r="AA49" s="778"/>
      <c r="AB49" s="778"/>
      <c r="AC49" s="778"/>
      <c r="AD49" s="343"/>
      <c r="AE49" s="208"/>
      <c r="AG49" s="268" t="s">
        <v>86</v>
      </c>
      <c r="AH49" s="266" t="s">
        <v>87</v>
      </c>
      <c r="AI49" s="208"/>
      <c r="AJ49" s="208"/>
    </row>
    <row r="50" spans="3:37" ht="15" customHeight="1" x14ac:dyDescent="0.25">
      <c r="E50" s="5">
        <f t="shared" si="0"/>
        <v>0</v>
      </c>
      <c r="F50" s="5">
        <f t="shared" si="1"/>
        <v>11371.908376199319</v>
      </c>
      <c r="H50" s="5"/>
      <c r="I50" s="5"/>
      <c r="M50" s="759" t="s">
        <v>88</v>
      </c>
      <c r="N50" s="760"/>
      <c r="O50" s="760"/>
      <c r="P50" s="761"/>
      <c r="R50" s="143"/>
      <c r="S50" s="143"/>
      <c r="V50" s="762" t="s">
        <v>89</v>
      </c>
      <c r="W50" s="763"/>
      <c r="X50" s="764"/>
      <c r="Y50" s="204"/>
      <c r="Z50" s="204"/>
      <c r="AA50" s="204"/>
      <c r="AB50" s="354" t="s">
        <v>1</v>
      </c>
      <c r="AG50" s="268" t="s">
        <v>90</v>
      </c>
      <c r="AH50" s="266" t="s">
        <v>91</v>
      </c>
    </row>
    <row r="51" spans="3:37" ht="15" customHeight="1" thickBot="1" x14ac:dyDescent="0.3">
      <c r="E51" s="5">
        <f t="shared" si="0"/>
        <v>0</v>
      </c>
      <c r="F51" s="5">
        <f t="shared" si="1"/>
        <v>11371.908376199319</v>
      </c>
      <c r="H51" s="5"/>
      <c r="I51" s="5"/>
      <c r="L51" s="243" t="s">
        <v>92</v>
      </c>
      <c r="M51" s="202" t="s">
        <v>93</v>
      </c>
      <c r="N51" s="203" t="s">
        <v>94</v>
      </c>
      <c r="O51" s="205" t="s">
        <v>95</v>
      </c>
      <c r="P51" s="279" t="s">
        <v>96</v>
      </c>
      <c r="V51" s="762" t="s">
        <v>97</v>
      </c>
      <c r="W51" s="763"/>
      <c r="X51" s="764"/>
      <c r="Y51" s="204"/>
      <c r="Z51" s="204"/>
      <c r="AA51" s="204"/>
      <c r="AB51" s="355">
        <v>0.5</v>
      </c>
      <c r="AG51" s="268" t="s">
        <v>98</v>
      </c>
      <c r="AH51" s="266" t="s">
        <v>50</v>
      </c>
    </row>
    <row r="52" spans="3:37" ht="15" customHeight="1" x14ac:dyDescent="0.25">
      <c r="E52" s="5">
        <f t="shared" si="0"/>
        <v>0</v>
      </c>
      <c r="F52" s="5">
        <f t="shared" si="1"/>
        <v>11371.908376199319</v>
      </c>
      <c r="H52" s="5"/>
      <c r="I52" s="5"/>
      <c r="K52" s="146"/>
      <c r="L52" s="136">
        <f>IF($N$43&gt;0,1,"")</f>
        <v>1</v>
      </c>
      <c r="M52" s="244">
        <f>IF($N$43&gt;0,IF($L52="","",$N$44*ROWS($N$52:$N52)),"")</f>
        <v>2</v>
      </c>
      <c r="N52" s="247">
        <f>IF('Profitability Projections'!G55&lt;&gt;"",'Profitability Projections'!G55,"")</f>
        <v>5500</v>
      </c>
      <c r="O52" s="248">
        <f>IFERROR(IF(ISNUMBER($L52),($M$25*-1)+(((SUM($N$52:$N52)-(SUM($N$52:$N52)*$O$74)-($N$37+$N$38))*($N$42+1))-(($M$30+$M$31)*$N$42)),""),"")</f>
        <v>2686.9123671909183</v>
      </c>
      <c r="P52" s="245">
        <f>IF(ISNUMBER($L52),$O52/(SUM($N$52:$N52)*($N$42+1)),"")</f>
        <v>5.4281057923048853E-2</v>
      </c>
      <c r="V52" s="762" t="s">
        <v>99</v>
      </c>
      <c r="W52" s="763"/>
      <c r="X52" s="764"/>
      <c r="Y52" s="204"/>
      <c r="Z52" s="204"/>
      <c r="AA52" s="204"/>
      <c r="AB52" s="352">
        <f>IF('Profitability Projections'!Q55&lt;&gt;"",'Profitability Projections'!Q55,"")</f>
        <v>22000</v>
      </c>
      <c r="AE52" s="208"/>
      <c r="AF52" s="208"/>
    </row>
    <row r="53" spans="3:37" ht="15" customHeight="1" x14ac:dyDescent="0.25">
      <c r="E53" s="5">
        <f t="shared" si="0"/>
        <v>0</v>
      </c>
      <c r="F53" s="5">
        <f t="shared" si="1"/>
        <v>11371.908376199319</v>
      </c>
      <c r="H53" s="5"/>
      <c r="I53" s="5"/>
      <c r="K53" s="146"/>
      <c r="L53" s="137" t="str">
        <f t="shared" ref="L53:L63" si="7">IFERROR(IF(($L52+1)&lt;=$N$43,$L52+1,""),"")</f>
        <v/>
      </c>
      <c r="M53" s="138" t="str">
        <f>IF($L53="","",$N$44*ROWS($N$52:$N53))</f>
        <v/>
      </c>
      <c r="N53" s="317">
        <f>IF('Profitability Projections'!G56&lt;&gt;"",'Profitability Projections'!G56,"")</f>
        <v>0</v>
      </c>
      <c r="O53" s="249" t="str">
        <f>IFERROR(IF(ISNUMBER($L53),($M$25*-1)+(((SUM($N$52:$N53)-(SUM($N$52:$N53)*$O$74)-($N$37+$N$38))*($N$42+1))-(($M$30+$M$31)*$N$42)),""),"")</f>
        <v/>
      </c>
      <c r="P53" s="246" t="str">
        <f>IF(ISNUMBER($L53),$O53/(SUM($N$52:$N53)*($N$42+1)),"")</f>
        <v/>
      </c>
      <c r="U53" s="55"/>
      <c r="AE53" s="208"/>
      <c r="AF53" s="208"/>
      <c r="AG53" s="208"/>
      <c r="AH53" s="208"/>
      <c r="AI53" s="208"/>
      <c r="AJ53" s="208"/>
      <c r="AK53" s="208"/>
    </row>
    <row r="54" spans="3:37" ht="15" customHeight="1" x14ac:dyDescent="0.25">
      <c r="E54" s="5">
        <f t="shared" si="0"/>
        <v>0</v>
      </c>
      <c r="F54" s="5">
        <f t="shared" si="1"/>
        <v>11371.908376199319</v>
      </c>
      <c r="H54" s="5"/>
      <c r="I54" s="5"/>
      <c r="K54" s="146"/>
      <c r="L54" s="137" t="str">
        <f t="shared" si="7"/>
        <v/>
      </c>
      <c r="M54" s="138" t="str">
        <f>IF($L54="","",$N$44*ROWS($N$52:$N54))</f>
        <v/>
      </c>
      <c r="N54" s="317">
        <f>IF('Profitability Projections'!G57&lt;&gt;"",'Profitability Projections'!G57,"")</f>
        <v>0</v>
      </c>
      <c r="O54" s="249" t="str">
        <f>IFERROR(IF(ISNUMBER($L54),($M$25*-1)+(((SUM($N$52:$N54)-(SUM($N$52:$N54)*$O$74)-($N$37+$N$38))*($N$42+1))-(($M$30+$M$31)*$N$42)),""),"")</f>
        <v/>
      </c>
      <c r="P54" s="246" t="str">
        <f>IF(ISNUMBER($L54),$O54/(SUM($N$52:$N54)*($N$42+1)),"")</f>
        <v/>
      </c>
      <c r="V54" s="765" t="s">
        <v>23</v>
      </c>
      <c r="W54" s="767" t="s">
        <v>100</v>
      </c>
      <c r="X54" s="768"/>
      <c r="Y54" s="768"/>
      <c r="Z54" s="768"/>
      <c r="AA54" s="768"/>
      <c r="AB54" s="786" t="s">
        <v>101</v>
      </c>
      <c r="AC54" s="788" t="s">
        <v>102</v>
      </c>
      <c r="AD54" s="324"/>
      <c r="AE54" s="208"/>
      <c r="AF54" s="208"/>
      <c r="AG54" s="208"/>
      <c r="AH54" s="208"/>
      <c r="AI54" s="208"/>
      <c r="AJ54" s="208"/>
      <c r="AK54" s="208"/>
    </row>
    <row r="55" spans="3:37" ht="15.75" customHeight="1" thickBot="1" x14ac:dyDescent="0.3">
      <c r="E55" s="5">
        <f t="shared" si="0"/>
        <v>0</v>
      </c>
      <c r="F55" s="5">
        <f t="shared" si="1"/>
        <v>11371.908376199319</v>
      </c>
      <c r="H55" s="5"/>
      <c r="I55" s="5"/>
      <c r="K55" s="146"/>
      <c r="L55" s="137" t="str">
        <f t="shared" si="7"/>
        <v/>
      </c>
      <c r="M55" s="138" t="str">
        <f>IF($L55="","",$N$44*ROWS($N$52:$N55))</f>
        <v/>
      </c>
      <c r="N55" s="318">
        <f>IF('Profitability Projections'!G58&lt;&gt;"",'Profitability Projections'!G58,"")</f>
        <v>0</v>
      </c>
      <c r="O55" s="249" t="str">
        <f>IFERROR(IF(ISNUMBER($L55),($M$25*-1)+(((SUM($N$52:$N55)-(SUM($N$52:$N55)*$O$74)-($N$37+$N$38))*($N$42+1))-(($M$30+$M$31)*$N$42)),""),"")</f>
        <v/>
      </c>
      <c r="P55" s="246" t="str">
        <f>IF(ISNUMBER($L55),$O55/(SUM($N$52:$N55)*($N$42+1)),"")</f>
        <v/>
      </c>
      <c r="V55" s="766"/>
      <c r="W55" s="272" t="s">
        <v>94</v>
      </c>
      <c r="X55" s="193" t="s">
        <v>103</v>
      </c>
      <c r="Y55" s="191" t="str">
        <f>"S@NPM"</f>
        <v>S@NPM</v>
      </c>
      <c r="Z55" s="188" t="s">
        <v>27</v>
      </c>
      <c r="AA55" s="189" t="s">
        <v>104</v>
      </c>
      <c r="AB55" s="787"/>
      <c r="AC55" s="789"/>
      <c r="AD55" s="324"/>
      <c r="AE55" s="208"/>
      <c r="AF55" s="208"/>
      <c r="AG55" s="208"/>
      <c r="AH55" s="208"/>
      <c r="AI55" s="208"/>
      <c r="AJ55" s="208"/>
      <c r="AK55" s="208"/>
    </row>
    <row r="56" spans="3:37" x14ac:dyDescent="0.25">
      <c r="C56" s="190"/>
      <c r="E56" s="5">
        <f t="shared" si="0"/>
        <v>0</v>
      </c>
      <c r="F56" s="5">
        <f t="shared" si="1"/>
        <v>11371.908376199319</v>
      </c>
      <c r="H56" s="5"/>
      <c r="I56" s="5"/>
      <c r="J56" s="146"/>
      <c r="K56" s="146"/>
      <c r="L56" s="137" t="str">
        <f t="shared" si="7"/>
        <v/>
      </c>
      <c r="M56" s="138" t="str">
        <f>IF($L56="","",$N$44*ROWS($N$52:$N56))</f>
        <v/>
      </c>
      <c r="N56" s="318">
        <f>IF('Profitability Projections'!G59&lt;&gt;"",'Profitability Projections'!G59,"")</f>
        <v>0</v>
      </c>
      <c r="O56" s="249" t="str">
        <f>IFERROR(IF(ISNUMBER($L56),($M$25*-1)+(((SUM($N$52:$N56)-(SUM($N$52:$N56)*$O$74)-($N$37+$N$38))*($N$42+1))-(($M$30+$M$31)*$N$42)),""),"")</f>
        <v/>
      </c>
      <c r="P56" s="246" t="str">
        <f>IF(ISNUMBER($L56),$O56/(SUM($N$52:$N56)*($N$42+1)),"")</f>
        <v/>
      </c>
      <c r="V56" s="136">
        <v>0</v>
      </c>
      <c r="W56" s="273">
        <f t="shared" ref="W56:W68" si="8">IFERROR(IF($V56&gt;$N$42,$W55,IF($Y56-$Z56&lt;(($Y$56-$Z$56)*$AB$51),(($Y$56-$Z$56)*$AB$51)+($M$24-$M$31),($Y56-$Z56)+($M$24-$M$31))),"")</f>
        <v>16098.767901821499</v>
      </c>
      <c r="X56" s="194">
        <f t="shared" ref="X56:X68" si="9">IFERROR(1-(($AA56*-1)/($W56+$Z56)),"")</f>
        <v>0.40093694002291647</v>
      </c>
      <c r="Y56" s="155">
        <f t="shared" ref="Y56:Y68" si="10">IFERROR(($AA56*-1)/(1-$AC$36),"")</f>
        <v>15217.646199769952</v>
      </c>
      <c r="Z56" s="185" cm="1">
        <f t="array" ref="Z56">IFERROR(IF(IF(($V56)&gt;=($N$42+1),0,INDEX($T$923:$T$1652,(_xlfn.XMATCH($V56,$V$923:$V$1652)++($N$43*$N$44)+$O$38-1)))=0,"",IF(($V56)&gt;=($N$42+1),0,INDEX($T$923:$T$1652,(_xlfn.XMATCH($V56,$V$923:$V$1652)+($N$43*$N$44)+$O$38-1)))),"")</f>
        <v>5500</v>
      </c>
      <c r="AA56" s="197" cm="1">
        <f t="array" ref="AA56">IFERROR(IF(IF(($V56)&gt;=($N$42+1),0,INDEX($L$923:$L$1652,(_xlfn.XMATCH($V56,$V$923:$V$1652)+($N$43*$N$44)+$O$38-1))-$Z56)=0,"",IF(($V56)&gt;=($N$42+1),0,INDEX($L$923:$L$1652,(_xlfn.XMATCH($V56,$V$923:$V$1652)+($N$43*$N$44)+$O$38-1))-$Z56)),"")</f>
        <v>-12939.023991</v>
      </c>
      <c r="AB56" s="258" cm="1">
        <f t="array" ref="AB56">IFERROR(IF(IF(($V56)&gt;=$N$42+1,0,INDEX($L$923:$L$1652,(_xlfn.XMATCH($V56,$V$923:$V$1652)+($N$43*$N$44)+$O$38-1)))=0,"",IF(($V56)&gt;=$N$42+1,0,INDEX($L$923:$L$1652,(_xlfn.XMATCH($V56,$V$923:$V$1652)+($N$43*$N$44)+$O$38-1)))),"")</f>
        <v>-7439.023991</v>
      </c>
      <c r="AC56" s="259">
        <f t="shared" ref="AC56:AC68" si="11">IFERROR(IF(IF(($V56)&gt;=($N$42+1),0,$AE$36-$AB56)=0,"",IF(($V56)&gt;=($N$42+1),0,$AE$36-$AB56)),"")</f>
        <v>14850.932367199317</v>
      </c>
      <c r="AD56" s="325"/>
      <c r="AE56" s="208"/>
      <c r="AF56" s="208"/>
      <c r="AG56" s="208"/>
      <c r="AH56" s="208"/>
      <c r="AI56" s="208"/>
      <c r="AJ56" s="208"/>
      <c r="AK56" s="208"/>
    </row>
    <row r="57" spans="3:37" x14ac:dyDescent="0.25">
      <c r="C57" s="190"/>
      <c r="E57" s="5">
        <f t="shared" si="0"/>
        <v>0</v>
      </c>
      <c r="F57" s="5">
        <f t="shared" si="1"/>
        <v>11371.908376199319</v>
      </c>
      <c r="H57" s="5"/>
      <c r="I57" s="5"/>
      <c r="J57" s="146"/>
      <c r="K57" s="146"/>
      <c r="L57" s="137" t="str">
        <f t="shared" si="7"/>
        <v/>
      </c>
      <c r="M57" s="138" t="str">
        <f>IF($L57="","",$N$44*ROWS($N$52:$N57))</f>
        <v/>
      </c>
      <c r="N57" s="318">
        <f>IF('Profitability Projections'!G60&lt;&gt;"",'Profitability Projections'!G60,"")</f>
        <v>0</v>
      </c>
      <c r="O57" s="249" t="str">
        <f>IFERROR(IF(ISNUMBER($L57),($M$25*-1)+(((SUM($N$52:$N57)-(SUM($N$52:$N57)*$O$74)-($N$37+$N$38))*($N$42+1))-(($M$30+$M$31)*$N$42)),""),"")</f>
        <v/>
      </c>
      <c r="P57" s="246" t="str">
        <f>IF(ISNUMBER($L57),$O57/(SUM($N$52:$N57)*($N$42+1)),"")</f>
        <v/>
      </c>
      <c r="V57" s="137">
        <v>1</v>
      </c>
      <c r="W57" s="274">
        <f t="shared" si="8"/>
        <v>14301.890328257894</v>
      </c>
      <c r="X57" s="195">
        <f t="shared" si="9"/>
        <v>0.36417171854017694</v>
      </c>
      <c r="Y57" s="156">
        <f t="shared" si="10"/>
        <v>18920.768626206347</v>
      </c>
      <c r="Z57" s="186" cm="1">
        <f t="array" ref="Z57">IFERROR(IF(IF(($V57)&gt;=($N$42+1),0,INDEX($T$923:$T$1652,(_xlfn.XMATCH($V57,$V$923:$V$1652)++($N$43*$N$44)+$O$38-1)))=0,"",IF(($V57)&gt;=($N$42+1),0,INDEX($T$923:$T$1652,(_xlfn.XMATCH($V57,$V$923:$V$1652)+($N$43*$N$44)+$O$38-1)))),"")</f>
        <v>11000</v>
      </c>
      <c r="AA57" s="198" cm="1">
        <f t="array" ref="AA57">IFERROR(IF(IF(($V57)&gt;=($N$42+1),0,INDEX($L$923:$L$1652,(_xlfn.XMATCH($V57,$V$923:$V$1652)+($N$43*$N$44)+$O$38-1))-$Z57)=0,"",IF(($V57)&gt;=($N$42+1),0,INDEX($L$923:$L$1652,(_xlfn.XMATCH($V57,$V$923:$V$1652)+($N$43*$N$44)+$O$38-1))-$Z57)),"")</f>
        <v>-16087.657445101135</v>
      </c>
      <c r="AB57" s="260" cm="1">
        <f t="array" ref="AB57">IFERROR(IF(IF(($V57)&gt;=$N$42+1,0,INDEX($L$923:$L$1652,(_xlfn.XMATCH($V57,$V$923:$V$1652)+($N$43*$N$44)+$O$38-1)))=0,"",IF(($V57)&gt;=$N$42+1,0,INDEX($L$923:$L$1652,(_xlfn.XMATCH($V57,$V$923:$V$1652)+($N$43*$N$44)+$O$38-1)))),"")</f>
        <v>-5087.6574451011347</v>
      </c>
      <c r="AC57" s="261">
        <f t="shared" si="11"/>
        <v>12499.565821300452</v>
      </c>
      <c r="AD57" s="325"/>
      <c r="AE57" s="208"/>
      <c r="AF57" s="208"/>
      <c r="AG57" s="208"/>
      <c r="AH57" s="208"/>
      <c r="AI57" s="208"/>
      <c r="AJ57" s="208"/>
      <c r="AK57" s="208"/>
    </row>
    <row r="58" spans="3:37" x14ac:dyDescent="0.25">
      <c r="C58" s="190"/>
      <c r="E58" s="5">
        <f t="shared" si="0"/>
        <v>0</v>
      </c>
      <c r="F58" s="5">
        <f t="shared" si="1"/>
        <v>11371.908376199319</v>
      </c>
      <c r="H58" s="5"/>
      <c r="I58" s="5"/>
      <c r="J58" s="146"/>
      <c r="K58" s="146"/>
      <c r="L58" s="137" t="str">
        <f t="shared" si="7"/>
        <v/>
      </c>
      <c r="M58" s="138" t="str">
        <f>IF($L58="","",$N$44*ROWS($N$52:$N58))</f>
        <v/>
      </c>
      <c r="N58" s="318">
        <f>IF('Profitability Projections'!G61&lt;&gt;"",'Profitability Projections'!G61,"")</f>
        <v>0</v>
      </c>
      <c r="O58" s="249" t="str">
        <f>IFERROR(IF(ISNUMBER($L58),($M$25*-1)+(((SUM($N$52:$N58)-(SUM($N$52:$N58)*$O$74)-($N$37+$N$38))*($N$42+1))-(($M$30+$M$31)*$N$42)),""),"")</f>
        <v/>
      </c>
      <c r="P58" s="246" t="str">
        <f>IF(ISNUMBER($L58),$O58/(SUM($N$52:$N58)*($N$42+1)),"")</f>
        <v/>
      </c>
      <c r="V58" s="137">
        <v>2</v>
      </c>
      <c r="W58" s="274">
        <f t="shared" si="8"/>
        <v>12505.012754694293</v>
      </c>
      <c r="X58" s="195">
        <f t="shared" si="9"/>
        <v>0.33679426167157989</v>
      </c>
      <c r="Y58" s="156">
        <f t="shared" si="10"/>
        <v>22623.891052642746</v>
      </c>
      <c r="Z58" s="186" cm="1">
        <f t="array" ref="Z58">IFERROR(IF(IF(($V58)&gt;=($N$42+1),0,INDEX($T$923:$T$1652,(_xlfn.XMATCH($V58,$V$923:$V$1652)++($N$43*$N$44)+$O$38-1)))=0,"",IF(($V58)&gt;=($N$42+1),0,INDEX($T$923:$T$1652,(_xlfn.XMATCH($V58,$V$923:$V$1652)+($N$43*$N$44)+$O$38-1)))),"")</f>
        <v>16500</v>
      </c>
      <c r="AA58" s="198" cm="1">
        <f t="array" ref="AA58">IFERROR(IF(IF(($V58)&gt;=($N$42+1),0,INDEX($L$923:$L$1652,(_xlfn.XMATCH($V58,$V$923:$V$1652)+($N$43*$N$44)+$O$38-1))-$Z58)=0,"",IF(($V58)&gt;=($N$42+1),0,INDEX($L$923:$L$1652,(_xlfn.XMATCH($V58,$V$923:$V$1652)+($N$43*$N$44)+$O$38-1))-$Z58)),"")</f>
        <v>-19236.290899202271</v>
      </c>
      <c r="AB58" s="260" cm="1">
        <f t="array" ref="AB58">IFERROR(IF(IF(($V58)&gt;=$N$42+1,0,INDEX($L$923:$L$1652,(_xlfn.XMATCH($V58,$V$923:$V$1652)+($N$43*$N$44)+$O$38-1)))=0,"",IF(($V58)&gt;=$N$42+1,0,INDEX($L$923:$L$1652,(_xlfn.XMATCH($V58,$V$923:$V$1652)+($N$43*$N$44)+$O$38-1)))),"")</f>
        <v>-2736.2908992022694</v>
      </c>
      <c r="AC58" s="261">
        <f t="shared" si="11"/>
        <v>10148.199275401586</v>
      </c>
      <c r="AD58" s="325"/>
      <c r="AE58" s="208"/>
      <c r="AF58" s="208"/>
      <c r="AG58" s="208"/>
      <c r="AH58" s="208"/>
      <c r="AI58" s="208"/>
      <c r="AJ58" s="208"/>
      <c r="AK58" s="208"/>
    </row>
    <row r="59" spans="3:37" x14ac:dyDescent="0.25">
      <c r="C59" s="190"/>
      <c r="E59" s="5">
        <f t="shared" si="0"/>
        <v>0</v>
      </c>
      <c r="F59" s="5">
        <f t="shared" si="1"/>
        <v>11371.908376199319</v>
      </c>
      <c r="H59" s="5"/>
      <c r="I59" s="5"/>
      <c r="J59" s="146"/>
      <c r="K59" s="146"/>
      <c r="L59" s="137" t="str">
        <f t="shared" si="7"/>
        <v/>
      </c>
      <c r="M59" s="138" t="str">
        <f>IF($L59="","",$N$44*ROWS($N$52:$N59))</f>
        <v/>
      </c>
      <c r="N59" s="318">
        <f>IF('Profitability Projections'!G62&lt;&gt;"",'Profitability Projections'!G62,"")</f>
        <v>0</v>
      </c>
      <c r="O59" s="249" t="str">
        <f>IFERROR(IF(ISNUMBER($L59),($M$25*-1)+(((SUM($N$52:$N59)-(SUM($N$52:$N59)*$O$74)-($N$37+$N$38))*($N$42+1))-(($M$30+$M$31)*$N$42)),""),"")</f>
        <v/>
      </c>
      <c r="P59" s="246" t="str">
        <f>IF(ISNUMBER($L59),$O59/(SUM($N$52:$N59)*($N$42+1)),"")</f>
        <v/>
      </c>
      <c r="V59" s="137">
        <v>3</v>
      </c>
      <c r="W59" s="280">
        <f t="shared" si="8"/>
        <v>11239.944801936523</v>
      </c>
      <c r="X59" s="195">
        <f t="shared" si="9"/>
        <v>0.32656553773821906</v>
      </c>
      <c r="Y59" s="156">
        <f t="shared" si="10"/>
        <v>26327.013479079142</v>
      </c>
      <c r="Z59" s="186" cm="1">
        <f t="array" ref="Z59">IFERROR(IF(IF(($V59)&gt;=($N$42+1),0,INDEX($T$923:$T$1652,(_xlfn.XMATCH($V59,$V$923:$V$1652)++($N$43*$N$44)+$O$38-1)))=0,"",IF(($V59)&gt;=($N$42+1),0,INDEX($T$923:$T$1652,(_xlfn.XMATCH($V59,$V$923:$V$1652)+($N$43*$N$44)+$O$38-1)))),"")</f>
        <v>22000</v>
      </c>
      <c r="AA59" s="198" cm="1">
        <f t="array" ref="AA59">IFERROR(IF(IF(($V59)&gt;=($N$42+1),0,INDEX($L$923:$L$1652,(_xlfn.XMATCH($V59,$V$923:$V$1652)+($N$43*$N$44)+$O$38-1))-$Z59)=0,"",IF(($V59)&gt;=($N$42+1),0,INDEX($L$923:$L$1652,(_xlfn.XMATCH($V59,$V$923:$V$1652)+($N$43*$N$44)+$O$38-1))-$Z59)),"")</f>
        <v>-22384.924353303402</v>
      </c>
      <c r="AB59" s="260" cm="1">
        <f t="array" ref="AB59">IFERROR(IF(IF(($V59)&gt;=$N$42+1,0,INDEX($L$923:$L$1652,(_xlfn.XMATCH($V59,$V$923:$V$1652)+($N$43*$N$44)+$O$38-1)))=0,"",IF(($V59)&gt;=$N$42+1,0,INDEX($L$923:$L$1652,(_xlfn.XMATCH($V59,$V$923:$V$1652)+($N$43*$N$44)+$O$38-1)))),"")</f>
        <v>-384.92435330340413</v>
      </c>
      <c r="AC59" s="261">
        <f t="shared" si="11"/>
        <v>7796.8327295027211</v>
      </c>
      <c r="AD59" s="325"/>
      <c r="AE59" s="208"/>
      <c r="AF59" s="208"/>
      <c r="AG59" s="208"/>
      <c r="AH59" s="208"/>
      <c r="AI59" s="208"/>
      <c r="AJ59" s="208"/>
      <c r="AK59" s="208"/>
    </row>
    <row r="60" spans="3:37" ht="15" customHeight="1" x14ac:dyDescent="0.25">
      <c r="C60" s="190"/>
      <c r="E60" s="5">
        <f t="shared" si="0"/>
        <v>0</v>
      </c>
      <c r="F60" s="5">
        <f t="shared" si="1"/>
        <v>11371.908376199319</v>
      </c>
      <c r="H60" s="5"/>
      <c r="I60" s="5"/>
      <c r="J60" s="146"/>
      <c r="K60" s="146"/>
      <c r="L60" s="137" t="str">
        <f t="shared" si="7"/>
        <v/>
      </c>
      <c r="M60" s="138" t="str">
        <f>IF($L60="","",$N$44*ROWS($N$52:$N60))</f>
        <v/>
      </c>
      <c r="N60" s="318">
        <f>IF('Profitability Projections'!G63&lt;&gt;"",'Profitability Projections'!G63,"")</f>
        <v>0</v>
      </c>
      <c r="O60" s="249" t="str">
        <f>IFERROR(IF(ISNUMBER($L60),($M$25*-1)+(((SUM($N$52:$N60)-(SUM($N$52:$N60)*$O$74)-($N$37+$N$38))*($N$42+1))-(($M$30+$M$31)*$N$42)),""),"")</f>
        <v/>
      </c>
      <c r="P60" s="246" t="str">
        <f>IF(ISNUMBER($L60),$O60/(SUM($N$52:$N60)*($N$42+1)),"")</f>
        <v/>
      </c>
      <c r="V60" s="137">
        <v>4</v>
      </c>
      <c r="W60" s="274">
        <f t="shared" si="8"/>
        <v>11239.944801936523</v>
      </c>
      <c r="X60" s="195">
        <f t="shared" si="9"/>
        <v>0.34089844634656852</v>
      </c>
      <c r="Y60" s="156">
        <f t="shared" si="10"/>
        <v>30030.135905515541</v>
      </c>
      <c r="Z60" s="186" cm="1">
        <f t="array" ref="Z60">IFERROR(IF(IF(($V60)&gt;=($N$42+1),0,INDEX($T$923:$T$1652,(_xlfn.XMATCH($V60,$V$923:$V$1652)++($N$43*$N$44)+$O$38-1)))=0,"",IF(($V60)&gt;=($N$42+1),0,INDEX($T$923:$T$1652,(_xlfn.XMATCH($V60,$V$923:$V$1652)+($N$43*$N$44)+$O$38-1)))),"")</f>
        <v>27500</v>
      </c>
      <c r="AA60" s="198" cm="1">
        <f t="array" ref="AA60">IFERROR(IF(IF(($V60)&gt;=($N$42+1),0,INDEX($L$923:$L$1652,(_xlfn.XMATCH($V60,$V$923:$V$1652)+($N$43*$N$44)+$O$38-1))-$Z60)=0,"",IF(($V60)&gt;=($N$42+1),0,INDEX($L$923:$L$1652,(_xlfn.XMATCH($V60,$V$923:$V$1652)+($N$43*$N$44)+$O$38-1))-$Z60)),"")</f>
        <v>-25533.557807404541</v>
      </c>
      <c r="AB60" s="260" cm="1">
        <f t="array" ref="AB60">IFERROR(IF(IF(($V60)&gt;=$N$42+1,0,INDEX($L$923:$L$1652,(_xlfn.XMATCH($V60,$V$923:$V$1652)+($N$43*$N$44)+$O$38-1)))=0,"",IF(($V60)&gt;=$N$42+1,0,INDEX($L$923:$L$1652,(_xlfn.XMATCH($V60,$V$923:$V$1652)+($N$43*$N$44)+$O$38-1)))),"")</f>
        <v>1966.4421925954607</v>
      </c>
      <c r="AC60" s="261">
        <f t="shared" si="11"/>
        <v>5445.4661836038558</v>
      </c>
      <c r="AD60" s="325"/>
      <c r="AE60" s="208"/>
      <c r="AF60" s="208"/>
      <c r="AG60" s="208"/>
      <c r="AH60" s="208"/>
      <c r="AI60" s="208"/>
      <c r="AJ60" s="208"/>
      <c r="AK60" s="208"/>
    </row>
    <row r="61" spans="3:37" x14ac:dyDescent="0.25">
      <c r="C61" s="190"/>
      <c r="E61" s="5">
        <f t="shared" si="0"/>
        <v>0</v>
      </c>
      <c r="F61" s="5">
        <f t="shared" si="1"/>
        <v>11371.908376199319</v>
      </c>
      <c r="H61" s="5"/>
      <c r="I61" s="5"/>
      <c r="J61" s="146"/>
      <c r="K61" s="146"/>
      <c r="L61" s="137" t="str">
        <f t="shared" si="7"/>
        <v/>
      </c>
      <c r="M61" s="138" t="str">
        <f>IF($L61="","",$N$44*ROWS($N$52:$N61))</f>
        <v/>
      </c>
      <c r="N61" s="318">
        <f>IF('Profitability Projections'!G64&lt;&gt;"",'Profitability Projections'!G64,"")</f>
        <v>0</v>
      </c>
      <c r="O61" s="249" t="str">
        <f>IFERROR(IF(ISNUMBER($L61),($M$25*-1)+(((SUM($N$52:$N61)-(SUM($N$52:$N61)*$O$74)-($N$37+$N$38))*($N$42+1))-(($M$30+$M$31)*$N$42)),""),"")</f>
        <v/>
      </c>
      <c r="P61" s="246" t="str">
        <f>IF(ISNUMBER($L61),$O61/(SUM($N$52:$N61)*($N$42+1)),"")</f>
        <v/>
      </c>
      <c r="V61" s="137">
        <v>5</v>
      </c>
      <c r="W61" s="274">
        <f t="shared" si="8"/>
        <v>11239.944801936523</v>
      </c>
      <c r="X61" s="195">
        <f t="shared" si="9"/>
        <v>0.35166756220161099</v>
      </c>
      <c r="Y61" s="156">
        <f t="shared" si="10"/>
        <v>33733.25833195194</v>
      </c>
      <c r="Z61" s="186" cm="1">
        <f t="array" ref="Z61">IFERROR(IF(IF(($V61)&gt;=($N$42+1),0,INDEX($T$923:$T$1652,(_xlfn.XMATCH($V61,$V$923:$V$1652)++($N$43*$N$44)+$O$38-1)))=0,"",IF(($V61)&gt;=($N$42+1),0,INDEX($T$923:$T$1652,(_xlfn.XMATCH($V61,$V$923:$V$1652)+($N$43*$N$44)+$O$38-1)))),"")</f>
        <v>33000</v>
      </c>
      <c r="AA61" s="198" cm="1">
        <f t="array" ref="AA61">IFERROR(IF(IF(($V61)&gt;=($N$42+1),0,INDEX($L$923:$L$1652,(_xlfn.XMATCH($V61,$V$923:$V$1652)+($N$43*$N$44)+$O$38-1))-$Z61)=0,"",IF(($V61)&gt;=($N$42+1),0,INDEX($L$923:$L$1652,(_xlfn.XMATCH($V61,$V$923:$V$1652)+($N$43*$N$44)+$O$38-1))-$Z61)),"")</f>
        <v>-28682.191261505675</v>
      </c>
      <c r="AB61" s="260" cm="1">
        <f t="array" ref="AB61">IFERROR(IF(IF(($V61)&gt;=$N$42+1,0,INDEX($L$923:$L$1652,(_xlfn.XMATCH($V61,$V$923:$V$1652)+($N$43*$N$44)+$O$38-1)))=0,"",IF(($V61)&gt;=$N$42+1,0,INDEX($L$923:$L$1652,(_xlfn.XMATCH($V61,$V$923:$V$1652)+($N$43*$N$44)+$O$38-1)))),"")</f>
        <v>4317.8087384943256</v>
      </c>
      <c r="AC61" s="261">
        <f t="shared" si="11"/>
        <v>3094.0996377049914</v>
      </c>
      <c r="AD61" s="325"/>
      <c r="AE61" s="208"/>
      <c r="AF61" s="208"/>
      <c r="AG61" s="208"/>
      <c r="AH61" s="208"/>
      <c r="AI61" s="208"/>
      <c r="AJ61" s="208"/>
      <c r="AK61" s="208"/>
    </row>
    <row r="62" spans="3:37" x14ac:dyDescent="0.25">
      <c r="C62" s="190"/>
      <c r="E62" s="5">
        <f t="shared" si="0"/>
        <v>0</v>
      </c>
      <c r="F62" s="5">
        <f t="shared" si="1"/>
        <v>11371.908376199319</v>
      </c>
      <c r="H62" s="5"/>
      <c r="I62" s="5"/>
      <c r="J62" s="146"/>
      <c r="K62" s="146"/>
      <c r="L62" s="137" t="str">
        <f t="shared" si="7"/>
        <v/>
      </c>
      <c r="M62" s="138" t="str">
        <f>IF($L62="","",$N$44*ROWS($N$52:$N62))</f>
        <v/>
      </c>
      <c r="N62" s="318">
        <f>IF('Profitability Projections'!G65&lt;&gt;"",'Profitability Projections'!G65,"")</f>
        <v>0</v>
      </c>
      <c r="O62" s="249" t="str">
        <f>IFERROR(IF(ISNUMBER($L62),($M$25*-1)+(((SUM($N$52:$N62)-(SUM($N$52:$N62)*$O$74)-($N$37+$N$38))*($N$42+1))-(($M$30+$M$31)*$N$42)),""),"")</f>
        <v/>
      </c>
      <c r="P62" s="246" t="str">
        <f>IF(ISNUMBER($L62),$O62/(SUM($N$52:$N62)*($N$42+1)),"")</f>
        <v/>
      </c>
      <c r="V62" s="137">
        <v>6</v>
      </c>
      <c r="W62" s="274">
        <f t="shared" si="8"/>
        <v>11239.944801936523</v>
      </c>
      <c r="X62" s="195">
        <f t="shared" si="9"/>
        <v>0.36005508565889</v>
      </c>
      <c r="Y62" s="156">
        <f t="shared" si="10"/>
        <v>37436.380758388332</v>
      </c>
      <c r="Z62" s="186" cm="1">
        <f t="array" ref="Z62">IFERROR(IF(IF(($V62)&gt;=($N$42+1),0,INDEX($T$923:$T$1652,(_xlfn.XMATCH($V62,$V$923:$V$1652)++($N$43*$N$44)+$O$38-1)))=0,"",IF(($V62)&gt;=($N$42+1),0,INDEX($T$923:$T$1652,(_xlfn.XMATCH($V62,$V$923:$V$1652)+($N$43*$N$44)+$O$38-1)))),"")</f>
        <v>38500</v>
      </c>
      <c r="AA62" s="198" cm="1">
        <f t="array" ref="AA62">IFERROR(IF(IF(($V62)&gt;=($N$42+1),0,INDEX($L$923:$L$1652,(_xlfn.XMATCH($V62,$V$923:$V$1652)+($N$43*$N$44)+$O$38-1))-$Z62)=0,"",IF(($V62)&gt;=($N$42+1),0,INDEX($L$923:$L$1652,(_xlfn.XMATCH($V62,$V$923:$V$1652)+($N$43*$N$44)+$O$38-1))-$Z62)),"")</f>
        <v>-31830.82471560681</v>
      </c>
      <c r="AB62" s="260" cm="1">
        <f t="array" ref="AB62">IFERROR(IF(IF(($V62)&gt;=$N$42+1,0,INDEX($L$923:$L$1652,(_xlfn.XMATCH($V62,$V$923:$V$1652)+($N$43*$N$44)+$O$38-1)))=0,"",IF(($V62)&gt;=$N$42+1,0,INDEX($L$923:$L$1652,(_xlfn.XMATCH($V62,$V$923:$V$1652)+($N$43*$N$44)+$O$38-1)))),"")</f>
        <v>6669.1752843931899</v>
      </c>
      <c r="AC62" s="261">
        <f t="shared" si="11"/>
        <v>742.73309180612705</v>
      </c>
      <c r="AD62" s="325"/>
      <c r="AE62" s="208"/>
      <c r="AF62" s="208"/>
      <c r="AG62" s="208"/>
      <c r="AH62" s="208"/>
      <c r="AI62" s="208"/>
      <c r="AJ62" s="208"/>
      <c r="AK62" s="208"/>
    </row>
    <row r="63" spans="3:37" ht="15.75" thickBot="1" x14ac:dyDescent="0.3">
      <c r="C63" s="190"/>
      <c r="E63" s="5">
        <f t="shared" si="0"/>
        <v>0</v>
      </c>
      <c r="F63" s="5">
        <f t="shared" si="1"/>
        <v>11371.908376199319</v>
      </c>
      <c r="H63" s="5"/>
      <c r="I63" s="5"/>
      <c r="J63" s="146"/>
      <c r="K63" s="146"/>
      <c r="L63" s="513" t="str">
        <f t="shared" si="7"/>
        <v/>
      </c>
      <c r="M63" s="514" t="str">
        <f>IF($L63="","",$N$44*ROWS($N$52:$N63))</f>
        <v/>
      </c>
      <c r="N63" s="515">
        <f>IF('Profitability Projections'!G66&lt;&gt;"",'Profitability Projections'!G66,"")</f>
        <v>0</v>
      </c>
      <c r="O63" s="516" t="str">
        <f>IFERROR(IF(ISNUMBER($L63),($M$25*-1)+(((SUM($N$52:$N63)-(SUM($N$52:$N63)*$O$74)-($N$37+$N$38))*($N$42+1))-(($M$30+$M$31)*$N$42)),""),"")</f>
        <v/>
      </c>
      <c r="P63" s="517" t="str">
        <f>IF(ISNUMBER($L63),$O63/(SUM($N$52:$N63)*($N$42+1)),"")</f>
        <v/>
      </c>
      <c r="V63" s="137">
        <v>7</v>
      </c>
      <c r="W63" s="274">
        <f t="shared" si="8"/>
        <v>11239.944801936523</v>
      </c>
      <c r="X63" s="195">
        <f t="shared" si="9"/>
        <v>0.36677239097310466</v>
      </c>
      <c r="Y63" s="156">
        <f t="shared" si="10"/>
        <v>41139.503184824724</v>
      </c>
      <c r="Z63" s="186" cm="1">
        <f t="array" ref="Z63">IFERROR(IF(IF(($V63)&gt;=($N$42+1),0,INDEX($T$923:$T$1652,(_xlfn.XMATCH($V63,$V$923:$V$1652)++($N$43*$N$44)+$O$38-1)))=0,"",IF(($V63)&gt;=($N$42+1),0,INDEX($T$923:$T$1652,(_xlfn.XMATCH($V63,$V$923:$V$1652)+($N$43*$N$44)+$O$38-1)))),"")</f>
        <v>44000</v>
      </c>
      <c r="AA63" s="198" cm="1">
        <f t="array" ref="AA63">IFERROR(IF(IF(($V63)&gt;=($N$42+1),0,INDEX($L$923:$L$1652,(_xlfn.XMATCH($V63,$V$923:$V$1652)+($N$43*$N$44)+$O$38-1))-$Z63)=0,"",IF(($V63)&gt;=($N$42+1),0,INDEX($L$923:$L$1652,(_xlfn.XMATCH($V63,$V$923:$V$1652)+($N$43*$N$44)+$O$38-1))-$Z63)),"")</f>
        <v>-34979.458169707941</v>
      </c>
      <c r="AB63" s="260" cm="1">
        <f t="array" ref="AB63">IFERROR(IF(IF(($V63)&gt;=$N$42+1,0,INDEX($L$923:$L$1652,(_xlfn.XMATCH($V63,$V$923:$V$1652)+($N$43*$N$44)+$O$38-1)))=0,"",IF(($V63)&gt;=$N$42+1,0,INDEX($L$923:$L$1652,(_xlfn.XMATCH($V63,$V$923:$V$1652)+($N$43*$N$44)+$O$38-1)))),"")</f>
        <v>9020.5418302920552</v>
      </c>
      <c r="AC63" s="261">
        <f t="shared" si="11"/>
        <v>-1608.6334540927382</v>
      </c>
      <c r="AD63" s="325"/>
      <c r="AE63" s="208"/>
      <c r="AF63" s="208"/>
      <c r="AG63" s="208"/>
      <c r="AH63" s="208"/>
      <c r="AI63" s="208"/>
      <c r="AJ63" s="208"/>
      <c r="AK63" s="208"/>
    </row>
    <row r="64" spans="3:37" ht="15.75" thickTop="1" x14ac:dyDescent="0.25">
      <c r="C64" s="190"/>
      <c r="E64" s="5">
        <f t="shared" si="0"/>
        <v>0</v>
      </c>
      <c r="F64" s="5">
        <f t="shared" si="1"/>
        <v>11371.908376199319</v>
      </c>
      <c r="H64" s="5"/>
      <c r="I64" s="5"/>
      <c r="J64" s="146"/>
      <c r="N64" s="512">
        <f>(IF($L$52&lt;=$N$43,$N$52,0)+IF($L$53&lt;=$N$43,$N$53,0)+IF($L$54&lt;=$N$43,$N$54,0)+IF($L$55&lt;=$N$43,$N$55,0)+IF($L$56&lt;=$N$43,$N$56,0)+IF($L$57&lt;=$N$43,$N$57,0)+IF($L$58&lt;=$N$43,$N$58,0)+IF($L$59&lt;=$N$43,$N$59,0)+IF($L$60&lt;=$N$43,$N$60,0)+IF($L$61&lt;=$N$43,$N$61,0)+IF($L$62&lt;=$N$43,$N$62,0)+IF($L$63&lt;=$N$43,$N$63,0))</f>
        <v>5500</v>
      </c>
      <c r="V64" s="137">
        <v>8</v>
      </c>
      <c r="W64" s="274">
        <f t="shared" si="8"/>
        <v>11239.944801936523</v>
      </c>
      <c r="X64" s="195">
        <f t="shared" si="9"/>
        <v>0.37227319273768134</v>
      </c>
      <c r="Y64" s="156">
        <f t="shared" si="10"/>
        <v>44842.62561126113</v>
      </c>
      <c r="Z64" s="186" cm="1">
        <f t="array" ref="Z64">IFERROR(IF(IF(($V64)&gt;=($N$42+1),0,INDEX($T$923:$T$1652,(_xlfn.XMATCH($V64,$V$923:$V$1652)++($N$43*$N$44)+$O$38-1)))=0,"",IF(($V64)&gt;=($N$42+1),0,INDEX($T$923:$T$1652,(_xlfn.XMATCH($V64,$V$923:$V$1652)+($N$43*$N$44)+$O$38-1)))),"")</f>
        <v>49500</v>
      </c>
      <c r="AA64" s="198" cm="1">
        <f t="array" ref="AA64">IFERROR(IF(IF(($V64)&gt;=($N$42+1),0,INDEX($L$923:$L$1652,(_xlfn.XMATCH($V64,$V$923:$V$1652)+($N$43*$N$44)+$O$38-1))-$Z64)=0,"",IF(($V64)&gt;=($N$42+1),0,INDEX($L$923:$L$1652,(_xlfn.XMATCH($V64,$V$923:$V$1652)+($N$43*$N$44)+$O$38-1))-$Z64)),"")</f>
        <v>-38128.091623809079</v>
      </c>
      <c r="AB64" s="260" cm="1">
        <f t="array" ref="AB64">IFERROR(IF(IF(($V64)&gt;=$N$42+1,0,INDEX($L$923:$L$1652,(_xlfn.XMATCH($V64,$V$923:$V$1652)+($N$43*$N$44)+$O$38-1)))=0,"",IF(($V64)&gt;=$N$42+1,0,INDEX($L$923:$L$1652,(_xlfn.XMATCH($V64,$V$923:$V$1652)+($N$43*$N$44)+$O$38-1)))),"")</f>
        <v>11371.908376190921</v>
      </c>
      <c r="AC64" s="261">
        <f t="shared" si="11"/>
        <v>-3959.9999999916035</v>
      </c>
      <c r="AD64" s="325"/>
      <c r="AE64" s="208"/>
      <c r="AF64" s="208"/>
      <c r="AG64" s="208"/>
      <c r="AH64" s="208"/>
      <c r="AI64" s="208"/>
      <c r="AJ64" s="208"/>
      <c r="AK64" s="208"/>
    </row>
    <row r="65" spans="3:41" x14ac:dyDescent="0.25">
      <c r="C65" s="190"/>
      <c r="E65" s="5">
        <f t="shared" si="0"/>
        <v>0</v>
      </c>
      <c r="F65" s="5">
        <f t="shared" si="1"/>
        <v>11371.908376199319</v>
      </c>
      <c r="H65" s="5"/>
      <c r="I65" s="5"/>
      <c r="J65" s="146"/>
      <c r="V65" s="137">
        <v>9</v>
      </c>
      <c r="W65" s="274">
        <f t="shared" si="8"/>
        <v>11239.944801936523</v>
      </c>
      <c r="X65" s="195" t="str">
        <f t="shared" si="9"/>
        <v/>
      </c>
      <c r="Y65" s="156" t="str">
        <f t="shared" si="10"/>
        <v/>
      </c>
      <c r="Z65" s="186" t="str" cm="1">
        <f t="array" ref="Z65">IFERROR(IF(IF(($V65)&gt;=($N$42+1),0,INDEX($T$923:$T$1652,(_xlfn.XMATCH($V65,$V$923:$V$1652)++($N$43*$N$44)+$O$38-1)))=0,"",IF(($V65)&gt;=($N$42+1),0,INDEX($T$923:$T$1652,(_xlfn.XMATCH($V65,$V$923:$V$1652)+($N$43*$N$44)+$O$38-1)))),"")</f>
        <v/>
      </c>
      <c r="AA65" s="198" t="str" cm="1">
        <f t="array" ref="AA65">IFERROR(IF(IF(($V65)&gt;=($N$42+1),0,INDEX($L$923:$L$1652,(_xlfn.XMATCH($V65,$V$923:$V$1652)+($N$43*$N$44)+$O$38-1))-$Z65)=0,"",IF(($V65)&gt;=($N$42+1),0,INDEX($L$923:$L$1652,(_xlfn.XMATCH($V65,$V$923:$V$1652)+($N$43*$N$44)+$O$38-1))-$Z65)),"")</f>
        <v/>
      </c>
      <c r="AB65" s="260" t="str" cm="1">
        <f t="array" ref="AB65">IFERROR(IF(IF(($V65)&gt;=$N$42+1,0,INDEX($L$923:$L$1652,(_xlfn.XMATCH($V65,$V$923:$V$1652)+($N$43*$N$44)+$O$38-1)))=0,"",IF(($V65)&gt;=$N$42+1,0,INDEX($L$923:$L$1652,(_xlfn.XMATCH($V65,$V$923:$V$1652)+($N$43*$N$44)+$O$38-1)))),"")</f>
        <v/>
      </c>
      <c r="AC65" s="261" t="str">
        <f t="shared" si="11"/>
        <v/>
      </c>
      <c r="AD65" s="325"/>
      <c r="AE65" s="208"/>
      <c r="AF65" s="208"/>
      <c r="AG65" s="208"/>
      <c r="AH65" s="208"/>
      <c r="AI65" s="208"/>
      <c r="AJ65" s="208"/>
      <c r="AK65" s="208"/>
    </row>
    <row r="66" spans="3:41" x14ac:dyDescent="0.25">
      <c r="C66" s="190"/>
      <c r="E66" s="5">
        <f t="shared" si="0"/>
        <v>0</v>
      </c>
      <c r="F66" s="5">
        <f t="shared" si="1"/>
        <v>11371.908376199319</v>
      </c>
      <c r="H66" s="5"/>
      <c r="I66" s="5"/>
      <c r="J66" s="146"/>
      <c r="K66" s="699" t="s">
        <v>105</v>
      </c>
      <c r="L66" s="699"/>
      <c r="M66" s="699"/>
      <c r="N66" s="699"/>
      <c r="O66" s="699"/>
      <c r="V66" s="137">
        <v>10</v>
      </c>
      <c r="W66" s="274">
        <f t="shared" si="8"/>
        <v>11239.944801936523</v>
      </c>
      <c r="X66" s="195" t="str">
        <f t="shared" si="9"/>
        <v/>
      </c>
      <c r="Y66" s="156" t="str">
        <f t="shared" si="10"/>
        <v/>
      </c>
      <c r="Z66" s="186" t="str" cm="1">
        <f t="array" ref="Z66">IFERROR(IF(IF(($V66)&gt;=($N$42+1),0,INDEX($T$923:$T$1652,(_xlfn.XMATCH($V66,$V$923:$V$1652)++($N$43*$N$44)+$O$38-1)))=0,"",IF(($V66)&gt;=($N$42+1),0,INDEX($T$923:$T$1652,(_xlfn.XMATCH($V66,$V$923:$V$1652)+($N$43*$N$44)+$O$38-1)))),"")</f>
        <v/>
      </c>
      <c r="AA66" s="198" t="str" cm="1">
        <f t="array" ref="AA66">IFERROR(IF(IF(($V66)&gt;=($N$42+1),0,INDEX($L$923:$L$1652,(_xlfn.XMATCH($V66,$V$923:$V$1652)+($N$43*$N$44)+$O$38-1))-$Z66)=0,"",IF(($V66)&gt;=($N$42+1),0,INDEX($L$923:$L$1652,(_xlfn.XMATCH($V66,$V$923:$V$1652)+($N$43*$N$44)+$O$38-1))-$Z66)),"")</f>
        <v/>
      </c>
      <c r="AB66" s="260" t="str" cm="1">
        <f t="array" ref="AB66">IFERROR(IF(IF(($V66)&gt;=$N$42+1,0,INDEX($L$923:$L$1652,(_xlfn.XMATCH($V66,$V$923:$V$1652)+($N$43*$N$44)+$O$38-1)))=0,"",IF(($V66)&gt;=$N$42+1,0,INDEX($L$923:$L$1652,(_xlfn.XMATCH($V66,$V$923:$V$1652)+($N$43*$N$44)+$O$38-1)))),"")</f>
        <v/>
      </c>
      <c r="AC66" s="261" t="str">
        <f t="shared" si="11"/>
        <v/>
      </c>
      <c r="AD66" s="325"/>
      <c r="AE66" s="208"/>
      <c r="AF66" s="208"/>
      <c r="AG66" s="208"/>
      <c r="AH66" s="208"/>
      <c r="AI66" s="208"/>
      <c r="AJ66" s="208"/>
      <c r="AK66" s="208"/>
      <c r="AL66" s="319"/>
      <c r="AM66" s="319"/>
      <c r="AN66" s="40"/>
      <c r="AO66" s="1"/>
    </row>
    <row r="67" spans="3:41" x14ac:dyDescent="0.25">
      <c r="C67" s="190"/>
      <c r="E67" s="5">
        <f t="shared" si="0"/>
        <v>0</v>
      </c>
      <c r="F67" s="5">
        <f t="shared" si="1"/>
        <v>11371.908376199319</v>
      </c>
      <c r="H67" s="5"/>
      <c r="I67" s="5"/>
      <c r="J67" s="146"/>
      <c r="L67" s="790" t="s">
        <v>106</v>
      </c>
      <c r="M67" s="791"/>
      <c r="N67" s="791"/>
      <c r="O67" s="356" t="s">
        <v>107</v>
      </c>
      <c r="V67" s="137">
        <v>11</v>
      </c>
      <c r="W67" s="274">
        <f t="shared" si="8"/>
        <v>11239.944801936523</v>
      </c>
      <c r="X67" s="195" t="str">
        <f t="shared" si="9"/>
        <v/>
      </c>
      <c r="Y67" s="156" t="str">
        <f t="shared" si="10"/>
        <v/>
      </c>
      <c r="Z67" s="186" t="str" cm="1">
        <f t="array" ref="Z67">IFERROR(IF(IF(($V67)&gt;=($N$42+1),0,INDEX($T$923:$T$1652,(_xlfn.XMATCH($V67,$V$923:$V$1652)++($N$43*$N$44)+$O$38-1)))=0,"",IF(($V67)&gt;=($N$42+1),0,INDEX($T$923:$T$1652,(_xlfn.XMATCH($V67,$V$923:$V$1652)+($N$43*$N$44)+$O$38-1)))),"")</f>
        <v/>
      </c>
      <c r="AA67" s="198" t="str" cm="1">
        <f t="array" ref="AA67">IFERROR(IF(IF(($V67)&gt;=($N$42+1),0,INDEX($L$923:$L$1652,(_xlfn.XMATCH($V67,$V$923:$V$1652)+($N$43*$N$44)+$O$38-1))-$Z67)=0,"",IF(($V67)&gt;=($N$42+1),0,INDEX($L$923:$L$1652,(_xlfn.XMATCH($V67,$V$923:$V$1652)+($N$43*$N$44)+$O$38-1))-$Z67)),"")</f>
        <v/>
      </c>
      <c r="AB67" s="260" t="str" cm="1">
        <f t="array" ref="AB67">IFERROR(IF(IF(($V67)&gt;=$N$42+1,0,INDEX($L$923:$L$1652,(_xlfn.XMATCH($V67,$V$923:$V$1652)+($N$43*$N$44)+$O$38-1)))=0,"",IF(($V67)&gt;=$N$42+1,0,INDEX($L$923:$L$1652,(_xlfn.XMATCH($V67,$V$923:$V$1652)+($N$43*$N$44)+$O$38-1)))),"")</f>
        <v/>
      </c>
      <c r="AC67" s="261" t="str">
        <f t="shared" si="11"/>
        <v/>
      </c>
      <c r="AD67" s="325"/>
      <c r="AE67" s="208"/>
      <c r="AF67" s="208"/>
      <c r="AG67" s="208"/>
      <c r="AH67" s="208"/>
      <c r="AI67" s="208"/>
      <c r="AJ67" s="208"/>
      <c r="AK67" s="208"/>
      <c r="AL67" s="319"/>
      <c r="AM67" s="319"/>
      <c r="AN67" s="40"/>
      <c r="AO67" s="1"/>
    </row>
    <row r="68" spans="3:41" x14ac:dyDescent="0.25">
      <c r="C68" s="190"/>
      <c r="E68" s="5">
        <f t="shared" si="0"/>
        <v>0</v>
      </c>
      <c r="F68" s="5">
        <f t="shared" si="1"/>
        <v>11371.908376199319</v>
      </c>
      <c r="H68" s="5"/>
      <c r="I68" s="5"/>
      <c r="J68" s="146"/>
      <c r="L68" s="792" t="s">
        <v>108</v>
      </c>
      <c r="M68" s="793"/>
      <c r="N68" s="793"/>
      <c r="O68" s="357">
        <v>0</v>
      </c>
      <c r="V68" s="142">
        <v>12</v>
      </c>
      <c r="W68" s="275">
        <f t="shared" si="8"/>
        <v>11239.944801936523</v>
      </c>
      <c r="X68" s="196" t="str">
        <f t="shared" si="9"/>
        <v/>
      </c>
      <c r="Y68" s="157" t="str">
        <f t="shared" si="10"/>
        <v/>
      </c>
      <c r="Z68" s="187" t="str" cm="1">
        <f t="array" ref="Z68">IFERROR(IF(IF(($V68)&gt;=($N$42+1),0,INDEX($T$923:$T$1652,(_xlfn.XMATCH($V68,$V$923:$V$1652)++($N$43*$N$44)+$O$38-1)))=0,"",IF(($V68)&gt;=($N$42+1),0,INDEX($T$923:$T$1652,(_xlfn.XMATCH($V68,$V$923:$V$1652)+($N$43*$N$44)+$O$38-1)))),"")</f>
        <v/>
      </c>
      <c r="AA68" s="199" t="str" cm="1">
        <f t="array" ref="AA68">IFERROR(IF(IF(($V68)&gt;=($N$42+1),0,INDEX($L$923:$L$1652,(_xlfn.XMATCH($V68,$V$923:$V$1652)+($N$43*$N$44)+$O$38-1))-$Z68)=0,"",IF(($V68)&gt;=($N$42+1),0,INDEX($L$923:$L$1652,(_xlfn.XMATCH($V68,$V$923:$V$1652)+($N$43*$N$44)+$O$38-1))-$Z68)),"")</f>
        <v/>
      </c>
      <c r="AB68" s="262" t="str" cm="1">
        <f t="array" ref="AB68">IFERROR(IF(IF(($V68)&gt;=$N$42+1,0,INDEX($L$923:$L$1652,(_xlfn.XMATCH($V68,$V$923:$V$1652)+($N$43*$N$44)+$O$38-1)))=0,"",IF(($V68)&gt;=$N$42+1,0,INDEX($L$923:$L$1652,(_xlfn.XMATCH($V68,$V$923:$V$1652)+($N$43*$N$44)+$O$38-1)))),"")</f>
        <v/>
      </c>
      <c r="AC68" s="263" t="str">
        <f t="shared" si="11"/>
        <v/>
      </c>
      <c r="AD68" s="325"/>
      <c r="AE68" s="208"/>
      <c r="AF68" s="208"/>
      <c r="AG68" s="208"/>
      <c r="AH68" s="208"/>
      <c r="AI68" s="208"/>
      <c r="AJ68" s="208"/>
      <c r="AK68" s="208"/>
      <c r="AL68" s="56"/>
      <c r="AM68" s="319"/>
      <c r="AN68" s="40"/>
      <c r="AO68" s="1"/>
    </row>
    <row r="69" spans="3:41" x14ac:dyDescent="0.25">
      <c r="E69" s="5">
        <f t="shared" si="0"/>
        <v>0</v>
      </c>
      <c r="F69" s="5">
        <f t="shared" si="1"/>
        <v>11371.908376199319</v>
      </c>
      <c r="H69" s="5"/>
      <c r="I69" s="5"/>
      <c r="L69" s="779" t="s">
        <v>20</v>
      </c>
      <c r="M69" s="780"/>
      <c r="N69" s="780"/>
      <c r="O69" s="358">
        <v>1.4999999999999999E-2</v>
      </c>
      <c r="Q69" s="319"/>
      <c r="R69" s="319"/>
      <c r="S69" s="319"/>
      <c r="T69" s="319"/>
      <c r="U69" s="55"/>
      <c r="AE69" s="208"/>
      <c r="AF69" s="208"/>
      <c r="AG69" s="208"/>
      <c r="AH69" s="208"/>
      <c r="AI69" s="208"/>
      <c r="AJ69" s="208"/>
      <c r="AK69" s="208"/>
      <c r="AL69" s="319"/>
      <c r="AM69" s="319"/>
      <c r="AN69" s="40"/>
      <c r="AO69" s="1"/>
    </row>
    <row r="70" spans="3:41" x14ac:dyDescent="0.25">
      <c r="E70" s="5">
        <f t="shared" si="0"/>
        <v>0</v>
      </c>
      <c r="F70" s="5">
        <f t="shared" si="1"/>
        <v>11371.908376199319</v>
      </c>
      <c r="H70" s="5"/>
      <c r="I70" s="5"/>
      <c r="L70" s="779" t="s">
        <v>109</v>
      </c>
      <c r="M70" s="780"/>
      <c r="N70" s="780"/>
      <c r="O70" s="358">
        <v>0.02</v>
      </c>
      <c r="U70" s="319"/>
      <c r="AE70" s="208"/>
      <c r="AF70" s="208"/>
      <c r="AG70" s="208"/>
      <c r="AH70" s="208"/>
      <c r="AI70" s="208"/>
      <c r="AJ70" s="208"/>
      <c r="AK70" s="208"/>
      <c r="AL70" s="319"/>
      <c r="AM70" s="319"/>
      <c r="AN70" s="40"/>
      <c r="AO70" s="1"/>
    </row>
    <row r="71" spans="3:41" x14ac:dyDescent="0.25">
      <c r="E71" s="5">
        <f t="shared" si="0"/>
        <v>0</v>
      </c>
      <c r="F71" s="5">
        <f t="shared" si="1"/>
        <v>11371.908376199319</v>
      </c>
      <c r="H71" s="5"/>
      <c r="I71" s="5"/>
      <c r="L71" s="779" t="s">
        <v>110</v>
      </c>
      <c r="M71" s="780"/>
      <c r="N71" s="780"/>
      <c r="O71" s="358">
        <v>5.0000000000000001E-3</v>
      </c>
      <c r="Q71" s="781"/>
      <c r="R71" s="781"/>
      <c r="U71" s="319"/>
      <c r="AE71" s="208"/>
      <c r="AF71" s="208"/>
      <c r="AG71" s="208"/>
      <c r="AH71" s="208"/>
      <c r="AI71" s="208"/>
      <c r="AJ71" s="208"/>
      <c r="AK71" s="208"/>
      <c r="AL71" s="319"/>
      <c r="AM71" s="319"/>
      <c r="AN71" s="40"/>
      <c r="AO71" s="1"/>
    </row>
    <row r="72" spans="3:41" x14ac:dyDescent="0.25">
      <c r="E72" s="5">
        <f t="shared" si="0"/>
        <v>0</v>
      </c>
      <c r="F72" s="5">
        <f t="shared" si="1"/>
        <v>11371.908376199319</v>
      </c>
      <c r="H72" s="5"/>
      <c r="I72" s="5"/>
      <c r="L72" s="779" t="s">
        <v>111</v>
      </c>
      <c r="M72" s="780"/>
      <c r="N72" s="780"/>
      <c r="O72" s="358">
        <v>0.08</v>
      </c>
      <c r="U72" s="319"/>
      <c r="AE72" s="208"/>
      <c r="AF72" s="208"/>
      <c r="AG72" s="208"/>
      <c r="AH72" s="208"/>
      <c r="AI72" s="208"/>
      <c r="AJ72" s="208"/>
      <c r="AK72" s="208"/>
      <c r="AL72" s="319"/>
      <c r="AM72" s="319"/>
      <c r="AN72" s="40"/>
      <c r="AO72" s="1"/>
    </row>
    <row r="73" spans="3:41" x14ac:dyDescent="0.25">
      <c r="E73" s="5">
        <f t="shared" ref="E73:E114" si="12">SUMIFS(M986:M1715,S986:S1715,"="&amp;D73)</f>
        <v>0</v>
      </c>
      <c r="F73" s="5">
        <f t="shared" si="1"/>
        <v>11371.908376199319</v>
      </c>
      <c r="H73" s="5"/>
      <c r="I73" s="5"/>
      <c r="L73" s="782" t="s">
        <v>112</v>
      </c>
      <c r="M73" s="783"/>
      <c r="N73" s="783"/>
      <c r="O73" s="359">
        <v>0.08</v>
      </c>
      <c r="U73" s="319"/>
      <c r="AE73" s="208"/>
      <c r="AF73" s="208"/>
      <c r="AG73" s="208"/>
      <c r="AH73" s="208"/>
      <c r="AI73" s="208"/>
      <c r="AJ73" s="208"/>
      <c r="AK73" s="208"/>
      <c r="AL73" s="319"/>
      <c r="AM73" s="319"/>
      <c r="AN73" s="40"/>
      <c r="AO73" s="1"/>
    </row>
    <row r="74" spans="3:41" x14ac:dyDescent="0.25">
      <c r="E74" s="5">
        <f t="shared" si="12"/>
        <v>0</v>
      </c>
      <c r="F74" s="5">
        <f t="shared" si="1"/>
        <v>11371.908376199319</v>
      </c>
      <c r="H74" s="5"/>
      <c r="I74" s="5"/>
      <c r="O74" s="299">
        <f>SUM(O68:O73)</f>
        <v>0.2</v>
      </c>
      <c r="U74" s="319"/>
      <c r="AE74" s="208"/>
      <c r="AF74" s="208"/>
      <c r="AG74" s="208"/>
      <c r="AH74" s="208"/>
      <c r="AI74" s="208"/>
      <c r="AJ74" s="208"/>
      <c r="AK74" s="208"/>
      <c r="AL74" s="319"/>
      <c r="AM74" s="319"/>
      <c r="AN74" s="40"/>
      <c r="AO74" s="1"/>
    </row>
    <row r="75" spans="3:41" x14ac:dyDescent="0.25">
      <c r="E75" s="5">
        <f t="shared" si="12"/>
        <v>0</v>
      </c>
      <c r="F75" s="5">
        <f t="shared" ref="F75:F114" si="13">E75+F74</f>
        <v>11371.908376199319</v>
      </c>
      <c r="H75" s="5"/>
      <c r="I75" s="5"/>
      <c r="U75" s="319"/>
      <c r="AE75" s="208"/>
      <c r="AF75" s="208"/>
      <c r="AG75" s="208"/>
      <c r="AH75" s="208"/>
      <c r="AI75" s="208"/>
      <c r="AJ75" s="208"/>
      <c r="AK75" s="208"/>
      <c r="AL75" s="319"/>
      <c r="AM75" s="319"/>
      <c r="AN75" s="40"/>
      <c r="AO75" s="1"/>
    </row>
    <row r="76" spans="3:41" x14ac:dyDescent="0.25">
      <c r="E76" s="5">
        <f t="shared" si="12"/>
        <v>0</v>
      </c>
      <c r="F76" s="5">
        <f t="shared" si="13"/>
        <v>11371.908376199319</v>
      </c>
      <c r="H76" s="5"/>
      <c r="I76" s="5"/>
      <c r="U76" s="319"/>
      <c r="AE76" s="208"/>
      <c r="AF76" s="208"/>
      <c r="AG76" s="208"/>
      <c r="AH76" s="208"/>
      <c r="AI76" s="208"/>
      <c r="AJ76" s="208"/>
      <c r="AK76" s="208"/>
      <c r="AL76" s="319"/>
      <c r="AM76" s="319"/>
      <c r="AN76" s="40"/>
      <c r="AO76" s="1"/>
    </row>
    <row r="77" spans="3:41" x14ac:dyDescent="0.25">
      <c r="E77" s="5">
        <f t="shared" si="12"/>
        <v>0</v>
      </c>
      <c r="F77" s="5">
        <f t="shared" si="13"/>
        <v>11371.908376199319</v>
      </c>
      <c r="H77" s="5"/>
      <c r="I77" s="5"/>
      <c r="AL77" s="319"/>
      <c r="AM77" s="319"/>
      <c r="AN77" s="40"/>
      <c r="AO77" s="1"/>
    </row>
    <row r="78" spans="3:41" x14ac:dyDescent="0.25">
      <c r="E78" s="5">
        <f t="shared" si="12"/>
        <v>0</v>
      </c>
      <c r="F78" s="5">
        <f t="shared" si="13"/>
        <v>11371.908376199319</v>
      </c>
      <c r="H78" s="5"/>
      <c r="I78" s="5"/>
      <c r="AL78" s="319"/>
      <c r="AM78" s="319"/>
      <c r="AN78" s="40"/>
      <c r="AO78" s="1"/>
    </row>
    <row r="79" spans="3:41" ht="15" customHeight="1" x14ac:dyDescent="0.25">
      <c r="E79" s="5">
        <f t="shared" si="12"/>
        <v>0</v>
      </c>
      <c r="F79" s="5">
        <f t="shared" si="13"/>
        <v>11371.908376199319</v>
      </c>
      <c r="H79" s="5"/>
      <c r="I79" s="5"/>
      <c r="AM79" s="319"/>
      <c r="AN79" s="40"/>
      <c r="AO79" s="1"/>
    </row>
    <row r="80" spans="3:41" ht="15" customHeight="1" x14ac:dyDescent="0.25">
      <c r="E80" s="5">
        <f t="shared" si="12"/>
        <v>0</v>
      </c>
      <c r="F80" s="5">
        <f t="shared" si="13"/>
        <v>11371.908376199319</v>
      </c>
      <c r="H80" s="5"/>
      <c r="I80" s="5"/>
      <c r="AM80" s="319"/>
      <c r="AN80" s="40"/>
      <c r="AO80" s="1"/>
    </row>
    <row r="81" spans="5:41" x14ac:dyDescent="0.25">
      <c r="E81" s="5">
        <f t="shared" si="12"/>
        <v>0</v>
      </c>
      <c r="F81" s="5">
        <f t="shared" si="13"/>
        <v>11371.908376199319</v>
      </c>
      <c r="H81" s="5"/>
      <c r="I81" s="5"/>
      <c r="AM81" s="319"/>
      <c r="AN81" s="40"/>
      <c r="AO81" s="1"/>
    </row>
    <row r="82" spans="5:41" x14ac:dyDescent="0.25">
      <c r="E82" s="5">
        <f t="shared" si="12"/>
        <v>0</v>
      </c>
      <c r="F82" s="5">
        <f t="shared" si="13"/>
        <v>11371.908376199319</v>
      </c>
      <c r="H82" s="5"/>
      <c r="I82" s="5"/>
      <c r="AL82" s="319"/>
      <c r="AM82" s="319"/>
      <c r="AN82" s="40"/>
      <c r="AO82" s="1"/>
    </row>
    <row r="83" spans="5:41" x14ac:dyDescent="0.25">
      <c r="E83" s="5">
        <f t="shared" si="12"/>
        <v>0</v>
      </c>
      <c r="F83" s="5">
        <f t="shared" si="13"/>
        <v>11371.908376199319</v>
      </c>
      <c r="H83" s="5"/>
      <c r="I83" s="5"/>
      <c r="AM83" s="319"/>
      <c r="AN83" s="40"/>
      <c r="AO83" s="1"/>
    </row>
    <row r="84" spans="5:41" x14ac:dyDescent="0.25">
      <c r="E84" s="5">
        <f t="shared" si="12"/>
        <v>0</v>
      </c>
      <c r="F84" s="5">
        <f t="shared" si="13"/>
        <v>11371.908376199319</v>
      </c>
      <c r="H84" s="5"/>
      <c r="I84" s="5"/>
      <c r="V84" s="784" t="s">
        <v>113</v>
      </c>
      <c r="W84" s="801" t="str">
        <f>AH17</f>
        <v>Σ Revenue</v>
      </c>
      <c r="X84" s="794" t="s">
        <v>114</v>
      </c>
      <c r="Y84" s="334"/>
      <c r="Z84" s="334"/>
      <c r="AA84" s="334"/>
      <c r="AB84" s="794" t="s">
        <v>115</v>
      </c>
      <c r="AC84" s="794" t="str">
        <f>AH25</f>
        <v>Σ Freight Cost</v>
      </c>
      <c r="AD84" s="334"/>
      <c r="AE84" s="794" t="str">
        <f>CONCATENATE("Σ ",$L$68," $")</f>
        <v>Σ Marketing $</v>
      </c>
      <c r="AF84" s="794" t="str">
        <f>CONCATENATE("Σ ",$L$69," $")</f>
        <v>Σ Leadership $</v>
      </c>
      <c r="AG84" s="794" t="str">
        <f>CONCATENATE("Σ ",$L$70," $")</f>
        <v>Σ Sales Manager $</v>
      </c>
      <c r="AH84" s="794" t="str">
        <f>CONCATENATE("Σ ",$L$71," $")</f>
        <v>Σ Sales engineer $</v>
      </c>
      <c r="AI84" s="794" t="str">
        <f>CONCATENATE("Σ ",$L$72," $")</f>
        <v>Σ Account Rep $</v>
      </c>
      <c r="AJ84" s="796" t="str">
        <f>CONCATENATE("Σ ",$L$73," $")</f>
        <v>Σ Field Rep $</v>
      </c>
      <c r="AK84" s="798" t="s">
        <v>68</v>
      </c>
      <c r="AM84" s="319"/>
      <c r="AN84" s="40"/>
      <c r="AO84" s="1"/>
    </row>
    <row r="85" spans="5:41" x14ac:dyDescent="0.25">
      <c r="E85" s="5">
        <f t="shared" si="12"/>
        <v>0</v>
      </c>
      <c r="F85" s="5">
        <f t="shared" si="13"/>
        <v>11371.908376199319</v>
      </c>
      <c r="H85" s="5"/>
      <c r="I85" s="5"/>
      <c r="V85" s="784"/>
      <c r="W85" s="801"/>
      <c r="X85" s="794"/>
      <c r="Y85" s="334"/>
      <c r="Z85" s="334"/>
      <c r="AA85" s="334"/>
      <c r="AB85" s="794"/>
      <c r="AC85" s="794"/>
      <c r="AD85" s="334"/>
      <c r="AE85" s="794"/>
      <c r="AF85" s="794"/>
      <c r="AG85" s="794"/>
      <c r="AH85" s="794"/>
      <c r="AI85" s="794"/>
      <c r="AJ85" s="796"/>
      <c r="AK85" s="798"/>
      <c r="AM85" s="319"/>
      <c r="AN85" s="40"/>
      <c r="AO85" s="1"/>
    </row>
    <row r="86" spans="5:41" x14ac:dyDescent="0.25">
      <c r="E86" s="5">
        <f t="shared" si="12"/>
        <v>0</v>
      </c>
      <c r="F86" s="5">
        <f t="shared" si="13"/>
        <v>11371.908376199319</v>
      </c>
      <c r="H86" s="5"/>
      <c r="I86" s="5"/>
      <c r="V86" s="784"/>
      <c r="W86" s="801"/>
      <c r="X86" s="794"/>
      <c r="Y86" s="334"/>
      <c r="Z86" s="334"/>
      <c r="AA86" s="334"/>
      <c r="AB86" s="794"/>
      <c r="AC86" s="794"/>
      <c r="AD86" s="334"/>
      <c r="AE86" s="794"/>
      <c r="AF86" s="794"/>
      <c r="AG86" s="794"/>
      <c r="AH86" s="794"/>
      <c r="AI86" s="794"/>
      <c r="AJ86" s="796"/>
      <c r="AK86" s="798"/>
      <c r="AM86" s="319"/>
      <c r="AN86" s="40"/>
      <c r="AO86" s="1"/>
    </row>
    <row r="87" spans="5:41" ht="15" customHeight="1" x14ac:dyDescent="0.25">
      <c r="E87" s="5">
        <f t="shared" si="12"/>
        <v>0</v>
      </c>
      <c r="F87" s="5">
        <f t="shared" si="13"/>
        <v>11371.908376199319</v>
      </c>
      <c r="H87" s="5"/>
      <c r="I87" s="5"/>
      <c r="V87" s="784"/>
      <c r="W87" s="801"/>
      <c r="X87" s="794"/>
      <c r="Y87" s="334"/>
      <c r="Z87" s="334"/>
      <c r="AA87" s="334"/>
      <c r="AB87" s="794"/>
      <c r="AC87" s="794"/>
      <c r="AD87" s="334"/>
      <c r="AE87" s="794"/>
      <c r="AF87" s="794"/>
      <c r="AG87" s="794"/>
      <c r="AH87" s="794"/>
      <c r="AI87" s="794"/>
      <c r="AJ87" s="796"/>
      <c r="AK87" s="798"/>
      <c r="AM87" s="319"/>
      <c r="AN87" s="40"/>
      <c r="AO87" s="1"/>
    </row>
    <row r="88" spans="5:41" ht="15" customHeight="1" thickBot="1" x14ac:dyDescent="0.3">
      <c r="E88" s="5">
        <f t="shared" si="12"/>
        <v>0</v>
      </c>
      <c r="F88" s="5">
        <f t="shared" si="13"/>
        <v>11371.908376199319</v>
      </c>
      <c r="H88" s="5"/>
      <c r="I88" s="5"/>
      <c r="V88" s="785"/>
      <c r="W88" s="802"/>
      <c r="X88" s="795"/>
      <c r="Y88" s="335"/>
      <c r="Z88" s="335"/>
      <c r="AA88" s="335"/>
      <c r="AB88" s="795"/>
      <c r="AC88" s="795"/>
      <c r="AD88" s="335"/>
      <c r="AE88" s="795"/>
      <c r="AF88" s="795"/>
      <c r="AG88" s="795"/>
      <c r="AH88" s="795"/>
      <c r="AI88" s="795"/>
      <c r="AJ88" s="797"/>
      <c r="AK88" s="799"/>
      <c r="AM88" s="319"/>
      <c r="AN88" s="40"/>
      <c r="AO88" s="1"/>
    </row>
    <row r="89" spans="5:41" x14ac:dyDescent="0.25">
      <c r="E89" s="5">
        <f t="shared" si="12"/>
        <v>0</v>
      </c>
      <c r="F89" s="5">
        <f t="shared" si="13"/>
        <v>11371.908376199319</v>
      </c>
      <c r="H89" s="5"/>
      <c r="I89" s="5"/>
      <c r="V89" s="62">
        <v>0</v>
      </c>
      <c r="W89" s="61"/>
      <c r="X89" s="59">
        <f>IFERROR(($M$23*-1),"")</f>
        <v>-4427.6218634271663</v>
      </c>
      <c r="Y89" s="59"/>
      <c r="Z89" s="59"/>
      <c r="AA89" s="59"/>
      <c r="AB89" s="60">
        <f>IFERROR(($M$24*-1),"")</f>
        <v>-7976.4021275644345</v>
      </c>
      <c r="AC89" s="59"/>
      <c r="AD89" s="59"/>
      <c r="AE89" s="59"/>
      <c r="AF89" s="59"/>
      <c r="AG89" s="59"/>
      <c r="AH89" s="59" t="str">
        <f>IF(SUMIFS($AK$176:$AK$905,$K$176:$K$905,("&gt;" &amp; $V84*30),$K$176:$K$905,("&lt;=" &amp; $V89*30))=0,"",SUMIFS($AK$176:$AK$905,$K$176:$K$905,("&gt;" &amp; $V84*30),$K$176:$K$905,("&lt;=" &amp; $V89*30)))</f>
        <v/>
      </c>
      <c r="AI89" s="59"/>
      <c r="AJ89" s="58"/>
      <c r="AK89" s="57">
        <f>IF(SUM(W89:AJ89)=0,"",SUM(W89:AJ89))</f>
        <v>-12404.023990991602</v>
      </c>
      <c r="AM89" s="319"/>
      <c r="AN89" s="40"/>
      <c r="AO89" s="1"/>
    </row>
    <row r="90" spans="5:41" x14ac:dyDescent="0.25">
      <c r="E90" s="5">
        <f t="shared" si="12"/>
        <v>0</v>
      </c>
      <c r="F90" s="5">
        <f t="shared" si="13"/>
        <v>11371.908376199319</v>
      </c>
      <c r="H90" s="5"/>
      <c r="I90" s="5"/>
      <c r="V90" s="54">
        <v>1</v>
      </c>
      <c r="W90" s="53" t="str">
        <f>IF(SUMIFS($AE$176:$AE$905,$K$176:$K$905,("&gt;" &amp; $V89*30),$K$176:$K$905,("&lt;=" &amp; $V90*30))=0,"",SUMIFS($AE$176:$AE$905,$K$176:$K$905,("&gt;" &amp; $V89*30),$K$176:$K$905,("&lt;=" &amp; $V90*30)))</f>
        <v/>
      </c>
      <c r="X90" s="51">
        <f t="shared" ref="X90:X113" si="14">IFERROR(IF(SUMIFS($W$176:$W$905,$K$176:$K$905,("&gt;" &amp; $V89*30),$K$176:$K$905,("&lt;=" &amp; $V90*30))=0,"",SUMIFS($W$176:$W$905,$K$176:$K$905,("&gt;" &amp; $V89*30),$K$176:$K$905,("&lt;=" &amp; $V90*30))),"")</f>
        <v>-3055.0590857647449</v>
      </c>
      <c r="Y90" s="51"/>
      <c r="Z90" s="51"/>
      <c r="AA90" s="51"/>
      <c r="AB90" s="52">
        <f t="shared" ref="AB90:AB113" si="15">IFERROR(IF(SUMIFS($X$177:$X$905,$K$177:$K$905,("&gt;" &amp; $V89*30),$K$177:$K$905,("&lt;=" &amp; $V90*30))=0,"",SUMIFS($X$177:$X$905,$K$177:$K$905,("&gt;" &amp; $V89*30),$K$177:$K$905,("&lt;=" &amp; $V90*30))),"")</f>
        <v>-4785.8412765386611</v>
      </c>
      <c r="AC90" s="51">
        <f t="shared" ref="AC90:AC113" si="16">IF(SUMIFS($AB$176:$AB$905,$K$176:$K$905,("&gt;" &amp; $V89*30),$K$176:$K$905,("&lt;=" &amp; $V90*30))=0,"",SUMIFS($AB$176:$AB$905,$K$176:$K$905,("&gt;" &amp; $V89*30),$K$176:$K$905,("&lt;=" &amp; $V90*30)))</f>
        <v>-1200</v>
      </c>
      <c r="AD90" s="51"/>
      <c r="AE90" s="51" t="str">
        <f>IF(SUMIFS($AF$176:$AF$905,$K$176:$K$905,("&gt;" &amp; $V89*30),$K$176:$K$905,("&lt;=" &amp; $V90*30))=0,"",SUMIFS($AF$176:$AF$905,$K$176:$K$905,("&gt;" &amp; $V89*30),$K$176:$K$905,("&lt;=" &amp; $V90*30)))</f>
        <v/>
      </c>
      <c r="AF90" s="51" t="str">
        <f>IF(SUMIFS($AG$176:$AG$905,$K$176:$K$905,("&gt;" &amp; $V89*30),$K$176:$K$905,("&lt;=" &amp; $V90*30))=0,"",SUMIFS($AG$176:$AG$905,$K$176:$K$905,("&gt;" &amp; $V89*30),$K$176:$K$905,("&lt;=" &amp; $V90*30)))</f>
        <v/>
      </c>
      <c r="AG90" s="51" t="str">
        <f>IF(SUMIFS($AH$176:$AH$905,$K$176:$K$905,("&gt;" &amp; $V89*30),$K$176:$K$905,("&lt;=" &amp; $V90*30))=0,"",SUMIFS($AH$176:$AH$905,$K$176:$K$905,("&gt;" &amp; $V89*30),$K$176:$K$905,("&lt;=" &amp; $V90*30)))</f>
        <v/>
      </c>
      <c r="AH90" s="51" t="str">
        <f>IF(SUMIFS($AI$176:$AI$905,$K$176:$K$905,("&gt;" &amp; $V89*30),$K$176:$K$905,("&lt;=" &amp; $V90*30))=0,"",SUMIFS($AI$176:$AI$905,$K$176:$K$905,("&gt;" &amp; $V89*30),$K$176:$K$905,("&lt;=" &amp; $V90*30)))</f>
        <v/>
      </c>
      <c r="AI90" s="51" t="str">
        <f>IF(SUMIFS($AJ$176:$AJ$905,$K$176:$K$905,("&gt;" &amp; $V89*30),$K$176:$K$905,("&lt;=" &amp; $V90*30))=0,"",SUMIFS($AJ$176:$AJ$905,$K$176:$K$905,("&gt;" &amp; $V89*30),$K$176:$K$905,("&lt;=" &amp; $V90*30)))</f>
        <v/>
      </c>
      <c r="AJ90" s="50" t="str">
        <f>IF(SUMIFS($AK$176:$AK$905,$K$176:$K$905,("&gt;" &amp; $V89*30),$K$176:$K$905,("&lt;=" &amp; $V90*30))=0,"",SUMIFS($AK$176:$AK$905,$K$176:$K$905,("&gt;" &amp; $V89*30),$K$176:$K$905,("&lt;=" &amp; $V90*30)))</f>
        <v/>
      </c>
      <c r="AK90" s="307">
        <f t="shared" ref="AK90:AK113" si="17">IF(SUM(W90:AJ90)=0,"",SUM(W90:AJ90))</f>
        <v>-9040.9003623034059</v>
      </c>
      <c r="AM90" s="319"/>
      <c r="AN90" s="40"/>
      <c r="AO90" s="1"/>
    </row>
    <row r="91" spans="5:41" x14ac:dyDescent="0.25">
      <c r="E91" s="5">
        <f t="shared" si="12"/>
        <v>0</v>
      </c>
      <c r="F91" s="5">
        <f t="shared" si="13"/>
        <v>11371.908376199319</v>
      </c>
      <c r="H91" s="5"/>
      <c r="I91" s="5"/>
      <c r="V91" s="54">
        <v>2</v>
      </c>
      <c r="W91" s="53" t="str">
        <f t="shared" ref="W91:W113" si="18">IF(SUMIFS($AE$176:$AE$905,$K$176:$K$905,("&gt;" &amp; $V90*30),$K$176:$K$905,("&lt;=" &amp; $V91*30))=0,"",SUMIFS($AE$176:$AE$905,$K$176:$K$905,("&gt;" &amp; $V90*30),$K$176:$K$905,("&lt;=" &amp; $V91*30)))</f>
        <v/>
      </c>
      <c r="X91" s="51">
        <f t="shared" si="14"/>
        <v>-3055.0590857647449</v>
      </c>
      <c r="Y91" s="51"/>
      <c r="Z91" s="51"/>
      <c r="AA91" s="51"/>
      <c r="AB91" s="52">
        <f t="shared" si="15"/>
        <v>-4785.8412765386611</v>
      </c>
      <c r="AC91" s="51">
        <f t="shared" si="16"/>
        <v>-1400</v>
      </c>
      <c r="AD91" s="51"/>
      <c r="AE91" s="51" t="str">
        <f t="shared" ref="AE91:AE113" si="19">IF(SUMIFS($AF$176:$AF$905,$K$176:$K$905,("&gt;" &amp; $V90*30),$K$176:$K$905,("&lt;=" &amp; $V91*30))=0,"",SUMIFS($AF$176:$AF$905,$K$176:$K$905,("&gt;" &amp; $V90*30),$K$176:$K$905,("&lt;=" &amp; $V91*30)))</f>
        <v/>
      </c>
      <c r="AF91" s="51" t="str">
        <f t="shared" ref="AF91:AF113" si="20">IF(SUMIFS($AG$176:$AG$905,$K$176:$K$905,("&gt;" &amp; $V90*30),$K$176:$K$905,("&lt;=" &amp; $V91*30))=0,"",SUMIFS($AG$176:$AG$905,$K$176:$K$905,("&gt;" &amp; $V90*30),$K$176:$K$905,("&lt;=" &amp; $V91*30)))</f>
        <v/>
      </c>
      <c r="AG91" s="51" t="str">
        <f t="shared" ref="AG91:AG113" si="21">IF(SUMIFS($AH$176:$AH$905,$K$176:$K$905,("&gt;" &amp; $V90*30),$K$176:$K$905,("&lt;=" &amp; $V91*30))=0,"",SUMIFS($AH$176:$AH$905,$K$176:$K$905,("&gt;" &amp; $V90*30),$K$176:$K$905,("&lt;=" &amp; $V91*30)))</f>
        <v/>
      </c>
      <c r="AH91" s="51" t="str">
        <f t="shared" ref="AH91:AH113" si="22">IF(SUMIFS($AI$176:$AI$905,$K$176:$K$905,("&gt;" &amp; $V90*30),$K$176:$K$905,("&lt;=" &amp; $V91*30))=0,"",SUMIFS($AI$176:$AI$905,$K$176:$K$905,("&gt;" &amp; $V90*30),$K$176:$K$905,("&lt;=" &amp; $V91*30)))</f>
        <v/>
      </c>
      <c r="AI91" s="51" t="str">
        <f t="shared" ref="AI91:AI113" si="23">IF(SUMIFS($AJ$176:$AJ$905,$K$176:$K$905,("&gt;" &amp; $V90*30),$K$176:$K$905,("&lt;=" &amp; $V91*30))=0,"",SUMIFS($AJ$176:$AJ$905,$K$176:$K$905,("&gt;" &amp; $V90*30),$K$176:$K$905,("&lt;=" &amp; $V91*30)))</f>
        <v/>
      </c>
      <c r="AJ91" s="50" t="str">
        <f t="shared" ref="AJ91:AJ113" si="24">IF(SUMIFS($AK$176:$AK$905,$K$176:$K$905,("&gt;" &amp; $V90*30),$K$176:$K$905,("&lt;=" &amp; $V91*30))=0,"",SUMIFS($AK$176:$AK$905,$K$176:$K$905,("&gt;" &amp; $V90*30),$K$176:$K$905,("&lt;=" &amp; $V91*30)))</f>
        <v/>
      </c>
      <c r="AK91" s="307">
        <f t="shared" si="17"/>
        <v>-9240.9003623034059</v>
      </c>
      <c r="AM91" s="319"/>
      <c r="AN91" s="40"/>
      <c r="AO91" s="1"/>
    </row>
    <row r="92" spans="5:41" x14ac:dyDescent="0.25">
      <c r="E92" s="5">
        <f t="shared" si="12"/>
        <v>0</v>
      </c>
      <c r="F92" s="5">
        <f t="shared" si="13"/>
        <v>11371.908376199319</v>
      </c>
      <c r="H92" s="5"/>
      <c r="I92" s="5"/>
      <c r="V92" s="54">
        <v>3</v>
      </c>
      <c r="W92" s="53">
        <f t="shared" si="18"/>
        <v>16500</v>
      </c>
      <c r="X92" s="51">
        <f t="shared" si="14"/>
        <v>-2036.7060571764966</v>
      </c>
      <c r="Y92" s="51"/>
      <c r="Z92" s="51"/>
      <c r="AA92" s="51"/>
      <c r="AB92" s="52">
        <f t="shared" si="15"/>
        <v>-3190.5608510257739</v>
      </c>
      <c r="AC92" s="51">
        <f t="shared" si="16"/>
        <v>575</v>
      </c>
      <c r="AD92" s="51"/>
      <c r="AE92" s="51" t="str">
        <f t="shared" si="19"/>
        <v/>
      </c>
      <c r="AF92" s="51">
        <f t="shared" si="20"/>
        <v>-247.5</v>
      </c>
      <c r="AG92" s="51">
        <f t="shared" si="21"/>
        <v>-330</v>
      </c>
      <c r="AH92" s="51">
        <f t="shared" si="22"/>
        <v>-82.5</v>
      </c>
      <c r="AI92" s="51">
        <f t="shared" si="23"/>
        <v>-1320</v>
      </c>
      <c r="AJ92" s="50">
        <f t="shared" si="24"/>
        <v>-1320</v>
      </c>
      <c r="AK92" s="307">
        <f t="shared" si="17"/>
        <v>8547.7330917977306</v>
      </c>
      <c r="AM92" s="319"/>
      <c r="AN92" s="40"/>
      <c r="AO92" s="1"/>
    </row>
    <row r="93" spans="5:41" x14ac:dyDescent="0.25">
      <c r="E93" s="5">
        <f t="shared" si="12"/>
        <v>0</v>
      </c>
      <c r="F93" s="5">
        <f t="shared" si="13"/>
        <v>11371.908376199319</v>
      </c>
      <c r="H93" s="5"/>
      <c r="I93" s="5"/>
      <c r="V93" s="54">
        <v>4</v>
      </c>
      <c r="W93" s="53">
        <f t="shared" si="18"/>
        <v>16500</v>
      </c>
      <c r="X93" s="51" t="str">
        <f t="shared" si="14"/>
        <v/>
      </c>
      <c r="Y93" s="51"/>
      <c r="Z93" s="51"/>
      <c r="AA93" s="51"/>
      <c r="AB93" s="52" t="str">
        <f t="shared" si="15"/>
        <v/>
      </c>
      <c r="AC93" s="51">
        <f t="shared" si="16"/>
        <v>1575</v>
      </c>
      <c r="AD93" s="51"/>
      <c r="AE93" s="51" t="str">
        <f t="shared" si="19"/>
        <v/>
      </c>
      <c r="AF93" s="51">
        <f t="shared" si="20"/>
        <v>-247.5</v>
      </c>
      <c r="AG93" s="51">
        <f t="shared" si="21"/>
        <v>-330</v>
      </c>
      <c r="AH93" s="51">
        <f t="shared" si="22"/>
        <v>-82.5</v>
      </c>
      <c r="AI93" s="51">
        <f t="shared" si="23"/>
        <v>-1320</v>
      </c>
      <c r="AJ93" s="50">
        <f t="shared" si="24"/>
        <v>-1320</v>
      </c>
      <c r="AK93" s="307">
        <f t="shared" si="17"/>
        <v>14775</v>
      </c>
      <c r="AM93" s="319"/>
      <c r="AN93" s="40"/>
      <c r="AO93" s="1"/>
    </row>
    <row r="94" spans="5:41" x14ac:dyDescent="0.25">
      <c r="E94" s="5">
        <f t="shared" si="12"/>
        <v>0</v>
      </c>
      <c r="F94" s="5">
        <f t="shared" si="13"/>
        <v>11371.908376199319</v>
      </c>
      <c r="H94" s="5"/>
      <c r="I94" s="5"/>
      <c r="V94" s="54">
        <v>5</v>
      </c>
      <c r="W94" s="53">
        <f t="shared" si="18"/>
        <v>16500</v>
      </c>
      <c r="X94" s="51" t="str">
        <f t="shared" si="14"/>
        <v/>
      </c>
      <c r="Y94" s="51"/>
      <c r="Z94" s="51"/>
      <c r="AA94" s="51"/>
      <c r="AB94" s="52" t="str">
        <f t="shared" si="15"/>
        <v/>
      </c>
      <c r="AC94" s="51">
        <f t="shared" si="16"/>
        <v>1575</v>
      </c>
      <c r="AD94" s="51"/>
      <c r="AE94" s="51" t="str">
        <f t="shared" si="19"/>
        <v/>
      </c>
      <c r="AF94" s="51">
        <f t="shared" si="20"/>
        <v>-247.5</v>
      </c>
      <c r="AG94" s="51">
        <f t="shared" si="21"/>
        <v>-330</v>
      </c>
      <c r="AH94" s="51">
        <f t="shared" si="22"/>
        <v>-82.5</v>
      </c>
      <c r="AI94" s="51">
        <f t="shared" si="23"/>
        <v>-1320</v>
      </c>
      <c r="AJ94" s="50">
        <f t="shared" si="24"/>
        <v>-1320</v>
      </c>
      <c r="AK94" s="307">
        <f t="shared" si="17"/>
        <v>14775</v>
      </c>
      <c r="AM94" s="319"/>
      <c r="AN94" s="40"/>
      <c r="AO94" s="1"/>
    </row>
    <row r="95" spans="5:41" x14ac:dyDescent="0.25">
      <c r="E95" s="5">
        <f t="shared" si="12"/>
        <v>0</v>
      </c>
      <c r="F95" s="5">
        <f t="shared" si="13"/>
        <v>11371.908376199319</v>
      </c>
      <c r="H95" s="5"/>
      <c r="I95" s="5"/>
      <c r="V95" s="54">
        <v>6</v>
      </c>
      <c r="W95" s="53" t="str">
        <f t="shared" si="18"/>
        <v/>
      </c>
      <c r="X95" s="51" t="str">
        <f t="shared" si="14"/>
        <v/>
      </c>
      <c r="Y95" s="51"/>
      <c r="Z95" s="51"/>
      <c r="AA95" s="51"/>
      <c r="AB95" s="52" t="str">
        <f t="shared" si="15"/>
        <v/>
      </c>
      <c r="AC95" s="51" t="str">
        <f t="shared" si="16"/>
        <v/>
      </c>
      <c r="AD95" s="51"/>
      <c r="AE95" s="51" t="str">
        <f t="shared" si="19"/>
        <v/>
      </c>
      <c r="AF95" s="51" t="str">
        <f t="shared" si="20"/>
        <v/>
      </c>
      <c r="AG95" s="51" t="str">
        <f t="shared" si="21"/>
        <v/>
      </c>
      <c r="AH95" s="51" t="str">
        <f t="shared" si="22"/>
        <v/>
      </c>
      <c r="AI95" s="51" t="str">
        <f t="shared" si="23"/>
        <v/>
      </c>
      <c r="AJ95" s="50" t="str">
        <f t="shared" si="24"/>
        <v/>
      </c>
      <c r="AK95" s="307" t="str">
        <f t="shared" si="17"/>
        <v/>
      </c>
      <c r="AM95" s="319"/>
      <c r="AN95" s="40"/>
      <c r="AO95" s="1"/>
    </row>
    <row r="96" spans="5:41" x14ac:dyDescent="0.25">
      <c r="E96" s="5">
        <f t="shared" si="12"/>
        <v>0</v>
      </c>
      <c r="F96" s="5">
        <f t="shared" si="13"/>
        <v>11371.908376199319</v>
      </c>
      <c r="H96" s="5"/>
      <c r="I96" s="5"/>
      <c r="V96" s="54">
        <v>7</v>
      </c>
      <c r="W96" s="53" t="str">
        <f t="shared" si="18"/>
        <v/>
      </c>
      <c r="X96" s="51" t="str">
        <f t="shared" si="14"/>
        <v/>
      </c>
      <c r="Y96" s="51"/>
      <c r="Z96" s="51"/>
      <c r="AA96" s="51"/>
      <c r="AB96" s="52" t="str">
        <f t="shared" si="15"/>
        <v/>
      </c>
      <c r="AC96" s="51" t="str">
        <f t="shared" si="16"/>
        <v/>
      </c>
      <c r="AD96" s="51"/>
      <c r="AE96" s="51" t="str">
        <f t="shared" si="19"/>
        <v/>
      </c>
      <c r="AF96" s="51" t="str">
        <f t="shared" si="20"/>
        <v/>
      </c>
      <c r="AG96" s="51" t="str">
        <f t="shared" si="21"/>
        <v/>
      </c>
      <c r="AH96" s="51" t="str">
        <f t="shared" si="22"/>
        <v/>
      </c>
      <c r="AI96" s="51" t="str">
        <f t="shared" si="23"/>
        <v/>
      </c>
      <c r="AJ96" s="50" t="str">
        <f t="shared" si="24"/>
        <v/>
      </c>
      <c r="AK96" s="307" t="str">
        <f t="shared" si="17"/>
        <v/>
      </c>
      <c r="AM96" s="319"/>
      <c r="AN96" s="40"/>
      <c r="AO96" s="1"/>
    </row>
    <row r="97" spans="5:41" x14ac:dyDescent="0.25">
      <c r="E97" s="5">
        <f t="shared" si="12"/>
        <v>0</v>
      </c>
      <c r="F97" s="5">
        <f t="shared" si="13"/>
        <v>11371.908376199319</v>
      </c>
      <c r="H97" s="5"/>
      <c r="I97" s="5"/>
      <c r="V97" s="54">
        <v>8</v>
      </c>
      <c r="W97" s="53" t="str">
        <f t="shared" si="18"/>
        <v/>
      </c>
      <c r="X97" s="51" t="str">
        <f t="shared" si="14"/>
        <v/>
      </c>
      <c r="Y97" s="51"/>
      <c r="Z97" s="51"/>
      <c r="AA97" s="51"/>
      <c r="AB97" s="52" t="str">
        <f t="shared" si="15"/>
        <v/>
      </c>
      <c r="AC97" s="51" t="str">
        <f t="shared" si="16"/>
        <v/>
      </c>
      <c r="AD97" s="51"/>
      <c r="AE97" s="51" t="str">
        <f t="shared" si="19"/>
        <v/>
      </c>
      <c r="AF97" s="51" t="str">
        <f t="shared" si="20"/>
        <v/>
      </c>
      <c r="AG97" s="51" t="str">
        <f t="shared" si="21"/>
        <v/>
      </c>
      <c r="AH97" s="51" t="str">
        <f t="shared" si="22"/>
        <v/>
      </c>
      <c r="AI97" s="51" t="str">
        <f t="shared" si="23"/>
        <v/>
      </c>
      <c r="AJ97" s="50" t="str">
        <f t="shared" si="24"/>
        <v/>
      </c>
      <c r="AK97" s="307" t="str">
        <f t="shared" si="17"/>
        <v/>
      </c>
      <c r="AM97" s="319"/>
      <c r="AN97" s="40"/>
      <c r="AO97" s="1"/>
    </row>
    <row r="98" spans="5:41" x14ac:dyDescent="0.25">
      <c r="E98" s="5">
        <f t="shared" si="12"/>
        <v>0</v>
      </c>
      <c r="F98" s="5">
        <f t="shared" si="13"/>
        <v>11371.908376199319</v>
      </c>
      <c r="H98" s="5"/>
      <c r="I98" s="5"/>
      <c r="V98" s="54">
        <v>9</v>
      </c>
      <c r="W98" s="53" t="str">
        <f t="shared" si="18"/>
        <v/>
      </c>
      <c r="X98" s="51" t="str">
        <f t="shared" si="14"/>
        <v/>
      </c>
      <c r="Y98" s="51"/>
      <c r="Z98" s="51"/>
      <c r="AA98" s="51"/>
      <c r="AB98" s="52" t="str">
        <f t="shared" si="15"/>
        <v/>
      </c>
      <c r="AC98" s="51" t="str">
        <f t="shared" si="16"/>
        <v/>
      </c>
      <c r="AD98" s="51"/>
      <c r="AE98" s="51" t="str">
        <f t="shared" si="19"/>
        <v/>
      </c>
      <c r="AF98" s="51" t="str">
        <f t="shared" si="20"/>
        <v/>
      </c>
      <c r="AG98" s="51" t="str">
        <f t="shared" si="21"/>
        <v/>
      </c>
      <c r="AH98" s="51" t="str">
        <f t="shared" si="22"/>
        <v/>
      </c>
      <c r="AI98" s="51" t="str">
        <f t="shared" si="23"/>
        <v/>
      </c>
      <c r="AJ98" s="50" t="str">
        <f t="shared" si="24"/>
        <v/>
      </c>
      <c r="AK98" s="307" t="str">
        <f t="shared" si="17"/>
        <v/>
      </c>
      <c r="AM98" s="319"/>
      <c r="AN98" s="40"/>
      <c r="AO98" s="1"/>
    </row>
    <row r="99" spans="5:41" x14ac:dyDescent="0.25">
      <c r="E99" s="5">
        <f t="shared" si="12"/>
        <v>0</v>
      </c>
      <c r="F99" s="5">
        <f t="shared" si="13"/>
        <v>11371.908376199319</v>
      </c>
      <c r="H99" s="5"/>
      <c r="I99" s="5"/>
      <c r="V99" s="54">
        <v>10</v>
      </c>
      <c r="W99" s="53" t="str">
        <f t="shared" si="18"/>
        <v/>
      </c>
      <c r="X99" s="51" t="str">
        <f t="shared" si="14"/>
        <v/>
      </c>
      <c r="Y99" s="51"/>
      <c r="Z99" s="51"/>
      <c r="AA99" s="51"/>
      <c r="AB99" s="52" t="str">
        <f t="shared" si="15"/>
        <v/>
      </c>
      <c r="AC99" s="51" t="str">
        <f t="shared" si="16"/>
        <v/>
      </c>
      <c r="AD99" s="51"/>
      <c r="AE99" s="51" t="str">
        <f t="shared" si="19"/>
        <v/>
      </c>
      <c r="AF99" s="51" t="str">
        <f t="shared" si="20"/>
        <v/>
      </c>
      <c r="AG99" s="51" t="str">
        <f t="shared" si="21"/>
        <v/>
      </c>
      <c r="AH99" s="51" t="str">
        <f t="shared" si="22"/>
        <v/>
      </c>
      <c r="AI99" s="51" t="str">
        <f t="shared" si="23"/>
        <v/>
      </c>
      <c r="AJ99" s="50" t="str">
        <f t="shared" si="24"/>
        <v/>
      </c>
      <c r="AK99" s="307" t="str">
        <f t="shared" si="17"/>
        <v/>
      </c>
      <c r="AM99" s="319"/>
      <c r="AN99" s="40"/>
      <c r="AO99" s="1"/>
    </row>
    <row r="100" spans="5:41" x14ac:dyDescent="0.25">
      <c r="E100" s="5">
        <f t="shared" si="12"/>
        <v>0</v>
      </c>
      <c r="F100" s="5">
        <f t="shared" si="13"/>
        <v>11371.908376199319</v>
      </c>
      <c r="H100" s="5"/>
      <c r="I100" s="5"/>
      <c r="V100" s="54">
        <v>11</v>
      </c>
      <c r="W100" s="53" t="str">
        <f t="shared" si="18"/>
        <v/>
      </c>
      <c r="X100" s="51" t="str">
        <f t="shared" si="14"/>
        <v/>
      </c>
      <c r="Y100" s="51"/>
      <c r="Z100" s="51"/>
      <c r="AA100" s="51"/>
      <c r="AB100" s="52" t="str">
        <f t="shared" si="15"/>
        <v/>
      </c>
      <c r="AC100" s="51" t="str">
        <f t="shared" si="16"/>
        <v/>
      </c>
      <c r="AD100" s="51"/>
      <c r="AE100" s="51" t="str">
        <f t="shared" si="19"/>
        <v/>
      </c>
      <c r="AF100" s="51" t="str">
        <f t="shared" si="20"/>
        <v/>
      </c>
      <c r="AG100" s="51" t="str">
        <f t="shared" si="21"/>
        <v/>
      </c>
      <c r="AH100" s="51" t="str">
        <f t="shared" si="22"/>
        <v/>
      </c>
      <c r="AI100" s="51" t="str">
        <f t="shared" si="23"/>
        <v/>
      </c>
      <c r="AJ100" s="50" t="str">
        <f t="shared" si="24"/>
        <v/>
      </c>
      <c r="AK100" s="307" t="str">
        <f t="shared" si="17"/>
        <v/>
      </c>
      <c r="AM100" s="319"/>
      <c r="AN100" s="40"/>
      <c r="AO100" s="1"/>
    </row>
    <row r="101" spans="5:41" x14ac:dyDescent="0.25">
      <c r="E101" s="5">
        <f t="shared" si="12"/>
        <v>0</v>
      </c>
      <c r="F101" s="5">
        <f t="shared" si="13"/>
        <v>11371.908376199319</v>
      </c>
      <c r="H101" s="5"/>
      <c r="I101" s="5"/>
      <c r="V101" s="54">
        <v>12</v>
      </c>
      <c r="W101" s="53" t="str">
        <f t="shared" si="18"/>
        <v/>
      </c>
      <c r="X101" s="51" t="str">
        <f t="shared" si="14"/>
        <v/>
      </c>
      <c r="Y101" s="51"/>
      <c r="Z101" s="51"/>
      <c r="AA101" s="51"/>
      <c r="AB101" s="52" t="str">
        <f t="shared" si="15"/>
        <v/>
      </c>
      <c r="AC101" s="51" t="str">
        <f t="shared" si="16"/>
        <v/>
      </c>
      <c r="AD101" s="51"/>
      <c r="AE101" s="51" t="str">
        <f t="shared" si="19"/>
        <v/>
      </c>
      <c r="AF101" s="51" t="str">
        <f t="shared" si="20"/>
        <v/>
      </c>
      <c r="AG101" s="51" t="str">
        <f t="shared" si="21"/>
        <v/>
      </c>
      <c r="AH101" s="51" t="str">
        <f t="shared" si="22"/>
        <v/>
      </c>
      <c r="AI101" s="51" t="str">
        <f t="shared" si="23"/>
        <v/>
      </c>
      <c r="AJ101" s="50" t="str">
        <f t="shared" si="24"/>
        <v/>
      </c>
      <c r="AK101" s="307" t="str">
        <f t="shared" si="17"/>
        <v/>
      </c>
      <c r="AM101" s="319"/>
      <c r="AN101" s="40"/>
      <c r="AO101" s="1"/>
    </row>
    <row r="102" spans="5:41" x14ac:dyDescent="0.25">
      <c r="E102" s="5">
        <f t="shared" si="12"/>
        <v>0</v>
      </c>
      <c r="F102" s="5">
        <f t="shared" si="13"/>
        <v>11371.908376199319</v>
      </c>
      <c r="H102" s="5"/>
      <c r="I102" s="5"/>
      <c r="V102" s="54">
        <v>13</v>
      </c>
      <c r="W102" s="53" t="str">
        <f>IF(SUMIFS($AE$176:$AE$905,$K$176:$K$905,("&gt;" &amp; $V101*30),$K$176:$K$905,("&lt;=" &amp; $V102*30))=0,"",SUMIFS($AE$176:$AE$905,$K$176:$K$905,("&gt;" &amp; $V101*30),$K$176:$K$905,("&lt;=" &amp; $V102*30)))</f>
        <v/>
      </c>
      <c r="X102" s="51" t="str">
        <f t="shared" si="14"/>
        <v/>
      </c>
      <c r="Y102" s="51"/>
      <c r="Z102" s="51"/>
      <c r="AA102" s="51"/>
      <c r="AB102" s="52" t="str">
        <f t="shared" si="15"/>
        <v/>
      </c>
      <c r="AC102" s="51" t="str">
        <f t="shared" si="16"/>
        <v/>
      </c>
      <c r="AD102" s="51"/>
      <c r="AE102" s="51" t="str">
        <f t="shared" si="19"/>
        <v/>
      </c>
      <c r="AF102" s="51" t="str">
        <f t="shared" si="20"/>
        <v/>
      </c>
      <c r="AG102" s="51" t="str">
        <f t="shared" si="21"/>
        <v/>
      </c>
      <c r="AH102" s="51" t="str">
        <f t="shared" si="22"/>
        <v/>
      </c>
      <c r="AI102" s="51" t="str">
        <f t="shared" si="23"/>
        <v/>
      </c>
      <c r="AJ102" s="50" t="str">
        <f t="shared" si="24"/>
        <v/>
      </c>
      <c r="AK102" s="307" t="str">
        <f t="shared" si="17"/>
        <v/>
      </c>
      <c r="AM102" s="319"/>
      <c r="AN102" s="40"/>
      <c r="AO102" s="1"/>
    </row>
    <row r="103" spans="5:41" x14ac:dyDescent="0.25">
      <c r="E103" s="5">
        <f t="shared" si="12"/>
        <v>0</v>
      </c>
      <c r="F103" s="5">
        <f t="shared" si="13"/>
        <v>11371.908376199319</v>
      </c>
      <c r="H103" s="5"/>
      <c r="I103" s="5"/>
      <c r="V103" s="54">
        <v>14</v>
      </c>
      <c r="W103" s="53" t="str">
        <f t="shared" si="18"/>
        <v/>
      </c>
      <c r="X103" s="51" t="str">
        <f t="shared" si="14"/>
        <v/>
      </c>
      <c r="Y103" s="51"/>
      <c r="Z103" s="51"/>
      <c r="AA103" s="51"/>
      <c r="AB103" s="52" t="str">
        <f t="shared" si="15"/>
        <v/>
      </c>
      <c r="AC103" s="51" t="str">
        <f t="shared" si="16"/>
        <v/>
      </c>
      <c r="AD103" s="51"/>
      <c r="AE103" s="51" t="str">
        <f t="shared" si="19"/>
        <v/>
      </c>
      <c r="AF103" s="51" t="str">
        <f t="shared" si="20"/>
        <v/>
      </c>
      <c r="AG103" s="51" t="str">
        <f t="shared" si="21"/>
        <v/>
      </c>
      <c r="AH103" s="51" t="str">
        <f t="shared" si="22"/>
        <v/>
      </c>
      <c r="AI103" s="51" t="str">
        <f t="shared" si="23"/>
        <v/>
      </c>
      <c r="AJ103" s="50" t="str">
        <f t="shared" si="24"/>
        <v/>
      </c>
      <c r="AK103" s="307" t="str">
        <f t="shared" si="17"/>
        <v/>
      </c>
      <c r="AM103" s="319"/>
      <c r="AN103" s="40"/>
      <c r="AO103" s="1"/>
    </row>
    <row r="104" spans="5:41" x14ac:dyDescent="0.25">
      <c r="E104" s="5">
        <f t="shared" si="12"/>
        <v>0</v>
      </c>
      <c r="F104" s="5">
        <f t="shared" si="13"/>
        <v>11371.908376199319</v>
      </c>
      <c r="H104" s="5"/>
      <c r="I104" s="5"/>
      <c r="V104" s="54">
        <v>15</v>
      </c>
      <c r="W104" s="53" t="str">
        <f t="shared" si="18"/>
        <v/>
      </c>
      <c r="X104" s="51" t="str">
        <f t="shared" si="14"/>
        <v/>
      </c>
      <c r="Y104" s="51"/>
      <c r="Z104" s="51"/>
      <c r="AA104" s="51"/>
      <c r="AB104" s="52" t="str">
        <f t="shared" si="15"/>
        <v/>
      </c>
      <c r="AC104" s="51" t="str">
        <f t="shared" si="16"/>
        <v/>
      </c>
      <c r="AD104" s="51"/>
      <c r="AE104" s="51" t="str">
        <f t="shared" si="19"/>
        <v/>
      </c>
      <c r="AF104" s="51" t="str">
        <f t="shared" si="20"/>
        <v/>
      </c>
      <c r="AG104" s="51" t="str">
        <f t="shared" si="21"/>
        <v/>
      </c>
      <c r="AH104" s="51" t="str">
        <f t="shared" si="22"/>
        <v/>
      </c>
      <c r="AI104" s="51" t="str">
        <f t="shared" si="23"/>
        <v/>
      </c>
      <c r="AJ104" s="50" t="str">
        <f t="shared" si="24"/>
        <v/>
      </c>
      <c r="AK104" s="307" t="str">
        <f t="shared" si="17"/>
        <v/>
      </c>
      <c r="AM104" s="319"/>
      <c r="AN104" s="40"/>
      <c r="AO104" s="1"/>
    </row>
    <row r="105" spans="5:41" x14ac:dyDescent="0.25">
      <c r="E105" s="5">
        <f t="shared" si="12"/>
        <v>0</v>
      </c>
      <c r="F105" s="5">
        <f t="shared" si="13"/>
        <v>11371.908376199319</v>
      </c>
      <c r="H105" s="5"/>
      <c r="I105" s="5"/>
      <c r="V105" s="54">
        <v>16</v>
      </c>
      <c r="W105" s="53" t="str">
        <f t="shared" si="18"/>
        <v/>
      </c>
      <c r="X105" s="51" t="str">
        <f t="shared" si="14"/>
        <v/>
      </c>
      <c r="Y105" s="51"/>
      <c r="Z105" s="51"/>
      <c r="AA105" s="51"/>
      <c r="AB105" s="52" t="str">
        <f t="shared" si="15"/>
        <v/>
      </c>
      <c r="AC105" s="51" t="str">
        <f t="shared" si="16"/>
        <v/>
      </c>
      <c r="AD105" s="51"/>
      <c r="AE105" s="51" t="str">
        <f t="shared" si="19"/>
        <v/>
      </c>
      <c r="AF105" s="51" t="str">
        <f t="shared" si="20"/>
        <v/>
      </c>
      <c r="AG105" s="51" t="str">
        <f t="shared" si="21"/>
        <v/>
      </c>
      <c r="AH105" s="51" t="str">
        <f t="shared" si="22"/>
        <v/>
      </c>
      <c r="AI105" s="51" t="str">
        <f t="shared" si="23"/>
        <v/>
      </c>
      <c r="AJ105" s="50" t="str">
        <f t="shared" si="24"/>
        <v/>
      </c>
      <c r="AK105" s="307" t="str">
        <f t="shared" si="17"/>
        <v/>
      </c>
      <c r="AM105" s="319"/>
      <c r="AN105" s="40"/>
      <c r="AO105" s="1"/>
    </row>
    <row r="106" spans="5:41" x14ac:dyDescent="0.25">
      <c r="E106" s="5">
        <f t="shared" si="12"/>
        <v>0</v>
      </c>
      <c r="F106" s="5">
        <f t="shared" si="13"/>
        <v>11371.908376199319</v>
      </c>
      <c r="H106" s="5"/>
      <c r="I106" s="5"/>
      <c r="V106" s="54">
        <v>17</v>
      </c>
      <c r="W106" s="53" t="str">
        <f t="shared" si="18"/>
        <v/>
      </c>
      <c r="X106" s="51" t="str">
        <f t="shared" si="14"/>
        <v/>
      </c>
      <c r="Y106" s="51"/>
      <c r="Z106" s="51"/>
      <c r="AA106" s="51"/>
      <c r="AB106" s="52" t="str">
        <f t="shared" si="15"/>
        <v/>
      </c>
      <c r="AC106" s="51" t="str">
        <f t="shared" si="16"/>
        <v/>
      </c>
      <c r="AD106" s="51"/>
      <c r="AE106" s="51" t="str">
        <f t="shared" si="19"/>
        <v/>
      </c>
      <c r="AF106" s="51" t="str">
        <f t="shared" si="20"/>
        <v/>
      </c>
      <c r="AG106" s="51" t="str">
        <f t="shared" si="21"/>
        <v/>
      </c>
      <c r="AH106" s="51" t="str">
        <f t="shared" si="22"/>
        <v/>
      </c>
      <c r="AI106" s="51" t="str">
        <f t="shared" si="23"/>
        <v/>
      </c>
      <c r="AJ106" s="50" t="str">
        <f t="shared" si="24"/>
        <v/>
      </c>
      <c r="AK106" s="307" t="str">
        <f t="shared" si="17"/>
        <v/>
      </c>
      <c r="AM106" s="319"/>
      <c r="AN106" s="40"/>
      <c r="AO106" s="1"/>
    </row>
    <row r="107" spans="5:41" x14ac:dyDescent="0.25">
      <c r="E107" s="5">
        <f t="shared" si="12"/>
        <v>0</v>
      </c>
      <c r="F107" s="5">
        <f t="shared" si="13"/>
        <v>11371.908376199319</v>
      </c>
      <c r="H107" s="5"/>
      <c r="I107" s="5"/>
      <c r="V107" s="54">
        <v>18</v>
      </c>
      <c r="W107" s="53" t="str">
        <f t="shared" si="18"/>
        <v/>
      </c>
      <c r="X107" s="51" t="str">
        <f t="shared" si="14"/>
        <v/>
      </c>
      <c r="Y107" s="51"/>
      <c r="Z107" s="51"/>
      <c r="AA107" s="51"/>
      <c r="AB107" s="52" t="str">
        <f t="shared" si="15"/>
        <v/>
      </c>
      <c r="AC107" s="51" t="str">
        <f t="shared" si="16"/>
        <v/>
      </c>
      <c r="AD107" s="51"/>
      <c r="AE107" s="51" t="str">
        <f t="shared" si="19"/>
        <v/>
      </c>
      <c r="AF107" s="51" t="str">
        <f t="shared" si="20"/>
        <v/>
      </c>
      <c r="AG107" s="51" t="str">
        <f t="shared" si="21"/>
        <v/>
      </c>
      <c r="AH107" s="51" t="str">
        <f t="shared" si="22"/>
        <v/>
      </c>
      <c r="AI107" s="51" t="str">
        <f t="shared" si="23"/>
        <v/>
      </c>
      <c r="AJ107" s="50" t="str">
        <f t="shared" si="24"/>
        <v/>
      </c>
      <c r="AK107" s="307" t="str">
        <f t="shared" si="17"/>
        <v/>
      </c>
      <c r="AM107" s="319"/>
      <c r="AN107" s="40"/>
      <c r="AO107" s="1"/>
    </row>
    <row r="108" spans="5:41" x14ac:dyDescent="0.25">
      <c r="E108" s="5">
        <f t="shared" si="12"/>
        <v>0</v>
      </c>
      <c r="F108" s="5">
        <f t="shared" si="13"/>
        <v>11371.908376199319</v>
      </c>
      <c r="H108" s="5"/>
      <c r="I108" s="5"/>
      <c r="V108" s="54">
        <v>19</v>
      </c>
      <c r="W108" s="53" t="str">
        <f t="shared" si="18"/>
        <v/>
      </c>
      <c r="X108" s="51" t="str">
        <f t="shared" si="14"/>
        <v/>
      </c>
      <c r="Y108" s="51"/>
      <c r="Z108" s="51"/>
      <c r="AA108" s="51"/>
      <c r="AB108" s="52" t="str">
        <f t="shared" si="15"/>
        <v/>
      </c>
      <c r="AC108" s="51" t="str">
        <f t="shared" si="16"/>
        <v/>
      </c>
      <c r="AD108" s="51"/>
      <c r="AE108" s="51" t="str">
        <f t="shared" si="19"/>
        <v/>
      </c>
      <c r="AF108" s="51" t="str">
        <f t="shared" si="20"/>
        <v/>
      </c>
      <c r="AG108" s="51" t="str">
        <f t="shared" si="21"/>
        <v/>
      </c>
      <c r="AH108" s="51" t="str">
        <f t="shared" si="22"/>
        <v/>
      </c>
      <c r="AI108" s="51" t="str">
        <f t="shared" si="23"/>
        <v/>
      </c>
      <c r="AJ108" s="50" t="str">
        <f t="shared" si="24"/>
        <v/>
      </c>
      <c r="AK108" s="307" t="str">
        <f t="shared" si="17"/>
        <v/>
      </c>
      <c r="AM108" s="319"/>
      <c r="AN108" s="40"/>
      <c r="AO108" s="1"/>
    </row>
    <row r="109" spans="5:41" x14ac:dyDescent="0.25">
      <c r="E109" s="5">
        <f t="shared" si="12"/>
        <v>0</v>
      </c>
      <c r="F109" s="5">
        <f t="shared" si="13"/>
        <v>11371.908376199319</v>
      </c>
      <c r="H109" s="5"/>
      <c r="I109" s="5"/>
      <c r="V109" s="54">
        <v>20</v>
      </c>
      <c r="W109" s="53" t="str">
        <f t="shared" si="18"/>
        <v/>
      </c>
      <c r="X109" s="51" t="str">
        <f t="shared" si="14"/>
        <v/>
      </c>
      <c r="Y109" s="51"/>
      <c r="Z109" s="51"/>
      <c r="AA109" s="51"/>
      <c r="AB109" s="52" t="str">
        <f t="shared" si="15"/>
        <v/>
      </c>
      <c r="AC109" s="51" t="str">
        <f t="shared" si="16"/>
        <v/>
      </c>
      <c r="AD109" s="51"/>
      <c r="AE109" s="51" t="str">
        <f t="shared" si="19"/>
        <v/>
      </c>
      <c r="AF109" s="51" t="str">
        <f t="shared" si="20"/>
        <v/>
      </c>
      <c r="AG109" s="51" t="str">
        <f t="shared" si="21"/>
        <v/>
      </c>
      <c r="AH109" s="51" t="str">
        <f t="shared" si="22"/>
        <v/>
      </c>
      <c r="AI109" s="51" t="str">
        <f t="shared" si="23"/>
        <v/>
      </c>
      <c r="AJ109" s="50" t="str">
        <f t="shared" si="24"/>
        <v/>
      </c>
      <c r="AK109" s="307" t="str">
        <f t="shared" si="17"/>
        <v/>
      </c>
      <c r="AM109" s="319"/>
      <c r="AN109" s="40"/>
      <c r="AO109" s="1"/>
    </row>
    <row r="110" spans="5:41" x14ac:dyDescent="0.25">
      <c r="E110" s="5">
        <f t="shared" si="12"/>
        <v>0</v>
      </c>
      <c r="F110" s="5">
        <f t="shared" si="13"/>
        <v>11371.908376199319</v>
      </c>
      <c r="H110" s="5"/>
      <c r="I110" s="5"/>
      <c r="V110" s="54">
        <v>21</v>
      </c>
      <c r="W110" s="53" t="str">
        <f t="shared" si="18"/>
        <v/>
      </c>
      <c r="X110" s="51" t="str">
        <f t="shared" si="14"/>
        <v/>
      </c>
      <c r="Y110" s="51"/>
      <c r="Z110" s="51"/>
      <c r="AA110" s="51"/>
      <c r="AB110" s="52" t="str">
        <f t="shared" si="15"/>
        <v/>
      </c>
      <c r="AC110" s="51" t="str">
        <f t="shared" si="16"/>
        <v/>
      </c>
      <c r="AD110" s="51"/>
      <c r="AE110" s="51" t="str">
        <f t="shared" si="19"/>
        <v/>
      </c>
      <c r="AF110" s="51" t="str">
        <f t="shared" si="20"/>
        <v/>
      </c>
      <c r="AG110" s="51" t="str">
        <f t="shared" si="21"/>
        <v/>
      </c>
      <c r="AH110" s="51" t="str">
        <f t="shared" si="22"/>
        <v/>
      </c>
      <c r="AI110" s="51" t="str">
        <f t="shared" si="23"/>
        <v/>
      </c>
      <c r="AJ110" s="50" t="str">
        <f t="shared" si="24"/>
        <v/>
      </c>
      <c r="AK110" s="307" t="str">
        <f t="shared" si="17"/>
        <v/>
      </c>
      <c r="AM110" s="319"/>
      <c r="AN110" s="40"/>
      <c r="AO110" s="1"/>
    </row>
    <row r="111" spans="5:41" x14ac:dyDescent="0.25">
      <c r="E111" s="5">
        <f t="shared" si="12"/>
        <v>0</v>
      </c>
      <c r="F111" s="5">
        <f t="shared" si="13"/>
        <v>11371.908376199319</v>
      </c>
      <c r="H111" s="5"/>
      <c r="I111" s="5"/>
      <c r="V111" s="54">
        <v>22</v>
      </c>
      <c r="W111" s="53" t="str">
        <f t="shared" si="18"/>
        <v/>
      </c>
      <c r="X111" s="51" t="str">
        <f t="shared" si="14"/>
        <v/>
      </c>
      <c r="Y111" s="51"/>
      <c r="Z111" s="51"/>
      <c r="AA111" s="51"/>
      <c r="AB111" s="52" t="str">
        <f t="shared" si="15"/>
        <v/>
      </c>
      <c r="AC111" s="51" t="str">
        <f t="shared" si="16"/>
        <v/>
      </c>
      <c r="AD111" s="51"/>
      <c r="AE111" s="51" t="str">
        <f t="shared" si="19"/>
        <v/>
      </c>
      <c r="AF111" s="51" t="str">
        <f t="shared" si="20"/>
        <v/>
      </c>
      <c r="AG111" s="51" t="str">
        <f t="shared" si="21"/>
        <v/>
      </c>
      <c r="AH111" s="51" t="str">
        <f t="shared" si="22"/>
        <v/>
      </c>
      <c r="AI111" s="51" t="str">
        <f t="shared" si="23"/>
        <v/>
      </c>
      <c r="AJ111" s="50" t="str">
        <f t="shared" si="24"/>
        <v/>
      </c>
      <c r="AK111" s="307" t="str">
        <f t="shared" si="17"/>
        <v/>
      </c>
      <c r="AM111" s="319"/>
      <c r="AN111" s="40"/>
      <c r="AO111" s="1"/>
    </row>
    <row r="112" spans="5:41" x14ac:dyDescent="0.25">
      <c r="E112" s="5">
        <f t="shared" si="12"/>
        <v>0</v>
      </c>
      <c r="F112" s="5">
        <f t="shared" si="13"/>
        <v>11371.908376199319</v>
      </c>
      <c r="H112" s="5"/>
      <c r="I112" s="5"/>
      <c r="V112" s="54">
        <v>23</v>
      </c>
      <c r="W112" s="53" t="str">
        <f t="shared" si="18"/>
        <v/>
      </c>
      <c r="X112" s="51" t="str">
        <f t="shared" si="14"/>
        <v/>
      </c>
      <c r="Y112" s="51"/>
      <c r="Z112" s="51"/>
      <c r="AA112" s="51"/>
      <c r="AB112" s="52" t="str">
        <f t="shared" si="15"/>
        <v/>
      </c>
      <c r="AC112" s="51" t="str">
        <f t="shared" si="16"/>
        <v/>
      </c>
      <c r="AD112" s="51"/>
      <c r="AE112" s="51" t="str">
        <f t="shared" si="19"/>
        <v/>
      </c>
      <c r="AF112" s="51" t="str">
        <f t="shared" si="20"/>
        <v/>
      </c>
      <c r="AG112" s="51" t="str">
        <f t="shared" si="21"/>
        <v/>
      </c>
      <c r="AH112" s="51" t="str">
        <f t="shared" si="22"/>
        <v/>
      </c>
      <c r="AI112" s="51" t="str">
        <f t="shared" si="23"/>
        <v/>
      </c>
      <c r="AJ112" s="50" t="str">
        <f t="shared" si="24"/>
        <v/>
      </c>
      <c r="AK112" s="307" t="str">
        <f t="shared" si="17"/>
        <v/>
      </c>
      <c r="AM112" s="319"/>
      <c r="AN112" s="40"/>
      <c r="AO112" s="1"/>
    </row>
    <row r="113" spans="5:41" ht="15.75" thickBot="1" x14ac:dyDescent="0.3">
      <c r="E113" s="5">
        <f t="shared" si="12"/>
        <v>0</v>
      </c>
      <c r="F113" s="5">
        <f t="shared" si="13"/>
        <v>11371.908376199319</v>
      </c>
      <c r="H113" s="5"/>
      <c r="I113" s="5"/>
      <c r="V113" s="49">
        <v>24</v>
      </c>
      <c r="W113" s="48" t="str">
        <f t="shared" si="18"/>
        <v/>
      </c>
      <c r="X113" s="46" t="str">
        <f t="shared" si="14"/>
        <v/>
      </c>
      <c r="Y113" s="46"/>
      <c r="Z113" s="46"/>
      <c r="AA113" s="46"/>
      <c r="AB113" s="47" t="str">
        <f t="shared" si="15"/>
        <v/>
      </c>
      <c r="AC113" s="46" t="str">
        <f t="shared" si="16"/>
        <v/>
      </c>
      <c r="AD113" s="46"/>
      <c r="AE113" s="46" t="str">
        <f t="shared" si="19"/>
        <v/>
      </c>
      <c r="AF113" s="46" t="str">
        <f t="shared" si="20"/>
        <v/>
      </c>
      <c r="AG113" s="46" t="str">
        <f t="shared" si="21"/>
        <v/>
      </c>
      <c r="AH113" s="46" t="str">
        <f t="shared" si="22"/>
        <v/>
      </c>
      <c r="AI113" s="46" t="str">
        <f t="shared" si="23"/>
        <v/>
      </c>
      <c r="AJ113" s="45" t="str">
        <f t="shared" si="24"/>
        <v/>
      </c>
      <c r="AK113" s="308" t="str">
        <f t="shared" si="17"/>
        <v/>
      </c>
      <c r="AM113" s="319"/>
      <c r="AN113" s="40"/>
      <c r="AO113" s="1"/>
    </row>
    <row r="114" spans="5:41" ht="15.75" thickTop="1" x14ac:dyDescent="0.25">
      <c r="E114" s="5">
        <f t="shared" si="12"/>
        <v>0</v>
      </c>
      <c r="F114" s="5">
        <f t="shared" si="13"/>
        <v>11371.908376199319</v>
      </c>
      <c r="H114" s="5"/>
      <c r="I114" s="5"/>
      <c r="V114" s="44"/>
      <c r="W114" s="43">
        <f>IF(SUM(W$89:W$113)=0,"",SUM(W$89:W$113))</f>
        <v>49500</v>
      </c>
      <c r="X114" s="42">
        <f>IF(SUM(X$89:X$113)=0,"",SUM(X$89:X$113))</f>
        <v>-12574.446092133152</v>
      </c>
      <c r="Y114" s="42"/>
      <c r="Z114" s="42"/>
      <c r="AA114" s="42"/>
      <c r="AB114" s="42">
        <f>IF(SUM(AB$89:AB$113)=0,"",SUM(AB$89:AB$113))</f>
        <v>-20738.645531667531</v>
      </c>
      <c r="AC114" s="42">
        <f>IF(SUM(AC$89:AC$113)=0,"",SUM(AC$89:AC$113))</f>
        <v>1125</v>
      </c>
      <c r="AD114" s="42"/>
      <c r="AE114" s="42" t="str">
        <f t="shared" ref="AE114:AK114" si="25">IF(SUM(AE$89:AE$113)=0,"",SUM(AE$89:AE$113))</f>
        <v/>
      </c>
      <c r="AF114" s="42">
        <f t="shared" si="25"/>
        <v>-742.5</v>
      </c>
      <c r="AG114" s="42">
        <f t="shared" si="25"/>
        <v>-990</v>
      </c>
      <c r="AH114" s="42">
        <f t="shared" si="25"/>
        <v>-247.5</v>
      </c>
      <c r="AI114" s="42">
        <f t="shared" si="25"/>
        <v>-3960</v>
      </c>
      <c r="AJ114" s="309">
        <f t="shared" si="25"/>
        <v>-3960</v>
      </c>
      <c r="AK114" s="302">
        <f t="shared" si="25"/>
        <v>7411.908376199317</v>
      </c>
      <c r="AM114" s="319"/>
      <c r="AN114" s="40"/>
      <c r="AO114" s="1"/>
    </row>
    <row r="115" spans="5:41" x14ac:dyDescent="0.25">
      <c r="F115" s="5"/>
      <c r="H115" s="5"/>
      <c r="I115" s="5"/>
      <c r="AM115" s="319"/>
      <c r="AN115" s="40"/>
      <c r="AO115" s="1"/>
    </row>
    <row r="116" spans="5:41" x14ac:dyDescent="0.25">
      <c r="F116" s="5"/>
      <c r="H116" s="5"/>
      <c r="I116" s="5"/>
      <c r="AM116" s="319"/>
      <c r="AN116" s="40"/>
      <c r="AO116" s="1"/>
    </row>
    <row r="117" spans="5:41" x14ac:dyDescent="0.25">
      <c r="F117" s="5"/>
      <c r="H117" s="5"/>
      <c r="I117" s="5"/>
      <c r="AM117" s="319"/>
      <c r="AN117" s="40"/>
      <c r="AO117" s="1"/>
    </row>
    <row r="118" spans="5:41" x14ac:dyDescent="0.25">
      <c r="F118" s="5"/>
      <c r="H118" s="5"/>
      <c r="I118" s="5"/>
      <c r="AM118" s="319"/>
      <c r="AN118" s="40"/>
      <c r="AO118" s="1"/>
    </row>
    <row r="119" spans="5:41" x14ac:dyDescent="0.25">
      <c r="F119" s="5"/>
      <c r="H119" s="5"/>
      <c r="I119" s="5"/>
      <c r="AM119" s="319"/>
      <c r="AN119" s="40"/>
      <c r="AO119" s="1"/>
    </row>
    <row r="120" spans="5:41" x14ac:dyDescent="0.25">
      <c r="F120" s="5"/>
      <c r="H120" s="5"/>
      <c r="I120" s="5"/>
      <c r="AM120" s="319"/>
      <c r="AN120" s="40"/>
      <c r="AO120" s="1"/>
    </row>
    <row r="121" spans="5:41" x14ac:dyDescent="0.25">
      <c r="F121" s="5"/>
      <c r="H121" s="5"/>
      <c r="I121" s="5"/>
      <c r="AM121" s="319"/>
      <c r="AN121" s="40"/>
      <c r="AO121" s="1"/>
    </row>
    <row r="122" spans="5:41" x14ac:dyDescent="0.25">
      <c r="F122" s="5"/>
      <c r="H122" s="5"/>
      <c r="I122" s="5"/>
      <c r="AM122" s="319"/>
      <c r="AN122" s="40"/>
      <c r="AO122" s="1"/>
    </row>
    <row r="123" spans="5:41" x14ac:dyDescent="0.25">
      <c r="AM123" s="319"/>
      <c r="AN123" s="40"/>
      <c r="AO123" s="1"/>
    </row>
    <row r="124" spans="5:41" x14ac:dyDescent="0.25">
      <c r="AM124" s="319"/>
      <c r="AN124" s="40"/>
      <c r="AO124" s="1"/>
    </row>
    <row r="125" spans="5:41" x14ac:dyDescent="0.25">
      <c r="AM125" s="319"/>
      <c r="AN125" s="40"/>
      <c r="AO125" s="1"/>
    </row>
    <row r="126" spans="5:41" x14ac:dyDescent="0.25">
      <c r="AM126" s="319"/>
      <c r="AN126" s="40"/>
      <c r="AO126" s="1"/>
    </row>
    <row r="127" spans="5:41" x14ac:dyDescent="0.25">
      <c r="AM127" s="319"/>
      <c r="AN127" s="40"/>
      <c r="AO127" s="1"/>
    </row>
    <row r="128" spans="5:41" x14ac:dyDescent="0.25">
      <c r="AM128" s="319"/>
      <c r="AN128" s="40"/>
      <c r="AO128" s="1"/>
    </row>
    <row r="129" spans="39:41" x14ac:dyDescent="0.25">
      <c r="AM129" s="319"/>
      <c r="AN129" s="40"/>
      <c r="AO129" s="1"/>
    </row>
    <row r="130" spans="39:41" x14ac:dyDescent="0.25">
      <c r="AM130" s="319"/>
      <c r="AN130" s="40"/>
      <c r="AO130" s="1"/>
    </row>
    <row r="131" spans="39:41" x14ac:dyDescent="0.25">
      <c r="AM131" s="319"/>
      <c r="AN131" s="40"/>
      <c r="AO131" s="1"/>
    </row>
    <row r="132" spans="39:41" x14ac:dyDescent="0.25">
      <c r="AM132" s="319"/>
      <c r="AN132" s="40"/>
      <c r="AO132" s="1"/>
    </row>
    <row r="133" spans="39:41" x14ac:dyDescent="0.25">
      <c r="AM133" s="319"/>
      <c r="AN133" s="40"/>
      <c r="AO133" s="1"/>
    </row>
    <row r="134" spans="39:41" x14ac:dyDescent="0.25">
      <c r="AM134" s="319"/>
      <c r="AN134" s="40"/>
      <c r="AO134" s="1"/>
    </row>
    <row r="135" spans="39:41" x14ac:dyDescent="0.25">
      <c r="AM135" s="319"/>
      <c r="AN135" s="40"/>
      <c r="AO135" s="1"/>
    </row>
    <row r="136" spans="39:41" x14ac:dyDescent="0.25">
      <c r="AM136" s="319"/>
      <c r="AN136" s="40"/>
      <c r="AO136" s="1"/>
    </row>
    <row r="137" spans="39:41" x14ac:dyDescent="0.25">
      <c r="AM137" s="319"/>
      <c r="AN137" s="40"/>
      <c r="AO137" s="1"/>
    </row>
    <row r="138" spans="39:41" x14ac:dyDescent="0.25">
      <c r="AM138" s="319"/>
      <c r="AN138" s="40"/>
      <c r="AO138" s="1"/>
    </row>
    <row r="139" spans="39:41" x14ac:dyDescent="0.25">
      <c r="AM139" s="319"/>
      <c r="AN139" s="40"/>
      <c r="AO139" s="1"/>
    </row>
    <row r="140" spans="39:41" x14ac:dyDescent="0.25">
      <c r="AM140" s="319"/>
      <c r="AN140" s="40"/>
      <c r="AO140" s="1"/>
    </row>
    <row r="141" spans="39:41" x14ac:dyDescent="0.25">
      <c r="AM141" s="319"/>
      <c r="AN141" s="40"/>
      <c r="AO141" s="1"/>
    </row>
    <row r="142" spans="39:41" x14ac:dyDescent="0.25">
      <c r="AM142" s="319"/>
      <c r="AN142" s="40"/>
      <c r="AO142" s="1"/>
    </row>
    <row r="143" spans="39:41" x14ac:dyDescent="0.25">
      <c r="AM143" s="319"/>
      <c r="AN143" s="40"/>
      <c r="AO143" s="1"/>
    </row>
    <row r="144" spans="39:41" x14ac:dyDescent="0.25">
      <c r="AM144" s="319"/>
      <c r="AN144" s="40"/>
      <c r="AO144" s="1"/>
    </row>
    <row r="145" spans="39:41" x14ac:dyDescent="0.25">
      <c r="AM145" s="319"/>
      <c r="AN145" s="40"/>
      <c r="AO145" s="1"/>
    </row>
    <row r="146" spans="39:41" x14ac:dyDescent="0.25">
      <c r="AM146" s="319"/>
      <c r="AN146" s="40"/>
      <c r="AO146" s="1"/>
    </row>
    <row r="147" spans="39:41" x14ac:dyDescent="0.25">
      <c r="AM147" s="319"/>
      <c r="AN147" s="40"/>
      <c r="AO147" s="1"/>
    </row>
    <row r="148" spans="39:41" x14ac:dyDescent="0.25">
      <c r="AM148" s="319"/>
      <c r="AN148" s="40"/>
      <c r="AO148" s="1"/>
    </row>
    <row r="149" spans="39:41" x14ac:dyDescent="0.25">
      <c r="AM149" s="319"/>
      <c r="AN149" s="40"/>
      <c r="AO149" s="1"/>
    </row>
    <row r="150" spans="39:41" x14ac:dyDescent="0.25">
      <c r="AM150" s="319"/>
      <c r="AN150" s="40"/>
      <c r="AO150" s="1"/>
    </row>
    <row r="151" spans="39:41" x14ac:dyDescent="0.25">
      <c r="AM151" s="319"/>
      <c r="AN151" s="40"/>
      <c r="AO151" s="1"/>
    </row>
    <row r="152" spans="39:41" x14ac:dyDescent="0.25">
      <c r="AM152" s="319"/>
      <c r="AN152" s="40"/>
      <c r="AO152" s="1"/>
    </row>
    <row r="153" spans="39:41" x14ac:dyDescent="0.25">
      <c r="AM153" s="319"/>
      <c r="AN153" s="40"/>
      <c r="AO153" s="1"/>
    </row>
    <row r="154" spans="39:41" x14ac:dyDescent="0.25">
      <c r="AM154" s="319"/>
      <c r="AN154" s="40"/>
      <c r="AO154" s="1"/>
    </row>
    <row r="155" spans="39:41" x14ac:dyDescent="0.25">
      <c r="AM155" s="319"/>
      <c r="AN155" s="40"/>
      <c r="AO155" s="1"/>
    </row>
    <row r="156" spans="39:41" x14ac:dyDescent="0.25">
      <c r="AM156" s="319"/>
      <c r="AN156" s="40"/>
      <c r="AO156" s="1"/>
    </row>
    <row r="157" spans="39:41" x14ac:dyDescent="0.25">
      <c r="AM157" s="319"/>
      <c r="AN157" s="40"/>
      <c r="AO157" s="1"/>
    </row>
    <row r="158" spans="39:41" x14ac:dyDescent="0.25">
      <c r="AM158" s="319"/>
      <c r="AN158" s="40"/>
      <c r="AO158" s="1"/>
    </row>
    <row r="159" spans="39:41" x14ac:dyDescent="0.25">
      <c r="AM159" s="41"/>
      <c r="AN159" s="40"/>
      <c r="AO159" s="1"/>
    </row>
    <row r="160" spans="39:41" x14ac:dyDescent="0.25">
      <c r="AM160" s="319"/>
      <c r="AN160" s="40"/>
      <c r="AO160" s="1"/>
    </row>
    <row r="161" spans="7:41" x14ac:dyDescent="0.25">
      <c r="AM161" s="319"/>
      <c r="AN161" s="40"/>
      <c r="AO161" s="1"/>
    </row>
    <row r="162" spans="7:41" x14ac:dyDescent="0.25">
      <c r="AM162" s="319"/>
      <c r="AN162" s="40"/>
      <c r="AO162" s="1"/>
    </row>
    <row r="163" spans="7:41" x14ac:dyDescent="0.25">
      <c r="AM163" s="319"/>
      <c r="AN163" s="40"/>
      <c r="AO163" s="1"/>
    </row>
    <row r="164" spans="7:41" x14ac:dyDescent="0.25">
      <c r="AM164" s="319"/>
      <c r="AN164" s="40"/>
      <c r="AO164" s="1"/>
    </row>
    <row r="165" spans="7:41" x14ac:dyDescent="0.25">
      <c r="K165" s="800" t="s">
        <v>116</v>
      </c>
      <c r="L165" s="800"/>
      <c r="M165" s="800"/>
      <c r="N165" s="800"/>
      <c r="O165" s="800"/>
      <c r="P165" s="800"/>
      <c r="Q165" s="800"/>
      <c r="R165" s="800"/>
      <c r="S165" s="800"/>
      <c r="T165" s="800"/>
      <c r="U165" s="800"/>
      <c r="V165" s="800"/>
      <c r="W165" s="800"/>
      <c r="X165" s="800"/>
      <c r="Y165" s="800"/>
      <c r="Z165" s="800"/>
      <c r="AA165" s="800"/>
      <c r="AB165" s="800"/>
      <c r="AC165" s="800"/>
      <c r="AD165" s="800"/>
      <c r="AE165" s="800"/>
      <c r="AF165" s="800"/>
      <c r="AG165" s="800"/>
      <c r="AH165" s="800"/>
      <c r="AI165" s="800"/>
      <c r="AJ165" s="800"/>
      <c r="AK165" s="800"/>
      <c r="AM165" s="319"/>
      <c r="AN165" s="40"/>
      <c r="AO165" s="1"/>
    </row>
    <row r="166" spans="7:41" x14ac:dyDescent="0.25">
      <c r="K166" s="800"/>
      <c r="L166" s="800"/>
      <c r="M166" s="800"/>
      <c r="N166" s="800"/>
      <c r="O166" s="800"/>
      <c r="P166" s="800"/>
      <c r="Q166" s="800"/>
      <c r="R166" s="800"/>
      <c r="S166" s="800"/>
      <c r="T166" s="800"/>
      <c r="U166" s="800"/>
      <c r="V166" s="800"/>
      <c r="W166" s="800"/>
      <c r="X166" s="800"/>
      <c r="Y166" s="800"/>
      <c r="Z166" s="800"/>
      <c r="AA166" s="800"/>
      <c r="AB166" s="800"/>
      <c r="AC166" s="800"/>
      <c r="AD166" s="800"/>
      <c r="AE166" s="800"/>
      <c r="AF166" s="800"/>
      <c r="AG166" s="800"/>
      <c r="AH166" s="800"/>
      <c r="AI166" s="800"/>
      <c r="AJ166" s="800"/>
      <c r="AK166" s="800"/>
      <c r="AM166" s="319"/>
      <c r="AN166" s="40"/>
      <c r="AO166" s="1"/>
    </row>
    <row r="167" spans="7:41" x14ac:dyDescent="0.25">
      <c r="N167" s="803" t="s">
        <v>117</v>
      </c>
      <c r="O167" s="804"/>
      <c r="P167" s="804"/>
      <c r="Q167" s="804"/>
      <c r="R167" s="805"/>
      <c r="S167" s="319"/>
      <c r="T167" s="319"/>
      <c r="AE167" s="319"/>
      <c r="AM167" s="319"/>
      <c r="AN167" s="40"/>
      <c r="AO167" s="1"/>
    </row>
    <row r="168" spans="7:41" ht="15" customHeight="1" x14ac:dyDescent="0.25">
      <c r="K168" s="806" t="s">
        <v>118</v>
      </c>
      <c r="L168" s="809" t="s">
        <v>119</v>
      </c>
      <c r="M168" s="812" t="s">
        <v>120</v>
      </c>
      <c r="N168" s="815" t="s">
        <v>121</v>
      </c>
      <c r="O168" s="818" t="s">
        <v>50</v>
      </c>
      <c r="P168" s="818" t="s">
        <v>122</v>
      </c>
      <c r="Q168" s="818" t="s">
        <v>123</v>
      </c>
      <c r="R168" s="821" t="s">
        <v>124</v>
      </c>
      <c r="S168" s="824" t="s">
        <v>4</v>
      </c>
      <c r="T168" s="147"/>
      <c r="U168" s="827" t="s">
        <v>92</v>
      </c>
      <c r="V168" s="821" t="s">
        <v>125</v>
      </c>
      <c r="W168" s="830" t="s">
        <v>126</v>
      </c>
      <c r="X168" s="818" t="s">
        <v>127</v>
      </c>
      <c r="Y168" s="331"/>
      <c r="Z168" s="331"/>
      <c r="AA168" s="331"/>
      <c r="AB168" s="818" t="s">
        <v>128</v>
      </c>
      <c r="AC168" s="818" t="s">
        <v>129</v>
      </c>
      <c r="AD168" s="818" t="s">
        <v>130</v>
      </c>
      <c r="AE168" s="818" t="s">
        <v>131</v>
      </c>
      <c r="AF168" s="818" t="str">
        <f>CONCATENATE("Σ ",$L$68," $")</f>
        <v>Σ Marketing $</v>
      </c>
      <c r="AG168" s="818" t="str">
        <f>CONCATENATE("Σ ",$L$69," $")</f>
        <v>Σ Leadership $</v>
      </c>
      <c r="AH168" s="818" t="str">
        <f>CONCATENATE("Σ ",$L$70," $")</f>
        <v>Σ Sales Manager $</v>
      </c>
      <c r="AI168" s="818" t="str">
        <f>CONCATENATE("Σ ",$L$71," $")</f>
        <v>Σ Sales engineer $</v>
      </c>
      <c r="AJ168" s="818" t="str">
        <f>CONCATENATE("Σ ",$L$72," $")</f>
        <v>Σ Account Rep $</v>
      </c>
      <c r="AK168" s="833" t="str">
        <f>CONCATENATE("Σ ",$L$73," $")</f>
        <v>Σ Field Rep $</v>
      </c>
      <c r="AM168" s="319"/>
      <c r="AN168" s="40"/>
      <c r="AO168" s="1"/>
    </row>
    <row r="169" spans="7:41" x14ac:dyDescent="0.25">
      <c r="K169" s="807"/>
      <c r="L169" s="810"/>
      <c r="M169" s="813"/>
      <c r="N169" s="816"/>
      <c r="O169" s="819"/>
      <c r="P169" s="819"/>
      <c r="Q169" s="819"/>
      <c r="R169" s="822"/>
      <c r="S169" s="825"/>
      <c r="T169" s="148"/>
      <c r="U169" s="828"/>
      <c r="V169" s="822"/>
      <c r="W169" s="831"/>
      <c r="X169" s="819"/>
      <c r="Y169" s="332"/>
      <c r="Z169" s="332"/>
      <c r="AA169" s="332"/>
      <c r="AB169" s="819"/>
      <c r="AC169" s="819"/>
      <c r="AD169" s="819"/>
      <c r="AE169" s="819"/>
      <c r="AF169" s="819"/>
      <c r="AG169" s="819"/>
      <c r="AH169" s="819"/>
      <c r="AI169" s="819"/>
      <c r="AJ169" s="819"/>
      <c r="AK169" s="834"/>
      <c r="AM169" s="319"/>
      <c r="AN169" s="40"/>
      <c r="AO169" s="1"/>
    </row>
    <row r="170" spans="7:41" x14ac:dyDescent="0.25">
      <c r="K170" s="807"/>
      <c r="L170" s="810"/>
      <c r="M170" s="813"/>
      <c r="N170" s="816"/>
      <c r="O170" s="819"/>
      <c r="P170" s="819"/>
      <c r="Q170" s="819"/>
      <c r="R170" s="822"/>
      <c r="S170" s="825"/>
      <c r="T170" s="148"/>
      <c r="U170" s="828"/>
      <c r="V170" s="822"/>
      <c r="W170" s="831"/>
      <c r="X170" s="819"/>
      <c r="Y170" s="332"/>
      <c r="Z170" s="332"/>
      <c r="AA170" s="332"/>
      <c r="AB170" s="819"/>
      <c r="AC170" s="819"/>
      <c r="AD170" s="819"/>
      <c r="AE170" s="819"/>
      <c r="AF170" s="819"/>
      <c r="AG170" s="819"/>
      <c r="AH170" s="819"/>
      <c r="AI170" s="819"/>
      <c r="AJ170" s="819"/>
      <c r="AK170" s="834"/>
      <c r="AM170" s="319"/>
      <c r="AN170" s="40"/>
      <c r="AO170" s="1"/>
    </row>
    <row r="171" spans="7:41" x14ac:dyDescent="0.25">
      <c r="K171" s="807"/>
      <c r="L171" s="810"/>
      <c r="M171" s="813"/>
      <c r="N171" s="816"/>
      <c r="O171" s="819"/>
      <c r="P171" s="819"/>
      <c r="Q171" s="819"/>
      <c r="R171" s="822"/>
      <c r="S171" s="825"/>
      <c r="T171" s="148"/>
      <c r="U171" s="828"/>
      <c r="V171" s="822"/>
      <c r="W171" s="831"/>
      <c r="X171" s="819"/>
      <c r="Y171" s="332"/>
      <c r="Z171" s="332"/>
      <c r="AA171" s="332"/>
      <c r="AB171" s="819"/>
      <c r="AC171" s="819"/>
      <c r="AD171" s="819"/>
      <c r="AE171" s="819"/>
      <c r="AF171" s="819"/>
      <c r="AG171" s="819"/>
      <c r="AH171" s="819"/>
      <c r="AI171" s="819"/>
      <c r="AJ171" s="819"/>
      <c r="AK171" s="834"/>
      <c r="AM171" s="319"/>
      <c r="AN171" s="40"/>
      <c r="AO171" s="1"/>
    </row>
    <row r="172" spans="7:41" x14ac:dyDescent="0.25">
      <c r="K172" s="807"/>
      <c r="L172" s="810"/>
      <c r="M172" s="813"/>
      <c r="N172" s="816"/>
      <c r="O172" s="819"/>
      <c r="P172" s="819"/>
      <c r="Q172" s="819"/>
      <c r="R172" s="822"/>
      <c r="S172" s="825"/>
      <c r="T172" s="148"/>
      <c r="U172" s="828"/>
      <c r="V172" s="822"/>
      <c r="W172" s="831"/>
      <c r="X172" s="819"/>
      <c r="Y172" s="332"/>
      <c r="Z172" s="332"/>
      <c r="AA172" s="332"/>
      <c r="AB172" s="819"/>
      <c r="AC172" s="819"/>
      <c r="AD172" s="819"/>
      <c r="AE172" s="819"/>
      <c r="AF172" s="819"/>
      <c r="AG172" s="819"/>
      <c r="AH172" s="819"/>
      <c r="AI172" s="819"/>
      <c r="AJ172" s="819"/>
      <c r="AK172" s="834"/>
      <c r="AM172" s="319"/>
      <c r="AN172" s="40"/>
      <c r="AO172" s="1"/>
    </row>
    <row r="173" spans="7:41" x14ac:dyDescent="0.25">
      <c r="K173" s="807"/>
      <c r="L173" s="810"/>
      <c r="M173" s="813"/>
      <c r="N173" s="816"/>
      <c r="O173" s="819"/>
      <c r="P173" s="819"/>
      <c r="Q173" s="819"/>
      <c r="R173" s="822"/>
      <c r="S173" s="825"/>
      <c r="T173" s="148"/>
      <c r="U173" s="828"/>
      <c r="V173" s="822"/>
      <c r="W173" s="831"/>
      <c r="X173" s="819"/>
      <c r="Y173" s="332"/>
      <c r="Z173" s="332"/>
      <c r="AA173" s="332"/>
      <c r="AB173" s="819"/>
      <c r="AC173" s="819"/>
      <c r="AD173" s="819"/>
      <c r="AE173" s="819"/>
      <c r="AF173" s="819"/>
      <c r="AG173" s="819"/>
      <c r="AH173" s="819"/>
      <c r="AI173" s="819"/>
      <c r="AJ173" s="819"/>
      <c r="AK173" s="834"/>
      <c r="AM173" s="319"/>
      <c r="AN173" s="40"/>
      <c r="AO173" s="1"/>
    </row>
    <row r="174" spans="7:41" x14ac:dyDescent="0.25">
      <c r="K174" s="807"/>
      <c r="L174" s="810"/>
      <c r="M174" s="813"/>
      <c r="N174" s="816"/>
      <c r="O174" s="819"/>
      <c r="P174" s="819"/>
      <c r="Q174" s="819"/>
      <c r="R174" s="822"/>
      <c r="S174" s="825"/>
      <c r="T174" s="148"/>
      <c r="U174" s="828"/>
      <c r="V174" s="822"/>
      <c r="W174" s="831"/>
      <c r="X174" s="819"/>
      <c r="Y174" s="332"/>
      <c r="Z174" s="332"/>
      <c r="AA174" s="332"/>
      <c r="AB174" s="819"/>
      <c r="AC174" s="819"/>
      <c r="AD174" s="819"/>
      <c r="AE174" s="819"/>
      <c r="AF174" s="819"/>
      <c r="AG174" s="819"/>
      <c r="AH174" s="819"/>
      <c r="AI174" s="819"/>
      <c r="AJ174" s="819"/>
      <c r="AK174" s="834"/>
      <c r="AM174" s="319"/>
      <c r="AN174" s="40"/>
      <c r="AO174" s="1"/>
    </row>
    <row r="175" spans="7:41" ht="15.75" thickBot="1" x14ac:dyDescent="0.3">
      <c r="K175" s="808"/>
      <c r="L175" s="811"/>
      <c r="M175" s="814"/>
      <c r="N175" s="817"/>
      <c r="O175" s="820"/>
      <c r="P175" s="820"/>
      <c r="Q175" s="820"/>
      <c r="R175" s="823"/>
      <c r="S175" s="826"/>
      <c r="T175" s="149"/>
      <c r="U175" s="829"/>
      <c r="V175" s="823"/>
      <c r="W175" s="832"/>
      <c r="X175" s="820"/>
      <c r="Y175" s="333"/>
      <c r="Z175" s="333"/>
      <c r="AA175" s="333"/>
      <c r="AB175" s="820"/>
      <c r="AC175" s="820"/>
      <c r="AD175" s="820"/>
      <c r="AE175" s="820"/>
      <c r="AF175" s="820"/>
      <c r="AG175" s="820"/>
      <c r="AH175" s="820"/>
      <c r="AI175" s="820"/>
      <c r="AJ175" s="820"/>
      <c r="AK175" s="835"/>
      <c r="AM175" s="319"/>
      <c r="AN175" s="40"/>
      <c r="AO175" s="1"/>
    </row>
    <row r="176" spans="7:41" x14ac:dyDescent="0.25">
      <c r="G176" s="235" t="str">
        <f t="shared" ref="G176:G239" si="26">IF(RIGHT(H176,2)=".N","NEW",IF(SUM(N176:R176)=0,"",LEFT(H176,5)))</f>
        <v>NEW</v>
      </c>
      <c r="H176" s="4" t="str">
        <f t="shared" ref="H176:H239" si="27">IF(SUM(N176:R176)&gt;0,CONCATENATE(IF(LEN(ROUNDDOWN(S176,0))=1,CONCATENATE("0",ROUNDDOWN(S176,0)),ROUNDDOWN(S176,0)),".",IF(LEN(ROUND(MOD(S176,1)*100,0))=1,CONCATENATE("0",ROUND(MOD(S176,1)*100,0)),ROUND(MOD(S176,1)*100,0)),IF(N176&lt;&gt;"",".N",IF(O176&lt;&gt;"",".R",IF(P176&lt;&gt;"",".O",IF(Q176&lt;&gt;"",".I",IF(R176&lt;&gt;"",".D","")))))),"")</f>
        <v>00.00.N</v>
      </c>
      <c r="I176" s="11" t="str">
        <f t="shared" ref="I176:I239" si="28">CONCATENATE(IF(LEN(ROUNDDOWN(S176,0))=1,CONCATENATE("0",ROUNDDOWN(S176,0)),ROUNDDOWN(S176,0)),".",IF(LEN(ROUND(MOD(S176,1)*100,0))=1,CONCATENATE("0",ROUND(MOD(S176,1)*100,0)),ROUND(MOD(S176,1)*100,0)),IF(N176&lt;&gt;"",".N.",IF(O176&lt;&gt;"",".R.",IF(P176&lt;&gt;"",".O.",IF(Q176&lt;&gt;"",".I.",IF(R176&lt;&gt;"",".D.",""))))),IF(N176&lt;&gt;"",N176,IF(O176&lt;&gt;"",O176,IF(P176&lt;&gt;"",P176,IF(Q176&lt;&gt;"",Q176,IF(R176&lt;&gt;"",IF(MOD(R176,$N$44)=0,$N$44,MOD(R176,$N$44)),""))))))</f>
        <v>00.00.N.1</v>
      </c>
      <c r="K176" s="39">
        <v>1</v>
      </c>
      <c r="L176" s="38">
        <f>VALUE(ROUND(M176,6))</f>
        <v>-12404.023991</v>
      </c>
      <c r="M176" s="28">
        <f t="shared" ref="M176:M239" si="29">IFERROR(IF(IF($K176=1,(($M$23*-1)+($M$24*-1)),IF(ISNUMBER(W176),W176,0)+IF(ISNUMBER(X176),X176,0)+IF(ISNUMBER(AB176),AB176,0)+IF(ISNUMBER(AE176),AE176,0)+IF(ISNUMBER(AF176),AF176,0)+IF(ISNUMBER(AG176),AG176,0)+IF(ISNUMBER(AH176),AH176,0)+IF(ISNUMBER(AI176),AI176,0)+IF(ISNUMBER(AK176),AK176,0))=0,"",IF($K176=1,(($M$23*-1)+($M$24*-1)),IF(ISNUMBER(W176),W176,0)+IF(ISNUMBER(X176),X176,0)+IF(ISNUMBER(AB176),AB176,0)+IF(ISNUMBER(AE176),AE176,0)+IF(ISNUMBER(AF176),AF176,0)+IF(ISNUMBER(AG176),AG176,0)+IF(ISNUMBER(AH176),AH176,0)+IF(ISNUMBER(AI176),AI176,0)+IF(ISNUMBER(AK176),AK176,0))),"")</f>
        <v>-12404.023990991602</v>
      </c>
      <c r="N176" s="36">
        <v>1</v>
      </c>
      <c r="O176" s="26" t="str">
        <f>IF(AND($Q175=$O$38,IFERROR(LARGE($V175:$V$176,1)&lt;$N$42,TRUE)),1,IF(AND(ISNUMBER($O175),$O175&lt;$N$32),$O175+1,""))</f>
        <v/>
      </c>
      <c r="P176" s="35" t="str">
        <f>IF(OR($N168=$N$25,O168=$N$32),1,IF(AND($P168&lt;$O$37,P168&gt;0),P168+1,""))</f>
        <v/>
      </c>
      <c r="Q176" s="35" t="str">
        <f t="shared" ref="Q176:Q239" si="30">IF($R175=($N$43*$N$44),1,IF(AND(ISNUMBER($Q175),$Q175&lt;$O$38),$Q175+1,""))</f>
        <v/>
      </c>
      <c r="R176" s="33" t="str">
        <f>IF(AND($P168=$O$37,$R168=""),1,IF($R168&lt;($N$43*$N$44),$R168+1,""))</f>
        <v/>
      </c>
      <c r="S176" s="181">
        <v>0</v>
      </c>
      <c r="T176" s="150"/>
      <c r="U176" s="34" t="str">
        <f t="shared" ref="U176:U239" si="31">IF(ISNUMBER($R176),ROUNDUP($R176/$N$44,0),"")</f>
        <v/>
      </c>
      <c r="V176" s="33" t="str">
        <f>IF(AND(ISNUMBER(R168),ISNUMBER(R176)),V168,IF(AND(R168="",ISNUMBER(R176)),IFERROR(LARGE($V168:$V$176,1)+1,0),""))</f>
        <v/>
      </c>
      <c r="W176" s="32" t="str">
        <f t="shared" ref="W176:W239" si="32">IF($O176=1,($M$30*-1),"")</f>
        <v/>
      </c>
      <c r="X176" s="31">
        <f t="shared" ref="X176:X239" si="33">IF($K176=1,($M$24*-1),IF($O176=1,($M$31*-1),""))</f>
        <v>-7976.4021275644345</v>
      </c>
      <c r="Y176" s="31"/>
      <c r="Z176" s="31"/>
      <c r="AA176" s="31"/>
      <c r="AB176" s="22" t="str" cm="1">
        <f t="array" ref="AB176">IF(IF(AND($P175="",$P176=1),($N$37*-1),0)+IF(AND($Q175="",$Q176=1),($N$38*-1),0)+IF(IF(($K176-$N$48)&lt;1,0,IF(IF(INDEX($AD$176:$AD$905,($K176-$N$48))="",0,INDEX($AD$176:$AD$905,($K176-$N$48)))&gt;0,IF(INDEX($AD$176:$AD$905,($K176-$N$48))="",0,INDEX($AD$176:$AD$905,($K176-$N$48))),0))="",0,IF(($K176-$N$48)&lt;1,0,IF(IF(INDEX($AD$176:$AD$905,($K176-$N$48))="",0,INDEX($AD$176:$AD$905,($K176-$N$48)))&gt;0,IF(INDEX($AD$176:$AD$905,($K176-$N$48))="",0,INDEX($AD$176:$AD$905,($K176-$N$48))),0)))=0,"",IF(AND($P175="",$P176=1),($N$37*-1),0)+IF(AND($Q175="",$Q176=1),($N$38*-1),0)+IF(IF(($K176-$N$48)&lt;1,0,IF(IF(INDEX($AD$176:$AD$905,($K176-$N$48))="",0,INDEX($AD$176:$AD$905,($K176-$N$48)))&gt;0,IF(INDEX($AD$176:$AD$905,($K176-$N$48))="",0,INDEX($AD$176:$AD$905,($K176-$N$48))),0))="",0,IF(($K176-$N$48)&lt;1,0,IF(IF(INDEX($AD$176:$AD$905,($K176-$N$48))="",0,INDEX($AD$176:$AD$905,($K176-$N$48)))&gt;0,IF(INDEX($AD$176:$AD$905,($K176-$N$48))="",0,INDEX($AD$176:$AD$905,($K176-$N$48))),0))))</f>
        <v/>
      </c>
      <c r="AC176" s="22" t="str">
        <f t="shared" ref="AC176:AC239" si="34">IF(IF(OR(AND(ISNUMBER($U176),IF(ISNUMBER($U177),$U177,0)-IF(ISNUMBER($U176),$U176,0)=1),AND(ISNUMBER($U176),$U177="")),VLOOKUP(IF($U176&gt;$L$63,$L$63,$U176),$L$52:$N$63,COLUMNS($L$52:$N$52),FALSE),0)=0,"",IF(OR(AND(ISNUMBER($U176),IF(ISNUMBER($U177),$U177,0)-IF(ISNUMBER($U176),$U176,0)=1),AND(ISNUMBER($U176),$U177="")),VLOOKUP(IF($U176&gt;$L$63,$L$63,$U176),$L$52:$N$63,COLUMNS($L$52:$N$52),FALSE),0))</f>
        <v/>
      </c>
      <c r="AD176" s="31" t="str">
        <f t="shared" ref="AD176:AD190" si="35">IF(IF(OR(AND(ISNUMBER($U176),IF(ISNUMBER($U177),$U177,0)-IF(ISNUMBER($U176),$U176,0)=1),AND(ISNUMBER($U176),$U177="")),IF($U176=1,$P$37,0),0)=0,"",IF(OR(AND(ISNUMBER($U176),IF(ISNUMBER($U177),$U177,0)-IF(ISNUMBER($U176),$U176,0)=1),AND(ISNUMBER($U176),$U177="")),IF($U176=1,$P$37,0),0))</f>
        <v/>
      </c>
      <c r="AE176" s="31" t="str" cm="1">
        <f t="array" ref="AE176">IF(($K176-$N$48)&lt;1,"",IF((IF(INDEX($AC$176:$AC$905,($K176-$N$48))="",0,INDEX($AC$176:$AC$905,($K176-$N$48))))=0,"",(IF(INDEX($AC$176:$AC$905,($K176-$N$48))="",0,INDEX($AC$176:$AC$905,($K176-$N$48))))))</f>
        <v/>
      </c>
      <c r="AF176" s="31" t="str">
        <f t="shared" ref="AF176:AF239" si="36">IF($O$67="Invoice",IF(AND(ISNUMBER($AC176),ISNUMBER($O$68)),$AC176*$O$68*-1,""),IF($O$67="Payment",IF(AND(ISNUMBER($AE176),ISNUMBER($O$68)),$AE176*$O$68*-1,""),""))</f>
        <v/>
      </c>
      <c r="AG176" s="31" t="str">
        <f t="shared" ref="AG176:AG239" si="37">IF($O$67="Invoice",IF(AND(ISNUMBER($AC176),ISNUMBER($O$69)),$AC176*$O$69*-1,""),IF($O$67="Payment",IF(AND(ISNUMBER($AE176),ISNUMBER($O$69)),$AE176*$O$69*-1,""),""))</f>
        <v/>
      </c>
      <c r="AH176" s="31" t="str">
        <f t="shared" ref="AH176:AH239" si="38">IF($O$67="Invoice",IF(AND(ISNUMBER($AC176),ISNUMBER($O$70)),$AC176*$O$70*-1,""),IF($O$67="Payment",IF(AND(ISNUMBER($AE176),ISNUMBER($O$70)),$AE176*$O$70*-1,""),""))</f>
        <v/>
      </c>
      <c r="AI176" s="31" t="str">
        <f t="shared" ref="AI176:AI239" si="39">IF($O$67="Invoice",IF(AND(ISNUMBER($AC176),ISNUMBER($O$71)),$AC176*$O$71*-1,""),IF($O$67="Payment",IF(AND(ISNUMBER($AE176),ISNUMBER($O$71)),$AE176*$O$71*-1,""),""))</f>
        <v/>
      </c>
      <c r="AJ176" s="303" t="str">
        <f t="shared" ref="AJ176:AJ239" si="40">IF($O$67="Invoice",IF(AND(ISNUMBER($AC176),ISNUMBER($O$72)),$AC176*$O$72*-1,""),IF($O$67="Payment",IF(AND(ISNUMBER($AE176),ISNUMBER($O$72)),$AE176*$O$72*-1,""),""))</f>
        <v/>
      </c>
      <c r="AK176" s="139" t="str">
        <f t="shared" ref="AK176:AK239" si="41">IF($O$67="Invoice",IF(AND(ISNUMBER($AC176),ISNUMBER($O$73)),$AC176*$O$73*-1,""),IF($O$67="Payment",IF(AND(ISNUMBER($AE176),ISNUMBER($O$73)),$AE176*$O$73*-1,""),""))</f>
        <v/>
      </c>
      <c r="AM176" s="319"/>
      <c r="AN176" s="40"/>
      <c r="AO176" s="1"/>
    </row>
    <row r="177" spans="7:43" x14ac:dyDescent="0.25">
      <c r="G177" s="235" t="str">
        <f t="shared" si="26"/>
        <v>NEW</v>
      </c>
      <c r="H177" s="4" t="str">
        <f t="shared" si="27"/>
        <v>00.00.N</v>
      </c>
      <c r="I177" s="11" t="str">
        <f t="shared" si="28"/>
        <v>00.00.N.2</v>
      </c>
      <c r="K177" s="30">
        <v>2</v>
      </c>
      <c r="L177" s="29">
        <f t="shared" ref="L177:L240" si="42">IF(ISNUMBER($M177),$M177+$L176,$L176)</f>
        <v>-12404.023991</v>
      </c>
      <c r="M177" s="28" t="str">
        <f t="shared" si="29"/>
        <v/>
      </c>
      <c r="N177" s="27">
        <f t="shared" ref="N177:N240" si="43">IF($K176&lt;$N$25,$N176+1,"")</f>
        <v>2</v>
      </c>
      <c r="O177" s="26" t="str">
        <f>IF(AND($Q176=$O$38,IFERROR(LARGE($V$176:$V176,1)&lt;$N$42,TRUE)),1,IF(AND(ISNUMBER($O176),$O176&lt;$N$32),$O176+1,""))</f>
        <v/>
      </c>
      <c r="P177" s="26" t="str">
        <f t="shared" ref="P177:P240" si="44">IF(OR($N176=$N$25,O176=$N$32),1,IF(AND($P176&lt;$O$37,P176&gt;0),P176+1,""))</f>
        <v/>
      </c>
      <c r="Q177" s="26" t="str">
        <f t="shared" si="30"/>
        <v/>
      </c>
      <c r="R177" s="24" t="str">
        <f t="shared" ref="R177:R240" si="45">IF(AND($P176=$O$37,$R176=""),1,IF($R176&lt;($N$43*$N$44),$R176+1,""))</f>
        <v/>
      </c>
      <c r="S177" s="180">
        <f t="shared" ref="S177:S217" si="46">IF($Q177=1,ROUNDDOWN($S176,0)+1,IF($R177=1,$S176+0.01,IF(ISNUMBER($U177),IF(AND($U177&gt;1,($U177-$U176)=1),$S176+0.01,$S176),$S176)))</f>
        <v>0</v>
      </c>
      <c r="T177" s="151"/>
      <c r="U177" s="25" t="str">
        <f t="shared" si="31"/>
        <v/>
      </c>
      <c r="V177" s="24" t="str">
        <f>IF(AND(ISNUMBER(R176),ISNUMBER(R177)),V176,IF(AND(R176="",ISNUMBER(R177)),IFERROR(LARGE($V$176:$V176,1)+1,0),""))</f>
        <v/>
      </c>
      <c r="W177" s="23" t="str">
        <f t="shared" si="32"/>
        <v/>
      </c>
      <c r="X177" s="22" t="str">
        <f t="shared" si="33"/>
        <v/>
      </c>
      <c r="Y177" s="22"/>
      <c r="Z177" s="22"/>
      <c r="AA177" s="22"/>
      <c r="AB177" s="22" t="str" cm="1">
        <f t="array" ref="AB177">IF(IF(AND($P176="",$P177=1),($N$37*-1),0)+IF(AND($Q176="",$Q177=1),($N$38*-1),0)+IF(IF(($K177-$N$48)&lt;1,0,IF(IF(INDEX($AD$176:$AD$905,($K177-$N$48))="",0,INDEX($AD$176:$AD$905,($K177-$N$48)))&gt;0,IF(INDEX($AD$176:$AD$905,($K177-$N$48))="",0,INDEX($AD$176:$AD$905,($K177-$N$48))),0))="",0,IF(($K177-$N$48)&lt;1,0,IF(IF(INDEX($AD$176:$AD$905,($K177-$N$48))="",0,INDEX($AD$176:$AD$905,($K177-$N$48)))&gt;0,IF(INDEX($AD$176:$AD$905,($K177-$N$48))="",0,INDEX($AD$176:$AD$905,($K177-$N$48))),0)))=0,"",IF(AND($P176="",$P177=1),($N$37*-1),0)+IF(AND($Q176="",$Q177=1),($N$38*-1),0)+IF(IF(($K177-$N$48)&lt;1,0,IF(IF(INDEX($AD$176:$AD$905,($K177-$N$48))="",0,INDEX($AD$176:$AD$905,($K177-$N$48)))&gt;0,IF(INDEX($AD$176:$AD$905,($K177-$N$48))="",0,INDEX($AD$176:$AD$905,($K177-$N$48))),0))="",0,IF(($K177-$N$48)&lt;1,0,IF(IF(INDEX($AD$176:$AD$905,($K177-$N$48))="",0,INDEX($AD$176:$AD$905,($K177-$N$48)))&gt;0,IF(INDEX($AD$176:$AD$905,($K177-$N$48))="",0,INDEX($AD$176:$AD$905,($K177-$N$48))),0))))</f>
        <v/>
      </c>
      <c r="AC177" s="22" t="str">
        <f t="shared" si="34"/>
        <v/>
      </c>
      <c r="AD177" s="22" t="str">
        <f t="shared" si="35"/>
        <v/>
      </c>
      <c r="AE177" s="22" t="str" cm="1">
        <f t="array" ref="AE177">IF(($K177-$N$48)&lt;1,"",IF((IF(INDEX($AC$176:$AC$905,($K177-$N$48))="",0,INDEX($AC$176:$AC$905,($K177-$N$48))))=0,"",(IF(INDEX($AC$176:$AC$905,($K177-$N$48))="",0,INDEX($AC$176:$AC$905,($K177-$N$48))))))</f>
        <v/>
      </c>
      <c r="AF177" s="31" t="str">
        <f t="shared" si="36"/>
        <v/>
      </c>
      <c r="AG177" s="31" t="str">
        <f t="shared" si="37"/>
        <v/>
      </c>
      <c r="AH177" s="31" t="str">
        <f t="shared" si="38"/>
        <v/>
      </c>
      <c r="AI177" s="31" t="str">
        <f t="shared" si="39"/>
        <v/>
      </c>
      <c r="AJ177" s="303" t="str">
        <f t="shared" si="40"/>
        <v/>
      </c>
      <c r="AK177" s="139" t="str">
        <f t="shared" si="41"/>
        <v/>
      </c>
      <c r="AM177" s="319"/>
      <c r="AN177" s="40"/>
      <c r="AO177" s="1"/>
    </row>
    <row r="178" spans="7:43" x14ac:dyDescent="0.25">
      <c r="G178" s="235" t="str">
        <f t="shared" si="26"/>
        <v>NEW</v>
      </c>
      <c r="H178" s="4" t="str">
        <f t="shared" si="27"/>
        <v>00.00.N</v>
      </c>
      <c r="I178" s="11" t="str">
        <f t="shared" si="28"/>
        <v>00.00.N.3</v>
      </c>
      <c r="K178" s="30">
        <v>3</v>
      </c>
      <c r="L178" s="29">
        <f t="shared" si="42"/>
        <v>-12404.023991</v>
      </c>
      <c r="M178" s="28" t="str">
        <f t="shared" si="29"/>
        <v/>
      </c>
      <c r="N178" s="27">
        <f t="shared" si="43"/>
        <v>3</v>
      </c>
      <c r="O178" s="26" t="str">
        <f>IF(AND($Q177=$O$38,IFERROR(LARGE($V$176:$V177,1)&lt;$N$42,TRUE)),1,IF(AND(ISNUMBER($O177),$O177&lt;$N$32),$O177+1,""))</f>
        <v/>
      </c>
      <c r="P178" s="26" t="str">
        <f t="shared" si="44"/>
        <v/>
      </c>
      <c r="Q178" s="26" t="str">
        <f t="shared" si="30"/>
        <v/>
      </c>
      <c r="R178" s="24" t="str">
        <f t="shared" si="45"/>
        <v/>
      </c>
      <c r="S178" s="180">
        <f t="shared" si="46"/>
        <v>0</v>
      </c>
      <c r="T178" s="151"/>
      <c r="U178" s="25" t="str">
        <f t="shared" si="31"/>
        <v/>
      </c>
      <c r="V178" s="24" t="str">
        <f>IF(AND(ISNUMBER(R177),ISNUMBER(R178)),V177,IF(AND(R177="",ISNUMBER(R178)),IFERROR(LARGE($V$176:$V177,1)+1,0),""))</f>
        <v/>
      </c>
      <c r="W178" s="23" t="str">
        <f t="shared" si="32"/>
        <v/>
      </c>
      <c r="X178" s="22" t="str">
        <f t="shared" si="33"/>
        <v/>
      </c>
      <c r="Y178" s="22"/>
      <c r="Z178" s="22"/>
      <c r="AA178" s="22"/>
      <c r="AB178" s="22" t="str" cm="1">
        <f t="array" ref="AB178">IF(IF(AND($P177="",$P178=1),($N$37*-1),0)+IF(AND($Q177="",$Q178=1),($N$38*-1),0)+IF(IF(($K178-$N$48)&lt;1,0,IF(IF(INDEX($AD$176:$AD$905,($K178-$N$48))="",0,INDEX($AD$176:$AD$905,($K178-$N$48)))&gt;0,IF(INDEX($AD$176:$AD$905,($K178-$N$48))="",0,INDEX($AD$176:$AD$905,($K178-$N$48))),0))="",0,IF(($K178-$N$48)&lt;1,0,IF(IF(INDEX($AD$176:$AD$905,($K178-$N$48))="",0,INDEX($AD$176:$AD$905,($K178-$N$48)))&gt;0,IF(INDEX($AD$176:$AD$905,($K178-$N$48))="",0,INDEX($AD$176:$AD$905,($K178-$N$48))),0)))=0,"",IF(AND($P177="",$P178=1),($N$37*-1),0)+IF(AND($Q177="",$Q178=1),($N$38*-1),0)+IF(IF(($K178-$N$48)&lt;1,0,IF(IF(INDEX($AD$176:$AD$905,($K178-$N$48))="",0,INDEX($AD$176:$AD$905,($K178-$N$48)))&gt;0,IF(INDEX($AD$176:$AD$905,($K178-$N$48))="",0,INDEX($AD$176:$AD$905,($K178-$N$48))),0))="",0,IF(($K178-$N$48)&lt;1,0,IF(IF(INDEX($AD$176:$AD$905,($K178-$N$48))="",0,INDEX($AD$176:$AD$905,($K178-$N$48)))&gt;0,IF(INDEX($AD$176:$AD$905,($K178-$N$48))="",0,INDEX($AD$176:$AD$905,($K178-$N$48))),0))))</f>
        <v/>
      </c>
      <c r="AC178" s="22" t="str">
        <f t="shared" si="34"/>
        <v/>
      </c>
      <c r="AD178" s="22" t="str">
        <f t="shared" si="35"/>
        <v/>
      </c>
      <c r="AE178" s="22" t="str" cm="1">
        <f t="array" ref="AE178">IF(($K178-$N$48)&lt;1,"",IF((IF(INDEX($AC$176:$AC$905,($K178-$N$48))="",0,INDEX($AC$176:$AC$905,($K178-$N$48))))=0,"",(IF(INDEX($AC$176:$AC$905,($K178-$N$48))="",0,INDEX($AC$176:$AC$905,($K178-$N$48))))))</f>
        <v/>
      </c>
      <c r="AF178" s="31" t="str">
        <f t="shared" si="36"/>
        <v/>
      </c>
      <c r="AG178" s="31" t="str">
        <f t="shared" si="37"/>
        <v/>
      </c>
      <c r="AH178" s="31" t="str">
        <f t="shared" si="38"/>
        <v/>
      </c>
      <c r="AI178" s="31" t="str">
        <f t="shared" si="39"/>
        <v/>
      </c>
      <c r="AJ178" s="303" t="str">
        <f t="shared" si="40"/>
        <v/>
      </c>
      <c r="AK178" s="139" t="str">
        <f t="shared" si="41"/>
        <v/>
      </c>
      <c r="AM178" s="319"/>
      <c r="AN178" s="40"/>
      <c r="AO178" s="1"/>
    </row>
    <row r="179" spans="7:43" x14ac:dyDescent="0.25">
      <c r="G179" s="235" t="str">
        <f t="shared" si="26"/>
        <v>NEW</v>
      </c>
      <c r="H179" s="4" t="str">
        <f t="shared" si="27"/>
        <v>00.00.N</v>
      </c>
      <c r="I179" s="11" t="str">
        <f t="shared" si="28"/>
        <v>00.00.N.4</v>
      </c>
      <c r="K179" s="30">
        <v>4</v>
      </c>
      <c r="L179" s="29">
        <f t="shared" si="42"/>
        <v>-12404.023991</v>
      </c>
      <c r="M179" s="28" t="str">
        <f t="shared" si="29"/>
        <v/>
      </c>
      <c r="N179" s="27">
        <f t="shared" si="43"/>
        <v>4</v>
      </c>
      <c r="O179" s="26" t="str">
        <f>IF(AND($Q178=$O$38,IFERROR(LARGE($V$176:$V178,1)&lt;$N$42,TRUE)),1,IF(AND(ISNUMBER($O178),$O178&lt;$N$32),$O178+1,""))</f>
        <v/>
      </c>
      <c r="P179" s="26" t="str">
        <f t="shared" si="44"/>
        <v/>
      </c>
      <c r="Q179" s="26" t="str">
        <f t="shared" si="30"/>
        <v/>
      </c>
      <c r="R179" s="24" t="str">
        <f t="shared" si="45"/>
        <v/>
      </c>
      <c r="S179" s="180">
        <f t="shared" si="46"/>
        <v>0</v>
      </c>
      <c r="T179" s="151"/>
      <c r="U179" s="25" t="str">
        <f t="shared" si="31"/>
        <v/>
      </c>
      <c r="V179" s="24" t="str">
        <f>IF(AND(ISNUMBER(R178),ISNUMBER(R179)),V178,IF(AND(R178="",ISNUMBER(R179)),IFERROR(LARGE($V$176:$V178,1)+1,0),""))</f>
        <v/>
      </c>
      <c r="W179" s="23" t="str">
        <f t="shared" si="32"/>
        <v/>
      </c>
      <c r="X179" s="22" t="str">
        <f t="shared" si="33"/>
        <v/>
      </c>
      <c r="Y179" s="22"/>
      <c r="Z179" s="22"/>
      <c r="AA179" s="22"/>
      <c r="AB179" s="22" t="str" cm="1">
        <f t="array" ref="AB179">IF(IF(AND($P178="",$P179=1),($N$37*-1),0)+IF(AND($Q178="",$Q179=1),($N$38*-1),0)+IF(IF(($K179-$N$48)&lt;1,0,IF(IF(INDEX($AD$176:$AD$905,($K179-$N$48))="",0,INDEX($AD$176:$AD$905,($K179-$N$48)))&gt;0,IF(INDEX($AD$176:$AD$905,($K179-$N$48))="",0,INDEX($AD$176:$AD$905,($K179-$N$48))),0))="",0,IF(($K179-$N$48)&lt;1,0,IF(IF(INDEX($AD$176:$AD$905,($K179-$N$48))="",0,INDEX($AD$176:$AD$905,($K179-$N$48)))&gt;0,IF(INDEX($AD$176:$AD$905,($K179-$N$48))="",0,INDEX($AD$176:$AD$905,($K179-$N$48))),0)))=0,"",IF(AND($P178="",$P179=1),($N$37*-1),0)+IF(AND($Q178="",$Q179=1),($N$38*-1),0)+IF(IF(($K179-$N$48)&lt;1,0,IF(IF(INDEX($AD$176:$AD$905,($K179-$N$48))="",0,INDEX($AD$176:$AD$905,($K179-$N$48)))&gt;0,IF(INDEX($AD$176:$AD$905,($K179-$N$48))="",0,INDEX($AD$176:$AD$905,($K179-$N$48))),0))="",0,IF(($K179-$N$48)&lt;1,0,IF(IF(INDEX($AD$176:$AD$905,($K179-$N$48))="",0,INDEX($AD$176:$AD$905,($K179-$N$48)))&gt;0,IF(INDEX($AD$176:$AD$905,($K179-$N$48))="",0,INDEX($AD$176:$AD$905,($K179-$N$48))),0))))</f>
        <v/>
      </c>
      <c r="AC179" s="22" t="str">
        <f t="shared" si="34"/>
        <v/>
      </c>
      <c r="AD179" s="22" t="str">
        <f t="shared" si="35"/>
        <v/>
      </c>
      <c r="AE179" s="22" t="str" cm="1">
        <f t="array" ref="AE179">IF(($K179-$N$48)&lt;1,"",IF((IF(INDEX($AC$176:$AC$905,($K179-$N$48))="",0,INDEX($AC$176:$AC$905,($K179-$N$48))))=0,"",(IF(INDEX($AC$176:$AC$905,($K179-$N$48))="",0,INDEX($AC$176:$AC$905,($K179-$N$48))))))</f>
        <v/>
      </c>
      <c r="AF179" s="31" t="str">
        <f t="shared" si="36"/>
        <v/>
      </c>
      <c r="AG179" s="31" t="str">
        <f t="shared" si="37"/>
        <v/>
      </c>
      <c r="AH179" s="31" t="str">
        <f t="shared" si="38"/>
        <v/>
      </c>
      <c r="AI179" s="31" t="str">
        <f t="shared" si="39"/>
        <v/>
      </c>
      <c r="AJ179" s="303" t="str">
        <f t="shared" si="40"/>
        <v/>
      </c>
      <c r="AK179" s="139" t="str">
        <f t="shared" si="41"/>
        <v/>
      </c>
      <c r="AM179" s="319"/>
      <c r="AN179" s="40"/>
      <c r="AO179" s="1"/>
    </row>
    <row r="180" spans="7:43" x14ac:dyDescent="0.25">
      <c r="G180" s="235" t="str">
        <f t="shared" si="26"/>
        <v>NEW</v>
      </c>
      <c r="H180" s="4" t="str">
        <f t="shared" si="27"/>
        <v>00.00.N</v>
      </c>
      <c r="I180" s="11" t="str">
        <f t="shared" si="28"/>
        <v>00.00.N.5</v>
      </c>
      <c r="K180" s="30">
        <v>5</v>
      </c>
      <c r="L180" s="29">
        <f t="shared" si="42"/>
        <v>-12404.023991</v>
      </c>
      <c r="M180" s="28" t="str">
        <f t="shared" si="29"/>
        <v/>
      </c>
      <c r="N180" s="27">
        <f t="shared" si="43"/>
        <v>5</v>
      </c>
      <c r="O180" s="26" t="str">
        <f>IF(AND($Q179=$O$38,IFERROR(LARGE($V$176:$V179,1)&lt;$N$42,TRUE)),1,IF(AND(ISNUMBER($O179),$O179&lt;$N$32),$O179+1,""))</f>
        <v/>
      </c>
      <c r="P180" s="26" t="str">
        <f t="shared" si="44"/>
        <v/>
      </c>
      <c r="Q180" s="26" t="str">
        <f t="shared" si="30"/>
        <v/>
      </c>
      <c r="R180" s="24" t="str">
        <f t="shared" si="45"/>
        <v/>
      </c>
      <c r="S180" s="180">
        <f t="shared" si="46"/>
        <v>0</v>
      </c>
      <c r="T180" s="151"/>
      <c r="U180" s="25" t="str">
        <f t="shared" si="31"/>
        <v/>
      </c>
      <c r="V180" s="24" t="str">
        <f>IF(AND(ISNUMBER(R179),ISNUMBER(R180)),V179,IF(AND(R179="",ISNUMBER(R180)),IFERROR(LARGE($V$176:$V179,1)+1,0),""))</f>
        <v/>
      </c>
      <c r="W180" s="23" t="str">
        <f t="shared" si="32"/>
        <v/>
      </c>
      <c r="X180" s="22" t="str">
        <f t="shared" si="33"/>
        <v/>
      </c>
      <c r="Y180" s="22"/>
      <c r="Z180" s="22"/>
      <c r="AA180" s="22"/>
      <c r="AB180" s="22" t="str" cm="1">
        <f t="array" ref="AB180">IF(IF(AND($P179="",$P180=1),($N$37*-1),0)+IF(AND($Q179="",$Q180=1),($N$38*-1),0)+IF(IF(($K180-$N$48)&lt;1,0,IF(IF(INDEX($AD$176:$AD$905,($K180-$N$48))="",0,INDEX($AD$176:$AD$905,($K180-$N$48)))&gt;0,IF(INDEX($AD$176:$AD$905,($K180-$N$48))="",0,INDEX($AD$176:$AD$905,($K180-$N$48))),0))="",0,IF(($K180-$N$48)&lt;1,0,IF(IF(INDEX($AD$176:$AD$905,($K180-$N$48))="",0,INDEX($AD$176:$AD$905,($K180-$N$48)))&gt;0,IF(INDEX($AD$176:$AD$905,($K180-$N$48))="",0,INDEX($AD$176:$AD$905,($K180-$N$48))),0)))=0,"",IF(AND($P179="",$P180=1),($N$37*-1),0)+IF(AND($Q179="",$Q180=1),($N$38*-1),0)+IF(IF(($K180-$N$48)&lt;1,0,IF(IF(INDEX($AD$176:$AD$905,($K180-$N$48))="",0,INDEX($AD$176:$AD$905,($K180-$N$48)))&gt;0,IF(INDEX($AD$176:$AD$905,($K180-$N$48))="",0,INDEX($AD$176:$AD$905,($K180-$N$48))),0))="",0,IF(($K180-$N$48)&lt;1,0,IF(IF(INDEX($AD$176:$AD$905,($K180-$N$48))="",0,INDEX($AD$176:$AD$905,($K180-$N$48)))&gt;0,IF(INDEX($AD$176:$AD$905,($K180-$N$48))="",0,INDEX($AD$176:$AD$905,($K180-$N$48))),0))))</f>
        <v/>
      </c>
      <c r="AC180" s="22" t="str">
        <f t="shared" si="34"/>
        <v/>
      </c>
      <c r="AD180" s="22" t="str">
        <f t="shared" si="35"/>
        <v/>
      </c>
      <c r="AE180" s="22" t="str" cm="1">
        <f t="array" ref="AE180">IF(($K180-$N$48)&lt;1,"",IF((IF(INDEX($AC$176:$AC$905,($K180-$N$48))="",0,INDEX($AC$176:$AC$905,($K180-$N$48))))=0,"",(IF(INDEX($AC$176:$AC$905,($K180-$N$48))="",0,INDEX($AC$176:$AC$905,($K180-$N$48))))))</f>
        <v/>
      </c>
      <c r="AF180" s="31" t="str">
        <f t="shared" si="36"/>
        <v/>
      </c>
      <c r="AG180" s="31" t="str">
        <f t="shared" si="37"/>
        <v/>
      </c>
      <c r="AH180" s="31" t="str">
        <f t="shared" si="38"/>
        <v/>
      </c>
      <c r="AI180" s="31" t="str">
        <f t="shared" si="39"/>
        <v/>
      </c>
      <c r="AJ180" s="303" t="str">
        <f t="shared" si="40"/>
        <v/>
      </c>
      <c r="AK180" s="139" t="str">
        <f t="shared" si="41"/>
        <v/>
      </c>
      <c r="AM180" s="319"/>
      <c r="AN180" s="40"/>
      <c r="AO180" s="1"/>
    </row>
    <row r="181" spans="7:43" x14ac:dyDescent="0.25">
      <c r="G181" s="235" t="str">
        <f t="shared" si="26"/>
        <v>00.00</v>
      </c>
      <c r="H181" s="4" t="str">
        <f t="shared" si="27"/>
        <v>00.00.O</v>
      </c>
      <c r="I181" s="11" t="str">
        <f t="shared" si="28"/>
        <v>00.00.O.1</v>
      </c>
      <c r="K181" s="30">
        <v>6</v>
      </c>
      <c r="L181" s="29">
        <f t="shared" si="42"/>
        <v>-12604.023991</v>
      </c>
      <c r="M181" s="28">
        <f t="shared" si="29"/>
        <v>-200</v>
      </c>
      <c r="N181" s="27" t="str">
        <f t="shared" si="43"/>
        <v/>
      </c>
      <c r="O181" s="26" t="str">
        <f>IF(AND($Q180=$O$38,IFERROR(LARGE($V$176:$V180,1)&lt;$N$42,TRUE)),1,IF(AND(ISNUMBER($O180),$O180&lt;$N$32),$O180+1,""))</f>
        <v/>
      </c>
      <c r="P181" s="26">
        <f t="shared" si="44"/>
        <v>1</v>
      </c>
      <c r="Q181" s="26" t="str">
        <f t="shared" si="30"/>
        <v/>
      </c>
      <c r="R181" s="24" t="str">
        <f t="shared" si="45"/>
        <v/>
      </c>
      <c r="S181" s="180">
        <f t="shared" si="46"/>
        <v>0</v>
      </c>
      <c r="T181" s="151"/>
      <c r="U181" s="25" t="str">
        <f t="shared" si="31"/>
        <v/>
      </c>
      <c r="V181" s="24" t="str">
        <f>IF(AND(ISNUMBER(R180),ISNUMBER(R181)),V180,IF(AND(R180="",ISNUMBER(R181)),IFERROR(LARGE($V$176:$V180,1)+1,0),""))</f>
        <v/>
      </c>
      <c r="W181" s="23" t="str">
        <f t="shared" si="32"/>
        <v/>
      </c>
      <c r="X181" s="22" t="str">
        <f t="shared" si="33"/>
        <v/>
      </c>
      <c r="Y181" s="22"/>
      <c r="Z181" s="22"/>
      <c r="AA181" s="22"/>
      <c r="AB181" s="22" cm="1">
        <f t="array" ref="AB181">IF(IF(AND($P180="",$P181=1),($N$37*-1),0)+IF(AND($Q180="",$Q181=1),($N$38*-1),0)+IF(IF(($K181-$N$48)&lt;1,0,IF(IF(INDEX($AD$176:$AD$905,($K181-$N$48))="",0,INDEX($AD$176:$AD$905,($K181-$N$48)))&gt;0,IF(INDEX($AD$176:$AD$905,($K181-$N$48))="",0,INDEX($AD$176:$AD$905,($K181-$N$48))),0))="",0,IF(($K181-$N$48)&lt;1,0,IF(IF(INDEX($AD$176:$AD$905,($K181-$N$48))="",0,INDEX($AD$176:$AD$905,($K181-$N$48)))&gt;0,IF(INDEX($AD$176:$AD$905,($K181-$N$48))="",0,INDEX($AD$176:$AD$905,($K181-$N$48))),0)))=0,"",IF(AND($P180="",$P181=1),($N$37*-1),0)+IF(AND($Q180="",$Q181=1),($N$38*-1),0)+IF(IF(($K181-$N$48)&lt;1,0,IF(IF(INDEX($AD$176:$AD$905,($K181-$N$48))="",0,INDEX($AD$176:$AD$905,($K181-$N$48)))&gt;0,IF(INDEX($AD$176:$AD$905,($K181-$N$48))="",0,INDEX($AD$176:$AD$905,($K181-$N$48))),0))="",0,IF(($K181-$N$48)&lt;1,0,IF(IF(INDEX($AD$176:$AD$905,($K181-$N$48))="",0,INDEX($AD$176:$AD$905,($K181-$N$48)))&gt;0,IF(INDEX($AD$176:$AD$905,($K181-$N$48))="",0,INDEX($AD$176:$AD$905,($K181-$N$48))),0))))</f>
        <v>-200</v>
      </c>
      <c r="AC181" s="22" t="str">
        <f t="shared" si="34"/>
        <v/>
      </c>
      <c r="AD181" s="22" t="str">
        <f t="shared" si="35"/>
        <v/>
      </c>
      <c r="AE181" s="22" t="str" cm="1">
        <f t="array" ref="AE181">IF(($K181-$N$48)&lt;1,"",IF((IF(INDEX($AC$176:$AC$905,($K181-$N$48))="",0,INDEX($AC$176:$AC$905,($K181-$N$48))))=0,"",(IF(INDEX($AC$176:$AC$905,($K181-$N$48))="",0,INDEX($AC$176:$AC$905,($K181-$N$48))))))</f>
        <v/>
      </c>
      <c r="AF181" s="31" t="str">
        <f t="shared" si="36"/>
        <v/>
      </c>
      <c r="AG181" s="31" t="str">
        <f t="shared" si="37"/>
        <v/>
      </c>
      <c r="AH181" s="31" t="str">
        <f t="shared" si="38"/>
        <v/>
      </c>
      <c r="AI181" s="31" t="str">
        <f t="shared" si="39"/>
        <v/>
      </c>
      <c r="AJ181" s="303" t="str">
        <f t="shared" si="40"/>
        <v/>
      </c>
      <c r="AK181" s="139" t="str">
        <f t="shared" si="41"/>
        <v/>
      </c>
      <c r="AM181" s="319"/>
      <c r="AN181" s="40"/>
      <c r="AO181" s="1"/>
    </row>
    <row r="182" spans="7:43" x14ac:dyDescent="0.25">
      <c r="G182" s="235" t="str">
        <f t="shared" si="26"/>
        <v>00.00</v>
      </c>
      <c r="H182" s="4" t="str">
        <f t="shared" si="27"/>
        <v>00.00.O</v>
      </c>
      <c r="I182" s="11" t="str">
        <f t="shared" si="28"/>
        <v>00.00.O.2</v>
      </c>
      <c r="K182" s="30">
        <v>7</v>
      </c>
      <c r="L182" s="29">
        <f t="shared" si="42"/>
        <v>-12604.023991</v>
      </c>
      <c r="M182" s="28" t="str">
        <f t="shared" si="29"/>
        <v/>
      </c>
      <c r="N182" s="27" t="str">
        <f t="shared" si="43"/>
        <v/>
      </c>
      <c r="O182" s="26" t="str">
        <f>IF(AND($Q181=$O$38,IFERROR(LARGE($V$176:$V181,1)&lt;$N$42,TRUE)),1,IF(AND(ISNUMBER($O181),$O181&lt;$N$32),$O181+1,""))</f>
        <v/>
      </c>
      <c r="P182" s="26">
        <f t="shared" si="44"/>
        <v>2</v>
      </c>
      <c r="Q182" s="26" t="str">
        <f t="shared" si="30"/>
        <v/>
      </c>
      <c r="R182" s="24" t="str">
        <f t="shared" si="45"/>
        <v/>
      </c>
      <c r="S182" s="180">
        <f t="shared" si="46"/>
        <v>0</v>
      </c>
      <c r="T182" s="151"/>
      <c r="U182" s="25" t="str">
        <f t="shared" si="31"/>
        <v/>
      </c>
      <c r="V182" s="24" t="str">
        <f>IF(AND(ISNUMBER(R181),ISNUMBER(R182)),V181,IF(AND(R181="",ISNUMBER(R182)),IFERROR(LARGE($V$176:$V181,1)+1,0),""))</f>
        <v/>
      </c>
      <c r="W182" s="23" t="str">
        <f t="shared" si="32"/>
        <v/>
      </c>
      <c r="X182" s="22" t="str">
        <f t="shared" si="33"/>
        <v/>
      </c>
      <c r="Y182" s="22"/>
      <c r="Z182" s="22"/>
      <c r="AA182" s="22"/>
      <c r="AB182" s="22" t="str" cm="1">
        <f t="array" ref="AB182">IF(IF(AND($P181="",$P182=1),($N$37*-1),0)+IF(AND($Q181="",$Q182=1),($N$38*-1),0)+IF(IF(($K182-$N$48)&lt;1,0,IF(IF(INDEX($AD$176:$AD$905,($K182-$N$48))="",0,INDEX($AD$176:$AD$905,($K182-$N$48)))&gt;0,IF(INDEX($AD$176:$AD$905,($K182-$N$48))="",0,INDEX($AD$176:$AD$905,($K182-$N$48))),0))="",0,IF(($K182-$N$48)&lt;1,0,IF(IF(INDEX($AD$176:$AD$905,($K182-$N$48))="",0,INDEX($AD$176:$AD$905,($K182-$N$48)))&gt;0,IF(INDEX($AD$176:$AD$905,($K182-$N$48))="",0,INDEX($AD$176:$AD$905,($K182-$N$48))),0)))=0,"",IF(AND($P181="",$P182=1),($N$37*-1),0)+IF(AND($Q181="",$Q182=1),($N$38*-1),0)+IF(IF(($K182-$N$48)&lt;1,0,IF(IF(INDEX($AD$176:$AD$905,($K182-$N$48))="",0,INDEX($AD$176:$AD$905,($K182-$N$48)))&gt;0,IF(INDEX($AD$176:$AD$905,($K182-$N$48))="",0,INDEX($AD$176:$AD$905,($K182-$N$48))),0))="",0,IF(($K182-$N$48)&lt;1,0,IF(IF(INDEX($AD$176:$AD$905,($K182-$N$48))="",0,INDEX($AD$176:$AD$905,($K182-$N$48)))&gt;0,IF(INDEX($AD$176:$AD$905,($K182-$N$48))="",0,INDEX($AD$176:$AD$905,($K182-$N$48))),0))))</f>
        <v/>
      </c>
      <c r="AC182" s="22" t="str">
        <f t="shared" si="34"/>
        <v/>
      </c>
      <c r="AD182" s="22" t="str">
        <f t="shared" si="35"/>
        <v/>
      </c>
      <c r="AE182" s="22" t="str" cm="1">
        <f t="array" ref="AE182">IF(($K182-$N$48)&lt;1,"",IF((IF(INDEX($AC$176:$AC$905,($K182-$N$48))="",0,INDEX($AC$176:$AC$905,($K182-$N$48))))=0,"",(IF(INDEX($AC$176:$AC$905,($K182-$N$48))="",0,INDEX($AC$176:$AC$905,($K182-$N$48))))))</f>
        <v/>
      </c>
      <c r="AF182" s="31" t="str">
        <f t="shared" si="36"/>
        <v/>
      </c>
      <c r="AG182" s="31" t="str">
        <f t="shared" si="37"/>
        <v/>
      </c>
      <c r="AH182" s="31" t="str">
        <f t="shared" si="38"/>
        <v/>
      </c>
      <c r="AI182" s="31" t="str">
        <f t="shared" si="39"/>
        <v/>
      </c>
      <c r="AJ182" s="303" t="str">
        <f t="shared" si="40"/>
        <v/>
      </c>
      <c r="AK182" s="139" t="str">
        <f t="shared" si="41"/>
        <v/>
      </c>
      <c r="AM182" s="319"/>
      <c r="AN182" s="40"/>
      <c r="AO182" s="1"/>
    </row>
    <row r="183" spans="7:43" x14ac:dyDescent="0.25">
      <c r="G183" s="235" t="str">
        <f t="shared" si="26"/>
        <v>00.01</v>
      </c>
      <c r="H183" s="4" t="str">
        <f t="shared" si="27"/>
        <v>00.01.D</v>
      </c>
      <c r="I183" s="11" t="str">
        <f t="shared" si="28"/>
        <v>00.01.D.1</v>
      </c>
      <c r="K183" s="30">
        <v>8</v>
      </c>
      <c r="L183" s="29">
        <f t="shared" si="42"/>
        <v>-12604.023991</v>
      </c>
      <c r="M183" s="28" t="str">
        <f t="shared" si="29"/>
        <v/>
      </c>
      <c r="N183" s="27" t="str">
        <f t="shared" si="43"/>
        <v/>
      </c>
      <c r="O183" s="26" t="str">
        <f>IF(AND($Q182=$O$38,IFERROR(LARGE($V$176:$V182,1)&lt;$N$42,TRUE)),1,IF(AND(ISNUMBER($O182),$O182&lt;$N$32),$O182+1,""))</f>
        <v/>
      </c>
      <c r="P183" s="26" t="str">
        <f t="shared" si="44"/>
        <v/>
      </c>
      <c r="Q183" s="26" t="str">
        <f t="shared" si="30"/>
        <v/>
      </c>
      <c r="R183" s="24">
        <f t="shared" si="45"/>
        <v>1</v>
      </c>
      <c r="S183" s="180">
        <f t="shared" si="46"/>
        <v>0.01</v>
      </c>
      <c r="T183" s="151"/>
      <c r="U183" s="25">
        <f t="shared" si="31"/>
        <v>1</v>
      </c>
      <c r="V183" s="24">
        <f>IF(AND(ISNUMBER(R182),ISNUMBER(R183)),V182,IF(AND(R182="",ISNUMBER(R183)),IFERROR(LARGE($V$176:$V182,1)+1,0),""))</f>
        <v>0</v>
      </c>
      <c r="W183" s="23" t="str">
        <f t="shared" si="32"/>
        <v/>
      </c>
      <c r="X183" s="22" t="str">
        <f t="shared" si="33"/>
        <v/>
      </c>
      <c r="Y183" s="22"/>
      <c r="Z183" s="22"/>
      <c r="AA183" s="22"/>
      <c r="AB183" s="22" t="str" cm="1">
        <f t="array" ref="AB183">IF(IF(AND($P182="",$P183=1),($N$37*-1),0)+IF(AND($Q182="",$Q183=1),($N$38*-1),0)+IF(IF(($K183-$N$48)&lt;1,0,IF(IF(INDEX($AD$176:$AD$905,($K183-$N$48))="",0,INDEX($AD$176:$AD$905,($K183-$N$48)))&gt;0,IF(INDEX($AD$176:$AD$905,($K183-$N$48))="",0,INDEX($AD$176:$AD$905,($K183-$N$48))),0))="",0,IF(($K183-$N$48)&lt;1,0,IF(IF(INDEX($AD$176:$AD$905,($K183-$N$48))="",0,INDEX($AD$176:$AD$905,($K183-$N$48)))&gt;0,IF(INDEX($AD$176:$AD$905,($K183-$N$48))="",0,INDEX($AD$176:$AD$905,($K183-$N$48))),0)))=0,"",IF(AND($P182="",$P183=1),($N$37*-1),0)+IF(AND($Q182="",$Q183=1),($N$38*-1),0)+IF(IF(($K183-$N$48)&lt;1,0,IF(IF(INDEX($AD$176:$AD$905,($K183-$N$48))="",0,INDEX($AD$176:$AD$905,($K183-$N$48)))&gt;0,IF(INDEX($AD$176:$AD$905,($K183-$N$48))="",0,INDEX($AD$176:$AD$905,($K183-$N$48))),0))="",0,IF(($K183-$N$48)&lt;1,0,IF(IF(INDEX($AD$176:$AD$905,($K183-$N$48))="",0,INDEX($AD$176:$AD$905,($K183-$N$48)))&gt;0,IF(INDEX($AD$176:$AD$905,($K183-$N$48))="",0,INDEX($AD$176:$AD$905,($K183-$N$48))),0))))</f>
        <v/>
      </c>
      <c r="AC183" s="22" t="str">
        <f t="shared" si="34"/>
        <v/>
      </c>
      <c r="AD183" s="22" t="str">
        <f t="shared" si="35"/>
        <v/>
      </c>
      <c r="AE183" s="22" t="str" cm="1">
        <f t="array" ref="AE183">IF(($K183-$N$48)&lt;1,"",IF((IF(INDEX($AC$176:$AC$905,($K183-$N$48))="",0,INDEX($AC$176:$AC$905,($K183-$N$48))))=0,"",(IF(INDEX($AC$176:$AC$905,($K183-$N$48))="",0,INDEX($AC$176:$AC$905,($K183-$N$48))))))</f>
        <v/>
      </c>
      <c r="AF183" s="31" t="str">
        <f t="shared" si="36"/>
        <v/>
      </c>
      <c r="AG183" s="31" t="str">
        <f t="shared" si="37"/>
        <v/>
      </c>
      <c r="AH183" s="31" t="str">
        <f t="shared" si="38"/>
        <v/>
      </c>
      <c r="AI183" s="31" t="str">
        <f t="shared" si="39"/>
        <v/>
      </c>
      <c r="AJ183" s="303" t="str">
        <f t="shared" si="40"/>
        <v/>
      </c>
      <c r="AK183" s="139" t="str">
        <f t="shared" si="41"/>
        <v/>
      </c>
      <c r="AM183" s="319"/>
      <c r="AN183" s="40"/>
      <c r="AO183" s="1"/>
    </row>
    <row r="184" spans="7:43" x14ac:dyDescent="0.25">
      <c r="G184" s="235" t="str">
        <f t="shared" si="26"/>
        <v>00.01</v>
      </c>
      <c r="H184" s="4" t="str">
        <f t="shared" si="27"/>
        <v>00.01.D</v>
      </c>
      <c r="I184" s="11" t="str">
        <f t="shared" si="28"/>
        <v>00.01.D.2</v>
      </c>
      <c r="K184" s="30">
        <v>9</v>
      </c>
      <c r="L184" s="29">
        <f t="shared" si="42"/>
        <v>-12604.023991</v>
      </c>
      <c r="M184" s="28" t="str">
        <f t="shared" si="29"/>
        <v/>
      </c>
      <c r="N184" s="27" t="str">
        <f t="shared" si="43"/>
        <v/>
      </c>
      <c r="O184" s="26" t="str">
        <f>IF(AND($Q183=$O$38,IFERROR(LARGE($V$176:$V183,1)&lt;$N$42,TRUE)),1,IF(AND(ISNUMBER($O183),$O183&lt;$N$32),$O183+1,""))</f>
        <v/>
      </c>
      <c r="P184" s="26" t="str">
        <f t="shared" si="44"/>
        <v/>
      </c>
      <c r="Q184" s="26" t="str">
        <f t="shared" si="30"/>
        <v/>
      </c>
      <c r="R184" s="24">
        <f t="shared" si="45"/>
        <v>2</v>
      </c>
      <c r="S184" s="180">
        <f t="shared" si="46"/>
        <v>0.01</v>
      </c>
      <c r="T184" s="151"/>
      <c r="U184" s="25">
        <f t="shared" si="31"/>
        <v>1</v>
      </c>
      <c r="V184" s="24">
        <f>IF(AND(ISNUMBER(R183),ISNUMBER(R184)),V183,IF(AND(R183="",ISNUMBER(R184)),IFERROR(LARGE($V$176:$V183,1)+1,0),""))</f>
        <v>0</v>
      </c>
      <c r="W184" s="23" t="str">
        <f t="shared" si="32"/>
        <v/>
      </c>
      <c r="X184" s="22" t="str">
        <f t="shared" si="33"/>
        <v/>
      </c>
      <c r="Y184" s="22"/>
      <c r="Z184" s="22"/>
      <c r="AA184" s="22"/>
      <c r="AB184" s="22" t="str" cm="1">
        <f t="array" ref="AB184">IF(IF(AND($P183="",$P184=1),($N$37*-1),0)+IF(AND($Q183="",$Q184=1),($N$38*-1),0)+IF(IF(($K184-$N$48)&lt;1,0,IF(IF(INDEX($AD$176:$AD$905,($K184-$N$48))="",0,INDEX($AD$176:$AD$905,($K184-$N$48)))&gt;0,IF(INDEX($AD$176:$AD$905,($K184-$N$48))="",0,INDEX($AD$176:$AD$905,($K184-$N$48))),0))="",0,IF(($K184-$N$48)&lt;1,0,IF(IF(INDEX($AD$176:$AD$905,($K184-$N$48))="",0,INDEX($AD$176:$AD$905,($K184-$N$48)))&gt;0,IF(INDEX($AD$176:$AD$905,($K184-$N$48))="",0,INDEX($AD$176:$AD$905,($K184-$N$48))),0)))=0,"",IF(AND($P183="",$P184=1),($N$37*-1),0)+IF(AND($Q183="",$Q184=1),($N$38*-1),0)+IF(IF(($K184-$N$48)&lt;1,0,IF(IF(INDEX($AD$176:$AD$905,($K184-$N$48))="",0,INDEX($AD$176:$AD$905,($K184-$N$48)))&gt;0,IF(INDEX($AD$176:$AD$905,($K184-$N$48))="",0,INDEX($AD$176:$AD$905,($K184-$N$48))),0))="",0,IF(($K184-$N$48)&lt;1,0,IF(IF(INDEX($AD$176:$AD$905,($K184-$N$48))="",0,INDEX($AD$176:$AD$905,($K184-$N$48)))&gt;0,IF(INDEX($AD$176:$AD$905,($K184-$N$48))="",0,INDEX($AD$176:$AD$905,($K184-$N$48))),0))))</f>
        <v/>
      </c>
      <c r="AC184" s="22">
        <f t="shared" si="34"/>
        <v>5500</v>
      </c>
      <c r="AD184" s="22">
        <f t="shared" si="35"/>
        <v>525</v>
      </c>
      <c r="AE184" s="22" t="str" cm="1">
        <f t="array" ref="AE184">IF(($K184-$N$48)&lt;1,"",IF((IF(INDEX($AC$176:$AC$905,($K184-$N$48))="",0,INDEX($AC$176:$AC$905,($K184-$N$48))))=0,"",(IF(INDEX($AC$176:$AC$905,($K184-$N$48))="",0,INDEX($AC$176:$AC$905,($K184-$N$48))))))</f>
        <v/>
      </c>
      <c r="AF184" s="31" t="str">
        <f t="shared" si="36"/>
        <v/>
      </c>
      <c r="AG184" s="31" t="str">
        <f t="shared" si="37"/>
        <v/>
      </c>
      <c r="AH184" s="31" t="str">
        <f t="shared" si="38"/>
        <v/>
      </c>
      <c r="AI184" s="31" t="str">
        <f t="shared" si="39"/>
        <v/>
      </c>
      <c r="AJ184" s="303" t="str">
        <f t="shared" si="40"/>
        <v/>
      </c>
      <c r="AK184" s="139" t="str">
        <f t="shared" si="41"/>
        <v/>
      </c>
      <c r="AM184" s="319"/>
      <c r="AN184" s="40"/>
      <c r="AO184" s="1"/>
    </row>
    <row r="185" spans="7:43" x14ac:dyDescent="0.25">
      <c r="G185" s="235" t="str">
        <f t="shared" si="26"/>
        <v>01.00</v>
      </c>
      <c r="H185" s="4" t="str">
        <f t="shared" si="27"/>
        <v>01.00.I</v>
      </c>
      <c r="I185" s="11" t="str">
        <f t="shared" si="28"/>
        <v>01.00.I.1</v>
      </c>
      <c r="K185" s="30">
        <v>10</v>
      </c>
      <c r="L185" s="29">
        <f t="shared" si="42"/>
        <v>-12804.023991</v>
      </c>
      <c r="M185" s="28">
        <f t="shared" si="29"/>
        <v>-200</v>
      </c>
      <c r="N185" s="27" t="str">
        <f t="shared" si="43"/>
        <v/>
      </c>
      <c r="O185" s="26" t="str">
        <f>IF(AND($Q184=$O$38,IFERROR(LARGE($V$176:$V184,1)&lt;$N$42,TRUE)),1,IF(AND(ISNUMBER($O184),$O184&lt;$N$32),$O184+1,""))</f>
        <v/>
      </c>
      <c r="P185" s="26" t="str">
        <f t="shared" si="44"/>
        <v/>
      </c>
      <c r="Q185" s="26">
        <f t="shared" si="30"/>
        <v>1</v>
      </c>
      <c r="R185" s="24" t="str">
        <f t="shared" si="45"/>
        <v/>
      </c>
      <c r="S185" s="180">
        <f t="shared" si="46"/>
        <v>1</v>
      </c>
      <c r="T185" s="151"/>
      <c r="U185" s="25" t="str">
        <f t="shared" si="31"/>
        <v/>
      </c>
      <c r="V185" s="24" t="str">
        <f>IF(AND(ISNUMBER(R184),ISNUMBER(R185)),V184,IF(AND(R184="",ISNUMBER(R185)),IFERROR(LARGE($V$176:$V184,1)+1,0),""))</f>
        <v/>
      </c>
      <c r="W185" s="23" t="str">
        <f t="shared" si="32"/>
        <v/>
      </c>
      <c r="X185" s="22" t="str">
        <f t="shared" si="33"/>
        <v/>
      </c>
      <c r="Y185" s="22"/>
      <c r="Z185" s="22"/>
      <c r="AA185" s="22"/>
      <c r="AB185" s="22" cm="1">
        <f t="array" ref="AB185">IF(IF(AND($P184="",$P185=1),($N$37*-1),0)+IF(AND($Q184="",$Q185=1),($N$38*-1),0)+IF(IF(($K185-$N$48)&lt;1,0,IF(IF(INDEX($AD$176:$AD$905,($K185-$N$48))="",0,INDEX($AD$176:$AD$905,($K185-$N$48)))&gt;0,IF(INDEX($AD$176:$AD$905,($K185-$N$48))="",0,INDEX($AD$176:$AD$905,($K185-$N$48))),0))="",0,IF(($K185-$N$48)&lt;1,0,IF(IF(INDEX($AD$176:$AD$905,($K185-$N$48))="",0,INDEX($AD$176:$AD$905,($K185-$N$48)))&gt;0,IF(INDEX($AD$176:$AD$905,($K185-$N$48))="",0,INDEX($AD$176:$AD$905,($K185-$N$48))),0)))=0,"",IF(AND($P184="",$P185=1),($N$37*-1),0)+IF(AND($Q184="",$Q185=1),($N$38*-1),0)+IF(IF(($K185-$N$48)&lt;1,0,IF(IF(INDEX($AD$176:$AD$905,($K185-$N$48))="",0,INDEX($AD$176:$AD$905,($K185-$N$48)))&gt;0,IF(INDEX($AD$176:$AD$905,($K185-$N$48))="",0,INDEX($AD$176:$AD$905,($K185-$N$48))),0))="",0,IF(($K185-$N$48)&lt;1,0,IF(IF(INDEX($AD$176:$AD$905,($K185-$N$48))="",0,INDEX($AD$176:$AD$905,($K185-$N$48)))&gt;0,IF(INDEX($AD$176:$AD$905,($K185-$N$48))="",0,INDEX($AD$176:$AD$905,($K185-$N$48))),0))))</f>
        <v>-200</v>
      </c>
      <c r="AC185" s="22" t="str">
        <f t="shared" si="34"/>
        <v/>
      </c>
      <c r="AD185" s="22" t="str">
        <f t="shared" si="35"/>
        <v/>
      </c>
      <c r="AE185" s="22" t="str" cm="1">
        <f t="array" ref="AE185">IF(($K185-$N$48)&lt;1,"",IF((IF(INDEX($AC$176:$AC$905,($K185-$N$48))="",0,INDEX($AC$176:$AC$905,($K185-$N$48))))=0,"",(IF(INDEX($AC$176:$AC$905,($K185-$N$48))="",0,INDEX($AC$176:$AC$905,($K185-$N$48))))))</f>
        <v/>
      </c>
      <c r="AF185" s="31" t="str">
        <f t="shared" si="36"/>
        <v/>
      </c>
      <c r="AG185" s="31" t="str">
        <f t="shared" si="37"/>
        <v/>
      </c>
      <c r="AH185" s="31" t="str">
        <f t="shared" si="38"/>
        <v/>
      </c>
      <c r="AI185" s="31" t="str">
        <f t="shared" si="39"/>
        <v/>
      </c>
      <c r="AJ185" s="303" t="str">
        <f t="shared" si="40"/>
        <v/>
      </c>
      <c r="AK185" s="139" t="str">
        <f t="shared" si="41"/>
        <v/>
      </c>
      <c r="AM185" s="319"/>
      <c r="AN185" s="40"/>
      <c r="AO185" s="1"/>
    </row>
    <row r="186" spans="7:43" x14ac:dyDescent="0.25">
      <c r="G186" s="235" t="str">
        <f t="shared" si="26"/>
        <v>01.00</v>
      </c>
      <c r="H186" s="4" t="str">
        <f t="shared" si="27"/>
        <v>01.00.I</v>
      </c>
      <c r="I186" s="11" t="str">
        <f t="shared" si="28"/>
        <v>01.00.I.2</v>
      </c>
      <c r="K186" s="30">
        <v>11</v>
      </c>
      <c r="L186" s="29">
        <f t="shared" si="42"/>
        <v>-12804.023991</v>
      </c>
      <c r="M186" s="28" t="str">
        <f t="shared" si="29"/>
        <v/>
      </c>
      <c r="N186" s="27" t="str">
        <f t="shared" si="43"/>
        <v/>
      </c>
      <c r="O186" s="26" t="str">
        <f>IF(AND($Q185=$O$38,IFERROR(LARGE($V$176:$V185,1)&lt;$N$42,TRUE)),1,IF(AND(ISNUMBER($O185),$O185&lt;$N$32),$O185+1,""))</f>
        <v/>
      </c>
      <c r="P186" s="26" t="str">
        <f t="shared" si="44"/>
        <v/>
      </c>
      <c r="Q186" s="26">
        <f t="shared" si="30"/>
        <v>2</v>
      </c>
      <c r="R186" s="24" t="str">
        <f t="shared" si="45"/>
        <v/>
      </c>
      <c r="S186" s="180">
        <f t="shared" si="46"/>
        <v>1</v>
      </c>
      <c r="T186" s="151"/>
      <c r="U186" s="25" t="str">
        <f t="shared" si="31"/>
        <v/>
      </c>
      <c r="V186" s="24" t="str">
        <f>IF(AND(ISNUMBER(R185),ISNUMBER(R186)),V185,IF(AND(R185="",ISNUMBER(R186)),IFERROR(LARGE($V$176:$V185,1)+1,0),""))</f>
        <v/>
      </c>
      <c r="W186" s="23" t="str">
        <f t="shared" si="32"/>
        <v/>
      </c>
      <c r="X186" s="22" t="str">
        <f t="shared" si="33"/>
        <v/>
      </c>
      <c r="Y186" s="22"/>
      <c r="Z186" s="22"/>
      <c r="AA186" s="22"/>
      <c r="AB186" s="22" t="str" cm="1">
        <f t="array" ref="AB186">IF(IF(AND($P185="",$P186=1),($N$37*-1),0)+IF(AND($Q185="",$Q186=1),($N$38*-1),0)+IF(IF(($K186-$N$48)&lt;1,0,IF(IF(INDEX($AD$176:$AD$905,($K186-$N$48))="",0,INDEX($AD$176:$AD$905,($K186-$N$48)))&gt;0,IF(INDEX($AD$176:$AD$905,($K186-$N$48))="",0,INDEX($AD$176:$AD$905,($K186-$N$48))),0))="",0,IF(($K186-$N$48)&lt;1,0,IF(IF(INDEX($AD$176:$AD$905,($K186-$N$48))="",0,INDEX($AD$176:$AD$905,($K186-$N$48)))&gt;0,IF(INDEX($AD$176:$AD$905,($K186-$N$48))="",0,INDEX($AD$176:$AD$905,($K186-$N$48))),0)))=0,"",IF(AND($P185="",$P186=1),($N$37*-1),0)+IF(AND($Q185="",$Q186=1),($N$38*-1),0)+IF(IF(($K186-$N$48)&lt;1,0,IF(IF(INDEX($AD$176:$AD$905,($K186-$N$48))="",0,INDEX($AD$176:$AD$905,($K186-$N$48)))&gt;0,IF(INDEX($AD$176:$AD$905,($K186-$N$48))="",0,INDEX($AD$176:$AD$905,($K186-$N$48))),0))="",0,IF(($K186-$N$48)&lt;1,0,IF(IF(INDEX($AD$176:$AD$905,($K186-$N$48))="",0,INDEX($AD$176:$AD$905,($K186-$N$48)))&gt;0,IF(INDEX($AD$176:$AD$905,($K186-$N$48))="",0,INDEX($AD$176:$AD$905,($K186-$N$48))),0))))</f>
        <v/>
      </c>
      <c r="AC186" s="22" t="str">
        <f t="shared" si="34"/>
        <v/>
      </c>
      <c r="AD186" s="22" t="str">
        <f t="shared" si="35"/>
        <v/>
      </c>
      <c r="AE186" s="22" t="str" cm="1">
        <f t="array" ref="AE186">IF(($K186-$N$48)&lt;1,"",IF((IF(INDEX($AC$176:$AC$905,($K186-$N$48))="",0,INDEX($AC$176:$AC$905,($K186-$N$48))))=0,"",(IF(INDEX($AC$176:$AC$905,($K186-$N$48))="",0,INDEX($AC$176:$AC$905,($K186-$N$48))))))</f>
        <v/>
      </c>
      <c r="AF186" s="31" t="str">
        <f t="shared" si="36"/>
        <v/>
      </c>
      <c r="AG186" s="31" t="str">
        <f t="shared" si="37"/>
        <v/>
      </c>
      <c r="AH186" s="31" t="str">
        <f t="shared" si="38"/>
        <v/>
      </c>
      <c r="AI186" s="31" t="str">
        <f t="shared" si="39"/>
        <v/>
      </c>
      <c r="AJ186" s="303" t="str">
        <f t="shared" si="40"/>
        <v/>
      </c>
      <c r="AK186" s="139" t="str">
        <f t="shared" si="41"/>
        <v/>
      </c>
      <c r="AM186" s="319"/>
      <c r="AN186" s="40"/>
      <c r="AO186" s="1"/>
    </row>
    <row r="187" spans="7:43" x14ac:dyDescent="0.25">
      <c r="G187" s="235" t="str">
        <f t="shared" si="26"/>
        <v>01.00</v>
      </c>
      <c r="H187" s="4" t="str">
        <f t="shared" si="27"/>
        <v>01.00.R</v>
      </c>
      <c r="I187" s="11" t="str">
        <f t="shared" si="28"/>
        <v>01.00.R.1</v>
      </c>
      <c r="K187" s="30">
        <v>12</v>
      </c>
      <c r="L187" s="29">
        <f t="shared" si="42"/>
        <v>-15417.657445101135</v>
      </c>
      <c r="M187" s="28">
        <f t="shared" si="29"/>
        <v>-2613.6334541011352</v>
      </c>
      <c r="N187" s="27" t="str">
        <f t="shared" si="43"/>
        <v/>
      </c>
      <c r="O187" s="26">
        <f>IF(AND($Q186=$O$38,IFERROR(LARGE($V$176:$V186,1)&lt;$N$42,TRUE)),1,IF(AND(ISNUMBER($O186),$O186&lt;$N$32),$O186+1,""))</f>
        <v>1</v>
      </c>
      <c r="P187" s="26" t="str">
        <f t="shared" si="44"/>
        <v/>
      </c>
      <c r="Q187" s="26" t="str">
        <f t="shared" si="30"/>
        <v/>
      </c>
      <c r="R187" s="24" t="str">
        <f t="shared" si="45"/>
        <v/>
      </c>
      <c r="S187" s="180">
        <f t="shared" si="46"/>
        <v>1</v>
      </c>
      <c r="T187" s="151"/>
      <c r="U187" s="25" t="str">
        <f t="shared" si="31"/>
        <v/>
      </c>
      <c r="V187" s="24" t="str">
        <f>IF(AND(ISNUMBER(R186),ISNUMBER(R187)),V186,IF(AND(R186="",ISNUMBER(R187)),IFERROR(LARGE($V$176:$V186,1)+1,0),""))</f>
        <v/>
      </c>
      <c r="W187" s="23">
        <f t="shared" si="32"/>
        <v>-1018.3530285882483</v>
      </c>
      <c r="X187" s="22">
        <f t="shared" si="33"/>
        <v>-1595.2804255128869</v>
      </c>
      <c r="Y187" s="22"/>
      <c r="Z187" s="22"/>
      <c r="AA187" s="22"/>
      <c r="AB187" s="22" t="str" cm="1">
        <f t="array" ref="AB187">IF(IF(AND($P186="",$P187=1),($N$37*-1),0)+IF(AND($Q186="",$Q187=1),($N$38*-1),0)+IF(IF(($K187-$N$48)&lt;1,0,IF(IF(INDEX($AD$176:$AD$905,($K187-$N$48))="",0,INDEX($AD$176:$AD$905,($K187-$N$48)))&gt;0,IF(INDEX($AD$176:$AD$905,($K187-$N$48))="",0,INDEX($AD$176:$AD$905,($K187-$N$48))),0))="",0,IF(($K187-$N$48)&lt;1,0,IF(IF(INDEX($AD$176:$AD$905,($K187-$N$48))="",0,INDEX($AD$176:$AD$905,($K187-$N$48)))&gt;0,IF(INDEX($AD$176:$AD$905,($K187-$N$48))="",0,INDEX($AD$176:$AD$905,($K187-$N$48))),0)))=0,"",IF(AND($P186="",$P187=1),($N$37*-1),0)+IF(AND($Q186="",$Q187=1),($N$38*-1),0)+IF(IF(($K187-$N$48)&lt;1,0,IF(IF(INDEX($AD$176:$AD$905,($K187-$N$48))="",0,INDEX($AD$176:$AD$905,($K187-$N$48)))&gt;0,IF(INDEX($AD$176:$AD$905,($K187-$N$48))="",0,INDEX($AD$176:$AD$905,($K187-$N$48))),0))="",0,IF(($K187-$N$48)&lt;1,0,IF(IF(INDEX($AD$176:$AD$905,($K187-$N$48))="",0,INDEX($AD$176:$AD$905,($K187-$N$48)))&gt;0,IF(INDEX($AD$176:$AD$905,($K187-$N$48))="",0,INDEX($AD$176:$AD$905,($K187-$N$48))),0))))</f>
        <v/>
      </c>
      <c r="AC187" s="22" t="str">
        <f t="shared" si="34"/>
        <v/>
      </c>
      <c r="AD187" s="22" t="str">
        <f t="shared" si="35"/>
        <v/>
      </c>
      <c r="AE187" s="22" t="str" cm="1">
        <f t="array" ref="AE187">IF(($K187-$N$48)&lt;1,"",IF((IF(INDEX($AC$176:$AC$905,($K187-$N$48))="",0,INDEX($AC$176:$AC$905,($K187-$N$48))))=0,"",(IF(INDEX($AC$176:$AC$905,($K187-$N$48))="",0,INDEX($AC$176:$AC$905,($K187-$N$48))))))</f>
        <v/>
      </c>
      <c r="AF187" s="31" t="str">
        <f t="shared" si="36"/>
        <v/>
      </c>
      <c r="AG187" s="31" t="str">
        <f t="shared" si="37"/>
        <v/>
      </c>
      <c r="AH187" s="31" t="str">
        <f t="shared" si="38"/>
        <v/>
      </c>
      <c r="AI187" s="31" t="str">
        <f t="shared" si="39"/>
        <v/>
      </c>
      <c r="AJ187" s="303" t="str">
        <f t="shared" si="40"/>
        <v/>
      </c>
      <c r="AK187" s="139" t="str">
        <f t="shared" si="41"/>
        <v/>
      </c>
      <c r="AM187" s="319"/>
      <c r="AN187" s="40"/>
      <c r="AO187" s="1"/>
      <c r="AQ187" s="326"/>
    </row>
    <row r="188" spans="7:43" x14ac:dyDescent="0.25">
      <c r="G188" s="235" t="str">
        <f t="shared" si="26"/>
        <v>01.00</v>
      </c>
      <c r="H188" s="4" t="str">
        <f t="shared" si="27"/>
        <v>01.00.R</v>
      </c>
      <c r="I188" s="11" t="str">
        <f t="shared" si="28"/>
        <v>01.00.R.2</v>
      </c>
      <c r="K188" s="30">
        <v>13</v>
      </c>
      <c r="L188" s="29">
        <f t="shared" si="42"/>
        <v>-15417.657445101135</v>
      </c>
      <c r="M188" s="28" t="str">
        <f t="shared" si="29"/>
        <v/>
      </c>
      <c r="N188" s="27" t="str">
        <f t="shared" si="43"/>
        <v/>
      </c>
      <c r="O188" s="26">
        <f>IF(AND($Q187=$O$38,IFERROR(LARGE($V$176:$V187,1)&lt;$N$42,TRUE)),1,IF(AND(ISNUMBER($O187),$O187&lt;$N$32),$O187+1,""))</f>
        <v>2</v>
      </c>
      <c r="P188" s="26" t="str">
        <f t="shared" si="44"/>
        <v/>
      </c>
      <c r="Q188" s="26" t="str">
        <f t="shared" si="30"/>
        <v/>
      </c>
      <c r="R188" s="24" t="str">
        <f t="shared" si="45"/>
        <v/>
      </c>
      <c r="S188" s="180">
        <f t="shared" si="46"/>
        <v>1</v>
      </c>
      <c r="T188" s="151"/>
      <c r="U188" s="25" t="str">
        <f t="shared" si="31"/>
        <v/>
      </c>
      <c r="V188" s="24" t="str">
        <f>IF(AND(ISNUMBER(R187),ISNUMBER(R188)),V187,IF(AND(R187="",ISNUMBER(R188)),IFERROR(LARGE($V$176:$V187,1)+1,0),""))</f>
        <v/>
      </c>
      <c r="W188" s="23" t="str">
        <f t="shared" si="32"/>
        <v/>
      </c>
      <c r="X188" s="22" t="str">
        <f t="shared" si="33"/>
        <v/>
      </c>
      <c r="Y188" s="22"/>
      <c r="Z188" s="22"/>
      <c r="AA188" s="22"/>
      <c r="AB188" s="22" t="str" cm="1">
        <f t="array" ref="AB188">IF(IF(AND($P187="",$P188=1),($N$37*-1),0)+IF(AND($Q187="",$Q188=1),($N$38*-1),0)+IF(IF(($K188-$N$48)&lt;1,0,IF(IF(INDEX($AD$176:$AD$905,($K188-$N$48))="",0,INDEX($AD$176:$AD$905,($K188-$N$48)))&gt;0,IF(INDEX($AD$176:$AD$905,($K188-$N$48))="",0,INDEX($AD$176:$AD$905,($K188-$N$48))),0))="",0,IF(($K188-$N$48)&lt;1,0,IF(IF(INDEX($AD$176:$AD$905,($K188-$N$48))="",0,INDEX($AD$176:$AD$905,($K188-$N$48)))&gt;0,IF(INDEX($AD$176:$AD$905,($K188-$N$48))="",0,INDEX($AD$176:$AD$905,($K188-$N$48))),0)))=0,"",IF(AND($P187="",$P188=1),($N$37*-1),0)+IF(AND($Q187="",$Q188=1),($N$38*-1),0)+IF(IF(($K188-$N$48)&lt;1,0,IF(IF(INDEX($AD$176:$AD$905,($K188-$N$48))="",0,INDEX($AD$176:$AD$905,($K188-$N$48)))&gt;0,IF(INDEX($AD$176:$AD$905,($K188-$N$48))="",0,INDEX($AD$176:$AD$905,($K188-$N$48))),0))="",0,IF(($K188-$N$48)&lt;1,0,IF(IF(INDEX($AD$176:$AD$905,($K188-$N$48))="",0,INDEX($AD$176:$AD$905,($K188-$N$48)))&gt;0,IF(INDEX($AD$176:$AD$905,($K188-$N$48))="",0,INDEX($AD$176:$AD$905,($K188-$N$48))),0))))</f>
        <v/>
      </c>
      <c r="AC188" s="22" t="str">
        <f t="shared" si="34"/>
        <v/>
      </c>
      <c r="AD188" s="22" t="str">
        <f t="shared" si="35"/>
        <v/>
      </c>
      <c r="AE188" s="22" t="str" cm="1">
        <f t="array" ref="AE188">IF(($K188-$N$48)&lt;1,"",IF((IF(INDEX($AC$176:$AC$905,($K188-$N$48))="",0,INDEX($AC$176:$AC$905,($K188-$N$48))))=0,"",(IF(INDEX($AC$176:$AC$905,($K188-$N$48))="",0,INDEX($AC$176:$AC$905,($K188-$N$48))))))</f>
        <v/>
      </c>
      <c r="AF188" s="31" t="str">
        <f t="shared" si="36"/>
        <v/>
      </c>
      <c r="AG188" s="31" t="str">
        <f t="shared" si="37"/>
        <v/>
      </c>
      <c r="AH188" s="31" t="str">
        <f t="shared" si="38"/>
        <v/>
      </c>
      <c r="AI188" s="31" t="str">
        <f t="shared" si="39"/>
        <v/>
      </c>
      <c r="AJ188" s="303" t="str">
        <f t="shared" si="40"/>
        <v/>
      </c>
      <c r="AK188" s="139" t="str">
        <f t="shared" si="41"/>
        <v/>
      </c>
      <c r="AM188" s="319"/>
      <c r="AN188" s="40"/>
      <c r="AO188" s="1"/>
      <c r="AQ188" s="326"/>
    </row>
    <row r="189" spans="7:43" x14ac:dyDescent="0.25">
      <c r="G189" s="235" t="str">
        <f t="shared" si="26"/>
        <v>01.00</v>
      </c>
      <c r="H189" s="4" t="str">
        <f t="shared" si="27"/>
        <v>01.00.R</v>
      </c>
      <c r="I189" s="11" t="str">
        <f t="shared" si="28"/>
        <v>01.00.R.3</v>
      </c>
      <c r="K189" s="30">
        <v>14</v>
      </c>
      <c r="L189" s="29">
        <f t="shared" si="42"/>
        <v>-15417.657445101135</v>
      </c>
      <c r="M189" s="28" t="str">
        <f t="shared" si="29"/>
        <v/>
      </c>
      <c r="N189" s="27" t="str">
        <f t="shared" si="43"/>
        <v/>
      </c>
      <c r="O189" s="26">
        <f>IF(AND($Q188=$O$38,IFERROR(LARGE($V$176:$V188,1)&lt;$N$42,TRUE)),1,IF(AND(ISNUMBER($O188),$O188&lt;$N$32),$O188+1,""))</f>
        <v>3</v>
      </c>
      <c r="P189" s="26" t="str">
        <f t="shared" si="44"/>
        <v/>
      </c>
      <c r="Q189" s="26" t="str">
        <f t="shared" si="30"/>
        <v/>
      </c>
      <c r="R189" s="24" t="str">
        <f t="shared" si="45"/>
        <v/>
      </c>
      <c r="S189" s="180">
        <f t="shared" si="46"/>
        <v>1</v>
      </c>
      <c r="T189" s="151"/>
      <c r="U189" s="25" t="str">
        <f t="shared" si="31"/>
        <v/>
      </c>
      <c r="V189" s="24" t="str">
        <f>IF(AND(ISNUMBER(R188),ISNUMBER(R189)),V188,IF(AND(R188="",ISNUMBER(R189)),IFERROR(LARGE($V$176:$V188,1)+1,0),""))</f>
        <v/>
      </c>
      <c r="W189" s="23" t="str">
        <f t="shared" si="32"/>
        <v/>
      </c>
      <c r="X189" s="22" t="str">
        <f t="shared" si="33"/>
        <v/>
      </c>
      <c r="Y189" s="22"/>
      <c r="Z189" s="22"/>
      <c r="AA189" s="22"/>
      <c r="AB189" s="22" t="str" cm="1">
        <f t="array" ref="AB189">IF(IF(AND($P188="",$P189=1),($N$37*-1),0)+IF(AND($Q188="",$Q189=1),($N$38*-1),0)+IF(IF(($K189-$N$48)&lt;1,0,IF(IF(INDEX($AD$176:$AD$905,($K189-$N$48))="",0,INDEX($AD$176:$AD$905,($K189-$N$48)))&gt;0,IF(INDEX($AD$176:$AD$905,($K189-$N$48))="",0,INDEX($AD$176:$AD$905,($K189-$N$48))),0))="",0,IF(($K189-$N$48)&lt;1,0,IF(IF(INDEX($AD$176:$AD$905,($K189-$N$48))="",0,INDEX($AD$176:$AD$905,($K189-$N$48)))&gt;0,IF(INDEX($AD$176:$AD$905,($K189-$N$48))="",0,INDEX($AD$176:$AD$905,($K189-$N$48))),0)))=0,"",IF(AND($P188="",$P189=1),($N$37*-1),0)+IF(AND($Q188="",$Q189=1),($N$38*-1),0)+IF(IF(($K189-$N$48)&lt;1,0,IF(IF(INDEX($AD$176:$AD$905,($K189-$N$48))="",0,INDEX($AD$176:$AD$905,($K189-$N$48)))&gt;0,IF(INDEX($AD$176:$AD$905,($K189-$N$48))="",0,INDEX($AD$176:$AD$905,($K189-$N$48))),0))="",0,IF(($K189-$N$48)&lt;1,0,IF(IF(INDEX($AD$176:$AD$905,($K189-$N$48))="",0,INDEX($AD$176:$AD$905,($K189-$N$48)))&gt;0,IF(INDEX($AD$176:$AD$905,($K189-$N$48))="",0,INDEX($AD$176:$AD$905,($K189-$N$48))),0))))</f>
        <v/>
      </c>
      <c r="AC189" s="22" t="str">
        <f t="shared" si="34"/>
        <v/>
      </c>
      <c r="AD189" s="22" t="str">
        <f t="shared" si="35"/>
        <v/>
      </c>
      <c r="AE189" s="22" t="str" cm="1">
        <f t="array" ref="AE189">IF(($K189-$N$48)&lt;1,"",IF((IF(INDEX($AC$176:$AC$905,($K189-$N$48))="",0,INDEX($AC$176:$AC$905,($K189-$N$48))))=0,"",(IF(INDEX($AC$176:$AC$905,($K189-$N$48))="",0,INDEX($AC$176:$AC$905,($K189-$N$48))))))</f>
        <v/>
      </c>
      <c r="AF189" s="31" t="str">
        <f t="shared" si="36"/>
        <v/>
      </c>
      <c r="AG189" s="31" t="str">
        <f t="shared" si="37"/>
        <v/>
      </c>
      <c r="AH189" s="31" t="str">
        <f t="shared" si="38"/>
        <v/>
      </c>
      <c r="AI189" s="31" t="str">
        <f t="shared" si="39"/>
        <v/>
      </c>
      <c r="AJ189" s="303" t="str">
        <f t="shared" si="40"/>
        <v/>
      </c>
      <c r="AK189" s="139" t="str">
        <f t="shared" si="41"/>
        <v/>
      </c>
      <c r="AM189" s="319"/>
      <c r="AN189" s="40"/>
      <c r="AO189" s="1"/>
      <c r="AQ189" s="326"/>
    </row>
    <row r="190" spans="7:43" x14ac:dyDescent="0.25">
      <c r="G190" s="235" t="str">
        <f t="shared" si="26"/>
        <v>01.00</v>
      </c>
      <c r="H190" s="4" t="str">
        <f t="shared" si="27"/>
        <v>01.00.O</v>
      </c>
      <c r="I190" s="11" t="str">
        <f t="shared" si="28"/>
        <v>01.00.O.1</v>
      </c>
      <c r="K190" s="30">
        <v>15</v>
      </c>
      <c r="L190" s="29">
        <f t="shared" si="42"/>
        <v>-15617.657445101135</v>
      </c>
      <c r="M190" s="28">
        <f t="shared" si="29"/>
        <v>-200</v>
      </c>
      <c r="N190" s="27" t="str">
        <f t="shared" si="43"/>
        <v/>
      </c>
      <c r="O190" s="26" t="str">
        <f>IF(AND($Q189=$O$38,IFERROR(LARGE($V$176:$V189,1)&lt;$N$42,TRUE)),1,IF(AND(ISNUMBER($O189),$O189&lt;$N$32),$O189+1,""))</f>
        <v/>
      </c>
      <c r="P190" s="26">
        <f t="shared" si="44"/>
        <v>1</v>
      </c>
      <c r="Q190" s="26" t="str">
        <f t="shared" si="30"/>
        <v/>
      </c>
      <c r="R190" s="24" t="str">
        <f t="shared" si="45"/>
        <v/>
      </c>
      <c r="S190" s="180">
        <f t="shared" si="46"/>
        <v>1</v>
      </c>
      <c r="T190" s="151"/>
      <c r="U190" s="25" t="str">
        <f t="shared" si="31"/>
        <v/>
      </c>
      <c r="V190" s="24" t="str">
        <f>IF(AND(ISNUMBER(R189),ISNUMBER(R190)),V189,IF(AND(R189="",ISNUMBER(R190)),IFERROR(LARGE($V$176:$V189,1)+1,0),""))</f>
        <v/>
      </c>
      <c r="W190" s="23" t="str">
        <f t="shared" si="32"/>
        <v/>
      </c>
      <c r="X190" s="22" t="str">
        <f t="shared" si="33"/>
        <v/>
      </c>
      <c r="Y190" s="22"/>
      <c r="Z190" s="22"/>
      <c r="AA190" s="22"/>
      <c r="AB190" s="22" cm="1">
        <f t="array" ref="AB190">IF(IF(AND($P189="",$P190=1),($N$37*-1),0)+IF(AND($Q189="",$Q190=1),($N$38*-1),0)+IF(IF(($K190-$N$48)&lt;1,0,IF(IF(INDEX($AD$176:$AD$905,($K190-$N$48))="",0,INDEX($AD$176:$AD$905,($K190-$N$48)))&gt;0,IF(INDEX($AD$176:$AD$905,($K190-$N$48))="",0,INDEX($AD$176:$AD$905,($K190-$N$48))),0))="",0,IF(($K190-$N$48)&lt;1,0,IF(IF(INDEX($AD$176:$AD$905,($K190-$N$48))="",0,INDEX($AD$176:$AD$905,($K190-$N$48)))&gt;0,IF(INDEX($AD$176:$AD$905,($K190-$N$48))="",0,INDEX($AD$176:$AD$905,($K190-$N$48))),0)))=0,"",IF(AND($P189="",$P190=1),($N$37*-1),0)+IF(AND($Q189="",$Q190=1),($N$38*-1),0)+IF(IF(($K190-$N$48)&lt;1,0,IF(IF(INDEX($AD$176:$AD$905,($K190-$N$48))="",0,INDEX($AD$176:$AD$905,($K190-$N$48)))&gt;0,IF(INDEX($AD$176:$AD$905,($K190-$N$48))="",0,INDEX($AD$176:$AD$905,($K190-$N$48))),0))="",0,IF(($K190-$N$48)&lt;1,0,IF(IF(INDEX($AD$176:$AD$905,($K190-$N$48))="",0,INDEX($AD$176:$AD$905,($K190-$N$48)))&gt;0,IF(INDEX($AD$176:$AD$905,($K190-$N$48))="",0,INDEX($AD$176:$AD$905,($K190-$N$48))),0))))</f>
        <v>-200</v>
      </c>
      <c r="AC190" s="22" t="str">
        <f t="shared" si="34"/>
        <v/>
      </c>
      <c r="AD190" s="22" t="str">
        <f t="shared" si="35"/>
        <v/>
      </c>
      <c r="AE190" s="22" t="str" cm="1">
        <f t="array" ref="AE190">IF(($K190-$N$48)&lt;1,"",IF((IF(INDEX($AC$176:$AC$905,($K190-$N$48))="",0,INDEX($AC$176:$AC$905,($K190-$N$48))))=0,"",(IF(INDEX($AC$176:$AC$905,($K190-$N$48))="",0,INDEX($AC$176:$AC$905,($K190-$N$48))))))</f>
        <v/>
      </c>
      <c r="AF190" s="31" t="str">
        <f t="shared" si="36"/>
        <v/>
      </c>
      <c r="AG190" s="31" t="str">
        <f t="shared" si="37"/>
        <v/>
      </c>
      <c r="AH190" s="31" t="str">
        <f t="shared" si="38"/>
        <v/>
      </c>
      <c r="AI190" s="31" t="str">
        <f t="shared" si="39"/>
        <v/>
      </c>
      <c r="AJ190" s="303" t="str">
        <f t="shared" si="40"/>
        <v/>
      </c>
      <c r="AK190" s="139" t="str">
        <f t="shared" si="41"/>
        <v/>
      </c>
      <c r="AM190" s="319"/>
      <c r="AN190" s="40"/>
      <c r="AO190" s="1"/>
      <c r="AQ190" s="326"/>
    </row>
    <row r="191" spans="7:43" x14ac:dyDescent="0.25">
      <c r="G191" s="235" t="str">
        <f t="shared" si="26"/>
        <v>01.00</v>
      </c>
      <c r="H191" s="4" t="str">
        <f t="shared" si="27"/>
        <v>01.00.O</v>
      </c>
      <c r="I191" s="11" t="str">
        <f t="shared" si="28"/>
        <v>01.00.O.2</v>
      </c>
      <c r="K191" s="30">
        <v>16</v>
      </c>
      <c r="L191" s="29">
        <f t="shared" si="42"/>
        <v>-15617.657445101135</v>
      </c>
      <c r="M191" s="28" t="str">
        <f t="shared" si="29"/>
        <v/>
      </c>
      <c r="N191" s="27" t="str">
        <f t="shared" si="43"/>
        <v/>
      </c>
      <c r="O191" s="26" t="str">
        <f>IF(AND($Q190=$O$38,IFERROR(LARGE($V$176:$V190,1)&lt;$N$42,TRUE)),1,IF(AND(ISNUMBER($O190),$O190&lt;$N$32),$O190+1,""))</f>
        <v/>
      </c>
      <c r="P191" s="26">
        <f t="shared" si="44"/>
        <v>2</v>
      </c>
      <c r="Q191" s="26" t="str">
        <f t="shared" si="30"/>
        <v/>
      </c>
      <c r="R191" s="24" t="str">
        <f t="shared" si="45"/>
        <v/>
      </c>
      <c r="S191" s="180">
        <f t="shared" si="46"/>
        <v>1</v>
      </c>
      <c r="T191" s="151"/>
      <c r="U191" s="25" t="str">
        <f t="shared" si="31"/>
        <v/>
      </c>
      <c r="V191" s="24" t="str">
        <f>IF(AND(ISNUMBER(R190),ISNUMBER(R191)),V190,IF(AND(R190="",ISNUMBER(R191)),IFERROR(LARGE($V$176:$V190,1)+1,0),""))</f>
        <v/>
      </c>
      <c r="W191" s="23" t="str">
        <f t="shared" si="32"/>
        <v/>
      </c>
      <c r="X191" s="22" t="str">
        <f t="shared" si="33"/>
        <v/>
      </c>
      <c r="Y191" s="22"/>
      <c r="Z191" s="22"/>
      <c r="AA191" s="22"/>
      <c r="AB191" s="22" t="str" cm="1">
        <f t="array" ref="AB191">IF(IF(AND($P190="",$P191=1),($N$37*-1),0)+IF(AND($Q190="",$Q191=1),($N$38*-1),0)+IF(IF(($K191-$N$48)&lt;1,0,IF(IF(INDEX($AD$176:$AD$905,($K191-$N$48))="",0,INDEX($AD$176:$AD$905,($K191-$N$48)))&gt;0,IF(INDEX($AD$176:$AD$905,($K191-$N$48))="",0,INDEX($AD$176:$AD$905,($K191-$N$48))),0))="",0,IF(($K191-$N$48)&lt;1,0,IF(IF(INDEX($AD$176:$AD$905,($K191-$N$48))="",0,INDEX($AD$176:$AD$905,($K191-$N$48)))&gt;0,IF(INDEX($AD$176:$AD$905,($K191-$N$48))="",0,INDEX($AD$176:$AD$905,($K191-$N$48))),0)))=0,"",IF(AND($P190="",$P191=1),($N$37*-1),0)+IF(AND($Q190="",$Q191=1),($N$38*-1),0)+IF(IF(($K191-$N$48)&lt;1,0,IF(IF(INDEX($AD$176:$AD$905,($K191-$N$48))="",0,INDEX($AD$176:$AD$905,($K191-$N$48)))&gt;0,IF(INDEX($AD$176:$AD$905,($K191-$N$48))="",0,INDEX($AD$176:$AD$905,($K191-$N$48))),0))="",0,IF(($K191-$N$48)&lt;1,0,IF(IF(INDEX($AD$176:$AD$905,($K191-$N$48))="",0,INDEX($AD$176:$AD$905,($K191-$N$48)))&gt;0,IF(INDEX($AD$176:$AD$905,($K191-$N$48))="",0,INDEX($AD$176:$AD$905,($K191-$N$48))),0))))</f>
        <v/>
      </c>
      <c r="AC191" s="22" t="str">
        <f t="shared" si="34"/>
        <v/>
      </c>
      <c r="AD191" s="22" t="str">
        <f>IF(IF(OR(AND(ISNUMBER($U191),IF(ISNUMBER($U192),$U192,0)-IF(ISNUMBER($U191),$U191,0)=1),AND(ISNUMBER($U191),$U192="")),IF($U191=1,$P$37,0),0)=0,"",IF(OR(AND(ISNUMBER($U191),IF(ISNUMBER($U192),$U192,0)-IF(ISNUMBER($U191),$U191,0)=1),AND(ISNUMBER($U191),$U192="")),IF($U191=1,$P$37,0),0))</f>
        <v/>
      </c>
      <c r="AE191" s="22" t="str" cm="1">
        <f t="array" ref="AE191">IF(($K191-$N$48)&lt;1,"",IF((IF(INDEX($AC$176:$AC$905,($K191-$N$48))="",0,INDEX($AC$176:$AC$905,($K191-$N$48))))=0,"",(IF(INDEX($AC$176:$AC$905,($K191-$N$48))="",0,INDEX($AC$176:$AC$905,($K191-$N$48))))))</f>
        <v/>
      </c>
      <c r="AF191" s="31" t="str">
        <f t="shared" si="36"/>
        <v/>
      </c>
      <c r="AG191" s="31" t="str">
        <f t="shared" si="37"/>
        <v/>
      </c>
      <c r="AH191" s="31" t="str">
        <f t="shared" si="38"/>
        <v/>
      </c>
      <c r="AI191" s="31" t="str">
        <f t="shared" si="39"/>
        <v/>
      </c>
      <c r="AJ191" s="303" t="str">
        <f t="shared" si="40"/>
        <v/>
      </c>
      <c r="AK191" s="139" t="str">
        <f t="shared" si="41"/>
        <v/>
      </c>
      <c r="AM191" s="319"/>
      <c r="AN191" s="40"/>
      <c r="AO191" s="1"/>
      <c r="AQ191" s="326"/>
    </row>
    <row r="192" spans="7:43" x14ac:dyDescent="0.25">
      <c r="G192" s="235" t="str">
        <f t="shared" si="26"/>
        <v>01.01</v>
      </c>
      <c r="H192" s="4" t="str">
        <f t="shared" si="27"/>
        <v>01.01.D</v>
      </c>
      <c r="I192" s="11" t="str">
        <f t="shared" si="28"/>
        <v>01.01.D.1</v>
      </c>
      <c r="K192" s="30">
        <v>17</v>
      </c>
      <c r="L192" s="29">
        <f t="shared" si="42"/>
        <v>-15617.657445101135</v>
      </c>
      <c r="M192" s="28" t="str">
        <f t="shared" si="29"/>
        <v/>
      </c>
      <c r="N192" s="27" t="str">
        <f t="shared" si="43"/>
        <v/>
      </c>
      <c r="O192" s="26" t="str">
        <f>IF(AND($Q191=$O$38,IFERROR(LARGE($V$176:$V191,1)&lt;$N$42,TRUE)),1,IF(AND(ISNUMBER($O191),$O191&lt;$N$32),$O191+1,""))</f>
        <v/>
      </c>
      <c r="P192" s="26" t="str">
        <f t="shared" si="44"/>
        <v/>
      </c>
      <c r="Q192" s="26" t="str">
        <f t="shared" si="30"/>
        <v/>
      </c>
      <c r="R192" s="24">
        <f t="shared" si="45"/>
        <v>1</v>
      </c>
      <c r="S192" s="180">
        <f t="shared" si="46"/>
        <v>1.01</v>
      </c>
      <c r="T192" s="151"/>
      <c r="U192" s="25">
        <f t="shared" si="31"/>
        <v>1</v>
      </c>
      <c r="V192" s="24">
        <f>IF(AND(ISNUMBER(R191),ISNUMBER(R192)),V191,IF(AND(R191="",ISNUMBER(R192)),IFERROR(LARGE($V$176:$V191,1)+1,0),""))</f>
        <v>1</v>
      </c>
      <c r="W192" s="23" t="str">
        <f t="shared" si="32"/>
        <v/>
      </c>
      <c r="X192" s="22" t="str">
        <f t="shared" si="33"/>
        <v/>
      </c>
      <c r="Y192" s="22"/>
      <c r="Z192" s="22"/>
      <c r="AA192" s="22"/>
      <c r="AB192" s="22" t="str" cm="1">
        <f t="array" ref="AB192">IF(IF(AND($P191="",$P192=1),($N$37*-1),0)+IF(AND($Q191="",$Q192=1),($N$38*-1),0)+IF(IF(($K192-$N$48)&lt;1,0,IF(IF(INDEX($AD$176:$AD$905,($K192-$N$48))="",0,INDEX($AD$176:$AD$905,($K192-$N$48)))&gt;0,IF(INDEX($AD$176:$AD$905,($K192-$N$48))="",0,INDEX($AD$176:$AD$905,($K192-$N$48))),0))="",0,IF(($K192-$N$48)&lt;1,0,IF(IF(INDEX($AD$176:$AD$905,($K192-$N$48))="",0,INDEX($AD$176:$AD$905,($K192-$N$48)))&gt;0,IF(INDEX($AD$176:$AD$905,($K192-$N$48))="",0,INDEX($AD$176:$AD$905,($K192-$N$48))),0)))=0,"",IF(AND($P191="",$P192=1),($N$37*-1),0)+IF(AND($Q191="",$Q192=1),($N$38*-1),0)+IF(IF(($K192-$N$48)&lt;1,0,IF(IF(INDEX($AD$176:$AD$905,($K192-$N$48))="",0,INDEX($AD$176:$AD$905,($K192-$N$48)))&gt;0,IF(INDEX($AD$176:$AD$905,($K192-$N$48))="",0,INDEX($AD$176:$AD$905,($K192-$N$48))),0))="",0,IF(($K192-$N$48)&lt;1,0,IF(IF(INDEX($AD$176:$AD$905,($K192-$N$48))="",0,INDEX($AD$176:$AD$905,($K192-$N$48)))&gt;0,IF(INDEX($AD$176:$AD$905,($K192-$N$48))="",0,INDEX($AD$176:$AD$905,($K192-$N$48))),0))))</f>
        <v/>
      </c>
      <c r="AC192" s="22" t="str">
        <f t="shared" si="34"/>
        <v/>
      </c>
      <c r="AD192" s="22" t="str">
        <f t="shared" ref="AD192:AD254" si="47">IF(IF(OR(AND(ISNUMBER($U192),IF(ISNUMBER($U193),$U193,0)-IF(ISNUMBER($U192),$U192,0)=1),AND(ISNUMBER($U192),$U193="")),IF($U192=1,$P$37,0),0)=0,"",IF(OR(AND(ISNUMBER($U192),IF(ISNUMBER($U193),$U193,0)-IF(ISNUMBER($U192),$U192,0)=1),AND(ISNUMBER($U192),$U193="")),IF($U192=1,$P$37,0),0))</f>
        <v/>
      </c>
      <c r="AE192" s="22" t="str" cm="1">
        <f t="array" ref="AE192">IF(($K192-$N$48)&lt;1,"",IF((IF(INDEX($AC$176:$AC$905,($K192-$N$48))="",0,INDEX($AC$176:$AC$905,($K192-$N$48))))=0,"",(IF(INDEX($AC$176:$AC$905,($K192-$N$48))="",0,INDEX($AC$176:$AC$905,($K192-$N$48))))))</f>
        <v/>
      </c>
      <c r="AF192" s="31" t="str">
        <f t="shared" si="36"/>
        <v/>
      </c>
      <c r="AG192" s="31" t="str">
        <f t="shared" si="37"/>
        <v/>
      </c>
      <c r="AH192" s="31" t="str">
        <f t="shared" si="38"/>
        <v/>
      </c>
      <c r="AI192" s="31" t="str">
        <f t="shared" si="39"/>
        <v/>
      </c>
      <c r="AJ192" s="303" t="str">
        <f t="shared" si="40"/>
        <v/>
      </c>
      <c r="AK192" s="139" t="str">
        <f t="shared" si="41"/>
        <v/>
      </c>
      <c r="AM192" s="319"/>
      <c r="AN192" s="40"/>
      <c r="AO192" s="1"/>
      <c r="AQ192" s="326"/>
    </row>
    <row r="193" spans="7:43" x14ac:dyDescent="0.25">
      <c r="G193" s="235" t="str">
        <f t="shared" si="26"/>
        <v>01.01</v>
      </c>
      <c r="H193" s="4" t="str">
        <f t="shared" si="27"/>
        <v>01.01.D</v>
      </c>
      <c r="I193" s="11" t="str">
        <f t="shared" si="28"/>
        <v>01.01.D.2</v>
      </c>
      <c r="K193" s="30">
        <v>18</v>
      </c>
      <c r="L193" s="29">
        <f t="shared" si="42"/>
        <v>-15617.657445101135</v>
      </c>
      <c r="M193" s="28" t="str">
        <f t="shared" si="29"/>
        <v/>
      </c>
      <c r="N193" s="27" t="str">
        <f t="shared" si="43"/>
        <v/>
      </c>
      <c r="O193" s="26" t="str">
        <f>IF(AND($Q192=$O$38,IFERROR(LARGE($V$176:$V192,1)&lt;$N$42,TRUE)),1,IF(AND(ISNUMBER($O192),$O192&lt;$N$32),$O192+1,""))</f>
        <v/>
      </c>
      <c r="P193" s="26" t="str">
        <f t="shared" si="44"/>
        <v/>
      </c>
      <c r="Q193" s="26" t="str">
        <f t="shared" si="30"/>
        <v/>
      </c>
      <c r="R193" s="24">
        <f t="shared" si="45"/>
        <v>2</v>
      </c>
      <c r="S193" s="180">
        <f t="shared" si="46"/>
        <v>1.01</v>
      </c>
      <c r="T193" s="151"/>
      <c r="U193" s="25">
        <f t="shared" si="31"/>
        <v>1</v>
      </c>
      <c r="V193" s="24">
        <f>IF(AND(ISNUMBER(R192),ISNUMBER(R193)),V192,IF(AND(R192="",ISNUMBER(R193)),IFERROR(LARGE($V$176:$V192,1)+1,0),""))</f>
        <v>1</v>
      </c>
      <c r="W193" s="23" t="str">
        <f t="shared" si="32"/>
        <v/>
      </c>
      <c r="X193" s="22" t="str">
        <f t="shared" si="33"/>
        <v/>
      </c>
      <c r="Y193" s="22"/>
      <c r="Z193" s="22"/>
      <c r="AA193" s="22"/>
      <c r="AB193" s="22" t="str" cm="1">
        <f t="array" ref="AB193">IF(IF(AND($P192="",$P193=1),($N$37*-1),0)+IF(AND($Q192="",$Q193=1),($N$38*-1),0)+IF(IF(($K193-$N$48)&lt;1,0,IF(IF(INDEX($AD$176:$AD$905,($K193-$N$48))="",0,INDEX($AD$176:$AD$905,($K193-$N$48)))&gt;0,IF(INDEX($AD$176:$AD$905,($K193-$N$48))="",0,INDEX($AD$176:$AD$905,($K193-$N$48))),0))="",0,IF(($K193-$N$48)&lt;1,0,IF(IF(INDEX($AD$176:$AD$905,($K193-$N$48))="",0,INDEX($AD$176:$AD$905,($K193-$N$48)))&gt;0,IF(INDEX($AD$176:$AD$905,($K193-$N$48))="",0,INDEX($AD$176:$AD$905,($K193-$N$48))),0)))=0,"",IF(AND($P192="",$P193=1),($N$37*-1),0)+IF(AND($Q192="",$Q193=1),($N$38*-1),0)+IF(IF(($K193-$N$48)&lt;1,0,IF(IF(INDEX($AD$176:$AD$905,($K193-$N$48))="",0,INDEX($AD$176:$AD$905,($K193-$N$48)))&gt;0,IF(INDEX($AD$176:$AD$905,($K193-$N$48))="",0,INDEX($AD$176:$AD$905,($K193-$N$48))),0))="",0,IF(($K193-$N$48)&lt;1,0,IF(IF(INDEX($AD$176:$AD$905,($K193-$N$48))="",0,INDEX($AD$176:$AD$905,($K193-$N$48)))&gt;0,IF(INDEX($AD$176:$AD$905,($K193-$N$48))="",0,INDEX($AD$176:$AD$905,($K193-$N$48))),0))))</f>
        <v/>
      </c>
      <c r="AC193" s="22">
        <f t="shared" si="34"/>
        <v>5500</v>
      </c>
      <c r="AD193" s="22">
        <f t="shared" si="47"/>
        <v>525</v>
      </c>
      <c r="AE193" s="22" t="str" cm="1">
        <f t="array" ref="AE193">IF(($K193-$N$48)&lt;1,"",IF((IF(INDEX($AC$176:$AC$905,($K193-$N$48))="",0,INDEX($AC$176:$AC$905,($K193-$N$48))))=0,"",(IF(INDEX($AC$176:$AC$905,($K193-$N$48))="",0,INDEX($AC$176:$AC$905,($K193-$N$48))))))</f>
        <v/>
      </c>
      <c r="AF193" s="31" t="str">
        <f t="shared" si="36"/>
        <v/>
      </c>
      <c r="AG193" s="31" t="str">
        <f t="shared" si="37"/>
        <v/>
      </c>
      <c r="AH193" s="31" t="str">
        <f t="shared" si="38"/>
        <v/>
      </c>
      <c r="AI193" s="31" t="str">
        <f t="shared" si="39"/>
        <v/>
      </c>
      <c r="AJ193" s="303" t="str">
        <f t="shared" si="40"/>
        <v/>
      </c>
      <c r="AK193" s="139" t="str">
        <f t="shared" si="41"/>
        <v/>
      </c>
      <c r="AM193" s="319"/>
      <c r="AN193" s="40"/>
      <c r="AO193" s="1"/>
      <c r="AQ193" s="326"/>
    </row>
    <row r="194" spans="7:43" x14ac:dyDescent="0.25">
      <c r="G194" s="235" t="str">
        <f t="shared" si="26"/>
        <v>02.00</v>
      </c>
      <c r="H194" s="4" t="str">
        <f t="shared" si="27"/>
        <v>02.00.I</v>
      </c>
      <c r="I194" s="11" t="str">
        <f t="shared" si="28"/>
        <v>02.00.I.1</v>
      </c>
      <c r="K194" s="30">
        <v>19</v>
      </c>
      <c r="L194" s="29">
        <f t="shared" si="42"/>
        <v>-15817.657445101135</v>
      </c>
      <c r="M194" s="28">
        <f t="shared" si="29"/>
        <v>-200</v>
      </c>
      <c r="N194" s="27" t="str">
        <f t="shared" si="43"/>
        <v/>
      </c>
      <c r="O194" s="26" t="str">
        <f>IF(AND($Q193=$O$38,IFERROR(LARGE($V$176:$V193,1)&lt;$N$42,TRUE)),1,IF(AND(ISNUMBER($O193),$O193&lt;$N$32),$O193+1,""))</f>
        <v/>
      </c>
      <c r="P194" s="26" t="str">
        <f t="shared" si="44"/>
        <v/>
      </c>
      <c r="Q194" s="26">
        <f t="shared" si="30"/>
        <v>1</v>
      </c>
      <c r="R194" s="24" t="str">
        <f t="shared" si="45"/>
        <v/>
      </c>
      <c r="S194" s="180">
        <f t="shared" si="46"/>
        <v>2</v>
      </c>
      <c r="T194" s="151"/>
      <c r="U194" s="25" t="str">
        <f t="shared" si="31"/>
        <v/>
      </c>
      <c r="V194" s="24" t="str">
        <f>IF(AND(ISNUMBER(R193),ISNUMBER(R194)),V193,IF(AND(R193="",ISNUMBER(R194)),IFERROR(LARGE($V$176:$V193,1)+1,0),""))</f>
        <v/>
      </c>
      <c r="W194" s="23" t="str">
        <f t="shared" si="32"/>
        <v/>
      </c>
      <c r="X194" s="22" t="str">
        <f t="shared" si="33"/>
        <v/>
      </c>
      <c r="Y194" s="22"/>
      <c r="Z194" s="22"/>
      <c r="AA194" s="22"/>
      <c r="AB194" s="22" cm="1">
        <f t="array" ref="AB194">IF(IF(AND($P193="",$P194=1),($N$37*-1),0)+IF(AND($Q193="",$Q194=1),($N$38*-1),0)+IF(IF(($K194-$N$48)&lt;1,0,IF(IF(INDEX($AD$176:$AD$905,($K194-$N$48))="",0,INDEX($AD$176:$AD$905,($K194-$N$48)))&gt;0,IF(INDEX($AD$176:$AD$905,($K194-$N$48))="",0,INDEX($AD$176:$AD$905,($K194-$N$48))),0))="",0,IF(($K194-$N$48)&lt;1,0,IF(IF(INDEX($AD$176:$AD$905,($K194-$N$48))="",0,INDEX($AD$176:$AD$905,($K194-$N$48)))&gt;0,IF(INDEX($AD$176:$AD$905,($K194-$N$48))="",0,INDEX($AD$176:$AD$905,($K194-$N$48))),0)))=0,"",IF(AND($P193="",$P194=1),($N$37*-1),0)+IF(AND($Q193="",$Q194=1),($N$38*-1),0)+IF(IF(($K194-$N$48)&lt;1,0,IF(IF(INDEX($AD$176:$AD$905,($K194-$N$48))="",0,INDEX($AD$176:$AD$905,($K194-$N$48)))&gt;0,IF(INDEX($AD$176:$AD$905,($K194-$N$48))="",0,INDEX($AD$176:$AD$905,($K194-$N$48))),0))="",0,IF(($K194-$N$48)&lt;1,0,IF(IF(INDEX($AD$176:$AD$905,($K194-$N$48))="",0,INDEX($AD$176:$AD$905,($K194-$N$48)))&gt;0,IF(INDEX($AD$176:$AD$905,($K194-$N$48))="",0,INDEX($AD$176:$AD$905,($K194-$N$48))),0))))</f>
        <v>-200</v>
      </c>
      <c r="AC194" s="22" t="str">
        <f t="shared" si="34"/>
        <v/>
      </c>
      <c r="AD194" s="22" t="str">
        <f t="shared" si="47"/>
        <v/>
      </c>
      <c r="AE194" s="22" t="str" cm="1">
        <f t="array" ref="AE194">IF(($K194-$N$48)&lt;1,"",IF((IF(INDEX($AC$176:$AC$905,($K194-$N$48))="",0,INDEX($AC$176:$AC$905,($K194-$N$48))))=0,"",(IF(INDEX($AC$176:$AC$905,($K194-$N$48))="",0,INDEX($AC$176:$AC$905,($K194-$N$48))))))</f>
        <v/>
      </c>
      <c r="AF194" s="31" t="str">
        <f t="shared" si="36"/>
        <v/>
      </c>
      <c r="AG194" s="31" t="str">
        <f t="shared" si="37"/>
        <v/>
      </c>
      <c r="AH194" s="31" t="str">
        <f t="shared" si="38"/>
        <v/>
      </c>
      <c r="AI194" s="31" t="str">
        <f t="shared" si="39"/>
        <v/>
      </c>
      <c r="AJ194" s="303" t="str">
        <f t="shared" si="40"/>
        <v/>
      </c>
      <c r="AK194" s="139" t="str">
        <f t="shared" si="41"/>
        <v/>
      </c>
      <c r="AM194" s="319"/>
      <c r="AN194" s="40"/>
      <c r="AO194" s="1"/>
      <c r="AQ194" s="326"/>
    </row>
    <row r="195" spans="7:43" x14ac:dyDescent="0.25">
      <c r="G195" s="235" t="str">
        <f t="shared" si="26"/>
        <v>02.00</v>
      </c>
      <c r="H195" s="4" t="str">
        <f t="shared" si="27"/>
        <v>02.00.I</v>
      </c>
      <c r="I195" s="11" t="str">
        <f t="shared" si="28"/>
        <v>02.00.I.2</v>
      </c>
      <c r="K195" s="30">
        <v>20</v>
      </c>
      <c r="L195" s="29">
        <f t="shared" si="42"/>
        <v>-15817.657445101135</v>
      </c>
      <c r="M195" s="28" t="str">
        <f t="shared" si="29"/>
        <v/>
      </c>
      <c r="N195" s="27" t="str">
        <f t="shared" si="43"/>
        <v/>
      </c>
      <c r="O195" s="26" t="str">
        <f>IF(AND($Q194=$O$38,IFERROR(LARGE($V$176:$V194,1)&lt;$N$42,TRUE)),1,IF(AND(ISNUMBER($O194),$O194&lt;$N$32),$O194+1,""))</f>
        <v/>
      </c>
      <c r="P195" s="26" t="str">
        <f t="shared" si="44"/>
        <v/>
      </c>
      <c r="Q195" s="26">
        <f t="shared" si="30"/>
        <v>2</v>
      </c>
      <c r="R195" s="24" t="str">
        <f t="shared" si="45"/>
        <v/>
      </c>
      <c r="S195" s="180">
        <f t="shared" si="46"/>
        <v>2</v>
      </c>
      <c r="T195" s="151"/>
      <c r="U195" s="25" t="str">
        <f t="shared" si="31"/>
        <v/>
      </c>
      <c r="V195" s="24" t="str">
        <f>IF(AND(ISNUMBER(R194),ISNUMBER(R195)),V194,IF(AND(R194="",ISNUMBER(R195)),IFERROR(LARGE($V$176:$V194,1)+1,0),""))</f>
        <v/>
      </c>
      <c r="W195" s="23" t="str">
        <f t="shared" si="32"/>
        <v/>
      </c>
      <c r="X195" s="22" t="str">
        <f t="shared" si="33"/>
        <v/>
      </c>
      <c r="Y195" s="22"/>
      <c r="Z195" s="22"/>
      <c r="AA195" s="22"/>
      <c r="AB195" s="22" t="str" cm="1">
        <f t="array" ref="AB195">IF(IF(AND($P194="",$P195=1),($N$37*-1),0)+IF(AND($Q194="",$Q195=1),($N$38*-1),0)+IF(IF(($K195-$N$48)&lt;1,0,IF(IF(INDEX($AD$176:$AD$905,($K195-$N$48))="",0,INDEX($AD$176:$AD$905,($K195-$N$48)))&gt;0,IF(INDEX($AD$176:$AD$905,($K195-$N$48))="",0,INDEX($AD$176:$AD$905,($K195-$N$48))),0))="",0,IF(($K195-$N$48)&lt;1,0,IF(IF(INDEX($AD$176:$AD$905,($K195-$N$48))="",0,INDEX($AD$176:$AD$905,($K195-$N$48)))&gt;0,IF(INDEX($AD$176:$AD$905,($K195-$N$48))="",0,INDEX($AD$176:$AD$905,($K195-$N$48))),0)))=0,"",IF(AND($P194="",$P195=1),($N$37*-1),0)+IF(AND($Q194="",$Q195=1),($N$38*-1),0)+IF(IF(($K195-$N$48)&lt;1,0,IF(IF(INDEX($AD$176:$AD$905,($K195-$N$48))="",0,INDEX($AD$176:$AD$905,($K195-$N$48)))&gt;0,IF(INDEX($AD$176:$AD$905,($K195-$N$48))="",0,INDEX($AD$176:$AD$905,($K195-$N$48))),0))="",0,IF(($K195-$N$48)&lt;1,0,IF(IF(INDEX($AD$176:$AD$905,($K195-$N$48))="",0,INDEX($AD$176:$AD$905,($K195-$N$48)))&gt;0,IF(INDEX($AD$176:$AD$905,($K195-$N$48))="",0,INDEX($AD$176:$AD$905,($K195-$N$48))),0))))</f>
        <v/>
      </c>
      <c r="AC195" s="22" t="str">
        <f t="shared" si="34"/>
        <v/>
      </c>
      <c r="AD195" s="22" t="str">
        <f t="shared" si="47"/>
        <v/>
      </c>
      <c r="AE195" s="22" t="str" cm="1">
        <f t="array" ref="AE195">IF(($K195-$N$48)&lt;1,"",IF((IF(INDEX($AC$176:$AC$905,($K195-$N$48))="",0,INDEX($AC$176:$AC$905,($K195-$N$48))))=0,"",(IF(INDEX($AC$176:$AC$905,($K195-$N$48))="",0,INDEX($AC$176:$AC$905,($K195-$N$48))))))</f>
        <v/>
      </c>
      <c r="AF195" s="31" t="str">
        <f t="shared" si="36"/>
        <v/>
      </c>
      <c r="AG195" s="31" t="str">
        <f t="shared" si="37"/>
        <v/>
      </c>
      <c r="AH195" s="31" t="str">
        <f t="shared" si="38"/>
        <v/>
      </c>
      <c r="AI195" s="31" t="str">
        <f t="shared" si="39"/>
        <v/>
      </c>
      <c r="AJ195" s="303" t="str">
        <f t="shared" si="40"/>
        <v/>
      </c>
      <c r="AK195" s="139" t="str">
        <f t="shared" si="41"/>
        <v/>
      </c>
      <c r="AM195" s="319"/>
      <c r="AN195" s="40"/>
      <c r="AO195" s="1"/>
      <c r="AQ195" s="326"/>
    </row>
    <row r="196" spans="7:43" x14ac:dyDescent="0.25">
      <c r="G196" s="235" t="str">
        <f t="shared" si="26"/>
        <v>02.00</v>
      </c>
      <c r="H196" s="4" t="str">
        <f t="shared" si="27"/>
        <v>02.00.R</v>
      </c>
      <c r="I196" s="11" t="str">
        <f t="shared" si="28"/>
        <v>02.00.R.1</v>
      </c>
      <c r="K196" s="30">
        <v>21</v>
      </c>
      <c r="L196" s="29">
        <f t="shared" si="42"/>
        <v>-18431.290899202271</v>
      </c>
      <c r="M196" s="28">
        <f t="shared" si="29"/>
        <v>-2613.6334541011352</v>
      </c>
      <c r="N196" s="27" t="str">
        <f t="shared" si="43"/>
        <v/>
      </c>
      <c r="O196" s="26">
        <f>IF(AND($Q195=$O$38,IFERROR(LARGE($V$176:$V195,1)&lt;$N$42,TRUE)),1,IF(AND(ISNUMBER($O195),$O195&lt;$N$32),$O195+1,""))</f>
        <v>1</v>
      </c>
      <c r="P196" s="26" t="str">
        <f t="shared" si="44"/>
        <v/>
      </c>
      <c r="Q196" s="26" t="str">
        <f t="shared" si="30"/>
        <v/>
      </c>
      <c r="R196" s="24" t="str">
        <f t="shared" si="45"/>
        <v/>
      </c>
      <c r="S196" s="180">
        <f t="shared" si="46"/>
        <v>2</v>
      </c>
      <c r="T196" s="151"/>
      <c r="U196" s="25" t="str">
        <f t="shared" si="31"/>
        <v/>
      </c>
      <c r="V196" s="24" t="str">
        <f>IF(AND(ISNUMBER(R195),ISNUMBER(R196)),V195,IF(AND(R195="",ISNUMBER(R196)),IFERROR(LARGE($V$176:$V195,1)+1,0),""))</f>
        <v/>
      </c>
      <c r="W196" s="23">
        <f t="shared" si="32"/>
        <v>-1018.3530285882483</v>
      </c>
      <c r="X196" s="22">
        <f t="shared" si="33"/>
        <v>-1595.2804255128869</v>
      </c>
      <c r="Y196" s="22"/>
      <c r="Z196" s="22"/>
      <c r="AA196" s="22"/>
      <c r="AB196" s="22" t="str" cm="1">
        <f t="array" ref="AB196">IF(IF(AND($P195="",$P196=1),($N$37*-1),0)+IF(AND($Q195="",$Q196=1),($N$38*-1),0)+IF(IF(($K196-$N$48)&lt;1,0,IF(IF(INDEX($AD$176:$AD$905,($K196-$N$48))="",0,INDEX($AD$176:$AD$905,($K196-$N$48)))&gt;0,IF(INDEX($AD$176:$AD$905,($K196-$N$48))="",0,INDEX($AD$176:$AD$905,($K196-$N$48))),0))="",0,IF(($K196-$N$48)&lt;1,0,IF(IF(INDEX($AD$176:$AD$905,($K196-$N$48))="",0,INDEX($AD$176:$AD$905,($K196-$N$48)))&gt;0,IF(INDEX($AD$176:$AD$905,($K196-$N$48))="",0,INDEX($AD$176:$AD$905,($K196-$N$48))),0)))=0,"",IF(AND($P195="",$P196=1),($N$37*-1),0)+IF(AND($Q195="",$Q196=1),($N$38*-1),0)+IF(IF(($K196-$N$48)&lt;1,0,IF(IF(INDEX($AD$176:$AD$905,($K196-$N$48))="",0,INDEX($AD$176:$AD$905,($K196-$N$48)))&gt;0,IF(INDEX($AD$176:$AD$905,($K196-$N$48))="",0,INDEX($AD$176:$AD$905,($K196-$N$48))),0))="",0,IF(($K196-$N$48)&lt;1,0,IF(IF(INDEX($AD$176:$AD$905,($K196-$N$48))="",0,INDEX($AD$176:$AD$905,($K196-$N$48)))&gt;0,IF(INDEX($AD$176:$AD$905,($K196-$N$48))="",0,INDEX($AD$176:$AD$905,($K196-$N$48))),0))))</f>
        <v/>
      </c>
      <c r="AC196" s="22" t="str">
        <f t="shared" si="34"/>
        <v/>
      </c>
      <c r="AD196" s="22" t="str">
        <f t="shared" si="47"/>
        <v/>
      </c>
      <c r="AE196" s="22" t="str" cm="1">
        <f t="array" ref="AE196">IF(($K196-$N$48)&lt;1,"",IF((IF(INDEX($AC$176:$AC$905,($K196-$N$48))="",0,INDEX($AC$176:$AC$905,($K196-$N$48))))=0,"",(IF(INDEX($AC$176:$AC$905,($K196-$N$48))="",0,INDEX($AC$176:$AC$905,($K196-$N$48))))))</f>
        <v/>
      </c>
      <c r="AF196" s="31" t="str">
        <f t="shared" si="36"/>
        <v/>
      </c>
      <c r="AG196" s="31" t="str">
        <f t="shared" si="37"/>
        <v/>
      </c>
      <c r="AH196" s="31" t="str">
        <f t="shared" si="38"/>
        <v/>
      </c>
      <c r="AI196" s="31" t="str">
        <f t="shared" si="39"/>
        <v/>
      </c>
      <c r="AJ196" s="303" t="str">
        <f t="shared" si="40"/>
        <v/>
      </c>
      <c r="AK196" s="139" t="str">
        <f t="shared" si="41"/>
        <v/>
      </c>
      <c r="AM196" s="319"/>
      <c r="AN196" s="40"/>
      <c r="AO196" s="1"/>
      <c r="AQ196" s="326"/>
    </row>
    <row r="197" spans="7:43" x14ac:dyDescent="0.25">
      <c r="G197" s="235" t="str">
        <f t="shared" si="26"/>
        <v>02.00</v>
      </c>
      <c r="H197" s="4" t="str">
        <f t="shared" si="27"/>
        <v>02.00.R</v>
      </c>
      <c r="I197" s="11" t="str">
        <f t="shared" si="28"/>
        <v>02.00.R.2</v>
      </c>
      <c r="K197" s="30">
        <v>22</v>
      </c>
      <c r="L197" s="29">
        <f t="shared" si="42"/>
        <v>-18431.290899202271</v>
      </c>
      <c r="M197" s="28" t="str">
        <f t="shared" si="29"/>
        <v/>
      </c>
      <c r="N197" s="27" t="str">
        <f t="shared" si="43"/>
        <v/>
      </c>
      <c r="O197" s="26">
        <f>IF(AND($Q196=$O$38,IFERROR(LARGE($V$176:$V196,1)&lt;$N$42,TRUE)),1,IF(AND(ISNUMBER($O196),$O196&lt;$N$32),$O196+1,""))</f>
        <v>2</v>
      </c>
      <c r="P197" s="26" t="str">
        <f t="shared" si="44"/>
        <v/>
      </c>
      <c r="Q197" s="26" t="str">
        <f t="shared" si="30"/>
        <v/>
      </c>
      <c r="R197" s="24" t="str">
        <f t="shared" si="45"/>
        <v/>
      </c>
      <c r="S197" s="180">
        <f t="shared" si="46"/>
        <v>2</v>
      </c>
      <c r="T197" s="151"/>
      <c r="U197" s="25" t="str">
        <f t="shared" si="31"/>
        <v/>
      </c>
      <c r="V197" s="24" t="str">
        <f>IF(AND(ISNUMBER(R196),ISNUMBER(R197)),V196,IF(AND(R196="",ISNUMBER(R197)),IFERROR(LARGE($V$176:$V196,1)+1,0),""))</f>
        <v/>
      </c>
      <c r="W197" s="23" t="str">
        <f t="shared" si="32"/>
        <v/>
      </c>
      <c r="X197" s="22" t="str">
        <f t="shared" si="33"/>
        <v/>
      </c>
      <c r="Y197" s="22"/>
      <c r="Z197" s="22"/>
      <c r="AA197" s="22"/>
      <c r="AB197" s="22" t="str" cm="1">
        <f t="array" ref="AB197">IF(IF(AND($P196="",$P197=1),($N$37*-1),0)+IF(AND($Q196="",$Q197=1),($N$38*-1),0)+IF(IF(($K197-$N$48)&lt;1,0,IF(IF(INDEX($AD$176:$AD$905,($K197-$N$48))="",0,INDEX($AD$176:$AD$905,($K197-$N$48)))&gt;0,IF(INDEX($AD$176:$AD$905,($K197-$N$48))="",0,INDEX($AD$176:$AD$905,($K197-$N$48))),0))="",0,IF(($K197-$N$48)&lt;1,0,IF(IF(INDEX($AD$176:$AD$905,($K197-$N$48))="",0,INDEX($AD$176:$AD$905,($K197-$N$48)))&gt;0,IF(INDEX($AD$176:$AD$905,($K197-$N$48))="",0,INDEX($AD$176:$AD$905,($K197-$N$48))),0)))=0,"",IF(AND($P196="",$P197=1),($N$37*-1),0)+IF(AND($Q196="",$Q197=1),($N$38*-1),0)+IF(IF(($K197-$N$48)&lt;1,0,IF(IF(INDEX($AD$176:$AD$905,($K197-$N$48))="",0,INDEX($AD$176:$AD$905,($K197-$N$48)))&gt;0,IF(INDEX($AD$176:$AD$905,($K197-$N$48))="",0,INDEX($AD$176:$AD$905,($K197-$N$48))),0))="",0,IF(($K197-$N$48)&lt;1,0,IF(IF(INDEX($AD$176:$AD$905,($K197-$N$48))="",0,INDEX($AD$176:$AD$905,($K197-$N$48)))&gt;0,IF(INDEX($AD$176:$AD$905,($K197-$N$48))="",0,INDEX($AD$176:$AD$905,($K197-$N$48))),0))))</f>
        <v/>
      </c>
      <c r="AC197" s="22" t="str">
        <f t="shared" si="34"/>
        <v/>
      </c>
      <c r="AD197" s="22" t="str">
        <f t="shared" si="47"/>
        <v/>
      </c>
      <c r="AE197" s="22" t="str" cm="1">
        <f t="array" ref="AE197">IF(($K197-$N$48)&lt;1,"",IF((IF(INDEX($AC$176:$AC$905,($K197-$N$48))="",0,INDEX($AC$176:$AC$905,($K197-$N$48))))=0,"",(IF(INDEX($AC$176:$AC$905,($K197-$N$48))="",0,INDEX($AC$176:$AC$905,($K197-$N$48))))))</f>
        <v/>
      </c>
      <c r="AF197" s="31" t="str">
        <f t="shared" si="36"/>
        <v/>
      </c>
      <c r="AG197" s="31" t="str">
        <f t="shared" si="37"/>
        <v/>
      </c>
      <c r="AH197" s="31" t="str">
        <f t="shared" si="38"/>
        <v/>
      </c>
      <c r="AI197" s="31" t="str">
        <f t="shared" si="39"/>
        <v/>
      </c>
      <c r="AJ197" s="303" t="str">
        <f t="shared" si="40"/>
        <v/>
      </c>
      <c r="AK197" s="139" t="str">
        <f t="shared" si="41"/>
        <v/>
      </c>
      <c r="AM197" s="319"/>
      <c r="AN197" s="40"/>
      <c r="AO197" s="1"/>
      <c r="AQ197" s="326"/>
    </row>
    <row r="198" spans="7:43" x14ac:dyDescent="0.25">
      <c r="G198" s="235" t="str">
        <f t="shared" si="26"/>
        <v>02.00</v>
      </c>
      <c r="H198" s="4" t="str">
        <f t="shared" si="27"/>
        <v>02.00.R</v>
      </c>
      <c r="I198" s="11" t="str">
        <f t="shared" si="28"/>
        <v>02.00.R.3</v>
      </c>
      <c r="K198" s="30">
        <v>23</v>
      </c>
      <c r="L198" s="29">
        <f t="shared" si="42"/>
        <v>-18431.290899202271</v>
      </c>
      <c r="M198" s="28" t="str">
        <f t="shared" si="29"/>
        <v/>
      </c>
      <c r="N198" s="27" t="str">
        <f t="shared" si="43"/>
        <v/>
      </c>
      <c r="O198" s="26">
        <f>IF(AND($Q197=$O$38,IFERROR(LARGE($V$176:$V197,1)&lt;$N$42,TRUE)),1,IF(AND(ISNUMBER($O197),$O197&lt;$N$32),$O197+1,""))</f>
        <v>3</v>
      </c>
      <c r="P198" s="26" t="str">
        <f t="shared" si="44"/>
        <v/>
      </c>
      <c r="Q198" s="26" t="str">
        <f t="shared" si="30"/>
        <v/>
      </c>
      <c r="R198" s="24" t="str">
        <f t="shared" si="45"/>
        <v/>
      </c>
      <c r="S198" s="180">
        <f t="shared" si="46"/>
        <v>2</v>
      </c>
      <c r="T198" s="151"/>
      <c r="U198" s="25" t="str">
        <f t="shared" si="31"/>
        <v/>
      </c>
      <c r="V198" s="24" t="str">
        <f>IF(AND(ISNUMBER(R197),ISNUMBER(R198)),V197,IF(AND(R197="",ISNUMBER(R198)),IFERROR(LARGE($V$176:$V197,1)+1,0),""))</f>
        <v/>
      </c>
      <c r="W198" s="23" t="str">
        <f t="shared" si="32"/>
        <v/>
      </c>
      <c r="X198" s="22" t="str">
        <f t="shared" si="33"/>
        <v/>
      </c>
      <c r="Y198" s="22"/>
      <c r="Z198" s="22"/>
      <c r="AA198" s="22"/>
      <c r="AB198" s="22" t="str" cm="1">
        <f t="array" ref="AB198">IF(IF(AND($P197="",$P198=1),($N$37*-1),0)+IF(AND($Q197="",$Q198=1),($N$38*-1),0)+IF(IF(($K198-$N$48)&lt;1,0,IF(IF(INDEX($AD$176:$AD$905,($K198-$N$48))="",0,INDEX($AD$176:$AD$905,($K198-$N$48)))&gt;0,IF(INDEX($AD$176:$AD$905,($K198-$N$48))="",0,INDEX($AD$176:$AD$905,($K198-$N$48))),0))="",0,IF(($K198-$N$48)&lt;1,0,IF(IF(INDEX($AD$176:$AD$905,($K198-$N$48))="",0,INDEX($AD$176:$AD$905,($K198-$N$48)))&gt;0,IF(INDEX($AD$176:$AD$905,($K198-$N$48))="",0,INDEX($AD$176:$AD$905,($K198-$N$48))),0)))=0,"",IF(AND($P197="",$P198=1),($N$37*-1),0)+IF(AND($Q197="",$Q198=1),($N$38*-1),0)+IF(IF(($K198-$N$48)&lt;1,0,IF(IF(INDEX($AD$176:$AD$905,($K198-$N$48))="",0,INDEX($AD$176:$AD$905,($K198-$N$48)))&gt;0,IF(INDEX($AD$176:$AD$905,($K198-$N$48))="",0,INDEX($AD$176:$AD$905,($K198-$N$48))),0))="",0,IF(($K198-$N$48)&lt;1,0,IF(IF(INDEX($AD$176:$AD$905,($K198-$N$48))="",0,INDEX($AD$176:$AD$905,($K198-$N$48)))&gt;0,IF(INDEX($AD$176:$AD$905,($K198-$N$48))="",0,INDEX($AD$176:$AD$905,($K198-$N$48))),0))))</f>
        <v/>
      </c>
      <c r="AC198" s="22" t="str">
        <f t="shared" si="34"/>
        <v/>
      </c>
      <c r="AD198" s="22" t="str">
        <f t="shared" si="47"/>
        <v/>
      </c>
      <c r="AE198" s="22" t="str" cm="1">
        <f t="array" ref="AE198">IF(($K198-$N$48)&lt;1,"",IF((IF(INDEX($AC$176:$AC$905,($K198-$N$48))="",0,INDEX($AC$176:$AC$905,($K198-$N$48))))=0,"",(IF(INDEX($AC$176:$AC$905,($K198-$N$48))="",0,INDEX($AC$176:$AC$905,($K198-$N$48))))))</f>
        <v/>
      </c>
      <c r="AF198" s="31" t="str">
        <f t="shared" si="36"/>
        <v/>
      </c>
      <c r="AG198" s="31" t="str">
        <f t="shared" si="37"/>
        <v/>
      </c>
      <c r="AH198" s="31" t="str">
        <f t="shared" si="38"/>
        <v/>
      </c>
      <c r="AI198" s="31" t="str">
        <f t="shared" si="39"/>
        <v/>
      </c>
      <c r="AJ198" s="303" t="str">
        <f t="shared" si="40"/>
        <v/>
      </c>
      <c r="AK198" s="139" t="str">
        <f t="shared" si="41"/>
        <v/>
      </c>
      <c r="AM198" s="319"/>
      <c r="AN198" s="40"/>
      <c r="AO198" s="1"/>
      <c r="AQ198" s="326"/>
    </row>
    <row r="199" spans="7:43" x14ac:dyDescent="0.25">
      <c r="G199" s="235" t="str">
        <f t="shared" si="26"/>
        <v>02.00</v>
      </c>
      <c r="H199" s="4" t="str">
        <f t="shared" si="27"/>
        <v>02.00.O</v>
      </c>
      <c r="I199" s="11" t="str">
        <f t="shared" si="28"/>
        <v>02.00.O.1</v>
      </c>
      <c r="K199" s="30">
        <v>24</v>
      </c>
      <c r="L199" s="29">
        <f t="shared" si="42"/>
        <v>-18631.290899202271</v>
      </c>
      <c r="M199" s="28">
        <f t="shared" si="29"/>
        <v>-200</v>
      </c>
      <c r="N199" s="27" t="str">
        <f t="shared" si="43"/>
        <v/>
      </c>
      <c r="O199" s="26" t="str">
        <f>IF(AND($Q198=$O$38,IFERROR(LARGE($V$176:$V198,1)&lt;$N$42,TRUE)),1,IF(AND(ISNUMBER($O198),$O198&lt;$N$32),$O198+1,""))</f>
        <v/>
      </c>
      <c r="P199" s="26">
        <f t="shared" si="44"/>
        <v>1</v>
      </c>
      <c r="Q199" s="26" t="str">
        <f t="shared" si="30"/>
        <v/>
      </c>
      <c r="R199" s="24" t="str">
        <f t="shared" si="45"/>
        <v/>
      </c>
      <c r="S199" s="180">
        <f t="shared" si="46"/>
        <v>2</v>
      </c>
      <c r="T199" s="151"/>
      <c r="U199" s="25" t="str">
        <f t="shared" si="31"/>
        <v/>
      </c>
      <c r="V199" s="24" t="str">
        <f>IF(AND(ISNUMBER(R198),ISNUMBER(R199)),V198,IF(AND(R198="",ISNUMBER(R199)),IFERROR(LARGE($V$176:$V198,1)+1,0),""))</f>
        <v/>
      </c>
      <c r="W199" s="23" t="str">
        <f t="shared" si="32"/>
        <v/>
      </c>
      <c r="X199" s="22" t="str">
        <f t="shared" si="33"/>
        <v/>
      </c>
      <c r="Y199" s="22"/>
      <c r="Z199" s="22"/>
      <c r="AA199" s="22"/>
      <c r="AB199" s="22" cm="1">
        <f t="array" ref="AB199">IF(IF(AND($P198="",$P199=1),($N$37*-1),0)+IF(AND($Q198="",$Q199=1),($N$38*-1),0)+IF(IF(($K199-$N$48)&lt;1,0,IF(IF(INDEX($AD$176:$AD$905,($K199-$N$48))="",0,INDEX($AD$176:$AD$905,($K199-$N$48)))&gt;0,IF(INDEX($AD$176:$AD$905,($K199-$N$48))="",0,INDEX($AD$176:$AD$905,($K199-$N$48))),0))="",0,IF(($K199-$N$48)&lt;1,0,IF(IF(INDEX($AD$176:$AD$905,($K199-$N$48))="",0,INDEX($AD$176:$AD$905,($K199-$N$48)))&gt;0,IF(INDEX($AD$176:$AD$905,($K199-$N$48))="",0,INDEX($AD$176:$AD$905,($K199-$N$48))),0)))=0,"",IF(AND($P198="",$P199=1),($N$37*-1),0)+IF(AND($Q198="",$Q199=1),($N$38*-1),0)+IF(IF(($K199-$N$48)&lt;1,0,IF(IF(INDEX($AD$176:$AD$905,($K199-$N$48))="",0,INDEX($AD$176:$AD$905,($K199-$N$48)))&gt;0,IF(INDEX($AD$176:$AD$905,($K199-$N$48))="",0,INDEX($AD$176:$AD$905,($K199-$N$48))),0))="",0,IF(($K199-$N$48)&lt;1,0,IF(IF(INDEX($AD$176:$AD$905,($K199-$N$48))="",0,INDEX($AD$176:$AD$905,($K199-$N$48)))&gt;0,IF(INDEX($AD$176:$AD$905,($K199-$N$48))="",0,INDEX($AD$176:$AD$905,($K199-$N$48))),0))))</f>
        <v>-200</v>
      </c>
      <c r="AC199" s="22" t="str">
        <f t="shared" si="34"/>
        <v/>
      </c>
      <c r="AD199" s="22" t="str">
        <f t="shared" si="47"/>
        <v/>
      </c>
      <c r="AE199" s="22" t="str" cm="1">
        <f t="array" ref="AE199">IF(($K199-$N$48)&lt;1,"",IF((IF(INDEX($AC$176:$AC$905,($K199-$N$48))="",0,INDEX($AC$176:$AC$905,($K199-$N$48))))=0,"",(IF(INDEX($AC$176:$AC$905,($K199-$N$48))="",0,INDEX($AC$176:$AC$905,($K199-$N$48))))))</f>
        <v/>
      </c>
      <c r="AF199" s="31" t="str">
        <f t="shared" si="36"/>
        <v/>
      </c>
      <c r="AG199" s="31" t="str">
        <f t="shared" si="37"/>
        <v/>
      </c>
      <c r="AH199" s="31" t="str">
        <f t="shared" si="38"/>
        <v/>
      </c>
      <c r="AI199" s="31" t="str">
        <f t="shared" si="39"/>
        <v/>
      </c>
      <c r="AJ199" s="303" t="str">
        <f t="shared" si="40"/>
        <v/>
      </c>
      <c r="AK199" s="139" t="str">
        <f t="shared" si="41"/>
        <v/>
      </c>
      <c r="AM199" s="319"/>
      <c r="AN199" s="40"/>
      <c r="AO199" s="1"/>
      <c r="AQ199" s="326"/>
    </row>
    <row r="200" spans="7:43" x14ac:dyDescent="0.25">
      <c r="G200" s="235" t="str">
        <f t="shared" si="26"/>
        <v>02.00</v>
      </c>
      <c r="H200" s="4" t="str">
        <f t="shared" si="27"/>
        <v>02.00.O</v>
      </c>
      <c r="I200" s="11" t="str">
        <f t="shared" si="28"/>
        <v>02.00.O.2</v>
      </c>
      <c r="K200" s="30">
        <v>25</v>
      </c>
      <c r="L200" s="29">
        <f t="shared" si="42"/>
        <v>-18631.290899202271</v>
      </c>
      <c r="M200" s="28" t="str">
        <f t="shared" si="29"/>
        <v/>
      </c>
      <c r="N200" s="27" t="str">
        <f t="shared" si="43"/>
        <v/>
      </c>
      <c r="O200" s="26" t="str">
        <f>IF(AND($Q199=$O$38,IFERROR(LARGE($V$176:$V199,1)&lt;$N$42,TRUE)),1,IF(AND(ISNUMBER($O199),$O199&lt;$N$32),$O199+1,""))</f>
        <v/>
      </c>
      <c r="P200" s="26">
        <f t="shared" si="44"/>
        <v>2</v>
      </c>
      <c r="Q200" s="26" t="str">
        <f t="shared" si="30"/>
        <v/>
      </c>
      <c r="R200" s="24" t="str">
        <f t="shared" si="45"/>
        <v/>
      </c>
      <c r="S200" s="180">
        <f t="shared" si="46"/>
        <v>2</v>
      </c>
      <c r="T200" s="151"/>
      <c r="U200" s="25" t="str">
        <f t="shared" si="31"/>
        <v/>
      </c>
      <c r="V200" s="24" t="str">
        <f>IF(AND(ISNUMBER(R199),ISNUMBER(R200)),V199,IF(AND(R199="",ISNUMBER(R200)),IFERROR(LARGE($V$176:$V199,1)+1,0),""))</f>
        <v/>
      </c>
      <c r="W200" s="23" t="str">
        <f t="shared" si="32"/>
        <v/>
      </c>
      <c r="X200" s="22" t="str">
        <f t="shared" si="33"/>
        <v/>
      </c>
      <c r="Y200" s="22"/>
      <c r="Z200" s="22"/>
      <c r="AA200" s="22"/>
      <c r="AB200" s="22" t="str" cm="1">
        <f t="array" ref="AB200">IF(IF(AND($P199="",$P200=1),($N$37*-1),0)+IF(AND($Q199="",$Q200=1),($N$38*-1),0)+IF(IF(($K200-$N$48)&lt;1,0,IF(IF(INDEX($AD$176:$AD$905,($K200-$N$48))="",0,INDEX($AD$176:$AD$905,($K200-$N$48)))&gt;0,IF(INDEX($AD$176:$AD$905,($K200-$N$48))="",0,INDEX($AD$176:$AD$905,($K200-$N$48))),0))="",0,IF(($K200-$N$48)&lt;1,0,IF(IF(INDEX($AD$176:$AD$905,($K200-$N$48))="",0,INDEX($AD$176:$AD$905,($K200-$N$48)))&gt;0,IF(INDEX($AD$176:$AD$905,($K200-$N$48))="",0,INDEX($AD$176:$AD$905,($K200-$N$48))),0)))=0,"",IF(AND($P199="",$P200=1),($N$37*-1),0)+IF(AND($Q199="",$Q200=1),($N$38*-1),0)+IF(IF(($K200-$N$48)&lt;1,0,IF(IF(INDEX($AD$176:$AD$905,($K200-$N$48))="",0,INDEX($AD$176:$AD$905,($K200-$N$48)))&gt;0,IF(INDEX($AD$176:$AD$905,($K200-$N$48))="",0,INDEX($AD$176:$AD$905,($K200-$N$48))),0))="",0,IF(($K200-$N$48)&lt;1,0,IF(IF(INDEX($AD$176:$AD$905,($K200-$N$48))="",0,INDEX($AD$176:$AD$905,($K200-$N$48)))&gt;0,IF(INDEX($AD$176:$AD$905,($K200-$N$48))="",0,INDEX($AD$176:$AD$905,($K200-$N$48))),0))))</f>
        <v/>
      </c>
      <c r="AC200" s="22" t="str">
        <f t="shared" si="34"/>
        <v/>
      </c>
      <c r="AD200" s="22" t="str">
        <f t="shared" si="47"/>
        <v/>
      </c>
      <c r="AE200" s="22" t="str" cm="1">
        <f t="array" ref="AE200">IF(($K200-$N$48)&lt;1,"",IF((IF(INDEX($AC$176:$AC$905,($K200-$N$48))="",0,INDEX($AC$176:$AC$905,($K200-$N$48))))=0,"",(IF(INDEX($AC$176:$AC$905,($K200-$N$48))="",0,INDEX($AC$176:$AC$905,($K200-$N$48))))))</f>
        <v/>
      </c>
      <c r="AF200" s="31" t="str">
        <f t="shared" si="36"/>
        <v/>
      </c>
      <c r="AG200" s="31" t="str">
        <f t="shared" si="37"/>
        <v/>
      </c>
      <c r="AH200" s="31" t="str">
        <f t="shared" si="38"/>
        <v/>
      </c>
      <c r="AI200" s="31" t="str">
        <f t="shared" si="39"/>
        <v/>
      </c>
      <c r="AJ200" s="303" t="str">
        <f t="shared" si="40"/>
        <v/>
      </c>
      <c r="AK200" s="139" t="str">
        <f t="shared" si="41"/>
        <v/>
      </c>
      <c r="AM200" s="319"/>
      <c r="AN200" s="40"/>
      <c r="AO200" s="1"/>
      <c r="AQ200" s="326"/>
    </row>
    <row r="201" spans="7:43" x14ac:dyDescent="0.25">
      <c r="G201" s="235" t="str">
        <f t="shared" si="26"/>
        <v>02.01</v>
      </c>
      <c r="H201" s="4" t="str">
        <f t="shared" si="27"/>
        <v>02.01.D</v>
      </c>
      <c r="I201" s="11" t="str">
        <f t="shared" si="28"/>
        <v>02.01.D.1</v>
      </c>
      <c r="K201" s="30">
        <v>26</v>
      </c>
      <c r="L201" s="29">
        <f t="shared" si="42"/>
        <v>-18631.290899202271</v>
      </c>
      <c r="M201" s="28" t="str">
        <f t="shared" si="29"/>
        <v/>
      </c>
      <c r="N201" s="27" t="str">
        <f t="shared" si="43"/>
        <v/>
      </c>
      <c r="O201" s="26" t="str">
        <f>IF(AND($Q200=$O$38,IFERROR(LARGE($V$176:$V200,1)&lt;$N$42,TRUE)),1,IF(AND(ISNUMBER($O200),$O200&lt;$N$32),$O200+1,""))</f>
        <v/>
      </c>
      <c r="P201" s="26" t="str">
        <f t="shared" si="44"/>
        <v/>
      </c>
      <c r="Q201" s="26" t="str">
        <f t="shared" si="30"/>
        <v/>
      </c>
      <c r="R201" s="24">
        <f t="shared" si="45"/>
        <v>1</v>
      </c>
      <c r="S201" s="180">
        <f t="shared" si="46"/>
        <v>2.0099999999999998</v>
      </c>
      <c r="T201" s="151"/>
      <c r="U201" s="25">
        <f t="shared" si="31"/>
        <v>1</v>
      </c>
      <c r="V201" s="24">
        <f>IF(AND(ISNUMBER(R200),ISNUMBER(R201)),V200,IF(AND(R200="",ISNUMBER(R201)),IFERROR(LARGE($V$176:$V200,1)+1,0),""))</f>
        <v>2</v>
      </c>
      <c r="W201" s="23" t="str">
        <f t="shared" si="32"/>
        <v/>
      </c>
      <c r="X201" s="22" t="str">
        <f t="shared" si="33"/>
        <v/>
      </c>
      <c r="Y201" s="22"/>
      <c r="Z201" s="22"/>
      <c r="AA201" s="22"/>
      <c r="AB201" s="22" t="str" cm="1">
        <f t="array" ref="AB201">IF(IF(AND($P200="",$P201=1),($N$37*-1),0)+IF(AND($Q200="",$Q201=1),($N$38*-1),0)+IF(IF(($K201-$N$48)&lt;1,0,IF(IF(INDEX($AD$176:$AD$905,($K201-$N$48))="",0,INDEX($AD$176:$AD$905,($K201-$N$48)))&gt;0,IF(INDEX($AD$176:$AD$905,($K201-$N$48))="",0,INDEX($AD$176:$AD$905,($K201-$N$48))),0))="",0,IF(($K201-$N$48)&lt;1,0,IF(IF(INDEX($AD$176:$AD$905,($K201-$N$48))="",0,INDEX($AD$176:$AD$905,($K201-$N$48)))&gt;0,IF(INDEX($AD$176:$AD$905,($K201-$N$48))="",0,INDEX($AD$176:$AD$905,($K201-$N$48))),0)))=0,"",IF(AND($P200="",$P201=1),($N$37*-1),0)+IF(AND($Q200="",$Q201=1),($N$38*-1),0)+IF(IF(($K201-$N$48)&lt;1,0,IF(IF(INDEX($AD$176:$AD$905,($K201-$N$48))="",0,INDEX($AD$176:$AD$905,($K201-$N$48)))&gt;0,IF(INDEX($AD$176:$AD$905,($K201-$N$48))="",0,INDEX($AD$176:$AD$905,($K201-$N$48))),0))="",0,IF(($K201-$N$48)&lt;1,0,IF(IF(INDEX($AD$176:$AD$905,($K201-$N$48))="",0,INDEX($AD$176:$AD$905,($K201-$N$48)))&gt;0,IF(INDEX($AD$176:$AD$905,($K201-$N$48))="",0,INDEX($AD$176:$AD$905,($K201-$N$48))),0))))</f>
        <v/>
      </c>
      <c r="AC201" s="22" t="str">
        <f t="shared" si="34"/>
        <v/>
      </c>
      <c r="AD201" s="22" t="str">
        <f t="shared" si="47"/>
        <v/>
      </c>
      <c r="AE201" s="22" t="str" cm="1">
        <f t="array" ref="AE201">IF(($K201-$N$48)&lt;1,"",IF((IF(INDEX($AC$176:$AC$905,($K201-$N$48))="",0,INDEX($AC$176:$AC$905,($K201-$N$48))))=0,"",(IF(INDEX($AC$176:$AC$905,($K201-$N$48))="",0,INDEX($AC$176:$AC$905,($K201-$N$48))))))</f>
        <v/>
      </c>
      <c r="AF201" s="31" t="str">
        <f t="shared" si="36"/>
        <v/>
      </c>
      <c r="AG201" s="31" t="str">
        <f t="shared" si="37"/>
        <v/>
      </c>
      <c r="AH201" s="31" t="str">
        <f t="shared" si="38"/>
        <v/>
      </c>
      <c r="AI201" s="31" t="str">
        <f t="shared" si="39"/>
        <v/>
      </c>
      <c r="AJ201" s="303" t="str">
        <f t="shared" si="40"/>
        <v/>
      </c>
      <c r="AK201" s="139" t="str">
        <f t="shared" si="41"/>
        <v/>
      </c>
      <c r="AM201" s="319"/>
      <c r="AN201" s="40"/>
      <c r="AO201" s="1"/>
      <c r="AQ201" s="326"/>
    </row>
    <row r="202" spans="7:43" x14ac:dyDescent="0.25">
      <c r="G202" s="235" t="str">
        <f t="shared" si="26"/>
        <v>02.01</v>
      </c>
      <c r="H202" s="4" t="str">
        <f t="shared" si="27"/>
        <v>02.01.D</v>
      </c>
      <c r="I202" s="11" t="str">
        <f t="shared" si="28"/>
        <v>02.01.D.2</v>
      </c>
      <c r="K202" s="30">
        <v>27</v>
      </c>
      <c r="L202" s="29">
        <f t="shared" si="42"/>
        <v>-18631.290899202271</v>
      </c>
      <c r="M202" s="28" t="str">
        <f t="shared" si="29"/>
        <v/>
      </c>
      <c r="N202" s="27" t="str">
        <f t="shared" si="43"/>
        <v/>
      </c>
      <c r="O202" s="26" t="str">
        <f>IF(AND($Q201=$O$38,IFERROR(LARGE($V$176:$V201,1)&lt;$N$42,TRUE)),1,IF(AND(ISNUMBER($O201),$O201&lt;$N$32),$O201+1,""))</f>
        <v/>
      </c>
      <c r="P202" s="26" t="str">
        <f t="shared" si="44"/>
        <v/>
      </c>
      <c r="Q202" s="26" t="str">
        <f t="shared" si="30"/>
        <v/>
      </c>
      <c r="R202" s="24">
        <f t="shared" si="45"/>
        <v>2</v>
      </c>
      <c r="S202" s="180">
        <f t="shared" si="46"/>
        <v>2.0099999999999998</v>
      </c>
      <c r="T202" s="151"/>
      <c r="U202" s="25">
        <f t="shared" si="31"/>
        <v>1</v>
      </c>
      <c r="V202" s="24">
        <f>IF(AND(ISNUMBER(R201),ISNUMBER(R202)),V201,IF(AND(R201="",ISNUMBER(R202)),IFERROR(LARGE($V$176:$V201,1)+1,0),""))</f>
        <v>2</v>
      </c>
      <c r="W202" s="23" t="str">
        <f t="shared" si="32"/>
        <v/>
      </c>
      <c r="X202" s="22" t="str">
        <f t="shared" si="33"/>
        <v/>
      </c>
      <c r="Y202" s="22"/>
      <c r="Z202" s="22"/>
      <c r="AA202" s="22"/>
      <c r="AB202" s="22" t="str" cm="1">
        <f t="array" ref="AB202">IF(IF(AND($P201="",$P202=1),($N$37*-1),0)+IF(AND($Q201="",$Q202=1),($N$38*-1),0)+IF(IF(($K202-$N$48)&lt;1,0,IF(IF(INDEX($AD$176:$AD$905,($K202-$N$48))="",0,INDEX($AD$176:$AD$905,($K202-$N$48)))&gt;0,IF(INDEX($AD$176:$AD$905,($K202-$N$48))="",0,INDEX($AD$176:$AD$905,($K202-$N$48))),0))="",0,IF(($K202-$N$48)&lt;1,0,IF(IF(INDEX($AD$176:$AD$905,($K202-$N$48))="",0,INDEX($AD$176:$AD$905,($K202-$N$48)))&gt;0,IF(INDEX($AD$176:$AD$905,($K202-$N$48))="",0,INDEX($AD$176:$AD$905,($K202-$N$48))),0)))=0,"",IF(AND($P201="",$P202=1),($N$37*-1),0)+IF(AND($Q201="",$Q202=1),($N$38*-1),0)+IF(IF(($K202-$N$48)&lt;1,0,IF(IF(INDEX($AD$176:$AD$905,($K202-$N$48))="",0,INDEX($AD$176:$AD$905,($K202-$N$48)))&gt;0,IF(INDEX($AD$176:$AD$905,($K202-$N$48))="",0,INDEX($AD$176:$AD$905,($K202-$N$48))),0))="",0,IF(($K202-$N$48)&lt;1,0,IF(IF(INDEX($AD$176:$AD$905,($K202-$N$48))="",0,INDEX($AD$176:$AD$905,($K202-$N$48)))&gt;0,IF(INDEX($AD$176:$AD$905,($K202-$N$48))="",0,INDEX($AD$176:$AD$905,($K202-$N$48))),0))))</f>
        <v/>
      </c>
      <c r="AC202" s="22">
        <f t="shared" si="34"/>
        <v>5500</v>
      </c>
      <c r="AD202" s="22">
        <f t="shared" si="47"/>
        <v>525</v>
      </c>
      <c r="AE202" s="22" t="str" cm="1">
        <f t="array" ref="AE202">IF(($K202-$N$48)&lt;1,"",IF((IF(INDEX($AC$176:$AC$905,($K202-$N$48))="",0,INDEX($AC$176:$AC$905,($K202-$N$48))))=0,"",(IF(INDEX($AC$176:$AC$905,($K202-$N$48))="",0,INDEX($AC$176:$AC$905,($K202-$N$48))))))</f>
        <v/>
      </c>
      <c r="AF202" s="31" t="str">
        <f t="shared" si="36"/>
        <v/>
      </c>
      <c r="AG202" s="31" t="str">
        <f t="shared" si="37"/>
        <v/>
      </c>
      <c r="AH202" s="31" t="str">
        <f t="shared" si="38"/>
        <v/>
      </c>
      <c r="AI202" s="31" t="str">
        <f t="shared" si="39"/>
        <v/>
      </c>
      <c r="AJ202" s="303" t="str">
        <f t="shared" si="40"/>
        <v/>
      </c>
      <c r="AK202" s="139" t="str">
        <f t="shared" si="41"/>
        <v/>
      </c>
      <c r="AM202" s="319"/>
      <c r="AN202" s="40"/>
      <c r="AO202" s="1"/>
      <c r="AQ202" s="326"/>
    </row>
    <row r="203" spans="7:43" x14ac:dyDescent="0.25">
      <c r="G203" s="235" t="str">
        <f t="shared" si="26"/>
        <v>03.00</v>
      </c>
      <c r="H203" s="4" t="str">
        <f t="shared" si="27"/>
        <v>03.00.I</v>
      </c>
      <c r="I203" s="11" t="str">
        <f t="shared" si="28"/>
        <v>03.00.I.1</v>
      </c>
      <c r="K203" s="30">
        <v>28</v>
      </c>
      <c r="L203" s="29">
        <f t="shared" si="42"/>
        <v>-18831.290899202271</v>
      </c>
      <c r="M203" s="28">
        <f t="shared" si="29"/>
        <v>-200</v>
      </c>
      <c r="N203" s="27" t="str">
        <f t="shared" si="43"/>
        <v/>
      </c>
      <c r="O203" s="26" t="str">
        <f>IF(AND($Q202=$O$38,IFERROR(LARGE($V$176:$V202,1)&lt;$N$42,TRUE)),1,IF(AND(ISNUMBER($O202),$O202&lt;$N$32),$O202+1,""))</f>
        <v/>
      </c>
      <c r="P203" s="26" t="str">
        <f t="shared" si="44"/>
        <v/>
      </c>
      <c r="Q203" s="26">
        <f t="shared" si="30"/>
        <v>1</v>
      </c>
      <c r="R203" s="24" t="str">
        <f t="shared" si="45"/>
        <v/>
      </c>
      <c r="S203" s="180">
        <f t="shared" si="46"/>
        <v>3</v>
      </c>
      <c r="T203" s="151"/>
      <c r="U203" s="25" t="str">
        <f t="shared" si="31"/>
        <v/>
      </c>
      <c r="V203" s="24" t="str">
        <f>IF(AND(ISNUMBER(R202),ISNUMBER(R203)),V202,IF(AND(R202="",ISNUMBER(R203)),IFERROR(LARGE($V$176:$V202,1)+1,0),""))</f>
        <v/>
      </c>
      <c r="W203" s="23" t="str">
        <f t="shared" si="32"/>
        <v/>
      </c>
      <c r="X203" s="22" t="str">
        <f t="shared" si="33"/>
        <v/>
      </c>
      <c r="Y203" s="22"/>
      <c r="Z203" s="22"/>
      <c r="AA203" s="22"/>
      <c r="AB203" s="22" cm="1">
        <f t="array" ref="AB203">IF(IF(AND($P202="",$P203=1),($N$37*-1),0)+IF(AND($Q202="",$Q203=1),($N$38*-1),0)+IF(IF(($K203-$N$48)&lt;1,0,IF(IF(INDEX($AD$176:$AD$905,($K203-$N$48))="",0,INDEX($AD$176:$AD$905,($K203-$N$48)))&gt;0,IF(INDEX($AD$176:$AD$905,($K203-$N$48))="",0,INDEX($AD$176:$AD$905,($K203-$N$48))),0))="",0,IF(($K203-$N$48)&lt;1,0,IF(IF(INDEX($AD$176:$AD$905,($K203-$N$48))="",0,INDEX($AD$176:$AD$905,($K203-$N$48)))&gt;0,IF(INDEX($AD$176:$AD$905,($K203-$N$48))="",0,INDEX($AD$176:$AD$905,($K203-$N$48))),0)))=0,"",IF(AND($P202="",$P203=1),($N$37*-1),0)+IF(AND($Q202="",$Q203=1),($N$38*-1),0)+IF(IF(($K203-$N$48)&lt;1,0,IF(IF(INDEX($AD$176:$AD$905,($K203-$N$48))="",0,INDEX($AD$176:$AD$905,($K203-$N$48)))&gt;0,IF(INDEX($AD$176:$AD$905,($K203-$N$48))="",0,INDEX($AD$176:$AD$905,($K203-$N$48))),0))="",0,IF(($K203-$N$48)&lt;1,0,IF(IF(INDEX($AD$176:$AD$905,($K203-$N$48))="",0,INDEX($AD$176:$AD$905,($K203-$N$48)))&gt;0,IF(INDEX($AD$176:$AD$905,($K203-$N$48))="",0,INDEX($AD$176:$AD$905,($K203-$N$48))),0))))</f>
        <v>-200</v>
      </c>
      <c r="AC203" s="22" t="str">
        <f t="shared" si="34"/>
        <v/>
      </c>
      <c r="AD203" s="22" t="str">
        <f t="shared" si="47"/>
        <v/>
      </c>
      <c r="AE203" s="22" t="str" cm="1">
        <f t="array" ref="AE203">IF(($K203-$N$48)&lt;1,"",IF((IF(INDEX($AC$176:$AC$905,($K203-$N$48))="",0,INDEX($AC$176:$AC$905,($K203-$N$48))))=0,"",(IF(INDEX($AC$176:$AC$905,($K203-$N$48))="",0,INDEX($AC$176:$AC$905,($K203-$N$48))))))</f>
        <v/>
      </c>
      <c r="AF203" s="31" t="str">
        <f t="shared" si="36"/>
        <v/>
      </c>
      <c r="AG203" s="31" t="str">
        <f t="shared" si="37"/>
        <v/>
      </c>
      <c r="AH203" s="31" t="str">
        <f t="shared" si="38"/>
        <v/>
      </c>
      <c r="AI203" s="31" t="str">
        <f t="shared" si="39"/>
        <v/>
      </c>
      <c r="AJ203" s="303" t="str">
        <f t="shared" si="40"/>
        <v/>
      </c>
      <c r="AK203" s="139" t="str">
        <f t="shared" si="41"/>
        <v/>
      </c>
      <c r="AM203" s="319"/>
      <c r="AN203" s="40"/>
      <c r="AO203" s="1"/>
      <c r="AQ203" s="326"/>
    </row>
    <row r="204" spans="7:43" x14ac:dyDescent="0.25">
      <c r="G204" s="235" t="str">
        <f t="shared" si="26"/>
        <v>03.00</v>
      </c>
      <c r="H204" s="4" t="str">
        <f t="shared" si="27"/>
        <v>03.00.I</v>
      </c>
      <c r="I204" s="11" t="str">
        <f t="shared" si="28"/>
        <v>03.00.I.2</v>
      </c>
      <c r="K204" s="30">
        <v>29</v>
      </c>
      <c r="L204" s="29">
        <f t="shared" si="42"/>
        <v>-18831.290899202271</v>
      </c>
      <c r="M204" s="28" t="str">
        <f t="shared" si="29"/>
        <v/>
      </c>
      <c r="N204" s="27" t="str">
        <f t="shared" si="43"/>
        <v/>
      </c>
      <c r="O204" s="26" t="str">
        <f>IF(AND($Q203=$O$38,IFERROR(LARGE($V$176:$V203,1)&lt;$N$42,TRUE)),1,IF(AND(ISNUMBER($O203),$O203&lt;$N$32),$O203+1,""))</f>
        <v/>
      </c>
      <c r="P204" s="26" t="str">
        <f t="shared" si="44"/>
        <v/>
      </c>
      <c r="Q204" s="26">
        <f t="shared" si="30"/>
        <v>2</v>
      </c>
      <c r="R204" s="24" t="str">
        <f t="shared" si="45"/>
        <v/>
      </c>
      <c r="S204" s="180">
        <f t="shared" si="46"/>
        <v>3</v>
      </c>
      <c r="T204" s="151"/>
      <c r="U204" s="25" t="str">
        <f t="shared" si="31"/>
        <v/>
      </c>
      <c r="V204" s="24" t="str">
        <f>IF(AND(ISNUMBER(R203),ISNUMBER(R204)),V203,IF(AND(R203="",ISNUMBER(R204)),IFERROR(LARGE($V$176:$V203,1)+1,0),""))</f>
        <v/>
      </c>
      <c r="W204" s="23" t="str">
        <f t="shared" si="32"/>
        <v/>
      </c>
      <c r="X204" s="22" t="str">
        <f t="shared" si="33"/>
        <v/>
      </c>
      <c r="Y204" s="22"/>
      <c r="Z204" s="22"/>
      <c r="AA204" s="22"/>
      <c r="AB204" s="22" t="str" cm="1">
        <f t="array" ref="AB204">IF(IF(AND($P203="",$P204=1),($N$37*-1),0)+IF(AND($Q203="",$Q204=1),($N$38*-1),0)+IF(IF(($K204-$N$48)&lt;1,0,IF(IF(INDEX($AD$176:$AD$905,($K204-$N$48))="",0,INDEX($AD$176:$AD$905,($K204-$N$48)))&gt;0,IF(INDEX($AD$176:$AD$905,($K204-$N$48))="",0,INDEX($AD$176:$AD$905,($K204-$N$48))),0))="",0,IF(($K204-$N$48)&lt;1,0,IF(IF(INDEX($AD$176:$AD$905,($K204-$N$48))="",0,INDEX($AD$176:$AD$905,($K204-$N$48)))&gt;0,IF(INDEX($AD$176:$AD$905,($K204-$N$48))="",0,INDEX($AD$176:$AD$905,($K204-$N$48))),0)))=0,"",IF(AND($P203="",$P204=1),($N$37*-1),0)+IF(AND($Q203="",$Q204=1),($N$38*-1),0)+IF(IF(($K204-$N$48)&lt;1,0,IF(IF(INDEX($AD$176:$AD$905,($K204-$N$48))="",0,INDEX($AD$176:$AD$905,($K204-$N$48)))&gt;0,IF(INDEX($AD$176:$AD$905,($K204-$N$48))="",0,INDEX($AD$176:$AD$905,($K204-$N$48))),0))="",0,IF(($K204-$N$48)&lt;1,0,IF(IF(INDEX($AD$176:$AD$905,($K204-$N$48))="",0,INDEX($AD$176:$AD$905,($K204-$N$48)))&gt;0,IF(INDEX($AD$176:$AD$905,($K204-$N$48))="",0,INDEX($AD$176:$AD$905,($K204-$N$48))),0))))</f>
        <v/>
      </c>
      <c r="AC204" s="22" t="str">
        <f t="shared" si="34"/>
        <v/>
      </c>
      <c r="AD204" s="22" t="str">
        <f t="shared" si="47"/>
        <v/>
      </c>
      <c r="AE204" s="22" t="str" cm="1">
        <f t="array" ref="AE204">IF(($K204-$N$48)&lt;1,"",IF((IF(INDEX($AC$176:$AC$905,($K204-$N$48))="",0,INDEX($AC$176:$AC$905,($K204-$N$48))))=0,"",(IF(INDEX($AC$176:$AC$905,($K204-$N$48))="",0,INDEX($AC$176:$AC$905,($K204-$N$48))))))</f>
        <v/>
      </c>
      <c r="AF204" s="31" t="str">
        <f t="shared" si="36"/>
        <v/>
      </c>
      <c r="AG204" s="31" t="str">
        <f t="shared" si="37"/>
        <v/>
      </c>
      <c r="AH204" s="31" t="str">
        <f t="shared" si="38"/>
        <v/>
      </c>
      <c r="AI204" s="31" t="str">
        <f t="shared" si="39"/>
        <v/>
      </c>
      <c r="AJ204" s="303" t="str">
        <f t="shared" si="40"/>
        <v/>
      </c>
      <c r="AK204" s="139" t="str">
        <f t="shared" si="41"/>
        <v/>
      </c>
      <c r="AM204" s="319"/>
      <c r="AN204" s="40"/>
      <c r="AO204" s="1"/>
      <c r="AQ204" s="326"/>
    </row>
    <row r="205" spans="7:43" x14ac:dyDescent="0.25">
      <c r="G205" s="235" t="str">
        <f t="shared" si="26"/>
        <v>03.00</v>
      </c>
      <c r="H205" s="4" t="str">
        <f t="shared" si="27"/>
        <v>03.00.R</v>
      </c>
      <c r="I205" s="11" t="str">
        <f t="shared" si="28"/>
        <v>03.00.R.1</v>
      </c>
      <c r="K205" s="30">
        <v>30</v>
      </c>
      <c r="L205" s="29">
        <f t="shared" si="42"/>
        <v>-21444.924353303406</v>
      </c>
      <c r="M205" s="28">
        <f t="shared" si="29"/>
        <v>-2613.6334541011352</v>
      </c>
      <c r="N205" s="27" t="str">
        <f t="shared" si="43"/>
        <v/>
      </c>
      <c r="O205" s="26">
        <f>IF(AND($Q204=$O$38,IFERROR(LARGE($V$176:$V204,1)&lt;$N$42,TRUE)),1,IF(AND(ISNUMBER($O204),$O204&lt;$N$32),$O204+1,""))</f>
        <v>1</v>
      </c>
      <c r="P205" s="26" t="str">
        <f t="shared" si="44"/>
        <v/>
      </c>
      <c r="Q205" s="26" t="str">
        <f t="shared" si="30"/>
        <v/>
      </c>
      <c r="R205" s="24" t="str">
        <f t="shared" si="45"/>
        <v/>
      </c>
      <c r="S205" s="180">
        <f t="shared" si="46"/>
        <v>3</v>
      </c>
      <c r="T205" s="151"/>
      <c r="U205" s="25" t="str">
        <f t="shared" si="31"/>
        <v/>
      </c>
      <c r="V205" s="24" t="str">
        <f>IF(AND(ISNUMBER(R204),ISNUMBER(R205)),V204,IF(AND(R204="",ISNUMBER(R205)),IFERROR(LARGE($V$176:$V204,1)+1,0),""))</f>
        <v/>
      </c>
      <c r="W205" s="23">
        <f t="shared" si="32"/>
        <v>-1018.3530285882483</v>
      </c>
      <c r="X205" s="22">
        <f t="shared" si="33"/>
        <v>-1595.2804255128869</v>
      </c>
      <c r="Y205" s="22"/>
      <c r="Z205" s="22"/>
      <c r="AA205" s="22"/>
      <c r="AB205" s="22" t="str" cm="1">
        <f t="array" ref="AB205">IF(IF(AND($P204="",$P205=1),($N$37*-1),0)+IF(AND($Q204="",$Q205=1),($N$38*-1),0)+IF(IF(($K205-$N$48)&lt;1,0,IF(IF(INDEX($AD$176:$AD$905,($K205-$N$48))="",0,INDEX($AD$176:$AD$905,($K205-$N$48)))&gt;0,IF(INDEX($AD$176:$AD$905,($K205-$N$48))="",0,INDEX($AD$176:$AD$905,($K205-$N$48))),0))="",0,IF(($K205-$N$48)&lt;1,0,IF(IF(INDEX($AD$176:$AD$905,($K205-$N$48))="",0,INDEX($AD$176:$AD$905,($K205-$N$48)))&gt;0,IF(INDEX($AD$176:$AD$905,($K205-$N$48))="",0,INDEX($AD$176:$AD$905,($K205-$N$48))),0)))=0,"",IF(AND($P204="",$P205=1),($N$37*-1),0)+IF(AND($Q204="",$Q205=1),($N$38*-1),0)+IF(IF(($K205-$N$48)&lt;1,0,IF(IF(INDEX($AD$176:$AD$905,($K205-$N$48))="",0,INDEX($AD$176:$AD$905,($K205-$N$48)))&gt;0,IF(INDEX($AD$176:$AD$905,($K205-$N$48))="",0,INDEX($AD$176:$AD$905,($K205-$N$48))),0))="",0,IF(($K205-$N$48)&lt;1,0,IF(IF(INDEX($AD$176:$AD$905,($K205-$N$48))="",0,INDEX($AD$176:$AD$905,($K205-$N$48)))&gt;0,IF(INDEX($AD$176:$AD$905,($K205-$N$48))="",0,INDEX($AD$176:$AD$905,($K205-$N$48))),0))))</f>
        <v/>
      </c>
      <c r="AC205" s="22" t="str">
        <f t="shared" si="34"/>
        <v/>
      </c>
      <c r="AD205" s="22" t="str">
        <f t="shared" si="47"/>
        <v/>
      </c>
      <c r="AE205" s="22" t="str" cm="1">
        <f t="array" ref="AE205">IF(($K205-$N$48)&lt;1,"",IF((IF(INDEX($AC$176:$AC$905,($K205-$N$48))="",0,INDEX($AC$176:$AC$905,($K205-$N$48))))=0,"",(IF(INDEX($AC$176:$AC$905,($K205-$N$48))="",0,INDEX($AC$176:$AC$905,($K205-$N$48))))))</f>
        <v/>
      </c>
      <c r="AF205" s="31" t="str">
        <f t="shared" si="36"/>
        <v/>
      </c>
      <c r="AG205" s="31" t="str">
        <f t="shared" si="37"/>
        <v/>
      </c>
      <c r="AH205" s="31" t="str">
        <f t="shared" si="38"/>
        <v/>
      </c>
      <c r="AI205" s="31" t="str">
        <f t="shared" si="39"/>
        <v/>
      </c>
      <c r="AJ205" s="303" t="str">
        <f t="shared" si="40"/>
        <v/>
      </c>
      <c r="AK205" s="139" t="str">
        <f t="shared" si="41"/>
        <v/>
      </c>
      <c r="AM205" s="319"/>
      <c r="AN205" s="40"/>
      <c r="AO205" s="1"/>
      <c r="AQ205" s="326"/>
    </row>
    <row r="206" spans="7:43" x14ac:dyDescent="0.25">
      <c r="G206" s="235" t="str">
        <f t="shared" si="26"/>
        <v>03.00</v>
      </c>
      <c r="H206" s="4" t="str">
        <f t="shared" si="27"/>
        <v>03.00.R</v>
      </c>
      <c r="I206" s="11" t="str">
        <f t="shared" si="28"/>
        <v>03.00.R.2</v>
      </c>
      <c r="K206" s="30">
        <v>31</v>
      </c>
      <c r="L206" s="29">
        <f t="shared" si="42"/>
        <v>-21444.924353303406</v>
      </c>
      <c r="M206" s="28" t="str">
        <f t="shared" si="29"/>
        <v/>
      </c>
      <c r="N206" s="27" t="str">
        <f t="shared" si="43"/>
        <v/>
      </c>
      <c r="O206" s="26">
        <f>IF(AND($Q205=$O$38,IFERROR(LARGE($V$176:$V205,1)&lt;$N$42,TRUE)),1,IF(AND(ISNUMBER($O205),$O205&lt;$N$32),$O205+1,""))</f>
        <v>2</v>
      </c>
      <c r="P206" s="26" t="str">
        <f t="shared" si="44"/>
        <v/>
      </c>
      <c r="Q206" s="26" t="str">
        <f t="shared" si="30"/>
        <v/>
      </c>
      <c r="R206" s="24" t="str">
        <f t="shared" si="45"/>
        <v/>
      </c>
      <c r="S206" s="180">
        <f t="shared" si="46"/>
        <v>3</v>
      </c>
      <c r="T206" s="151"/>
      <c r="U206" s="25" t="str">
        <f t="shared" si="31"/>
        <v/>
      </c>
      <c r="V206" s="24" t="str">
        <f>IF(AND(ISNUMBER(R205),ISNUMBER(R206)),V205,IF(AND(R205="",ISNUMBER(R206)),IFERROR(LARGE($V$176:$V205,1)+1,0),""))</f>
        <v/>
      </c>
      <c r="W206" s="23" t="str">
        <f t="shared" si="32"/>
        <v/>
      </c>
      <c r="X206" s="22" t="str">
        <f t="shared" si="33"/>
        <v/>
      </c>
      <c r="Y206" s="22"/>
      <c r="Z206" s="22"/>
      <c r="AA206" s="22"/>
      <c r="AB206" s="22" t="str" cm="1">
        <f t="array" ref="AB206">IF(IF(AND($P205="",$P206=1),($N$37*-1),0)+IF(AND($Q205="",$Q206=1),($N$38*-1),0)+IF(IF(($K206-$N$48)&lt;1,0,IF(IF(INDEX($AD$176:$AD$905,($K206-$N$48))="",0,INDEX($AD$176:$AD$905,($K206-$N$48)))&gt;0,IF(INDEX($AD$176:$AD$905,($K206-$N$48))="",0,INDEX($AD$176:$AD$905,($K206-$N$48))),0))="",0,IF(($K206-$N$48)&lt;1,0,IF(IF(INDEX($AD$176:$AD$905,($K206-$N$48))="",0,INDEX($AD$176:$AD$905,($K206-$N$48)))&gt;0,IF(INDEX($AD$176:$AD$905,($K206-$N$48))="",0,INDEX($AD$176:$AD$905,($K206-$N$48))),0)))=0,"",IF(AND($P205="",$P206=1),($N$37*-1),0)+IF(AND($Q205="",$Q206=1),($N$38*-1),0)+IF(IF(($K206-$N$48)&lt;1,0,IF(IF(INDEX($AD$176:$AD$905,($K206-$N$48))="",0,INDEX($AD$176:$AD$905,($K206-$N$48)))&gt;0,IF(INDEX($AD$176:$AD$905,($K206-$N$48))="",0,INDEX($AD$176:$AD$905,($K206-$N$48))),0))="",0,IF(($K206-$N$48)&lt;1,0,IF(IF(INDEX($AD$176:$AD$905,($K206-$N$48))="",0,INDEX($AD$176:$AD$905,($K206-$N$48)))&gt;0,IF(INDEX($AD$176:$AD$905,($K206-$N$48))="",0,INDEX($AD$176:$AD$905,($K206-$N$48))),0))))</f>
        <v/>
      </c>
      <c r="AC206" s="22" t="str">
        <f t="shared" si="34"/>
        <v/>
      </c>
      <c r="AD206" s="22" t="str">
        <f t="shared" si="47"/>
        <v/>
      </c>
      <c r="AE206" s="22" t="str" cm="1">
        <f t="array" ref="AE206">IF(($K206-$N$48)&lt;1,"",IF((IF(INDEX($AC$176:$AC$905,($K206-$N$48))="",0,INDEX($AC$176:$AC$905,($K206-$N$48))))=0,"",(IF(INDEX($AC$176:$AC$905,($K206-$N$48))="",0,INDEX($AC$176:$AC$905,($K206-$N$48))))))</f>
        <v/>
      </c>
      <c r="AF206" s="31" t="str">
        <f t="shared" si="36"/>
        <v/>
      </c>
      <c r="AG206" s="31" t="str">
        <f t="shared" si="37"/>
        <v/>
      </c>
      <c r="AH206" s="31" t="str">
        <f t="shared" si="38"/>
        <v/>
      </c>
      <c r="AI206" s="31" t="str">
        <f t="shared" si="39"/>
        <v/>
      </c>
      <c r="AJ206" s="303" t="str">
        <f t="shared" si="40"/>
        <v/>
      </c>
      <c r="AK206" s="139" t="str">
        <f t="shared" si="41"/>
        <v/>
      </c>
      <c r="AM206" s="319"/>
      <c r="AN206" s="40"/>
      <c r="AO206" s="1"/>
      <c r="AQ206" s="326"/>
    </row>
    <row r="207" spans="7:43" x14ac:dyDescent="0.25">
      <c r="G207" s="235" t="str">
        <f t="shared" si="26"/>
        <v>03.00</v>
      </c>
      <c r="H207" s="4" t="str">
        <f t="shared" si="27"/>
        <v>03.00.R</v>
      </c>
      <c r="I207" s="11" t="str">
        <f t="shared" si="28"/>
        <v>03.00.R.3</v>
      </c>
      <c r="K207" s="30">
        <v>32</v>
      </c>
      <c r="L207" s="29">
        <f t="shared" si="42"/>
        <v>-21444.924353303406</v>
      </c>
      <c r="M207" s="28" t="str">
        <f t="shared" si="29"/>
        <v/>
      </c>
      <c r="N207" s="27" t="str">
        <f t="shared" si="43"/>
        <v/>
      </c>
      <c r="O207" s="26">
        <f>IF(AND($Q206=$O$38,IFERROR(LARGE($V$176:$V206,1)&lt;$N$42,TRUE)),1,IF(AND(ISNUMBER($O206),$O206&lt;$N$32),$O206+1,""))</f>
        <v>3</v>
      </c>
      <c r="P207" s="26" t="str">
        <f t="shared" si="44"/>
        <v/>
      </c>
      <c r="Q207" s="26" t="str">
        <f t="shared" si="30"/>
        <v/>
      </c>
      <c r="R207" s="24" t="str">
        <f t="shared" si="45"/>
        <v/>
      </c>
      <c r="S207" s="180">
        <f t="shared" si="46"/>
        <v>3</v>
      </c>
      <c r="T207" s="151"/>
      <c r="U207" s="25" t="str">
        <f t="shared" si="31"/>
        <v/>
      </c>
      <c r="V207" s="24" t="str">
        <f>IF(AND(ISNUMBER(R206),ISNUMBER(R207)),V206,IF(AND(R206="",ISNUMBER(R207)),IFERROR(LARGE($V$176:$V206,1)+1,0),""))</f>
        <v/>
      </c>
      <c r="W207" s="23" t="str">
        <f t="shared" si="32"/>
        <v/>
      </c>
      <c r="X207" s="22" t="str">
        <f t="shared" si="33"/>
        <v/>
      </c>
      <c r="Y207" s="22"/>
      <c r="Z207" s="22"/>
      <c r="AA207" s="22"/>
      <c r="AB207" s="22" t="str" cm="1">
        <f t="array" ref="AB207">IF(IF(AND($P206="",$P207=1),($N$37*-1),0)+IF(AND($Q206="",$Q207=1),($N$38*-1),0)+IF(IF(($K207-$N$48)&lt;1,0,IF(IF(INDEX($AD$176:$AD$905,($K207-$N$48))="",0,INDEX($AD$176:$AD$905,($K207-$N$48)))&gt;0,IF(INDEX($AD$176:$AD$905,($K207-$N$48))="",0,INDEX($AD$176:$AD$905,($K207-$N$48))),0))="",0,IF(($K207-$N$48)&lt;1,0,IF(IF(INDEX($AD$176:$AD$905,($K207-$N$48))="",0,INDEX($AD$176:$AD$905,($K207-$N$48)))&gt;0,IF(INDEX($AD$176:$AD$905,($K207-$N$48))="",0,INDEX($AD$176:$AD$905,($K207-$N$48))),0)))=0,"",IF(AND($P206="",$P207=1),($N$37*-1),0)+IF(AND($Q206="",$Q207=1),($N$38*-1),0)+IF(IF(($K207-$N$48)&lt;1,0,IF(IF(INDEX($AD$176:$AD$905,($K207-$N$48))="",0,INDEX($AD$176:$AD$905,($K207-$N$48)))&gt;0,IF(INDEX($AD$176:$AD$905,($K207-$N$48))="",0,INDEX($AD$176:$AD$905,($K207-$N$48))),0))="",0,IF(($K207-$N$48)&lt;1,0,IF(IF(INDEX($AD$176:$AD$905,($K207-$N$48))="",0,INDEX($AD$176:$AD$905,($K207-$N$48)))&gt;0,IF(INDEX($AD$176:$AD$905,($K207-$N$48))="",0,INDEX($AD$176:$AD$905,($K207-$N$48))),0))))</f>
        <v/>
      </c>
      <c r="AC207" s="22" t="str">
        <f t="shared" si="34"/>
        <v/>
      </c>
      <c r="AD207" s="22" t="str">
        <f t="shared" si="47"/>
        <v/>
      </c>
      <c r="AE207" s="22" t="str" cm="1">
        <f t="array" ref="AE207">IF(($K207-$N$48)&lt;1,"",IF((IF(INDEX($AC$176:$AC$905,($K207-$N$48))="",0,INDEX($AC$176:$AC$905,($K207-$N$48))))=0,"",(IF(INDEX($AC$176:$AC$905,($K207-$N$48))="",0,INDEX($AC$176:$AC$905,($K207-$N$48))))))</f>
        <v/>
      </c>
      <c r="AF207" s="31" t="str">
        <f t="shared" si="36"/>
        <v/>
      </c>
      <c r="AG207" s="31" t="str">
        <f t="shared" si="37"/>
        <v/>
      </c>
      <c r="AH207" s="31" t="str">
        <f t="shared" si="38"/>
        <v/>
      </c>
      <c r="AI207" s="31" t="str">
        <f t="shared" si="39"/>
        <v/>
      </c>
      <c r="AJ207" s="303" t="str">
        <f t="shared" si="40"/>
        <v/>
      </c>
      <c r="AK207" s="139" t="str">
        <f t="shared" si="41"/>
        <v/>
      </c>
      <c r="AM207" s="319"/>
      <c r="AN207" s="40"/>
      <c r="AO207" s="1"/>
      <c r="AQ207" s="326"/>
    </row>
    <row r="208" spans="7:43" x14ac:dyDescent="0.25">
      <c r="G208" s="235" t="str">
        <f t="shared" si="26"/>
        <v>03.00</v>
      </c>
      <c r="H208" s="4" t="str">
        <f t="shared" si="27"/>
        <v>03.00.O</v>
      </c>
      <c r="I208" s="11" t="str">
        <f t="shared" si="28"/>
        <v>03.00.O.1</v>
      </c>
      <c r="K208" s="30">
        <v>33</v>
      </c>
      <c r="L208" s="29">
        <f t="shared" si="42"/>
        <v>-21644.924353303406</v>
      </c>
      <c r="M208" s="28">
        <f t="shared" si="29"/>
        <v>-200</v>
      </c>
      <c r="N208" s="27" t="str">
        <f t="shared" si="43"/>
        <v/>
      </c>
      <c r="O208" s="26" t="str">
        <f>IF(AND($Q207=$O$38,IFERROR(LARGE($V$176:$V207,1)&lt;$N$42,TRUE)),1,IF(AND(ISNUMBER($O207),$O207&lt;$N$32),$O207+1,""))</f>
        <v/>
      </c>
      <c r="P208" s="26">
        <f t="shared" si="44"/>
        <v>1</v>
      </c>
      <c r="Q208" s="26" t="str">
        <f t="shared" si="30"/>
        <v/>
      </c>
      <c r="R208" s="24" t="str">
        <f t="shared" si="45"/>
        <v/>
      </c>
      <c r="S208" s="180">
        <f t="shared" si="46"/>
        <v>3</v>
      </c>
      <c r="T208" s="151"/>
      <c r="U208" s="25" t="str">
        <f t="shared" si="31"/>
        <v/>
      </c>
      <c r="V208" s="24" t="str">
        <f>IF(AND(ISNUMBER(R207),ISNUMBER(R208)),V207,IF(AND(R207="",ISNUMBER(R208)),IFERROR(LARGE($V$176:$V207,1)+1,0),""))</f>
        <v/>
      </c>
      <c r="W208" s="23" t="str">
        <f t="shared" si="32"/>
        <v/>
      </c>
      <c r="X208" s="22" t="str">
        <f t="shared" si="33"/>
        <v/>
      </c>
      <c r="Y208" s="22"/>
      <c r="Z208" s="22"/>
      <c r="AA208" s="22"/>
      <c r="AB208" s="22" cm="1">
        <f t="array" ref="AB208">IF(IF(AND($P207="",$P208=1),($N$37*-1),0)+IF(AND($Q207="",$Q208=1),($N$38*-1),0)+IF(IF(($K208-$N$48)&lt;1,0,IF(IF(INDEX($AD$176:$AD$905,($K208-$N$48))="",0,INDEX($AD$176:$AD$905,($K208-$N$48)))&gt;0,IF(INDEX($AD$176:$AD$905,($K208-$N$48))="",0,INDEX($AD$176:$AD$905,($K208-$N$48))),0))="",0,IF(($K208-$N$48)&lt;1,0,IF(IF(INDEX($AD$176:$AD$905,($K208-$N$48))="",0,INDEX($AD$176:$AD$905,($K208-$N$48)))&gt;0,IF(INDEX($AD$176:$AD$905,($K208-$N$48))="",0,INDEX($AD$176:$AD$905,($K208-$N$48))),0)))=0,"",IF(AND($P207="",$P208=1),($N$37*-1),0)+IF(AND($Q207="",$Q208=1),($N$38*-1),0)+IF(IF(($K208-$N$48)&lt;1,0,IF(IF(INDEX($AD$176:$AD$905,($K208-$N$48))="",0,INDEX($AD$176:$AD$905,($K208-$N$48)))&gt;0,IF(INDEX($AD$176:$AD$905,($K208-$N$48))="",0,INDEX($AD$176:$AD$905,($K208-$N$48))),0))="",0,IF(($K208-$N$48)&lt;1,0,IF(IF(INDEX($AD$176:$AD$905,($K208-$N$48))="",0,INDEX($AD$176:$AD$905,($K208-$N$48)))&gt;0,IF(INDEX($AD$176:$AD$905,($K208-$N$48))="",0,INDEX($AD$176:$AD$905,($K208-$N$48))),0))))</f>
        <v>-200</v>
      </c>
      <c r="AC208" s="22" t="str">
        <f t="shared" si="34"/>
        <v/>
      </c>
      <c r="AD208" s="22" t="str">
        <f t="shared" si="47"/>
        <v/>
      </c>
      <c r="AE208" s="22" t="str" cm="1">
        <f t="array" ref="AE208">IF(($K208-$N$48)&lt;1,"",IF((IF(INDEX($AC$176:$AC$905,($K208-$N$48))="",0,INDEX($AC$176:$AC$905,($K208-$N$48))))=0,"",(IF(INDEX($AC$176:$AC$905,($K208-$N$48))="",0,INDEX($AC$176:$AC$905,($K208-$N$48))))))</f>
        <v/>
      </c>
      <c r="AF208" s="31" t="str">
        <f t="shared" si="36"/>
        <v/>
      </c>
      <c r="AG208" s="31" t="str">
        <f t="shared" si="37"/>
        <v/>
      </c>
      <c r="AH208" s="31" t="str">
        <f t="shared" si="38"/>
        <v/>
      </c>
      <c r="AI208" s="31" t="str">
        <f t="shared" si="39"/>
        <v/>
      </c>
      <c r="AJ208" s="303" t="str">
        <f t="shared" si="40"/>
        <v/>
      </c>
      <c r="AK208" s="139" t="str">
        <f t="shared" si="41"/>
        <v/>
      </c>
      <c r="AM208" s="319"/>
      <c r="AN208" s="40"/>
      <c r="AO208" s="1"/>
      <c r="AQ208" s="326"/>
    </row>
    <row r="209" spans="7:43" x14ac:dyDescent="0.25">
      <c r="G209" s="235" t="str">
        <f t="shared" si="26"/>
        <v>03.00</v>
      </c>
      <c r="H209" s="4" t="str">
        <f t="shared" si="27"/>
        <v>03.00.O</v>
      </c>
      <c r="I209" s="11" t="str">
        <f t="shared" si="28"/>
        <v>03.00.O.2</v>
      </c>
      <c r="K209" s="30">
        <v>34</v>
      </c>
      <c r="L209" s="29">
        <f t="shared" si="42"/>
        <v>-21644.924353303406</v>
      </c>
      <c r="M209" s="28" t="str">
        <f t="shared" si="29"/>
        <v/>
      </c>
      <c r="N209" s="27" t="str">
        <f t="shared" si="43"/>
        <v/>
      </c>
      <c r="O209" s="26" t="str">
        <f>IF(AND($Q208=$O$38,IFERROR(LARGE($V$176:$V208,1)&lt;$N$42,TRUE)),1,IF(AND(ISNUMBER($O208),$O208&lt;$N$32),$O208+1,""))</f>
        <v/>
      </c>
      <c r="P209" s="26">
        <f t="shared" si="44"/>
        <v>2</v>
      </c>
      <c r="Q209" s="26" t="str">
        <f t="shared" si="30"/>
        <v/>
      </c>
      <c r="R209" s="24" t="str">
        <f t="shared" si="45"/>
        <v/>
      </c>
      <c r="S209" s="180">
        <f t="shared" si="46"/>
        <v>3</v>
      </c>
      <c r="T209" s="151"/>
      <c r="U209" s="25" t="str">
        <f t="shared" si="31"/>
        <v/>
      </c>
      <c r="V209" s="24" t="str">
        <f>IF(AND(ISNUMBER(R208),ISNUMBER(R209)),V208,IF(AND(R208="",ISNUMBER(R209)),IFERROR(LARGE($V$176:$V208,1)+1,0),""))</f>
        <v/>
      </c>
      <c r="W209" s="23" t="str">
        <f t="shared" si="32"/>
        <v/>
      </c>
      <c r="X209" s="22" t="str">
        <f t="shared" si="33"/>
        <v/>
      </c>
      <c r="Y209" s="22"/>
      <c r="Z209" s="22"/>
      <c r="AA209" s="22"/>
      <c r="AB209" s="22" t="str" cm="1">
        <f t="array" ref="AB209">IF(IF(AND($P208="",$P209=1),($N$37*-1),0)+IF(AND($Q208="",$Q209=1),($N$38*-1),0)+IF(IF(($K209-$N$48)&lt;1,0,IF(IF(INDEX($AD$176:$AD$905,($K209-$N$48))="",0,INDEX($AD$176:$AD$905,($K209-$N$48)))&gt;0,IF(INDEX($AD$176:$AD$905,($K209-$N$48))="",0,INDEX($AD$176:$AD$905,($K209-$N$48))),0))="",0,IF(($K209-$N$48)&lt;1,0,IF(IF(INDEX($AD$176:$AD$905,($K209-$N$48))="",0,INDEX($AD$176:$AD$905,($K209-$N$48)))&gt;0,IF(INDEX($AD$176:$AD$905,($K209-$N$48))="",0,INDEX($AD$176:$AD$905,($K209-$N$48))),0)))=0,"",IF(AND($P208="",$P209=1),($N$37*-1),0)+IF(AND($Q208="",$Q209=1),($N$38*-1),0)+IF(IF(($K209-$N$48)&lt;1,0,IF(IF(INDEX($AD$176:$AD$905,($K209-$N$48))="",0,INDEX($AD$176:$AD$905,($K209-$N$48)))&gt;0,IF(INDEX($AD$176:$AD$905,($K209-$N$48))="",0,INDEX($AD$176:$AD$905,($K209-$N$48))),0))="",0,IF(($K209-$N$48)&lt;1,0,IF(IF(INDEX($AD$176:$AD$905,($K209-$N$48))="",0,INDEX($AD$176:$AD$905,($K209-$N$48)))&gt;0,IF(INDEX($AD$176:$AD$905,($K209-$N$48))="",0,INDEX($AD$176:$AD$905,($K209-$N$48))),0))))</f>
        <v/>
      </c>
      <c r="AC209" s="22" t="str">
        <f t="shared" si="34"/>
        <v/>
      </c>
      <c r="AD209" s="22" t="str">
        <f t="shared" si="47"/>
        <v/>
      </c>
      <c r="AE209" s="22" t="str" cm="1">
        <f t="array" ref="AE209">IF(($K209-$N$48)&lt;1,"",IF((IF(INDEX($AC$176:$AC$905,($K209-$N$48))="",0,INDEX($AC$176:$AC$905,($K209-$N$48))))=0,"",(IF(INDEX($AC$176:$AC$905,($K209-$N$48))="",0,INDEX($AC$176:$AC$905,($K209-$N$48))))))</f>
        <v/>
      </c>
      <c r="AF209" s="31" t="str">
        <f t="shared" si="36"/>
        <v/>
      </c>
      <c r="AG209" s="31" t="str">
        <f t="shared" si="37"/>
        <v/>
      </c>
      <c r="AH209" s="31" t="str">
        <f t="shared" si="38"/>
        <v/>
      </c>
      <c r="AI209" s="31" t="str">
        <f t="shared" si="39"/>
        <v/>
      </c>
      <c r="AJ209" s="303" t="str">
        <f t="shared" si="40"/>
        <v/>
      </c>
      <c r="AK209" s="139" t="str">
        <f t="shared" si="41"/>
        <v/>
      </c>
      <c r="AM209" s="319"/>
      <c r="AN209" s="40"/>
      <c r="AO209" s="1"/>
      <c r="AQ209" s="326"/>
    </row>
    <row r="210" spans="7:43" x14ac:dyDescent="0.25">
      <c r="G210" s="235" t="str">
        <f t="shared" si="26"/>
        <v>03.01</v>
      </c>
      <c r="H210" s="4" t="str">
        <f t="shared" si="27"/>
        <v>03.01.D</v>
      </c>
      <c r="I210" s="11" t="str">
        <f t="shared" si="28"/>
        <v>03.01.D.1</v>
      </c>
      <c r="K210" s="30">
        <v>35</v>
      </c>
      <c r="L210" s="29">
        <f t="shared" si="42"/>
        <v>-21644.924353303406</v>
      </c>
      <c r="M210" s="28" t="str">
        <f t="shared" si="29"/>
        <v/>
      </c>
      <c r="N210" s="27" t="str">
        <f t="shared" si="43"/>
        <v/>
      </c>
      <c r="O210" s="26" t="str">
        <f>IF(AND($Q209=$O$38,IFERROR(LARGE($V$176:$V209,1)&lt;$N$42,TRUE)),1,IF(AND(ISNUMBER($O209),$O209&lt;$N$32),$O209+1,""))</f>
        <v/>
      </c>
      <c r="P210" s="26" t="str">
        <f t="shared" si="44"/>
        <v/>
      </c>
      <c r="Q210" s="26" t="str">
        <f t="shared" si="30"/>
        <v/>
      </c>
      <c r="R210" s="24">
        <f t="shared" si="45"/>
        <v>1</v>
      </c>
      <c r="S210" s="180">
        <f t="shared" si="46"/>
        <v>3.01</v>
      </c>
      <c r="T210" s="151"/>
      <c r="U210" s="25">
        <f t="shared" si="31"/>
        <v>1</v>
      </c>
      <c r="V210" s="24">
        <f>IF(AND(ISNUMBER(R209),ISNUMBER(R210)),V209,IF(AND(R209="",ISNUMBER(R210)),IFERROR(LARGE($V$176:$V209,1)+1,0),""))</f>
        <v>3</v>
      </c>
      <c r="W210" s="23" t="str">
        <f t="shared" si="32"/>
        <v/>
      </c>
      <c r="X210" s="22" t="str">
        <f t="shared" si="33"/>
        <v/>
      </c>
      <c r="Y210" s="22"/>
      <c r="Z210" s="22"/>
      <c r="AA210" s="22"/>
      <c r="AB210" s="22" t="str" cm="1">
        <f t="array" ref="AB210">IF(IF(AND($P209="",$P210=1),($N$37*-1),0)+IF(AND($Q209="",$Q210=1),($N$38*-1),0)+IF(IF(($K210-$N$48)&lt;1,0,IF(IF(INDEX($AD$176:$AD$905,($K210-$N$48))="",0,INDEX($AD$176:$AD$905,($K210-$N$48)))&gt;0,IF(INDEX($AD$176:$AD$905,($K210-$N$48))="",0,INDEX($AD$176:$AD$905,($K210-$N$48))),0))="",0,IF(($K210-$N$48)&lt;1,0,IF(IF(INDEX($AD$176:$AD$905,($K210-$N$48))="",0,INDEX($AD$176:$AD$905,($K210-$N$48)))&gt;0,IF(INDEX($AD$176:$AD$905,($K210-$N$48))="",0,INDEX($AD$176:$AD$905,($K210-$N$48))),0)))=0,"",IF(AND($P209="",$P210=1),($N$37*-1),0)+IF(AND($Q209="",$Q210=1),($N$38*-1),0)+IF(IF(($K210-$N$48)&lt;1,0,IF(IF(INDEX($AD$176:$AD$905,($K210-$N$48))="",0,INDEX($AD$176:$AD$905,($K210-$N$48)))&gt;0,IF(INDEX($AD$176:$AD$905,($K210-$N$48))="",0,INDEX($AD$176:$AD$905,($K210-$N$48))),0))="",0,IF(($K210-$N$48)&lt;1,0,IF(IF(INDEX($AD$176:$AD$905,($K210-$N$48))="",0,INDEX($AD$176:$AD$905,($K210-$N$48)))&gt;0,IF(INDEX($AD$176:$AD$905,($K210-$N$48))="",0,INDEX($AD$176:$AD$905,($K210-$N$48))),0))))</f>
        <v/>
      </c>
      <c r="AC210" s="22" t="str">
        <f t="shared" si="34"/>
        <v/>
      </c>
      <c r="AD210" s="22" t="str">
        <f t="shared" si="47"/>
        <v/>
      </c>
      <c r="AE210" s="22" t="str" cm="1">
        <f t="array" ref="AE210">IF(($K210-$N$48)&lt;1,"",IF((IF(INDEX($AC$176:$AC$905,($K210-$N$48))="",0,INDEX($AC$176:$AC$905,($K210-$N$48))))=0,"",(IF(INDEX($AC$176:$AC$905,($K210-$N$48))="",0,INDEX($AC$176:$AC$905,($K210-$N$48))))))</f>
        <v/>
      </c>
      <c r="AF210" s="31" t="str">
        <f t="shared" si="36"/>
        <v/>
      </c>
      <c r="AG210" s="31" t="str">
        <f t="shared" si="37"/>
        <v/>
      </c>
      <c r="AH210" s="31" t="str">
        <f t="shared" si="38"/>
        <v/>
      </c>
      <c r="AI210" s="31" t="str">
        <f t="shared" si="39"/>
        <v/>
      </c>
      <c r="AJ210" s="303" t="str">
        <f t="shared" si="40"/>
        <v/>
      </c>
      <c r="AK210" s="139" t="str">
        <f t="shared" si="41"/>
        <v/>
      </c>
      <c r="AM210" s="319"/>
      <c r="AN210" s="40"/>
      <c r="AO210" s="1"/>
      <c r="AQ210" s="326"/>
    </row>
    <row r="211" spans="7:43" x14ac:dyDescent="0.25">
      <c r="G211" s="235" t="str">
        <f t="shared" si="26"/>
        <v>03.01</v>
      </c>
      <c r="H211" s="4" t="str">
        <f t="shared" si="27"/>
        <v>03.01.D</v>
      </c>
      <c r="I211" s="11" t="str">
        <f t="shared" si="28"/>
        <v>03.01.D.2</v>
      </c>
      <c r="K211" s="30">
        <v>36</v>
      </c>
      <c r="L211" s="29">
        <f t="shared" si="42"/>
        <v>-21644.924353303406</v>
      </c>
      <c r="M211" s="28" t="str">
        <f t="shared" si="29"/>
        <v/>
      </c>
      <c r="N211" s="27" t="str">
        <f t="shared" si="43"/>
        <v/>
      </c>
      <c r="O211" s="26" t="str">
        <f>IF(AND($Q210=$O$38,IFERROR(LARGE($V$176:$V210,1)&lt;$N$42,TRUE)),1,IF(AND(ISNUMBER($O210),$O210&lt;$N$32),$O210+1,""))</f>
        <v/>
      </c>
      <c r="P211" s="26" t="str">
        <f t="shared" si="44"/>
        <v/>
      </c>
      <c r="Q211" s="26" t="str">
        <f t="shared" si="30"/>
        <v/>
      </c>
      <c r="R211" s="24">
        <f t="shared" si="45"/>
        <v>2</v>
      </c>
      <c r="S211" s="180">
        <f t="shared" si="46"/>
        <v>3.01</v>
      </c>
      <c r="T211" s="151"/>
      <c r="U211" s="25">
        <f t="shared" si="31"/>
        <v>1</v>
      </c>
      <c r="V211" s="24">
        <f>IF(AND(ISNUMBER(R210),ISNUMBER(R211)),V210,IF(AND(R210="",ISNUMBER(R211)),IFERROR(LARGE($V$176:$V210,1)+1,0),""))</f>
        <v>3</v>
      </c>
      <c r="W211" s="23" t="str">
        <f t="shared" si="32"/>
        <v/>
      </c>
      <c r="X211" s="22" t="str">
        <f t="shared" si="33"/>
        <v/>
      </c>
      <c r="Y211" s="22"/>
      <c r="Z211" s="22"/>
      <c r="AA211" s="22"/>
      <c r="AB211" s="22" t="str" cm="1">
        <f t="array" ref="AB211">IF(IF(AND($P210="",$P211=1),($N$37*-1),0)+IF(AND($Q210="",$Q211=1),($N$38*-1),0)+IF(IF(($K211-$N$48)&lt;1,0,IF(IF(INDEX($AD$176:$AD$905,($K211-$N$48))="",0,INDEX($AD$176:$AD$905,($K211-$N$48)))&gt;0,IF(INDEX($AD$176:$AD$905,($K211-$N$48))="",0,INDEX($AD$176:$AD$905,($K211-$N$48))),0))="",0,IF(($K211-$N$48)&lt;1,0,IF(IF(INDEX($AD$176:$AD$905,($K211-$N$48))="",0,INDEX($AD$176:$AD$905,($K211-$N$48)))&gt;0,IF(INDEX($AD$176:$AD$905,($K211-$N$48))="",0,INDEX($AD$176:$AD$905,($K211-$N$48))),0)))=0,"",IF(AND($P210="",$P211=1),($N$37*-1),0)+IF(AND($Q210="",$Q211=1),($N$38*-1),0)+IF(IF(($K211-$N$48)&lt;1,0,IF(IF(INDEX($AD$176:$AD$905,($K211-$N$48))="",0,INDEX($AD$176:$AD$905,($K211-$N$48)))&gt;0,IF(INDEX($AD$176:$AD$905,($K211-$N$48))="",0,INDEX($AD$176:$AD$905,($K211-$N$48))),0))="",0,IF(($K211-$N$48)&lt;1,0,IF(IF(INDEX($AD$176:$AD$905,($K211-$N$48))="",0,INDEX($AD$176:$AD$905,($K211-$N$48)))&gt;0,IF(INDEX($AD$176:$AD$905,($K211-$N$48))="",0,INDEX($AD$176:$AD$905,($K211-$N$48))),0))))</f>
        <v/>
      </c>
      <c r="AC211" s="22">
        <f t="shared" si="34"/>
        <v>5500</v>
      </c>
      <c r="AD211" s="22">
        <f t="shared" si="47"/>
        <v>525</v>
      </c>
      <c r="AE211" s="22" t="str" cm="1">
        <f t="array" ref="AE211">IF(($K211-$N$48)&lt;1,"",IF((IF(INDEX($AC$176:$AC$905,($K211-$N$48))="",0,INDEX($AC$176:$AC$905,($K211-$N$48))))=0,"",(IF(INDEX($AC$176:$AC$905,($K211-$N$48))="",0,INDEX($AC$176:$AC$905,($K211-$N$48))))))</f>
        <v/>
      </c>
      <c r="AF211" s="31" t="str">
        <f t="shared" si="36"/>
        <v/>
      </c>
      <c r="AG211" s="31" t="str">
        <f t="shared" si="37"/>
        <v/>
      </c>
      <c r="AH211" s="31" t="str">
        <f t="shared" si="38"/>
        <v/>
      </c>
      <c r="AI211" s="31" t="str">
        <f t="shared" si="39"/>
        <v/>
      </c>
      <c r="AJ211" s="303" t="str">
        <f t="shared" si="40"/>
        <v/>
      </c>
      <c r="AK211" s="139" t="str">
        <f t="shared" si="41"/>
        <v/>
      </c>
      <c r="AM211" s="319"/>
      <c r="AN211" s="40"/>
      <c r="AO211" s="1"/>
      <c r="AQ211" s="326"/>
    </row>
    <row r="212" spans="7:43" x14ac:dyDescent="0.25">
      <c r="G212" s="235" t="str">
        <f t="shared" si="26"/>
        <v>04.00</v>
      </c>
      <c r="H212" s="4" t="str">
        <f t="shared" si="27"/>
        <v>04.00.I</v>
      </c>
      <c r="I212" s="11" t="str">
        <f t="shared" si="28"/>
        <v>04.00.I.1</v>
      </c>
      <c r="K212" s="30">
        <v>37</v>
      </c>
      <c r="L212" s="29">
        <f t="shared" si="42"/>
        <v>-21844.924353303406</v>
      </c>
      <c r="M212" s="28">
        <f t="shared" si="29"/>
        <v>-200</v>
      </c>
      <c r="N212" s="27" t="str">
        <f t="shared" si="43"/>
        <v/>
      </c>
      <c r="O212" s="26" t="str">
        <f>IF(AND($Q211=$O$38,IFERROR(LARGE($V$176:$V211,1)&lt;$N$42,TRUE)),1,IF(AND(ISNUMBER($O211),$O211&lt;$N$32),$O211+1,""))</f>
        <v/>
      </c>
      <c r="P212" s="26" t="str">
        <f t="shared" si="44"/>
        <v/>
      </c>
      <c r="Q212" s="26">
        <f t="shared" si="30"/>
        <v>1</v>
      </c>
      <c r="R212" s="24" t="str">
        <f t="shared" si="45"/>
        <v/>
      </c>
      <c r="S212" s="180">
        <f t="shared" si="46"/>
        <v>4</v>
      </c>
      <c r="T212" s="151"/>
      <c r="U212" s="25" t="str">
        <f t="shared" si="31"/>
        <v/>
      </c>
      <c r="V212" s="24" t="str">
        <f>IF(AND(ISNUMBER(R211),ISNUMBER(R212)),V211,IF(AND(R211="",ISNUMBER(R212)),IFERROR(LARGE($V$176:$V211,1)+1,0),""))</f>
        <v/>
      </c>
      <c r="W212" s="23" t="str">
        <f t="shared" si="32"/>
        <v/>
      </c>
      <c r="X212" s="22" t="str">
        <f t="shared" si="33"/>
        <v/>
      </c>
      <c r="Y212" s="22"/>
      <c r="Z212" s="22"/>
      <c r="AA212" s="22"/>
      <c r="AB212" s="22" cm="1">
        <f t="array" ref="AB212">IF(IF(AND($P211="",$P212=1),($N$37*-1),0)+IF(AND($Q211="",$Q212=1),($N$38*-1),0)+IF(IF(($K212-$N$48)&lt;1,0,IF(IF(INDEX($AD$176:$AD$905,($K212-$N$48))="",0,INDEX($AD$176:$AD$905,($K212-$N$48)))&gt;0,IF(INDEX($AD$176:$AD$905,($K212-$N$48))="",0,INDEX($AD$176:$AD$905,($K212-$N$48))),0))="",0,IF(($K212-$N$48)&lt;1,0,IF(IF(INDEX($AD$176:$AD$905,($K212-$N$48))="",0,INDEX($AD$176:$AD$905,($K212-$N$48)))&gt;0,IF(INDEX($AD$176:$AD$905,($K212-$N$48))="",0,INDEX($AD$176:$AD$905,($K212-$N$48))),0)))=0,"",IF(AND($P211="",$P212=1),($N$37*-1),0)+IF(AND($Q211="",$Q212=1),($N$38*-1),0)+IF(IF(($K212-$N$48)&lt;1,0,IF(IF(INDEX($AD$176:$AD$905,($K212-$N$48))="",0,INDEX($AD$176:$AD$905,($K212-$N$48)))&gt;0,IF(INDEX($AD$176:$AD$905,($K212-$N$48))="",0,INDEX($AD$176:$AD$905,($K212-$N$48))),0))="",0,IF(($K212-$N$48)&lt;1,0,IF(IF(INDEX($AD$176:$AD$905,($K212-$N$48))="",0,INDEX($AD$176:$AD$905,($K212-$N$48)))&gt;0,IF(INDEX($AD$176:$AD$905,($K212-$N$48))="",0,INDEX($AD$176:$AD$905,($K212-$N$48))),0))))</f>
        <v>-200</v>
      </c>
      <c r="AC212" s="22" t="str">
        <f t="shared" si="34"/>
        <v/>
      </c>
      <c r="AD212" s="22" t="str">
        <f t="shared" si="47"/>
        <v/>
      </c>
      <c r="AE212" s="22" t="str" cm="1">
        <f t="array" ref="AE212">IF(($K212-$N$48)&lt;1,"",IF((IF(INDEX($AC$176:$AC$905,($K212-$N$48))="",0,INDEX($AC$176:$AC$905,($K212-$N$48))))=0,"",(IF(INDEX($AC$176:$AC$905,($K212-$N$48))="",0,INDEX($AC$176:$AC$905,($K212-$N$48))))))</f>
        <v/>
      </c>
      <c r="AF212" s="31" t="str">
        <f t="shared" si="36"/>
        <v/>
      </c>
      <c r="AG212" s="31" t="str">
        <f t="shared" si="37"/>
        <v/>
      </c>
      <c r="AH212" s="31" t="str">
        <f t="shared" si="38"/>
        <v/>
      </c>
      <c r="AI212" s="31" t="str">
        <f t="shared" si="39"/>
        <v/>
      </c>
      <c r="AJ212" s="303" t="str">
        <f t="shared" si="40"/>
        <v/>
      </c>
      <c r="AK212" s="139" t="str">
        <f t="shared" si="41"/>
        <v/>
      </c>
      <c r="AM212" s="319"/>
      <c r="AN212" s="40"/>
      <c r="AO212" s="1"/>
      <c r="AQ212" s="326"/>
    </row>
    <row r="213" spans="7:43" x14ac:dyDescent="0.25">
      <c r="G213" s="235" t="str">
        <f t="shared" si="26"/>
        <v>04.00</v>
      </c>
      <c r="H213" s="4" t="str">
        <f t="shared" si="27"/>
        <v>04.00.I</v>
      </c>
      <c r="I213" s="11" t="str">
        <f t="shared" si="28"/>
        <v>04.00.I.2</v>
      </c>
      <c r="K213" s="30">
        <v>38</v>
      </c>
      <c r="L213" s="29">
        <f t="shared" si="42"/>
        <v>-21844.924353303406</v>
      </c>
      <c r="M213" s="28" t="str">
        <f t="shared" si="29"/>
        <v/>
      </c>
      <c r="N213" s="27" t="str">
        <f t="shared" si="43"/>
        <v/>
      </c>
      <c r="O213" s="26" t="str">
        <f>IF(AND($Q212=$O$38,IFERROR(LARGE($V$176:$V212,1)&lt;$N$42,TRUE)),1,IF(AND(ISNUMBER($O212),$O212&lt;$N$32),$O212+1,""))</f>
        <v/>
      </c>
      <c r="P213" s="26" t="str">
        <f t="shared" si="44"/>
        <v/>
      </c>
      <c r="Q213" s="26">
        <f t="shared" si="30"/>
        <v>2</v>
      </c>
      <c r="R213" s="24" t="str">
        <f t="shared" si="45"/>
        <v/>
      </c>
      <c r="S213" s="180">
        <f t="shared" si="46"/>
        <v>4</v>
      </c>
      <c r="T213" s="151"/>
      <c r="U213" s="25" t="str">
        <f t="shared" si="31"/>
        <v/>
      </c>
      <c r="V213" s="24" t="str">
        <f>IF(AND(ISNUMBER(R212),ISNUMBER(R213)),V212,IF(AND(R212="",ISNUMBER(R213)),IFERROR(LARGE($V$176:$V212,1)+1,0),""))</f>
        <v/>
      </c>
      <c r="W213" s="23" t="str">
        <f t="shared" si="32"/>
        <v/>
      </c>
      <c r="X213" s="22" t="str">
        <f t="shared" si="33"/>
        <v/>
      </c>
      <c r="Y213" s="22"/>
      <c r="Z213" s="22"/>
      <c r="AA213" s="22"/>
      <c r="AB213" s="22" t="str" cm="1">
        <f t="array" ref="AB213">IF(IF(AND($P212="",$P213=1),($N$37*-1),0)+IF(AND($Q212="",$Q213=1),($N$38*-1),0)+IF(IF(($K213-$N$48)&lt;1,0,IF(IF(INDEX($AD$176:$AD$905,($K213-$N$48))="",0,INDEX($AD$176:$AD$905,($K213-$N$48)))&gt;0,IF(INDEX($AD$176:$AD$905,($K213-$N$48))="",0,INDEX($AD$176:$AD$905,($K213-$N$48))),0))="",0,IF(($K213-$N$48)&lt;1,0,IF(IF(INDEX($AD$176:$AD$905,($K213-$N$48))="",0,INDEX($AD$176:$AD$905,($K213-$N$48)))&gt;0,IF(INDEX($AD$176:$AD$905,($K213-$N$48))="",0,INDEX($AD$176:$AD$905,($K213-$N$48))),0)))=0,"",IF(AND($P212="",$P213=1),($N$37*-1),0)+IF(AND($Q212="",$Q213=1),($N$38*-1),0)+IF(IF(($K213-$N$48)&lt;1,0,IF(IF(INDEX($AD$176:$AD$905,($K213-$N$48))="",0,INDEX($AD$176:$AD$905,($K213-$N$48)))&gt;0,IF(INDEX($AD$176:$AD$905,($K213-$N$48))="",0,INDEX($AD$176:$AD$905,($K213-$N$48))),0))="",0,IF(($K213-$N$48)&lt;1,0,IF(IF(INDEX($AD$176:$AD$905,($K213-$N$48))="",0,INDEX($AD$176:$AD$905,($K213-$N$48)))&gt;0,IF(INDEX($AD$176:$AD$905,($K213-$N$48))="",0,INDEX($AD$176:$AD$905,($K213-$N$48))),0))))</f>
        <v/>
      </c>
      <c r="AC213" s="22" t="str">
        <f t="shared" si="34"/>
        <v/>
      </c>
      <c r="AD213" s="22" t="str">
        <f t="shared" si="47"/>
        <v/>
      </c>
      <c r="AE213" s="22" t="str" cm="1">
        <f t="array" ref="AE213">IF(($K213-$N$48)&lt;1,"",IF((IF(INDEX($AC$176:$AC$905,($K213-$N$48))="",0,INDEX($AC$176:$AC$905,($K213-$N$48))))=0,"",(IF(INDEX($AC$176:$AC$905,($K213-$N$48))="",0,INDEX($AC$176:$AC$905,($K213-$N$48))))))</f>
        <v/>
      </c>
      <c r="AF213" s="31" t="str">
        <f t="shared" si="36"/>
        <v/>
      </c>
      <c r="AG213" s="31" t="str">
        <f t="shared" si="37"/>
        <v/>
      </c>
      <c r="AH213" s="31" t="str">
        <f t="shared" si="38"/>
        <v/>
      </c>
      <c r="AI213" s="31" t="str">
        <f t="shared" si="39"/>
        <v/>
      </c>
      <c r="AJ213" s="303" t="str">
        <f t="shared" si="40"/>
        <v/>
      </c>
      <c r="AK213" s="139" t="str">
        <f t="shared" si="41"/>
        <v/>
      </c>
      <c r="AM213" s="319"/>
      <c r="AN213" s="40"/>
      <c r="AO213" s="1"/>
      <c r="AQ213" s="326"/>
    </row>
    <row r="214" spans="7:43" x14ac:dyDescent="0.25">
      <c r="G214" s="235" t="str">
        <f t="shared" si="26"/>
        <v>04.00</v>
      </c>
      <c r="H214" s="4" t="str">
        <f t="shared" si="27"/>
        <v>04.00.R</v>
      </c>
      <c r="I214" s="11" t="str">
        <f t="shared" si="28"/>
        <v>04.00.R.1</v>
      </c>
      <c r="K214" s="30">
        <v>39</v>
      </c>
      <c r="L214" s="29">
        <f t="shared" si="42"/>
        <v>-24458.557807404541</v>
      </c>
      <c r="M214" s="28">
        <f t="shared" si="29"/>
        <v>-2613.6334541011352</v>
      </c>
      <c r="N214" s="27" t="str">
        <f t="shared" si="43"/>
        <v/>
      </c>
      <c r="O214" s="26">
        <f>IF(AND($Q213=$O$38,IFERROR(LARGE($V$176:$V213,1)&lt;$N$42,TRUE)),1,IF(AND(ISNUMBER($O213),$O213&lt;$N$32),$O213+1,""))</f>
        <v>1</v>
      </c>
      <c r="P214" s="26" t="str">
        <f t="shared" si="44"/>
        <v/>
      </c>
      <c r="Q214" s="26" t="str">
        <f t="shared" si="30"/>
        <v/>
      </c>
      <c r="R214" s="24" t="str">
        <f t="shared" si="45"/>
        <v/>
      </c>
      <c r="S214" s="180">
        <f t="shared" si="46"/>
        <v>4</v>
      </c>
      <c r="T214" s="151"/>
      <c r="U214" s="25" t="str">
        <f t="shared" si="31"/>
        <v/>
      </c>
      <c r="V214" s="24" t="str">
        <f>IF(AND(ISNUMBER(R213),ISNUMBER(R214)),V213,IF(AND(R213="",ISNUMBER(R214)),IFERROR(LARGE($V$176:$V213,1)+1,0),""))</f>
        <v/>
      </c>
      <c r="W214" s="23">
        <f t="shared" si="32"/>
        <v>-1018.3530285882483</v>
      </c>
      <c r="X214" s="22">
        <f t="shared" si="33"/>
        <v>-1595.2804255128869</v>
      </c>
      <c r="Y214" s="22"/>
      <c r="Z214" s="22"/>
      <c r="AA214" s="22"/>
      <c r="AB214" s="22" t="str" cm="1">
        <f t="array" ref="AB214">IF(IF(AND($P213="",$P214=1),($N$37*-1),0)+IF(AND($Q213="",$Q214=1),($N$38*-1),0)+IF(IF(($K214-$N$48)&lt;1,0,IF(IF(INDEX($AD$176:$AD$905,($K214-$N$48))="",0,INDEX($AD$176:$AD$905,($K214-$N$48)))&gt;0,IF(INDEX($AD$176:$AD$905,($K214-$N$48))="",0,INDEX($AD$176:$AD$905,($K214-$N$48))),0))="",0,IF(($K214-$N$48)&lt;1,0,IF(IF(INDEX($AD$176:$AD$905,($K214-$N$48))="",0,INDEX($AD$176:$AD$905,($K214-$N$48)))&gt;0,IF(INDEX($AD$176:$AD$905,($K214-$N$48))="",0,INDEX($AD$176:$AD$905,($K214-$N$48))),0)))=0,"",IF(AND($P213="",$P214=1),($N$37*-1),0)+IF(AND($Q213="",$Q214=1),($N$38*-1),0)+IF(IF(($K214-$N$48)&lt;1,0,IF(IF(INDEX($AD$176:$AD$905,($K214-$N$48))="",0,INDEX($AD$176:$AD$905,($K214-$N$48)))&gt;0,IF(INDEX($AD$176:$AD$905,($K214-$N$48))="",0,INDEX($AD$176:$AD$905,($K214-$N$48))),0))="",0,IF(($K214-$N$48)&lt;1,0,IF(IF(INDEX($AD$176:$AD$905,($K214-$N$48))="",0,INDEX($AD$176:$AD$905,($K214-$N$48)))&gt;0,IF(INDEX($AD$176:$AD$905,($K214-$N$48))="",0,INDEX($AD$176:$AD$905,($K214-$N$48))),0))))</f>
        <v/>
      </c>
      <c r="AC214" s="22" t="str">
        <f t="shared" si="34"/>
        <v/>
      </c>
      <c r="AD214" s="22" t="str">
        <f t="shared" si="47"/>
        <v/>
      </c>
      <c r="AE214" s="22" t="str" cm="1">
        <f t="array" ref="AE214">IF(($K214-$N$48)&lt;1,"",IF((IF(INDEX($AC$176:$AC$905,($K214-$N$48))="",0,INDEX($AC$176:$AC$905,($K214-$N$48))))=0,"",(IF(INDEX($AC$176:$AC$905,($K214-$N$48))="",0,INDEX($AC$176:$AC$905,($K214-$N$48))))))</f>
        <v/>
      </c>
      <c r="AF214" s="31" t="str">
        <f t="shared" si="36"/>
        <v/>
      </c>
      <c r="AG214" s="31" t="str">
        <f t="shared" si="37"/>
        <v/>
      </c>
      <c r="AH214" s="31" t="str">
        <f t="shared" si="38"/>
        <v/>
      </c>
      <c r="AI214" s="31" t="str">
        <f t="shared" si="39"/>
        <v/>
      </c>
      <c r="AJ214" s="303" t="str">
        <f t="shared" si="40"/>
        <v/>
      </c>
      <c r="AK214" s="139" t="str">
        <f t="shared" si="41"/>
        <v/>
      </c>
      <c r="AM214" s="319"/>
      <c r="AN214" s="40"/>
      <c r="AO214" s="1"/>
      <c r="AQ214" s="326"/>
    </row>
    <row r="215" spans="7:43" x14ac:dyDescent="0.25">
      <c r="G215" s="235" t="str">
        <f t="shared" si="26"/>
        <v>04.00</v>
      </c>
      <c r="H215" s="4" t="str">
        <f t="shared" si="27"/>
        <v>04.00.R</v>
      </c>
      <c r="I215" s="11" t="str">
        <f t="shared" si="28"/>
        <v>04.00.R.2</v>
      </c>
      <c r="K215" s="30">
        <v>40</v>
      </c>
      <c r="L215" s="29">
        <f t="shared" si="42"/>
        <v>-24458.557807404541</v>
      </c>
      <c r="M215" s="28" t="str">
        <f t="shared" si="29"/>
        <v/>
      </c>
      <c r="N215" s="27" t="str">
        <f t="shared" si="43"/>
        <v/>
      </c>
      <c r="O215" s="26">
        <f>IF(AND($Q214=$O$38,IFERROR(LARGE($V$176:$V214,1)&lt;$N$42,TRUE)),1,IF(AND(ISNUMBER($O214),$O214&lt;$N$32),$O214+1,""))</f>
        <v>2</v>
      </c>
      <c r="P215" s="26" t="str">
        <f t="shared" si="44"/>
        <v/>
      </c>
      <c r="Q215" s="26" t="str">
        <f t="shared" si="30"/>
        <v/>
      </c>
      <c r="R215" s="24" t="str">
        <f t="shared" si="45"/>
        <v/>
      </c>
      <c r="S215" s="180">
        <f t="shared" si="46"/>
        <v>4</v>
      </c>
      <c r="T215" s="151"/>
      <c r="U215" s="25" t="str">
        <f t="shared" si="31"/>
        <v/>
      </c>
      <c r="V215" s="24" t="str">
        <f>IF(AND(ISNUMBER(R214),ISNUMBER(R215)),V214,IF(AND(R214="",ISNUMBER(R215)),IFERROR(LARGE($V$176:$V214,1)+1,0),""))</f>
        <v/>
      </c>
      <c r="W215" s="23" t="str">
        <f t="shared" si="32"/>
        <v/>
      </c>
      <c r="X215" s="22" t="str">
        <f t="shared" si="33"/>
        <v/>
      </c>
      <c r="Y215" s="22"/>
      <c r="Z215" s="22"/>
      <c r="AA215" s="22"/>
      <c r="AB215" s="22" t="str" cm="1">
        <f t="array" ref="AB215">IF(IF(AND($P214="",$P215=1),($N$37*-1),0)+IF(AND($Q214="",$Q215=1),($N$38*-1),0)+IF(IF(($K215-$N$48)&lt;1,0,IF(IF(INDEX($AD$176:$AD$905,($K215-$N$48))="",0,INDEX($AD$176:$AD$905,($K215-$N$48)))&gt;0,IF(INDEX($AD$176:$AD$905,($K215-$N$48))="",0,INDEX($AD$176:$AD$905,($K215-$N$48))),0))="",0,IF(($K215-$N$48)&lt;1,0,IF(IF(INDEX($AD$176:$AD$905,($K215-$N$48))="",0,INDEX($AD$176:$AD$905,($K215-$N$48)))&gt;0,IF(INDEX($AD$176:$AD$905,($K215-$N$48))="",0,INDEX($AD$176:$AD$905,($K215-$N$48))),0)))=0,"",IF(AND($P214="",$P215=1),($N$37*-1),0)+IF(AND($Q214="",$Q215=1),($N$38*-1),0)+IF(IF(($K215-$N$48)&lt;1,0,IF(IF(INDEX($AD$176:$AD$905,($K215-$N$48))="",0,INDEX($AD$176:$AD$905,($K215-$N$48)))&gt;0,IF(INDEX($AD$176:$AD$905,($K215-$N$48))="",0,INDEX($AD$176:$AD$905,($K215-$N$48))),0))="",0,IF(($K215-$N$48)&lt;1,0,IF(IF(INDEX($AD$176:$AD$905,($K215-$N$48))="",0,INDEX($AD$176:$AD$905,($K215-$N$48)))&gt;0,IF(INDEX($AD$176:$AD$905,($K215-$N$48))="",0,INDEX($AD$176:$AD$905,($K215-$N$48))),0))))</f>
        <v/>
      </c>
      <c r="AC215" s="22" t="str">
        <f t="shared" si="34"/>
        <v/>
      </c>
      <c r="AD215" s="22" t="str">
        <f t="shared" si="47"/>
        <v/>
      </c>
      <c r="AE215" s="22" t="str" cm="1">
        <f t="array" ref="AE215">IF(($K215-$N$48)&lt;1,"",IF((IF(INDEX($AC$176:$AC$905,($K215-$N$48))="",0,INDEX($AC$176:$AC$905,($K215-$N$48))))=0,"",(IF(INDEX($AC$176:$AC$905,($K215-$N$48))="",0,INDEX($AC$176:$AC$905,($K215-$N$48))))))</f>
        <v/>
      </c>
      <c r="AF215" s="31" t="str">
        <f t="shared" si="36"/>
        <v/>
      </c>
      <c r="AG215" s="31" t="str">
        <f t="shared" si="37"/>
        <v/>
      </c>
      <c r="AH215" s="31" t="str">
        <f t="shared" si="38"/>
        <v/>
      </c>
      <c r="AI215" s="31" t="str">
        <f t="shared" si="39"/>
        <v/>
      </c>
      <c r="AJ215" s="303" t="str">
        <f t="shared" si="40"/>
        <v/>
      </c>
      <c r="AK215" s="139" t="str">
        <f t="shared" si="41"/>
        <v/>
      </c>
      <c r="AM215" s="319"/>
      <c r="AN215" s="40"/>
      <c r="AO215" s="1"/>
      <c r="AQ215" s="326"/>
    </row>
    <row r="216" spans="7:43" x14ac:dyDescent="0.25">
      <c r="G216" s="235" t="str">
        <f t="shared" si="26"/>
        <v>04.00</v>
      </c>
      <c r="H216" s="4" t="str">
        <f t="shared" si="27"/>
        <v>04.00.R</v>
      </c>
      <c r="I216" s="11" t="str">
        <f t="shared" si="28"/>
        <v>04.00.R.3</v>
      </c>
      <c r="K216" s="30">
        <v>41</v>
      </c>
      <c r="L216" s="29">
        <f t="shared" si="42"/>
        <v>-24458.557807404541</v>
      </c>
      <c r="M216" s="28" t="str">
        <f t="shared" si="29"/>
        <v/>
      </c>
      <c r="N216" s="27" t="str">
        <f t="shared" si="43"/>
        <v/>
      </c>
      <c r="O216" s="26">
        <f>IF(AND($Q215=$O$38,IFERROR(LARGE($V$176:$V215,1)&lt;$N$42,TRUE)),1,IF(AND(ISNUMBER($O215),$O215&lt;$N$32),$O215+1,""))</f>
        <v>3</v>
      </c>
      <c r="P216" s="26" t="str">
        <f t="shared" si="44"/>
        <v/>
      </c>
      <c r="Q216" s="26" t="str">
        <f t="shared" si="30"/>
        <v/>
      </c>
      <c r="R216" s="24" t="str">
        <f t="shared" si="45"/>
        <v/>
      </c>
      <c r="S216" s="180">
        <f t="shared" si="46"/>
        <v>4</v>
      </c>
      <c r="T216" s="151"/>
      <c r="U216" s="25" t="str">
        <f t="shared" si="31"/>
        <v/>
      </c>
      <c r="V216" s="24" t="str">
        <f>IF(AND(ISNUMBER(R215),ISNUMBER(R216)),V215,IF(AND(R215="",ISNUMBER(R216)),IFERROR(LARGE($V$176:$V215,1)+1,0),""))</f>
        <v/>
      </c>
      <c r="W216" s="23" t="str">
        <f t="shared" si="32"/>
        <v/>
      </c>
      <c r="X216" s="22" t="str">
        <f t="shared" si="33"/>
        <v/>
      </c>
      <c r="Y216" s="22"/>
      <c r="Z216" s="22"/>
      <c r="AA216" s="22"/>
      <c r="AB216" s="22" t="str" cm="1">
        <f t="array" ref="AB216">IF(IF(AND($P215="",$P216=1),($N$37*-1),0)+IF(AND($Q215="",$Q216=1),($N$38*-1),0)+IF(IF(($K216-$N$48)&lt;1,0,IF(IF(INDEX($AD$176:$AD$905,($K216-$N$48))="",0,INDEX($AD$176:$AD$905,($K216-$N$48)))&gt;0,IF(INDEX($AD$176:$AD$905,($K216-$N$48))="",0,INDEX($AD$176:$AD$905,($K216-$N$48))),0))="",0,IF(($K216-$N$48)&lt;1,0,IF(IF(INDEX($AD$176:$AD$905,($K216-$N$48))="",0,INDEX($AD$176:$AD$905,($K216-$N$48)))&gt;0,IF(INDEX($AD$176:$AD$905,($K216-$N$48))="",0,INDEX($AD$176:$AD$905,($K216-$N$48))),0)))=0,"",IF(AND($P215="",$P216=1),($N$37*-1),0)+IF(AND($Q215="",$Q216=1),($N$38*-1),0)+IF(IF(($K216-$N$48)&lt;1,0,IF(IF(INDEX($AD$176:$AD$905,($K216-$N$48))="",0,INDEX($AD$176:$AD$905,($K216-$N$48)))&gt;0,IF(INDEX($AD$176:$AD$905,($K216-$N$48))="",0,INDEX($AD$176:$AD$905,($K216-$N$48))),0))="",0,IF(($K216-$N$48)&lt;1,0,IF(IF(INDEX($AD$176:$AD$905,($K216-$N$48))="",0,INDEX($AD$176:$AD$905,($K216-$N$48)))&gt;0,IF(INDEX($AD$176:$AD$905,($K216-$N$48))="",0,INDEX($AD$176:$AD$905,($K216-$N$48))),0))))</f>
        <v/>
      </c>
      <c r="AC216" s="22" t="str">
        <f t="shared" si="34"/>
        <v/>
      </c>
      <c r="AD216" s="22" t="str">
        <f t="shared" si="47"/>
        <v/>
      </c>
      <c r="AE216" s="22" t="str" cm="1">
        <f t="array" ref="AE216">IF(($K216-$N$48)&lt;1,"",IF((IF(INDEX($AC$176:$AC$905,($K216-$N$48))="",0,INDEX($AC$176:$AC$905,($K216-$N$48))))=0,"",(IF(INDEX($AC$176:$AC$905,($K216-$N$48))="",0,INDEX($AC$176:$AC$905,($K216-$N$48))))))</f>
        <v/>
      </c>
      <c r="AF216" s="31" t="str">
        <f t="shared" si="36"/>
        <v/>
      </c>
      <c r="AG216" s="31" t="str">
        <f t="shared" si="37"/>
        <v/>
      </c>
      <c r="AH216" s="31" t="str">
        <f t="shared" si="38"/>
        <v/>
      </c>
      <c r="AI216" s="31" t="str">
        <f t="shared" si="39"/>
        <v/>
      </c>
      <c r="AJ216" s="303" t="str">
        <f t="shared" si="40"/>
        <v/>
      </c>
      <c r="AK216" s="139" t="str">
        <f t="shared" si="41"/>
        <v/>
      </c>
      <c r="AM216" s="319"/>
      <c r="AN216" s="40"/>
      <c r="AO216" s="1"/>
      <c r="AQ216" s="326"/>
    </row>
    <row r="217" spans="7:43" x14ac:dyDescent="0.25">
      <c r="G217" s="235" t="str">
        <f t="shared" si="26"/>
        <v>04.00</v>
      </c>
      <c r="H217" s="4" t="str">
        <f t="shared" si="27"/>
        <v>04.00.O</v>
      </c>
      <c r="I217" s="11" t="str">
        <f t="shared" si="28"/>
        <v>04.00.O.1</v>
      </c>
      <c r="K217" s="30">
        <v>42</v>
      </c>
      <c r="L217" s="29">
        <f t="shared" si="42"/>
        <v>-24658.557807404541</v>
      </c>
      <c r="M217" s="28">
        <f t="shared" si="29"/>
        <v>-200</v>
      </c>
      <c r="N217" s="27" t="str">
        <f t="shared" si="43"/>
        <v/>
      </c>
      <c r="O217" s="26" t="str">
        <f>IF(AND($Q216=$O$38,IFERROR(LARGE($V$176:$V216,1)&lt;$N$42,TRUE)),1,IF(AND(ISNUMBER($O216),$O216&lt;$N$32),$O216+1,""))</f>
        <v/>
      </c>
      <c r="P217" s="26">
        <f t="shared" si="44"/>
        <v>1</v>
      </c>
      <c r="Q217" s="26" t="str">
        <f t="shared" si="30"/>
        <v/>
      </c>
      <c r="R217" s="24" t="str">
        <f t="shared" si="45"/>
        <v/>
      </c>
      <c r="S217" s="180">
        <f t="shared" si="46"/>
        <v>4</v>
      </c>
      <c r="T217" s="151"/>
      <c r="U217" s="25" t="str">
        <f t="shared" si="31"/>
        <v/>
      </c>
      <c r="V217" s="24" t="str">
        <f>IF(AND(ISNUMBER(R216),ISNUMBER(R217)),V216,IF(AND(R216="",ISNUMBER(R217)),IFERROR(LARGE($V$176:$V216,1)+1,0),""))</f>
        <v/>
      </c>
      <c r="W217" s="23" t="str">
        <f t="shared" si="32"/>
        <v/>
      </c>
      <c r="X217" s="22" t="str">
        <f t="shared" si="33"/>
        <v/>
      </c>
      <c r="Y217" s="22"/>
      <c r="Z217" s="22"/>
      <c r="AA217" s="22"/>
      <c r="AB217" s="22" cm="1">
        <f t="array" ref="AB217">IF(IF(AND($P216="",$P217=1),($N$37*-1),0)+IF(AND($Q216="",$Q217=1),($N$38*-1),0)+IF(IF(($K217-$N$48)&lt;1,0,IF(IF(INDEX($AD$176:$AD$905,($K217-$N$48))="",0,INDEX($AD$176:$AD$905,($K217-$N$48)))&gt;0,IF(INDEX($AD$176:$AD$905,($K217-$N$48))="",0,INDEX($AD$176:$AD$905,($K217-$N$48))),0))="",0,IF(($K217-$N$48)&lt;1,0,IF(IF(INDEX($AD$176:$AD$905,($K217-$N$48))="",0,INDEX($AD$176:$AD$905,($K217-$N$48)))&gt;0,IF(INDEX($AD$176:$AD$905,($K217-$N$48))="",0,INDEX($AD$176:$AD$905,($K217-$N$48))),0)))=0,"",IF(AND($P216="",$P217=1),($N$37*-1),0)+IF(AND($Q216="",$Q217=1),($N$38*-1),0)+IF(IF(($K217-$N$48)&lt;1,0,IF(IF(INDEX($AD$176:$AD$905,($K217-$N$48))="",0,INDEX($AD$176:$AD$905,($K217-$N$48)))&gt;0,IF(INDEX($AD$176:$AD$905,($K217-$N$48))="",0,INDEX($AD$176:$AD$905,($K217-$N$48))),0))="",0,IF(($K217-$N$48)&lt;1,0,IF(IF(INDEX($AD$176:$AD$905,($K217-$N$48))="",0,INDEX($AD$176:$AD$905,($K217-$N$48)))&gt;0,IF(INDEX($AD$176:$AD$905,($K217-$N$48))="",0,INDEX($AD$176:$AD$905,($K217-$N$48))),0))))</f>
        <v>-200</v>
      </c>
      <c r="AC217" s="22" t="str">
        <f t="shared" si="34"/>
        <v/>
      </c>
      <c r="AD217" s="22" t="str">
        <f t="shared" si="47"/>
        <v/>
      </c>
      <c r="AE217" s="22" t="str" cm="1">
        <f t="array" ref="AE217">IF(($K217-$N$48)&lt;1,"",IF((IF(INDEX($AC$176:$AC$905,($K217-$N$48))="",0,INDEX($AC$176:$AC$905,($K217-$N$48))))=0,"",(IF(INDEX($AC$176:$AC$905,($K217-$N$48))="",0,INDEX($AC$176:$AC$905,($K217-$N$48))))))</f>
        <v/>
      </c>
      <c r="AF217" s="31" t="str">
        <f t="shared" si="36"/>
        <v/>
      </c>
      <c r="AG217" s="31" t="str">
        <f t="shared" si="37"/>
        <v/>
      </c>
      <c r="AH217" s="31" t="str">
        <f t="shared" si="38"/>
        <v/>
      </c>
      <c r="AI217" s="31" t="str">
        <f t="shared" si="39"/>
        <v/>
      </c>
      <c r="AJ217" s="303" t="str">
        <f t="shared" si="40"/>
        <v/>
      </c>
      <c r="AK217" s="139" t="str">
        <f t="shared" si="41"/>
        <v/>
      </c>
      <c r="AM217" s="319"/>
      <c r="AN217" s="40"/>
      <c r="AO217" s="1"/>
      <c r="AQ217" s="326"/>
    </row>
    <row r="218" spans="7:43" x14ac:dyDescent="0.25">
      <c r="G218" s="235" t="str">
        <f t="shared" si="26"/>
        <v>04.00</v>
      </c>
      <c r="H218" s="4" t="str">
        <f t="shared" si="27"/>
        <v>04.00.O</v>
      </c>
      <c r="I218" s="11" t="str">
        <f t="shared" si="28"/>
        <v>04.00.O.2</v>
      </c>
      <c r="K218" s="30">
        <v>43</v>
      </c>
      <c r="L218" s="29">
        <f t="shared" si="42"/>
        <v>-24658.557807404541</v>
      </c>
      <c r="M218" s="28" t="str">
        <f t="shared" si="29"/>
        <v/>
      </c>
      <c r="N218" s="27" t="str">
        <f t="shared" si="43"/>
        <v/>
      </c>
      <c r="O218" s="26" t="str">
        <f>IF(AND($Q217=$O$38,IFERROR(LARGE($V$176:$V217,1)&lt;$N$42,TRUE)),1,IF(AND(ISNUMBER($O217),$O217&lt;$N$32),$O217+1,""))</f>
        <v/>
      </c>
      <c r="P218" s="26">
        <f t="shared" si="44"/>
        <v>2</v>
      </c>
      <c r="Q218" s="26" t="str">
        <f t="shared" si="30"/>
        <v/>
      </c>
      <c r="R218" s="24" t="str">
        <f t="shared" si="45"/>
        <v/>
      </c>
      <c r="S218" s="180">
        <f>IF($Q218=1,ROUNDDOWN($S217,0)+1,IF($R218=1,$S217+0.01,IF(ISNUMBER($U218),IF(AND($U218&gt;1,($U218-$U217)=1),$S217+0.01,$S217),$S217)))</f>
        <v>4</v>
      </c>
      <c r="T218" s="151"/>
      <c r="U218" s="25" t="str">
        <f t="shared" si="31"/>
        <v/>
      </c>
      <c r="V218" s="24" t="str">
        <f>IF(AND(ISNUMBER(R217),ISNUMBER(R218)),V217,IF(AND(R217="",ISNUMBER(R218)),IFERROR(LARGE($V$176:$V217,1)+1,0),""))</f>
        <v/>
      </c>
      <c r="W218" s="23" t="str">
        <f t="shared" si="32"/>
        <v/>
      </c>
      <c r="X218" s="22" t="str">
        <f t="shared" si="33"/>
        <v/>
      </c>
      <c r="Y218" s="22"/>
      <c r="Z218" s="22"/>
      <c r="AA218" s="22"/>
      <c r="AB218" s="22" t="str" cm="1">
        <f t="array" ref="AB218">IF(IF(AND($P217="",$P218=1),($N$37*-1),0)+IF(AND($Q217="",$Q218=1),($N$38*-1),0)+IF(IF(($K218-$N$48)&lt;1,0,IF(IF(INDEX($AD$176:$AD$905,($K218-$N$48))="",0,INDEX($AD$176:$AD$905,($K218-$N$48)))&gt;0,IF(INDEX($AD$176:$AD$905,($K218-$N$48))="",0,INDEX($AD$176:$AD$905,($K218-$N$48))),0))="",0,IF(($K218-$N$48)&lt;1,0,IF(IF(INDEX($AD$176:$AD$905,($K218-$N$48))="",0,INDEX($AD$176:$AD$905,($K218-$N$48)))&gt;0,IF(INDEX($AD$176:$AD$905,($K218-$N$48))="",0,INDEX($AD$176:$AD$905,($K218-$N$48))),0)))=0,"",IF(AND($P217="",$P218=1),($N$37*-1),0)+IF(AND($Q217="",$Q218=1),($N$38*-1),0)+IF(IF(($K218-$N$48)&lt;1,0,IF(IF(INDEX($AD$176:$AD$905,($K218-$N$48))="",0,INDEX($AD$176:$AD$905,($K218-$N$48)))&gt;0,IF(INDEX($AD$176:$AD$905,($K218-$N$48))="",0,INDEX($AD$176:$AD$905,($K218-$N$48))),0))="",0,IF(($K218-$N$48)&lt;1,0,IF(IF(INDEX($AD$176:$AD$905,($K218-$N$48))="",0,INDEX($AD$176:$AD$905,($K218-$N$48)))&gt;0,IF(INDEX($AD$176:$AD$905,($K218-$N$48))="",0,INDEX($AD$176:$AD$905,($K218-$N$48))),0))))</f>
        <v/>
      </c>
      <c r="AC218" s="22" t="str">
        <f t="shared" si="34"/>
        <v/>
      </c>
      <c r="AD218" s="22" t="str">
        <f t="shared" si="47"/>
        <v/>
      </c>
      <c r="AE218" s="22" t="str" cm="1">
        <f t="array" ref="AE218">IF(($K218-$N$48)&lt;1,"",IF((IF(INDEX($AC$176:$AC$905,($K218-$N$48))="",0,INDEX($AC$176:$AC$905,($K218-$N$48))))=0,"",(IF(INDEX($AC$176:$AC$905,($K218-$N$48))="",0,INDEX($AC$176:$AC$905,($K218-$N$48))))))</f>
        <v/>
      </c>
      <c r="AF218" s="31" t="str">
        <f t="shared" si="36"/>
        <v/>
      </c>
      <c r="AG218" s="31" t="str">
        <f t="shared" si="37"/>
        <v/>
      </c>
      <c r="AH218" s="31" t="str">
        <f t="shared" si="38"/>
        <v/>
      </c>
      <c r="AI218" s="31" t="str">
        <f t="shared" si="39"/>
        <v/>
      </c>
      <c r="AJ218" s="303" t="str">
        <f t="shared" si="40"/>
        <v/>
      </c>
      <c r="AK218" s="139" t="str">
        <f t="shared" si="41"/>
        <v/>
      </c>
      <c r="AM218" s="319"/>
      <c r="AN218" s="40"/>
      <c r="AO218" s="1"/>
      <c r="AQ218" s="326"/>
    </row>
    <row r="219" spans="7:43" x14ac:dyDescent="0.25">
      <c r="G219" s="235" t="str">
        <f t="shared" si="26"/>
        <v>04.01</v>
      </c>
      <c r="H219" s="4" t="str">
        <f t="shared" si="27"/>
        <v>04.01.D</v>
      </c>
      <c r="I219" s="11" t="str">
        <f t="shared" si="28"/>
        <v>04.01.D.1</v>
      </c>
      <c r="K219" s="30">
        <v>44</v>
      </c>
      <c r="L219" s="29">
        <f t="shared" si="42"/>
        <v>-24658.557807404541</v>
      </c>
      <c r="M219" s="28" t="str">
        <f t="shared" si="29"/>
        <v/>
      </c>
      <c r="N219" s="27" t="str">
        <f t="shared" si="43"/>
        <v/>
      </c>
      <c r="O219" s="26" t="str">
        <f>IF(AND($Q218=$O$38,IFERROR(LARGE($V$176:$V218,1)&lt;$N$42,TRUE)),1,IF(AND(ISNUMBER($O218),$O218&lt;$N$32),$O218+1,""))</f>
        <v/>
      </c>
      <c r="P219" s="26" t="str">
        <f t="shared" si="44"/>
        <v/>
      </c>
      <c r="Q219" s="26" t="str">
        <f t="shared" si="30"/>
        <v/>
      </c>
      <c r="R219" s="24">
        <f t="shared" si="45"/>
        <v>1</v>
      </c>
      <c r="S219" s="180">
        <f t="shared" ref="S219:S282" si="48">IF($Q219=1,ROUNDDOWN($S218,0)+1,IF($R219=1,$S218+0.01,IF(ISNUMBER($U219),IF(AND($U219&gt;1,($U219-$U218)=1),$S218+0.01,$S218),$S218)))</f>
        <v>4.01</v>
      </c>
      <c r="T219" s="151"/>
      <c r="U219" s="25">
        <f t="shared" si="31"/>
        <v>1</v>
      </c>
      <c r="V219" s="24">
        <f>IF(AND(ISNUMBER(R218),ISNUMBER(R219)),V218,IF(AND(R218="",ISNUMBER(R219)),IFERROR(LARGE($V$176:$V218,1)+1,0),""))</f>
        <v>4</v>
      </c>
      <c r="W219" s="23" t="str">
        <f t="shared" si="32"/>
        <v/>
      </c>
      <c r="X219" s="22" t="str">
        <f t="shared" si="33"/>
        <v/>
      </c>
      <c r="Y219" s="22"/>
      <c r="Z219" s="22"/>
      <c r="AA219" s="22"/>
      <c r="AB219" s="22" t="str" cm="1">
        <f t="array" ref="AB219">IF(IF(AND($P218="",$P219=1),($N$37*-1),0)+IF(AND($Q218="",$Q219=1),($N$38*-1),0)+IF(IF(($K219-$N$48)&lt;1,0,IF(IF(INDEX($AD$176:$AD$905,($K219-$N$48))="",0,INDEX($AD$176:$AD$905,($K219-$N$48)))&gt;0,IF(INDEX($AD$176:$AD$905,($K219-$N$48))="",0,INDEX($AD$176:$AD$905,($K219-$N$48))),0))="",0,IF(($K219-$N$48)&lt;1,0,IF(IF(INDEX($AD$176:$AD$905,($K219-$N$48))="",0,INDEX($AD$176:$AD$905,($K219-$N$48)))&gt;0,IF(INDEX($AD$176:$AD$905,($K219-$N$48))="",0,INDEX($AD$176:$AD$905,($K219-$N$48))),0)))=0,"",IF(AND($P218="",$P219=1),($N$37*-1),0)+IF(AND($Q218="",$Q219=1),($N$38*-1),0)+IF(IF(($K219-$N$48)&lt;1,0,IF(IF(INDEX($AD$176:$AD$905,($K219-$N$48))="",0,INDEX($AD$176:$AD$905,($K219-$N$48)))&gt;0,IF(INDEX($AD$176:$AD$905,($K219-$N$48))="",0,INDEX($AD$176:$AD$905,($K219-$N$48))),0))="",0,IF(($K219-$N$48)&lt;1,0,IF(IF(INDEX($AD$176:$AD$905,($K219-$N$48))="",0,INDEX($AD$176:$AD$905,($K219-$N$48)))&gt;0,IF(INDEX($AD$176:$AD$905,($K219-$N$48))="",0,INDEX($AD$176:$AD$905,($K219-$N$48))),0))))</f>
        <v/>
      </c>
      <c r="AC219" s="22" t="str">
        <f t="shared" si="34"/>
        <v/>
      </c>
      <c r="AD219" s="22" t="str">
        <f t="shared" si="47"/>
        <v/>
      </c>
      <c r="AE219" s="22" t="str" cm="1">
        <f t="array" ref="AE219">IF(($K219-$N$48)&lt;1,"",IF((IF(INDEX($AC$176:$AC$905,($K219-$N$48))="",0,INDEX($AC$176:$AC$905,($K219-$N$48))))=0,"",(IF(INDEX($AC$176:$AC$905,($K219-$N$48))="",0,INDEX($AC$176:$AC$905,($K219-$N$48))))))</f>
        <v/>
      </c>
      <c r="AF219" s="31" t="str">
        <f t="shared" si="36"/>
        <v/>
      </c>
      <c r="AG219" s="31" t="str">
        <f t="shared" si="37"/>
        <v/>
      </c>
      <c r="AH219" s="31" t="str">
        <f t="shared" si="38"/>
        <v/>
      </c>
      <c r="AI219" s="31" t="str">
        <f t="shared" si="39"/>
        <v/>
      </c>
      <c r="AJ219" s="303" t="str">
        <f t="shared" si="40"/>
        <v/>
      </c>
      <c r="AK219" s="139" t="str">
        <f t="shared" si="41"/>
        <v/>
      </c>
      <c r="AM219" s="319"/>
      <c r="AN219" s="40"/>
      <c r="AO219" s="1"/>
      <c r="AQ219" s="326"/>
    </row>
    <row r="220" spans="7:43" x14ac:dyDescent="0.25">
      <c r="G220" s="235" t="str">
        <f t="shared" si="26"/>
        <v>04.01</v>
      </c>
      <c r="H220" s="4" t="str">
        <f t="shared" si="27"/>
        <v>04.01.D</v>
      </c>
      <c r="I220" s="11" t="str">
        <f t="shared" si="28"/>
        <v>04.01.D.2</v>
      </c>
      <c r="K220" s="30">
        <v>45</v>
      </c>
      <c r="L220" s="29">
        <f t="shared" si="42"/>
        <v>-24658.557807404541</v>
      </c>
      <c r="M220" s="28" t="str">
        <f t="shared" si="29"/>
        <v/>
      </c>
      <c r="N220" s="27" t="str">
        <f t="shared" si="43"/>
        <v/>
      </c>
      <c r="O220" s="26" t="str">
        <f>IF(AND($Q219=$O$38,IFERROR(LARGE($V$176:$V219,1)&lt;$N$42,TRUE)),1,IF(AND(ISNUMBER($O219),$O219&lt;$N$32),$O219+1,""))</f>
        <v/>
      </c>
      <c r="P220" s="26" t="str">
        <f t="shared" si="44"/>
        <v/>
      </c>
      <c r="Q220" s="26" t="str">
        <f t="shared" si="30"/>
        <v/>
      </c>
      <c r="R220" s="24">
        <f t="shared" si="45"/>
        <v>2</v>
      </c>
      <c r="S220" s="180">
        <f t="shared" si="48"/>
        <v>4.01</v>
      </c>
      <c r="T220" s="151"/>
      <c r="U220" s="25">
        <f t="shared" si="31"/>
        <v>1</v>
      </c>
      <c r="V220" s="24">
        <f>IF(AND(ISNUMBER(R219),ISNUMBER(R220)),V219,IF(AND(R219="",ISNUMBER(R220)),IFERROR(LARGE($V$176:$V219,1)+1,0),""))</f>
        <v>4</v>
      </c>
      <c r="W220" s="23" t="str">
        <f t="shared" si="32"/>
        <v/>
      </c>
      <c r="X220" s="22" t="str">
        <f t="shared" si="33"/>
        <v/>
      </c>
      <c r="Y220" s="22"/>
      <c r="Z220" s="22"/>
      <c r="AA220" s="22"/>
      <c r="AB220" s="22" t="str" cm="1">
        <f t="array" ref="AB220">IF(IF(AND($P219="",$P220=1),($N$37*-1),0)+IF(AND($Q219="",$Q220=1),($N$38*-1),0)+IF(IF(($K220-$N$48)&lt;1,0,IF(IF(INDEX($AD$176:$AD$905,($K220-$N$48))="",0,INDEX($AD$176:$AD$905,($K220-$N$48)))&gt;0,IF(INDEX($AD$176:$AD$905,($K220-$N$48))="",0,INDEX($AD$176:$AD$905,($K220-$N$48))),0))="",0,IF(($K220-$N$48)&lt;1,0,IF(IF(INDEX($AD$176:$AD$905,($K220-$N$48))="",0,INDEX($AD$176:$AD$905,($K220-$N$48)))&gt;0,IF(INDEX($AD$176:$AD$905,($K220-$N$48))="",0,INDEX($AD$176:$AD$905,($K220-$N$48))),0)))=0,"",IF(AND($P219="",$P220=1),($N$37*-1),0)+IF(AND($Q219="",$Q220=1),($N$38*-1),0)+IF(IF(($K220-$N$48)&lt;1,0,IF(IF(INDEX($AD$176:$AD$905,($K220-$N$48))="",0,INDEX($AD$176:$AD$905,($K220-$N$48)))&gt;0,IF(INDEX($AD$176:$AD$905,($K220-$N$48))="",0,INDEX($AD$176:$AD$905,($K220-$N$48))),0))="",0,IF(($K220-$N$48)&lt;1,0,IF(IF(INDEX($AD$176:$AD$905,($K220-$N$48))="",0,INDEX($AD$176:$AD$905,($K220-$N$48)))&gt;0,IF(INDEX($AD$176:$AD$905,($K220-$N$48))="",0,INDEX($AD$176:$AD$905,($K220-$N$48))),0))))</f>
        <v/>
      </c>
      <c r="AC220" s="22">
        <f t="shared" si="34"/>
        <v>5500</v>
      </c>
      <c r="AD220" s="22">
        <f t="shared" si="47"/>
        <v>525</v>
      </c>
      <c r="AE220" s="22" t="str" cm="1">
        <f t="array" ref="AE220">IF(($K220-$N$48)&lt;1,"",IF((IF(INDEX($AC$176:$AC$905,($K220-$N$48))="",0,INDEX($AC$176:$AC$905,($K220-$N$48))))=0,"",(IF(INDEX($AC$176:$AC$905,($K220-$N$48))="",0,INDEX($AC$176:$AC$905,($K220-$N$48))))))</f>
        <v/>
      </c>
      <c r="AF220" s="31" t="str">
        <f t="shared" si="36"/>
        <v/>
      </c>
      <c r="AG220" s="31" t="str">
        <f t="shared" si="37"/>
        <v/>
      </c>
      <c r="AH220" s="31" t="str">
        <f t="shared" si="38"/>
        <v/>
      </c>
      <c r="AI220" s="31" t="str">
        <f t="shared" si="39"/>
        <v/>
      </c>
      <c r="AJ220" s="303" t="str">
        <f t="shared" si="40"/>
        <v/>
      </c>
      <c r="AK220" s="139" t="str">
        <f t="shared" si="41"/>
        <v/>
      </c>
      <c r="AM220" s="319"/>
      <c r="AN220" s="40"/>
      <c r="AO220" s="1"/>
    </row>
    <row r="221" spans="7:43" x14ac:dyDescent="0.25">
      <c r="G221" s="235" t="str">
        <f t="shared" si="26"/>
        <v>05.00</v>
      </c>
      <c r="H221" s="4" t="str">
        <f t="shared" si="27"/>
        <v>05.00.I</v>
      </c>
      <c r="I221" s="11" t="str">
        <f t="shared" si="28"/>
        <v>05.00.I.1</v>
      </c>
      <c r="K221" s="30">
        <v>46</v>
      </c>
      <c r="L221" s="29">
        <f t="shared" si="42"/>
        <v>-24858.557807404541</v>
      </c>
      <c r="M221" s="28">
        <f t="shared" si="29"/>
        <v>-200</v>
      </c>
      <c r="N221" s="27" t="str">
        <f t="shared" si="43"/>
        <v/>
      </c>
      <c r="O221" s="26" t="str">
        <f>IF(AND($Q220=$O$38,IFERROR(LARGE($V$176:$V220,1)&lt;$N$42,TRUE)),1,IF(AND(ISNUMBER($O220),$O220&lt;$N$32),$O220+1,""))</f>
        <v/>
      </c>
      <c r="P221" s="26" t="str">
        <f t="shared" si="44"/>
        <v/>
      </c>
      <c r="Q221" s="26">
        <f t="shared" si="30"/>
        <v>1</v>
      </c>
      <c r="R221" s="24" t="str">
        <f t="shared" si="45"/>
        <v/>
      </c>
      <c r="S221" s="180">
        <f t="shared" si="48"/>
        <v>5</v>
      </c>
      <c r="T221" s="151"/>
      <c r="U221" s="25" t="str">
        <f t="shared" si="31"/>
        <v/>
      </c>
      <c r="V221" s="24" t="str">
        <f>IF(AND(ISNUMBER(R220),ISNUMBER(R221)),V220,IF(AND(R220="",ISNUMBER(R221)),IFERROR(LARGE($V$176:$V220,1)+1,0),""))</f>
        <v/>
      </c>
      <c r="W221" s="23" t="str">
        <f t="shared" si="32"/>
        <v/>
      </c>
      <c r="X221" s="22" t="str">
        <f t="shared" si="33"/>
        <v/>
      </c>
      <c r="Y221" s="22"/>
      <c r="Z221" s="22"/>
      <c r="AA221" s="22"/>
      <c r="AB221" s="22" cm="1">
        <f t="array" ref="AB221">IF(IF(AND($P220="",$P221=1),($N$37*-1),0)+IF(AND($Q220="",$Q221=1),($N$38*-1),0)+IF(IF(($K221-$N$48)&lt;1,0,IF(IF(INDEX($AD$176:$AD$905,($K221-$N$48))="",0,INDEX($AD$176:$AD$905,($K221-$N$48)))&gt;0,IF(INDEX($AD$176:$AD$905,($K221-$N$48))="",0,INDEX($AD$176:$AD$905,($K221-$N$48))),0))="",0,IF(($K221-$N$48)&lt;1,0,IF(IF(INDEX($AD$176:$AD$905,($K221-$N$48))="",0,INDEX($AD$176:$AD$905,($K221-$N$48)))&gt;0,IF(INDEX($AD$176:$AD$905,($K221-$N$48))="",0,INDEX($AD$176:$AD$905,($K221-$N$48))),0)))=0,"",IF(AND($P220="",$P221=1),($N$37*-1),0)+IF(AND($Q220="",$Q221=1),($N$38*-1),0)+IF(IF(($K221-$N$48)&lt;1,0,IF(IF(INDEX($AD$176:$AD$905,($K221-$N$48))="",0,INDEX($AD$176:$AD$905,($K221-$N$48)))&gt;0,IF(INDEX($AD$176:$AD$905,($K221-$N$48))="",0,INDEX($AD$176:$AD$905,($K221-$N$48))),0))="",0,IF(($K221-$N$48)&lt;1,0,IF(IF(INDEX($AD$176:$AD$905,($K221-$N$48))="",0,INDEX($AD$176:$AD$905,($K221-$N$48)))&gt;0,IF(INDEX($AD$176:$AD$905,($K221-$N$48))="",0,INDEX($AD$176:$AD$905,($K221-$N$48))),0))))</f>
        <v>-200</v>
      </c>
      <c r="AC221" s="22" t="str">
        <f t="shared" si="34"/>
        <v/>
      </c>
      <c r="AD221" s="22" t="str">
        <f t="shared" si="47"/>
        <v/>
      </c>
      <c r="AE221" s="22" t="str" cm="1">
        <f t="array" ref="AE221">IF(($K221-$N$48)&lt;1,"",IF((IF(INDEX($AC$176:$AC$905,($K221-$N$48))="",0,INDEX($AC$176:$AC$905,($K221-$N$48))))=0,"",(IF(INDEX($AC$176:$AC$905,($K221-$N$48))="",0,INDEX($AC$176:$AC$905,($K221-$N$48))))))</f>
        <v/>
      </c>
      <c r="AF221" s="31" t="str">
        <f t="shared" si="36"/>
        <v/>
      </c>
      <c r="AG221" s="31" t="str">
        <f t="shared" si="37"/>
        <v/>
      </c>
      <c r="AH221" s="31" t="str">
        <f t="shared" si="38"/>
        <v/>
      </c>
      <c r="AI221" s="31" t="str">
        <f t="shared" si="39"/>
        <v/>
      </c>
      <c r="AJ221" s="303" t="str">
        <f t="shared" si="40"/>
        <v/>
      </c>
      <c r="AK221" s="139" t="str">
        <f t="shared" si="41"/>
        <v/>
      </c>
      <c r="AM221" s="319"/>
      <c r="AN221" s="40"/>
      <c r="AO221" s="1"/>
    </row>
    <row r="222" spans="7:43" x14ac:dyDescent="0.25">
      <c r="G222" s="235" t="str">
        <f t="shared" si="26"/>
        <v>05.00</v>
      </c>
      <c r="H222" s="4" t="str">
        <f t="shared" si="27"/>
        <v>05.00.I</v>
      </c>
      <c r="I222" s="11" t="str">
        <f t="shared" si="28"/>
        <v>05.00.I.2</v>
      </c>
      <c r="K222" s="30">
        <v>47</v>
      </c>
      <c r="L222" s="29">
        <f t="shared" si="42"/>
        <v>-24858.557807404541</v>
      </c>
      <c r="M222" s="28" t="str">
        <f t="shared" si="29"/>
        <v/>
      </c>
      <c r="N222" s="27" t="str">
        <f t="shared" si="43"/>
        <v/>
      </c>
      <c r="O222" s="26" t="str">
        <f>IF(AND($Q221=$O$38,IFERROR(LARGE($V$176:$V221,1)&lt;$N$42,TRUE)),1,IF(AND(ISNUMBER($O221),$O221&lt;$N$32),$O221+1,""))</f>
        <v/>
      </c>
      <c r="P222" s="26" t="str">
        <f t="shared" si="44"/>
        <v/>
      </c>
      <c r="Q222" s="26">
        <f t="shared" si="30"/>
        <v>2</v>
      </c>
      <c r="R222" s="24" t="str">
        <f t="shared" si="45"/>
        <v/>
      </c>
      <c r="S222" s="180">
        <f t="shared" si="48"/>
        <v>5</v>
      </c>
      <c r="T222" s="151"/>
      <c r="U222" s="25" t="str">
        <f t="shared" si="31"/>
        <v/>
      </c>
      <c r="V222" s="24" t="str">
        <f>IF(AND(ISNUMBER(R221),ISNUMBER(R222)),V221,IF(AND(R221="",ISNUMBER(R222)),IFERROR(LARGE($V$176:$V221,1)+1,0),""))</f>
        <v/>
      </c>
      <c r="W222" s="23" t="str">
        <f t="shared" si="32"/>
        <v/>
      </c>
      <c r="X222" s="22" t="str">
        <f t="shared" si="33"/>
        <v/>
      </c>
      <c r="Y222" s="22"/>
      <c r="Z222" s="22"/>
      <c r="AA222" s="22"/>
      <c r="AB222" s="22" t="str" cm="1">
        <f t="array" ref="AB222">IF(IF(AND($P221="",$P222=1),($N$37*-1),0)+IF(AND($Q221="",$Q222=1),($N$38*-1),0)+IF(IF(($K222-$N$48)&lt;1,0,IF(IF(INDEX($AD$176:$AD$905,($K222-$N$48))="",0,INDEX($AD$176:$AD$905,($K222-$N$48)))&gt;0,IF(INDEX($AD$176:$AD$905,($K222-$N$48))="",0,INDEX($AD$176:$AD$905,($K222-$N$48))),0))="",0,IF(($K222-$N$48)&lt;1,0,IF(IF(INDEX($AD$176:$AD$905,($K222-$N$48))="",0,INDEX($AD$176:$AD$905,($K222-$N$48)))&gt;0,IF(INDEX($AD$176:$AD$905,($K222-$N$48))="",0,INDEX($AD$176:$AD$905,($K222-$N$48))),0)))=0,"",IF(AND($P221="",$P222=1),($N$37*-1),0)+IF(AND($Q221="",$Q222=1),($N$38*-1),0)+IF(IF(($K222-$N$48)&lt;1,0,IF(IF(INDEX($AD$176:$AD$905,($K222-$N$48))="",0,INDEX($AD$176:$AD$905,($K222-$N$48)))&gt;0,IF(INDEX($AD$176:$AD$905,($K222-$N$48))="",0,INDEX($AD$176:$AD$905,($K222-$N$48))),0))="",0,IF(($K222-$N$48)&lt;1,0,IF(IF(INDEX($AD$176:$AD$905,($K222-$N$48))="",0,INDEX($AD$176:$AD$905,($K222-$N$48)))&gt;0,IF(INDEX($AD$176:$AD$905,($K222-$N$48))="",0,INDEX($AD$176:$AD$905,($K222-$N$48))),0))))</f>
        <v/>
      </c>
      <c r="AC222" s="22" t="str">
        <f t="shared" si="34"/>
        <v/>
      </c>
      <c r="AD222" s="22" t="str">
        <f t="shared" si="47"/>
        <v/>
      </c>
      <c r="AE222" s="22" t="str" cm="1">
        <f t="array" ref="AE222">IF(($K222-$N$48)&lt;1,"",IF((IF(INDEX($AC$176:$AC$905,($K222-$N$48))="",0,INDEX($AC$176:$AC$905,($K222-$N$48))))=0,"",(IF(INDEX($AC$176:$AC$905,($K222-$N$48))="",0,INDEX($AC$176:$AC$905,($K222-$N$48))))))</f>
        <v/>
      </c>
      <c r="AF222" s="31" t="str">
        <f t="shared" si="36"/>
        <v/>
      </c>
      <c r="AG222" s="31" t="str">
        <f t="shared" si="37"/>
        <v/>
      </c>
      <c r="AH222" s="31" t="str">
        <f t="shared" si="38"/>
        <v/>
      </c>
      <c r="AI222" s="31" t="str">
        <f t="shared" si="39"/>
        <v/>
      </c>
      <c r="AJ222" s="303" t="str">
        <f t="shared" si="40"/>
        <v/>
      </c>
      <c r="AK222" s="139" t="str">
        <f t="shared" si="41"/>
        <v/>
      </c>
      <c r="AM222" s="319"/>
      <c r="AN222" s="40"/>
      <c r="AO222" s="1"/>
    </row>
    <row r="223" spans="7:43" x14ac:dyDescent="0.25">
      <c r="G223" s="235" t="str">
        <f t="shared" si="26"/>
        <v>05.00</v>
      </c>
      <c r="H223" s="4" t="str">
        <f t="shared" si="27"/>
        <v>05.00.R</v>
      </c>
      <c r="I223" s="11" t="str">
        <f t="shared" si="28"/>
        <v>05.00.R.1</v>
      </c>
      <c r="K223" s="30">
        <v>48</v>
      </c>
      <c r="L223" s="29">
        <f t="shared" si="42"/>
        <v>-27472.191261505675</v>
      </c>
      <c r="M223" s="28">
        <f t="shared" si="29"/>
        <v>-2613.6334541011352</v>
      </c>
      <c r="N223" s="27" t="str">
        <f t="shared" si="43"/>
        <v/>
      </c>
      <c r="O223" s="26">
        <f>IF(AND($Q222=$O$38,IFERROR(LARGE($V$176:$V222,1)&lt;$N$42,TRUE)),1,IF(AND(ISNUMBER($O222),$O222&lt;$N$32),$O222+1,""))</f>
        <v>1</v>
      </c>
      <c r="P223" s="26" t="str">
        <f t="shared" si="44"/>
        <v/>
      </c>
      <c r="Q223" s="26" t="str">
        <f t="shared" si="30"/>
        <v/>
      </c>
      <c r="R223" s="24" t="str">
        <f t="shared" si="45"/>
        <v/>
      </c>
      <c r="S223" s="180">
        <f t="shared" si="48"/>
        <v>5</v>
      </c>
      <c r="T223" s="151"/>
      <c r="U223" s="25" t="str">
        <f t="shared" si="31"/>
        <v/>
      </c>
      <c r="V223" s="24" t="str">
        <f>IF(AND(ISNUMBER(R222),ISNUMBER(R223)),V222,IF(AND(R222="",ISNUMBER(R223)),IFERROR(LARGE($V$176:$V222,1)+1,0),""))</f>
        <v/>
      </c>
      <c r="W223" s="23">
        <f t="shared" si="32"/>
        <v>-1018.3530285882483</v>
      </c>
      <c r="X223" s="22">
        <f t="shared" si="33"/>
        <v>-1595.2804255128869</v>
      </c>
      <c r="Y223" s="22"/>
      <c r="Z223" s="22"/>
      <c r="AA223" s="22"/>
      <c r="AB223" s="22" t="str" cm="1">
        <f t="array" ref="AB223">IF(IF(AND($P222="",$P223=1),($N$37*-1),0)+IF(AND($Q222="",$Q223=1),($N$38*-1),0)+IF(IF(($K223-$N$48)&lt;1,0,IF(IF(INDEX($AD$176:$AD$905,($K223-$N$48))="",0,INDEX($AD$176:$AD$905,($K223-$N$48)))&gt;0,IF(INDEX($AD$176:$AD$905,($K223-$N$48))="",0,INDEX($AD$176:$AD$905,($K223-$N$48))),0))="",0,IF(($K223-$N$48)&lt;1,0,IF(IF(INDEX($AD$176:$AD$905,($K223-$N$48))="",0,INDEX($AD$176:$AD$905,($K223-$N$48)))&gt;0,IF(INDEX($AD$176:$AD$905,($K223-$N$48))="",0,INDEX($AD$176:$AD$905,($K223-$N$48))),0)))=0,"",IF(AND($P222="",$P223=1),($N$37*-1),0)+IF(AND($Q222="",$Q223=1),($N$38*-1),0)+IF(IF(($K223-$N$48)&lt;1,0,IF(IF(INDEX($AD$176:$AD$905,($K223-$N$48))="",0,INDEX($AD$176:$AD$905,($K223-$N$48)))&gt;0,IF(INDEX($AD$176:$AD$905,($K223-$N$48))="",0,INDEX($AD$176:$AD$905,($K223-$N$48))),0))="",0,IF(($K223-$N$48)&lt;1,0,IF(IF(INDEX($AD$176:$AD$905,($K223-$N$48))="",0,INDEX($AD$176:$AD$905,($K223-$N$48)))&gt;0,IF(INDEX($AD$176:$AD$905,($K223-$N$48))="",0,INDEX($AD$176:$AD$905,($K223-$N$48))),0))))</f>
        <v/>
      </c>
      <c r="AC223" s="22" t="str">
        <f t="shared" si="34"/>
        <v/>
      </c>
      <c r="AD223" s="22" t="str">
        <f t="shared" si="47"/>
        <v/>
      </c>
      <c r="AE223" s="22" t="str" cm="1">
        <f t="array" ref="AE223">IF(($K223-$N$48)&lt;1,"",IF((IF(INDEX($AC$176:$AC$905,($K223-$N$48))="",0,INDEX($AC$176:$AC$905,($K223-$N$48))))=0,"",(IF(INDEX($AC$176:$AC$905,($K223-$N$48))="",0,INDEX($AC$176:$AC$905,($K223-$N$48))))))</f>
        <v/>
      </c>
      <c r="AF223" s="31" t="str">
        <f t="shared" si="36"/>
        <v/>
      </c>
      <c r="AG223" s="31" t="str">
        <f t="shared" si="37"/>
        <v/>
      </c>
      <c r="AH223" s="31" t="str">
        <f t="shared" si="38"/>
        <v/>
      </c>
      <c r="AI223" s="31" t="str">
        <f t="shared" si="39"/>
        <v/>
      </c>
      <c r="AJ223" s="303" t="str">
        <f t="shared" si="40"/>
        <v/>
      </c>
      <c r="AK223" s="139" t="str">
        <f t="shared" si="41"/>
        <v/>
      </c>
      <c r="AM223" s="319"/>
      <c r="AN223" s="40"/>
      <c r="AO223" s="1"/>
    </row>
    <row r="224" spans="7:43" x14ac:dyDescent="0.25">
      <c r="G224" s="235" t="str">
        <f t="shared" si="26"/>
        <v>05.00</v>
      </c>
      <c r="H224" s="4" t="str">
        <f t="shared" si="27"/>
        <v>05.00.R</v>
      </c>
      <c r="I224" s="11" t="str">
        <f t="shared" si="28"/>
        <v>05.00.R.2</v>
      </c>
      <c r="K224" s="30">
        <v>49</v>
      </c>
      <c r="L224" s="29">
        <f t="shared" si="42"/>
        <v>-27472.191261505675</v>
      </c>
      <c r="M224" s="28" t="str">
        <f t="shared" si="29"/>
        <v/>
      </c>
      <c r="N224" s="27" t="str">
        <f t="shared" si="43"/>
        <v/>
      </c>
      <c r="O224" s="26">
        <f>IF(AND($Q223=$O$38,IFERROR(LARGE($V$176:$V223,1)&lt;$N$42,TRUE)),1,IF(AND(ISNUMBER($O223),$O223&lt;$N$32),$O223+1,""))</f>
        <v>2</v>
      </c>
      <c r="P224" s="26" t="str">
        <f t="shared" si="44"/>
        <v/>
      </c>
      <c r="Q224" s="26" t="str">
        <f t="shared" si="30"/>
        <v/>
      </c>
      <c r="R224" s="24" t="str">
        <f t="shared" si="45"/>
        <v/>
      </c>
      <c r="S224" s="180">
        <f t="shared" si="48"/>
        <v>5</v>
      </c>
      <c r="T224" s="151"/>
      <c r="U224" s="25" t="str">
        <f t="shared" si="31"/>
        <v/>
      </c>
      <c r="V224" s="24" t="str">
        <f>IF(AND(ISNUMBER(R223),ISNUMBER(R224)),V223,IF(AND(R223="",ISNUMBER(R224)),IFERROR(LARGE($V$176:$V223,1)+1,0),""))</f>
        <v/>
      </c>
      <c r="W224" s="23" t="str">
        <f t="shared" si="32"/>
        <v/>
      </c>
      <c r="X224" s="22" t="str">
        <f t="shared" si="33"/>
        <v/>
      </c>
      <c r="Y224" s="22"/>
      <c r="Z224" s="22"/>
      <c r="AA224" s="22"/>
      <c r="AB224" s="22" t="str" cm="1">
        <f t="array" ref="AB224">IF(IF(AND($P223="",$P224=1),($N$37*-1),0)+IF(AND($Q223="",$Q224=1),($N$38*-1),0)+IF(IF(($K224-$N$48)&lt;1,0,IF(IF(INDEX($AD$176:$AD$905,($K224-$N$48))="",0,INDEX($AD$176:$AD$905,($K224-$N$48)))&gt;0,IF(INDEX($AD$176:$AD$905,($K224-$N$48))="",0,INDEX($AD$176:$AD$905,($K224-$N$48))),0))="",0,IF(($K224-$N$48)&lt;1,0,IF(IF(INDEX($AD$176:$AD$905,($K224-$N$48))="",0,INDEX($AD$176:$AD$905,($K224-$N$48)))&gt;0,IF(INDEX($AD$176:$AD$905,($K224-$N$48))="",0,INDEX($AD$176:$AD$905,($K224-$N$48))),0)))=0,"",IF(AND($P223="",$P224=1),($N$37*-1),0)+IF(AND($Q223="",$Q224=1),($N$38*-1),0)+IF(IF(($K224-$N$48)&lt;1,0,IF(IF(INDEX($AD$176:$AD$905,($K224-$N$48))="",0,INDEX($AD$176:$AD$905,($K224-$N$48)))&gt;0,IF(INDEX($AD$176:$AD$905,($K224-$N$48))="",0,INDEX($AD$176:$AD$905,($K224-$N$48))),0))="",0,IF(($K224-$N$48)&lt;1,0,IF(IF(INDEX($AD$176:$AD$905,($K224-$N$48))="",0,INDEX($AD$176:$AD$905,($K224-$N$48)))&gt;0,IF(INDEX($AD$176:$AD$905,($K224-$N$48))="",0,INDEX($AD$176:$AD$905,($K224-$N$48))),0))))</f>
        <v/>
      </c>
      <c r="AC224" s="22" t="str">
        <f t="shared" si="34"/>
        <v/>
      </c>
      <c r="AD224" s="22" t="str">
        <f t="shared" si="47"/>
        <v/>
      </c>
      <c r="AE224" s="22" t="str" cm="1">
        <f t="array" ref="AE224">IF(($K224-$N$48)&lt;1,"",IF((IF(INDEX($AC$176:$AC$905,($K224-$N$48))="",0,INDEX($AC$176:$AC$905,($K224-$N$48))))=0,"",(IF(INDEX($AC$176:$AC$905,($K224-$N$48))="",0,INDEX($AC$176:$AC$905,($K224-$N$48))))))</f>
        <v/>
      </c>
      <c r="AF224" s="31" t="str">
        <f t="shared" si="36"/>
        <v/>
      </c>
      <c r="AG224" s="31" t="str">
        <f t="shared" si="37"/>
        <v/>
      </c>
      <c r="AH224" s="31" t="str">
        <f t="shared" si="38"/>
        <v/>
      </c>
      <c r="AI224" s="31" t="str">
        <f t="shared" si="39"/>
        <v/>
      </c>
      <c r="AJ224" s="303" t="str">
        <f t="shared" si="40"/>
        <v/>
      </c>
      <c r="AK224" s="139" t="str">
        <f t="shared" si="41"/>
        <v/>
      </c>
      <c r="AM224" s="319"/>
      <c r="AN224" s="40"/>
      <c r="AO224" s="1"/>
    </row>
    <row r="225" spans="7:42" x14ac:dyDescent="0.25">
      <c r="G225" s="235" t="str">
        <f t="shared" si="26"/>
        <v>05.00</v>
      </c>
      <c r="H225" s="4" t="str">
        <f t="shared" si="27"/>
        <v>05.00.R</v>
      </c>
      <c r="I225" s="11" t="str">
        <f t="shared" si="28"/>
        <v>05.00.R.3</v>
      </c>
      <c r="K225" s="30">
        <v>50</v>
      </c>
      <c r="L225" s="29">
        <f t="shared" si="42"/>
        <v>-27472.191261505675</v>
      </c>
      <c r="M225" s="28" t="str">
        <f t="shared" si="29"/>
        <v/>
      </c>
      <c r="N225" s="27" t="str">
        <f t="shared" si="43"/>
        <v/>
      </c>
      <c r="O225" s="26">
        <f>IF(AND($Q224=$O$38,IFERROR(LARGE($V$176:$V224,1)&lt;$N$42,TRUE)),1,IF(AND(ISNUMBER($O224),$O224&lt;$N$32),$O224+1,""))</f>
        <v>3</v>
      </c>
      <c r="P225" s="26" t="str">
        <f t="shared" si="44"/>
        <v/>
      </c>
      <c r="Q225" s="26" t="str">
        <f t="shared" si="30"/>
        <v/>
      </c>
      <c r="R225" s="24" t="str">
        <f t="shared" si="45"/>
        <v/>
      </c>
      <c r="S225" s="180">
        <f t="shared" si="48"/>
        <v>5</v>
      </c>
      <c r="T225" s="151"/>
      <c r="U225" s="25" t="str">
        <f t="shared" si="31"/>
        <v/>
      </c>
      <c r="V225" s="24" t="str">
        <f>IF(AND(ISNUMBER(R224),ISNUMBER(R225)),V224,IF(AND(R224="",ISNUMBER(R225)),IFERROR(LARGE($V$176:$V224,1)+1,0),""))</f>
        <v/>
      </c>
      <c r="W225" s="23" t="str">
        <f t="shared" si="32"/>
        <v/>
      </c>
      <c r="X225" s="22" t="str">
        <f t="shared" si="33"/>
        <v/>
      </c>
      <c r="Y225" s="22"/>
      <c r="Z225" s="22"/>
      <c r="AA225" s="22"/>
      <c r="AB225" s="22" t="str" cm="1">
        <f t="array" ref="AB225">IF(IF(AND($P224="",$P225=1),($N$37*-1),0)+IF(AND($Q224="",$Q225=1),($N$38*-1),0)+IF(IF(($K225-$N$48)&lt;1,0,IF(IF(INDEX($AD$176:$AD$905,($K225-$N$48))="",0,INDEX($AD$176:$AD$905,($K225-$N$48)))&gt;0,IF(INDEX($AD$176:$AD$905,($K225-$N$48))="",0,INDEX($AD$176:$AD$905,($K225-$N$48))),0))="",0,IF(($K225-$N$48)&lt;1,0,IF(IF(INDEX($AD$176:$AD$905,($K225-$N$48))="",0,INDEX($AD$176:$AD$905,($K225-$N$48)))&gt;0,IF(INDEX($AD$176:$AD$905,($K225-$N$48))="",0,INDEX($AD$176:$AD$905,($K225-$N$48))),0)))=0,"",IF(AND($P224="",$P225=1),($N$37*-1),0)+IF(AND($Q224="",$Q225=1),($N$38*-1),0)+IF(IF(($K225-$N$48)&lt;1,0,IF(IF(INDEX($AD$176:$AD$905,($K225-$N$48))="",0,INDEX($AD$176:$AD$905,($K225-$N$48)))&gt;0,IF(INDEX($AD$176:$AD$905,($K225-$N$48))="",0,INDEX($AD$176:$AD$905,($K225-$N$48))),0))="",0,IF(($K225-$N$48)&lt;1,0,IF(IF(INDEX($AD$176:$AD$905,($K225-$N$48))="",0,INDEX($AD$176:$AD$905,($K225-$N$48)))&gt;0,IF(INDEX($AD$176:$AD$905,($K225-$N$48))="",0,INDEX($AD$176:$AD$905,($K225-$N$48))),0))))</f>
        <v/>
      </c>
      <c r="AC225" s="22" t="str">
        <f t="shared" si="34"/>
        <v/>
      </c>
      <c r="AD225" s="22" t="str">
        <f t="shared" si="47"/>
        <v/>
      </c>
      <c r="AE225" s="22" t="str" cm="1">
        <f t="array" ref="AE225">IF(($K225-$N$48)&lt;1,"",IF((IF(INDEX($AC$176:$AC$905,($K225-$N$48))="",0,INDEX($AC$176:$AC$905,($K225-$N$48))))=0,"",(IF(INDEX($AC$176:$AC$905,($K225-$N$48))="",0,INDEX($AC$176:$AC$905,($K225-$N$48))))))</f>
        <v/>
      </c>
      <c r="AF225" s="31" t="str">
        <f t="shared" si="36"/>
        <v/>
      </c>
      <c r="AG225" s="31" t="str">
        <f t="shared" si="37"/>
        <v/>
      </c>
      <c r="AH225" s="31" t="str">
        <f t="shared" si="38"/>
        <v/>
      </c>
      <c r="AI225" s="31" t="str">
        <f t="shared" si="39"/>
        <v/>
      </c>
      <c r="AJ225" s="303" t="str">
        <f t="shared" si="40"/>
        <v/>
      </c>
      <c r="AK225" s="139" t="str">
        <f t="shared" si="41"/>
        <v/>
      </c>
      <c r="AM225" s="319"/>
      <c r="AN225" s="40"/>
      <c r="AO225" s="1"/>
    </row>
    <row r="226" spans="7:42" x14ac:dyDescent="0.25">
      <c r="G226" s="235" t="str">
        <f t="shared" si="26"/>
        <v>05.00</v>
      </c>
      <c r="H226" s="4" t="str">
        <f t="shared" si="27"/>
        <v>05.00.O</v>
      </c>
      <c r="I226" s="11" t="str">
        <f t="shared" si="28"/>
        <v>05.00.O.1</v>
      </c>
      <c r="K226" s="30">
        <v>51</v>
      </c>
      <c r="L226" s="29">
        <f t="shared" si="42"/>
        <v>-27672.191261505675</v>
      </c>
      <c r="M226" s="28">
        <f t="shared" si="29"/>
        <v>-200</v>
      </c>
      <c r="N226" s="27" t="str">
        <f t="shared" si="43"/>
        <v/>
      </c>
      <c r="O226" s="26" t="str">
        <f>IF(AND($Q225=$O$38,IFERROR(LARGE($V$176:$V225,1)&lt;$N$42,TRUE)),1,IF(AND(ISNUMBER($O225),$O225&lt;$N$32),$O225+1,""))</f>
        <v/>
      </c>
      <c r="P226" s="26">
        <f t="shared" si="44"/>
        <v>1</v>
      </c>
      <c r="Q226" s="26" t="str">
        <f t="shared" si="30"/>
        <v/>
      </c>
      <c r="R226" s="24" t="str">
        <f t="shared" si="45"/>
        <v/>
      </c>
      <c r="S226" s="180">
        <f t="shared" si="48"/>
        <v>5</v>
      </c>
      <c r="T226" s="151"/>
      <c r="U226" s="25" t="str">
        <f t="shared" si="31"/>
        <v/>
      </c>
      <c r="V226" s="24" t="str">
        <f>IF(AND(ISNUMBER(R225),ISNUMBER(R226)),V225,IF(AND(R225="",ISNUMBER(R226)),IFERROR(LARGE($V$176:$V225,1)+1,0),""))</f>
        <v/>
      </c>
      <c r="W226" s="23" t="str">
        <f t="shared" si="32"/>
        <v/>
      </c>
      <c r="X226" s="22" t="str">
        <f t="shared" si="33"/>
        <v/>
      </c>
      <c r="Y226" s="22"/>
      <c r="Z226" s="22"/>
      <c r="AA226" s="22"/>
      <c r="AB226" s="22" cm="1">
        <f t="array" ref="AB226">IF(IF(AND($P225="",$P226=1),($N$37*-1),0)+IF(AND($Q225="",$Q226=1),($N$38*-1),0)+IF(IF(($K226-$N$48)&lt;1,0,IF(IF(INDEX($AD$176:$AD$905,($K226-$N$48))="",0,INDEX($AD$176:$AD$905,($K226-$N$48)))&gt;0,IF(INDEX($AD$176:$AD$905,($K226-$N$48))="",0,INDEX($AD$176:$AD$905,($K226-$N$48))),0))="",0,IF(($K226-$N$48)&lt;1,0,IF(IF(INDEX($AD$176:$AD$905,($K226-$N$48))="",0,INDEX($AD$176:$AD$905,($K226-$N$48)))&gt;0,IF(INDEX($AD$176:$AD$905,($K226-$N$48))="",0,INDEX($AD$176:$AD$905,($K226-$N$48))),0)))=0,"",IF(AND($P225="",$P226=1),($N$37*-1),0)+IF(AND($Q225="",$Q226=1),($N$38*-1),0)+IF(IF(($K226-$N$48)&lt;1,0,IF(IF(INDEX($AD$176:$AD$905,($K226-$N$48))="",0,INDEX($AD$176:$AD$905,($K226-$N$48)))&gt;0,IF(INDEX($AD$176:$AD$905,($K226-$N$48))="",0,INDEX($AD$176:$AD$905,($K226-$N$48))),0))="",0,IF(($K226-$N$48)&lt;1,0,IF(IF(INDEX($AD$176:$AD$905,($K226-$N$48))="",0,INDEX($AD$176:$AD$905,($K226-$N$48)))&gt;0,IF(INDEX($AD$176:$AD$905,($K226-$N$48))="",0,INDEX($AD$176:$AD$905,($K226-$N$48))),0))))</f>
        <v>-200</v>
      </c>
      <c r="AC226" s="22" t="str">
        <f t="shared" si="34"/>
        <v/>
      </c>
      <c r="AD226" s="22" t="str">
        <f t="shared" si="47"/>
        <v/>
      </c>
      <c r="AE226" s="22" t="str" cm="1">
        <f t="array" ref="AE226">IF(($K226-$N$48)&lt;1,"",IF((IF(INDEX($AC$176:$AC$905,($K226-$N$48))="",0,INDEX($AC$176:$AC$905,($K226-$N$48))))=0,"",(IF(INDEX($AC$176:$AC$905,($K226-$N$48))="",0,INDEX($AC$176:$AC$905,($K226-$N$48))))))</f>
        <v/>
      </c>
      <c r="AF226" s="31" t="str">
        <f t="shared" si="36"/>
        <v/>
      </c>
      <c r="AG226" s="31" t="str">
        <f t="shared" si="37"/>
        <v/>
      </c>
      <c r="AH226" s="31" t="str">
        <f t="shared" si="38"/>
        <v/>
      </c>
      <c r="AI226" s="31" t="str">
        <f t="shared" si="39"/>
        <v/>
      </c>
      <c r="AJ226" s="303" t="str">
        <f t="shared" si="40"/>
        <v/>
      </c>
      <c r="AK226" s="139" t="str">
        <f t="shared" si="41"/>
        <v/>
      </c>
      <c r="AM226" s="319"/>
      <c r="AN226" s="40"/>
      <c r="AO226" s="1"/>
    </row>
    <row r="227" spans="7:42" x14ac:dyDescent="0.25">
      <c r="G227" s="235" t="str">
        <f t="shared" si="26"/>
        <v>05.00</v>
      </c>
      <c r="H227" s="4" t="str">
        <f t="shared" si="27"/>
        <v>05.00.O</v>
      </c>
      <c r="I227" s="11" t="str">
        <f t="shared" si="28"/>
        <v>05.00.O.2</v>
      </c>
      <c r="K227" s="30">
        <v>52</v>
      </c>
      <c r="L227" s="29">
        <f t="shared" si="42"/>
        <v>-27672.191261505675</v>
      </c>
      <c r="M227" s="28" t="str">
        <f t="shared" si="29"/>
        <v/>
      </c>
      <c r="N227" s="27" t="str">
        <f t="shared" si="43"/>
        <v/>
      </c>
      <c r="O227" s="26" t="str">
        <f>IF(AND($Q226=$O$38,IFERROR(LARGE($V$176:$V226,1)&lt;$N$42,TRUE)),1,IF(AND(ISNUMBER($O226),$O226&lt;$N$32),$O226+1,""))</f>
        <v/>
      </c>
      <c r="P227" s="26">
        <f t="shared" si="44"/>
        <v>2</v>
      </c>
      <c r="Q227" s="26" t="str">
        <f t="shared" si="30"/>
        <v/>
      </c>
      <c r="R227" s="24" t="str">
        <f t="shared" si="45"/>
        <v/>
      </c>
      <c r="S227" s="180">
        <f t="shared" si="48"/>
        <v>5</v>
      </c>
      <c r="T227" s="151"/>
      <c r="U227" s="25" t="str">
        <f t="shared" si="31"/>
        <v/>
      </c>
      <c r="V227" s="24" t="str">
        <f>IF(AND(ISNUMBER(R226),ISNUMBER(R227)),V226,IF(AND(R226="",ISNUMBER(R227)),IFERROR(LARGE($V$176:$V226,1)+1,0),""))</f>
        <v/>
      </c>
      <c r="W227" s="23" t="str">
        <f t="shared" si="32"/>
        <v/>
      </c>
      <c r="X227" s="22" t="str">
        <f t="shared" si="33"/>
        <v/>
      </c>
      <c r="Y227" s="22"/>
      <c r="Z227" s="22"/>
      <c r="AA227" s="22"/>
      <c r="AB227" s="22" t="str" cm="1">
        <f t="array" ref="AB227">IF(IF(AND($P226="",$P227=1),($N$37*-1),0)+IF(AND($Q226="",$Q227=1),($N$38*-1),0)+IF(IF(($K227-$N$48)&lt;1,0,IF(IF(INDEX($AD$176:$AD$905,($K227-$N$48))="",0,INDEX($AD$176:$AD$905,($K227-$N$48)))&gt;0,IF(INDEX($AD$176:$AD$905,($K227-$N$48))="",0,INDEX($AD$176:$AD$905,($K227-$N$48))),0))="",0,IF(($K227-$N$48)&lt;1,0,IF(IF(INDEX($AD$176:$AD$905,($K227-$N$48))="",0,INDEX($AD$176:$AD$905,($K227-$N$48)))&gt;0,IF(INDEX($AD$176:$AD$905,($K227-$N$48))="",0,INDEX($AD$176:$AD$905,($K227-$N$48))),0)))=0,"",IF(AND($P226="",$P227=1),($N$37*-1),0)+IF(AND($Q226="",$Q227=1),($N$38*-1),0)+IF(IF(($K227-$N$48)&lt;1,0,IF(IF(INDEX($AD$176:$AD$905,($K227-$N$48))="",0,INDEX($AD$176:$AD$905,($K227-$N$48)))&gt;0,IF(INDEX($AD$176:$AD$905,($K227-$N$48))="",0,INDEX($AD$176:$AD$905,($K227-$N$48))),0))="",0,IF(($K227-$N$48)&lt;1,0,IF(IF(INDEX($AD$176:$AD$905,($K227-$N$48))="",0,INDEX($AD$176:$AD$905,($K227-$N$48)))&gt;0,IF(INDEX($AD$176:$AD$905,($K227-$N$48))="",0,INDEX($AD$176:$AD$905,($K227-$N$48))),0))))</f>
        <v/>
      </c>
      <c r="AC227" s="22" t="str">
        <f t="shared" si="34"/>
        <v/>
      </c>
      <c r="AD227" s="22" t="str">
        <f t="shared" si="47"/>
        <v/>
      </c>
      <c r="AE227" s="22" t="str" cm="1">
        <f t="array" ref="AE227">IF(($K227-$N$48)&lt;1,"",IF((IF(INDEX($AC$176:$AC$905,($K227-$N$48))="",0,INDEX($AC$176:$AC$905,($K227-$N$48))))=0,"",(IF(INDEX($AC$176:$AC$905,($K227-$N$48))="",0,INDEX($AC$176:$AC$905,($K227-$N$48))))))</f>
        <v/>
      </c>
      <c r="AF227" s="31" t="str">
        <f t="shared" si="36"/>
        <v/>
      </c>
      <c r="AG227" s="31" t="str">
        <f t="shared" si="37"/>
        <v/>
      </c>
      <c r="AH227" s="31" t="str">
        <f t="shared" si="38"/>
        <v/>
      </c>
      <c r="AI227" s="31" t="str">
        <f t="shared" si="39"/>
        <v/>
      </c>
      <c r="AJ227" s="303" t="str">
        <f t="shared" si="40"/>
        <v/>
      </c>
      <c r="AK227" s="139" t="str">
        <f t="shared" si="41"/>
        <v/>
      </c>
      <c r="AM227" s="319"/>
      <c r="AN227" s="40"/>
      <c r="AO227" s="1"/>
    </row>
    <row r="228" spans="7:42" x14ac:dyDescent="0.25">
      <c r="G228" s="235" t="str">
        <f t="shared" si="26"/>
        <v>05.01</v>
      </c>
      <c r="H228" s="4" t="str">
        <f t="shared" si="27"/>
        <v>05.01.D</v>
      </c>
      <c r="I228" s="11" t="str">
        <f t="shared" si="28"/>
        <v>05.01.D.1</v>
      </c>
      <c r="K228" s="30">
        <v>53</v>
      </c>
      <c r="L228" s="29">
        <f t="shared" si="42"/>
        <v>-27672.191261505675</v>
      </c>
      <c r="M228" s="28" t="str">
        <f t="shared" si="29"/>
        <v/>
      </c>
      <c r="N228" s="27" t="str">
        <f t="shared" si="43"/>
        <v/>
      </c>
      <c r="O228" s="26" t="str">
        <f>IF(AND($Q227=$O$38,IFERROR(LARGE($V$176:$V227,1)&lt;$N$42,TRUE)),1,IF(AND(ISNUMBER($O227),$O227&lt;$N$32),$O227+1,""))</f>
        <v/>
      </c>
      <c r="P228" s="26" t="str">
        <f t="shared" si="44"/>
        <v/>
      </c>
      <c r="Q228" s="26" t="str">
        <f t="shared" si="30"/>
        <v/>
      </c>
      <c r="R228" s="24">
        <f t="shared" si="45"/>
        <v>1</v>
      </c>
      <c r="S228" s="180">
        <f t="shared" si="48"/>
        <v>5.01</v>
      </c>
      <c r="T228" s="151"/>
      <c r="U228" s="25">
        <f t="shared" si="31"/>
        <v>1</v>
      </c>
      <c r="V228" s="24">
        <f>IF(AND(ISNUMBER(R227),ISNUMBER(R228)),V227,IF(AND(R227="",ISNUMBER(R228)),IFERROR(LARGE($V$176:$V227,1)+1,0),""))</f>
        <v>5</v>
      </c>
      <c r="W228" s="23" t="str">
        <f t="shared" si="32"/>
        <v/>
      </c>
      <c r="X228" s="22" t="str">
        <f t="shared" si="33"/>
        <v/>
      </c>
      <c r="Y228" s="22"/>
      <c r="Z228" s="22"/>
      <c r="AA228" s="22"/>
      <c r="AB228" s="22" t="str" cm="1">
        <f t="array" ref="AB228">IF(IF(AND($P227="",$P228=1),($N$37*-1),0)+IF(AND($Q227="",$Q228=1),($N$38*-1),0)+IF(IF(($K228-$N$48)&lt;1,0,IF(IF(INDEX($AD$176:$AD$905,($K228-$N$48))="",0,INDEX($AD$176:$AD$905,($K228-$N$48)))&gt;0,IF(INDEX($AD$176:$AD$905,($K228-$N$48))="",0,INDEX($AD$176:$AD$905,($K228-$N$48))),0))="",0,IF(($K228-$N$48)&lt;1,0,IF(IF(INDEX($AD$176:$AD$905,($K228-$N$48))="",0,INDEX($AD$176:$AD$905,($K228-$N$48)))&gt;0,IF(INDEX($AD$176:$AD$905,($K228-$N$48))="",0,INDEX($AD$176:$AD$905,($K228-$N$48))),0)))=0,"",IF(AND($P227="",$P228=1),($N$37*-1),0)+IF(AND($Q227="",$Q228=1),($N$38*-1),0)+IF(IF(($K228-$N$48)&lt;1,0,IF(IF(INDEX($AD$176:$AD$905,($K228-$N$48))="",0,INDEX($AD$176:$AD$905,($K228-$N$48)))&gt;0,IF(INDEX($AD$176:$AD$905,($K228-$N$48))="",0,INDEX($AD$176:$AD$905,($K228-$N$48))),0))="",0,IF(($K228-$N$48)&lt;1,0,IF(IF(INDEX($AD$176:$AD$905,($K228-$N$48))="",0,INDEX($AD$176:$AD$905,($K228-$N$48)))&gt;0,IF(INDEX($AD$176:$AD$905,($K228-$N$48))="",0,INDEX($AD$176:$AD$905,($K228-$N$48))),0))))</f>
        <v/>
      </c>
      <c r="AC228" s="22" t="str">
        <f t="shared" si="34"/>
        <v/>
      </c>
      <c r="AD228" s="22" t="str">
        <f t="shared" si="47"/>
        <v/>
      </c>
      <c r="AE228" s="22" t="str" cm="1">
        <f t="array" ref="AE228">IF(($K228-$N$48)&lt;1,"",IF((IF(INDEX($AC$176:$AC$905,($K228-$N$48))="",0,INDEX($AC$176:$AC$905,($K228-$N$48))))=0,"",(IF(INDEX($AC$176:$AC$905,($K228-$N$48))="",0,INDEX($AC$176:$AC$905,($K228-$N$48))))))</f>
        <v/>
      </c>
      <c r="AF228" s="31" t="str">
        <f t="shared" si="36"/>
        <v/>
      </c>
      <c r="AG228" s="31" t="str">
        <f t="shared" si="37"/>
        <v/>
      </c>
      <c r="AH228" s="31" t="str">
        <f t="shared" si="38"/>
        <v/>
      </c>
      <c r="AI228" s="31" t="str">
        <f t="shared" si="39"/>
        <v/>
      </c>
      <c r="AJ228" s="303" t="str">
        <f t="shared" si="40"/>
        <v/>
      </c>
      <c r="AK228" s="139" t="str">
        <f t="shared" si="41"/>
        <v/>
      </c>
      <c r="AM228" s="319"/>
      <c r="AN228" s="40"/>
      <c r="AO228" s="1"/>
    </row>
    <row r="229" spans="7:42" x14ac:dyDescent="0.25">
      <c r="G229" s="235" t="str">
        <f t="shared" si="26"/>
        <v>05.01</v>
      </c>
      <c r="H229" s="4" t="str">
        <f t="shared" si="27"/>
        <v>05.01.D</v>
      </c>
      <c r="I229" s="11" t="str">
        <f t="shared" si="28"/>
        <v>05.01.D.2</v>
      </c>
      <c r="K229" s="30">
        <v>54</v>
      </c>
      <c r="L229" s="29">
        <f t="shared" si="42"/>
        <v>-27672.191261505675</v>
      </c>
      <c r="M229" s="28" t="str">
        <f t="shared" si="29"/>
        <v/>
      </c>
      <c r="N229" s="27" t="str">
        <f t="shared" si="43"/>
        <v/>
      </c>
      <c r="O229" s="26" t="str">
        <f>IF(AND($Q228=$O$38,IFERROR(LARGE($V$176:$V228,1)&lt;$N$42,TRUE)),1,IF(AND(ISNUMBER($O228),$O228&lt;$N$32),$O228+1,""))</f>
        <v/>
      </c>
      <c r="P229" s="26" t="str">
        <f t="shared" si="44"/>
        <v/>
      </c>
      <c r="Q229" s="26" t="str">
        <f t="shared" si="30"/>
        <v/>
      </c>
      <c r="R229" s="24">
        <f t="shared" si="45"/>
        <v>2</v>
      </c>
      <c r="S229" s="180">
        <f t="shared" si="48"/>
        <v>5.01</v>
      </c>
      <c r="T229" s="151"/>
      <c r="U229" s="25">
        <f t="shared" si="31"/>
        <v>1</v>
      </c>
      <c r="V229" s="24">
        <f>IF(AND(ISNUMBER(R228),ISNUMBER(R229)),V228,IF(AND(R228="",ISNUMBER(R229)),IFERROR(LARGE($V$176:$V228,1)+1,0),""))</f>
        <v>5</v>
      </c>
      <c r="W229" s="23" t="str">
        <f t="shared" si="32"/>
        <v/>
      </c>
      <c r="X229" s="22" t="str">
        <f t="shared" si="33"/>
        <v/>
      </c>
      <c r="Y229" s="22"/>
      <c r="Z229" s="22"/>
      <c r="AA229" s="22"/>
      <c r="AB229" s="22" t="str" cm="1">
        <f t="array" ref="AB229">IF(IF(AND($P228="",$P229=1),($N$37*-1),0)+IF(AND($Q228="",$Q229=1),($N$38*-1),0)+IF(IF(($K229-$N$48)&lt;1,0,IF(IF(INDEX($AD$176:$AD$905,($K229-$N$48))="",0,INDEX($AD$176:$AD$905,($K229-$N$48)))&gt;0,IF(INDEX($AD$176:$AD$905,($K229-$N$48))="",0,INDEX($AD$176:$AD$905,($K229-$N$48))),0))="",0,IF(($K229-$N$48)&lt;1,0,IF(IF(INDEX($AD$176:$AD$905,($K229-$N$48))="",0,INDEX($AD$176:$AD$905,($K229-$N$48)))&gt;0,IF(INDEX($AD$176:$AD$905,($K229-$N$48))="",0,INDEX($AD$176:$AD$905,($K229-$N$48))),0)))=0,"",IF(AND($P228="",$P229=1),($N$37*-1),0)+IF(AND($Q228="",$Q229=1),($N$38*-1),0)+IF(IF(($K229-$N$48)&lt;1,0,IF(IF(INDEX($AD$176:$AD$905,($K229-$N$48))="",0,INDEX($AD$176:$AD$905,($K229-$N$48)))&gt;0,IF(INDEX($AD$176:$AD$905,($K229-$N$48))="",0,INDEX($AD$176:$AD$905,($K229-$N$48))),0))="",0,IF(($K229-$N$48)&lt;1,0,IF(IF(INDEX($AD$176:$AD$905,($K229-$N$48))="",0,INDEX($AD$176:$AD$905,($K229-$N$48)))&gt;0,IF(INDEX($AD$176:$AD$905,($K229-$N$48))="",0,INDEX($AD$176:$AD$905,($K229-$N$48))),0))))</f>
        <v/>
      </c>
      <c r="AC229" s="22">
        <f t="shared" si="34"/>
        <v>5500</v>
      </c>
      <c r="AD229" s="22">
        <f t="shared" si="47"/>
        <v>525</v>
      </c>
      <c r="AE229" s="22" t="str" cm="1">
        <f t="array" ref="AE229">IF(($K229-$N$48)&lt;1,"",IF((IF(INDEX($AC$176:$AC$905,($K229-$N$48))="",0,INDEX($AC$176:$AC$905,($K229-$N$48))))=0,"",(IF(INDEX($AC$176:$AC$905,($K229-$N$48))="",0,INDEX($AC$176:$AC$905,($K229-$N$48))))))</f>
        <v/>
      </c>
      <c r="AF229" s="31" t="str">
        <f t="shared" si="36"/>
        <v/>
      </c>
      <c r="AG229" s="31" t="str">
        <f t="shared" si="37"/>
        <v/>
      </c>
      <c r="AH229" s="31" t="str">
        <f t="shared" si="38"/>
        <v/>
      </c>
      <c r="AI229" s="31" t="str">
        <f t="shared" si="39"/>
        <v/>
      </c>
      <c r="AJ229" s="303" t="str">
        <f t="shared" si="40"/>
        <v/>
      </c>
      <c r="AK229" s="139" t="str">
        <f t="shared" si="41"/>
        <v/>
      </c>
      <c r="AM229" s="319"/>
      <c r="AN229" s="40"/>
      <c r="AO229" s="1"/>
    </row>
    <row r="230" spans="7:42" x14ac:dyDescent="0.25">
      <c r="G230" s="235" t="str">
        <f t="shared" si="26"/>
        <v>06.00</v>
      </c>
      <c r="H230" s="4" t="str">
        <f t="shared" si="27"/>
        <v>06.00.I</v>
      </c>
      <c r="I230" s="11" t="str">
        <f t="shared" si="28"/>
        <v>06.00.I.1</v>
      </c>
      <c r="K230" s="30">
        <v>55</v>
      </c>
      <c r="L230" s="29">
        <f t="shared" si="42"/>
        <v>-27872.191261505675</v>
      </c>
      <c r="M230" s="28">
        <f t="shared" si="29"/>
        <v>-200</v>
      </c>
      <c r="N230" s="27" t="str">
        <f t="shared" si="43"/>
        <v/>
      </c>
      <c r="O230" s="26" t="str">
        <f>IF(AND($Q229=$O$38,IFERROR(LARGE($V$176:$V229,1)&lt;$N$42,TRUE)),1,IF(AND(ISNUMBER($O229),$O229&lt;$N$32),$O229+1,""))</f>
        <v/>
      </c>
      <c r="P230" s="26" t="str">
        <f t="shared" si="44"/>
        <v/>
      </c>
      <c r="Q230" s="26">
        <f t="shared" si="30"/>
        <v>1</v>
      </c>
      <c r="R230" s="24" t="str">
        <f t="shared" si="45"/>
        <v/>
      </c>
      <c r="S230" s="180">
        <f t="shared" si="48"/>
        <v>6</v>
      </c>
      <c r="T230" s="151"/>
      <c r="U230" s="25" t="str">
        <f t="shared" si="31"/>
        <v/>
      </c>
      <c r="V230" s="24" t="str">
        <f>IF(AND(ISNUMBER(R229),ISNUMBER(R230)),V229,IF(AND(R229="",ISNUMBER(R230)),IFERROR(LARGE($V$176:$V229,1)+1,0),""))</f>
        <v/>
      </c>
      <c r="W230" s="23" t="str">
        <f t="shared" si="32"/>
        <v/>
      </c>
      <c r="X230" s="22" t="str">
        <f t="shared" si="33"/>
        <v/>
      </c>
      <c r="Y230" s="22"/>
      <c r="Z230" s="22"/>
      <c r="AA230" s="22"/>
      <c r="AB230" s="22" cm="1">
        <f t="array" ref="AB230">IF(IF(AND($P229="",$P230=1),($N$37*-1),0)+IF(AND($Q229="",$Q230=1),($N$38*-1),0)+IF(IF(($K230-$N$48)&lt;1,0,IF(IF(INDEX($AD$176:$AD$905,($K230-$N$48))="",0,INDEX($AD$176:$AD$905,($K230-$N$48)))&gt;0,IF(INDEX($AD$176:$AD$905,($K230-$N$48))="",0,INDEX($AD$176:$AD$905,($K230-$N$48))),0))="",0,IF(($K230-$N$48)&lt;1,0,IF(IF(INDEX($AD$176:$AD$905,($K230-$N$48))="",0,INDEX($AD$176:$AD$905,($K230-$N$48)))&gt;0,IF(INDEX($AD$176:$AD$905,($K230-$N$48))="",0,INDEX($AD$176:$AD$905,($K230-$N$48))),0)))=0,"",IF(AND($P229="",$P230=1),($N$37*-1),0)+IF(AND($Q229="",$Q230=1),($N$38*-1),0)+IF(IF(($K230-$N$48)&lt;1,0,IF(IF(INDEX($AD$176:$AD$905,($K230-$N$48))="",0,INDEX($AD$176:$AD$905,($K230-$N$48)))&gt;0,IF(INDEX($AD$176:$AD$905,($K230-$N$48))="",0,INDEX($AD$176:$AD$905,($K230-$N$48))),0))="",0,IF(($K230-$N$48)&lt;1,0,IF(IF(INDEX($AD$176:$AD$905,($K230-$N$48))="",0,INDEX($AD$176:$AD$905,($K230-$N$48)))&gt;0,IF(INDEX($AD$176:$AD$905,($K230-$N$48))="",0,INDEX($AD$176:$AD$905,($K230-$N$48))),0))))</f>
        <v>-200</v>
      </c>
      <c r="AC230" s="22" t="str">
        <f t="shared" si="34"/>
        <v/>
      </c>
      <c r="AD230" s="22" t="str">
        <f t="shared" si="47"/>
        <v/>
      </c>
      <c r="AE230" s="22" t="str" cm="1">
        <f t="array" ref="AE230">IF(($K230-$N$48)&lt;1,"",IF((IF(INDEX($AC$176:$AC$905,($K230-$N$48))="",0,INDEX($AC$176:$AC$905,($K230-$N$48))))=0,"",(IF(INDEX($AC$176:$AC$905,($K230-$N$48))="",0,INDEX($AC$176:$AC$905,($K230-$N$48))))))</f>
        <v/>
      </c>
      <c r="AF230" s="31" t="str">
        <f t="shared" si="36"/>
        <v/>
      </c>
      <c r="AG230" s="31" t="str">
        <f t="shared" si="37"/>
        <v/>
      </c>
      <c r="AH230" s="31" t="str">
        <f t="shared" si="38"/>
        <v/>
      </c>
      <c r="AI230" s="31" t="str">
        <f t="shared" si="39"/>
        <v/>
      </c>
      <c r="AJ230" s="303" t="str">
        <f t="shared" si="40"/>
        <v/>
      </c>
      <c r="AK230" s="139" t="str">
        <f t="shared" si="41"/>
        <v/>
      </c>
      <c r="AM230" s="319"/>
      <c r="AN230" s="40"/>
      <c r="AO230" s="1"/>
    </row>
    <row r="231" spans="7:42" x14ac:dyDescent="0.25">
      <c r="G231" s="235" t="str">
        <f t="shared" si="26"/>
        <v>06.00</v>
      </c>
      <c r="H231" s="4" t="str">
        <f t="shared" si="27"/>
        <v>06.00.I</v>
      </c>
      <c r="I231" s="11" t="str">
        <f t="shared" si="28"/>
        <v>06.00.I.2</v>
      </c>
      <c r="K231" s="30">
        <v>56</v>
      </c>
      <c r="L231" s="29">
        <f t="shared" si="42"/>
        <v>-27872.191261505675</v>
      </c>
      <c r="M231" s="28" t="str">
        <f t="shared" si="29"/>
        <v/>
      </c>
      <c r="N231" s="27" t="str">
        <f t="shared" si="43"/>
        <v/>
      </c>
      <c r="O231" s="26" t="str">
        <f>IF(AND($Q230=$O$38,IFERROR(LARGE($V$176:$V230,1)&lt;$N$42,TRUE)),1,IF(AND(ISNUMBER($O230),$O230&lt;$N$32),$O230+1,""))</f>
        <v/>
      </c>
      <c r="P231" s="26" t="str">
        <f t="shared" si="44"/>
        <v/>
      </c>
      <c r="Q231" s="26">
        <f t="shared" si="30"/>
        <v>2</v>
      </c>
      <c r="R231" s="24" t="str">
        <f t="shared" si="45"/>
        <v/>
      </c>
      <c r="S231" s="180">
        <f t="shared" si="48"/>
        <v>6</v>
      </c>
      <c r="T231" s="151"/>
      <c r="U231" s="25" t="str">
        <f t="shared" si="31"/>
        <v/>
      </c>
      <c r="V231" s="24" t="str">
        <f>IF(AND(ISNUMBER(R230),ISNUMBER(R231)),V230,IF(AND(R230="",ISNUMBER(R231)),IFERROR(LARGE($V$176:$V230,1)+1,0),""))</f>
        <v/>
      </c>
      <c r="W231" s="23" t="str">
        <f t="shared" si="32"/>
        <v/>
      </c>
      <c r="X231" s="22" t="str">
        <f t="shared" si="33"/>
        <v/>
      </c>
      <c r="Y231" s="22"/>
      <c r="Z231" s="22"/>
      <c r="AA231" s="22"/>
      <c r="AB231" s="22" t="str" cm="1">
        <f t="array" ref="AB231">IF(IF(AND($P230="",$P231=1),($N$37*-1),0)+IF(AND($Q230="",$Q231=1),($N$38*-1),0)+IF(IF(($K231-$N$48)&lt;1,0,IF(IF(INDEX($AD$176:$AD$905,($K231-$N$48))="",0,INDEX($AD$176:$AD$905,($K231-$N$48)))&gt;0,IF(INDEX($AD$176:$AD$905,($K231-$N$48))="",0,INDEX($AD$176:$AD$905,($K231-$N$48))),0))="",0,IF(($K231-$N$48)&lt;1,0,IF(IF(INDEX($AD$176:$AD$905,($K231-$N$48))="",0,INDEX($AD$176:$AD$905,($K231-$N$48)))&gt;0,IF(INDEX($AD$176:$AD$905,($K231-$N$48))="",0,INDEX($AD$176:$AD$905,($K231-$N$48))),0)))=0,"",IF(AND($P230="",$P231=1),($N$37*-1),0)+IF(AND($Q230="",$Q231=1),($N$38*-1),0)+IF(IF(($K231-$N$48)&lt;1,0,IF(IF(INDEX($AD$176:$AD$905,($K231-$N$48))="",0,INDEX($AD$176:$AD$905,($K231-$N$48)))&gt;0,IF(INDEX($AD$176:$AD$905,($K231-$N$48))="",0,INDEX($AD$176:$AD$905,($K231-$N$48))),0))="",0,IF(($K231-$N$48)&lt;1,0,IF(IF(INDEX($AD$176:$AD$905,($K231-$N$48))="",0,INDEX($AD$176:$AD$905,($K231-$N$48)))&gt;0,IF(INDEX($AD$176:$AD$905,($K231-$N$48))="",0,INDEX($AD$176:$AD$905,($K231-$N$48))),0))))</f>
        <v/>
      </c>
      <c r="AC231" s="22" t="str">
        <f t="shared" si="34"/>
        <v/>
      </c>
      <c r="AD231" s="22" t="str">
        <f t="shared" si="47"/>
        <v/>
      </c>
      <c r="AE231" s="22" t="str" cm="1">
        <f t="array" ref="AE231">IF(($K231-$N$48)&lt;1,"",IF((IF(INDEX($AC$176:$AC$905,($K231-$N$48))="",0,INDEX($AC$176:$AC$905,($K231-$N$48))))=0,"",(IF(INDEX($AC$176:$AC$905,($K231-$N$48))="",0,INDEX($AC$176:$AC$905,($K231-$N$48))))))</f>
        <v/>
      </c>
      <c r="AF231" s="31" t="str">
        <f t="shared" si="36"/>
        <v/>
      </c>
      <c r="AG231" s="31" t="str">
        <f t="shared" si="37"/>
        <v/>
      </c>
      <c r="AH231" s="31" t="str">
        <f t="shared" si="38"/>
        <v/>
      </c>
      <c r="AI231" s="31" t="str">
        <f t="shared" si="39"/>
        <v/>
      </c>
      <c r="AJ231" s="303" t="str">
        <f t="shared" si="40"/>
        <v/>
      </c>
      <c r="AK231" s="139" t="str">
        <f t="shared" si="41"/>
        <v/>
      </c>
      <c r="AM231" s="319"/>
      <c r="AN231" s="40"/>
      <c r="AO231" s="1"/>
    </row>
    <row r="232" spans="7:42" x14ac:dyDescent="0.25">
      <c r="G232" s="235" t="str">
        <f t="shared" si="26"/>
        <v>06.00</v>
      </c>
      <c r="H232" s="4" t="str">
        <f t="shared" si="27"/>
        <v>06.00.R</v>
      </c>
      <c r="I232" s="11" t="str">
        <f t="shared" si="28"/>
        <v>06.00.R.1</v>
      </c>
      <c r="K232" s="30">
        <v>57</v>
      </c>
      <c r="L232" s="29">
        <f t="shared" si="42"/>
        <v>-30485.82471560681</v>
      </c>
      <c r="M232" s="28">
        <f t="shared" si="29"/>
        <v>-2613.6334541011352</v>
      </c>
      <c r="N232" s="27" t="str">
        <f t="shared" si="43"/>
        <v/>
      </c>
      <c r="O232" s="26">
        <f>IF(AND($Q231=$O$38,IFERROR(LARGE($V$176:$V231,1)&lt;$N$42,TRUE)),1,IF(AND(ISNUMBER($O231),$O231&lt;$N$32),$O231+1,""))</f>
        <v>1</v>
      </c>
      <c r="P232" s="26" t="str">
        <f t="shared" si="44"/>
        <v/>
      </c>
      <c r="Q232" s="26" t="str">
        <f t="shared" si="30"/>
        <v/>
      </c>
      <c r="R232" s="24" t="str">
        <f t="shared" si="45"/>
        <v/>
      </c>
      <c r="S232" s="180">
        <f t="shared" si="48"/>
        <v>6</v>
      </c>
      <c r="T232" s="151"/>
      <c r="U232" s="25" t="str">
        <f t="shared" si="31"/>
        <v/>
      </c>
      <c r="V232" s="24" t="str">
        <f>IF(AND(ISNUMBER(R231),ISNUMBER(R232)),V231,IF(AND(R231="",ISNUMBER(R232)),IFERROR(LARGE($V$176:$V231,1)+1,0),""))</f>
        <v/>
      </c>
      <c r="W232" s="23">
        <f t="shared" si="32"/>
        <v>-1018.3530285882483</v>
      </c>
      <c r="X232" s="22">
        <f t="shared" si="33"/>
        <v>-1595.2804255128869</v>
      </c>
      <c r="Y232" s="22"/>
      <c r="Z232" s="22"/>
      <c r="AA232" s="22"/>
      <c r="AB232" s="22" t="str" cm="1">
        <f t="array" ref="AB232">IF(IF(AND($P231="",$P232=1),($N$37*-1),0)+IF(AND($Q231="",$Q232=1),($N$38*-1),0)+IF(IF(($K232-$N$48)&lt;1,0,IF(IF(INDEX($AD$176:$AD$905,($K232-$N$48))="",0,INDEX($AD$176:$AD$905,($K232-$N$48)))&gt;0,IF(INDEX($AD$176:$AD$905,($K232-$N$48))="",0,INDEX($AD$176:$AD$905,($K232-$N$48))),0))="",0,IF(($K232-$N$48)&lt;1,0,IF(IF(INDEX($AD$176:$AD$905,($K232-$N$48))="",0,INDEX($AD$176:$AD$905,($K232-$N$48)))&gt;0,IF(INDEX($AD$176:$AD$905,($K232-$N$48))="",0,INDEX($AD$176:$AD$905,($K232-$N$48))),0)))=0,"",IF(AND($P231="",$P232=1),($N$37*-1),0)+IF(AND($Q231="",$Q232=1),($N$38*-1),0)+IF(IF(($K232-$N$48)&lt;1,0,IF(IF(INDEX($AD$176:$AD$905,($K232-$N$48))="",0,INDEX($AD$176:$AD$905,($K232-$N$48)))&gt;0,IF(INDEX($AD$176:$AD$905,($K232-$N$48))="",0,INDEX($AD$176:$AD$905,($K232-$N$48))),0))="",0,IF(($K232-$N$48)&lt;1,0,IF(IF(INDEX($AD$176:$AD$905,($K232-$N$48))="",0,INDEX($AD$176:$AD$905,($K232-$N$48)))&gt;0,IF(INDEX($AD$176:$AD$905,($K232-$N$48))="",0,INDEX($AD$176:$AD$905,($K232-$N$48))),0))))</f>
        <v/>
      </c>
      <c r="AC232" s="22" t="str">
        <f t="shared" si="34"/>
        <v/>
      </c>
      <c r="AD232" s="22" t="str">
        <f t="shared" si="47"/>
        <v/>
      </c>
      <c r="AE232" s="22" t="str" cm="1">
        <f t="array" ref="AE232">IF(($K232-$N$48)&lt;1,"",IF((IF(INDEX($AC$176:$AC$905,($K232-$N$48))="",0,INDEX($AC$176:$AC$905,($K232-$N$48))))=0,"",(IF(INDEX($AC$176:$AC$905,($K232-$N$48))="",0,INDEX($AC$176:$AC$905,($K232-$N$48))))))</f>
        <v/>
      </c>
      <c r="AF232" s="31" t="str">
        <f t="shared" si="36"/>
        <v/>
      </c>
      <c r="AG232" s="31" t="str">
        <f t="shared" si="37"/>
        <v/>
      </c>
      <c r="AH232" s="31" t="str">
        <f t="shared" si="38"/>
        <v/>
      </c>
      <c r="AI232" s="31" t="str">
        <f t="shared" si="39"/>
        <v/>
      </c>
      <c r="AJ232" s="303" t="str">
        <f t="shared" si="40"/>
        <v/>
      </c>
      <c r="AK232" s="139" t="str">
        <f t="shared" si="41"/>
        <v/>
      </c>
      <c r="AM232" s="319"/>
      <c r="AN232" s="40"/>
      <c r="AO232" s="1"/>
    </row>
    <row r="233" spans="7:42" x14ac:dyDescent="0.25">
      <c r="G233" s="235" t="str">
        <f t="shared" si="26"/>
        <v>06.00</v>
      </c>
      <c r="H233" s="4" t="str">
        <f t="shared" si="27"/>
        <v>06.00.R</v>
      </c>
      <c r="I233" s="11" t="str">
        <f t="shared" si="28"/>
        <v>06.00.R.2</v>
      </c>
      <c r="K233" s="30">
        <v>58</v>
      </c>
      <c r="L233" s="29">
        <f t="shared" si="42"/>
        <v>-30485.82471560681</v>
      </c>
      <c r="M233" s="28" t="str">
        <f t="shared" si="29"/>
        <v/>
      </c>
      <c r="N233" s="27" t="str">
        <f t="shared" si="43"/>
        <v/>
      </c>
      <c r="O233" s="26">
        <f>IF(AND($Q232=$O$38,IFERROR(LARGE($V$176:$V232,1)&lt;$N$42,TRUE)),1,IF(AND(ISNUMBER($O232),$O232&lt;$N$32),$O232+1,""))</f>
        <v>2</v>
      </c>
      <c r="P233" s="26" t="str">
        <f t="shared" si="44"/>
        <v/>
      </c>
      <c r="Q233" s="26" t="str">
        <f t="shared" si="30"/>
        <v/>
      </c>
      <c r="R233" s="24" t="str">
        <f t="shared" si="45"/>
        <v/>
      </c>
      <c r="S233" s="180">
        <f t="shared" si="48"/>
        <v>6</v>
      </c>
      <c r="T233" s="151"/>
      <c r="U233" s="25" t="str">
        <f t="shared" si="31"/>
        <v/>
      </c>
      <c r="V233" s="24" t="str">
        <f>IF(AND(ISNUMBER(R232),ISNUMBER(R233)),V232,IF(AND(R232="",ISNUMBER(R233)),IFERROR(LARGE($V$176:$V232,1)+1,0),""))</f>
        <v/>
      </c>
      <c r="W233" s="23" t="str">
        <f t="shared" si="32"/>
        <v/>
      </c>
      <c r="X233" s="22" t="str">
        <f t="shared" si="33"/>
        <v/>
      </c>
      <c r="Y233" s="22"/>
      <c r="Z233" s="22"/>
      <c r="AA233" s="22"/>
      <c r="AB233" s="22" t="str" cm="1">
        <f t="array" ref="AB233">IF(IF(AND($P232="",$P233=1),($N$37*-1),0)+IF(AND($Q232="",$Q233=1),($N$38*-1),0)+IF(IF(($K233-$N$48)&lt;1,0,IF(IF(INDEX($AD$176:$AD$905,($K233-$N$48))="",0,INDEX($AD$176:$AD$905,($K233-$N$48)))&gt;0,IF(INDEX($AD$176:$AD$905,($K233-$N$48))="",0,INDEX($AD$176:$AD$905,($K233-$N$48))),0))="",0,IF(($K233-$N$48)&lt;1,0,IF(IF(INDEX($AD$176:$AD$905,($K233-$N$48))="",0,INDEX($AD$176:$AD$905,($K233-$N$48)))&gt;0,IF(INDEX($AD$176:$AD$905,($K233-$N$48))="",0,INDEX($AD$176:$AD$905,($K233-$N$48))),0)))=0,"",IF(AND($P232="",$P233=1),($N$37*-1),0)+IF(AND($Q232="",$Q233=1),($N$38*-1),0)+IF(IF(($K233-$N$48)&lt;1,0,IF(IF(INDEX($AD$176:$AD$905,($K233-$N$48))="",0,INDEX($AD$176:$AD$905,($K233-$N$48)))&gt;0,IF(INDEX($AD$176:$AD$905,($K233-$N$48))="",0,INDEX($AD$176:$AD$905,($K233-$N$48))),0))="",0,IF(($K233-$N$48)&lt;1,0,IF(IF(INDEX($AD$176:$AD$905,($K233-$N$48))="",0,INDEX($AD$176:$AD$905,($K233-$N$48)))&gt;0,IF(INDEX($AD$176:$AD$905,($K233-$N$48))="",0,INDEX($AD$176:$AD$905,($K233-$N$48))),0))))</f>
        <v/>
      </c>
      <c r="AC233" s="22" t="str">
        <f t="shared" si="34"/>
        <v/>
      </c>
      <c r="AD233" s="22" t="str">
        <f t="shared" si="47"/>
        <v/>
      </c>
      <c r="AE233" s="22" t="str" cm="1">
        <f t="array" ref="AE233">IF(($K233-$N$48)&lt;1,"",IF((IF(INDEX($AC$176:$AC$905,($K233-$N$48))="",0,INDEX($AC$176:$AC$905,($K233-$N$48))))=0,"",(IF(INDEX($AC$176:$AC$905,($K233-$N$48))="",0,INDEX($AC$176:$AC$905,($K233-$N$48))))))</f>
        <v/>
      </c>
      <c r="AF233" s="31" t="str">
        <f t="shared" si="36"/>
        <v/>
      </c>
      <c r="AG233" s="31" t="str">
        <f t="shared" si="37"/>
        <v/>
      </c>
      <c r="AH233" s="31" t="str">
        <f t="shared" si="38"/>
        <v/>
      </c>
      <c r="AI233" s="31" t="str">
        <f t="shared" si="39"/>
        <v/>
      </c>
      <c r="AJ233" s="303" t="str">
        <f t="shared" si="40"/>
        <v/>
      </c>
      <c r="AK233" s="139" t="str">
        <f t="shared" si="41"/>
        <v/>
      </c>
      <c r="AM233" s="319"/>
      <c r="AN233" s="40"/>
      <c r="AO233" s="1"/>
    </row>
    <row r="234" spans="7:42" x14ac:dyDescent="0.25">
      <c r="G234" s="235" t="str">
        <f t="shared" si="26"/>
        <v>06.00</v>
      </c>
      <c r="H234" s="4" t="str">
        <f t="shared" si="27"/>
        <v>06.00.R</v>
      </c>
      <c r="I234" s="11" t="str">
        <f t="shared" si="28"/>
        <v>06.00.R.3</v>
      </c>
      <c r="K234" s="30">
        <v>59</v>
      </c>
      <c r="L234" s="29">
        <f t="shared" si="42"/>
        <v>-30485.82471560681</v>
      </c>
      <c r="M234" s="28" t="str">
        <f t="shared" si="29"/>
        <v/>
      </c>
      <c r="N234" s="27" t="str">
        <f t="shared" si="43"/>
        <v/>
      </c>
      <c r="O234" s="26">
        <f>IF(AND($Q233=$O$38,IFERROR(LARGE($V$176:$V233,1)&lt;$N$42,TRUE)),1,IF(AND(ISNUMBER($O233),$O233&lt;$N$32),$O233+1,""))</f>
        <v>3</v>
      </c>
      <c r="P234" s="26" t="str">
        <f t="shared" si="44"/>
        <v/>
      </c>
      <c r="Q234" s="26" t="str">
        <f t="shared" si="30"/>
        <v/>
      </c>
      <c r="R234" s="24" t="str">
        <f t="shared" si="45"/>
        <v/>
      </c>
      <c r="S234" s="180">
        <f t="shared" si="48"/>
        <v>6</v>
      </c>
      <c r="T234" s="151"/>
      <c r="U234" s="25" t="str">
        <f t="shared" si="31"/>
        <v/>
      </c>
      <c r="V234" s="24" t="str">
        <f>IF(AND(ISNUMBER(R233),ISNUMBER(R234)),V233,IF(AND(R233="",ISNUMBER(R234)),IFERROR(LARGE($V$176:$V233,1)+1,0),""))</f>
        <v/>
      </c>
      <c r="W234" s="23" t="str">
        <f t="shared" si="32"/>
        <v/>
      </c>
      <c r="X234" s="22" t="str">
        <f t="shared" si="33"/>
        <v/>
      </c>
      <c r="Y234" s="22"/>
      <c r="Z234" s="22"/>
      <c r="AA234" s="22"/>
      <c r="AB234" s="22" t="str" cm="1">
        <f t="array" ref="AB234">IF(IF(AND($P233="",$P234=1),($N$37*-1),0)+IF(AND($Q233="",$Q234=1),($N$38*-1),0)+IF(IF(($K234-$N$48)&lt;1,0,IF(IF(INDEX($AD$176:$AD$905,($K234-$N$48))="",0,INDEX($AD$176:$AD$905,($K234-$N$48)))&gt;0,IF(INDEX($AD$176:$AD$905,($K234-$N$48))="",0,INDEX($AD$176:$AD$905,($K234-$N$48))),0))="",0,IF(($K234-$N$48)&lt;1,0,IF(IF(INDEX($AD$176:$AD$905,($K234-$N$48))="",0,INDEX($AD$176:$AD$905,($K234-$N$48)))&gt;0,IF(INDEX($AD$176:$AD$905,($K234-$N$48))="",0,INDEX($AD$176:$AD$905,($K234-$N$48))),0)))=0,"",IF(AND($P233="",$P234=1),($N$37*-1),0)+IF(AND($Q233="",$Q234=1),($N$38*-1),0)+IF(IF(($K234-$N$48)&lt;1,0,IF(IF(INDEX($AD$176:$AD$905,($K234-$N$48))="",0,INDEX($AD$176:$AD$905,($K234-$N$48)))&gt;0,IF(INDEX($AD$176:$AD$905,($K234-$N$48))="",0,INDEX($AD$176:$AD$905,($K234-$N$48))),0))="",0,IF(($K234-$N$48)&lt;1,0,IF(IF(INDEX($AD$176:$AD$905,($K234-$N$48))="",0,INDEX($AD$176:$AD$905,($K234-$N$48)))&gt;0,IF(INDEX($AD$176:$AD$905,($K234-$N$48))="",0,INDEX($AD$176:$AD$905,($K234-$N$48))),0))))</f>
        <v/>
      </c>
      <c r="AC234" s="22" t="str">
        <f t="shared" si="34"/>
        <v/>
      </c>
      <c r="AD234" s="22" t="str">
        <f t="shared" si="47"/>
        <v/>
      </c>
      <c r="AE234" s="22" t="str" cm="1">
        <f t="array" ref="AE234">IF(($K234-$N$48)&lt;1,"",IF((IF(INDEX($AC$176:$AC$905,($K234-$N$48))="",0,INDEX($AC$176:$AC$905,($K234-$N$48))))=0,"",(IF(INDEX($AC$176:$AC$905,($K234-$N$48))="",0,INDEX($AC$176:$AC$905,($K234-$N$48))))))</f>
        <v/>
      </c>
      <c r="AF234" s="31" t="str">
        <f t="shared" si="36"/>
        <v/>
      </c>
      <c r="AG234" s="31" t="str">
        <f t="shared" si="37"/>
        <v/>
      </c>
      <c r="AH234" s="31" t="str">
        <f t="shared" si="38"/>
        <v/>
      </c>
      <c r="AI234" s="31" t="str">
        <f t="shared" si="39"/>
        <v/>
      </c>
      <c r="AJ234" s="303" t="str">
        <f t="shared" si="40"/>
        <v/>
      </c>
      <c r="AK234" s="139" t="str">
        <f t="shared" si="41"/>
        <v/>
      </c>
      <c r="AM234" s="319"/>
      <c r="AN234" s="40"/>
      <c r="AO234" s="1"/>
      <c r="AP234" s="327"/>
    </row>
    <row r="235" spans="7:42" x14ac:dyDescent="0.25">
      <c r="G235" s="235" t="str">
        <f t="shared" si="26"/>
        <v>06.00</v>
      </c>
      <c r="H235" s="4" t="str">
        <f t="shared" si="27"/>
        <v>06.00.O</v>
      </c>
      <c r="I235" s="11" t="str">
        <f t="shared" si="28"/>
        <v>06.00.O.1</v>
      </c>
      <c r="K235" s="30">
        <v>60</v>
      </c>
      <c r="L235" s="29">
        <f t="shared" si="42"/>
        <v>-30685.82471560681</v>
      </c>
      <c r="M235" s="28">
        <f t="shared" si="29"/>
        <v>-200</v>
      </c>
      <c r="N235" s="27" t="str">
        <f t="shared" si="43"/>
        <v/>
      </c>
      <c r="O235" s="26" t="str">
        <f>IF(AND($Q234=$O$38,IFERROR(LARGE($V$176:$V234,1)&lt;$N$42,TRUE)),1,IF(AND(ISNUMBER($O234),$O234&lt;$N$32),$O234+1,""))</f>
        <v/>
      </c>
      <c r="P235" s="26">
        <f t="shared" si="44"/>
        <v>1</v>
      </c>
      <c r="Q235" s="26" t="str">
        <f t="shared" si="30"/>
        <v/>
      </c>
      <c r="R235" s="24" t="str">
        <f t="shared" si="45"/>
        <v/>
      </c>
      <c r="S235" s="180">
        <f t="shared" si="48"/>
        <v>6</v>
      </c>
      <c r="T235" s="151"/>
      <c r="U235" s="25" t="str">
        <f t="shared" si="31"/>
        <v/>
      </c>
      <c r="V235" s="24" t="str">
        <f>IF(AND(ISNUMBER(R234),ISNUMBER(R235)),V234,IF(AND(R234="",ISNUMBER(R235)),IFERROR(LARGE($V$176:$V234,1)+1,0),""))</f>
        <v/>
      </c>
      <c r="W235" s="23" t="str">
        <f t="shared" si="32"/>
        <v/>
      </c>
      <c r="X235" s="22" t="str">
        <f t="shared" si="33"/>
        <v/>
      </c>
      <c r="Y235" s="22"/>
      <c r="Z235" s="22"/>
      <c r="AA235" s="22"/>
      <c r="AB235" s="22" cm="1">
        <f t="array" ref="AB235">IF(IF(AND($P234="",$P235=1),($N$37*-1),0)+IF(AND($Q234="",$Q235=1),($N$38*-1),0)+IF(IF(($K235-$N$48)&lt;1,0,IF(IF(INDEX($AD$176:$AD$905,($K235-$N$48))="",0,INDEX($AD$176:$AD$905,($K235-$N$48)))&gt;0,IF(INDEX($AD$176:$AD$905,($K235-$N$48))="",0,INDEX($AD$176:$AD$905,($K235-$N$48))),0))="",0,IF(($K235-$N$48)&lt;1,0,IF(IF(INDEX($AD$176:$AD$905,($K235-$N$48))="",0,INDEX($AD$176:$AD$905,($K235-$N$48)))&gt;0,IF(INDEX($AD$176:$AD$905,($K235-$N$48))="",0,INDEX($AD$176:$AD$905,($K235-$N$48))),0)))=0,"",IF(AND($P234="",$P235=1),($N$37*-1),0)+IF(AND($Q234="",$Q235=1),($N$38*-1),0)+IF(IF(($K235-$N$48)&lt;1,0,IF(IF(INDEX($AD$176:$AD$905,($K235-$N$48))="",0,INDEX($AD$176:$AD$905,($K235-$N$48)))&gt;0,IF(INDEX($AD$176:$AD$905,($K235-$N$48))="",0,INDEX($AD$176:$AD$905,($K235-$N$48))),0))="",0,IF(($K235-$N$48)&lt;1,0,IF(IF(INDEX($AD$176:$AD$905,($K235-$N$48))="",0,INDEX($AD$176:$AD$905,($K235-$N$48)))&gt;0,IF(INDEX($AD$176:$AD$905,($K235-$N$48))="",0,INDEX($AD$176:$AD$905,($K235-$N$48))),0))))</f>
        <v>-200</v>
      </c>
      <c r="AC235" s="22" t="str">
        <f t="shared" si="34"/>
        <v/>
      </c>
      <c r="AD235" s="22" t="str">
        <f t="shared" si="47"/>
        <v/>
      </c>
      <c r="AE235" s="22" t="str" cm="1">
        <f t="array" ref="AE235">IF(($K235-$N$48)&lt;1,"",IF((IF(INDEX($AC$176:$AC$905,($K235-$N$48))="",0,INDEX($AC$176:$AC$905,($K235-$N$48))))=0,"",(IF(INDEX($AC$176:$AC$905,($K235-$N$48))="",0,INDEX($AC$176:$AC$905,($K235-$N$48))))))</f>
        <v/>
      </c>
      <c r="AF235" s="31" t="str">
        <f t="shared" si="36"/>
        <v/>
      </c>
      <c r="AG235" s="31" t="str">
        <f t="shared" si="37"/>
        <v/>
      </c>
      <c r="AH235" s="31" t="str">
        <f t="shared" si="38"/>
        <v/>
      </c>
      <c r="AI235" s="31" t="str">
        <f t="shared" si="39"/>
        <v/>
      </c>
      <c r="AJ235" s="303" t="str">
        <f t="shared" si="40"/>
        <v/>
      </c>
      <c r="AK235" s="139" t="str">
        <f t="shared" si="41"/>
        <v/>
      </c>
      <c r="AM235" s="319"/>
      <c r="AN235" s="40"/>
      <c r="AO235" s="1"/>
      <c r="AP235" s="327"/>
    </row>
    <row r="236" spans="7:42" x14ac:dyDescent="0.25">
      <c r="G236" s="235" t="str">
        <f t="shared" si="26"/>
        <v>06.00</v>
      </c>
      <c r="H236" s="4" t="str">
        <f t="shared" si="27"/>
        <v>06.00.O</v>
      </c>
      <c r="I236" s="11" t="str">
        <f t="shared" si="28"/>
        <v>06.00.O.2</v>
      </c>
      <c r="K236" s="30">
        <v>61</v>
      </c>
      <c r="L236" s="29">
        <f t="shared" si="42"/>
        <v>-30685.82471560681</v>
      </c>
      <c r="M236" s="28" t="str">
        <f t="shared" si="29"/>
        <v/>
      </c>
      <c r="N236" s="27" t="str">
        <f t="shared" si="43"/>
        <v/>
      </c>
      <c r="O236" s="26" t="str">
        <f>IF(AND($Q235=$O$38,IFERROR(LARGE($V$176:$V235,1)&lt;$N$42,TRUE)),1,IF(AND(ISNUMBER($O235),$O235&lt;$N$32),$O235+1,""))</f>
        <v/>
      </c>
      <c r="P236" s="26">
        <f t="shared" si="44"/>
        <v>2</v>
      </c>
      <c r="Q236" s="26" t="str">
        <f t="shared" si="30"/>
        <v/>
      </c>
      <c r="R236" s="24" t="str">
        <f t="shared" si="45"/>
        <v/>
      </c>
      <c r="S236" s="180">
        <f t="shared" si="48"/>
        <v>6</v>
      </c>
      <c r="T236" s="151"/>
      <c r="U236" s="25" t="str">
        <f t="shared" si="31"/>
        <v/>
      </c>
      <c r="V236" s="24" t="str">
        <f>IF(AND(ISNUMBER(R235),ISNUMBER(R236)),V235,IF(AND(R235="",ISNUMBER(R236)),IFERROR(LARGE($V$176:$V235,1)+1,0),""))</f>
        <v/>
      </c>
      <c r="W236" s="23" t="str">
        <f t="shared" si="32"/>
        <v/>
      </c>
      <c r="X236" s="22" t="str">
        <f t="shared" si="33"/>
        <v/>
      </c>
      <c r="Y236" s="22"/>
      <c r="Z236" s="22"/>
      <c r="AA236" s="22"/>
      <c r="AB236" s="22" t="str" cm="1">
        <f t="array" ref="AB236">IF(IF(AND($P235="",$P236=1),($N$37*-1),0)+IF(AND($Q235="",$Q236=1),($N$38*-1),0)+IF(IF(($K236-$N$48)&lt;1,0,IF(IF(INDEX($AD$176:$AD$905,($K236-$N$48))="",0,INDEX($AD$176:$AD$905,($K236-$N$48)))&gt;0,IF(INDEX($AD$176:$AD$905,($K236-$N$48))="",0,INDEX($AD$176:$AD$905,($K236-$N$48))),0))="",0,IF(($K236-$N$48)&lt;1,0,IF(IF(INDEX($AD$176:$AD$905,($K236-$N$48))="",0,INDEX($AD$176:$AD$905,($K236-$N$48)))&gt;0,IF(INDEX($AD$176:$AD$905,($K236-$N$48))="",0,INDEX($AD$176:$AD$905,($K236-$N$48))),0)))=0,"",IF(AND($P235="",$P236=1),($N$37*-1),0)+IF(AND($Q235="",$Q236=1),($N$38*-1),0)+IF(IF(($K236-$N$48)&lt;1,0,IF(IF(INDEX($AD$176:$AD$905,($K236-$N$48))="",0,INDEX($AD$176:$AD$905,($K236-$N$48)))&gt;0,IF(INDEX($AD$176:$AD$905,($K236-$N$48))="",0,INDEX($AD$176:$AD$905,($K236-$N$48))),0))="",0,IF(($K236-$N$48)&lt;1,0,IF(IF(INDEX($AD$176:$AD$905,($K236-$N$48))="",0,INDEX($AD$176:$AD$905,($K236-$N$48)))&gt;0,IF(INDEX($AD$176:$AD$905,($K236-$N$48))="",0,INDEX($AD$176:$AD$905,($K236-$N$48))),0))))</f>
        <v/>
      </c>
      <c r="AC236" s="22" t="str">
        <f t="shared" si="34"/>
        <v/>
      </c>
      <c r="AD236" s="22" t="str">
        <f t="shared" si="47"/>
        <v/>
      </c>
      <c r="AE236" s="22" t="str" cm="1">
        <f t="array" ref="AE236">IF(($K236-$N$48)&lt;1,"",IF((IF(INDEX($AC$176:$AC$905,($K236-$N$48))="",0,INDEX($AC$176:$AC$905,($K236-$N$48))))=0,"",(IF(INDEX($AC$176:$AC$905,($K236-$N$48))="",0,INDEX($AC$176:$AC$905,($K236-$N$48))))))</f>
        <v/>
      </c>
      <c r="AF236" s="31" t="str">
        <f t="shared" si="36"/>
        <v/>
      </c>
      <c r="AG236" s="31" t="str">
        <f t="shared" si="37"/>
        <v/>
      </c>
      <c r="AH236" s="31" t="str">
        <f t="shared" si="38"/>
        <v/>
      </c>
      <c r="AI236" s="31" t="str">
        <f t="shared" si="39"/>
        <v/>
      </c>
      <c r="AJ236" s="303" t="str">
        <f t="shared" si="40"/>
        <v/>
      </c>
      <c r="AK236" s="139" t="str">
        <f t="shared" si="41"/>
        <v/>
      </c>
      <c r="AM236" s="319"/>
      <c r="AN236" s="40"/>
      <c r="AO236" s="1"/>
      <c r="AP236" s="327"/>
    </row>
    <row r="237" spans="7:42" x14ac:dyDescent="0.25">
      <c r="G237" s="235" t="str">
        <f t="shared" si="26"/>
        <v>06.01</v>
      </c>
      <c r="H237" s="4" t="str">
        <f t="shared" si="27"/>
        <v>06.01.D</v>
      </c>
      <c r="I237" s="11" t="str">
        <f t="shared" si="28"/>
        <v>06.01.D.1</v>
      </c>
      <c r="K237" s="30">
        <v>62</v>
      </c>
      <c r="L237" s="29">
        <f t="shared" si="42"/>
        <v>-30685.82471560681</v>
      </c>
      <c r="M237" s="28" t="str">
        <f t="shared" si="29"/>
        <v/>
      </c>
      <c r="N237" s="27" t="str">
        <f t="shared" si="43"/>
        <v/>
      </c>
      <c r="O237" s="26" t="str">
        <f>IF(AND($Q236=$O$38,IFERROR(LARGE($V$176:$V236,1)&lt;$N$42,TRUE)),1,IF(AND(ISNUMBER($O236),$O236&lt;$N$32),$O236+1,""))</f>
        <v/>
      </c>
      <c r="P237" s="26" t="str">
        <f t="shared" si="44"/>
        <v/>
      </c>
      <c r="Q237" s="26" t="str">
        <f t="shared" si="30"/>
        <v/>
      </c>
      <c r="R237" s="24">
        <f t="shared" si="45"/>
        <v>1</v>
      </c>
      <c r="S237" s="180">
        <f t="shared" si="48"/>
        <v>6.01</v>
      </c>
      <c r="T237" s="151"/>
      <c r="U237" s="25">
        <f t="shared" si="31"/>
        <v>1</v>
      </c>
      <c r="V237" s="24">
        <f>IF(AND(ISNUMBER(R236),ISNUMBER(R237)),V236,IF(AND(R236="",ISNUMBER(R237)),IFERROR(LARGE($V$176:$V236,1)+1,0),""))</f>
        <v>6</v>
      </c>
      <c r="W237" s="23" t="str">
        <f t="shared" si="32"/>
        <v/>
      </c>
      <c r="X237" s="22" t="str">
        <f t="shared" si="33"/>
        <v/>
      </c>
      <c r="Y237" s="22"/>
      <c r="Z237" s="22"/>
      <c r="AA237" s="22"/>
      <c r="AB237" s="22" t="str" cm="1">
        <f t="array" ref="AB237">IF(IF(AND($P236="",$P237=1),($N$37*-1),0)+IF(AND($Q236="",$Q237=1),($N$38*-1),0)+IF(IF(($K237-$N$48)&lt;1,0,IF(IF(INDEX($AD$176:$AD$905,($K237-$N$48))="",0,INDEX($AD$176:$AD$905,($K237-$N$48)))&gt;0,IF(INDEX($AD$176:$AD$905,($K237-$N$48))="",0,INDEX($AD$176:$AD$905,($K237-$N$48))),0))="",0,IF(($K237-$N$48)&lt;1,0,IF(IF(INDEX($AD$176:$AD$905,($K237-$N$48))="",0,INDEX($AD$176:$AD$905,($K237-$N$48)))&gt;0,IF(INDEX($AD$176:$AD$905,($K237-$N$48))="",0,INDEX($AD$176:$AD$905,($K237-$N$48))),0)))=0,"",IF(AND($P236="",$P237=1),($N$37*-1),0)+IF(AND($Q236="",$Q237=1),($N$38*-1),0)+IF(IF(($K237-$N$48)&lt;1,0,IF(IF(INDEX($AD$176:$AD$905,($K237-$N$48))="",0,INDEX($AD$176:$AD$905,($K237-$N$48)))&gt;0,IF(INDEX($AD$176:$AD$905,($K237-$N$48))="",0,INDEX($AD$176:$AD$905,($K237-$N$48))),0))="",0,IF(($K237-$N$48)&lt;1,0,IF(IF(INDEX($AD$176:$AD$905,($K237-$N$48))="",0,INDEX($AD$176:$AD$905,($K237-$N$48)))&gt;0,IF(INDEX($AD$176:$AD$905,($K237-$N$48))="",0,INDEX($AD$176:$AD$905,($K237-$N$48))),0))))</f>
        <v/>
      </c>
      <c r="AC237" s="22" t="str">
        <f t="shared" si="34"/>
        <v/>
      </c>
      <c r="AD237" s="22" t="str">
        <f t="shared" si="47"/>
        <v/>
      </c>
      <c r="AE237" s="22" t="str" cm="1">
        <f t="array" ref="AE237">IF(($K237-$N$48)&lt;1,"",IF((IF(INDEX($AC$176:$AC$905,($K237-$N$48))="",0,INDEX($AC$176:$AC$905,($K237-$N$48))))=0,"",(IF(INDEX($AC$176:$AC$905,($K237-$N$48))="",0,INDEX($AC$176:$AC$905,($K237-$N$48))))))</f>
        <v/>
      </c>
      <c r="AF237" s="31" t="str">
        <f t="shared" si="36"/>
        <v/>
      </c>
      <c r="AG237" s="31" t="str">
        <f t="shared" si="37"/>
        <v/>
      </c>
      <c r="AH237" s="31" t="str">
        <f t="shared" si="38"/>
        <v/>
      </c>
      <c r="AI237" s="31" t="str">
        <f t="shared" si="39"/>
        <v/>
      </c>
      <c r="AJ237" s="303" t="str">
        <f t="shared" si="40"/>
        <v/>
      </c>
      <c r="AK237" s="139" t="str">
        <f t="shared" si="41"/>
        <v/>
      </c>
      <c r="AM237" s="319"/>
      <c r="AN237" s="40"/>
      <c r="AO237" s="1"/>
    </row>
    <row r="238" spans="7:42" x14ac:dyDescent="0.25">
      <c r="G238" s="235" t="str">
        <f t="shared" si="26"/>
        <v>06.01</v>
      </c>
      <c r="H238" s="4" t="str">
        <f t="shared" si="27"/>
        <v>06.01.D</v>
      </c>
      <c r="I238" s="11" t="str">
        <f t="shared" si="28"/>
        <v>06.01.D.2</v>
      </c>
      <c r="K238" s="30">
        <v>63</v>
      </c>
      <c r="L238" s="29">
        <f t="shared" si="42"/>
        <v>-30685.82471560681</v>
      </c>
      <c r="M238" s="28" t="str">
        <f t="shared" si="29"/>
        <v/>
      </c>
      <c r="N238" s="27" t="str">
        <f t="shared" si="43"/>
        <v/>
      </c>
      <c r="O238" s="26" t="str">
        <f>IF(AND($Q237=$O$38,IFERROR(LARGE($V$176:$V237,1)&lt;$N$42,TRUE)),1,IF(AND(ISNUMBER($O237),$O237&lt;$N$32),$O237+1,""))</f>
        <v/>
      </c>
      <c r="P238" s="26" t="str">
        <f t="shared" si="44"/>
        <v/>
      </c>
      <c r="Q238" s="26" t="str">
        <f t="shared" si="30"/>
        <v/>
      </c>
      <c r="R238" s="24">
        <f t="shared" si="45"/>
        <v>2</v>
      </c>
      <c r="S238" s="180">
        <f t="shared" si="48"/>
        <v>6.01</v>
      </c>
      <c r="T238" s="151"/>
      <c r="U238" s="25">
        <f t="shared" si="31"/>
        <v>1</v>
      </c>
      <c r="V238" s="24">
        <f>IF(AND(ISNUMBER(R237),ISNUMBER(R238)),V237,IF(AND(R237="",ISNUMBER(R238)),IFERROR(LARGE($V$176:$V237,1)+1,0),""))</f>
        <v>6</v>
      </c>
      <c r="W238" s="23" t="str">
        <f t="shared" si="32"/>
        <v/>
      </c>
      <c r="X238" s="22" t="str">
        <f t="shared" si="33"/>
        <v/>
      </c>
      <c r="Y238" s="22"/>
      <c r="Z238" s="22"/>
      <c r="AA238" s="22"/>
      <c r="AB238" s="22" t="str" cm="1">
        <f t="array" ref="AB238">IF(IF(AND($P237="",$P238=1),($N$37*-1),0)+IF(AND($Q237="",$Q238=1),($N$38*-1),0)+IF(IF(($K238-$N$48)&lt;1,0,IF(IF(INDEX($AD$176:$AD$905,($K238-$N$48))="",0,INDEX($AD$176:$AD$905,($K238-$N$48)))&gt;0,IF(INDEX($AD$176:$AD$905,($K238-$N$48))="",0,INDEX($AD$176:$AD$905,($K238-$N$48))),0))="",0,IF(($K238-$N$48)&lt;1,0,IF(IF(INDEX($AD$176:$AD$905,($K238-$N$48))="",0,INDEX($AD$176:$AD$905,($K238-$N$48)))&gt;0,IF(INDEX($AD$176:$AD$905,($K238-$N$48))="",0,INDEX($AD$176:$AD$905,($K238-$N$48))),0)))=0,"",IF(AND($P237="",$P238=1),($N$37*-1),0)+IF(AND($Q237="",$Q238=1),($N$38*-1),0)+IF(IF(($K238-$N$48)&lt;1,0,IF(IF(INDEX($AD$176:$AD$905,($K238-$N$48))="",0,INDEX($AD$176:$AD$905,($K238-$N$48)))&gt;0,IF(INDEX($AD$176:$AD$905,($K238-$N$48))="",0,INDEX($AD$176:$AD$905,($K238-$N$48))),0))="",0,IF(($K238-$N$48)&lt;1,0,IF(IF(INDEX($AD$176:$AD$905,($K238-$N$48))="",0,INDEX($AD$176:$AD$905,($K238-$N$48)))&gt;0,IF(INDEX($AD$176:$AD$905,($K238-$N$48))="",0,INDEX($AD$176:$AD$905,($K238-$N$48))),0))))</f>
        <v/>
      </c>
      <c r="AC238" s="22">
        <f t="shared" si="34"/>
        <v>5500</v>
      </c>
      <c r="AD238" s="22">
        <f t="shared" si="47"/>
        <v>525</v>
      </c>
      <c r="AE238" s="22" t="str" cm="1">
        <f t="array" ref="AE238">IF(($K238-$N$48)&lt;1,"",IF((IF(INDEX($AC$176:$AC$905,($K238-$N$48))="",0,INDEX($AC$176:$AC$905,($K238-$N$48))))=0,"",(IF(INDEX($AC$176:$AC$905,($K238-$N$48))="",0,INDEX($AC$176:$AC$905,($K238-$N$48))))))</f>
        <v/>
      </c>
      <c r="AF238" s="31" t="str">
        <f t="shared" si="36"/>
        <v/>
      </c>
      <c r="AG238" s="31" t="str">
        <f t="shared" si="37"/>
        <v/>
      </c>
      <c r="AH238" s="31" t="str">
        <f t="shared" si="38"/>
        <v/>
      </c>
      <c r="AI238" s="31" t="str">
        <f t="shared" si="39"/>
        <v/>
      </c>
      <c r="AJ238" s="303" t="str">
        <f t="shared" si="40"/>
        <v/>
      </c>
      <c r="AK238" s="139" t="str">
        <f t="shared" si="41"/>
        <v/>
      </c>
      <c r="AM238" s="319"/>
      <c r="AN238" s="40"/>
      <c r="AO238" s="1"/>
    </row>
    <row r="239" spans="7:42" x14ac:dyDescent="0.25">
      <c r="G239" s="235" t="str">
        <f t="shared" si="26"/>
        <v>07.00</v>
      </c>
      <c r="H239" s="4" t="str">
        <f t="shared" si="27"/>
        <v>07.00.I</v>
      </c>
      <c r="I239" s="11" t="str">
        <f t="shared" si="28"/>
        <v>07.00.I.1</v>
      </c>
      <c r="K239" s="30">
        <v>64</v>
      </c>
      <c r="L239" s="29">
        <f t="shared" si="42"/>
        <v>-30885.82471560681</v>
      </c>
      <c r="M239" s="28">
        <f t="shared" si="29"/>
        <v>-200</v>
      </c>
      <c r="N239" s="27" t="str">
        <f t="shared" si="43"/>
        <v/>
      </c>
      <c r="O239" s="26" t="str">
        <f>IF(AND($Q238=$O$38,IFERROR(LARGE($V$176:$V238,1)&lt;$N$42,TRUE)),1,IF(AND(ISNUMBER($O238),$O238&lt;$N$32),$O238+1,""))</f>
        <v/>
      </c>
      <c r="P239" s="26" t="str">
        <f t="shared" si="44"/>
        <v/>
      </c>
      <c r="Q239" s="26">
        <f t="shared" si="30"/>
        <v>1</v>
      </c>
      <c r="R239" s="24" t="str">
        <f t="shared" si="45"/>
        <v/>
      </c>
      <c r="S239" s="180">
        <f t="shared" si="48"/>
        <v>7</v>
      </c>
      <c r="T239" s="151"/>
      <c r="U239" s="25" t="str">
        <f t="shared" si="31"/>
        <v/>
      </c>
      <c r="V239" s="24" t="str">
        <f>IF(AND(ISNUMBER(R238),ISNUMBER(R239)),V238,IF(AND(R238="",ISNUMBER(R239)),IFERROR(LARGE($V$176:$V238,1)+1,0),""))</f>
        <v/>
      </c>
      <c r="W239" s="23" t="str">
        <f t="shared" si="32"/>
        <v/>
      </c>
      <c r="X239" s="22" t="str">
        <f t="shared" si="33"/>
        <v/>
      </c>
      <c r="Y239" s="22"/>
      <c r="Z239" s="22"/>
      <c r="AA239" s="22"/>
      <c r="AB239" s="22" cm="1">
        <f t="array" ref="AB239">IF(IF(AND($P238="",$P239=1),($N$37*-1),0)+IF(AND($Q238="",$Q239=1),($N$38*-1),0)+IF(IF(($K239-$N$48)&lt;1,0,IF(IF(INDEX($AD$176:$AD$905,($K239-$N$48))="",0,INDEX($AD$176:$AD$905,($K239-$N$48)))&gt;0,IF(INDEX($AD$176:$AD$905,($K239-$N$48))="",0,INDEX($AD$176:$AD$905,($K239-$N$48))),0))="",0,IF(($K239-$N$48)&lt;1,0,IF(IF(INDEX($AD$176:$AD$905,($K239-$N$48))="",0,INDEX($AD$176:$AD$905,($K239-$N$48)))&gt;0,IF(INDEX($AD$176:$AD$905,($K239-$N$48))="",0,INDEX($AD$176:$AD$905,($K239-$N$48))),0)))=0,"",IF(AND($P238="",$P239=1),($N$37*-1),0)+IF(AND($Q238="",$Q239=1),($N$38*-1),0)+IF(IF(($K239-$N$48)&lt;1,0,IF(IF(INDEX($AD$176:$AD$905,($K239-$N$48))="",0,INDEX($AD$176:$AD$905,($K239-$N$48)))&gt;0,IF(INDEX($AD$176:$AD$905,($K239-$N$48))="",0,INDEX($AD$176:$AD$905,($K239-$N$48))),0))="",0,IF(($K239-$N$48)&lt;1,0,IF(IF(INDEX($AD$176:$AD$905,($K239-$N$48))="",0,INDEX($AD$176:$AD$905,($K239-$N$48)))&gt;0,IF(INDEX($AD$176:$AD$905,($K239-$N$48))="",0,INDEX($AD$176:$AD$905,($K239-$N$48))),0))))</f>
        <v>-200</v>
      </c>
      <c r="AC239" s="22" t="str">
        <f t="shared" si="34"/>
        <v/>
      </c>
      <c r="AD239" s="22" t="str">
        <f t="shared" si="47"/>
        <v/>
      </c>
      <c r="AE239" s="22" t="str" cm="1">
        <f t="array" ref="AE239">IF(($K239-$N$48)&lt;1,"",IF((IF(INDEX($AC$176:$AC$905,($K239-$N$48))="",0,INDEX($AC$176:$AC$905,($K239-$N$48))))=0,"",(IF(INDEX($AC$176:$AC$905,($K239-$N$48))="",0,INDEX($AC$176:$AC$905,($K239-$N$48))))))</f>
        <v/>
      </c>
      <c r="AF239" s="31" t="str">
        <f t="shared" si="36"/>
        <v/>
      </c>
      <c r="AG239" s="31" t="str">
        <f t="shared" si="37"/>
        <v/>
      </c>
      <c r="AH239" s="31" t="str">
        <f t="shared" si="38"/>
        <v/>
      </c>
      <c r="AI239" s="31" t="str">
        <f t="shared" si="39"/>
        <v/>
      </c>
      <c r="AJ239" s="303" t="str">
        <f t="shared" si="40"/>
        <v/>
      </c>
      <c r="AK239" s="139" t="str">
        <f t="shared" si="41"/>
        <v/>
      </c>
      <c r="AM239" s="319"/>
      <c r="AN239" s="40"/>
      <c r="AO239" s="1"/>
    </row>
    <row r="240" spans="7:42" x14ac:dyDescent="0.25">
      <c r="G240" s="235" t="str">
        <f t="shared" ref="G240:G303" si="49">IF(RIGHT(H240,2)=".N","NEW",IF(SUM(N240:R240)=0,"",LEFT(H240,5)))</f>
        <v>07.00</v>
      </c>
      <c r="H240" s="4" t="str">
        <f t="shared" ref="H240:H303" si="50">IF(SUM(N240:R240)&gt;0,CONCATENATE(IF(LEN(ROUNDDOWN(S240,0))=1,CONCATENATE("0",ROUNDDOWN(S240,0)),ROUNDDOWN(S240,0)),".",IF(LEN(ROUND(MOD(S240,1)*100,0))=1,CONCATENATE("0",ROUND(MOD(S240,1)*100,0)),ROUND(MOD(S240,1)*100,0)),IF(N240&lt;&gt;"",".N",IF(O240&lt;&gt;"",".R",IF(P240&lt;&gt;"",".O",IF(Q240&lt;&gt;"",".I",IF(R240&lt;&gt;"",".D","")))))),"")</f>
        <v>07.00.I</v>
      </c>
      <c r="I240" s="11" t="str">
        <f t="shared" ref="I240:I303" si="51">CONCATENATE(IF(LEN(ROUNDDOWN(S240,0))=1,CONCATENATE("0",ROUNDDOWN(S240,0)),ROUNDDOWN(S240,0)),".",IF(LEN(ROUND(MOD(S240,1)*100,0))=1,CONCATENATE("0",ROUND(MOD(S240,1)*100,0)),ROUND(MOD(S240,1)*100,0)),IF(N240&lt;&gt;"",".N.",IF(O240&lt;&gt;"",".R.",IF(P240&lt;&gt;"",".O.",IF(Q240&lt;&gt;"",".I.",IF(R240&lt;&gt;"",".D.",""))))),IF(N240&lt;&gt;"",N240,IF(O240&lt;&gt;"",O240,IF(P240&lt;&gt;"",P240,IF(Q240&lt;&gt;"",Q240,IF(R240&lt;&gt;"",IF(MOD(R240,$N$44)=0,$N$44,MOD(R240,$N$44)),""))))))</f>
        <v>07.00.I.2</v>
      </c>
      <c r="K240" s="30">
        <v>65</v>
      </c>
      <c r="L240" s="29">
        <f t="shared" si="42"/>
        <v>-30885.82471560681</v>
      </c>
      <c r="M240" s="28" t="str">
        <f t="shared" ref="M240:M303" si="52">IFERROR(IF(IF($K240=1,(($M$23*-1)+($M$24*-1)),IF(ISNUMBER(W240),W240,0)+IF(ISNUMBER(X240),X240,0)+IF(ISNUMBER(AB240),AB240,0)+IF(ISNUMBER(AE240),AE240,0)+IF(ISNUMBER(AF240),AF240,0)+IF(ISNUMBER(AG240),AG240,0)+IF(ISNUMBER(AH240),AH240,0)+IF(ISNUMBER(AI240),AI240,0)+IF(ISNUMBER(AK240),AK240,0))=0,"",IF($K240=1,(($M$23*-1)+($M$24*-1)),IF(ISNUMBER(W240),W240,0)+IF(ISNUMBER(X240),X240,0)+IF(ISNUMBER(AB240),AB240,0)+IF(ISNUMBER(AE240),AE240,0)+IF(ISNUMBER(AF240),AF240,0)+IF(ISNUMBER(AG240),AG240,0)+IF(ISNUMBER(AH240),AH240,0)+IF(ISNUMBER(AI240),AI240,0)+IF(ISNUMBER(AK240),AK240,0))),"")</f>
        <v/>
      </c>
      <c r="N240" s="27" t="str">
        <f t="shared" si="43"/>
        <v/>
      </c>
      <c r="O240" s="26" t="str">
        <f>IF(AND($Q239=$O$38,IFERROR(LARGE($V$176:$V239,1)&lt;$N$42,TRUE)),1,IF(AND(ISNUMBER($O239),$O239&lt;$N$32),$O239+1,""))</f>
        <v/>
      </c>
      <c r="P240" s="26" t="str">
        <f t="shared" si="44"/>
        <v/>
      </c>
      <c r="Q240" s="26">
        <f t="shared" ref="Q240:Q303" si="53">IF($R239=($N$43*$N$44),1,IF(AND(ISNUMBER($Q239),$Q239&lt;$O$38),$Q239+1,""))</f>
        <v>2</v>
      </c>
      <c r="R240" s="24" t="str">
        <f t="shared" si="45"/>
        <v/>
      </c>
      <c r="S240" s="180">
        <f t="shared" si="48"/>
        <v>7</v>
      </c>
      <c r="T240" s="151"/>
      <c r="U240" s="25" t="str">
        <f t="shared" ref="U240:U303" si="54">IF(ISNUMBER($R240),ROUNDUP($R240/$N$44,0),"")</f>
        <v/>
      </c>
      <c r="V240" s="24" t="str">
        <f>IF(AND(ISNUMBER(R239),ISNUMBER(R240)),V239,IF(AND(R239="",ISNUMBER(R240)),IFERROR(LARGE($V$176:$V239,1)+1,0),""))</f>
        <v/>
      </c>
      <c r="W240" s="23" t="str">
        <f t="shared" ref="W240:W303" si="55">IF($O240=1,($M$30*-1),"")</f>
        <v/>
      </c>
      <c r="X240" s="22" t="str">
        <f t="shared" ref="X240:X303" si="56">IF($K240=1,($M$24*-1),IF($O240=1,($M$31*-1),""))</f>
        <v/>
      </c>
      <c r="Y240" s="22"/>
      <c r="Z240" s="22"/>
      <c r="AA240" s="22"/>
      <c r="AB240" s="22" t="str" cm="1">
        <f t="array" ref="AB240">IF(IF(AND($P239="",$P240=1),($N$37*-1),0)+IF(AND($Q239="",$Q240=1),($N$38*-1),0)+IF(IF(($K240-$N$48)&lt;1,0,IF(IF(INDEX($AD$176:$AD$905,($K240-$N$48))="",0,INDEX($AD$176:$AD$905,($K240-$N$48)))&gt;0,IF(INDEX($AD$176:$AD$905,($K240-$N$48))="",0,INDEX($AD$176:$AD$905,($K240-$N$48))),0))="",0,IF(($K240-$N$48)&lt;1,0,IF(IF(INDEX($AD$176:$AD$905,($K240-$N$48))="",0,INDEX($AD$176:$AD$905,($K240-$N$48)))&gt;0,IF(INDEX($AD$176:$AD$905,($K240-$N$48))="",0,INDEX($AD$176:$AD$905,($K240-$N$48))),0)))=0,"",IF(AND($P239="",$P240=1),($N$37*-1),0)+IF(AND($Q239="",$Q240=1),($N$38*-1),0)+IF(IF(($K240-$N$48)&lt;1,0,IF(IF(INDEX($AD$176:$AD$905,($K240-$N$48))="",0,INDEX($AD$176:$AD$905,($K240-$N$48)))&gt;0,IF(INDEX($AD$176:$AD$905,($K240-$N$48))="",0,INDEX($AD$176:$AD$905,($K240-$N$48))),0))="",0,IF(($K240-$N$48)&lt;1,0,IF(IF(INDEX($AD$176:$AD$905,($K240-$N$48))="",0,INDEX($AD$176:$AD$905,($K240-$N$48)))&gt;0,IF(INDEX($AD$176:$AD$905,($K240-$N$48))="",0,INDEX($AD$176:$AD$905,($K240-$N$48))),0))))</f>
        <v/>
      </c>
      <c r="AC240" s="22" t="str">
        <f t="shared" ref="AC240:AC303" si="57">IF(IF(OR(AND(ISNUMBER($U240),IF(ISNUMBER($U241),$U241,0)-IF(ISNUMBER($U240),$U240,0)=1),AND(ISNUMBER($U240),$U241="")),VLOOKUP(IF($U240&gt;$L$63,$L$63,$U240),$L$52:$N$63,COLUMNS($L$52:$N$52),FALSE),0)=0,"",IF(OR(AND(ISNUMBER($U240),IF(ISNUMBER($U241),$U241,0)-IF(ISNUMBER($U240),$U240,0)=1),AND(ISNUMBER($U240),$U241="")),VLOOKUP(IF($U240&gt;$L$63,$L$63,$U240),$L$52:$N$63,COLUMNS($L$52:$N$52),FALSE),0))</f>
        <v/>
      </c>
      <c r="AD240" s="22" t="str">
        <f t="shared" si="47"/>
        <v/>
      </c>
      <c r="AE240" s="22" t="str" cm="1">
        <f t="array" ref="AE240">IF(($K240-$N$48)&lt;1,"",IF((IF(INDEX($AC$176:$AC$905,($K240-$N$48))="",0,INDEX($AC$176:$AC$905,($K240-$N$48))))=0,"",(IF(INDEX($AC$176:$AC$905,($K240-$N$48))="",0,INDEX($AC$176:$AC$905,($K240-$N$48))))))</f>
        <v/>
      </c>
      <c r="AF240" s="31" t="str">
        <f t="shared" ref="AF240:AF303" si="58">IF($O$67="Invoice",IF(AND(ISNUMBER($AC240),ISNUMBER($O$68)),$AC240*$O$68*-1,""),IF($O$67="Payment",IF(AND(ISNUMBER($AE240),ISNUMBER($O$68)),$AE240*$O$68*-1,""),""))</f>
        <v/>
      </c>
      <c r="AG240" s="31" t="str">
        <f t="shared" ref="AG240:AG303" si="59">IF($O$67="Invoice",IF(AND(ISNUMBER($AC240),ISNUMBER($O$69)),$AC240*$O$69*-1,""),IF($O$67="Payment",IF(AND(ISNUMBER($AE240),ISNUMBER($O$69)),$AE240*$O$69*-1,""),""))</f>
        <v/>
      </c>
      <c r="AH240" s="31" t="str">
        <f t="shared" ref="AH240:AH303" si="60">IF($O$67="Invoice",IF(AND(ISNUMBER($AC240),ISNUMBER($O$70)),$AC240*$O$70*-1,""),IF($O$67="Payment",IF(AND(ISNUMBER($AE240),ISNUMBER($O$70)),$AE240*$O$70*-1,""),""))</f>
        <v/>
      </c>
      <c r="AI240" s="31" t="str">
        <f t="shared" ref="AI240:AI303" si="61">IF($O$67="Invoice",IF(AND(ISNUMBER($AC240),ISNUMBER($O$71)),$AC240*$O$71*-1,""),IF($O$67="Payment",IF(AND(ISNUMBER($AE240),ISNUMBER($O$71)),$AE240*$O$71*-1,""),""))</f>
        <v/>
      </c>
      <c r="AJ240" s="303" t="str">
        <f t="shared" ref="AJ240:AJ303" si="62">IF($O$67="Invoice",IF(AND(ISNUMBER($AC240),ISNUMBER($O$72)),$AC240*$O$72*-1,""),IF($O$67="Payment",IF(AND(ISNUMBER($AE240),ISNUMBER($O$72)),$AE240*$O$72*-1,""),""))</f>
        <v/>
      </c>
      <c r="AK240" s="139" t="str">
        <f t="shared" ref="AK240:AK303" si="63">IF($O$67="Invoice",IF(AND(ISNUMBER($AC240),ISNUMBER($O$73)),$AC240*$O$73*-1,""),IF($O$67="Payment",IF(AND(ISNUMBER($AE240),ISNUMBER($O$73)),$AE240*$O$73*-1,""),""))</f>
        <v/>
      </c>
      <c r="AM240" s="319"/>
      <c r="AN240" s="40"/>
      <c r="AO240" s="1"/>
    </row>
    <row r="241" spans="7:41" x14ac:dyDescent="0.25">
      <c r="G241" s="235" t="str">
        <f t="shared" si="49"/>
        <v>07.00</v>
      </c>
      <c r="H241" s="4" t="str">
        <f t="shared" si="50"/>
        <v>07.00.R</v>
      </c>
      <c r="I241" s="11" t="str">
        <f t="shared" si="51"/>
        <v>07.00.R.1</v>
      </c>
      <c r="K241" s="30">
        <v>66</v>
      </c>
      <c r="L241" s="29">
        <f t="shared" ref="L241:L304" si="64">IF(ISNUMBER($M241),$M241+$L240,$L240)</f>
        <v>-33499.458169707948</v>
      </c>
      <c r="M241" s="28">
        <f t="shared" si="52"/>
        <v>-2613.6334541011352</v>
      </c>
      <c r="N241" s="27" t="str">
        <f t="shared" ref="N241:N304" si="65">IF($K240&lt;$N$25,$N240+1,"")</f>
        <v/>
      </c>
      <c r="O241" s="26">
        <f>IF(AND($Q240=$O$38,IFERROR(LARGE($V$176:$V240,1)&lt;$N$42,TRUE)),1,IF(AND(ISNUMBER($O240),$O240&lt;$N$32),$O240+1,""))</f>
        <v>1</v>
      </c>
      <c r="P241" s="26" t="str">
        <f t="shared" ref="P241:P304" si="66">IF(OR($N240=$N$25,O240=$N$32),1,IF(AND($P240&lt;$O$37,P240&gt;0),P240+1,""))</f>
        <v/>
      </c>
      <c r="Q241" s="26" t="str">
        <f t="shared" si="53"/>
        <v/>
      </c>
      <c r="R241" s="24" t="str">
        <f t="shared" ref="R241:R304" si="67">IF(AND($P240=$O$37,$R240=""),1,IF($R240&lt;($N$43*$N$44),$R240+1,""))</f>
        <v/>
      </c>
      <c r="S241" s="180">
        <f t="shared" si="48"/>
        <v>7</v>
      </c>
      <c r="T241" s="151"/>
      <c r="U241" s="25" t="str">
        <f t="shared" si="54"/>
        <v/>
      </c>
      <c r="V241" s="24" t="str">
        <f>IF(AND(ISNUMBER(R240),ISNUMBER(R241)),V240,IF(AND(R240="",ISNUMBER(R241)),IFERROR(LARGE($V$176:$V240,1)+1,0),""))</f>
        <v/>
      </c>
      <c r="W241" s="23">
        <f t="shared" si="55"/>
        <v>-1018.3530285882483</v>
      </c>
      <c r="X241" s="22">
        <f t="shared" si="56"/>
        <v>-1595.2804255128869</v>
      </c>
      <c r="Y241" s="22"/>
      <c r="Z241" s="22"/>
      <c r="AA241" s="22"/>
      <c r="AB241" s="22" t="str" cm="1">
        <f t="array" ref="AB241">IF(IF(AND($P240="",$P241=1),($N$37*-1),0)+IF(AND($Q240="",$Q241=1),($N$38*-1),0)+IF(IF(($K241-$N$48)&lt;1,0,IF(IF(INDEX($AD$176:$AD$905,($K241-$N$48))="",0,INDEX($AD$176:$AD$905,($K241-$N$48)))&gt;0,IF(INDEX($AD$176:$AD$905,($K241-$N$48))="",0,INDEX($AD$176:$AD$905,($K241-$N$48))),0))="",0,IF(($K241-$N$48)&lt;1,0,IF(IF(INDEX($AD$176:$AD$905,($K241-$N$48))="",0,INDEX($AD$176:$AD$905,($K241-$N$48)))&gt;0,IF(INDEX($AD$176:$AD$905,($K241-$N$48))="",0,INDEX($AD$176:$AD$905,($K241-$N$48))),0)))=0,"",IF(AND($P240="",$P241=1),($N$37*-1),0)+IF(AND($Q240="",$Q241=1),($N$38*-1),0)+IF(IF(($K241-$N$48)&lt;1,0,IF(IF(INDEX($AD$176:$AD$905,($K241-$N$48))="",0,INDEX($AD$176:$AD$905,($K241-$N$48)))&gt;0,IF(INDEX($AD$176:$AD$905,($K241-$N$48))="",0,INDEX($AD$176:$AD$905,($K241-$N$48))),0))="",0,IF(($K241-$N$48)&lt;1,0,IF(IF(INDEX($AD$176:$AD$905,($K241-$N$48))="",0,INDEX($AD$176:$AD$905,($K241-$N$48)))&gt;0,IF(INDEX($AD$176:$AD$905,($K241-$N$48))="",0,INDEX($AD$176:$AD$905,($K241-$N$48))),0))))</f>
        <v/>
      </c>
      <c r="AC241" s="22" t="str">
        <f t="shared" si="57"/>
        <v/>
      </c>
      <c r="AD241" s="22" t="str">
        <f t="shared" si="47"/>
        <v/>
      </c>
      <c r="AE241" s="22" t="str" cm="1">
        <f t="array" ref="AE241">IF(($K241-$N$48)&lt;1,"",IF((IF(INDEX($AC$176:$AC$905,($K241-$N$48))="",0,INDEX($AC$176:$AC$905,($K241-$N$48))))=0,"",(IF(INDEX($AC$176:$AC$905,($K241-$N$48))="",0,INDEX($AC$176:$AC$905,($K241-$N$48))))))</f>
        <v/>
      </c>
      <c r="AF241" s="31" t="str">
        <f t="shared" si="58"/>
        <v/>
      </c>
      <c r="AG241" s="31" t="str">
        <f t="shared" si="59"/>
        <v/>
      </c>
      <c r="AH241" s="31" t="str">
        <f t="shared" si="60"/>
        <v/>
      </c>
      <c r="AI241" s="31" t="str">
        <f t="shared" si="61"/>
        <v/>
      </c>
      <c r="AJ241" s="303" t="str">
        <f t="shared" si="62"/>
        <v/>
      </c>
      <c r="AK241" s="139" t="str">
        <f t="shared" si="63"/>
        <v/>
      </c>
      <c r="AM241" s="319"/>
      <c r="AN241" s="40"/>
      <c r="AO241" s="1"/>
    </row>
    <row r="242" spans="7:41" x14ac:dyDescent="0.25">
      <c r="G242" s="235" t="str">
        <f t="shared" si="49"/>
        <v>07.00</v>
      </c>
      <c r="H242" s="4" t="str">
        <f t="shared" si="50"/>
        <v>07.00.R</v>
      </c>
      <c r="I242" s="11" t="str">
        <f t="shared" si="51"/>
        <v>07.00.R.2</v>
      </c>
      <c r="K242" s="30">
        <v>67</v>
      </c>
      <c r="L242" s="29">
        <f t="shared" si="64"/>
        <v>-33499.458169707948</v>
      </c>
      <c r="M242" s="28" t="str">
        <f t="shared" si="52"/>
        <v/>
      </c>
      <c r="N242" s="27" t="str">
        <f t="shared" si="65"/>
        <v/>
      </c>
      <c r="O242" s="26">
        <f>IF(AND($Q241=$O$38,IFERROR(LARGE($V$176:$V241,1)&lt;$N$42,TRUE)),1,IF(AND(ISNUMBER($O241),$O241&lt;$N$32),$O241+1,""))</f>
        <v>2</v>
      </c>
      <c r="P242" s="26" t="str">
        <f t="shared" si="66"/>
        <v/>
      </c>
      <c r="Q242" s="26" t="str">
        <f t="shared" si="53"/>
        <v/>
      </c>
      <c r="R242" s="24" t="str">
        <f t="shared" si="67"/>
        <v/>
      </c>
      <c r="S242" s="180">
        <f t="shared" si="48"/>
        <v>7</v>
      </c>
      <c r="T242" s="151"/>
      <c r="U242" s="25" t="str">
        <f t="shared" si="54"/>
        <v/>
      </c>
      <c r="V242" s="24" t="str">
        <f>IF(AND(ISNUMBER(R241),ISNUMBER(R242)),V241,IF(AND(R241="",ISNUMBER(R242)),IFERROR(LARGE($V$176:$V241,1)+1,0),""))</f>
        <v/>
      </c>
      <c r="W242" s="23" t="str">
        <f t="shared" si="55"/>
        <v/>
      </c>
      <c r="X242" s="22" t="str">
        <f t="shared" si="56"/>
        <v/>
      </c>
      <c r="Y242" s="22"/>
      <c r="Z242" s="22"/>
      <c r="AA242" s="22"/>
      <c r="AB242" s="22" t="str" cm="1">
        <f t="array" ref="AB242">IF(IF(AND($P241="",$P242=1),($N$37*-1),0)+IF(AND($Q241="",$Q242=1),($N$38*-1),0)+IF(IF(($K242-$N$48)&lt;1,0,IF(IF(INDEX($AD$176:$AD$905,($K242-$N$48))="",0,INDEX($AD$176:$AD$905,($K242-$N$48)))&gt;0,IF(INDEX($AD$176:$AD$905,($K242-$N$48))="",0,INDEX($AD$176:$AD$905,($K242-$N$48))),0))="",0,IF(($K242-$N$48)&lt;1,0,IF(IF(INDEX($AD$176:$AD$905,($K242-$N$48))="",0,INDEX($AD$176:$AD$905,($K242-$N$48)))&gt;0,IF(INDEX($AD$176:$AD$905,($K242-$N$48))="",0,INDEX($AD$176:$AD$905,($K242-$N$48))),0)))=0,"",IF(AND($P241="",$P242=1),($N$37*-1),0)+IF(AND($Q241="",$Q242=1),($N$38*-1),0)+IF(IF(($K242-$N$48)&lt;1,0,IF(IF(INDEX($AD$176:$AD$905,($K242-$N$48))="",0,INDEX($AD$176:$AD$905,($K242-$N$48)))&gt;0,IF(INDEX($AD$176:$AD$905,($K242-$N$48))="",0,INDEX($AD$176:$AD$905,($K242-$N$48))),0))="",0,IF(($K242-$N$48)&lt;1,0,IF(IF(INDEX($AD$176:$AD$905,($K242-$N$48))="",0,INDEX($AD$176:$AD$905,($K242-$N$48)))&gt;0,IF(INDEX($AD$176:$AD$905,($K242-$N$48))="",0,INDEX($AD$176:$AD$905,($K242-$N$48))),0))))</f>
        <v/>
      </c>
      <c r="AC242" s="22" t="str">
        <f t="shared" si="57"/>
        <v/>
      </c>
      <c r="AD242" s="22" t="str">
        <f t="shared" si="47"/>
        <v/>
      </c>
      <c r="AE242" s="22" t="str" cm="1">
        <f t="array" ref="AE242">IF(($K242-$N$48)&lt;1,"",IF((IF(INDEX($AC$176:$AC$905,($K242-$N$48))="",0,INDEX($AC$176:$AC$905,($K242-$N$48))))=0,"",(IF(INDEX($AC$176:$AC$905,($K242-$N$48))="",0,INDEX($AC$176:$AC$905,($K242-$N$48))))))</f>
        <v/>
      </c>
      <c r="AF242" s="31" t="str">
        <f t="shared" si="58"/>
        <v/>
      </c>
      <c r="AG242" s="31" t="str">
        <f t="shared" si="59"/>
        <v/>
      </c>
      <c r="AH242" s="31" t="str">
        <f t="shared" si="60"/>
        <v/>
      </c>
      <c r="AI242" s="31" t="str">
        <f t="shared" si="61"/>
        <v/>
      </c>
      <c r="AJ242" s="303" t="str">
        <f t="shared" si="62"/>
        <v/>
      </c>
      <c r="AK242" s="139" t="str">
        <f t="shared" si="63"/>
        <v/>
      </c>
      <c r="AM242" s="319"/>
      <c r="AN242" s="40"/>
      <c r="AO242" s="1"/>
    </row>
    <row r="243" spans="7:41" x14ac:dyDescent="0.25">
      <c r="G243" s="235" t="str">
        <f t="shared" si="49"/>
        <v>07.00</v>
      </c>
      <c r="H243" s="4" t="str">
        <f t="shared" si="50"/>
        <v>07.00.R</v>
      </c>
      <c r="I243" s="11" t="str">
        <f t="shared" si="51"/>
        <v>07.00.R.3</v>
      </c>
      <c r="K243" s="30">
        <v>68</v>
      </c>
      <c r="L243" s="29">
        <f t="shared" si="64"/>
        <v>-33499.458169707948</v>
      </c>
      <c r="M243" s="28" t="str">
        <f t="shared" si="52"/>
        <v/>
      </c>
      <c r="N243" s="27" t="str">
        <f t="shared" si="65"/>
        <v/>
      </c>
      <c r="O243" s="26">
        <f>IF(AND($Q242=$O$38,IFERROR(LARGE($V$176:$V242,1)&lt;$N$42,TRUE)),1,IF(AND(ISNUMBER($O242),$O242&lt;$N$32),$O242+1,""))</f>
        <v>3</v>
      </c>
      <c r="P243" s="26" t="str">
        <f t="shared" si="66"/>
        <v/>
      </c>
      <c r="Q243" s="26" t="str">
        <f t="shared" si="53"/>
        <v/>
      </c>
      <c r="R243" s="24" t="str">
        <f t="shared" si="67"/>
        <v/>
      </c>
      <c r="S243" s="180">
        <f t="shared" si="48"/>
        <v>7</v>
      </c>
      <c r="T243" s="151"/>
      <c r="U243" s="25" t="str">
        <f t="shared" si="54"/>
        <v/>
      </c>
      <c r="V243" s="24" t="str">
        <f>IF(AND(ISNUMBER(R242),ISNUMBER(R243)),V242,IF(AND(R242="",ISNUMBER(R243)),IFERROR(LARGE($V$176:$V242,1)+1,0),""))</f>
        <v/>
      </c>
      <c r="W243" s="23" t="str">
        <f t="shared" si="55"/>
        <v/>
      </c>
      <c r="X243" s="22" t="str">
        <f t="shared" si="56"/>
        <v/>
      </c>
      <c r="Y243" s="22"/>
      <c r="Z243" s="22"/>
      <c r="AA243" s="22"/>
      <c r="AB243" s="22" t="str" cm="1">
        <f t="array" ref="AB243">IF(IF(AND($P242="",$P243=1),($N$37*-1),0)+IF(AND($Q242="",$Q243=1),($N$38*-1),0)+IF(IF(($K243-$N$48)&lt;1,0,IF(IF(INDEX($AD$176:$AD$905,($K243-$N$48))="",0,INDEX($AD$176:$AD$905,($K243-$N$48)))&gt;0,IF(INDEX($AD$176:$AD$905,($K243-$N$48))="",0,INDEX($AD$176:$AD$905,($K243-$N$48))),0))="",0,IF(($K243-$N$48)&lt;1,0,IF(IF(INDEX($AD$176:$AD$905,($K243-$N$48))="",0,INDEX($AD$176:$AD$905,($K243-$N$48)))&gt;0,IF(INDEX($AD$176:$AD$905,($K243-$N$48))="",0,INDEX($AD$176:$AD$905,($K243-$N$48))),0)))=0,"",IF(AND($P242="",$P243=1),($N$37*-1),0)+IF(AND($Q242="",$Q243=1),($N$38*-1),0)+IF(IF(($K243-$N$48)&lt;1,0,IF(IF(INDEX($AD$176:$AD$905,($K243-$N$48))="",0,INDEX($AD$176:$AD$905,($K243-$N$48)))&gt;0,IF(INDEX($AD$176:$AD$905,($K243-$N$48))="",0,INDEX($AD$176:$AD$905,($K243-$N$48))),0))="",0,IF(($K243-$N$48)&lt;1,0,IF(IF(INDEX($AD$176:$AD$905,($K243-$N$48))="",0,INDEX($AD$176:$AD$905,($K243-$N$48)))&gt;0,IF(INDEX($AD$176:$AD$905,($K243-$N$48))="",0,INDEX($AD$176:$AD$905,($K243-$N$48))),0))))</f>
        <v/>
      </c>
      <c r="AC243" s="22" t="str">
        <f t="shared" si="57"/>
        <v/>
      </c>
      <c r="AD243" s="22" t="str">
        <f t="shared" si="47"/>
        <v/>
      </c>
      <c r="AE243" s="22" t="str" cm="1">
        <f t="array" ref="AE243">IF(($K243-$N$48)&lt;1,"",IF((IF(INDEX($AC$176:$AC$905,($K243-$N$48))="",0,INDEX($AC$176:$AC$905,($K243-$N$48))))=0,"",(IF(INDEX($AC$176:$AC$905,($K243-$N$48))="",0,INDEX($AC$176:$AC$905,($K243-$N$48))))))</f>
        <v/>
      </c>
      <c r="AF243" s="31" t="str">
        <f t="shared" si="58"/>
        <v/>
      </c>
      <c r="AG243" s="31" t="str">
        <f t="shared" si="59"/>
        <v/>
      </c>
      <c r="AH243" s="31" t="str">
        <f t="shared" si="60"/>
        <v/>
      </c>
      <c r="AI243" s="31" t="str">
        <f t="shared" si="61"/>
        <v/>
      </c>
      <c r="AJ243" s="303" t="str">
        <f t="shared" si="62"/>
        <v/>
      </c>
      <c r="AK243" s="139" t="str">
        <f t="shared" si="63"/>
        <v/>
      </c>
      <c r="AM243" s="319"/>
      <c r="AN243" s="40"/>
      <c r="AO243" s="1"/>
    </row>
    <row r="244" spans="7:41" x14ac:dyDescent="0.25">
      <c r="G244" s="235" t="str">
        <f t="shared" si="49"/>
        <v>07.00</v>
      </c>
      <c r="H244" s="4" t="str">
        <f t="shared" si="50"/>
        <v>07.00.O</v>
      </c>
      <c r="I244" s="11" t="str">
        <f t="shared" si="51"/>
        <v>07.00.O.1</v>
      </c>
      <c r="K244" s="30">
        <v>69</v>
      </c>
      <c r="L244" s="29">
        <f t="shared" si="64"/>
        <v>-28334.458169707948</v>
      </c>
      <c r="M244" s="28">
        <f t="shared" si="52"/>
        <v>5165</v>
      </c>
      <c r="N244" s="27" t="str">
        <f t="shared" si="65"/>
        <v/>
      </c>
      <c r="O244" s="26" t="str">
        <f>IF(AND($Q243=$O$38,IFERROR(LARGE($V$176:$V243,1)&lt;$N$42,TRUE)),1,IF(AND(ISNUMBER($O243),$O243&lt;$N$32),$O243+1,""))</f>
        <v/>
      </c>
      <c r="P244" s="26">
        <f t="shared" si="66"/>
        <v>1</v>
      </c>
      <c r="Q244" s="26" t="str">
        <f t="shared" si="53"/>
        <v/>
      </c>
      <c r="R244" s="24" t="str">
        <f t="shared" si="67"/>
        <v/>
      </c>
      <c r="S244" s="180">
        <f t="shared" si="48"/>
        <v>7</v>
      </c>
      <c r="T244" s="151"/>
      <c r="U244" s="25" t="str">
        <f t="shared" si="54"/>
        <v/>
      </c>
      <c r="V244" s="24" t="str">
        <f>IF(AND(ISNUMBER(R243),ISNUMBER(R244)),V243,IF(AND(R243="",ISNUMBER(R244)),IFERROR(LARGE($V$176:$V243,1)+1,0),""))</f>
        <v/>
      </c>
      <c r="W244" s="23" t="str">
        <f t="shared" si="55"/>
        <v/>
      </c>
      <c r="X244" s="22" t="str">
        <f t="shared" si="56"/>
        <v/>
      </c>
      <c r="Y244" s="22"/>
      <c r="Z244" s="22"/>
      <c r="AA244" s="22"/>
      <c r="AB244" s="22" cm="1">
        <f t="array" ref="AB244">IF(IF(AND($P243="",$P244=1),($N$37*-1),0)+IF(AND($Q243="",$Q244=1),($N$38*-1),0)+IF(IF(($K244-$N$48)&lt;1,0,IF(IF(INDEX($AD$176:$AD$905,($K244-$N$48))="",0,INDEX($AD$176:$AD$905,($K244-$N$48)))&gt;0,IF(INDEX($AD$176:$AD$905,($K244-$N$48))="",0,INDEX($AD$176:$AD$905,($K244-$N$48))),0))="",0,IF(($K244-$N$48)&lt;1,0,IF(IF(INDEX($AD$176:$AD$905,($K244-$N$48))="",0,INDEX($AD$176:$AD$905,($K244-$N$48)))&gt;0,IF(INDEX($AD$176:$AD$905,($K244-$N$48))="",0,INDEX($AD$176:$AD$905,($K244-$N$48))),0)))=0,"",IF(AND($P243="",$P244=1),($N$37*-1),0)+IF(AND($Q243="",$Q244=1),($N$38*-1),0)+IF(IF(($K244-$N$48)&lt;1,0,IF(IF(INDEX($AD$176:$AD$905,($K244-$N$48))="",0,INDEX($AD$176:$AD$905,($K244-$N$48)))&gt;0,IF(INDEX($AD$176:$AD$905,($K244-$N$48))="",0,INDEX($AD$176:$AD$905,($K244-$N$48))),0))="",0,IF(($K244-$N$48)&lt;1,0,IF(IF(INDEX($AD$176:$AD$905,($K244-$N$48))="",0,INDEX($AD$176:$AD$905,($K244-$N$48)))&gt;0,IF(INDEX($AD$176:$AD$905,($K244-$N$48))="",0,INDEX($AD$176:$AD$905,($K244-$N$48))),0))))</f>
        <v>325</v>
      </c>
      <c r="AC244" s="22" t="str">
        <f t="shared" si="57"/>
        <v/>
      </c>
      <c r="AD244" s="22" t="str">
        <f t="shared" si="47"/>
        <v/>
      </c>
      <c r="AE244" s="22" cm="1">
        <f t="array" ref="AE244">IF(($K244-$N$48)&lt;1,"",IF((IF(INDEX($AC$176:$AC$905,($K244-$N$48))="",0,INDEX($AC$176:$AC$905,($K244-$N$48))))=0,"",(IF(INDEX($AC$176:$AC$905,($K244-$N$48))="",0,INDEX($AC$176:$AC$905,($K244-$N$48))))))</f>
        <v>5500</v>
      </c>
      <c r="AF244" s="31">
        <f t="shared" si="58"/>
        <v>0</v>
      </c>
      <c r="AG244" s="31">
        <f t="shared" si="59"/>
        <v>-82.5</v>
      </c>
      <c r="AH244" s="31">
        <f t="shared" si="60"/>
        <v>-110</v>
      </c>
      <c r="AI244" s="31">
        <f t="shared" si="61"/>
        <v>-27.5</v>
      </c>
      <c r="AJ244" s="303">
        <f t="shared" si="62"/>
        <v>-440</v>
      </c>
      <c r="AK244" s="139">
        <f t="shared" si="63"/>
        <v>-440</v>
      </c>
      <c r="AM244" s="319"/>
      <c r="AN244" s="40"/>
      <c r="AO244" s="1"/>
    </row>
    <row r="245" spans="7:41" x14ac:dyDescent="0.25">
      <c r="G245" s="235" t="str">
        <f t="shared" si="49"/>
        <v>07.00</v>
      </c>
      <c r="H245" s="4" t="str">
        <f t="shared" si="50"/>
        <v>07.00.O</v>
      </c>
      <c r="I245" s="11" t="str">
        <f t="shared" si="51"/>
        <v>07.00.O.2</v>
      </c>
      <c r="K245" s="30">
        <v>70</v>
      </c>
      <c r="L245" s="29">
        <f t="shared" si="64"/>
        <v>-28334.458169707948</v>
      </c>
      <c r="M245" s="28" t="str">
        <f t="shared" si="52"/>
        <v/>
      </c>
      <c r="N245" s="27" t="str">
        <f t="shared" si="65"/>
        <v/>
      </c>
      <c r="O245" s="26" t="str">
        <f>IF(AND($Q244=$O$38,IFERROR(LARGE($V$176:$V244,1)&lt;$N$42,TRUE)),1,IF(AND(ISNUMBER($O244),$O244&lt;$N$32),$O244+1,""))</f>
        <v/>
      </c>
      <c r="P245" s="26">
        <f t="shared" si="66"/>
        <v>2</v>
      </c>
      <c r="Q245" s="26" t="str">
        <f t="shared" si="53"/>
        <v/>
      </c>
      <c r="R245" s="24" t="str">
        <f t="shared" si="67"/>
        <v/>
      </c>
      <c r="S245" s="180">
        <f t="shared" si="48"/>
        <v>7</v>
      </c>
      <c r="T245" s="151"/>
      <c r="U245" s="25" t="str">
        <f t="shared" si="54"/>
        <v/>
      </c>
      <c r="V245" s="24" t="str">
        <f>IF(AND(ISNUMBER(R244),ISNUMBER(R245)),V244,IF(AND(R244="",ISNUMBER(R245)),IFERROR(LARGE($V$176:$V244,1)+1,0),""))</f>
        <v/>
      </c>
      <c r="W245" s="23" t="str">
        <f t="shared" si="55"/>
        <v/>
      </c>
      <c r="X245" s="22" t="str">
        <f t="shared" si="56"/>
        <v/>
      </c>
      <c r="Y245" s="22"/>
      <c r="Z245" s="22"/>
      <c r="AA245" s="22"/>
      <c r="AB245" s="22" t="str" cm="1">
        <f t="array" ref="AB245">IF(IF(AND($P244="",$P245=1),($N$37*-1),0)+IF(AND($Q244="",$Q245=1),($N$38*-1),0)+IF(IF(($K245-$N$48)&lt;1,0,IF(IF(INDEX($AD$176:$AD$905,($K245-$N$48))="",0,INDEX($AD$176:$AD$905,($K245-$N$48)))&gt;0,IF(INDEX($AD$176:$AD$905,($K245-$N$48))="",0,INDEX($AD$176:$AD$905,($K245-$N$48))),0))="",0,IF(($K245-$N$48)&lt;1,0,IF(IF(INDEX($AD$176:$AD$905,($K245-$N$48))="",0,INDEX($AD$176:$AD$905,($K245-$N$48)))&gt;0,IF(INDEX($AD$176:$AD$905,($K245-$N$48))="",0,INDEX($AD$176:$AD$905,($K245-$N$48))),0)))=0,"",IF(AND($P244="",$P245=1),($N$37*-1),0)+IF(AND($Q244="",$Q245=1),($N$38*-1),0)+IF(IF(($K245-$N$48)&lt;1,0,IF(IF(INDEX($AD$176:$AD$905,($K245-$N$48))="",0,INDEX($AD$176:$AD$905,($K245-$N$48)))&gt;0,IF(INDEX($AD$176:$AD$905,($K245-$N$48))="",0,INDEX($AD$176:$AD$905,($K245-$N$48))),0))="",0,IF(($K245-$N$48)&lt;1,0,IF(IF(INDEX($AD$176:$AD$905,($K245-$N$48))="",0,INDEX($AD$176:$AD$905,($K245-$N$48)))&gt;0,IF(INDEX($AD$176:$AD$905,($K245-$N$48))="",0,INDEX($AD$176:$AD$905,($K245-$N$48))),0))))</f>
        <v/>
      </c>
      <c r="AC245" s="22" t="str">
        <f t="shared" si="57"/>
        <v/>
      </c>
      <c r="AD245" s="22" t="str">
        <f t="shared" si="47"/>
        <v/>
      </c>
      <c r="AE245" s="22" t="str" cm="1">
        <f t="array" ref="AE245">IF(($K245-$N$48)&lt;1,"",IF((IF(INDEX($AC$176:$AC$905,($K245-$N$48))="",0,INDEX($AC$176:$AC$905,($K245-$N$48))))=0,"",(IF(INDEX($AC$176:$AC$905,($K245-$N$48))="",0,INDEX($AC$176:$AC$905,($K245-$N$48))))))</f>
        <v/>
      </c>
      <c r="AF245" s="31" t="str">
        <f t="shared" si="58"/>
        <v/>
      </c>
      <c r="AG245" s="31" t="str">
        <f t="shared" si="59"/>
        <v/>
      </c>
      <c r="AH245" s="31" t="str">
        <f t="shared" si="60"/>
        <v/>
      </c>
      <c r="AI245" s="31" t="str">
        <f t="shared" si="61"/>
        <v/>
      </c>
      <c r="AJ245" s="303" t="str">
        <f t="shared" si="62"/>
        <v/>
      </c>
      <c r="AK245" s="139" t="str">
        <f t="shared" si="63"/>
        <v/>
      </c>
      <c r="AM245" s="319"/>
      <c r="AN245" s="40"/>
      <c r="AO245" s="1"/>
    </row>
    <row r="246" spans="7:41" x14ac:dyDescent="0.25">
      <c r="G246" s="235" t="str">
        <f t="shared" si="49"/>
        <v>07.01</v>
      </c>
      <c r="H246" s="4" t="str">
        <f t="shared" si="50"/>
        <v>07.01.D</v>
      </c>
      <c r="I246" s="11" t="str">
        <f t="shared" si="51"/>
        <v>07.01.D.1</v>
      </c>
      <c r="K246" s="30">
        <v>71</v>
      </c>
      <c r="L246" s="29">
        <f t="shared" si="64"/>
        <v>-28334.458169707948</v>
      </c>
      <c r="M246" s="28" t="str">
        <f t="shared" si="52"/>
        <v/>
      </c>
      <c r="N246" s="27" t="str">
        <f t="shared" si="65"/>
        <v/>
      </c>
      <c r="O246" s="26" t="str">
        <f>IF(AND($Q245=$O$38,IFERROR(LARGE($V$176:$V245,1)&lt;$N$42,TRUE)),1,IF(AND(ISNUMBER($O245),$O245&lt;$N$32),$O245+1,""))</f>
        <v/>
      </c>
      <c r="P246" s="26" t="str">
        <f t="shared" si="66"/>
        <v/>
      </c>
      <c r="Q246" s="26" t="str">
        <f t="shared" si="53"/>
        <v/>
      </c>
      <c r="R246" s="24">
        <f t="shared" si="67"/>
        <v>1</v>
      </c>
      <c r="S246" s="180">
        <f t="shared" si="48"/>
        <v>7.01</v>
      </c>
      <c r="T246" s="151"/>
      <c r="U246" s="25">
        <f t="shared" si="54"/>
        <v>1</v>
      </c>
      <c r="V246" s="24">
        <f>IF(AND(ISNUMBER(R245),ISNUMBER(R246)),V245,IF(AND(R245="",ISNUMBER(R246)),IFERROR(LARGE($V$176:$V245,1)+1,0),""))</f>
        <v>7</v>
      </c>
      <c r="W246" s="23" t="str">
        <f t="shared" si="55"/>
        <v/>
      </c>
      <c r="X246" s="22" t="str">
        <f t="shared" si="56"/>
        <v/>
      </c>
      <c r="Y246" s="22"/>
      <c r="Z246" s="22"/>
      <c r="AA246" s="22"/>
      <c r="AB246" s="22" t="str" cm="1">
        <f t="array" ref="AB246">IF(IF(AND($P245="",$P246=1),($N$37*-1),0)+IF(AND($Q245="",$Q246=1),($N$38*-1),0)+IF(IF(($K246-$N$48)&lt;1,0,IF(IF(INDEX($AD$176:$AD$905,($K246-$N$48))="",0,INDEX($AD$176:$AD$905,($K246-$N$48)))&gt;0,IF(INDEX($AD$176:$AD$905,($K246-$N$48))="",0,INDEX($AD$176:$AD$905,($K246-$N$48))),0))="",0,IF(($K246-$N$48)&lt;1,0,IF(IF(INDEX($AD$176:$AD$905,($K246-$N$48))="",0,INDEX($AD$176:$AD$905,($K246-$N$48)))&gt;0,IF(INDEX($AD$176:$AD$905,($K246-$N$48))="",0,INDEX($AD$176:$AD$905,($K246-$N$48))),0)))=0,"",IF(AND($P245="",$P246=1),($N$37*-1),0)+IF(AND($Q245="",$Q246=1),($N$38*-1),0)+IF(IF(($K246-$N$48)&lt;1,0,IF(IF(INDEX($AD$176:$AD$905,($K246-$N$48))="",0,INDEX($AD$176:$AD$905,($K246-$N$48)))&gt;0,IF(INDEX($AD$176:$AD$905,($K246-$N$48))="",0,INDEX($AD$176:$AD$905,($K246-$N$48))),0))="",0,IF(($K246-$N$48)&lt;1,0,IF(IF(INDEX($AD$176:$AD$905,($K246-$N$48))="",0,INDEX($AD$176:$AD$905,($K246-$N$48)))&gt;0,IF(INDEX($AD$176:$AD$905,($K246-$N$48))="",0,INDEX($AD$176:$AD$905,($K246-$N$48))),0))))</f>
        <v/>
      </c>
      <c r="AC246" s="22" t="str">
        <f t="shared" si="57"/>
        <v/>
      </c>
      <c r="AD246" s="22" t="str">
        <f t="shared" si="47"/>
        <v/>
      </c>
      <c r="AE246" s="22" t="str" cm="1">
        <f t="array" ref="AE246">IF(($K246-$N$48)&lt;1,"",IF((IF(INDEX($AC$176:$AC$905,($K246-$N$48))="",0,INDEX($AC$176:$AC$905,($K246-$N$48))))=0,"",(IF(INDEX($AC$176:$AC$905,($K246-$N$48))="",0,INDEX($AC$176:$AC$905,($K246-$N$48))))))</f>
        <v/>
      </c>
      <c r="AF246" s="31" t="str">
        <f t="shared" si="58"/>
        <v/>
      </c>
      <c r="AG246" s="31" t="str">
        <f t="shared" si="59"/>
        <v/>
      </c>
      <c r="AH246" s="31" t="str">
        <f t="shared" si="60"/>
        <v/>
      </c>
      <c r="AI246" s="31" t="str">
        <f t="shared" si="61"/>
        <v/>
      </c>
      <c r="AJ246" s="303" t="str">
        <f t="shared" si="62"/>
        <v/>
      </c>
      <c r="AK246" s="139" t="str">
        <f t="shared" si="63"/>
        <v/>
      </c>
      <c r="AM246" s="319"/>
      <c r="AN246" s="40"/>
      <c r="AO246" s="1"/>
    </row>
    <row r="247" spans="7:41" x14ac:dyDescent="0.25">
      <c r="G247" s="235" t="str">
        <f t="shared" si="49"/>
        <v>07.01</v>
      </c>
      <c r="H247" s="4" t="str">
        <f t="shared" si="50"/>
        <v>07.01.D</v>
      </c>
      <c r="I247" s="11" t="str">
        <f t="shared" si="51"/>
        <v>07.01.D.2</v>
      </c>
      <c r="K247" s="30">
        <v>72</v>
      </c>
      <c r="L247" s="29">
        <f t="shared" si="64"/>
        <v>-28334.458169707948</v>
      </c>
      <c r="M247" s="28" t="str">
        <f t="shared" si="52"/>
        <v/>
      </c>
      <c r="N247" s="27" t="str">
        <f t="shared" si="65"/>
        <v/>
      </c>
      <c r="O247" s="26" t="str">
        <f>IF(AND($Q246=$O$38,IFERROR(LARGE($V$176:$V246,1)&lt;$N$42,TRUE)),1,IF(AND(ISNUMBER($O246),$O246&lt;$N$32),$O246+1,""))</f>
        <v/>
      </c>
      <c r="P247" s="26" t="str">
        <f t="shared" si="66"/>
        <v/>
      </c>
      <c r="Q247" s="26" t="str">
        <f t="shared" si="53"/>
        <v/>
      </c>
      <c r="R247" s="24">
        <f t="shared" si="67"/>
        <v>2</v>
      </c>
      <c r="S247" s="180">
        <f t="shared" si="48"/>
        <v>7.01</v>
      </c>
      <c r="T247" s="151"/>
      <c r="U247" s="25">
        <f t="shared" si="54"/>
        <v>1</v>
      </c>
      <c r="V247" s="24">
        <f>IF(AND(ISNUMBER(R246),ISNUMBER(R247)),V246,IF(AND(R246="",ISNUMBER(R247)),IFERROR(LARGE($V$176:$V246,1)+1,0),""))</f>
        <v>7</v>
      </c>
      <c r="W247" s="23" t="str">
        <f t="shared" si="55"/>
        <v/>
      </c>
      <c r="X247" s="22" t="str">
        <f t="shared" si="56"/>
        <v/>
      </c>
      <c r="Y247" s="22"/>
      <c r="Z247" s="22"/>
      <c r="AA247" s="22"/>
      <c r="AB247" s="22" t="str" cm="1">
        <f t="array" ref="AB247">IF(IF(AND($P246="",$P247=1),($N$37*-1),0)+IF(AND($Q246="",$Q247=1),($N$38*-1),0)+IF(IF(($K247-$N$48)&lt;1,0,IF(IF(INDEX($AD$176:$AD$905,($K247-$N$48))="",0,INDEX($AD$176:$AD$905,($K247-$N$48)))&gt;0,IF(INDEX($AD$176:$AD$905,($K247-$N$48))="",0,INDEX($AD$176:$AD$905,($K247-$N$48))),0))="",0,IF(($K247-$N$48)&lt;1,0,IF(IF(INDEX($AD$176:$AD$905,($K247-$N$48))="",0,INDEX($AD$176:$AD$905,($K247-$N$48)))&gt;0,IF(INDEX($AD$176:$AD$905,($K247-$N$48))="",0,INDEX($AD$176:$AD$905,($K247-$N$48))),0)))=0,"",IF(AND($P246="",$P247=1),($N$37*-1),0)+IF(AND($Q246="",$Q247=1),($N$38*-1),0)+IF(IF(($K247-$N$48)&lt;1,0,IF(IF(INDEX($AD$176:$AD$905,($K247-$N$48))="",0,INDEX($AD$176:$AD$905,($K247-$N$48)))&gt;0,IF(INDEX($AD$176:$AD$905,($K247-$N$48))="",0,INDEX($AD$176:$AD$905,($K247-$N$48))),0))="",0,IF(($K247-$N$48)&lt;1,0,IF(IF(INDEX($AD$176:$AD$905,($K247-$N$48))="",0,INDEX($AD$176:$AD$905,($K247-$N$48)))&gt;0,IF(INDEX($AD$176:$AD$905,($K247-$N$48))="",0,INDEX($AD$176:$AD$905,($K247-$N$48))),0))))</f>
        <v/>
      </c>
      <c r="AC247" s="22">
        <f t="shared" si="57"/>
        <v>5500</v>
      </c>
      <c r="AD247" s="22">
        <f t="shared" si="47"/>
        <v>525</v>
      </c>
      <c r="AE247" s="22" t="str" cm="1">
        <f t="array" ref="AE247">IF(($K247-$N$48)&lt;1,"",IF((IF(INDEX($AC$176:$AC$905,($K247-$N$48))="",0,INDEX($AC$176:$AC$905,($K247-$N$48))))=0,"",(IF(INDEX($AC$176:$AC$905,($K247-$N$48))="",0,INDEX($AC$176:$AC$905,($K247-$N$48))))))</f>
        <v/>
      </c>
      <c r="AF247" s="31" t="str">
        <f t="shared" si="58"/>
        <v/>
      </c>
      <c r="AG247" s="31" t="str">
        <f t="shared" si="59"/>
        <v/>
      </c>
      <c r="AH247" s="31" t="str">
        <f t="shared" si="60"/>
        <v/>
      </c>
      <c r="AI247" s="31" t="str">
        <f t="shared" si="61"/>
        <v/>
      </c>
      <c r="AJ247" s="303" t="str">
        <f t="shared" si="62"/>
        <v/>
      </c>
      <c r="AK247" s="139" t="str">
        <f t="shared" si="63"/>
        <v/>
      </c>
      <c r="AM247" s="319"/>
      <c r="AN247" s="40"/>
      <c r="AO247" s="1"/>
    </row>
    <row r="248" spans="7:41" x14ac:dyDescent="0.25">
      <c r="G248" s="235" t="str">
        <f t="shared" si="49"/>
        <v>08.00</v>
      </c>
      <c r="H248" s="4" t="str">
        <f t="shared" si="50"/>
        <v>08.00.I</v>
      </c>
      <c r="I248" s="11" t="str">
        <f t="shared" si="51"/>
        <v>08.00.I.1</v>
      </c>
      <c r="K248" s="30">
        <v>73</v>
      </c>
      <c r="L248" s="29">
        <f t="shared" si="64"/>
        <v>-28534.458169707948</v>
      </c>
      <c r="M248" s="28">
        <f t="shared" si="52"/>
        <v>-200</v>
      </c>
      <c r="N248" s="27" t="str">
        <f t="shared" si="65"/>
        <v/>
      </c>
      <c r="O248" s="26" t="str">
        <f>IF(AND($Q247=$O$38,IFERROR(LARGE($V$176:$V247,1)&lt;$N$42,TRUE)),1,IF(AND(ISNUMBER($O247),$O247&lt;$N$32),$O247+1,""))</f>
        <v/>
      </c>
      <c r="P248" s="26" t="str">
        <f t="shared" si="66"/>
        <v/>
      </c>
      <c r="Q248" s="26">
        <f t="shared" si="53"/>
        <v>1</v>
      </c>
      <c r="R248" s="24" t="str">
        <f t="shared" si="67"/>
        <v/>
      </c>
      <c r="S248" s="180">
        <f t="shared" si="48"/>
        <v>8</v>
      </c>
      <c r="T248" s="151"/>
      <c r="U248" s="25" t="str">
        <f t="shared" si="54"/>
        <v/>
      </c>
      <c r="V248" s="24" t="str">
        <f>IF(AND(ISNUMBER(R247),ISNUMBER(R248)),V247,IF(AND(R247="",ISNUMBER(R248)),IFERROR(LARGE($V$176:$V247,1)+1,0),""))</f>
        <v/>
      </c>
      <c r="W248" s="23" t="str">
        <f t="shared" si="55"/>
        <v/>
      </c>
      <c r="X248" s="22" t="str">
        <f t="shared" si="56"/>
        <v/>
      </c>
      <c r="Y248" s="22"/>
      <c r="Z248" s="22"/>
      <c r="AA248" s="22"/>
      <c r="AB248" s="22" cm="1">
        <f t="array" ref="AB248">IF(IF(AND($P247="",$P248=1),($N$37*-1),0)+IF(AND($Q247="",$Q248=1),($N$38*-1),0)+IF(IF(($K248-$N$48)&lt;1,0,IF(IF(INDEX($AD$176:$AD$905,($K248-$N$48))="",0,INDEX($AD$176:$AD$905,($K248-$N$48)))&gt;0,IF(INDEX($AD$176:$AD$905,($K248-$N$48))="",0,INDEX($AD$176:$AD$905,($K248-$N$48))),0))="",0,IF(($K248-$N$48)&lt;1,0,IF(IF(INDEX($AD$176:$AD$905,($K248-$N$48))="",0,INDEX($AD$176:$AD$905,($K248-$N$48)))&gt;0,IF(INDEX($AD$176:$AD$905,($K248-$N$48))="",0,INDEX($AD$176:$AD$905,($K248-$N$48))),0)))=0,"",IF(AND($P247="",$P248=1),($N$37*-1),0)+IF(AND($Q247="",$Q248=1),($N$38*-1),0)+IF(IF(($K248-$N$48)&lt;1,0,IF(IF(INDEX($AD$176:$AD$905,($K248-$N$48))="",0,INDEX($AD$176:$AD$905,($K248-$N$48)))&gt;0,IF(INDEX($AD$176:$AD$905,($K248-$N$48))="",0,INDEX($AD$176:$AD$905,($K248-$N$48))),0))="",0,IF(($K248-$N$48)&lt;1,0,IF(IF(INDEX($AD$176:$AD$905,($K248-$N$48))="",0,INDEX($AD$176:$AD$905,($K248-$N$48)))&gt;0,IF(INDEX($AD$176:$AD$905,($K248-$N$48))="",0,INDEX($AD$176:$AD$905,($K248-$N$48))),0))))</f>
        <v>-200</v>
      </c>
      <c r="AC248" s="22" t="str">
        <f t="shared" si="57"/>
        <v/>
      </c>
      <c r="AD248" s="22" t="str">
        <f t="shared" si="47"/>
        <v/>
      </c>
      <c r="AE248" s="22" t="str" cm="1">
        <f t="array" ref="AE248">IF(($K248-$N$48)&lt;1,"",IF((IF(INDEX($AC$176:$AC$905,($K248-$N$48))="",0,INDEX($AC$176:$AC$905,($K248-$N$48))))=0,"",(IF(INDEX($AC$176:$AC$905,($K248-$N$48))="",0,INDEX($AC$176:$AC$905,($K248-$N$48))))))</f>
        <v/>
      </c>
      <c r="AF248" s="31" t="str">
        <f t="shared" si="58"/>
        <v/>
      </c>
      <c r="AG248" s="31" t="str">
        <f t="shared" si="59"/>
        <v/>
      </c>
      <c r="AH248" s="31" t="str">
        <f t="shared" si="60"/>
        <v/>
      </c>
      <c r="AI248" s="31" t="str">
        <f t="shared" si="61"/>
        <v/>
      </c>
      <c r="AJ248" s="303" t="str">
        <f t="shared" si="62"/>
        <v/>
      </c>
      <c r="AK248" s="139" t="str">
        <f t="shared" si="63"/>
        <v/>
      </c>
      <c r="AM248" s="319"/>
      <c r="AN248" s="40"/>
      <c r="AO248" s="1"/>
    </row>
    <row r="249" spans="7:41" x14ac:dyDescent="0.25">
      <c r="G249" s="235" t="str">
        <f t="shared" si="49"/>
        <v>08.00</v>
      </c>
      <c r="H249" s="4" t="str">
        <f t="shared" si="50"/>
        <v>08.00.I</v>
      </c>
      <c r="I249" s="11" t="str">
        <f t="shared" si="51"/>
        <v>08.00.I.2</v>
      </c>
      <c r="K249" s="30">
        <v>74</v>
      </c>
      <c r="L249" s="29">
        <f t="shared" si="64"/>
        <v>-28534.458169707948</v>
      </c>
      <c r="M249" s="28" t="str">
        <f t="shared" si="52"/>
        <v/>
      </c>
      <c r="N249" s="27" t="str">
        <f t="shared" si="65"/>
        <v/>
      </c>
      <c r="O249" s="26" t="str">
        <f>IF(AND($Q248=$O$38,IFERROR(LARGE($V$176:$V248,1)&lt;$N$42,TRUE)),1,IF(AND(ISNUMBER($O248),$O248&lt;$N$32),$O248+1,""))</f>
        <v/>
      </c>
      <c r="P249" s="26" t="str">
        <f t="shared" si="66"/>
        <v/>
      </c>
      <c r="Q249" s="26">
        <f t="shared" si="53"/>
        <v>2</v>
      </c>
      <c r="R249" s="24" t="str">
        <f t="shared" si="67"/>
        <v/>
      </c>
      <c r="S249" s="180">
        <f t="shared" si="48"/>
        <v>8</v>
      </c>
      <c r="T249" s="151"/>
      <c r="U249" s="25" t="str">
        <f t="shared" si="54"/>
        <v/>
      </c>
      <c r="V249" s="24" t="str">
        <f>IF(AND(ISNUMBER(R248),ISNUMBER(R249)),V248,IF(AND(R248="",ISNUMBER(R249)),IFERROR(LARGE($V$176:$V248,1)+1,0),""))</f>
        <v/>
      </c>
      <c r="W249" s="23" t="str">
        <f t="shared" si="55"/>
        <v/>
      </c>
      <c r="X249" s="22" t="str">
        <f t="shared" si="56"/>
        <v/>
      </c>
      <c r="Y249" s="22"/>
      <c r="Z249" s="22"/>
      <c r="AA249" s="22"/>
      <c r="AB249" s="22" t="str" cm="1">
        <f t="array" ref="AB249">IF(IF(AND($P248="",$P249=1),($N$37*-1),0)+IF(AND($Q248="",$Q249=1),($N$38*-1),0)+IF(IF(($K249-$N$48)&lt;1,0,IF(IF(INDEX($AD$176:$AD$905,($K249-$N$48))="",0,INDEX($AD$176:$AD$905,($K249-$N$48)))&gt;0,IF(INDEX($AD$176:$AD$905,($K249-$N$48))="",0,INDEX($AD$176:$AD$905,($K249-$N$48))),0))="",0,IF(($K249-$N$48)&lt;1,0,IF(IF(INDEX($AD$176:$AD$905,($K249-$N$48))="",0,INDEX($AD$176:$AD$905,($K249-$N$48)))&gt;0,IF(INDEX($AD$176:$AD$905,($K249-$N$48))="",0,INDEX($AD$176:$AD$905,($K249-$N$48))),0)))=0,"",IF(AND($P248="",$P249=1),($N$37*-1),0)+IF(AND($Q248="",$Q249=1),($N$38*-1),0)+IF(IF(($K249-$N$48)&lt;1,0,IF(IF(INDEX($AD$176:$AD$905,($K249-$N$48))="",0,INDEX($AD$176:$AD$905,($K249-$N$48)))&gt;0,IF(INDEX($AD$176:$AD$905,($K249-$N$48))="",0,INDEX($AD$176:$AD$905,($K249-$N$48))),0))="",0,IF(($K249-$N$48)&lt;1,0,IF(IF(INDEX($AD$176:$AD$905,($K249-$N$48))="",0,INDEX($AD$176:$AD$905,($K249-$N$48)))&gt;0,IF(INDEX($AD$176:$AD$905,($K249-$N$48))="",0,INDEX($AD$176:$AD$905,($K249-$N$48))),0))))</f>
        <v/>
      </c>
      <c r="AC249" s="22" t="str">
        <f t="shared" si="57"/>
        <v/>
      </c>
      <c r="AD249" s="22" t="str">
        <f t="shared" si="47"/>
        <v/>
      </c>
      <c r="AE249" s="22" t="str" cm="1">
        <f t="array" ref="AE249">IF(($K249-$N$48)&lt;1,"",IF((IF(INDEX($AC$176:$AC$905,($K249-$N$48))="",0,INDEX($AC$176:$AC$905,($K249-$N$48))))=0,"",(IF(INDEX($AC$176:$AC$905,($K249-$N$48))="",0,INDEX($AC$176:$AC$905,($K249-$N$48))))))</f>
        <v/>
      </c>
      <c r="AF249" s="31" t="str">
        <f t="shared" si="58"/>
        <v/>
      </c>
      <c r="AG249" s="31" t="str">
        <f t="shared" si="59"/>
        <v/>
      </c>
      <c r="AH249" s="31" t="str">
        <f t="shared" si="60"/>
        <v/>
      </c>
      <c r="AI249" s="31" t="str">
        <f t="shared" si="61"/>
        <v/>
      </c>
      <c r="AJ249" s="303" t="str">
        <f t="shared" si="62"/>
        <v/>
      </c>
      <c r="AK249" s="139" t="str">
        <f t="shared" si="63"/>
        <v/>
      </c>
      <c r="AM249" s="319"/>
      <c r="AN249" s="40"/>
      <c r="AO249" s="1"/>
    </row>
    <row r="250" spans="7:41" x14ac:dyDescent="0.25">
      <c r="G250" s="235" t="str">
        <f t="shared" si="49"/>
        <v>08.00</v>
      </c>
      <c r="H250" s="4" t="str">
        <f t="shared" si="50"/>
        <v>08.00.R</v>
      </c>
      <c r="I250" s="11" t="str">
        <f t="shared" si="51"/>
        <v>08.00.R.1</v>
      </c>
      <c r="K250" s="30">
        <v>75</v>
      </c>
      <c r="L250" s="29">
        <f t="shared" si="64"/>
        <v>-31148.091623809083</v>
      </c>
      <c r="M250" s="28">
        <f t="shared" si="52"/>
        <v>-2613.6334541011352</v>
      </c>
      <c r="N250" s="27" t="str">
        <f t="shared" si="65"/>
        <v/>
      </c>
      <c r="O250" s="26">
        <f>IF(AND($Q249=$O$38,IFERROR(LARGE($V$176:$V249,1)&lt;$N$42,TRUE)),1,IF(AND(ISNUMBER($O249),$O249&lt;$N$32),$O249+1,""))</f>
        <v>1</v>
      </c>
      <c r="P250" s="26" t="str">
        <f t="shared" si="66"/>
        <v/>
      </c>
      <c r="Q250" s="26" t="str">
        <f t="shared" si="53"/>
        <v/>
      </c>
      <c r="R250" s="24" t="str">
        <f t="shared" si="67"/>
        <v/>
      </c>
      <c r="S250" s="180">
        <f t="shared" si="48"/>
        <v>8</v>
      </c>
      <c r="T250" s="151"/>
      <c r="U250" s="25" t="str">
        <f t="shared" si="54"/>
        <v/>
      </c>
      <c r="V250" s="24" t="str">
        <f>IF(AND(ISNUMBER(R249),ISNUMBER(R250)),V249,IF(AND(R249="",ISNUMBER(R250)),IFERROR(LARGE($V$176:$V249,1)+1,0),""))</f>
        <v/>
      </c>
      <c r="W250" s="23">
        <f t="shared" si="55"/>
        <v>-1018.3530285882483</v>
      </c>
      <c r="X250" s="22">
        <f t="shared" si="56"/>
        <v>-1595.2804255128869</v>
      </c>
      <c r="Y250" s="22"/>
      <c r="Z250" s="22"/>
      <c r="AA250" s="22"/>
      <c r="AB250" s="22" t="str" cm="1">
        <f t="array" ref="AB250">IF(IF(AND($P249="",$P250=1),($N$37*-1),0)+IF(AND($Q249="",$Q250=1),($N$38*-1),0)+IF(IF(($K250-$N$48)&lt;1,0,IF(IF(INDEX($AD$176:$AD$905,($K250-$N$48))="",0,INDEX($AD$176:$AD$905,($K250-$N$48)))&gt;0,IF(INDEX($AD$176:$AD$905,($K250-$N$48))="",0,INDEX($AD$176:$AD$905,($K250-$N$48))),0))="",0,IF(($K250-$N$48)&lt;1,0,IF(IF(INDEX($AD$176:$AD$905,($K250-$N$48))="",0,INDEX($AD$176:$AD$905,($K250-$N$48)))&gt;0,IF(INDEX($AD$176:$AD$905,($K250-$N$48))="",0,INDEX($AD$176:$AD$905,($K250-$N$48))),0)))=0,"",IF(AND($P249="",$P250=1),($N$37*-1),0)+IF(AND($Q249="",$Q250=1),($N$38*-1),0)+IF(IF(($K250-$N$48)&lt;1,0,IF(IF(INDEX($AD$176:$AD$905,($K250-$N$48))="",0,INDEX($AD$176:$AD$905,($K250-$N$48)))&gt;0,IF(INDEX($AD$176:$AD$905,($K250-$N$48))="",0,INDEX($AD$176:$AD$905,($K250-$N$48))),0))="",0,IF(($K250-$N$48)&lt;1,0,IF(IF(INDEX($AD$176:$AD$905,($K250-$N$48))="",0,INDEX($AD$176:$AD$905,($K250-$N$48)))&gt;0,IF(INDEX($AD$176:$AD$905,($K250-$N$48))="",0,INDEX($AD$176:$AD$905,($K250-$N$48))),0))))</f>
        <v/>
      </c>
      <c r="AC250" s="22" t="str">
        <f t="shared" si="57"/>
        <v/>
      </c>
      <c r="AD250" s="22" t="str">
        <f t="shared" si="47"/>
        <v/>
      </c>
      <c r="AE250" s="22" t="str" cm="1">
        <f t="array" ref="AE250">IF(($K250-$N$48)&lt;1,"",IF((IF(INDEX($AC$176:$AC$905,($K250-$N$48))="",0,INDEX($AC$176:$AC$905,($K250-$N$48))))=0,"",(IF(INDEX($AC$176:$AC$905,($K250-$N$48))="",0,INDEX($AC$176:$AC$905,($K250-$N$48))))))</f>
        <v/>
      </c>
      <c r="AF250" s="31" t="str">
        <f t="shared" si="58"/>
        <v/>
      </c>
      <c r="AG250" s="31" t="str">
        <f t="shared" si="59"/>
        <v/>
      </c>
      <c r="AH250" s="31" t="str">
        <f t="shared" si="60"/>
        <v/>
      </c>
      <c r="AI250" s="31" t="str">
        <f t="shared" si="61"/>
        <v/>
      </c>
      <c r="AJ250" s="303" t="str">
        <f t="shared" si="62"/>
        <v/>
      </c>
      <c r="AK250" s="139" t="str">
        <f t="shared" si="63"/>
        <v/>
      </c>
      <c r="AM250" s="319"/>
      <c r="AN250" s="40"/>
      <c r="AO250" s="1"/>
    </row>
    <row r="251" spans="7:41" x14ac:dyDescent="0.25">
      <c r="G251" s="235" t="str">
        <f t="shared" si="49"/>
        <v>08.00</v>
      </c>
      <c r="H251" s="4" t="str">
        <f t="shared" si="50"/>
        <v>08.00.R</v>
      </c>
      <c r="I251" s="11" t="str">
        <f t="shared" si="51"/>
        <v>08.00.R.2</v>
      </c>
      <c r="K251" s="30">
        <v>76</v>
      </c>
      <c r="L251" s="29">
        <f t="shared" si="64"/>
        <v>-31148.091623809083</v>
      </c>
      <c r="M251" s="28" t="str">
        <f t="shared" si="52"/>
        <v/>
      </c>
      <c r="N251" s="27" t="str">
        <f t="shared" si="65"/>
        <v/>
      </c>
      <c r="O251" s="26">
        <f>IF(AND($Q250=$O$38,IFERROR(LARGE($V$176:$V250,1)&lt;$N$42,TRUE)),1,IF(AND(ISNUMBER($O250),$O250&lt;$N$32),$O250+1,""))</f>
        <v>2</v>
      </c>
      <c r="P251" s="26" t="str">
        <f t="shared" si="66"/>
        <v/>
      </c>
      <c r="Q251" s="26" t="str">
        <f t="shared" si="53"/>
        <v/>
      </c>
      <c r="R251" s="24" t="str">
        <f t="shared" si="67"/>
        <v/>
      </c>
      <c r="S251" s="180">
        <f t="shared" si="48"/>
        <v>8</v>
      </c>
      <c r="T251" s="151"/>
      <c r="U251" s="25" t="str">
        <f t="shared" si="54"/>
        <v/>
      </c>
      <c r="V251" s="24" t="str">
        <f>IF(AND(ISNUMBER(R250),ISNUMBER(R251)),V250,IF(AND(R250="",ISNUMBER(R251)),IFERROR(LARGE($V$176:$V250,1)+1,0),""))</f>
        <v/>
      </c>
      <c r="W251" s="23" t="str">
        <f t="shared" si="55"/>
        <v/>
      </c>
      <c r="X251" s="22" t="str">
        <f t="shared" si="56"/>
        <v/>
      </c>
      <c r="Y251" s="22"/>
      <c r="Z251" s="22"/>
      <c r="AA251" s="22"/>
      <c r="AB251" s="22" t="str" cm="1">
        <f t="array" ref="AB251">IF(IF(AND($P250="",$P251=1),($N$37*-1),0)+IF(AND($Q250="",$Q251=1),($N$38*-1),0)+IF(IF(($K251-$N$48)&lt;1,0,IF(IF(INDEX($AD$176:$AD$905,($K251-$N$48))="",0,INDEX($AD$176:$AD$905,($K251-$N$48)))&gt;0,IF(INDEX($AD$176:$AD$905,($K251-$N$48))="",0,INDEX($AD$176:$AD$905,($K251-$N$48))),0))="",0,IF(($K251-$N$48)&lt;1,0,IF(IF(INDEX($AD$176:$AD$905,($K251-$N$48))="",0,INDEX($AD$176:$AD$905,($K251-$N$48)))&gt;0,IF(INDEX($AD$176:$AD$905,($K251-$N$48))="",0,INDEX($AD$176:$AD$905,($K251-$N$48))),0)))=0,"",IF(AND($P250="",$P251=1),($N$37*-1),0)+IF(AND($Q250="",$Q251=1),($N$38*-1),0)+IF(IF(($K251-$N$48)&lt;1,0,IF(IF(INDEX($AD$176:$AD$905,($K251-$N$48))="",0,INDEX($AD$176:$AD$905,($K251-$N$48)))&gt;0,IF(INDEX($AD$176:$AD$905,($K251-$N$48))="",0,INDEX($AD$176:$AD$905,($K251-$N$48))),0))="",0,IF(($K251-$N$48)&lt;1,0,IF(IF(INDEX($AD$176:$AD$905,($K251-$N$48))="",0,INDEX($AD$176:$AD$905,($K251-$N$48)))&gt;0,IF(INDEX($AD$176:$AD$905,($K251-$N$48))="",0,INDEX($AD$176:$AD$905,($K251-$N$48))),0))))</f>
        <v/>
      </c>
      <c r="AC251" s="22" t="str">
        <f t="shared" si="57"/>
        <v/>
      </c>
      <c r="AD251" s="22" t="str">
        <f t="shared" si="47"/>
        <v/>
      </c>
      <c r="AE251" s="22" t="str" cm="1">
        <f t="array" ref="AE251">IF(($K251-$N$48)&lt;1,"",IF((IF(INDEX($AC$176:$AC$905,($K251-$N$48))="",0,INDEX($AC$176:$AC$905,($K251-$N$48))))=0,"",(IF(INDEX($AC$176:$AC$905,($K251-$N$48))="",0,INDEX($AC$176:$AC$905,($K251-$N$48))))))</f>
        <v/>
      </c>
      <c r="AF251" s="31" t="str">
        <f t="shared" si="58"/>
        <v/>
      </c>
      <c r="AG251" s="31" t="str">
        <f t="shared" si="59"/>
        <v/>
      </c>
      <c r="AH251" s="31" t="str">
        <f t="shared" si="60"/>
        <v/>
      </c>
      <c r="AI251" s="31" t="str">
        <f t="shared" si="61"/>
        <v/>
      </c>
      <c r="AJ251" s="303" t="str">
        <f t="shared" si="62"/>
        <v/>
      </c>
      <c r="AK251" s="139" t="str">
        <f t="shared" si="63"/>
        <v/>
      </c>
      <c r="AM251" s="319"/>
      <c r="AN251" s="40"/>
      <c r="AO251" s="1"/>
    </row>
    <row r="252" spans="7:41" x14ac:dyDescent="0.25">
      <c r="G252" s="235" t="str">
        <f t="shared" si="49"/>
        <v>08.00</v>
      </c>
      <c r="H252" s="4" t="str">
        <f t="shared" si="50"/>
        <v>08.00.R</v>
      </c>
      <c r="I252" s="11" t="str">
        <f t="shared" si="51"/>
        <v>08.00.R.3</v>
      </c>
      <c r="K252" s="30">
        <v>77</v>
      </c>
      <c r="L252" s="29">
        <f t="shared" si="64"/>
        <v>-31148.091623809083</v>
      </c>
      <c r="M252" s="28" t="str">
        <f t="shared" si="52"/>
        <v/>
      </c>
      <c r="N252" s="27" t="str">
        <f t="shared" si="65"/>
        <v/>
      </c>
      <c r="O252" s="26">
        <f>IF(AND($Q251=$O$38,IFERROR(LARGE($V$176:$V251,1)&lt;$N$42,TRUE)),1,IF(AND(ISNUMBER($O251),$O251&lt;$N$32),$O251+1,""))</f>
        <v>3</v>
      </c>
      <c r="P252" s="26" t="str">
        <f t="shared" si="66"/>
        <v/>
      </c>
      <c r="Q252" s="26" t="str">
        <f t="shared" si="53"/>
        <v/>
      </c>
      <c r="R252" s="24" t="str">
        <f t="shared" si="67"/>
        <v/>
      </c>
      <c r="S252" s="180">
        <f t="shared" si="48"/>
        <v>8</v>
      </c>
      <c r="T252" s="151"/>
      <c r="U252" s="25" t="str">
        <f t="shared" si="54"/>
        <v/>
      </c>
      <c r="V252" s="24" t="str">
        <f>IF(AND(ISNUMBER(R251),ISNUMBER(R252)),V251,IF(AND(R251="",ISNUMBER(R252)),IFERROR(LARGE($V$176:$V251,1)+1,0),""))</f>
        <v/>
      </c>
      <c r="W252" s="23" t="str">
        <f t="shared" si="55"/>
        <v/>
      </c>
      <c r="X252" s="22" t="str">
        <f t="shared" si="56"/>
        <v/>
      </c>
      <c r="Y252" s="22"/>
      <c r="Z252" s="22"/>
      <c r="AA252" s="22"/>
      <c r="AB252" s="22" t="str" cm="1">
        <f t="array" ref="AB252">IF(IF(AND($P251="",$P252=1),($N$37*-1),0)+IF(AND($Q251="",$Q252=1),($N$38*-1),0)+IF(IF(($K252-$N$48)&lt;1,0,IF(IF(INDEX($AD$176:$AD$905,($K252-$N$48))="",0,INDEX($AD$176:$AD$905,($K252-$N$48)))&gt;0,IF(INDEX($AD$176:$AD$905,($K252-$N$48))="",0,INDEX($AD$176:$AD$905,($K252-$N$48))),0))="",0,IF(($K252-$N$48)&lt;1,0,IF(IF(INDEX($AD$176:$AD$905,($K252-$N$48))="",0,INDEX($AD$176:$AD$905,($K252-$N$48)))&gt;0,IF(INDEX($AD$176:$AD$905,($K252-$N$48))="",0,INDEX($AD$176:$AD$905,($K252-$N$48))),0)))=0,"",IF(AND($P251="",$P252=1),($N$37*-1),0)+IF(AND($Q251="",$Q252=1),($N$38*-1),0)+IF(IF(($K252-$N$48)&lt;1,0,IF(IF(INDEX($AD$176:$AD$905,($K252-$N$48))="",0,INDEX($AD$176:$AD$905,($K252-$N$48)))&gt;0,IF(INDEX($AD$176:$AD$905,($K252-$N$48))="",0,INDEX($AD$176:$AD$905,($K252-$N$48))),0))="",0,IF(($K252-$N$48)&lt;1,0,IF(IF(INDEX($AD$176:$AD$905,($K252-$N$48))="",0,INDEX($AD$176:$AD$905,($K252-$N$48)))&gt;0,IF(INDEX($AD$176:$AD$905,($K252-$N$48))="",0,INDEX($AD$176:$AD$905,($K252-$N$48))),0))))</f>
        <v/>
      </c>
      <c r="AC252" s="22" t="str">
        <f t="shared" si="57"/>
        <v/>
      </c>
      <c r="AD252" s="22" t="str">
        <f t="shared" si="47"/>
        <v/>
      </c>
      <c r="AE252" s="22" t="str" cm="1">
        <f t="array" ref="AE252">IF(($K252-$N$48)&lt;1,"",IF((IF(INDEX($AC$176:$AC$905,($K252-$N$48))="",0,INDEX($AC$176:$AC$905,($K252-$N$48))))=0,"",(IF(INDEX($AC$176:$AC$905,($K252-$N$48))="",0,INDEX($AC$176:$AC$905,($K252-$N$48))))))</f>
        <v/>
      </c>
      <c r="AF252" s="31" t="str">
        <f t="shared" si="58"/>
        <v/>
      </c>
      <c r="AG252" s="31" t="str">
        <f t="shared" si="59"/>
        <v/>
      </c>
      <c r="AH252" s="31" t="str">
        <f t="shared" si="60"/>
        <v/>
      </c>
      <c r="AI252" s="31" t="str">
        <f t="shared" si="61"/>
        <v/>
      </c>
      <c r="AJ252" s="303" t="str">
        <f t="shared" si="62"/>
        <v/>
      </c>
      <c r="AK252" s="139" t="str">
        <f t="shared" si="63"/>
        <v/>
      </c>
      <c r="AM252" s="319"/>
      <c r="AN252" s="40"/>
      <c r="AO252" s="1"/>
    </row>
    <row r="253" spans="7:41" x14ac:dyDescent="0.25">
      <c r="G253" s="235" t="str">
        <f t="shared" si="49"/>
        <v>08.00</v>
      </c>
      <c r="H253" s="4" t="str">
        <f t="shared" si="50"/>
        <v>08.00.O</v>
      </c>
      <c r="I253" s="11" t="str">
        <f t="shared" si="51"/>
        <v>08.00.O.1</v>
      </c>
      <c r="K253" s="30">
        <v>78</v>
      </c>
      <c r="L253" s="29">
        <f t="shared" si="64"/>
        <v>-25983.091623809083</v>
      </c>
      <c r="M253" s="28">
        <f t="shared" si="52"/>
        <v>5165</v>
      </c>
      <c r="N253" s="27" t="str">
        <f t="shared" si="65"/>
        <v/>
      </c>
      <c r="O253" s="26" t="str">
        <f>IF(AND($Q252=$O$38,IFERROR(LARGE($V$176:$V252,1)&lt;$N$42,TRUE)),1,IF(AND(ISNUMBER($O252),$O252&lt;$N$32),$O252+1,""))</f>
        <v/>
      </c>
      <c r="P253" s="26">
        <f t="shared" si="66"/>
        <v>1</v>
      </c>
      <c r="Q253" s="26" t="str">
        <f t="shared" si="53"/>
        <v/>
      </c>
      <c r="R253" s="24" t="str">
        <f t="shared" si="67"/>
        <v/>
      </c>
      <c r="S253" s="180">
        <f t="shared" si="48"/>
        <v>8</v>
      </c>
      <c r="T253" s="151"/>
      <c r="U253" s="25" t="str">
        <f t="shared" si="54"/>
        <v/>
      </c>
      <c r="V253" s="24" t="str">
        <f>IF(AND(ISNUMBER(R252),ISNUMBER(R253)),V252,IF(AND(R252="",ISNUMBER(R253)),IFERROR(LARGE($V$176:$V252,1)+1,0),""))</f>
        <v/>
      </c>
      <c r="W253" s="23" t="str">
        <f t="shared" si="55"/>
        <v/>
      </c>
      <c r="X253" s="22" t="str">
        <f t="shared" si="56"/>
        <v/>
      </c>
      <c r="Y253" s="22"/>
      <c r="Z253" s="22"/>
      <c r="AA253" s="22"/>
      <c r="AB253" s="22" cm="1">
        <f t="array" ref="AB253">IF(IF(AND($P252="",$P253=1),($N$37*-1),0)+IF(AND($Q252="",$Q253=1),($N$38*-1),0)+IF(IF(($K253-$N$48)&lt;1,0,IF(IF(INDEX($AD$176:$AD$905,($K253-$N$48))="",0,INDEX($AD$176:$AD$905,($K253-$N$48)))&gt;0,IF(INDEX($AD$176:$AD$905,($K253-$N$48))="",0,INDEX($AD$176:$AD$905,($K253-$N$48))),0))="",0,IF(($K253-$N$48)&lt;1,0,IF(IF(INDEX($AD$176:$AD$905,($K253-$N$48))="",0,INDEX($AD$176:$AD$905,($K253-$N$48)))&gt;0,IF(INDEX($AD$176:$AD$905,($K253-$N$48))="",0,INDEX($AD$176:$AD$905,($K253-$N$48))),0)))=0,"",IF(AND($P252="",$P253=1),($N$37*-1),0)+IF(AND($Q252="",$Q253=1),($N$38*-1),0)+IF(IF(($K253-$N$48)&lt;1,0,IF(IF(INDEX($AD$176:$AD$905,($K253-$N$48))="",0,INDEX($AD$176:$AD$905,($K253-$N$48)))&gt;0,IF(INDEX($AD$176:$AD$905,($K253-$N$48))="",0,INDEX($AD$176:$AD$905,($K253-$N$48))),0))="",0,IF(($K253-$N$48)&lt;1,0,IF(IF(INDEX($AD$176:$AD$905,($K253-$N$48))="",0,INDEX($AD$176:$AD$905,($K253-$N$48)))&gt;0,IF(INDEX($AD$176:$AD$905,($K253-$N$48))="",0,INDEX($AD$176:$AD$905,($K253-$N$48))),0))))</f>
        <v>325</v>
      </c>
      <c r="AC253" s="22" t="str">
        <f t="shared" si="57"/>
        <v/>
      </c>
      <c r="AD253" s="22" t="str">
        <f t="shared" si="47"/>
        <v/>
      </c>
      <c r="AE253" s="22" cm="1">
        <f t="array" ref="AE253">IF(($K253-$N$48)&lt;1,"",IF((IF(INDEX($AC$176:$AC$905,($K253-$N$48))="",0,INDEX($AC$176:$AC$905,($K253-$N$48))))=0,"",(IF(INDEX($AC$176:$AC$905,($K253-$N$48))="",0,INDEX($AC$176:$AC$905,($K253-$N$48))))))</f>
        <v>5500</v>
      </c>
      <c r="AF253" s="31">
        <f t="shared" si="58"/>
        <v>0</v>
      </c>
      <c r="AG253" s="31">
        <f t="shared" si="59"/>
        <v>-82.5</v>
      </c>
      <c r="AH253" s="31">
        <f t="shared" si="60"/>
        <v>-110</v>
      </c>
      <c r="AI253" s="31">
        <f t="shared" si="61"/>
        <v>-27.5</v>
      </c>
      <c r="AJ253" s="303">
        <f t="shared" si="62"/>
        <v>-440</v>
      </c>
      <c r="AK253" s="139">
        <f t="shared" si="63"/>
        <v>-440</v>
      </c>
      <c r="AM253" s="319"/>
      <c r="AN253" s="40"/>
      <c r="AO253" s="1"/>
    </row>
    <row r="254" spans="7:41" x14ac:dyDescent="0.25">
      <c r="G254" s="235" t="str">
        <f t="shared" si="49"/>
        <v>08.00</v>
      </c>
      <c r="H254" s="4" t="str">
        <f t="shared" si="50"/>
        <v>08.00.O</v>
      </c>
      <c r="I254" s="11" t="str">
        <f t="shared" si="51"/>
        <v>08.00.O.2</v>
      </c>
      <c r="K254" s="30">
        <v>79</v>
      </c>
      <c r="L254" s="29">
        <f t="shared" si="64"/>
        <v>-25983.091623809083</v>
      </c>
      <c r="M254" s="28" t="str">
        <f t="shared" si="52"/>
        <v/>
      </c>
      <c r="N254" s="27" t="str">
        <f t="shared" si="65"/>
        <v/>
      </c>
      <c r="O254" s="26" t="str">
        <f>IF(AND($Q253=$O$38,IFERROR(LARGE($V$176:$V253,1)&lt;$N$42,TRUE)),1,IF(AND(ISNUMBER($O253),$O253&lt;$N$32),$O253+1,""))</f>
        <v/>
      </c>
      <c r="P254" s="26">
        <f t="shared" si="66"/>
        <v>2</v>
      </c>
      <c r="Q254" s="26" t="str">
        <f t="shared" si="53"/>
        <v/>
      </c>
      <c r="R254" s="24" t="str">
        <f t="shared" si="67"/>
        <v/>
      </c>
      <c r="S254" s="180">
        <f t="shared" si="48"/>
        <v>8</v>
      </c>
      <c r="T254" s="151"/>
      <c r="U254" s="25" t="str">
        <f t="shared" si="54"/>
        <v/>
      </c>
      <c r="V254" s="24" t="str">
        <f>IF(AND(ISNUMBER(R253),ISNUMBER(R254)),V253,IF(AND(R253="",ISNUMBER(R254)),IFERROR(LARGE($V$176:$V253,1)+1,0),""))</f>
        <v/>
      </c>
      <c r="W254" s="23" t="str">
        <f t="shared" si="55"/>
        <v/>
      </c>
      <c r="X254" s="22" t="str">
        <f t="shared" si="56"/>
        <v/>
      </c>
      <c r="Y254" s="22"/>
      <c r="Z254" s="22"/>
      <c r="AA254" s="22"/>
      <c r="AB254" s="22" t="str" cm="1">
        <f t="array" ref="AB254">IF(IF(AND($P253="",$P254=1),($N$37*-1),0)+IF(AND($Q253="",$Q254=1),($N$38*-1),0)+IF(IF(($K254-$N$48)&lt;1,0,IF(IF(INDEX($AD$176:$AD$905,($K254-$N$48))="",0,INDEX($AD$176:$AD$905,($K254-$N$48)))&gt;0,IF(INDEX($AD$176:$AD$905,($K254-$N$48))="",0,INDEX($AD$176:$AD$905,($K254-$N$48))),0))="",0,IF(($K254-$N$48)&lt;1,0,IF(IF(INDEX($AD$176:$AD$905,($K254-$N$48))="",0,INDEX($AD$176:$AD$905,($K254-$N$48)))&gt;0,IF(INDEX($AD$176:$AD$905,($K254-$N$48))="",0,INDEX($AD$176:$AD$905,($K254-$N$48))),0)))=0,"",IF(AND($P253="",$P254=1),($N$37*-1),0)+IF(AND($Q253="",$Q254=1),($N$38*-1),0)+IF(IF(($K254-$N$48)&lt;1,0,IF(IF(INDEX($AD$176:$AD$905,($K254-$N$48))="",0,INDEX($AD$176:$AD$905,($K254-$N$48)))&gt;0,IF(INDEX($AD$176:$AD$905,($K254-$N$48))="",0,INDEX($AD$176:$AD$905,($K254-$N$48))),0))="",0,IF(($K254-$N$48)&lt;1,0,IF(IF(INDEX($AD$176:$AD$905,($K254-$N$48))="",0,INDEX($AD$176:$AD$905,($K254-$N$48)))&gt;0,IF(INDEX($AD$176:$AD$905,($K254-$N$48))="",0,INDEX($AD$176:$AD$905,($K254-$N$48))),0))))</f>
        <v/>
      </c>
      <c r="AC254" s="22" t="str">
        <f t="shared" si="57"/>
        <v/>
      </c>
      <c r="AD254" s="22" t="str">
        <f t="shared" si="47"/>
        <v/>
      </c>
      <c r="AE254" s="22" t="str" cm="1">
        <f t="array" ref="AE254">IF(($K254-$N$48)&lt;1,"",IF((IF(INDEX($AC$176:$AC$905,($K254-$N$48))="",0,INDEX($AC$176:$AC$905,($K254-$N$48))))=0,"",(IF(INDEX($AC$176:$AC$905,($K254-$N$48))="",0,INDEX($AC$176:$AC$905,($K254-$N$48))))))</f>
        <v/>
      </c>
      <c r="AF254" s="31" t="str">
        <f t="shared" si="58"/>
        <v/>
      </c>
      <c r="AG254" s="31" t="str">
        <f t="shared" si="59"/>
        <v/>
      </c>
      <c r="AH254" s="31" t="str">
        <f t="shared" si="60"/>
        <v/>
      </c>
      <c r="AI254" s="31" t="str">
        <f t="shared" si="61"/>
        <v/>
      </c>
      <c r="AJ254" s="303" t="str">
        <f t="shared" si="62"/>
        <v/>
      </c>
      <c r="AK254" s="139" t="str">
        <f t="shared" si="63"/>
        <v/>
      </c>
      <c r="AM254" s="319"/>
      <c r="AN254" s="40"/>
      <c r="AO254" s="1"/>
    </row>
    <row r="255" spans="7:41" x14ac:dyDescent="0.25">
      <c r="G255" s="235" t="str">
        <f t="shared" si="49"/>
        <v>08.01</v>
      </c>
      <c r="H255" s="4" t="str">
        <f t="shared" si="50"/>
        <v>08.01.D</v>
      </c>
      <c r="I255" s="11" t="str">
        <f t="shared" si="51"/>
        <v>08.01.D.1</v>
      </c>
      <c r="K255" s="30">
        <v>80</v>
      </c>
      <c r="L255" s="29">
        <f t="shared" si="64"/>
        <v>-25983.091623809083</v>
      </c>
      <c r="M255" s="28" t="str">
        <f t="shared" si="52"/>
        <v/>
      </c>
      <c r="N255" s="27" t="str">
        <f t="shared" si="65"/>
        <v/>
      </c>
      <c r="O255" s="26" t="str">
        <f>IF(AND($Q254=$O$38,IFERROR(LARGE($V$176:$V254,1)&lt;$N$42,TRUE)),1,IF(AND(ISNUMBER($O254),$O254&lt;$N$32),$O254+1,""))</f>
        <v/>
      </c>
      <c r="P255" s="26" t="str">
        <f t="shared" si="66"/>
        <v/>
      </c>
      <c r="Q255" s="26" t="str">
        <f t="shared" si="53"/>
        <v/>
      </c>
      <c r="R255" s="24">
        <f t="shared" si="67"/>
        <v>1</v>
      </c>
      <c r="S255" s="180">
        <f t="shared" si="48"/>
        <v>8.01</v>
      </c>
      <c r="T255" s="151"/>
      <c r="U255" s="25">
        <f t="shared" si="54"/>
        <v>1</v>
      </c>
      <c r="V255" s="24">
        <f>IF(AND(ISNUMBER(R254),ISNUMBER(R255)),V254,IF(AND(R254="",ISNUMBER(R255)),IFERROR(LARGE($V$176:$V254,1)+1,0),""))</f>
        <v>8</v>
      </c>
      <c r="W255" s="23" t="str">
        <f t="shared" si="55"/>
        <v/>
      </c>
      <c r="X255" s="22" t="str">
        <f t="shared" si="56"/>
        <v/>
      </c>
      <c r="Y255" s="22"/>
      <c r="Z255" s="22"/>
      <c r="AA255" s="22"/>
      <c r="AB255" s="22" t="str" cm="1">
        <f t="array" ref="AB255">IF(IF(AND($P254="",$P255=1),($N$37*-1),0)+IF(AND($Q254="",$Q255=1),($N$38*-1),0)+IF(IF(($K255-$N$48)&lt;1,0,IF(IF(INDEX($AD$176:$AD$905,($K255-$N$48))="",0,INDEX($AD$176:$AD$905,($K255-$N$48)))&gt;0,IF(INDEX($AD$176:$AD$905,($K255-$N$48))="",0,INDEX($AD$176:$AD$905,($K255-$N$48))),0))="",0,IF(($K255-$N$48)&lt;1,0,IF(IF(INDEX($AD$176:$AD$905,($K255-$N$48))="",0,INDEX($AD$176:$AD$905,($K255-$N$48)))&gt;0,IF(INDEX($AD$176:$AD$905,($K255-$N$48))="",0,INDEX($AD$176:$AD$905,($K255-$N$48))),0)))=0,"",IF(AND($P254="",$P255=1),($N$37*-1),0)+IF(AND($Q254="",$Q255=1),($N$38*-1),0)+IF(IF(($K255-$N$48)&lt;1,0,IF(IF(INDEX($AD$176:$AD$905,($K255-$N$48))="",0,INDEX($AD$176:$AD$905,($K255-$N$48)))&gt;0,IF(INDEX($AD$176:$AD$905,($K255-$N$48))="",0,INDEX($AD$176:$AD$905,($K255-$N$48))),0))="",0,IF(($K255-$N$48)&lt;1,0,IF(IF(INDEX($AD$176:$AD$905,($K255-$N$48))="",0,INDEX($AD$176:$AD$905,($K255-$N$48)))&gt;0,IF(INDEX($AD$176:$AD$905,($K255-$N$48))="",0,INDEX($AD$176:$AD$905,($K255-$N$48))),0))))</f>
        <v/>
      </c>
      <c r="AC255" s="22" t="str">
        <f t="shared" si="57"/>
        <v/>
      </c>
      <c r="AD255" s="22" t="str">
        <f>IF(IF(OR(AND(ISNUMBER($U255),IF(ISNUMBER($U256),$U256,0)-IF(ISNUMBER($U255),$U255,0)=1),AND(ISNUMBER($U255),$U256="")),IF($U255=1,$P$37,0),0)=0,"",IF(OR(AND(ISNUMBER($U255),IF(ISNUMBER($U256),$U256,0)-IF(ISNUMBER($U255),$U255,0)=1),AND(ISNUMBER($U255),$U256="")),IF($U255=1,$P$37,0),0))</f>
        <v/>
      </c>
      <c r="AE255" s="22" t="str" cm="1">
        <f t="array" ref="AE255">IF(($K255-$N$48)&lt;1,"",IF((IF(INDEX($AC$176:$AC$905,($K255-$N$48))="",0,INDEX($AC$176:$AC$905,($K255-$N$48))))=0,"",(IF(INDEX($AC$176:$AC$905,($K255-$N$48))="",0,INDEX($AC$176:$AC$905,($K255-$N$48))))))</f>
        <v/>
      </c>
      <c r="AF255" s="31" t="str">
        <f t="shared" si="58"/>
        <v/>
      </c>
      <c r="AG255" s="31" t="str">
        <f t="shared" si="59"/>
        <v/>
      </c>
      <c r="AH255" s="31" t="str">
        <f t="shared" si="60"/>
        <v/>
      </c>
      <c r="AI255" s="31" t="str">
        <f t="shared" si="61"/>
        <v/>
      </c>
      <c r="AJ255" s="303" t="str">
        <f t="shared" si="62"/>
        <v/>
      </c>
      <c r="AK255" s="139" t="str">
        <f t="shared" si="63"/>
        <v/>
      </c>
      <c r="AM255" s="319"/>
      <c r="AN255" s="40"/>
      <c r="AO255" s="1"/>
    </row>
    <row r="256" spans="7:41" x14ac:dyDescent="0.25">
      <c r="G256" s="235" t="str">
        <f t="shared" si="49"/>
        <v>08.01</v>
      </c>
      <c r="H256" s="4" t="str">
        <f t="shared" si="50"/>
        <v>08.01.D</v>
      </c>
      <c r="I256" s="11" t="str">
        <f t="shared" si="51"/>
        <v>08.01.D.2</v>
      </c>
      <c r="K256" s="30">
        <v>81</v>
      </c>
      <c r="L256" s="29">
        <f t="shared" si="64"/>
        <v>-25983.091623809083</v>
      </c>
      <c r="M256" s="28" t="str">
        <f t="shared" si="52"/>
        <v/>
      </c>
      <c r="N256" s="27" t="str">
        <f t="shared" si="65"/>
        <v/>
      </c>
      <c r="O256" s="26" t="str">
        <f>IF(AND($Q255=$O$38,IFERROR(LARGE($V$176:$V255,1)&lt;$N$42,TRUE)),1,IF(AND(ISNUMBER($O255),$O255&lt;$N$32),$O255+1,""))</f>
        <v/>
      </c>
      <c r="P256" s="26" t="str">
        <f t="shared" si="66"/>
        <v/>
      </c>
      <c r="Q256" s="26" t="str">
        <f t="shared" si="53"/>
        <v/>
      </c>
      <c r="R256" s="24">
        <f t="shared" si="67"/>
        <v>2</v>
      </c>
      <c r="S256" s="180">
        <f t="shared" si="48"/>
        <v>8.01</v>
      </c>
      <c r="T256" s="151"/>
      <c r="U256" s="25">
        <f t="shared" si="54"/>
        <v>1</v>
      </c>
      <c r="V256" s="24">
        <f>IF(AND(ISNUMBER(R255),ISNUMBER(R256)),V255,IF(AND(R255="",ISNUMBER(R256)),IFERROR(LARGE($V$176:$V255,1)+1,0),""))</f>
        <v>8</v>
      </c>
      <c r="W256" s="23" t="str">
        <f t="shared" si="55"/>
        <v/>
      </c>
      <c r="X256" s="22" t="str">
        <f t="shared" si="56"/>
        <v/>
      </c>
      <c r="Y256" s="22"/>
      <c r="Z256" s="22"/>
      <c r="AA256" s="22"/>
      <c r="AB256" s="22" t="str" cm="1">
        <f t="array" ref="AB256">IF(IF(AND($P255="",$P256=1),($N$37*-1),0)+IF(AND($Q255="",$Q256=1),($N$38*-1),0)+IF(IF(($K256-$N$48)&lt;1,0,IF(IF(INDEX($AD$176:$AD$905,($K256-$N$48))="",0,INDEX($AD$176:$AD$905,($K256-$N$48)))&gt;0,IF(INDEX($AD$176:$AD$905,($K256-$N$48))="",0,INDEX($AD$176:$AD$905,($K256-$N$48))),0))="",0,IF(($K256-$N$48)&lt;1,0,IF(IF(INDEX($AD$176:$AD$905,($K256-$N$48))="",0,INDEX($AD$176:$AD$905,($K256-$N$48)))&gt;0,IF(INDEX($AD$176:$AD$905,($K256-$N$48))="",0,INDEX($AD$176:$AD$905,($K256-$N$48))),0)))=0,"",IF(AND($P255="",$P256=1),($N$37*-1),0)+IF(AND($Q255="",$Q256=1),($N$38*-1),0)+IF(IF(($K256-$N$48)&lt;1,0,IF(IF(INDEX($AD$176:$AD$905,($K256-$N$48))="",0,INDEX($AD$176:$AD$905,($K256-$N$48)))&gt;0,IF(INDEX($AD$176:$AD$905,($K256-$N$48))="",0,INDEX($AD$176:$AD$905,($K256-$N$48))),0))="",0,IF(($K256-$N$48)&lt;1,0,IF(IF(INDEX($AD$176:$AD$905,($K256-$N$48))="",0,INDEX($AD$176:$AD$905,($K256-$N$48)))&gt;0,IF(INDEX($AD$176:$AD$905,($K256-$N$48))="",0,INDEX($AD$176:$AD$905,($K256-$N$48))),0))))</f>
        <v/>
      </c>
      <c r="AC256" s="22">
        <f t="shared" si="57"/>
        <v>5500</v>
      </c>
      <c r="AD256" s="22">
        <f t="shared" ref="AD256:AD319" si="68">IF(IF(OR(AND(ISNUMBER($U256),IF(ISNUMBER($U257),$U257,0)-IF(ISNUMBER($U256),$U256,0)=1),AND(ISNUMBER($U256),$U257="")),IF($U256=1,$P$37,0),0)=0,"",IF(OR(AND(ISNUMBER($U256),IF(ISNUMBER($U257),$U257,0)-IF(ISNUMBER($U256),$U256,0)=1),AND(ISNUMBER($U256),$U257="")),IF($U256=1,$P$37,0),0))</f>
        <v>525</v>
      </c>
      <c r="AE256" s="22" t="str" cm="1">
        <f t="array" ref="AE256">IF(($K256-$N$48)&lt;1,"",IF((IF(INDEX($AC$176:$AC$905,($K256-$N$48))="",0,INDEX($AC$176:$AC$905,($K256-$N$48))))=0,"",(IF(INDEX($AC$176:$AC$905,($K256-$N$48))="",0,INDEX($AC$176:$AC$905,($K256-$N$48))))))</f>
        <v/>
      </c>
      <c r="AF256" s="31" t="str">
        <f t="shared" si="58"/>
        <v/>
      </c>
      <c r="AG256" s="31" t="str">
        <f t="shared" si="59"/>
        <v/>
      </c>
      <c r="AH256" s="31" t="str">
        <f t="shared" si="60"/>
        <v/>
      </c>
      <c r="AI256" s="31" t="str">
        <f t="shared" si="61"/>
        <v/>
      </c>
      <c r="AJ256" s="303" t="str">
        <f t="shared" si="62"/>
        <v/>
      </c>
      <c r="AK256" s="139" t="str">
        <f t="shared" si="63"/>
        <v/>
      </c>
      <c r="AM256" s="319"/>
      <c r="AN256" s="40"/>
      <c r="AO256" s="1"/>
    </row>
    <row r="257" spans="7:41" x14ac:dyDescent="0.25">
      <c r="G257" s="235" t="str">
        <f t="shared" si="49"/>
        <v>09.00</v>
      </c>
      <c r="H257" s="4" t="str">
        <f t="shared" si="50"/>
        <v>09.00.I</v>
      </c>
      <c r="I257" s="11" t="str">
        <f t="shared" si="51"/>
        <v>09.00.I.1</v>
      </c>
      <c r="K257" s="30">
        <v>82</v>
      </c>
      <c r="L257" s="29">
        <f t="shared" si="64"/>
        <v>-26183.091623809083</v>
      </c>
      <c r="M257" s="28">
        <f t="shared" si="52"/>
        <v>-200</v>
      </c>
      <c r="N257" s="27" t="str">
        <f t="shared" si="65"/>
        <v/>
      </c>
      <c r="O257" s="26" t="str">
        <f>IF(AND($Q256=$O$38,IFERROR(LARGE($V$176:$V256,1)&lt;$N$42,TRUE)),1,IF(AND(ISNUMBER($O256),$O256&lt;$N$32),$O256+1,""))</f>
        <v/>
      </c>
      <c r="P257" s="26" t="str">
        <f t="shared" si="66"/>
        <v/>
      </c>
      <c r="Q257" s="26">
        <f t="shared" si="53"/>
        <v>1</v>
      </c>
      <c r="R257" s="24" t="str">
        <f t="shared" si="67"/>
        <v/>
      </c>
      <c r="S257" s="180">
        <f t="shared" si="48"/>
        <v>9</v>
      </c>
      <c r="T257" s="151"/>
      <c r="U257" s="25" t="str">
        <f t="shared" si="54"/>
        <v/>
      </c>
      <c r="V257" s="24" t="str">
        <f>IF(AND(ISNUMBER(R256),ISNUMBER(R257)),V256,IF(AND(R256="",ISNUMBER(R257)),IFERROR(LARGE($V$176:$V256,1)+1,0),""))</f>
        <v/>
      </c>
      <c r="W257" s="23" t="str">
        <f t="shared" si="55"/>
        <v/>
      </c>
      <c r="X257" s="22" t="str">
        <f t="shared" si="56"/>
        <v/>
      </c>
      <c r="Y257" s="22"/>
      <c r="Z257" s="22"/>
      <c r="AA257" s="22"/>
      <c r="AB257" s="22" cm="1">
        <f t="array" ref="AB257">IF(IF(AND($P256="",$P257=1),($N$37*-1),0)+IF(AND($Q256="",$Q257=1),($N$38*-1),0)+IF(IF(($K257-$N$48)&lt;1,0,IF(IF(INDEX($AD$176:$AD$905,($K257-$N$48))="",0,INDEX($AD$176:$AD$905,($K257-$N$48)))&gt;0,IF(INDEX($AD$176:$AD$905,($K257-$N$48))="",0,INDEX($AD$176:$AD$905,($K257-$N$48))),0))="",0,IF(($K257-$N$48)&lt;1,0,IF(IF(INDEX($AD$176:$AD$905,($K257-$N$48))="",0,INDEX($AD$176:$AD$905,($K257-$N$48)))&gt;0,IF(INDEX($AD$176:$AD$905,($K257-$N$48))="",0,INDEX($AD$176:$AD$905,($K257-$N$48))),0)))=0,"",IF(AND($P256="",$P257=1),($N$37*-1),0)+IF(AND($Q256="",$Q257=1),($N$38*-1),0)+IF(IF(($K257-$N$48)&lt;1,0,IF(IF(INDEX($AD$176:$AD$905,($K257-$N$48))="",0,INDEX($AD$176:$AD$905,($K257-$N$48)))&gt;0,IF(INDEX($AD$176:$AD$905,($K257-$N$48))="",0,INDEX($AD$176:$AD$905,($K257-$N$48))),0))="",0,IF(($K257-$N$48)&lt;1,0,IF(IF(INDEX($AD$176:$AD$905,($K257-$N$48))="",0,INDEX($AD$176:$AD$905,($K257-$N$48)))&gt;0,IF(INDEX($AD$176:$AD$905,($K257-$N$48))="",0,INDEX($AD$176:$AD$905,($K257-$N$48))),0))))</f>
        <v>-200</v>
      </c>
      <c r="AC257" s="22" t="str">
        <f t="shared" si="57"/>
        <v/>
      </c>
      <c r="AD257" s="22" t="str">
        <f t="shared" si="68"/>
        <v/>
      </c>
      <c r="AE257" s="22" t="str" cm="1">
        <f t="array" ref="AE257">IF(($K257-$N$48)&lt;1,"",IF((IF(INDEX($AC$176:$AC$905,($K257-$N$48))="",0,INDEX($AC$176:$AC$905,($K257-$N$48))))=0,"",(IF(INDEX($AC$176:$AC$905,($K257-$N$48))="",0,INDEX($AC$176:$AC$905,($K257-$N$48))))))</f>
        <v/>
      </c>
      <c r="AF257" s="31" t="str">
        <f t="shared" si="58"/>
        <v/>
      </c>
      <c r="AG257" s="31" t="str">
        <f t="shared" si="59"/>
        <v/>
      </c>
      <c r="AH257" s="31" t="str">
        <f t="shared" si="60"/>
        <v/>
      </c>
      <c r="AI257" s="31" t="str">
        <f t="shared" si="61"/>
        <v/>
      </c>
      <c r="AJ257" s="303" t="str">
        <f t="shared" si="62"/>
        <v/>
      </c>
      <c r="AK257" s="139" t="str">
        <f t="shared" si="63"/>
        <v/>
      </c>
      <c r="AM257" s="319"/>
      <c r="AN257" s="40"/>
      <c r="AO257" s="1"/>
    </row>
    <row r="258" spans="7:41" x14ac:dyDescent="0.25">
      <c r="G258" s="235" t="str">
        <f t="shared" si="49"/>
        <v>09.00</v>
      </c>
      <c r="H258" s="4" t="str">
        <f t="shared" si="50"/>
        <v>09.00.I</v>
      </c>
      <c r="I258" s="11" t="str">
        <f t="shared" si="51"/>
        <v>09.00.I.2</v>
      </c>
      <c r="K258" s="30">
        <v>83</v>
      </c>
      <c r="L258" s="29">
        <f t="shared" si="64"/>
        <v>-26183.091623809083</v>
      </c>
      <c r="M258" s="28" t="str">
        <f t="shared" si="52"/>
        <v/>
      </c>
      <c r="N258" s="27" t="str">
        <f t="shared" si="65"/>
        <v/>
      </c>
      <c r="O258" s="26" t="str">
        <f>IF(AND($Q257=$O$38,IFERROR(LARGE($V$176:$V257,1)&lt;$N$42,TRUE)),1,IF(AND(ISNUMBER($O257),$O257&lt;$N$32),$O257+1,""))</f>
        <v/>
      </c>
      <c r="P258" s="26" t="str">
        <f t="shared" si="66"/>
        <v/>
      </c>
      <c r="Q258" s="26">
        <f t="shared" si="53"/>
        <v>2</v>
      </c>
      <c r="R258" s="24" t="str">
        <f t="shared" si="67"/>
        <v/>
      </c>
      <c r="S258" s="180">
        <f t="shared" si="48"/>
        <v>9</v>
      </c>
      <c r="T258" s="151"/>
      <c r="U258" s="25" t="str">
        <f t="shared" si="54"/>
        <v/>
      </c>
      <c r="V258" s="24" t="str">
        <f>IF(AND(ISNUMBER(R257),ISNUMBER(R258)),V257,IF(AND(R257="",ISNUMBER(R258)),IFERROR(LARGE($V$176:$V257,1)+1,0),""))</f>
        <v/>
      </c>
      <c r="W258" s="23" t="str">
        <f t="shared" si="55"/>
        <v/>
      </c>
      <c r="X258" s="22" t="str">
        <f t="shared" si="56"/>
        <v/>
      </c>
      <c r="Y258" s="22"/>
      <c r="Z258" s="22"/>
      <c r="AA258" s="22"/>
      <c r="AB258" s="22" t="str" cm="1">
        <f t="array" ref="AB258">IF(IF(AND($P257="",$P258=1),($N$37*-1),0)+IF(AND($Q257="",$Q258=1),($N$38*-1),0)+IF(IF(($K258-$N$48)&lt;1,0,IF(IF(INDEX($AD$176:$AD$905,($K258-$N$48))="",0,INDEX($AD$176:$AD$905,($K258-$N$48)))&gt;0,IF(INDEX($AD$176:$AD$905,($K258-$N$48))="",0,INDEX($AD$176:$AD$905,($K258-$N$48))),0))="",0,IF(($K258-$N$48)&lt;1,0,IF(IF(INDEX($AD$176:$AD$905,($K258-$N$48))="",0,INDEX($AD$176:$AD$905,($K258-$N$48)))&gt;0,IF(INDEX($AD$176:$AD$905,($K258-$N$48))="",0,INDEX($AD$176:$AD$905,($K258-$N$48))),0)))=0,"",IF(AND($P257="",$P258=1),($N$37*-1),0)+IF(AND($Q257="",$Q258=1),($N$38*-1),0)+IF(IF(($K258-$N$48)&lt;1,0,IF(IF(INDEX($AD$176:$AD$905,($K258-$N$48))="",0,INDEX($AD$176:$AD$905,($K258-$N$48)))&gt;0,IF(INDEX($AD$176:$AD$905,($K258-$N$48))="",0,INDEX($AD$176:$AD$905,($K258-$N$48))),0))="",0,IF(($K258-$N$48)&lt;1,0,IF(IF(INDEX($AD$176:$AD$905,($K258-$N$48))="",0,INDEX($AD$176:$AD$905,($K258-$N$48)))&gt;0,IF(INDEX($AD$176:$AD$905,($K258-$N$48))="",0,INDEX($AD$176:$AD$905,($K258-$N$48))),0))))</f>
        <v/>
      </c>
      <c r="AC258" s="22" t="str">
        <f t="shared" si="57"/>
        <v/>
      </c>
      <c r="AD258" s="22" t="str">
        <f t="shared" si="68"/>
        <v/>
      </c>
      <c r="AE258" s="22" t="str" cm="1">
        <f t="array" ref="AE258">IF(($K258-$N$48)&lt;1,"",IF((IF(INDEX($AC$176:$AC$905,($K258-$N$48))="",0,INDEX($AC$176:$AC$905,($K258-$N$48))))=0,"",(IF(INDEX($AC$176:$AC$905,($K258-$N$48))="",0,INDEX($AC$176:$AC$905,($K258-$N$48))))))</f>
        <v/>
      </c>
      <c r="AF258" s="31" t="str">
        <f t="shared" si="58"/>
        <v/>
      </c>
      <c r="AG258" s="31" t="str">
        <f t="shared" si="59"/>
        <v/>
      </c>
      <c r="AH258" s="31" t="str">
        <f t="shared" si="60"/>
        <v/>
      </c>
      <c r="AI258" s="31" t="str">
        <f t="shared" si="61"/>
        <v/>
      </c>
      <c r="AJ258" s="303" t="str">
        <f t="shared" si="62"/>
        <v/>
      </c>
      <c r="AK258" s="139" t="str">
        <f t="shared" si="63"/>
        <v/>
      </c>
      <c r="AM258" s="319"/>
      <c r="AN258" s="40"/>
      <c r="AO258" s="1"/>
    </row>
    <row r="259" spans="7:41" x14ac:dyDescent="0.25">
      <c r="G259" s="235" t="str">
        <f t="shared" si="49"/>
        <v/>
      </c>
      <c r="H259" s="4" t="str">
        <f t="shared" si="50"/>
        <v/>
      </c>
      <c r="I259" s="11" t="str">
        <f t="shared" si="51"/>
        <v>09.00</v>
      </c>
      <c r="K259" s="30">
        <v>84</v>
      </c>
      <c r="L259" s="29">
        <f t="shared" si="64"/>
        <v>-26183.091623809083</v>
      </c>
      <c r="M259" s="28" t="str">
        <f t="shared" si="52"/>
        <v/>
      </c>
      <c r="N259" s="27" t="str">
        <f t="shared" si="65"/>
        <v/>
      </c>
      <c r="O259" s="26" t="str">
        <f>IF(AND($Q258=$O$38,IFERROR(LARGE($V$176:$V258,1)&lt;$N$42,TRUE)),1,IF(AND(ISNUMBER($O258),$O258&lt;$N$32),$O258+1,""))</f>
        <v/>
      </c>
      <c r="P259" s="26" t="str">
        <f t="shared" si="66"/>
        <v/>
      </c>
      <c r="Q259" s="26" t="str">
        <f t="shared" si="53"/>
        <v/>
      </c>
      <c r="R259" s="24" t="str">
        <f t="shared" si="67"/>
        <v/>
      </c>
      <c r="S259" s="180">
        <f t="shared" si="48"/>
        <v>9</v>
      </c>
      <c r="T259" s="151"/>
      <c r="U259" s="25" t="str">
        <f t="shared" si="54"/>
        <v/>
      </c>
      <c r="V259" s="24" t="str">
        <f>IF(AND(ISNUMBER(R258),ISNUMBER(R259)),V258,IF(AND(R258="",ISNUMBER(R259)),IFERROR(LARGE($V$176:$V258,1)+1,0),""))</f>
        <v/>
      </c>
      <c r="W259" s="23" t="str">
        <f t="shared" si="55"/>
        <v/>
      </c>
      <c r="X259" s="22" t="str">
        <f t="shared" si="56"/>
        <v/>
      </c>
      <c r="Y259" s="22"/>
      <c r="Z259" s="22"/>
      <c r="AA259" s="22"/>
      <c r="AB259" s="22" t="str" cm="1">
        <f t="array" ref="AB259">IF(IF(AND($P258="",$P259=1),($N$37*-1),0)+IF(AND($Q258="",$Q259=1),($N$38*-1),0)+IF(IF(($K259-$N$48)&lt;1,0,IF(IF(INDEX($AD$176:$AD$905,($K259-$N$48))="",0,INDEX($AD$176:$AD$905,($K259-$N$48)))&gt;0,IF(INDEX($AD$176:$AD$905,($K259-$N$48))="",0,INDEX($AD$176:$AD$905,($K259-$N$48))),0))="",0,IF(($K259-$N$48)&lt;1,0,IF(IF(INDEX($AD$176:$AD$905,($K259-$N$48))="",0,INDEX($AD$176:$AD$905,($K259-$N$48)))&gt;0,IF(INDEX($AD$176:$AD$905,($K259-$N$48))="",0,INDEX($AD$176:$AD$905,($K259-$N$48))),0)))=0,"",IF(AND($P258="",$P259=1),($N$37*-1),0)+IF(AND($Q258="",$Q259=1),($N$38*-1),0)+IF(IF(($K259-$N$48)&lt;1,0,IF(IF(INDEX($AD$176:$AD$905,($K259-$N$48))="",0,INDEX($AD$176:$AD$905,($K259-$N$48)))&gt;0,IF(INDEX($AD$176:$AD$905,($K259-$N$48))="",0,INDEX($AD$176:$AD$905,($K259-$N$48))),0))="",0,IF(($K259-$N$48)&lt;1,0,IF(IF(INDEX($AD$176:$AD$905,($K259-$N$48))="",0,INDEX($AD$176:$AD$905,($K259-$N$48)))&gt;0,IF(INDEX($AD$176:$AD$905,($K259-$N$48))="",0,INDEX($AD$176:$AD$905,($K259-$N$48))),0))))</f>
        <v/>
      </c>
      <c r="AC259" s="22" t="str">
        <f t="shared" si="57"/>
        <v/>
      </c>
      <c r="AD259" s="22" t="str">
        <f t="shared" si="68"/>
        <v/>
      </c>
      <c r="AE259" s="22" t="str" cm="1">
        <f t="array" ref="AE259">IF(($K259-$N$48)&lt;1,"",IF((IF(INDEX($AC$176:$AC$905,($K259-$N$48))="",0,INDEX($AC$176:$AC$905,($K259-$N$48))))=0,"",(IF(INDEX($AC$176:$AC$905,($K259-$N$48))="",0,INDEX($AC$176:$AC$905,($K259-$N$48))))))</f>
        <v/>
      </c>
      <c r="AF259" s="31" t="str">
        <f t="shared" si="58"/>
        <v/>
      </c>
      <c r="AG259" s="31" t="str">
        <f t="shared" si="59"/>
        <v/>
      </c>
      <c r="AH259" s="31" t="str">
        <f t="shared" si="60"/>
        <v/>
      </c>
      <c r="AI259" s="31" t="str">
        <f t="shared" si="61"/>
        <v/>
      </c>
      <c r="AJ259" s="303" t="str">
        <f t="shared" si="62"/>
        <v/>
      </c>
      <c r="AK259" s="139" t="str">
        <f t="shared" si="63"/>
        <v/>
      </c>
      <c r="AM259" s="319"/>
      <c r="AN259" s="40"/>
      <c r="AO259" s="1"/>
    </row>
    <row r="260" spans="7:41" x14ac:dyDescent="0.25">
      <c r="G260" s="235" t="str">
        <f t="shared" si="49"/>
        <v/>
      </c>
      <c r="H260" s="4" t="str">
        <f t="shared" si="50"/>
        <v/>
      </c>
      <c r="I260" s="11" t="str">
        <f t="shared" si="51"/>
        <v>09.00</v>
      </c>
      <c r="K260" s="30">
        <v>85</v>
      </c>
      <c r="L260" s="29">
        <f t="shared" si="64"/>
        <v>-26183.091623809083</v>
      </c>
      <c r="M260" s="28" t="str">
        <f t="shared" si="52"/>
        <v/>
      </c>
      <c r="N260" s="27" t="str">
        <f t="shared" si="65"/>
        <v/>
      </c>
      <c r="O260" s="26" t="str">
        <f>IF(AND($Q259=$O$38,IFERROR(LARGE($V$176:$V259,1)&lt;$N$42,TRUE)),1,IF(AND(ISNUMBER($O259),$O259&lt;$N$32),$O259+1,""))</f>
        <v/>
      </c>
      <c r="P260" s="26" t="str">
        <f t="shared" si="66"/>
        <v/>
      </c>
      <c r="Q260" s="26" t="str">
        <f t="shared" si="53"/>
        <v/>
      </c>
      <c r="R260" s="24" t="str">
        <f t="shared" si="67"/>
        <v/>
      </c>
      <c r="S260" s="180">
        <f t="shared" si="48"/>
        <v>9</v>
      </c>
      <c r="T260" s="151"/>
      <c r="U260" s="25" t="str">
        <f t="shared" si="54"/>
        <v/>
      </c>
      <c r="V260" s="24" t="str">
        <f>IF(AND(ISNUMBER(R259),ISNUMBER(R260)),V259,IF(AND(R259="",ISNUMBER(R260)),IFERROR(LARGE($V$176:$V259,1)+1,0),""))</f>
        <v/>
      </c>
      <c r="W260" s="23" t="str">
        <f t="shared" si="55"/>
        <v/>
      </c>
      <c r="X260" s="22" t="str">
        <f t="shared" si="56"/>
        <v/>
      </c>
      <c r="Y260" s="22"/>
      <c r="Z260" s="22"/>
      <c r="AA260" s="22"/>
      <c r="AB260" s="22" t="str" cm="1">
        <f t="array" ref="AB260">IF(IF(AND($P259="",$P260=1),($N$37*-1),0)+IF(AND($Q259="",$Q260=1),($N$38*-1),0)+IF(IF(($K260-$N$48)&lt;1,0,IF(IF(INDEX($AD$176:$AD$905,($K260-$N$48))="",0,INDEX($AD$176:$AD$905,($K260-$N$48)))&gt;0,IF(INDEX($AD$176:$AD$905,($K260-$N$48))="",0,INDEX($AD$176:$AD$905,($K260-$N$48))),0))="",0,IF(($K260-$N$48)&lt;1,0,IF(IF(INDEX($AD$176:$AD$905,($K260-$N$48))="",0,INDEX($AD$176:$AD$905,($K260-$N$48)))&gt;0,IF(INDEX($AD$176:$AD$905,($K260-$N$48))="",0,INDEX($AD$176:$AD$905,($K260-$N$48))),0)))=0,"",IF(AND($P259="",$P260=1),($N$37*-1),0)+IF(AND($Q259="",$Q260=1),($N$38*-1),0)+IF(IF(($K260-$N$48)&lt;1,0,IF(IF(INDEX($AD$176:$AD$905,($K260-$N$48))="",0,INDEX($AD$176:$AD$905,($K260-$N$48)))&gt;0,IF(INDEX($AD$176:$AD$905,($K260-$N$48))="",0,INDEX($AD$176:$AD$905,($K260-$N$48))),0))="",0,IF(($K260-$N$48)&lt;1,0,IF(IF(INDEX($AD$176:$AD$905,($K260-$N$48))="",0,INDEX($AD$176:$AD$905,($K260-$N$48)))&gt;0,IF(INDEX($AD$176:$AD$905,($K260-$N$48))="",0,INDEX($AD$176:$AD$905,($K260-$N$48))),0))))</f>
        <v/>
      </c>
      <c r="AC260" s="22" t="str">
        <f t="shared" si="57"/>
        <v/>
      </c>
      <c r="AD260" s="22" t="str">
        <f t="shared" si="68"/>
        <v/>
      </c>
      <c r="AE260" s="22" t="str" cm="1">
        <f t="array" ref="AE260">IF(($K260-$N$48)&lt;1,"",IF((IF(INDEX($AC$176:$AC$905,($K260-$N$48))="",0,INDEX($AC$176:$AC$905,($K260-$N$48))))=0,"",(IF(INDEX($AC$176:$AC$905,($K260-$N$48))="",0,INDEX($AC$176:$AC$905,($K260-$N$48))))))</f>
        <v/>
      </c>
      <c r="AF260" s="31" t="str">
        <f t="shared" si="58"/>
        <v/>
      </c>
      <c r="AG260" s="31" t="str">
        <f t="shared" si="59"/>
        <v/>
      </c>
      <c r="AH260" s="31" t="str">
        <f t="shared" si="60"/>
        <v/>
      </c>
      <c r="AI260" s="31" t="str">
        <f t="shared" si="61"/>
        <v/>
      </c>
      <c r="AJ260" s="303" t="str">
        <f t="shared" si="62"/>
        <v/>
      </c>
      <c r="AK260" s="139" t="str">
        <f t="shared" si="63"/>
        <v/>
      </c>
      <c r="AM260" s="319"/>
      <c r="AN260" s="40"/>
      <c r="AO260" s="1"/>
    </row>
    <row r="261" spans="7:41" x14ac:dyDescent="0.25">
      <c r="G261" s="235" t="str">
        <f t="shared" si="49"/>
        <v/>
      </c>
      <c r="H261" s="4" t="str">
        <f t="shared" si="50"/>
        <v/>
      </c>
      <c r="I261" s="11" t="str">
        <f t="shared" si="51"/>
        <v>09.00</v>
      </c>
      <c r="K261" s="30">
        <v>86</v>
      </c>
      <c r="L261" s="29">
        <f t="shared" si="64"/>
        <v>-26183.091623809083</v>
      </c>
      <c r="M261" s="28" t="str">
        <f t="shared" si="52"/>
        <v/>
      </c>
      <c r="N261" s="27" t="str">
        <f t="shared" si="65"/>
        <v/>
      </c>
      <c r="O261" s="26" t="str">
        <f>IF(AND($Q260=$O$38,IFERROR(LARGE($V$176:$V260,1)&lt;$N$42,TRUE)),1,IF(AND(ISNUMBER($O260),$O260&lt;$N$32),$O260+1,""))</f>
        <v/>
      </c>
      <c r="P261" s="26" t="str">
        <f t="shared" si="66"/>
        <v/>
      </c>
      <c r="Q261" s="26" t="str">
        <f t="shared" si="53"/>
        <v/>
      </c>
      <c r="R261" s="24" t="str">
        <f t="shared" si="67"/>
        <v/>
      </c>
      <c r="S261" s="180">
        <f t="shared" si="48"/>
        <v>9</v>
      </c>
      <c r="T261" s="151"/>
      <c r="U261" s="25" t="str">
        <f t="shared" si="54"/>
        <v/>
      </c>
      <c r="V261" s="24" t="str">
        <f>IF(AND(ISNUMBER(R260),ISNUMBER(R261)),V260,IF(AND(R260="",ISNUMBER(R261)),IFERROR(LARGE($V$176:$V260,1)+1,0),""))</f>
        <v/>
      </c>
      <c r="W261" s="23" t="str">
        <f t="shared" si="55"/>
        <v/>
      </c>
      <c r="X261" s="22" t="str">
        <f t="shared" si="56"/>
        <v/>
      </c>
      <c r="Y261" s="22"/>
      <c r="Z261" s="22"/>
      <c r="AA261" s="22"/>
      <c r="AB261" s="22" t="str" cm="1">
        <f t="array" ref="AB261">IF(IF(AND($P260="",$P261=1),($N$37*-1),0)+IF(AND($Q260="",$Q261=1),($N$38*-1),0)+IF(IF(($K261-$N$48)&lt;1,0,IF(IF(INDEX($AD$176:$AD$905,($K261-$N$48))="",0,INDEX($AD$176:$AD$905,($K261-$N$48)))&gt;0,IF(INDEX($AD$176:$AD$905,($K261-$N$48))="",0,INDEX($AD$176:$AD$905,($K261-$N$48))),0))="",0,IF(($K261-$N$48)&lt;1,0,IF(IF(INDEX($AD$176:$AD$905,($K261-$N$48))="",0,INDEX($AD$176:$AD$905,($K261-$N$48)))&gt;0,IF(INDEX($AD$176:$AD$905,($K261-$N$48))="",0,INDEX($AD$176:$AD$905,($K261-$N$48))),0)))=0,"",IF(AND($P260="",$P261=1),($N$37*-1),0)+IF(AND($Q260="",$Q261=1),($N$38*-1),0)+IF(IF(($K261-$N$48)&lt;1,0,IF(IF(INDEX($AD$176:$AD$905,($K261-$N$48))="",0,INDEX($AD$176:$AD$905,($K261-$N$48)))&gt;0,IF(INDEX($AD$176:$AD$905,($K261-$N$48))="",0,INDEX($AD$176:$AD$905,($K261-$N$48))),0))="",0,IF(($K261-$N$48)&lt;1,0,IF(IF(INDEX($AD$176:$AD$905,($K261-$N$48))="",0,INDEX($AD$176:$AD$905,($K261-$N$48)))&gt;0,IF(INDEX($AD$176:$AD$905,($K261-$N$48))="",0,INDEX($AD$176:$AD$905,($K261-$N$48))),0))))</f>
        <v/>
      </c>
      <c r="AC261" s="22" t="str">
        <f t="shared" si="57"/>
        <v/>
      </c>
      <c r="AD261" s="22" t="str">
        <f t="shared" si="68"/>
        <v/>
      </c>
      <c r="AE261" s="22" t="str" cm="1">
        <f t="array" ref="AE261">IF(($K261-$N$48)&lt;1,"",IF((IF(INDEX($AC$176:$AC$905,($K261-$N$48))="",0,INDEX($AC$176:$AC$905,($K261-$N$48))))=0,"",(IF(INDEX($AC$176:$AC$905,($K261-$N$48))="",0,INDEX($AC$176:$AC$905,($K261-$N$48))))))</f>
        <v/>
      </c>
      <c r="AF261" s="31" t="str">
        <f t="shared" si="58"/>
        <v/>
      </c>
      <c r="AG261" s="31" t="str">
        <f t="shared" si="59"/>
        <v/>
      </c>
      <c r="AH261" s="31" t="str">
        <f t="shared" si="60"/>
        <v/>
      </c>
      <c r="AI261" s="31" t="str">
        <f t="shared" si="61"/>
        <v/>
      </c>
      <c r="AJ261" s="303" t="str">
        <f t="shared" si="62"/>
        <v/>
      </c>
      <c r="AK261" s="139" t="str">
        <f t="shared" si="63"/>
        <v/>
      </c>
      <c r="AM261" s="319"/>
      <c r="AN261" s="40"/>
      <c r="AO261" s="1"/>
    </row>
    <row r="262" spans="7:41" x14ac:dyDescent="0.25">
      <c r="G262" s="235" t="str">
        <f t="shared" si="49"/>
        <v/>
      </c>
      <c r="H262" s="4" t="str">
        <f t="shared" si="50"/>
        <v/>
      </c>
      <c r="I262" s="11" t="str">
        <f t="shared" si="51"/>
        <v>09.00</v>
      </c>
      <c r="K262" s="30">
        <v>87</v>
      </c>
      <c r="L262" s="29">
        <f t="shared" si="64"/>
        <v>-20818.091623809083</v>
      </c>
      <c r="M262" s="28">
        <f t="shared" si="52"/>
        <v>5365</v>
      </c>
      <c r="N262" s="27" t="str">
        <f t="shared" si="65"/>
        <v/>
      </c>
      <c r="O262" s="26" t="str">
        <f>IF(AND($Q261=$O$38,IFERROR(LARGE($V$176:$V261,1)&lt;$N$42,TRUE)),1,IF(AND(ISNUMBER($O261),$O261&lt;$N$32),$O261+1,""))</f>
        <v/>
      </c>
      <c r="P262" s="26" t="str">
        <f t="shared" si="66"/>
        <v/>
      </c>
      <c r="Q262" s="26" t="str">
        <f t="shared" si="53"/>
        <v/>
      </c>
      <c r="R262" s="24" t="str">
        <f t="shared" si="67"/>
        <v/>
      </c>
      <c r="S262" s="180">
        <f t="shared" si="48"/>
        <v>9</v>
      </c>
      <c r="T262" s="151"/>
      <c r="U262" s="25" t="str">
        <f t="shared" si="54"/>
        <v/>
      </c>
      <c r="V262" s="24" t="str">
        <f>IF(AND(ISNUMBER(R261),ISNUMBER(R262)),V261,IF(AND(R261="",ISNUMBER(R262)),IFERROR(LARGE($V$176:$V261,1)+1,0),""))</f>
        <v/>
      </c>
      <c r="W262" s="23" t="str">
        <f t="shared" si="55"/>
        <v/>
      </c>
      <c r="X262" s="22" t="str">
        <f t="shared" si="56"/>
        <v/>
      </c>
      <c r="Y262" s="22"/>
      <c r="Z262" s="22"/>
      <c r="AA262" s="22"/>
      <c r="AB262" s="22" cm="1">
        <f t="array" ref="AB262">IF(IF(AND($P261="",$P262=1),($N$37*-1),0)+IF(AND($Q261="",$Q262=1),($N$38*-1),0)+IF(IF(($K262-$N$48)&lt;1,0,IF(IF(INDEX($AD$176:$AD$905,($K262-$N$48))="",0,INDEX($AD$176:$AD$905,($K262-$N$48)))&gt;0,IF(INDEX($AD$176:$AD$905,($K262-$N$48))="",0,INDEX($AD$176:$AD$905,($K262-$N$48))),0))="",0,IF(($K262-$N$48)&lt;1,0,IF(IF(INDEX($AD$176:$AD$905,($K262-$N$48))="",0,INDEX($AD$176:$AD$905,($K262-$N$48)))&gt;0,IF(INDEX($AD$176:$AD$905,($K262-$N$48))="",0,INDEX($AD$176:$AD$905,($K262-$N$48))),0)))=0,"",IF(AND($P261="",$P262=1),($N$37*-1),0)+IF(AND($Q261="",$Q262=1),($N$38*-1),0)+IF(IF(($K262-$N$48)&lt;1,0,IF(IF(INDEX($AD$176:$AD$905,($K262-$N$48))="",0,INDEX($AD$176:$AD$905,($K262-$N$48)))&gt;0,IF(INDEX($AD$176:$AD$905,($K262-$N$48))="",0,INDEX($AD$176:$AD$905,($K262-$N$48))),0))="",0,IF(($K262-$N$48)&lt;1,0,IF(IF(INDEX($AD$176:$AD$905,($K262-$N$48))="",0,INDEX($AD$176:$AD$905,($K262-$N$48)))&gt;0,IF(INDEX($AD$176:$AD$905,($K262-$N$48))="",0,INDEX($AD$176:$AD$905,($K262-$N$48))),0))))</f>
        <v>525</v>
      </c>
      <c r="AC262" s="22" t="str">
        <f t="shared" si="57"/>
        <v/>
      </c>
      <c r="AD262" s="22" t="str">
        <f t="shared" si="68"/>
        <v/>
      </c>
      <c r="AE262" s="22" cm="1">
        <f t="array" ref="AE262">IF(($K262-$N$48)&lt;1,"",IF((IF(INDEX($AC$176:$AC$905,($K262-$N$48))="",0,INDEX($AC$176:$AC$905,($K262-$N$48))))=0,"",(IF(INDEX($AC$176:$AC$905,($K262-$N$48))="",0,INDEX($AC$176:$AC$905,($K262-$N$48))))))</f>
        <v>5500</v>
      </c>
      <c r="AF262" s="31">
        <f t="shared" si="58"/>
        <v>0</v>
      </c>
      <c r="AG262" s="31">
        <f t="shared" si="59"/>
        <v>-82.5</v>
      </c>
      <c r="AH262" s="31">
        <f t="shared" si="60"/>
        <v>-110</v>
      </c>
      <c r="AI262" s="31">
        <f t="shared" si="61"/>
        <v>-27.5</v>
      </c>
      <c r="AJ262" s="303">
        <f t="shared" si="62"/>
        <v>-440</v>
      </c>
      <c r="AK262" s="139">
        <f t="shared" si="63"/>
        <v>-440</v>
      </c>
      <c r="AM262" s="319"/>
      <c r="AN262" s="40"/>
      <c r="AO262" s="1"/>
    </row>
    <row r="263" spans="7:41" x14ac:dyDescent="0.25">
      <c r="G263" s="235" t="str">
        <f t="shared" si="49"/>
        <v/>
      </c>
      <c r="H263" s="4" t="str">
        <f t="shared" si="50"/>
        <v/>
      </c>
      <c r="I263" s="11" t="str">
        <f t="shared" si="51"/>
        <v>09.00</v>
      </c>
      <c r="K263" s="30">
        <v>88</v>
      </c>
      <c r="L263" s="29">
        <f t="shared" si="64"/>
        <v>-20818.091623809083</v>
      </c>
      <c r="M263" s="28" t="str">
        <f t="shared" si="52"/>
        <v/>
      </c>
      <c r="N263" s="27" t="str">
        <f t="shared" si="65"/>
        <v/>
      </c>
      <c r="O263" s="26" t="str">
        <f>IF(AND($Q262=$O$38,IFERROR(LARGE($V$176:$V262,1)&lt;$N$42,TRUE)),1,IF(AND(ISNUMBER($O262),$O262&lt;$N$32),$O262+1,""))</f>
        <v/>
      </c>
      <c r="P263" s="26" t="str">
        <f t="shared" si="66"/>
        <v/>
      </c>
      <c r="Q263" s="26" t="str">
        <f t="shared" si="53"/>
        <v/>
      </c>
      <c r="R263" s="24" t="str">
        <f t="shared" si="67"/>
        <v/>
      </c>
      <c r="S263" s="180">
        <f t="shared" si="48"/>
        <v>9</v>
      </c>
      <c r="T263" s="151"/>
      <c r="U263" s="25" t="str">
        <f t="shared" si="54"/>
        <v/>
      </c>
      <c r="V263" s="24" t="str">
        <f>IF(AND(ISNUMBER(R262),ISNUMBER(R263)),V262,IF(AND(R262="",ISNUMBER(R263)),IFERROR(LARGE($V$176:$V262,1)+1,0),""))</f>
        <v/>
      </c>
      <c r="W263" s="23" t="str">
        <f t="shared" si="55"/>
        <v/>
      </c>
      <c r="X263" s="22" t="str">
        <f t="shared" si="56"/>
        <v/>
      </c>
      <c r="Y263" s="22"/>
      <c r="Z263" s="22"/>
      <c r="AA263" s="22"/>
      <c r="AB263" s="22" t="str" cm="1">
        <f t="array" ref="AB263">IF(IF(AND($P262="",$P263=1),($N$37*-1),0)+IF(AND($Q262="",$Q263=1),($N$38*-1),0)+IF(IF(($K263-$N$48)&lt;1,0,IF(IF(INDEX($AD$176:$AD$905,($K263-$N$48))="",0,INDEX($AD$176:$AD$905,($K263-$N$48)))&gt;0,IF(INDEX($AD$176:$AD$905,($K263-$N$48))="",0,INDEX($AD$176:$AD$905,($K263-$N$48))),0))="",0,IF(($K263-$N$48)&lt;1,0,IF(IF(INDEX($AD$176:$AD$905,($K263-$N$48))="",0,INDEX($AD$176:$AD$905,($K263-$N$48)))&gt;0,IF(INDEX($AD$176:$AD$905,($K263-$N$48))="",0,INDEX($AD$176:$AD$905,($K263-$N$48))),0)))=0,"",IF(AND($P262="",$P263=1),($N$37*-1),0)+IF(AND($Q262="",$Q263=1),($N$38*-1),0)+IF(IF(($K263-$N$48)&lt;1,0,IF(IF(INDEX($AD$176:$AD$905,($K263-$N$48))="",0,INDEX($AD$176:$AD$905,($K263-$N$48)))&gt;0,IF(INDEX($AD$176:$AD$905,($K263-$N$48))="",0,INDEX($AD$176:$AD$905,($K263-$N$48))),0))="",0,IF(($K263-$N$48)&lt;1,0,IF(IF(INDEX($AD$176:$AD$905,($K263-$N$48))="",0,INDEX($AD$176:$AD$905,($K263-$N$48)))&gt;0,IF(INDEX($AD$176:$AD$905,($K263-$N$48))="",0,INDEX($AD$176:$AD$905,($K263-$N$48))),0))))</f>
        <v/>
      </c>
      <c r="AC263" s="22" t="str">
        <f t="shared" si="57"/>
        <v/>
      </c>
      <c r="AD263" s="22" t="str">
        <f t="shared" si="68"/>
        <v/>
      </c>
      <c r="AE263" s="22" t="str" cm="1">
        <f t="array" ref="AE263">IF(($K263-$N$48)&lt;1,"",IF((IF(INDEX($AC$176:$AC$905,($K263-$N$48))="",0,INDEX($AC$176:$AC$905,($K263-$N$48))))=0,"",(IF(INDEX($AC$176:$AC$905,($K263-$N$48))="",0,INDEX($AC$176:$AC$905,($K263-$N$48))))))</f>
        <v/>
      </c>
      <c r="AF263" s="31" t="str">
        <f t="shared" si="58"/>
        <v/>
      </c>
      <c r="AG263" s="31" t="str">
        <f t="shared" si="59"/>
        <v/>
      </c>
      <c r="AH263" s="31" t="str">
        <f t="shared" si="60"/>
        <v/>
      </c>
      <c r="AI263" s="31" t="str">
        <f t="shared" si="61"/>
        <v/>
      </c>
      <c r="AJ263" s="303" t="str">
        <f t="shared" si="62"/>
        <v/>
      </c>
      <c r="AK263" s="139" t="str">
        <f t="shared" si="63"/>
        <v/>
      </c>
      <c r="AM263" s="319"/>
      <c r="AN263" s="40"/>
      <c r="AO263" s="1"/>
    </row>
    <row r="264" spans="7:41" x14ac:dyDescent="0.25">
      <c r="G264" s="235" t="str">
        <f t="shared" si="49"/>
        <v/>
      </c>
      <c r="H264" s="4" t="str">
        <f t="shared" si="50"/>
        <v/>
      </c>
      <c r="I264" s="11" t="str">
        <f t="shared" si="51"/>
        <v>09.00</v>
      </c>
      <c r="K264" s="30">
        <v>89</v>
      </c>
      <c r="L264" s="29">
        <f t="shared" si="64"/>
        <v>-20818.091623809083</v>
      </c>
      <c r="M264" s="28" t="str">
        <f t="shared" si="52"/>
        <v/>
      </c>
      <c r="N264" s="27" t="str">
        <f t="shared" si="65"/>
        <v/>
      </c>
      <c r="O264" s="26" t="str">
        <f>IF(AND($Q263=$O$38,IFERROR(LARGE($V$176:$V263,1)&lt;$N$42,TRUE)),1,IF(AND(ISNUMBER($O263),$O263&lt;$N$32),$O263+1,""))</f>
        <v/>
      </c>
      <c r="P264" s="26" t="str">
        <f t="shared" si="66"/>
        <v/>
      </c>
      <c r="Q264" s="26" t="str">
        <f t="shared" si="53"/>
        <v/>
      </c>
      <c r="R264" s="24" t="str">
        <f t="shared" si="67"/>
        <v/>
      </c>
      <c r="S264" s="180">
        <f t="shared" si="48"/>
        <v>9</v>
      </c>
      <c r="T264" s="151"/>
      <c r="U264" s="25" t="str">
        <f t="shared" si="54"/>
        <v/>
      </c>
      <c r="V264" s="24" t="str">
        <f>IF(AND(ISNUMBER(R263),ISNUMBER(R264)),V263,IF(AND(R263="",ISNUMBER(R264)),IFERROR(LARGE($V$176:$V263,1)+1,0),""))</f>
        <v/>
      </c>
      <c r="W264" s="23" t="str">
        <f t="shared" si="55"/>
        <v/>
      </c>
      <c r="X264" s="22" t="str">
        <f t="shared" si="56"/>
        <v/>
      </c>
      <c r="Y264" s="22"/>
      <c r="Z264" s="22"/>
      <c r="AA264" s="22"/>
      <c r="AB264" s="22" t="str" cm="1">
        <f t="array" ref="AB264">IF(IF(AND($P263="",$P264=1),($N$37*-1),0)+IF(AND($Q263="",$Q264=1),($N$38*-1),0)+IF(IF(($K264-$N$48)&lt;1,0,IF(IF(INDEX($AD$176:$AD$905,($K264-$N$48))="",0,INDEX($AD$176:$AD$905,($K264-$N$48)))&gt;0,IF(INDEX($AD$176:$AD$905,($K264-$N$48))="",0,INDEX($AD$176:$AD$905,($K264-$N$48))),0))="",0,IF(($K264-$N$48)&lt;1,0,IF(IF(INDEX($AD$176:$AD$905,($K264-$N$48))="",0,INDEX($AD$176:$AD$905,($K264-$N$48)))&gt;0,IF(INDEX($AD$176:$AD$905,($K264-$N$48))="",0,INDEX($AD$176:$AD$905,($K264-$N$48))),0)))=0,"",IF(AND($P263="",$P264=1),($N$37*-1),0)+IF(AND($Q263="",$Q264=1),($N$38*-1),0)+IF(IF(($K264-$N$48)&lt;1,0,IF(IF(INDEX($AD$176:$AD$905,($K264-$N$48))="",0,INDEX($AD$176:$AD$905,($K264-$N$48)))&gt;0,IF(INDEX($AD$176:$AD$905,($K264-$N$48))="",0,INDEX($AD$176:$AD$905,($K264-$N$48))),0))="",0,IF(($K264-$N$48)&lt;1,0,IF(IF(INDEX($AD$176:$AD$905,($K264-$N$48))="",0,INDEX($AD$176:$AD$905,($K264-$N$48)))&gt;0,IF(INDEX($AD$176:$AD$905,($K264-$N$48))="",0,INDEX($AD$176:$AD$905,($K264-$N$48))),0))))</f>
        <v/>
      </c>
      <c r="AC264" s="22" t="str">
        <f t="shared" si="57"/>
        <v/>
      </c>
      <c r="AD264" s="22" t="str">
        <f t="shared" si="68"/>
        <v/>
      </c>
      <c r="AE264" s="22" t="str" cm="1">
        <f t="array" ref="AE264">IF(($K264-$N$48)&lt;1,"",IF((IF(INDEX($AC$176:$AC$905,($K264-$N$48))="",0,INDEX($AC$176:$AC$905,($K264-$N$48))))=0,"",(IF(INDEX($AC$176:$AC$905,($K264-$N$48))="",0,INDEX($AC$176:$AC$905,($K264-$N$48))))))</f>
        <v/>
      </c>
      <c r="AF264" s="31" t="str">
        <f t="shared" si="58"/>
        <v/>
      </c>
      <c r="AG264" s="31" t="str">
        <f t="shared" si="59"/>
        <v/>
      </c>
      <c r="AH264" s="31" t="str">
        <f t="shared" si="60"/>
        <v/>
      </c>
      <c r="AI264" s="31" t="str">
        <f t="shared" si="61"/>
        <v/>
      </c>
      <c r="AJ264" s="303" t="str">
        <f t="shared" si="62"/>
        <v/>
      </c>
      <c r="AK264" s="139" t="str">
        <f t="shared" si="63"/>
        <v/>
      </c>
      <c r="AM264" s="319"/>
      <c r="AN264" s="40"/>
      <c r="AO264" s="1"/>
    </row>
    <row r="265" spans="7:41" x14ac:dyDescent="0.25">
      <c r="G265" s="235" t="str">
        <f t="shared" si="49"/>
        <v/>
      </c>
      <c r="H265" s="4" t="str">
        <f t="shared" si="50"/>
        <v/>
      </c>
      <c r="I265" s="11" t="str">
        <f t="shared" si="51"/>
        <v>09.00</v>
      </c>
      <c r="K265" s="30">
        <v>90</v>
      </c>
      <c r="L265" s="29">
        <f t="shared" si="64"/>
        <v>-20818.091623809083</v>
      </c>
      <c r="M265" s="28" t="str">
        <f t="shared" si="52"/>
        <v/>
      </c>
      <c r="N265" s="27" t="str">
        <f t="shared" si="65"/>
        <v/>
      </c>
      <c r="O265" s="26" t="str">
        <f>IF(AND($Q264=$O$38,IFERROR(LARGE($V$176:$V264,1)&lt;$N$42,TRUE)),1,IF(AND(ISNUMBER($O264),$O264&lt;$N$32),$O264+1,""))</f>
        <v/>
      </c>
      <c r="P265" s="26" t="str">
        <f t="shared" si="66"/>
        <v/>
      </c>
      <c r="Q265" s="26" t="str">
        <f t="shared" si="53"/>
        <v/>
      </c>
      <c r="R265" s="24" t="str">
        <f t="shared" si="67"/>
        <v/>
      </c>
      <c r="S265" s="180">
        <f t="shared" si="48"/>
        <v>9</v>
      </c>
      <c r="T265" s="151"/>
      <c r="U265" s="25" t="str">
        <f t="shared" si="54"/>
        <v/>
      </c>
      <c r="V265" s="24" t="str">
        <f>IF(AND(ISNUMBER(R264),ISNUMBER(R265)),V264,IF(AND(R264="",ISNUMBER(R265)),IFERROR(LARGE($V$176:$V264,1)+1,0),""))</f>
        <v/>
      </c>
      <c r="W265" s="23" t="str">
        <f t="shared" si="55"/>
        <v/>
      </c>
      <c r="X265" s="22" t="str">
        <f t="shared" si="56"/>
        <v/>
      </c>
      <c r="Y265" s="22"/>
      <c r="Z265" s="22"/>
      <c r="AA265" s="22"/>
      <c r="AB265" s="22" t="str" cm="1">
        <f t="array" ref="AB265">IF(IF(AND($P264="",$P265=1),($N$37*-1),0)+IF(AND($Q264="",$Q265=1),($N$38*-1),0)+IF(IF(($K265-$N$48)&lt;1,0,IF(IF(INDEX($AD$176:$AD$905,($K265-$N$48))="",0,INDEX($AD$176:$AD$905,($K265-$N$48)))&gt;0,IF(INDEX($AD$176:$AD$905,($K265-$N$48))="",0,INDEX($AD$176:$AD$905,($K265-$N$48))),0))="",0,IF(($K265-$N$48)&lt;1,0,IF(IF(INDEX($AD$176:$AD$905,($K265-$N$48))="",0,INDEX($AD$176:$AD$905,($K265-$N$48)))&gt;0,IF(INDEX($AD$176:$AD$905,($K265-$N$48))="",0,INDEX($AD$176:$AD$905,($K265-$N$48))),0)))=0,"",IF(AND($P264="",$P265=1),($N$37*-1),0)+IF(AND($Q264="",$Q265=1),($N$38*-1),0)+IF(IF(($K265-$N$48)&lt;1,0,IF(IF(INDEX($AD$176:$AD$905,($K265-$N$48))="",0,INDEX($AD$176:$AD$905,($K265-$N$48)))&gt;0,IF(INDEX($AD$176:$AD$905,($K265-$N$48))="",0,INDEX($AD$176:$AD$905,($K265-$N$48))),0))="",0,IF(($K265-$N$48)&lt;1,0,IF(IF(INDEX($AD$176:$AD$905,($K265-$N$48))="",0,INDEX($AD$176:$AD$905,($K265-$N$48)))&gt;0,IF(INDEX($AD$176:$AD$905,($K265-$N$48))="",0,INDEX($AD$176:$AD$905,($K265-$N$48))),0))))</f>
        <v/>
      </c>
      <c r="AC265" s="22" t="str">
        <f t="shared" si="57"/>
        <v/>
      </c>
      <c r="AD265" s="22" t="str">
        <f t="shared" si="68"/>
        <v/>
      </c>
      <c r="AE265" s="22" t="str" cm="1">
        <f t="array" ref="AE265">IF(($K265-$N$48)&lt;1,"",IF((IF(INDEX($AC$176:$AC$905,($K265-$N$48))="",0,INDEX($AC$176:$AC$905,($K265-$N$48))))=0,"",(IF(INDEX($AC$176:$AC$905,($K265-$N$48))="",0,INDEX($AC$176:$AC$905,($K265-$N$48))))))</f>
        <v/>
      </c>
      <c r="AF265" s="31" t="str">
        <f t="shared" si="58"/>
        <v/>
      </c>
      <c r="AG265" s="31" t="str">
        <f t="shared" si="59"/>
        <v/>
      </c>
      <c r="AH265" s="31" t="str">
        <f t="shared" si="60"/>
        <v/>
      </c>
      <c r="AI265" s="31" t="str">
        <f t="shared" si="61"/>
        <v/>
      </c>
      <c r="AJ265" s="303" t="str">
        <f t="shared" si="62"/>
        <v/>
      </c>
      <c r="AK265" s="139" t="str">
        <f t="shared" si="63"/>
        <v/>
      </c>
      <c r="AM265" s="319"/>
      <c r="AN265" s="40"/>
      <c r="AO265" s="1"/>
    </row>
    <row r="266" spans="7:41" x14ac:dyDescent="0.25">
      <c r="G266" s="235" t="str">
        <f t="shared" si="49"/>
        <v/>
      </c>
      <c r="H266" s="4" t="str">
        <f t="shared" si="50"/>
        <v/>
      </c>
      <c r="I266" s="11" t="str">
        <f t="shared" si="51"/>
        <v>09.00</v>
      </c>
      <c r="K266" s="30">
        <v>91</v>
      </c>
      <c r="L266" s="29">
        <f t="shared" si="64"/>
        <v>-20818.091623809083</v>
      </c>
      <c r="M266" s="28" t="str">
        <f t="shared" si="52"/>
        <v/>
      </c>
      <c r="N266" s="27" t="str">
        <f t="shared" si="65"/>
        <v/>
      </c>
      <c r="O266" s="26" t="str">
        <f>IF(AND($Q265=$O$38,IFERROR(LARGE($V$176:$V265,1)&lt;$N$42,TRUE)),1,IF(AND(ISNUMBER($O265),$O265&lt;$N$32),$O265+1,""))</f>
        <v/>
      </c>
      <c r="P266" s="26" t="str">
        <f t="shared" si="66"/>
        <v/>
      </c>
      <c r="Q266" s="26" t="str">
        <f t="shared" si="53"/>
        <v/>
      </c>
      <c r="R266" s="24" t="str">
        <f t="shared" si="67"/>
        <v/>
      </c>
      <c r="S266" s="180">
        <f t="shared" si="48"/>
        <v>9</v>
      </c>
      <c r="T266" s="151"/>
      <c r="U266" s="25" t="str">
        <f t="shared" si="54"/>
        <v/>
      </c>
      <c r="V266" s="24" t="str">
        <f>IF(AND(ISNUMBER(R265),ISNUMBER(R266)),V265,IF(AND(R265="",ISNUMBER(R266)),IFERROR(LARGE($V$176:$V265,1)+1,0),""))</f>
        <v/>
      </c>
      <c r="W266" s="23" t="str">
        <f t="shared" si="55"/>
        <v/>
      </c>
      <c r="X266" s="22" t="str">
        <f t="shared" si="56"/>
        <v/>
      </c>
      <c r="Y266" s="22"/>
      <c r="Z266" s="22"/>
      <c r="AA266" s="22"/>
      <c r="AB266" s="22" t="str" cm="1">
        <f t="array" ref="AB266">IF(IF(AND($P265="",$P266=1),($N$37*-1),0)+IF(AND($Q265="",$Q266=1),($N$38*-1),0)+IF(IF(($K266-$N$48)&lt;1,0,IF(IF(INDEX($AD$176:$AD$905,($K266-$N$48))="",0,INDEX($AD$176:$AD$905,($K266-$N$48)))&gt;0,IF(INDEX($AD$176:$AD$905,($K266-$N$48))="",0,INDEX($AD$176:$AD$905,($K266-$N$48))),0))="",0,IF(($K266-$N$48)&lt;1,0,IF(IF(INDEX($AD$176:$AD$905,($K266-$N$48))="",0,INDEX($AD$176:$AD$905,($K266-$N$48)))&gt;0,IF(INDEX($AD$176:$AD$905,($K266-$N$48))="",0,INDEX($AD$176:$AD$905,($K266-$N$48))),0)))=0,"",IF(AND($P265="",$P266=1),($N$37*-1),0)+IF(AND($Q265="",$Q266=1),($N$38*-1),0)+IF(IF(($K266-$N$48)&lt;1,0,IF(IF(INDEX($AD$176:$AD$905,($K266-$N$48))="",0,INDEX($AD$176:$AD$905,($K266-$N$48)))&gt;0,IF(INDEX($AD$176:$AD$905,($K266-$N$48))="",0,INDEX($AD$176:$AD$905,($K266-$N$48))),0))="",0,IF(($K266-$N$48)&lt;1,0,IF(IF(INDEX($AD$176:$AD$905,($K266-$N$48))="",0,INDEX($AD$176:$AD$905,($K266-$N$48)))&gt;0,IF(INDEX($AD$176:$AD$905,($K266-$N$48))="",0,INDEX($AD$176:$AD$905,($K266-$N$48))),0))))</f>
        <v/>
      </c>
      <c r="AC266" s="22" t="str">
        <f t="shared" si="57"/>
        <v/>
      </c>
      <c r="AD266" s="22" t="str">
        <f t="shared" si="68"/>
        <v/>
      </c>
      <c r="AE266" s="22" t="str" cm="1">
        <f t="array" ref="AE266">IF(($K266-$N$48)&lt;1,"",IF((IF(INDEX($AC$176:$AC$905,($K266-$N$48))="",0,INDEX($AC$176:$AC$905,($K266-$N$48))))=0,"",(IF(INDEX($AC$176:$AC$905,($K266-$N$48))="",0,INDEX($AC$176:$AC$905,($K266-$N$48))))))</f>
        <v/>
      </c>
      <c r="AF266" s="31" t="str">
        <f t="shared" si="58"/>
        <v/>
      </c>
      <c r="AG266" s="31" t="str">
        <f t="shared" si="59"/>
        <v/>
      </c>
      <c r="AH266" s="31" t="str">
        <f t="shared" si="60"/>
        <v/>
      </c>
      <c r="AI266" s="31" t="str">
        <f t="shared" si="61"/>
        <v/>
      </c>
      <c r="AJ266" s="303" t="str">
        <f t="shared" si="62"/>
        <v/>
      </c>
      <c r="AK266" s="139" t="str">
        <f t="shared" si="63"/>
        <v/>
      </c>
      <c r="AM266" s="319"/>
      <c r="AN266" s="40"/>
      <c r="AO266" s="1"/>
    </row>
    <row r="267" spans="7:41" x14ac:dyDescent="0.25">
      <c r="G267" s="235" t="str">
        <f t="shared" si="49"/>
        <v/>
      </c>
      <c r="H267" s="4" t="str">
        <f t="shared" si="50"/>
        <v/>
      </c>
      <c r="I267" s="11" t="str">
        <f t="shared" si="51"/>
        <v>09.00</v>
      </c>
      <c r="K267" s="30">
        <v>92</v>
      </c>
      <c r="L267" s="29">
        <f t="shared" si="64"/>
        <v>-20818.091623809083</v>
      </c>
      <c r="M267" s="28" t="str">
        <f t="shared" si="52"/>
        <v/>
      </c>
      <c r="N267" s="27" t="str">
        <f t="shared" si="65"/>
        <v/>
      </c>
      <c r="O267" s="26" t="str">
        <f>IF(AND($Q266=$O$38,IFERROR(LARGE($V$176:$V266,1)&lt;$N$42,TRUE)),1,IF(AND(ISNUMBER($O266),$O266&lt;$N$32),$O266+1,""))</f>
        <v/>
      </c>
      <c r="P267" s="26" t="str">
        <f t="shared" si="66"/>
        <v/>
      </c>
      <c r="Q267" s="26" t="str">
        <f t="shared" si="53"/>
        <v/>
      </c>
      <c r="R267" s="24" t="str">
        <f t="shared" si="67"/>
        <v/>
      </c>
      <c r="S267" s="180">
        <f t="shared" si="48"/>
        <v>9</v>
      </c>
      <c r="T267" s="151"/>
      <c r="U267" s="25" t="str">
        <f t="shared" si="54"/>
        <v/>
      </c>
      <c r="V267" s="24" t="str">
        <f>IF(AND(ISNUMBER(R266),ISNUMBER(R267)),V266,IF(AND(R266="",ISNUMBER(R267)),IFERROR(LARGE($V$176:$V266,1)+1,0),""))</f>
        <v/>
      </c>
      <c r="W267" s="23" t="str">
        <f t="shared" si="55"/>
        <v/>
      </c>
      <c r="X267" s="22" t="str">
        <f t="shared" si="56"/>
        <v/>
      </c>
      <c r="Y267" s="22"/>
      <c r="Z267" s="22"/>
      <c r="AA267" s="22"/>
      <c r="AB267" s="22" t="str" cm="1">
        <f t="array" ref="AB267">IF(IF(AND($P266="",$P267=1),($N$37*-1),0)+IF(AND($Q266="",$Q267=1),($N$38*-1),0)+IF(IF(($K267-$N$48)&lt;1,0,IF(IF(INDEX($AD$176:$AD$905,($K267-$N$48))="",0,INDEX($AD$176:$AD$905,($K267-$N$48)))&gt;0,IF(INDEX($AD$176:$AD$905,($K267-$N$48))="",0,INDEX($AD$176:$AD$905,($K267-$N$48))),0))="",0,IF(($K267-$N$48)&lt;1,0,IF(IF(INDEX($AD$176:$AD$905,($K267-$N$48))="",0,INDEX($AD$176:$AD$905,($K267-$N$48)))&gt;0,IF(INDEX($AD$176:$AD$905,($K267-$N$48))="",0,INDEX($AD$176:$AD$905,($K267-$N$48))),0)))=0,"",IF(AND($P266="",$P267=1),($N$37*-1),0)+IF(AND($Q266="",$Q267=1),($N$38*-1),0)+IF(IF(($K267-$N$48)&lt;1,0,IF(IF(INDEX($AD$176:$AD$905,($K267-$N$48))="",0,INDEX($AD$176:$AD$905,($K267-$N$48)))&gt;0,IF(INDEX($AD$176:$AD$905,($K267-$N$48))="",0,INDEX($AD$176:$AD$905,($K267-$N$48))),0))="",0,IF(($K267-$N$48)&lt;1,0,IF(IF(INDEX($AD$176:$AD$905,($K267-$N$48))="",0,INDEX($AD$176:$AD$905,($K267-$N$48)))&gt;0,IF(INDEX($AD$176:$AD$905,($K267-$N$48))="",0,INDEX($AD$176:$AD$905,($K267-$N$48))),0))))</f>
        <v/>
      </c>
      <c r="AC267" s="22" t="str">
        <f t="shared" si="57"/>
        <v/>
      </c>
      <c r="AD267" s="22" t="str">
        <f t="shared" si="68"/>
        <v/>
      </c>
      <c r="AE267" s="22" t="str" cm="1">
        <f t="array" ref="AE267">IF(($K267-$N$48)&lt;1,"",IF((IF(INDEX($AC$176:$AC$905,($K267-$N$48))="",0,INDEX($AC$176:$AC$905,($K267-$N$48))))=0,"",(IF(INDEX($AC$176:$AC$905,($K267-$N$48))="",0,INDEX($AC$176:$AC$905,($K267-$N$48))))))</f>
        <v/>
      </c>
      <c r="AF267" s="31" t="str">
        <f t="shared" si="58"/>
        <v/>
      </c>
      <c r="AG267" s="31" t="str">
        <f t="shared" si="59"/>
        <v/>
      </c>
      <c r="AH267" s="31" t="str">
        <f t="shared" si="60"/>
        <v/>
      </c>
      <c r="AI267" s="31" t="str">
        <f t="shared" si="61"/>
        <v/>
      </c>
      <c r="AJ267" s="303" t="str">
        <f t="shared" si="62"/>
        <v/>
      </c>
      <c r="AK267" s="139" t="str">
        <f t="shared" si="63"/>
        <v/>
      </c>
      <c r="AM267" s="319"/>
      <c r="AN267" s="40"/>
      <c r="AO267" s="1"/>
    </row>
    <row r="268" spans="7:41" x14ac:dyDescent="0.25">
      <c r="G268" s="235" t="str">
        <f t="shared" si="49"/>
        <v/>
      </c>
      <c r="H268" s="4" t="str">
        <f t="shared" si="50"/>
        <v/>
      </c>
      <c r="I268" s="11" t="str">
        <f t="shared" si="51"/>
        <v>09.00</v>
      </c>
      <c r="K268" s="30">
        <v>93</v>
      </c>
      <c r="L268" s="29">
        <f t="shared" si="64"/>
        <v>-20818.091623809083</v>
      </c>
      <c r="M268" s="28" t="str">
        <f t="shared" si="52"/>
        <v/>
      </c>
      <c r="N268" s="27" t="str">
        <f t="shared" si="65"/>
        <v/>
      </c>
      <c r="O268" s="26" t="str">
        <f>IF(AND($Q267=$O$38,IFERROR(LARGE($V$176:$V267,1)&lt;$N$42,TRUE)),1,IF(AND(ISNUMBER($O267),$O267&lt;$N$32),$O267+1,""))</f>
        <v/>
      </c>
      <c r="P268" s="26" t="str">
        <f t="shared" si="66"/>
        <v/>
      </c>
      <c r="Q268" s="26" t="str">
        <f t="shared" si="53"/>
        <v/>
      </c>
      <c r="R268" s="24" t="str">
        <f t="shared" si="67"/>
        <v/>
      </c>
      <c r="S268" s="180">
        <f t="shared" si="48"/>
        <v>9</v>
      </c>
      <c r="T268" s="151"/>
      <c r="U268" s="25" t="str">
        <f t="shared" si="54"/>
        <v/>
      </c>
      <c r="V268" s="24" t="str">
        <f>IF(AND(ISNUMBER(R267),ISNUMBER(R268)),V267,IF(AND(R267="",ISNUMBER(R268)),IFERROR(LARGE($V$176:$V267,1)+1,0),""))</f>
        <v/>
      </c>
      <c r="W268" s="23" t="str">
        <f t="shared" si="55"/>
        <v/>
      </c>
      <c r="X268" s="22" t="str">
        <f t="shared" si="56"/>
        <v/>
      </c>
      <c r="Y268" s="22"/>
      <c r="Z268" s="22"/>
      <c r="AA268" s="22"/>
      <c r="AB268" s="22" t="str" cm="1">
        <f t="array" ref="AB268">IF(IF(AND($P267="",$P268=1),($N$37*-1),0)+IF(AND($Q267="",$Q268=1),($N$38*-1),0)+IF(IF(($K268-$N$48)&lt;1,0,IF(IF(INDEX($AD$176:$AD$905,($K268-$N$48))="",0,INDEX($AD$176:$AD$905,($K268-$N$48)))&gt;0,IF(INDEX($AD$176:$AD$905,($K268-$N$48))="",0,INDEX($AD$176:$AD$905,($K268-$N$48))),0))="",0,IF(($K268-$N$48)&lt;1,0,IF(IF(INDEX($AD$176:$AD$905,($K268-$N$48))="",0,INDEX($AD$176:$AD$905,($K268-$N$48)))&gt;0,IF(INDEX($AD$176:$AD$905,($K268-$N$48))="",0,INDEX($AD$176:$AD$905,($K268-$N$48))),0)))=0,"",IF(AND($P267="",$P268=1),($N$37*-1),0)+IF(AND($Q267="",$Q268=1),($N$38*-1),0)+IF(IF(($K268-$N$48)&lt;1,0,IF(IF(INDEX($AD$176:$AD$905,($K268-$N$48))="",0,INDEX($AD$176:$AD$905,($K268-$N$48)))&gt;0,IF(INDEX($AD$176:$AD$905,($K268-$N$48))="",0,INDEX($AD$176:$AD$905,($K268-$N$48))),0))="",0,IF(($K268-$N$48)&lt;1,0,IF(IF(INDEX($AD$176:$AD$905,($K268-$N$48))="",0,INDEX($AD$176:$AD$905,($K268-$N$48)))&gt;0,IF(INDEX($AD$176:$AD$905,($K268-$N$48))="",0,INDEX($AD$176:$AD$905,($K268-$N$48))),0))))</f>
        <v/>
      </c>
      <c r="AC268" s="22" t="str">
        <f t="shared" si="57"/>
        <v/>
      </c>
      <c r="AD268" s="22" t="str">
        <f t="shared" si="68"/>
        <v/>
      </c>
      <c r="AE268" s="22" t="str" cm="1">
        <f t="array" ref="AE268">IF(($K268-$N$48)&lt;1,"",IF((IF(INDEX($AC$176:$AC$905,($K268-$N$48))="",0,INDEX($AC$176:$AC$905,($K268-$N$48))))=0,"",(IF(INDEX($AC$176:$AC$905,($K268-$N$48))="",0,INDEX($AC$176:$AC$905,($K268-$N$48))))))</f>
        <v/>
      </c>
      <c r="AF268" s="31" t="str">
        <f t="shared" si="58"/>
        <v/>
      </c>
      <c r="AG268" s="31" t="str">
        <f t="shared" si="59"/>
        <v/>
      </c>
      <c r="AH268" s="31" t="str">
        <f t="shared" si="60"/>
        <v/>
      </c>
      <c r="AI268" s="31" t="str">
        <f t="shared" si="61"/>
        <v/>
      </c>
      <c r="AJ268" s="303" t="str">
        <f t="shared" si="62"/>
        <v/>
      </c>
      <c r="AK268" s="139" t="str">
        <f t="shared" si="63"/>
        <v/>
      </c>
      <c r="AM268" s="319"/>
      <c r="AN268" s="40"/>
      <c r="AO268" s="1"/>
    </row>
    <row r="269" spans="7:41" x14ac:dyDescent="0.25">
      <c r="G269" s="235" t="str">
        <f t="shared" si="49"/>
        <v/>
      </c>
      <c r="H269" s="4" t="str">
        <f t="shared" si="50"/>
        <v/>
      </c>
      <c r="I269" s="11" t="str">
        <f t="shared" si="51"/>
        <v>09.00</v>
      </c>
      <c r="K269" s="30">
        <v>94</v>
      </c>
      <c r="L269" s="29">
        <f t="shared" si="64"/>
        <v>-20818.091623809083</v>
      </c>
      <c r="M269" s="28" t="str">
        <f t="shared" si="52"/>
        <v/>
      </c>
      <c r="N269" s="27" t="str">
        <f t="shared" si="65"/>
        <v/>
      </c>
      <c r="O269" s="26" t="str">
        <f>IF(AND($Q268=$O$38,IFERROR(LARGE($V$176:$V268,1)&lt;$N$42,TRUE)),1,IF(AND(ISNUMBER($O268),$O268&lt;$N$32),$O268+1,""))</f>
        <v/>
      </c>
      <c r="P269" s="26" t="str">
        <f t="shared" si="66"/>
        <v/>
      </c>
      <c r="Q269" s="26" t="str">
        <f t="shared" si="53"/>
        <v/>
      </c>
      <c r="R269" s="24" t="str">
        <f t="shared" si="67"/>
        <v/>
      </c>
      <c r="S269" s="180">
        <f t="shared" si="48"/>
        <v>9</v>
      </c>
      <c r="T269" s="151"/>
      <c r="U269" s="25" t="str">
        <f t="shared" si="54"/>
        <v/>
      </c>
      <c r="V269" s="24" t="str">
        <f>IF(AND(ISNUMBER(R268),ISNUMBER(R269)),V268,IF(AND(R268="",ISNUMBER(R269)),IFERROR(LARGE($V$176:$V268,1)+1,0),""))</f>
        <v/>
      </c>
      <c r="W269" s="23" t="str">
        <f t="shared" si="55"/>
        <v/>
      </c>
      <c r="X269" s="22" t="str">
        <f t="shared" si="56"/>
        <v/>
      </c>
      <c r="Y269" s="22"/>
      <c r="Z269" s="22"/>
      <c r="AA269" s="22"/>
      <c r="AB269" s="22" t="str" cm="1">
        <f t="array" ref="AB269">IF(IF(AND($P268="",$P269=1),($N$37*-1),0)+IF(AND($Q268="",$Q269=1),($N$38*-1),0)+IF(IF(($K269-$N$48)&lt;1,0,IF(IF(INDEX($AD$176:$AD$905,($K269-$N$48))="",0,INDEX($AD$176:$AD$905,($K269-$N$48)))&gt;0,IF(INDEX($AD$176:$AD$905,($K269-$N$48))="",0,INDEX($AD$176:$AD$905,($K269-$N$48))),0))="",0,IF(($K269-$N$48)&lt;1,0,IF(IF(INDEX($AD$176:$AD$905,($K269-$N$48))="",0,INDEX($AD$176:$AD$905,($K269-$N$48)))&gt;0,IF(INDEX($AD$176:$AD$905,($K269-$N$48))="",0,INDEX($AD$176:$AD$905,($K269-$N$48))),0)))=0,"",IF(AND($P268="",$P269=1),($N$37*-1),0)+IF(AND($Q268="",$Q269=1),($N$38*-1),0)+IF(IF(($K269-$N$48)&lt;1,0,IF(IF(INDEX($AD$176:$AD$905,($K269-$N$48))="",0,INDEX($AD$176:$AD$905,($K269-$N$48)))&gt;0,IF(INDEX($AD$176:$AD$905,($K269-$N$48))="",0,INDEX($AD$176:$AD$905,($K269-$N$48))),0))="",0,IF(($K269-$N$48)&lt;1,0,IF(IF(INDEX($AD$176:$AD$905,($K269-$N$48))="",0,INDEX($AD$176:$AD$905,($K269-$N$48)))&gt;0,IF(INDEX($AD$176:$AD$905,($K269-$N$48))="",0,INDEX($AD$176:$AD$905,($K269-$N$48))),0))))</f>
        <v/>
      </c>
      <c r="AC269" s="22" t="str">
        <f t="shared" si="57"/>
        <v/>
      </c>
      <c r="AD269" s="22" t="str">
        <f t="shared" si="68"/>
        <v/>
      </c>
      <c r="AE269" s="22" t="str" cm="1">
        <f t="array" ref="AE269">IF(($K269-$N$48)&lt;1,"",IF((IF(INDEX($AC$176:$AC$905,($K269-$N$48))="",0,INDEX($AC$176:$AC$905,($K269-$N$48))))=0,"",(IF(INDEX($AC$176:$AC$905,($K269-$N$48))="",0,INDEX($AC$176:$AC$905,($K269-$N$48))))))</f>
        <v/>
      </c>
      <c r="AF269" s="31" t="str">
        <f t="shared" si="58"/>
        <v/>
      </c>
      <c r="AG269" s="31" t="str">
        <f t="shared" si="59"/>
        <v/>
      </c>
      <c r="AH269" s="31" t="str">
        <f t="shared" si="60"/>
        <v/>
      </c>
      <c r="AI269" s="31" t="str">
        <f t="shared" si="61"/>
        <v/>
      </c>
      <c r="AJ269" s="303" t="str">
        <f t="shared" si="62"/>
        <v/>
      </c>
      <c r="AK269" s="139" t="str">
        <f t="shared" si="63"/>
        <v/>
      </c>
      <c r="AM269" s="319"/>
      <c r="AN269" s="40"/>
      <c r="AO269" s="1"/>
    </row>
    <row r="270" spans="7:41" x14ac:dyDescent="0.25">
      <c r="G270" s="235" t="str">
        <f t="shared" si="49"/>
        <v/>
      </c>
      <c r="H270" s="4" t="str">
        <f t="shared" si="50"/>
        <v/>
      </c>
      <c r="I270" s="11" t="str">
        <f t="shared" si="51"/>
        <v>09.00</v>
      </c>
      <c r="K270" s="30">
        <v>95</v>
      </c>
      <c r="L270" s="29">
        <f t="shared" si="64"/>
        <v>-20818.091623809083</v>
      </c>
      <c r="M270" s="28" t="str">
        <f t="shared" si="52"/>
        <v/>
      </c>
      <c r="N270" s="27" t="str">
        <f t="shared" si="65"/>
        <v/>
      </c>
      <c r="O270" s="26" t="str">
        <f>IF(AND($Q269=$O$38,IFERROR(LARGE($V$176:$V269,1)&lt;$N$42,TRUE)),1,IF(AND(ISNUMBER($O269),$O269&lt;$N$32),$O269+1,""))</f>
        <v/>
      </c>
      <c r="P270" s="26" t="str">
        <f t="shared" si="66"/>
        <v/>
      </c>
      <c r="Q270" s="26" t="str">
        <f t="shared" si="53"/>
        <v/>
      </c>
      <c r="R270" s="24" t="str">
        <f t="shared" si="67"/>
        <v/>
      </c>
      <c r="S270" s="180">
        <f t="shared" si="48"/>
        <v>9</v>
      </c>
      <c r="T270" s="151"/>
      <c r="U270" s="25" t="str">
        <f t="shared" si="54"/>
        <v/>
      </c>
      <c r="V270" s="24" t="str">
        <f>IF(AND(ISNUMBER(R269),ISNUMBER(R270)),V269,IF(AND(R269="",ISNUMBER(R270)),IFERROR(LARGE($V$176:$V269,1)+1,0),""))</f>
        <v/>
      </c>
      <c r="W270" s="23" t="str">
        <f t="shared" si="55"/>
        <v/>
      </c>
      <c r="X270" s="22" t="str">
        <f t="shared" si="56"/>
        <v/>
      </c>
      <c r="Y270" s="22"/>
      <c r="Z270" s="22"/>
      <c r="AA270" s="22"/>
      <c r="AB270" s="22" t="str" cm="1">
        <f t="array" ref="AB270">IF(IF(AND($P269="",$P270=1),($N$37*-1),0)+IF(AND($Q269="",$Q270=1),($N$38*-1),0)+IF(IF(($K270-$N$48)&lt;1,0,IF(IF(INDEX($AD$176:$AD$905,($K270-$N$48))="",0,INDEX($AD$176:$AD$905,($K270-$N$48)))&gt;0,IF(INDEX($AD$176:$AD$905,($K270-$N$48))="",0,INDEX($AD$176:$AD$905,($K270-$N$48))),0))="",0,IF(($K270-$N$48)&lt;1,0,IF(IF(INDEX($AD$176:$AD$905,($K270-$N$48))="",0,INDEX($AD$176:$AD$905,($K270-$N$48)))&gt;0,IF(INDEX($AD$176:$AD$905,($K270-$N$48))="",0,INDEX($AD$176:$AD$905,($K270-$N$48))),0)))=0,"",IF(AND($P269="",$P270=1),($N$37*-1),0)+IF(AND($Q269="",$Q270=1),($N$38*-1),0)+IF(IF(($K270-$N$48)&lt;1,0,IF(IF(INDEX($AD$176:$AD$905,($K270-$N$48))="",0,INDEX($AD$176:$AD$905,($K270-$N$48)))&gt;0,IF(INDEX($AD$176:$AD$905,($K270-$N$48))="",0,INDEX($AD$176:$AD$905,($K270-$N$48))),0))="",0,IF(($K270-$N$48)&lt;1,0,IF(IF(INDEX($AD$176:$AD$905,($K270-$N$48))="",0,INDEX($AD$176:$AD$905,($K270-$N$48)))&gt;0,IF(INDEX($AD$176:$AD$905,($K270-$N$48))="",0,INDEX($AD$176:$AD$905,($K270-$N$48))),0))))</f>
        <v/>
      </c>
      <c r="AC270" s="22" t="str">
        <f t="shared" si="57"/>
        <v/>
      </c>
      <c r="AD270" s="22" t="str">
        <f t="shared" si="68"/>
        <v/>
      </c>
      <c r="AE270" s="22" t="str" cm="1">
        <f t="array" ref="AE270">IF(($K270-$N$48)&lt;1,"",IF((IF(INDEX($AC$176:$AC$905,($K270-$N$48))="",0,INDEX($AC$176:$AC$905,($K270-$N$48))))=0,"",(IF(INDEX($AC$176:$AC$905,($K270-$N$48))="",0,INDEX($AC$176:$AC$905,($K270-$N$48))))))</f>
        <v/>
      </c>
      <c r="AF270" s="31" t="str">
        <f t="shared" si="58"/>
        <v/>
      </c>
      <c r="AG270" s="31" t="str">
        <f t="shared" si="59"/>
        <v/>
      </c>
      <c r="AH270" s="31" t="str">
        <f t="shared" si="60"/>
        <v/>
      </c>
      <c r="AI270" s="31" t="str">
        <f t="shared" si="61"/>
        <v/>
      </c>
      <c r="AJ270" s="303" t="str">
        <f t="shared" si="62"/>
        <v/>
      </c>
      <c r="AK270" s="139" t="str">
        <f t="shared" si="63"/>
        <v/>
      </c>
      <c r="AM270" s="319"/>
      <c r="AN270" s="40"/>
      <c r="AO270" s="1"/>
    </row>
    <row r="271" spans="7:41" x14ac:dyDescent="0.25">
      <c r="G271" s="235" t="str">
        <f t="shared" si="49"/>
        <v/>
      </c>
      <c r="H271" s="4" t="str">
        <f t="shared" si="50"/>
        <v/>
      </c>
      <c r="I271" s="11" t="str">
        <f t="shared" si="51"/>
        <v>09.00</v>
      </c>
      <c r="K271" s="30">
        <v>96</v>
      </c>
      <c r="L271" s="29">
        <f t="shared" si="64"/>
        <v>-15453.091623809083</v>
      </c>
      <c r="M271" s="28">
        <f t="shared" si="52"/>
        <v>5365</v>
      </c>
      <c r="N271" s="27" t="str">
        <f t="shared" si="65"/>
        <v/>
      </c>
      <c r="O271" s="26" t="str">
        <f>IF(AND($Q270=$O$38,IFERROR(LARGE($V$176:$V270,1)&lt;$N$42,TRUE)),1,IF(AND(ISNUMBER($O270),$O270&lt;$N$32),$O270+1,""))</f>
        <v/>
      </c>
      <c r="P271" s="26" t="str">
        <f t="shared" si="66"/>
        <v/>
      </c>
      <c r="Q271" s="26" t="str">
        <f t="shared" si="53"/>
        <v/>
      </c>
      <c r="R271" s="24" t="str">
        <f t="shared" si="67"/>
        <v/>
      </c>
      <c r="S271" s="180">
        <f t="shared" si="48"/>
        <v>9</v>
      </c>
      <c r="T271" s="151"/>
      <c r="U271" s="25" t="str">
        <f t="shared" si="54"/>
        <v/>
      </c>
      <c r="V271" s="24" t="str">
        <f>IF(AND(ISNUMBER(R270),ISNUMBER(R271)),V270,IF(AND(R270="",ISNUMBER(R271)),IFERROR(LARGE($V$176:$V270,1)+1,0),""))</f>
        <v/>
      </c>
      <c r="W271" s="23" t="str">
        <f t="shared" si="55"/>
        <v/>
      </c>
      <c r="X271" s="22" t="str">
        <f t="shared" si="56"/>
        <v/>
      </c>
      <c r="Y271" s="22"/>
      <c r="Z271" s="22"/>
      <c r="AA271" s="22"/>
      <c r="AB271" s="22" cm="1">
        <f t="array" ref="AB271">IF(IF(AND($P270="",$P271=1),($N$37*-1),0)+IF(AND($Q270="",$Q271=1),($N$38*-1),0)+IF(IF(($K271-$N$48)&lt;1,0,IF(IF(INDEX($AD$176:$AD$905,($K271-$N$48))="",0,INDEX($AD$176:$AD$905,($K271-$N$48)))&gt;0,IF(INDEX($AD$176:$AD$905,($K271-$N$48))="",0,INDEX($AD$176:$AD$905,($K271-$N$48))),0))="",0,IF(($K271-$N$48)&lt;1,0,IF(IF(INDEX($AD$176:$AD$905,($K271-$N$48))="",0,INDEX($AD$176:$AD$905,($K271-$N$48)))&gt;0,IF(INDEX($AD$176:$AD$905,($K271-$N$48))="",0,INDEX($AD$176:$AD$905,($K271-$N$48))),0)))=0,"",IF(AND($P270="",$P271=1),($N$37*-1),0)+IF(AND($Q270="",$Q271=1),($N$38*-1),0)+IF(IF(($K271-$N$48)&lt;1,0,IF(IF(INDEX($AD$176:$AD$905,($K271-$N$48))="",0,INDEX($AD$176:$AD$905,($K271-$N$48)))&gt;0,IF(INDEX($AD$176:$AD$905,($K271-$N$48))="",0,INDEX($AD$176:$AD$905,($K271-$N$48))),0))="",0,IF(($K271-$N$48)&lt;1,0,IF(IF(INDEX($AD$176:$AD$905,($K271-$N$48))="",0,INDEX($AD$176:$AD$905,($K271-$N$48)))&gt;0,IF(INDEX($AD$176:$AD$905,($K271-$N$48))="",0,INDEX($AD$176:$AD$905,($K271-$N$48))),0))))</f>
        <v>525</v>
      </c>
      <c r="AC271" s="22" t="str">
        <f t="shared" si="57"/>
        <v/>
      </c>
      <c r="AD271" s="22" t="str">
        <f t="shared" si="68"/>
        <v/>
      </c>
      <c r="AE271" s="22" cm="1">
        <f t="array" ref="AE271">IF(($K271-$N$48)&lt;1,"",IF((IF(INDEX($AC$176:$AC$905,($K271-$N$48))="",0,INDEX($AC$176:$AC$905,($K271-$N$48))))=0,"",(IF(INDEX($AC$176:$AC$905,($K271-$N$48))="",0,INDEX($AC$176:$AC$905,($K271-$N$48))))))</f>
        <v>5500</v>
      </c>
      <c r="AF271" s="31">
        <f t="shared" si="58"/>
        <v>0</v>
      </c>
      <c r="AG271" s="31">
        <f t="shared" si="59"/>
        <v>-82.5</v>
      </c>
      <c r="AH271" s="31">
        <f t="shared" si="60"/>
        <v>-110</v>
      </c>
      <c r="AI271" s="31">
        <f t="shared" si="61"/>
        <v>-27.5</v>
      </c>
      <c r="AJ271" s="303">
        <f t="shared" si="62"/>
        <v>-440</v>
      </c>
      <c r="AK271" s="139">
        <f t="shared" si="63"/>
        <v>-440</v>
      </c>
      <c r="AM271" s="319"/>
      <c r="AN271" s="40"/>
      <c r="AO271" s="1"/>
    </row>
    <row r="272" spans="7:41" x14ac:dyDescent="0.25">
      <c r="G272" s="235" t="str">
        <f t="shared" si="49"/>
        <v/>
      </c>
      <c r="H272" s="4" t="str">
        <f t="shared" si="50"/>
        <v/>
      </c>
      <c r="I272" s="11" t="str">
        <f t="shared" si="51"/>
        <v>09.00</v>
      </c>
      <c r="K272" s="30">
        <v>97</v>
      </c>
      <c r="L272" s="29">
        <f t="shared" si="64"/>
        <v>-15453.091623809083</v>
      </c>
      <c r="M272" s="28" t="str">
        <f t="shared" si="52"/>
        <v/>
      </c>
      <c r="N272" s="27" t="str">
        <f t="shared" si="65"/>
        <v/>
      </c>
      <c r="O272" s="26" t="str">
        <f>IF(AND($Q271=$O$38,IFERROR(LARGE($V$176:$V271,1)&lt;$N$42,TRUE)),1,IF(AND(ISNUMBER($O271),$O271&lt;$N$32),$O271+1,""))</f>
        <v/>
      </c>
      <c r="P272" s="26" t="str">
        <f t="shared" si="66"/>
        <v/>
      </c>
      <c r="Q272" s="26" t="str">
        <f t="shared" si="53"/>
        <v/>
      </c>
      <c r="R272" s="24" t="str">
        <f t="shared" si="67"/>
        <v/>
      </c>
      <c r="S272" s="180">
        <f t="shared" si="48"/>
        <v>9</v>
      </c>
      <c r="T272" s="151"/>
      <c r="U272" s="25" t="str">
        <f t="shared" si="54"/>
        <v/>
      </c>
      <c r="V272" s="24" t="str">
        <f>IF(AND(ISNUMBER(R271),ISNUMBER(R272)),V271,IF(AND(R271="",ISNUMBER(R272)),IFERROR(LARGE($V$176:$V271,1)+1,0),""))</f>
        <v/>
      </c>
      <c r="W272" s="23" t="str">
        <f t="shared" si="55"/>
        <v/>
      </c>
      <c r="X272" s="22" t="str">
        <f t="shared" si="56"/>
        <v/>
      </c>
      <c r="Y272" s="22"/>
      <c r="Z272" s="22"/>
      <c r="AA272" s="22"/>
      <c r="AB272" s="22" t="str" cm="1">
        <f t="array" ref="AB272">IF(IF(AND($P271="",$P272=1),($N$37*-1),0)+IF(AND($Q271="",$Q272=1),($N$38*-1),0)+IF(IF(($K272-$N$48)&lt;1,0,IF(IF(INDEX($AD$176:$AD$905,($K272-$N$48))="",0,INDEX($AD$176:$AD$905,($K272-$N$48)))&gt;0,IF(INDEX($AD$176:$AD$905,($K272-$N$48))="",0,INDEX($AD$176:$AD$905,($K272-$N$48))),0))="",0,IF(($K272-$N$48)&lt;1,0,IF(IF(INDEX($AD$176:$AD$905,($K272-$N$48))="",0,INDEX($AD$176:$AD$905,($K272-$N$48)))&gt;0,IF(INDEX($AD$176:$AD$905,($K272-$N$48))="",0,INDEX($AD$176:$AD$905,($K272-$N$48))),0)))=0,"",IF(AND($P271="",$P272=1),($N$37*-1),0)+IF(AND($Q271="",$Q272=1),($N$38*-1),0)+IF(IF(($K272-$N$48)&lt;1,0,IF(IF(INDEX($AD$176:$AD$905,($K272-$N$48))="",0,INDEX($AD$176:$AD$905,($K272-$N$48)))&gt;0,IF(INDEX($AD$176:$AD$905,($K272-$N$48))="",0,INDEX($AD$176:$AD$905,($K272-$N$48))),0))="",0,IF(($K272-$N$48)&lt;1,0,IF(IF(INDEX($AD$176:$AD$905,($K272-$N$48))="",0,INDEX($AD$176:$AD$905,($K272-$N$48)))&gt;0,IF(INDEX($AD$176:$AD$905,($K272-$N$48))="",0,INDEX($AD$176:$AD$905,($K272-$N$48))),0))))</f>
        <v/>
      </c>
      <c r="AC272" s="22" t="str">
        <f t="shared" si="57"/>
        <v/>
      </c>
      <c r="AD272" s="22" t="str">
        <f t="shared" si="68"/>
        <v/>
      </c>
      <c r="AE272" s="22" t="str" cm="1">
        <f t="array" ref="AE272">IF(($K272-$N$48)&lt;1,"",IF((IF(INDEX($AC$176:$AC$905,($K272-$N$48))="",0,INDEX($AC$176:$AC$905,($K272-$N$48))))=0,"",(IF(INDEX($AC$176:$AC$905,($K272-$N$48))="",0,INDEX($AC$176:$AC$905,($K272-$N$48))))))</f>
        <v/>
      </c>
      <c r="AF272" s="31" t="str">
        <f t="shared" si="58"/>
        <v/>
      </c>
      <c r="AG272" s="31" t="str">
        <f t="shared" si="59"/>
        <v/>
      </c>
      <c r="AH272" s="31" t="str">
        <f t="shared" si="60"/>
        <v/>
      </c>
      <c r="AI272" s="31" t="str">
        <f t="shared" si="61"/>
        <v/>
      </c>
      <c r="AJ272" s="303" t="str">
        <f t="shared" si="62"/>
        <v/>
      </c>
      <c r="AK272" s="139" t="str">
        <f t="shared" si="63"/>
        <v/>
      </c>
      <c r="AM272" s="319"/>
      <c r="AN272" s="40"/>
      <c r="AO272" s="1"/>
    </row>
    <row r="273" spans="7:41" x14ac:dyDescent="0.25">
      <c r="G273" s="235" t="str">
        <f t="shared" si="49"/>
        <v/>
      </c>
      <c r="H273" s="4" t="str">
        <f t="shared" si="50"/>
        <v/>
      </c>
      <c r="I273" s="11" t="str">
        <f t="shared" si="51"/>
        <v>09.00</v>
      </c>
      <c r="K273" s="30">
        <v>98</v>
      </c>
      <c r="L273" s="29">
        <f t="shared" si="64"/>
        <v>-15453.091623809083</v>
      </c>
      <c r="M273" s="28" t="str">
        <f t="shared" si="52"/>
        <v/>
      </c>
      <c r="N273" s="27" t="str">
        <f t="shared" si="65"/>
        <v/>
      </c>
      <c r="O273" s="26" t="str">
        <f>IF(AND($Q272=$O$38,IFERROR(LARGE($V$176:$V272,1)&lt;$N$42,TRUE)),1,IF(AND(ISNUMBER($O272),$O272&lt;$N$32),$O272+1,""))</f>
        <v/>
      </c>
      <c r="P273" s="26" t="str">
        <f t="shared" si="66"/>
        <v/>
      </c>
      <c r="Q273" s="26" t="str">
        <f t="shared" si="53"/>
        <v/>
      </c>
      <c r="R273" s="24" t="str">
        <f t="shared" si="67"/>
        <v/>
      </c>
      <c r="S273" s="180">
        <f t="shared" si="48"/>
        <v>9</v>
      </c>
      <c r="T273" s="151"/>
      <c r="U273" s="25" t="str">
        <f t="shared" si="54"/>
        <v/>
      </c>
      <c r="V273" s="24" t="str">
        <f>IF(AND(ISNUMBER(R272),ISNUMBER(R273)),V272,IF(AND(R272="",ISNUMBER(R273)),IFERROR(LARGE($V$176:$V272,1)+1,0),""))</f>
        <v/>
      </c>
      <c r="W273" s="23" t="str">
        <f t="shared" si="55"/>
        <v/>
      </c>
      <c r="X273" s="22" t="str">
        <f t="shared" si="56"/>
        <v/>
      </c>
      <c r="Y273" s="22"/>
      <c r="Z273" s="22"/>
      <c r="AA273" s="22"/>
      <c r="AB273" s="22" t="str" cm="1">
        <f t="array" ref="AB273">IF(IF(AND($P272="",$P273=1),($N$37*-1),0)+IF(AND($Q272="",$Q273=1),($N$38*-1),0)+IF(IF(($K273-$N$48)&lt;1,0,IF(IF(INDEX($AD$176:$AD$905,($K273-$N$48))="",0,INDEX($AD$176:$AD$905,($K273-$N$48)))&gt;0,IF(INDEX($AD$176:$AD$905,($K273-$N$48))="",0,INDEX($AD$176:$AD$905,($K273-$N$48))),0))="",0,IF(($K273-$N$48)&lt;1,0,IF(IF(INDEX($AD$176:$AD$905,($K273-$N$48))="",0,INDEX($AD$176:$AD$905,($K273-$N$48)))&gt;0,IF(INDEX($AD$176:$AD$905,($K273-$N$48))="",0,INDEX($AD$176:$AD$905,($K273-$N$48))),0)))=0,"",IF(AND($P272="",$P273=1),($N$37*-1),0)+IF(AND($Q272="",$Q273=1),($N$38*-1),0)+IF(IF(($K273-$N$48)&lt;1,0,IF(IF(INDEX($AD$176:$AD$905,($K273-$N$48))="",0,INDEX($AD$176:$AD$905,($K273-$N$48)))&gt;0,IF(INDEX($AD$176:$AD$905,($K273-$N$48))="",0,INDEX($AD$176:$AD$905,($K273-$N$48))),0))="",0,IF(($K273-$N$48)&lt;1,0,IF(IF(INDEX($AD$176:$AD$905,($K273-$N$48))="",0,INDEX($AD$176:$AD$905,($K273-$N$48)))&gt;0,IF(INDEX($AD$176:$AD$905,($K273-$N$48))="",0,INDEX($AD$176:$AD$905,($K273-$N$48))),0))))</f>
        <v/>
      </c>
      <c r="AC273" s="22" t="str">
        <f t="shared" si="57"/>
        <v/>
      </c>
      <c r="AD273" s="22" t="str">
        <f t="shared" si="68"/>
        <v/>
      </c>
      <c r="AE273" s="22" t="str" cm="1">
        <f t="array" ref="AE273">IF(($K273-$N$48)&lt;1,"",IF((IF(INDEX($AC$176:$AC$905,($K273-$N$48))="",0,INDEX($AC$176:$AC$905,($K273-$N$48))))=0,"",(IF(INDEX($AC$176:$AC$905,($K273-$N$48))="",0,INDEX($AC$176:$AC$905,($K273-$N$48))))))</f>
        <v/>
      </c>
      <c r="AF273" s="31" t="str">
        <f t="shared" si="58"/>
        <v/>
      </c>
      <c r="AG273" s="31" t="str">
        <f t="shared" si="59"/>
        <v/>
      </c>
      <c r="AH273" s="31" t="str">
        <f t="shared" si="60"/>
        <v/>
      </c>
      <c r="AI273" s="31" t="str">
        <f t="shared" si="61"/>
        <v/>
      </c>
      <c r="AJ273" s="303" t="str">
        <f t="shared" si="62"/>
        <v/>
      </c>
      <c r="AK273" s="139" t="str">
        <f t="shared" si="63"/>
        <v/>
      </c>
      <c r="AM273" s="319"/>
      <c r="AN273" s="40"/>
      <c r="AO273" s="1"/>
    </row>
    <row r="274" spans="7:41" x14ac:dyDescent="0.25">
      <c r="G274" s="235" t="str">
        <f t="shared" si="49"/>
        <v/>
      </c>
      <c r="H274" s="4" t="str">
        <f t="shared" si="50"/>
        <v/>
      </c>
      <c r="I274" s="11" t="str">
        <f t="shared" si="51"/>
        <v>09.00</v>
      </c>
      <c r="K274" s="30">
        <v>99</v>
      </c>
      <c r="L274" s="29">
        <f t="shared" si="64"/>
        <v>-15453.091623809083</v>
      </c>
      <c r="M274" s="28" t="str">
        <f t="shared" si="52"/>
        <v/>
      </c>
      <c r="N274" s="27" t="str">
        <f t="shared" si="65"/>
        <v/>
      </c>
      <c r="O274" s="26" t="str">
        <f>IF(AND($Q273=$O$38,IFERROR(LARGE($V$176:$V273,1)&lt;$N$42,TRUE)),1,IF(AND(ISNUMBER($O273),$O273&lt;$N$32),$O273+1,""))</f>
        <v/>
      </c>
      <c r="P274" s="26" t="str">
        <f t="shared" si="66"/>
        <v/>
      </c>
      <c r="Q274" s="26" t="str">
        <f t="shared" si="53"/>
        <v/>
      </c>
      <c r="R274" s="24" t="str">
        <f t="shared" si="67"/>
        <v/>
      </c>
      <c r="S274" s="180">
        <f t="shared" si="48"/>
        <v>9</v>
      </c>
      <c r="T274" s="151"/>
      <c r="U274" s="25" t="str">
        <f t="shared" si="54"/>
        <v/>
      </c>
      <c r="V274" s="24" t="str">
        <f>IF(AND(ISNUMBER(R273),ISNUMBER(R274)),V273,IF(AND(R273="",ISNUMBER(R274)),IFERROR(LARGE($V$176:$V273,1)+1,0),""))</f>
        <v/>
      </c>
      <c r="W274" s="23" t="str">
        <f t="shared" si="55"/>
        <v/>
      </c>
      <c r="X274" s="22" t="str">
        <f t="shared" si="56"/>
        <v/>
      </c>
      <c r="Y274" s="22"/>
      <c r="Z274" s="22"/>
      <c r="AA274" s="22"/>
      <c r="AB274" s="22" t="str" cm="1">
        <f t="array" ref="AB274">IF(IF(AND($P273="",$P274=1),($N$37*-1),0)+IF(AND($Q273="",$Q274=1),($N$38*-1),0)+IF(IF(($K274-$N$48)&lt;1,0,IF(IF(INDEX($AD$176:$AD$905,($K274-$N$48))="",0,INDEX($AD$176:$AD$905,($K274-$N$48)))&gt;0,IF(INDEX($AD$176:$AD$905,($K274-$N$48))="",0,INDEX($AD$176:$AD$905,($K274-$N$48))),0))="",0,IF(($K274-$N$48)&lt;1,0,IF(IF(INDEX($AD$176:$AD$905,($K274-$N$48))="",0,INDEX($AD$176:$AD$905,($K274-$N$48)))&gt;0,IF(INDEX($AD$176:$AD$905,($K274-$N$48))="",0,INDEX($AD$176:$AD$905,($K274-$N$48))),0)))=0,"",IF(AND($P273="",$P274=1),($N$37*-1),0)+IF(AND($Q273="",$Q274=1),($N$38*-1),0)+IF(IF(($K274-$N$48)&lt;1,0,IF(IF(INDEX($AD$176:$AD$905,($K274-$N$48))="",0,INDEX($AD$176:$AD$905,($K274-$N$48)))&gt;0,IF(INDEX($AD$176:$AD$905,($K274-$N$48))="",0,INDEX($AD$176:$AD$905,($K274-$N$48))),0))="",0,IF(($K274-$N$48)&lt;1,0,IF(IF(INDEX($AD$176:$AD$905,($K274-$N$48))="",0,INDEX($AD$176:$AD$905,($K274-$N$48)))&gt;0,IF(INDEX($AD$176:$AD$905,($K274-$N$48))="",0,INDEX($AD$176:$AD$905,($K274-$N$48))),0))))</f>
        <v/>
      </c>
      <c r="AC274" s="22" t="str">
        <f t="shared" si="57"/>
        <v/>
      </c>
      <c r="AD274" s="22" t="str">
        <f t="shared" si="68"/>
        <v/>
      </c>
      <c r="AE274" s="22" t="str" cm="1">
        <f t="array" ref="AE274">IF(($K274-$N$48)&lt;1,"",IF((IF(INDEX($AC$176:$AC$905,($K274-$N$48))="",0,INDEX($AC$176:$AC$905,($K274-$N$48))))=0,"",(IF(INDEX($AC$176:$AC$905,($K274-$N$48))="",0,INDEX($AC$176:$AC$905,($K274-$N$48))))))</f>
        <v/>
      </c>
      <c r="AF274" s="31" t="str">
        <f t="shared" si="58"/>
        <v/>
      </c>
      <c r="AG274" s="31" t="str">
        <f t="shared" si="59"/>
        <v/>
      </c>
      <c r="AH274" s="31" t="str">
        <f t="shared" si="60"/>
        <v/>
      </c>
      <c r="AI274" s="31" t="str">
        <f t="shared" si="61"/>
        <v/>
      </c>
      <c r="AJ274" s="303" t="str">
        <f t="shared" si="62"/>
        <v/>
      </c>
      <c r="AK274" s="139" t="str">
        <f t="shared" si="63"/>
        <v/>
      </c>
      <c r="AM274" s="319"/>
      <c r="AN274" s="40"/>
      <c r="AO274" s="1"/>
    </row>
    <row r="275" spans="7:41" x14ac:dyDescent="0.25">
      <c r="G275" s="235" t="str">
        <f t="shared" si="49"/>
        <v/>
      </c>
      <c r="H275" s="4" t="str">
        <f t="shared" si="50"/>
        <v/>
      </c>
      <c r="I275" s="11" t="str">
        <f t="shared" si="51"/>
        <v>09.00</v>
      </c>
      <c r="K275" s="30">
        <v>100</v>
      </c>
      <c r="L275" s="29">
        <f t="shared" si="64"/>
        <v>-15453.091623809083</v>
      </c>
      <c r="M275" s="28" t="str">
        <f t="shared" si="52"/>
        <v/>
      </c>
      <c r="N275" s="27" t="str">
        <f t="shared" si="65"/>
        <v/>
      </c>
      <c r="O275" s="26" t="str">
        <f>IF(AND($Q274=$O$38,IFERROR(LARGE($V$176:$V274,1)&lt;$N$42,TRUE)),1,IF(AND(ISNUMBER($O274),$O274&lt;$N$32),$O274+1,""))</f>
        <v/>
      </c>
      <c r="P275" s="26" t="str">
        <f t="shared" si="66"/>
        <v/>
      </c>
      <c r="Q275" s="26" t="str">
        <f t="shared" si="53"/>
        <v/>
      </c>
      <c r="R275" s="24" t="str">
        <f t="shared" si="67"/>
        <v/>
      </c>
      <c r="S275" s="180">
        <f t="shared" si="48"/>
        <v>9</v>
      </c>
      <c r="T275" s="151"/>
      <c r="U275" s="25" t="str">
        <f t="shared" si="54"/>
        <v/>
      </c>
      <c r="V275" s="24" t="str">
        <f>IF(AND(ISNUMBER(R274),ISNUMBER(R275)),V274,IF(AND(R274="",ISNUMBER(R275)),IFERROR(LARGE($V$176:$V274,1)+1,0),""))</f>
        <v/>
      </c>
      <c r="W275" s="23" t="str">
        <f t="shared" si="55"/>
        <v/>
      </c>
      <c r="X275" s="22" t="str">
        <f t="shared" si="56"/>
        <v/>
      </c>
      <c r="Y275" s="22"/>
      <c r="Z275" s="22"/>
      <c r="AA275" s="22"/>
      <c r="AB275" s="22" t="str" cm="1">
        <f t="array" ref="AB275">IF(IF(AND($P274="",$P275=1),($N$37*-1),0)+IF(AND($Q274="",$Q275=1),($N$38*-1),0)+IF(IF(($K275-$N$48)&lt;1,0,IF(IF(INDEX($AD$176:$AD$905,($K275-$N$48))="",0,INDEX($AD$176:$AD$905,($K275-$N$48)))&gt;0,IF(INDEX($AD$176:$AD$905,($K275-$N$48))="",0,INDEX($AD$176:$AD$905,($K275-$N$48))),0))="",0,IF(($K275-$N$48)&lt;1,0,IF(IF(INDEX($AD$176:$AD$905,($K275-$N$48))="",0,INDEX($AD$176:$AD$905,($K275-$N$48)))&gt;0,IF(INDEX($AD$176:$AD$905,($K275-$N$48))="",0,INDEX($AD$176:$AD$905,($K275-$N$48))),0)))=0,"",IF(AND($P274="",$P275=1),($N$37*-1),0)+IF(AND($Q274="",$Q275=1),($N$38*-1),0)+IF(IF(($K275-$N$48)&lt;1,0,IF(IF(INDEX($AD$176:$AD$905,($K275-$N$48))="",0,INDEX($AD$176:$AD$905,($K275-$N$48)))&gt;0,IF(INDEX($AD$176:$AD$905,($K275-$N$48))="",0,INDEX($AD$176:$AD$905,($K275-$N$48))),0))="",0,IF(($K275-$N$48)&lt;1,0,IF(IF(INDEX($AD$176:$AD$905,($K275-$N$48))="",0,INDEX($AD$176:$AD$905,($K275-$N$48)))&gt;0,IF(INDEX($AD$176:$AD$905,($K275-$N$48))="",0,INDEX($AD$176:$AD$905,($K275-$N$48))),0))))</f>
        <v/>
      </c>
      <c r="AC275" s="22" t="str">
        <f t="shared" si="57"/>
        <v/>
      </c>
      <c r="AD275" s="22" t="str">
        <f t="shared" si="68"/>
        <v/>
      </c>
      <c r="AE275" s="22" t="str" cm="1">
        <f t="array" ref="AE275">IF(($K275-$N$48)&lt;1,"",IF((IF(INDEX($AC$176:$AC$905,($K275-$N$48))="",0,INDEX($AC$176:$AC$905,($K275-$N$48))))=0,"",(IF(INDEX($AC$176:$AC$905,($K275-$N$48))="",0,INDEX($AC$176:$AC$905,($K275-$N$48))))))</f>
        <v/>
      </c>
      <c r="AF275" s="31" t="str">
        <f t="shared" si="58"/>
        <v/>
      </c>
      <c r="AG275" s="31" t="str">
        <f t="shared" si="59"/>
        <v/>
      </c>
      <c r="AH275" s="31" t="str">
        <f t="shared" si="60"/>
        <v/>
      </c>
      <c r="AI275" s="31" t="str">
        <f t="shared" si="61"/>
        <v/>
      </c>
      <c r="AJ275" s="303" t="str">
        <f t="shared" si="62"/>
        <v/>
      </c>
      <c r="AK275" s="139" t="str">
        <f t="shared" si="63"/>
        <v/>
      </c>
      <c r="AM275" s="319"/>
      <c r="AN275" s="40"/>
      <c r="AO275" s="1"/>
    </row>
    <row r="276" spans="7:41" x14ac:dyDescent="0.25">
      <c r="G276" s="235" t="str">
        <f t="shared" si="49"/>
        <v/>
      </c>
      <c r="H276" s="4" t="str">
        <f t="shared" si="50"/>
        <v/>
      </c>
      <c r="I276" s="11" t="str">
        <f t="shared" si="51"/>
        <v>09.00</v>
      </c>
      <c r="K276" s="30">
        <v>101</v>
      </c>
      <c r="L276" s="29">
        <f t="shared" si="64"/>
        <v>-15453.091623809083</v>
      </c>
      <c r="M276" s="28" t="str">
        <f t="shared" si="52"/>
        <v/>
      </c>
      <c r="N276" s="27" t="str">
        <f t="shared" si="65"/>
        <v/>
      </c>
      <c r="O276" s="26" t="str">
        <f>IF(AND($Q275=$O$38,IFERROR(LARGE($V$176:$V275,1)&lt;$N$42,TRUE)),1,IF(AND(ISNUMBER($O275),$O275&lt;$N$32),$O275+1,""))</f>
        <v/>
      </c>
      <c r="P276" s="26" t="str">
        <f t="shared" si="66"/>
        <v/>
      </c>
      <c r="Q276" s="26" t="str">
        <f t="shared" si="53"/>
        <v/>
      </c>
      <c r="R276" s="24" t="str">
        <f t="shared" si="67"/>
        <v/>
      </c>
      <c r="S276" s="180">
        <f t="shared" si="48"/>
        <v>9</v>
      </c>
      <c r="T276" s="151"/>
      <c r="U276" s="25" t="str">
        <f t="shared" si="54"/>
        <v/>
      </c>
      <c r="V276" s="24" t="str">
        <f>IF(AND(ISNUMBER(R275),ISNUMBER(R276)),V275,IF(AND(R275="",ISNUMBER(R276)),IFERROR(LARGE($V$176:$V275,1)+1,0),""))</f>
        <v/>
      </c>
      <c r="W276" s="23" t="str">
        <f t="shared" si="55"/>
        <v/>
      </c>
      <c r="X276" s="22" t="str">
        <f t="shared" si="56"/>
        <v/>
      </c>
      <c r="Y276" s="22"/>
      <c r="Z276" s="22"/>
      <c r="AA276" s="22"/>
      <c r="AB276" s="22" t="str" cm="1">
        <f t="array" ref="AB276">IF(IF(AND($P275="",$P276=1),($N$37*-1),0)+IF(AND($Q275="",$Q276=1),($N$38*-1),0)+IF(IF(($K276-$N$48)&lt;1,0,IF(IF(INDEX($AD$176:$AD$905,($K276-$N$48))="",0,INDEX($AD$176:$AD$905,($K276-$N$48)))&gt;0,IF(INDEX($AD$176:$AD$905,($K276-$N$48))="",0,INDEX($AD$176:$AD$905,($K276-$N$48))),0))="",0,IF(($K276-$N$48)&lt;1,0,IF(IF(INDEX($AD$176:$AD$905,($K276-$N$48))="",0,INDEX($AD$176:$AD$905,($K276-$N$48)))&gt;0,IF(INDEX($AD$176:$AD$905,($K276-$N$48))="",0,INDEX($AD$176:$AD$905,($K276-$N$48))),0)))=0,"",IF(AND($P275="",$P276=1),($N$37*-1),0)+IF(AND($Q275="",$Q276=1),($N$38*-1),0)+IF(IF(($K276-$N$48)&lt;1,0,IF(IF(INDEX($AD$176:$AD$905,($K276-$N$48))="",0,INDEX($AD$176:$AD$905,($K276-$N$48)))&gt;0,IF(INDEX($AD$176:$AD$905,($K276-$N$48))="",0,INDEX($AD$176:$AD$905,($K276-$N$48))),0))="",0,IF(($K276-$N$48)&lt;1,0,IF(IF(INDEX($AD$176:$AD$905,($K276-$N$48))="",0,INDEX($AD$176:$AD$905,($K276-$N$48)))&gt;0,IF(INDEX($AD$176:$AD$905,($K276-$N$48))="",0,INDEX($AD$176:$AD$905,($K276-$N$48))),0))))</f>
        <v/>
      </c>
      <c r="AC276" s="22" t="str">
        <f t="shared" si="57"/>
        <v/>
      </c>
      <c r="AD276" s="22" t="str">
        <f t="shared" si="68"/>
        <v/>
      </c>
      <c r="AE276" s="22" t="str" cm="1">
        <f t="array" ref="AE276">IF(($K276-$N$48)&lt;1,"",IF((IF(INDEX($AC$176:$AC$905,($K276-$N$48))="",0,INDEX($AC$176:$AC$905,($K276-$N$48))))=0,"",(IF(INDEX($AC$176:$AC$905,($K276-$N$48))="",0,INDEX($AC$176:$AC$905,($K276-$N$48))))))</f>
        <v/>
      </c>
      <c r="AF276" s="31" t="str">
        <f t="shared" si="58"/>
        <v/>
      </c>
      <c r="AG276" s="31" t="str">
        <f t="shared" si="59"/>
        <v/>
      </c>
      <c r="AH276" s="31" t="str">
        <f t="shared" si="60"/>
        <v/>
      </c>
      <c r="AI276" s="31" t="str">
        <f t="shared" si="61"/>
        <v/>
      </c>
      <c r="AJ276" s="303" t="str">
        <f t="shared" si="62"/>
        <v/>
      </c>
      <c r="AK276" s="139" t="str">
        <f t="shared" si="63"/>
        <v/>
      </c>
      <c r="AM276" s="319"/>
      <c r="AN276" s="40"/>
      <c r="AO276" s="1"/>
    </row>
    <row r="277" spans="7:41" x14ac:dyDescent="0.25">
      <c r="G277" s="235" t="str">
        <f t="shared" si="49"/>
        <v/>
      </c>
      <c r="H277" s="4" t="str">
        <f t="shared" si="50"/>
        <v/>
      </c>
      <c r="I277" s="11" t="str">
        <f t="shared" si="51"/>
        <v>09.00</v>
      </c>
      <c r="K277" s="30">
        <v>102</v>
      </c>
      <c r="L277" s="29">
        <f t="shared" si="64"/>
        <v>-15453.091623809083</v>
      </c>
      <c r="M277" s="28" t="str">
        <f t="shared" si="52"/>
        <v/>
      </c>
      <c r="N277" s="27" t="str">
        <f t="shared" si="65"/>
        <v/>
      </c>
      <c r="O277" s="26" t="str">
        <f>IF(AND($Q276=$O$38,IFERROR(LARGE($V$176:$V276,1)&lt;$N$42,TRUE)),1,IF(AND(ISNUMBER($O276),$O276&lt;$N$32),$O276+1,""))</f>
        <v/>
      </c>
      <c r="P277" s="26" t="str">
        <f t="shared" si="66"/>
        <v/>
      </c>
      <c r="Q277" s="26" t="str">
        <f t="shared" si="53"/>
        <v/>
      </c>
      <c r="R277" s="24" t="str">
        <f t="shared" si="67"/>
        <v/>
      </c>
      <c r="S277" s="180">
        <f t="shared" si="48"/>
        <v>9</v>
      </c>
      <c r="T277" s="151"/>
      <c r="U277" s="25" t="str">
        <f t="shared" si="54"/>
        <v/>
      </c>
      <c r="V277" s="24" t="str">
        <f>IF(AND(ISNUMBER(R276),ISNUMBER(R277)),V276,IF(AND(R276="",ISNUMBER(R277)),IFERROR(LARGE($V$176:$V276,1)+1,0),""))</f>
        <v/>
      </c>
      <c r="W277" s="23" t="str">
        <f t="shared" si="55"/>
        <v/>
      </c>
      <c r="X277" s="22" t="str">
        <f t="shared" si="56"/>
        <v/>
      </c>
      <c r="Y277" s="22"/>
      <c r="Z277" s="22"/>
      <c r="AA277" s="22"/>
      <c r="AB277" s="22" t="str" cm="1">
        <f t="array" ref="AB277">IF(IF(AND($P276="",$P277=1),($N$37*-1),0)+IF(AND($Q276="",$Q277=1),($N$38*-1),0)+IF(IF(($K277-$N$48)&lt;1,0,IF(IF(INDEX($AD$176:$AD$905,($K277-$N$48))="",0,INDEX($AD$176:$AD$905,($K277-$N$48)))&gt;0,IF(INDEX($AD$176:$AD$905,($K277-$N$48))="",0,INDEX($AD$176:$AD$905,($K277-$N$48))),0))="",0,IF(($K277-$N$48)&lt;1,0,IF(IF(INDEX($AD$176:$AD$905,($K277-$N$48))="",0,INDEX($AD$176:$AD$905,($K277-$N$48)))&gt;0,IF(INDEX($AD$176:$AD$905,($K277-$N$48))="",0,INDEX($AD$176:$AD$905,($K277-$N$48))),0)))=0,"",IF(AND($P276="",$P277=1),($N$37*-1),0)+IF(AND($Q276="",$Q277=1),($N$38*-1),0)+IF(IF(($K277-$N$48)&lt;1,0,IF(IF(INDEX($AD$176:$AD$905,($K277-$N$48))="",0,INDEX($AD$176:$AD$905,($K277-$N$48)))&gt;0,IF(INDEX($AD$176:$AD$905,($K277-$N$48))="",0,INDEX($AD$176:$AD$905,($K277-$N$48))),0))="",0,IF(($K277-$N$48)&lt;1,0,IF(IF(INDEX($AD$176:$AD$905,($K277-$N$48))="",0,INDEX($AD$176:$AD$905,($K277-$N$48)))&gt;0,IF(INDEX($AD$176:$AD$905,($K277-$N$48))="",0,INDEX($AD$176:$AD$905,($K277-$N$48))),0))))</f>
        <v/>
      </c>
      <c r="AC277" s="22" t="str">
        <f t="shared" si="57"/>
        <v/>
      </c>
      <c r="AD277" s="22" t="str">
        <f t="shared" si="68"/>
        <v/>
      </c>
      <c r="AE277" s="22" t="str" cm="1">
        <f t="array" ref="AE277">IF(($K277-$N$48)&lt;1,"",IF((IF(INDEX($AC$176:$AC$905,($K277-$N$48))="",0,INDEX($AC$176:$AC$905,($K277-$N$48))))=0,"",(IF(INDEX($AC$176:$AC$905,($K277-$N$48))="",0,INDEX($AC$176:$AC$905,($K277-$N$48))))))</f>
        <v/>
      </c>
      <c r="AF277" s="31" t="str">
        <f t="shared" si="58"/>
        <v/>
      </c>
      <c r="AG277" s="31" t="str">
        <f t="shared" si="59"/>
        <v/>
      </c>
      <c r="AH277" s="31" t="str">
        <f t="shared" si="60"/>
        <v/>
      </c>
      <c r="AI277" s="31" t="str">
        <f t="shared" si="61"/>
        <v/>
      </c>
      <c r="AJ277" s="303" t="str">
        <f t="shared" si="62"/>
        <v/>
      </c>
      <c r="AK277" s="139" t="str">
        <f t="shared" si="63"/>
        <v/>
      </c>
      <c r="AM277" s="319"/>
      <c r="AN277" s="40"/>
      <c r="AO277" s="1"/>
    </row>
    <row r="278" spans="7:41" x14ac:dyDescent="0.25">
      <c r="G278" s="235" t="str">
        <f t="shared" si="49"/>
        <v/>
      </c>
      <c r="H278" s="4" t="str">
        <f t="shared" si="50"/>
        <v/>
      </c>
      <c r="I278" s="11" t="str">
        <f t="shared" si="51"/>
        <v>09.00</v>
      </c>
      <c r="K278" s="30">
        <v>103</v>
      </c>
      <c r="L278" s="29">
        <f t="shared" si="64"/>
        <v>-15453.091623809083</v>
      </c>
      <c r="M278" s="28" t="str">
        <f t="shared" si="52"/>
        <v/>
      </c>
      <c r="N278" s="27" t="str">
        <f t="shared" si="65"/>
        <v/>
      </c>
      <c r="O278" s="26" t="str">
        <f>IF(AND($Q277=$O$38,IFERROR(LARGE($V$176:$V277,1)&lt;$N$42,TRUE)),1,IF(AND(ISNUMBER($O277),$O277&lt;$N$32),$O277+1,""))</f>
        <v/>
      </c>
      <c r="P278" s="26" t="str">
        <f t="shared" si="66"/>
        <v/>
      </c>
      <c r="Q278" s="26" t="str">
        <f t="shared" si="53"/>
        <v/>
      </c>
      <c r="R278" s="24" t="str">
        <f t="shared" si="67"/>
        <v/>
      </c>
      <c r="S278" s="180">
        <f t="shared" si="48"/>
        <v>9</v>
      </c>
      <c r="T278" s="151"/>
      <c r="U278" s="25" t="str">
        <f t="shared" si="54"/>
        <v/>
      </c>
      <c r="V278" s="24" t="str">
        <f>IF(AND(ISNUMBER(R277),ISNUMBER(R278)),V277,IF(AND(R277="",ISNUMBER(R278)),IFERROR(LARGE($V$176:$V277,1)+1,0),""))</f>
        <v/>
      </c>
      <c r="W278" s="23" t="str">
        <f t="shared" si="55"/>
        <v/>
      </c>
      <c r="X278" s="22" t="str">
        <f t="shared" si="56"/>
        <v/>
      </c>
      <c r="Y278" s="22"/>
      <c r="Z278" s="22"/>
      <c r="AA278" s="22"/>
      <c r="AB278" s="22" t="str" cm="1">
        <f t="array" ref="AB278">IF(IF(AND($P277="",$P278=1),($N$37*-1),0)+IF(AND($Q277="",$Q278=1),($N$38*-1),0)+IF(IF(($K278-$N$48)&lt;1,0,IF(IF(INDEX($AD$176:$AD$905,($K278-$N$48))="",0,INDEX($AD$176:$AD$905,($K278-$N$48)))&gt;0,IF(INDEX($AD$176:$AD$905,($K278-$N$48))="",0,INDEX($AD$176:$AD$905,($K278-$N$48))),0))="",0,IF(($K278-$N$48)&lt;1,0,IF(IF(INDEX($AD$176:$AD$905,($K278-$N$48))="",0,INDEX($AD$176:$AD$905,($K278-$N$48)))&gt;0,IF(INDEX($AD$176:$AD$905,($K278-$N$48))="",0,INDEX($AD$176:$AD$905,($K278-$N$48))),0)))=0,"",IF(AND($P277="",$P278=1),($N$37*-1),0)+IF(AND($Q277="",$Q278=1),($N$38*-1),0)+IF(IF(($K278-$N$48)&lt;1,0,IF(IF(INDEX($AD$176:$AD$905,($K278-$N$48))="",0,INDEX($AD$176:$AD$905,($K278-$N$48)))&gt;0,IF(INDEX($AD$176:$AD$905,($K278-$N$48))="",0,INDEX($AD$176:$AD$905,($K278-$N$48))),0))="",0,IF(($K278-$N$48)&lt;1,0,IF(IF(INDEX($AD$176:$AD$905,($K278-$N$48))="",0,INDEX($AD$176:$AD$905,($K278-$N$48)))&gt;0,IF(INDEX($AD$176:$AD$905,($K278-$N$48))="",0,INDEX($AD$176:$AD$905,($K278-$N$48))),0))))</f>
        <v/>
      </c>
      <c r="AC278" s="22" t="str">
        <f t="shared" si="57"/>
        <v/>
      </c>
      <c r="AD278" s="22" t="str">
        <f t="shared" si="68"/>
        <v/>
      </c>
      <c r="AE278" s="22" t="str" cm="1">
        <f t="array" ref="AE278">IF(($K278-$N$48)&lt;1,"",IF((IF(INDEX($AC$176:$AC$905,($K278-$N$48))="",0,INDEX($AC$176:$AC$905,($K278-$N$48))))=0,"",(IF(INDEX($AC$176:$AC$905,($K278-$N$48))="",0,INDEX($AC$176:$AC$905,($K278-$N$48))))))</f>
        <v/>
      </c>
      <c r="AF278" s="31" t="str">
        <f t="shared" si="58"/>
        <v/>
      </c>
      <c r="AG278" s="31" t="str">
        <f t="shared" si="59"/>
        <v/>
      </c>
      <c r="AH278" s="31" t="str">
        <f t="shared" si="60"/>
        <v/>
      </c>
      <c r="AI278" s="31" t="str">
        <f t="shared" si="61"/>
        <v/>
      </c>
      <c r="AJ278" s="303" t="str">
        <f t="shared" si="62"/>
        <v/>
      </c>
      <c r="AK278" s="139" t="str">
        <f t="shared" si="63"/>
        <v/>
      </c>
      <c r="AM278" s="319"/>
      <c r="AN278" s="40"/>
      <c r="AO278" s="1"/>
    </row>
    <row r="279" spans="7:41" x14ac:dyDescent="0.25">
      <c r="G279" s="235" t="str">
        <f t="shared" si="49"/>
        <v/>
      </c>
      <c r="H279" s="4" t="str">
        <f t="shared" si="50"/>
        <v/>
      </c>
      <c r="I279" s="11" t="str">
        <f t="shared" si="51"/>
        <v>09.00</v>
      </c>
      <c r="K279" s="30">
        <v>104</v>
      </c>
      <c r="L279" s="29">
        <f t="shared" si="64"/>
        <v>-15453.091623809083</v>
      </c>
      <c r="M279" s="28" t="str">
        <f t="shared" si="52"/>
        <v/>
      </c>
      <c r="N279" s="27" t="str">
        <f t="shared" si="65"/>
        <v/>
      </c>
      <c r="O279" s="26" t="str">
        <f>IF(AND($Q278=$O$38,IFERROR(LARGE($V$176:$V278,1)&lt;$N$42,TRUE)),1,IF(AND(ISNUMBER($O278),$O278&lt;$N$32),$O278+1,""))</f>
        <v/>
      </c>
      <c r="P279" s="26" t="str">
        <f t="shared" si="66"/>
        <v/>
      </c>
      <c r="Q279" s="26" t="str">
        <f t="shared" si="53"/>
        <v/>
      </c>
      <c r="R279" s="24" t="str">
        <f t="shared" si="67"/>
        <v/>
      </c>
      <c r="S279" s="180">
        <f t="shared" si="48"/>
        <v>9</v>
      </c>
      <c r="T279" s="151"/>
      <c r="U279" s="25" t="str">
        <f t="shared" si="54"/>
        <v/>
      </c>
      <c r="V279" s="24" t="str">
        <f>IF(AND(ISNUMBER(R278),ISNUMBER(R279)),V278,IF(AND(R278="",ISNUMBER(R279)),IFERROR(LARGE($V$176:$V278,1)+1,0),""))</f>
        <v/>
      </c>
      <c r="W279" s="23" t="str">
        <f t="shared" si="55"/>
        <v/>
      </c>
      <c r="X279" s="22" t="str">
        <f t="shared" si="56"/>
        <v/>
      </c>
      <c r="Y279" s="22"/>
      <c r="Z279" s="22"/>
      <c r="AA279" s="22"/>
      <c r="AB279" s="22" t="str" cm="1">
        <f t="array" ref="AB279">IF(IF(AND($P278="",$P279=1),($N$37*-1),0)+IF(AND($Q278="",$Q279=1),($N$38*-1),0)+IF(IF(($K279-$N$48)&lt;1,0,IF(IF(INDEX($AD$176:$AD$905,($K279-$N$48))="",0,INDEX($AD$176:$AD$905,($K279-$N$48)))&gt;0,IF(INDEX($AD$176:$AD$905,($K279-$N$48))="",0,INDEX($AD$176:$AD$905,($K279-$N$48))),0))="",0,IF(($K279-$N$48)&lt;1,0,IF(IF(INDEX($AD$176:$AD$905,($K279-$N$48))="",0,INDEX($AD$176:$AD$905,($K279-$N$48)))&gt;0,IF(INDEX($AD$176:$AD$905,($K279-$N$48))="",0,INDEX($AD$176:$AD$905,($K279-$N$48))),0)))=0,"",IF(AND($P278="",$P279=1),($N$37*-1),0)+IF(AND($Q278="",$Q279=1),($N$38*-1),0)+IF(IF(($K279-$N$48)&lt;1,0,IF(IF(INDEX($AD$176:$AD$905,($K279-$N$48))="",0,INDEX($AD$176:$AD$905,($K279-$N$48)))&gt;0,IF(INDEX($AD$176:$AD$905,($K279-$N$48))="",0,INDEX($AD$176:$AD$905,($K279-$N$48))),0))="",0,IF(($K279-$N$48)&lt;1,0,IF(IF(INDEX($AD$176:$AD$905,($K279-$N$48))="",0,INDEX($AD$176:$AD$905,($K279-$N$48)))&gt;0,IF(INDEX($AD$176:$AD$905,($K279-$N$48))="",0,INDEX($AD$176:$AD$905,($K279-$N$48))),0))))</f>
        <v/>
      </c>
      <c r="AC279" s="22" t="str">
        <f t="shared" si="57"/>
        <v/>
      </c>
      <c r="AD279" s="22" t="str">
        <f t="shared" si="68"/>
        <v/>
      </c>
      <c r="AE279" s="22" t="str" cm="1">
        <f t="array" ref="AE279">IF(($K279-$N$48)&lt;1,"",IF((IF(INDEX($AC$176:$AC$905,($K279-$N$48))="",0,INDEX($AC$176:$AC$905,($K279-$N$48))))=0,"",(IF(INDEX($AC$176:$AC$905,($K279-$N$48))="",0,INDEX($AC$176:$AC$905,($K279-$N$48))))))</f>
        <v/>
      </c>
      <c r="AF279" s="31" t="str">
        <f t="shared" si="58"/>
        <v/>
      </c>
      <c r="AG279" s="31" t="str">
        <f t="shared" si="59"/>
        <v/>
      </c>
      <c r="AH279" s="31" t="str">
        <f t="shared" si="60"/>
        <v/>
      </c>
      <c r="AI279" s="31" t="str">
        <f t="shared" si="61"/>
        <v/>
      </c>
      <c r="AJ279" s="303" t="str">
        <f t="shared" si="62"/>
        <v/>
      </c>
      <c r="AK279" s="139" t="str">
        <f t="shared" si="63"/>
        <v/>
      </c>
      <c r="AM279" s="319"/>
      <c r="AN279" s="40"/>
      <c r="AO279" s="1"/>
    </row>
    <row r="280" spans="7:41" x14ac:dyDescent="0.25">
      <c r="G280" s="235" t="str">
        <f t="shared" si="49"/>
        <v/>
      </c>
      <c r="H280" s="4" t="str">
        <f t="shared" si="50"/>
        <v/>
      </c>
      <c r="I280" s="11" t="str">
        <f t="shared" si="51"/>
        <v>09.00</v>
      </c>
      <c r="K280" s="30">
        <v>105</v>
      </c>
      <c r="L280" s="29">
        <f t="shared" si="64"/>
        <v>-10088.091623809083</v>
      </c>
      <c r="M280" s="28">
        <f t="shared" si="52"/>
        <v>5365</v>
      </c>
      <c r="N280" s="27" t="str">
        <f t="shared" si="65"/>
        <v/>
      </c>
      <c r="O280" s="26" t="str">
        <f>IF(AND($Q279=$O$38,IFERROR(LARGE($V$176:$V279,1)&lt;$N$42,TRUE)),1,IF(AND(ISNUMBER($O279),$O279&lt;$N$32),$O279+1,""))</f>
        <v/>
      </c>
      <c r="P280" s="26" t="str">
        <f t="shared" si="66"/>
        <v/>
      </c>
      <c r="Q280" s="26" t="str">
        <f t="shared" si="53"/>
        <v/>
      </c>
      <c r="R280" s="24" t="str">
        <f t="shared" si="67"/>
        <v/>
      </c>
      <c r="S280" s="180">
        <f t="shared" si="48"/>
        <v>9</v>
      </c>
      <c r="T280" s="151"/>
      <c r="U280" s="25" t="str">
        <f t="shared" si="54"/>
        <v/>
      </c>
      <c r="V280" s="24" t="str">
        <f>IF(AND(ISNUMBER(R279),ISNUMBER(R280)),V279,IF(AND(R279="",ISNUMBER(R280)),IFERROR(LARGE($V$176:$V279,1)+1,0),""))</f>
        <v/>
      </c>
      <c r="W280" s="23" t="str">
        <f t="shared" si="55"/>
        <v/>
      </c>
      <c r="X280" s="22" t="str">
        <f t="shared" si="56"/>
        <v/>
      </c>
      <c r="Y280" s="22"/>
      <c r="Z280" s="22"/>
      <c r="AA280" s="22"/>
      <c r="AB280" s="22" cm="1">
        <f t="array" ref="AB280">IF(IF(AND($P279="",$P280=1),($N$37*-1),0)+IF(AND($Q279="",$Q280=1),($N$38*-1),0)+IF(IF(($K280-$N$48)&lt;1,0,IF(IF(INDEX($AD$176:$AD$905,($K280-$N$48))="",0,INDEX($AD$176:$AD$905,($K280-$N$48)))&gt;0,IF(INDEX($AD$176:$AD$905,($K280-$N$48))="",0,INDEX($AD$176:$AD$905,($K280-$N$48))),0))="",0,IF(($K280-$N$48)&lt;1,0,IF(IF(INDEX($AD$176:$AD$905,($K280-$N$48))="",0,INDEX($AD$176:$AD$905,($K280-$N$48)))&gt;0,IF(INDEX($AD$176:$AD$905,($K280-$N$48))="",0,INDEX($AD$176:$AD$905,($K280-$N$48))),0)))=0,"",IF(AND($P279="",$P280=1),($N$37*-1),0)+IF(AND($Q279="",$Q280=1),($N$38*-1),0)+IF(IF(($K280-$N$48)&lt;1,0,IF(IF(INDEX($AD$176:$AD$905,($K280-$N$48))="",0,INDEX($AD$176:$AD$905,($K280-$N$48)))&gt;0,IF(INDEX($AD$176:$AD$905,($K280-$N$48))="",0,INDEX($AD$176:$AD$905,($K280-$N$48))),0))="",0,IF(($K280-$N$48)&lt;1,0,IF(IF(INDEX($AD$176:$AD$905,($K280-$N$48))="",0,INDEX($AD$176:$AD$905,($K280-$N$48)))&gt;0,IF(INDEX($AD$176:$AD$905,($K280-$N$48))="",0,INDEX($AD$176:$AD$905,($K280-$N$48))),0))))</f>
        <v>525</v>
      </c>
      <c r="AC280" s="22" t="str">
        <f t="shared" si="57"/>
        <v/>
      </c>
      <c r="AD280" s="22" t="str">
        <f t="shared" si="68"/>
        <v/>
      </c>
      <c r="AE280" s="22" cm="1">
        <f t="array" ref="AE280">IF(($K280-$N$48)&lt;1,"",IF((IF(INDEX($AC$176:$AC$905,($K280-$N$48))="",0,INDEX($AC$176:$AC$905,($K280-$N$48))))=0,"",(IF(INDEX($AC$176:$AC$905,($K280-$N$48))="",0,INDEX($AC$176:$AC$905,($K280-$N$48))))))</f>
        <v>5500</v>
      </c>
      <c r="AF280" s="31">
        <f t="shared" si="58"/>
        <v>0</v>
      </c>
      <c r="AG280" s="31">
        <f t="shared" si="59"/>
        <v>-82.5</v>
      </c>
      <c r="AH280" s="31">
        <f t="shared" si="60"/>
        <v>-110</v>
      </c>
      <c r="AI280" s="31">
        <f t="shared" si="61"/>
        <v>-27.5</v>
      </c>
      <c r="AJ280" s="303">
        <f t="shared" si="62"/>
        <v>-440</v>
      </c>
      <c r="AK280" s="139">
        <f t="shared" si="63"/>
        <v>-440</v>
      </c>
      <c r="AM280" s="319"/>
      <c r="AN280" s="40"/>
      <c r="AO280" s="1"/>
    </row>
    <row r="281" spans="7:41" x14ac:dyDescent="0.25">
      <c r="G281" s="235" t="str">
        <f t="shared" si="49"/>
        <v/>
      </c>
      <c r="H281" s="4" t="str">
        <f t="shared" si="50"/>
        <v/>
      </c>
      <c r="I281" s="11" t="str">
        <f t="shared" si="51"/>
        <v>09.00</v>
      </c>
      <c r="K281" s="30">
        <v>106</v>
      </c>
      <c r="L281" s="29">
        <f t="shared" si="64"/>
        <v>-10088.091623809083</v>
      </c>
      <c r="M281" s="28" t="str">
        <f t="shared" si="52"/>
        <v/>
      </c>
      <c r="N281" s="27" t="str">
        <f t="shared" si="65"/>
        <v/>
      </c>
      <c r="O281" s="26" t="str">
        <f>IF(AND($Q280=$O$38,IFERROR(LARGE($V$176:$V280,1)&lt;$N$42,TRUE)),1,IF(AND(ISNUMBER($O280),$O280&lt;$N$32),$O280+1,""))</f>
        <v/>
      </c>
      <c r="P281" s="26" t="str">
        <f t="shared" si="66"/>
        <v/>
      </c>
      <c r="Q281" s="26" t="str">
        <f t="shared" si="53"/>
        <v/>
      </c>
      <c r="R281" s="24" t="str">
        <f t="shared" si="67"/>
        <v/>
      </c>
      <c r="S281" s="180">
        <f t="shared" si="48"/>
        <v>9</v>
      </c>
      <c r="T281" s="151"/>
      <c r="U281" s="25" t="str">
        <f t="shared" si="54"/>
        <v/>
      </c>
      <c r="V281" s="24" t="str">
        <f>IF(AND(ISNUMBER(R280),ISNUMBER(R281)),V280,IF(AND(R280="",ISNUMBER(R281)),IFERROR(LARGE($V$176:$V280,1)+1,0),""))</f>
        <v/>
      </c>
      <c r="W281" s="23" t="str">
        <f t="shared" si="55"/>
        <v/>
      </c>
      <c r="X281" s="22" t="str">
        <f t="shared" si="56"/>
        <v/>
      </c>
      <c r="Y281" s="22"/>
      <c r="Z281" s="22"/>
      <c r="AA281" s="22"/>
      <c r="AB281" s="22" t="str" cm="1">
        <f t="array" ref="AB281">IF(IF(AND($P280="",$P281=1),($N$37*-1),0)+IF(AND($Q280="",$Q281=1),($N$38*-1),0)+IF(IF(($K281-$N$48)&lt;1,0,IF(IF(INDEX($AD$176:$AD$905,($K281-$N$48))="",0,INDEX($AD$176:$AD$905,($K281-$N$48)))&gt;0,IF(INDEX($AD$176:$AD$905,($K281-$N$48))="",0,INDEX($AD$176:$AD$905,($K281-$N$48))),0))="",0,IF(($K281-$N$48)&lt;1,0,IF(IF(INDEX($AD$176:$AD$905,($K281-$N$48))="",0,INDEX($AD$176:$AD$905,($K281-$N$48)))&gt;0,IF(INDEX($AD$176:$AD$905,($K281-$N$48))="",0,INDEX($AD$176:$AD$905,($K281-$N$48))),0)))=0,"",IF(AND($P280="",$P281=1),($N$37*-1),0)+IF(AND($Q280="",$Q281=1),($N$38*-1),0)+IF(IF(($K281-$N$48)&lt;1,0,IF(IF(INDEX($AD$176:$AD$905,($K281-$N$48))="",0,INDEX($AD$176:$AD$905,($K281-$N$48)))&gt;0,IF(INDEX($AD$176:$AD$905,($K281-$N$48))="",0,INDEX($AD$176:$AD$905,($K281-$N$48))),0))="",0,IF(($K281-$N$48)&lt;1,0,IF(IF(INDEX($AD$176:$AD$905,($K281-$N$48))="",0,INDEX($AD$176:$AD$905,($K281-$N$48)))&gt;0,IF(INDEX($AD$176:$AD$905,($K281-$N$48))="",0,INDEX($AD$176:$AD$905,($K281-$N$48))),0))))</f>
        <v/>
      </c>
      <c r="AC281" s="22" t="str">
        <f t="shared" si="57"/>
        <v/>
      </c>
      <c r="AD281" s="22" t="str">
        <f t="shared" si="68"/>
        <v/>
      </c>
      <c r="AE281" s="22" t="str" cm="1">
        <f t="array" ref="AE281">IF(($K281-$N$48)&lt;1,"",IF((IF(INDEX($AC$176:$AC$905,($K281-$N$48))="",0,INDEX($AC$176:$AC$905,($K281-$N$48))))=0,"",(IF(INDEX($AC$176:$AC$905,($K281-$N$48))="",0,INDEX($AC$176:$AC$905,($K281-$N$48))))))</f>
        <v/>
      </c>
      <c r="AF281" s="31" t="str">
        <f t="shared" si="58"/>
        <v/>
      </c>
      <c r="AG281" s="31" t="str">
        <f t="shared" si="59"/>
        <v/>
      </c>
      <c r="AH281" s="31" t="str">
        <f t="shared" si="60"/>
        <v/>
      </c>
      <c r="AI281" s="31" t="str">
        <f t="shared" si="61"/>
        <v/>
      </c>
      <c r="AJ281" s="303" t="str">
        <f t="shared" si="62"/>
        <v/>
      </c>
      <c r="AK281" s="139" t="str">
        <f t="shared" si="63"/>
        <v/>
      </c>
      <c r="AM281" s="319"/>
      <c r="AN281" s="40"/>
      <c r="AO281" s="1"/>
    </row>
    <row r="282" spans="7:41" x14ac:dyDescent="0.25">
      <c r="G282" s="235" t="str">
        <f t="shared" si="49"/>
        <v/>
      </c>
      <c r="H282" s="4" t="str">
        <f t="shared" si="50"/>
        <v/>
      </c>
      <c r="I282" s="11" t="str">
        <f t="shared" si="51"/>
        <v>09.00</v>
      </c>
      <c r="K282" s="30">
        <v>107</v>
      </c>
      <c r="L282" s="29">
        <f t="shared" si="64"/>
        <v>-10088.091623809083</v>
      </c>
      <c r="M282" s="28" t="str">
        <f t="shared" si="52"/>
        <v/>
      </c>
      <c r="N282" s="27" t="str">
        <f t="shared" si="65"/>
        <v/>
      </c>
      <c r="O282" s="26" t="str">
        <f>IF(AND($Q281=$O$38,IFERROR(LARGE($V$176:$V281,1)&lt;$N$42,TRUE)),1,IF(AND(ISNUMBER($O281),$O281&lt;$N$32),$O281+1,""))</f>
        <v/>
      </c>
      <c r="P282" s="26" t="str">
        <f t="shared" si="66"/>
        <v/>
      </c>
      <c r="Q282" s="26" t="str">
        <f t="shared" si="53"/>
        <v/>
      </c>
      <c r="R282" s="24" t="str">
        <f t="shared" si="67"/>
        <v/>
      </c>
      <c r="S282" s="180">
        <f t="shared" si="48"/>
        <v>9</v>
      </c>
      <c r="T282" s="151"/>
      <c r="U282" s="25" t="str">
        <f t="shared" si="54"/>
        <v/>
      </c>
      <c r="V282" s="24" t="str">
        <f>IF(AND(ISNUMBER(R281),ISNUMBER(R282)),V281,IF(AND(R281="",ISNUMBER(R282)),IFERROR(LARGE($V$176:$V281,1)+1,0),""))</f>
        <v/>
      </c>
      <c r="W282" s="23" t="str">
        <f t="shared" si="55"/>
        <v/>
      </c>
      <c r="X282" s="22" t="str">
        <f t="shared" si="56"/>
        <v/>
      </c>
      <c r="Y282" s="22"/>
      <c r="Z282" s="22"/>
      <c r="AA282" s="22"/>
      <c r="AB282" s="22" t="str" cm="1">
        <f t="array" ref="AB282">IF(IF(AND($P281="",$P282=1),($N$37*-1),0)+IF(AND($Q281="",$Q282=1),($N$38*-1),0)+IF(IF(($K282-$N$48)&lt;1,0,IF(IF(INDEX($AD$176:$AD$905,($K282-$N$48))="",0,INDEX($AD$176:$AD$905,($K282-$N$48)))&gt;0,IF(INDEX($AD$176:$AD$905,($K282-$N$48))="",0,INDEX($AD$176:$AD$905,($K282-$N$48))),0))="",0,IF(($K282-$N$48)&lt;1,0,IF(IF(INDEX($AD$176:$AD$905,($K282-$N$48))="",0,INDEX($AD$176:$AD$905,($K282-$N$48)))&gt;0,IF(INDEX($AD$176:$AD$905,($K282-$N$48))="",0,INDEX($AD$176:$AD$905,($K282-$N$48))),0)))=0,"",IF(AND($P281="",$P282=1),($N$37*-1),0)+IF(AND($Q281="",$Q282=1),($N$38*-1),0)+IF(IF(($K282-$N$48)&lt;1,0,IF(IF(INDEX($AD$176:$AD$905,($K282-$N$48))="",0,INDEX($AD$176:$AD$905,($K282-$N$48)))&gt;0,IF(INDEX($AD$176:$AD$905,($K282-$N$48))="",0,INDEX($AD$176:$AD$905,($K282-$N$48))),0))="",0,IF(($K282-$N$48)&lt;1,0,IF(IF(INDEX($AD$176:$AD$905,($K282-$N$48))="",0,INDEX($AD$176:$AD$905,($K282-$N$48)))&gt;0,IF(INDEX($AD$176:$AD$905,($K282-$N$48))="",0,INDEX($AD$176:$AD$905,($K282-$N$48))),0))))</f>
        <v/>
      </c>
      <c r="AC282" s="22" t="str">
        <f t="shared" si="57"/>
        <v/>
      </c>
      <c r="AD282" s="22" t="str">
        <f t="shared" si="68"/>
        <v/>
      </c>
      <c r="AE282" s="22" t="str" cm="1">
        <f t="array" ref="AE282">IF(($K282-$N$48)&lt;1,"",IF((IF(INDEX($AC$176:$AC$905,($K282-$N$48))="",0,INDEX($AC$176:$AC$905,($K282-$N$48))))=0,"",(IF(INDEX($AC$176:$AC$905,($K282-$N$48))="",0,INDEX($AC$176:$AC$905,($K282-$N$48))))))</f>
        <v/>
      </c>
      <c r="AF282" s="31" t="str">
        <f t="shared" si="58"/>
        <v/>
      </c>
      <c r="AG282" s="31" t="str">
        <f t="shared" si="59"/>
        <v/>
      </c>
      <c r="AH282" s="31" t="str">
        <f t="shared" si="60"/>
        <v/>
      </c>
      <c r="AI282" s="31" t="str">
        <f t="shared" si="61"/>
        <v/>
      </c>
      <c r="AJ282" s="303" t="str">
        <f t="shared" si="62"/>
        <v/>
      </c>
      <c r="AK282" s="139" t="str">
        <f t="shared" si="63"/>
        <v/>
      </c>
      <c r="AM282" s="319"/>
      <c r="AN282" s="40"/>
      <c r="AO282" s="1"/>
    </row>
    <row r="283" spans="7:41" x14ac:dyDescent="0.25">
      <c r="G283" s="235" t="str">
        <f t="shared" si="49"/>
        <v/>
      </c>
      <c r="H283" s="4" t="str">
        <f t="shared" si="50"/>
        <v/>
      </c>
      <c r="I283" s="11" t="str">
        <f t="shared" si="51"/>
        <v>09.00</v>
      </c>
      <c r="K283" s="30">
        <v>108</v>
      </c>
      <c r="L283" s="29">
        <f t="shared" si="64"/>
        <v>-10088.091623809083</v>
      </c>
      <c r="M283" s="28" t="str">
        <f t="shared" si="52"/>
        <v/>
      </c>
      <c r="N283" s="27" t="str">
        <f t="shared" si="65"/>
        <v/>
      </c>
      <c r="O283" s="26" t="str">
        <f>IF(AND($Q282=$O$38,IFERROR(LARGE($V$176:$V282,1)&lt;$N$42,TRUE)),1,IF(AND(ISNUMBER($O282),$O282&lt;$N$32),$O282+1,""))</f>
        <v/>
      </c>
      <c r="P283" s="26" t="str">
        <f t="shared" si="66"/>
        <v/>
      </c>
      <c r="Q283" s="26" t="str">
        <f t="shared" si="53"/>
        <v/>
      </c>
      <c r="R283" s="24" t="str">
        <f t="shared" si="67"/>
        <v/>
      </c>
      <c r="S283" s="180">
        <f t="shared" ref="S283:S346" si="69">IF($Q283=1,ROUNDDOWN($S282,0)+1,IF($R283=1,$S282+0.01,IF(ISNUMBER($U283),IF(AND($U283&gt;1,($U283-$U282)=1),$S282+0.01,$S282),$S282)))</f>
        <v>9</v>
      </c>
      <c r="T283" s="151"/>
      <c r="U283" s="25" t="str">
        <f t="shared" si="54"/>
        <v/>
      </c>
      <c r="V283" s="24" t="str">
        <f>IF(AND(ISNUMBER(R282),ISNUMBER(R283)),V282,IF(AND(R282="",ISNUMBER(R283)),IFERROR(LARGE($V$176:$V282,1)+1,0),""))</f>
        <v/>
      </c>
      <c r="W283" s="23" t="str">
        <f t="shared" si="55"/>
        <v/>
      </c>
      <c r="X283" s="22" t="str">
        <f t="shared" si="56"/>
        <v/>
      </c>
      <c r="Y283" s="22"/>
      <c r="Z283" s="22"/>
      <c r="AA283" s="22"/>
      <c r="AB283" s="22" t="str" cm="1">
        <f t="array" ref="AB283">IF(IF(AND($P282="",$P283=1),($N$37*-1),0)+IF(AND($Q282="",$Q283=1),($N$38*-1),0)+IF(IF(($K283-$N$48)&lt;1,0,IF(IF(INDEX($AD$176:$AD$905,($K283-$N$48))="",0,INDEX($AD$176:$AD$905,($K283-$N$48)))&gt;0,IF(INDEX($AD$176:$AD$905,($K283-$N$48))="",0,INDEX($AD$176:$AD$905,($K283-$N$48))),0))="",0,IF(($K283-$N$48)&lt;1,0,IF(IF(INDEX($AD$176:$AD$905,($K283-$N$48))="",0,INDEX($AD$176:$AD$905,($K283-$N$48)))&gt;0,IF(INDEX($AD$176:$AD$905,($K283-$N$48))="",0,INDEX($AD$176:$AD$905,($K283-$N$48))),0)))=0,"",IF(AND($P282="",$P283=1),($N$37*-1),0)+IF(AND($Q282="",$Q283=1),($N$38*-1),0)+IF(IF(($K283-$N$48)&lt;1,0,IF(IF(INDEX($AD$176:$AD$905,($K283-$N$48))="",0,INDEX($AD$176:$AD$905,($K283-$N$48)))&gt;0,IF(INDEX($AD$176:$AD$905,($K283-$N$48))="",0,INDEX($AD$176:$AD$905,($K283-$N$48))),0))="",0,IF(($K283-$N$48)&lt;1,0,IF(IF(INDEX($AD$176:$AD$905,($K283-$N$48))="",0,INDEX($AD$176:$AD$905,($K283-$N$48)))&gt;0,IF(INDEX($AD$176:$AD$905,($K283-$N$48))="",0,INDEX($AD$176:$AD$905,($K283-$N$48))),0))))</f>
        <v/>
      </c>
      <c r="AC283" s="22" t="str">
        <f t="shared" si="57"/>
        <v/>
      </c>
      <c r="AD283" s="22" t="str">
        <f t="shared" si="68"/>
        <v/>
      </c>
      <c r="AE283" s="22" t="str" cm="1">
        <f t="array" ref="AE283">IF(($K283-$N$48)&lt;1,"",IF((IF(INDEX($AC$176:$AC$905,($K283-$N$48))="",0,INDEX($AC$176:$AC$905,($K283-$N$48))))=0,"",(IF(INDEX($AC$176:$AC$905,($K283-$N$48))="",0,INDEX($AC$176:$AC$905,($K283-$N$48))))))</f>
        <v/>
      </c>
      <c r="AF283" s="31" t="str">
        <f t="shared" si="58"/>
        <v/>
      </c>
      <c r="AG283" s="31" t="str">
        <f t="shared" si="59"/>
        <v/>
      </c>
      <c r="AH283" s="31" t="str">
        <f t="shared" si="60"/>
        <v/>
      </c>
      <c r="AI283" s="31" t="str">
        <f t="shared" si="61"/>
        <v/>
      </c>
      <c r="AJ283" s="303" t="str">
        <f t="shared" si="62"/>
        <v/>
      </c>
      <c r="AK283" s="139" t="str">
        <f t="shared" si="63"/>
        <v/>
      </c>
      <c r="AM283" s="319"/>
      <c r="AN283" s="40"/>
      <c r="AO283" s="1"/>
    </row>
    <row r="284" spans="7:41" x14ac:dyDescent="0.25">
      <c r="G284" s="235" t="str">
        <f t="shared" si="49"/>
        <v/>
      </c>
      <c r="H284" s="4" t="str">
        <f t="shared" si="50"/>
        <v/>
      </c>
      <c r="I284" s="11" t="str">
        <f t="shared" si="51"/>
        <v>09.00</v>
      </c>
      <c r="K284" s="30">
        <v>109</v>
      </c>
      <c r="L284" s="29">
        <f t="shared" si="64"/>
        <v>-10088.091623809083</v>
      </c>
      <c r="M284" s="28" t="str">
        <f t="shared" si="52"/>
        <v/>
      </c>
      <c r="N284" s="27" t="str">
        <f t="shared" si="65"/>
        <v/>
      </c>
      <c r="O284" s="26" t="str">
        <f>IF(AND($Q283=$O$38,IFERROR(LARGE($V$176:$V283,1)&lt;$N$42,TRUE)),1,IF(AND(ISNUMBER($O283),$O283&lt;$N$32),$O283+1,""))</f>
        <v/>
      </c>
      <c r="P284" s="26" t="str">
        <f t="shared" si="66"/>
        <v/>
      </c>
      <c r="Q284" s="26" t="str">
        <f t="shared" si="53"/>
        <v/>
      </c>
      <c r="R284" s="24" t="str">
        <f t="shared" si="67"/>
        <v/>
      </c>
      <c r="S284" s="180">
        <f t="shared" si="69"/>
        <v>9</v>
      </c>
      <c r="T284" s="151"/>
      <c r="U284" s="25" t="str">
        <f t="shared" si="54"/>
        <v/>
      </c>
      <c r="V284" s="24" t="str">
        <f>IF(AND(ISNUMBER(R283),ISNUMBER(R284)),V283,IF(AND(R283="",ISNUMBER(R284)),IFERROR(LARGE($V$176:$V283,1)+1,0),""))</f>
        <v/>
      </c>
      <c r="W284" s="23" t="str">
        <f t="shared" si="55"/>
        <v/>
      </c>
      <c r="X284" s="22" t="str">
        <f t="shared" si="56"/>
        <v/>
      </c>
      <c r="Y284" s="22"/>
      <c r="Z284" s="22"/>
      <c r="AA284" s="22"/>
      <c r="AB284" s="22" t="str" cm="1">
        <f t="array" ref="AB284">IF(IF(AND($P283="",$P284=1),($N$37*-1),0)+IF(AND($Q283="",$Q284=1),($N$38*-1),0)+IF(IF(($K284-$N$48)&lt;1,0,IF(IF(INDEX($AD$176:$AD$905,($K284-$N$48))="",0,INDEX($AD$176:$AD$905,($K284-$N$48)))&gt;0,IF(INDEX($AD$176:$AD$905,($K284-$N$48))="",0,INDEX($AD$176:$AD$905,($K284-$N$48))),0))="",0,IF(($K284-$N$48)&lt;1,0,IF(IF(INDEX($AD$176:$AD$905,($K284-$N$48))="",0,INDEX($AD$176:$AD$905,($K284-$N$48)))&gt;0,IF(INDEX($AD$176:$AD$905,($K284-$N$48))="",0,INDEX($AD$176:$AD$905,($K284-$N$48))),0)))=0,"",IF(AND($P283="",$P284=1),($N$37*-1),0)+IF(AND($Q283="",$Q284=1),($N$38*-1),0)+IF(IF(($K284-$N$48)&lt;1,0,IF(IF(INDEX($AD$176:$AD$905,($K284-$N$48))="",0,INDEX($AD$176:$AD$905,($K284-$N$48)))&gt;0,IF(INDEX($AD$176:$AD$905,($K284-$N$48))="",0,INDEX($AD$176:$AD$905,($K284-$N$48))),0))="",0,IF(($K284-$N$48)&lt;1,0,IF(IF(INDEX($AD$176:$AD$905,($K284-$N$48))="",0,INDEX($AD$176:$AD$905,($K284-$N$48)))&gt;0,IF(INDEX($AD$176:$AD$905,($K284-$N$48))="",0,INDEX($AD$176:$AD$905,($K284-$N$48))),0))))</f>
        <v/>
      </c>
      <c r="AC284" s="22" t="str">
        <f t="shared" si="57"/>
        <v/>
      </c>
      <c r="AD284" s="22" t="str">
        <f t="shared" si="68"/>
        <v/>
      </c>
      <c r="AE284" s="22" t="str" cm="1">
        <f t="array" ref="AE284">IF(($K284-$N$48)&lt;1,"",IF((IF(INDEX($AC$176:$AC$905,($K284-$N$48))="",0,INDEX($AC$176:$AC$905,($K284-$N$48))))=0,"",(IF(INDEX($AC$176:$AC$905,($K284-$N$48))="",0,INDEX($AC$176:$AC$905,($K284-$N$48))))))</f>
        <v/>
      </c>
      <c r="AF284" s="31" t="str">
        <f t="shared" si="58"/>
        <v/>
      </c>
      <c r="AG284" s="31" t="str">
        <f t="shared" si="59"/>
        <v/>
      </c>
      <c r="AH284" s="31" t="str">
        <f t="shared" si="60"/>
        <v/>
      </c>
      <c r="AI284" s="31" t="str">
        <f t="shared" si="61"/>
        <v/>
      </c>
      <c r="AJ284" s="303" t="str">
        <f t="shared" si="62"/>
        <v/>
      </c>
      <c r="AK284" s="139" t="str">
        <f t="shared" si="63"/>
        <v/>
      </c>
      <c r="AM284" s="319"/>
      <c r="AN284" s="40"/>
      <c r="AO284" s="1"/>
    </row>
    <row r="285" spans="7:41" x14ac:dyDescent="0.25">
      <c r="G285" s="235" t="str">
        <f t="shared" si="49"/>
        <v/>
      </c>
      <c r="H285" s="4" t="str">
        <f t="shared" si="50"/>
        <v/>
      </c>
      <c r="I285" s="11" t="str">
        <f t="shared" si="51"/>
        <v>09.00</v>
      </c>
      <c r="K285" s="30">
        <v>110</v>
      </c>
      <c r="L285" s="29">
        <f t="shared" si="64"/>
        <v>-10088.091623809083</v>
      </c>
      <c r="M285" s="28" t="str">
        <f t="shared" si="52"/>
        <v/>
      </c>
      <c r="N285" s="27" t="str">
        <f t="shared" si="65"/>
        <v/>
      </c>
      <c r="O285" s="26" t="str">
        <f>IF(AND($Q284=$O$38,IFERROR(LARGE($V$176:$V284,1)&lt;$N$42,TRUE)),1,IF(AND(ISNUMBER($O284),$O284&lt;$N$32),$O284+1,""))</f>
        <v/>
      </c>
      <c r="P285" s="26" t="str">
        <f t="shared" si="66"/>
        <v/>
      </c>
      <c r="Q285" s="26" t="str">
        <f t="shared" si="53"/>
        <v/>
      </c>
      <c r="R285" s="24" t="str">
        <f t="shared" si="67"/>
        <v/>
      </c>
      <c r="S285" s="180">
        <f t="shared" si="69"/>
        <v>9</v>
      </c>
      <c r="T285" s="151"/>
      <c r="U285" s="25" t="str">
        <f t="shared" si="54"/>
        <v/>
      </c>
      <c r="V285" s="24" t="str">
        <f>IF(AND(ISNUMBER(R284),ISNUMBER(R285)),V284,IF(AND(R284="",ISNUMBER(R285)),IFERROR(LARGE($V$176:$V284,1)+1,0),""))</f>
        <v/>
      </c>
      <c r="W285" s="23" t="str">
        <f t="shared" si="55"/>
        <v/>
      </c>
      <c r="X285" s="22" t="str">
        <f t="shared" si="56"/>
        <v/>
      </c>
      <c r="Y285" s="22"/>
      <c r="Z285" s="22"/>
      <c r="AA285" s="22"/>
      <c r="AB285" s="22" t="str" cm="1">
        <f t="array" ref="AB285">IF(IF(AND($P284="",$P285=1),($N$37*-1),0)+IF(AND($Q284="",$Q285=1),($N$38*-1),0)+IF(IF(($K285-$N$48)&lt;1,0,IF(IF(INDEX($AD$176:$AD$905,($K285-$N$48))="",0,INDEX($AD$176:$AD$905,($K285-$N$48)))&gt;0,IF(INDEX($AD$176:$AD$905,($K285-$N$48))="",0,INDEX($AD$176:$AD$905,($K285-$N$48))),0))="",0,IF(($K285-$N$48)&lt;1,0,IF(IF(INDEX($AD$176:$AD$905,($K285-$N$48))="",0,INDEX($AD$176:$AD$905,($K285-$N$48)))&gt;0,IF(INDEX($AD$176:$AD$905,($K285-$N$48))="",0,INDEX($AD$176:$AD$905,($K285-$N$48))),0)))=0,"",IF(AND($P284="",$P285=1),($N$37*-1),0)+IF(AND($Q284="",$Q285=1),($N$38*-1),0)+IF(IF(($K285-$N$48)&lt;1,0,IF(IF(INDEX($AD$176:$AD$905,($K285-$N$48))="",0,INDEX($AD$176:$AD$905,($K285-$N$48)))&gt;0,IF(INDEX($AD$176:$AD$905,($K285-$N$48))="",0,INDEX($AD$176:$AD$905,($K285-$N$48))),0))="",0,IF(($K285-$N$48)&lt;1,0,IF(IF(INDEX($AD$176:$AD$905,($K285-$N$48))="",0,INDEX($AD$176:$AD$905,($K285-$N$48)))&gt;0,IF(INDEX($AD$176:$AD$905,($K285-$N$48))="",0,INDEX($AD$176:$AD$905,($K285-$N$48))),0))))</f>
        <v/>
      </c>
      <c r="AC285" s="22" t="str">
        <f t="shared" si="57"/>
        <v/>
      </c>
      <c r="AD285" s="22" t="str">
        <f t="shared" si="68"/>
        <v/>
      </c>
      <c r="AE285" s="22" t="str" cm="1">
        <f t="array" ref="AE285">IF(($K285-$N$48)&lt;1,"",IF((IF(INDEX($AC$176:$AC$905,($K285-$N$48))="",0,INDEX($AC$176:$AC$905,($K285-$N$48))))=0,"",(IF(INDEX($AC$176:$AC$905,($K285-$N$48))="",0,INDEX($AC$176:$AC$905,($K285-$N$48))))))</f>
        <v/>
      </c>
      <c r="AF285" s="31" t="str">
        <f t="shared" si="58"/>
        <v/>
      </c>
      <c r="AG285" s="31" t="str">
        <f t="shared" si="59"/>
        <v/>
      </c>
      <c r="AH285" s="31" t="str">
        <f t="shared" si="60"/>
        <v/>
      </c>
      <c r="AI285" s="31" t="str">
        <f t="shared" si="61"/>
        <v/>
      </c>
      <c r="AJ285" s="303" t="str">
        <f t="shared" si="62"/>
        <v/>
      </c>
      <c r="AK285" s="139" t="str">
        <f t="shared" si="63"/>
        <v/>
      </c>
      <c r="AM285" s="319"/>
      <c r="AN285" s="40"/>
      <c r="AO285" s="1"/>
    </row>
    <row r="286" spans="7:41" x14ac:dyDescent="0.25">
      <c r="G286" s="235" t="str">
        <f t="shared" si="49"/>
        <v/>
      </c>
      <c r="H286" s="4" t="str">
        <f t="shared" si="50"/>
        <v/>
      </c>
      <c r="I286" s="11" t="str">
        <f t="shared" si="51"/>
        <v>09.00</v>
      </c>
      <c r="K286" s="30">
        <v>111</v>
      </c>
      <c r="L286" s="29">
        <f t="shared" si="64"/>
        <v>-10088.091623809083</v>
      </c>
      <c r="M286" s="28" t="str">
        <f t="shared" si="52"/>
        <v/>
      </c>
      <c r="N286" s="27" t="str">
        <f t="shared" si="65"/>
        <v/>
      </c>
      <c r="O286" s="26" t="str">
        <f>IF(AND($Q285=$O$38,IFERROR(LARGE($V$176:$V285,1)&lt;$N$42,TRUE)),1,IF(AND(ISNUMBER($O285),$O285&lt;$N$32),$O285+1,""))</f>
        <v/>
      </c>
      <c r="P286" s="26" t="str">
        <f t="shared" si="66"/>
        <v/>
      </c>
      <c r="Q286" s="26" t="str">
        <f t="shared" si="53"/>
        <v/>
      </c>
      <c r="R286" s="24" t="str">
        <f t="shared" si="67"/>
        <v/>
      </c>
      <c r="S286" s="180">
        <f t="shared" si="69"/>
        <v>9</v>
      </c>
      <c r="T286" s="151"/>
      <c r="U286" s="25" t="str">
        <f t="shared" si="54"/>
        <v/>
      </c>
      <c r="V286" s="24" t="str">
        <f>IF(AND(ISNUMBER(R285),ISNUMBER(R286)),V285,IF(AND(R285="",ISNUMBER(R286)),IFERROR(LARGE($V$176:$V285,1)+1,0),""))</f>
        <v/>
      </c>
      <c r="W286" s="23" t="str">
        <f t="shared" si="55"/>
        <v/>
      </c>
      <c r="X286" s="22" t="str">
        <f t="shared" si="56"/>
        <v/>
      </c>
      <c r="Y286" s="22"/>
      <c r="Z286" s="22"/>
      <c r="AA286" s="22"/>
      <c r="AB286" s="22" t="str" cm="1">
        <f t="array" ref="AB286">IF(IF(AND($P285="",$P286=1),($N$37*-1),0)+IF(AND($Q285="",$Q286=1),($N$38*-1),0)+IF(IF(($K286-$N$48)&lt;1,0,IF(IF(INDEX($AD$176:$AD$905,($K286-$N$48))="",0,INDEX($AD$176:$AD$905,($K286-$N$48)))&gt;0,IF(INDEX($AD$176:$AD$905,($K286-$N$48))="",0,INDEX($AD$176:$AD$905,($K286-$N$48))),0))="",0,IF(($K286-$N$48)&lt;1,0,IF(IF(INDEX($AD$176:$AD$905,($K286-$N$48))="",0,INDEX($AD$176:$AD$905,($K286-$N$48)))&gt;0,IF(INDEX($AD$176:$AD$905,($K286-$N$48))="",0,INDEX($AD$176:$AD$905,($K286-$N$48))),0)))=0,"",IF(AND($P285="",$P286=1),($N$37*-1),0)+IF(AND($Q285="",$Q286=1),($N$38*-1),0)+IF(IF(($K286-$N$48)&lt;1,0,IF(IF(INDEX($AD$176:$AD$905,($K286-$N$48))="",0,INDEX($AD$176:$AD$905,($K286-$N$48)))&gt;0,IF(INDEX($AD$176:$AD$905,($K286-$N$48))="",0,INDEX($AD$176:$AD$905,($K286-$N$48))),0))="",0,IF(($K286-$N$48)&lt;1,0,IF(IF(INDEX($AD$176:$AD$905,($K286-$N$48))="",0,INDEX($AD$176:$AD$905,($K286-$N$48)))&gt;0,IF(INDEX($AD$176:$AD$905,($K286-$N$48))="",0,INDEX($AD$176:$AD$905,($K286-$N$48))),0))))</f>
        <v/>
      </c>
      <c r="AC286" s="22" t="str">
        <f t="shared" si="57"/>
        <v/>
      </c>
      <c r="AD286" s="22" t="str">
        <f t="shared" si="68"/>
        <v/>
      </c>
      <c r="AE286" s="22" t="str" cm="1">
        <f t="array" ref="AE286">IF(($K286-$N$48)&lt;1,"",IF((IF(INDEX($AC$176:$AC$905,($K286-$N$48))="",0,INDEX($AC$176:$AC$905,($K286-$N$48))))=0,"",(IF(INDEX($AC$176:$AC$905,($K286-$N$48))="",0,INDEX($AC$176:$AC$905,($K286-$N$48))))))</f>
        <v/>
      </c>
      <c r="AF286" s="31" t="str">
        <f t="shared" si="58"/>
        <v/>
      </c>
      <c r="AG286" s="31" t="str">
        <f t="shared" si="59"/>
        <v/>
      </c>
      <c r="AH286" s="31" t="str">
        <f t="shared" si="60"/>
        <v/>
      </c>
      <c r="AI286" s="31" t="str">
        <f t="shared" si="61"/>
        <v/>
      </c>
      <c r="AJ286" s="303" t="str">
        <f t="shared" si="62"/>
        <v/>
      </c>
      <c r="AK286" s="139" t="str">
        <f t="shared" si="63"/>
        <v/>
      </c>
      <c r="AM286" s="319"/>
      <c r="AN286" s="40"/>
      <c r="AO286" s="1"/>
    </row>
    <row r="287" spans="7:41" x14ac:dyDescent="0.25">
      <c r="G287" s="235" t="str">
        <f t="shared" si="49"/>
        <v/>
      </c>
      <c r="H287" s="4" t="str">
        <f t="shared" si="50"/>
        <v/>
      </c>
      <c r="I287" s="11" t="str">
        <f t="shared" si="51"/>
        <v>09.00</v>
      </c>
      <c r="K287" s="30">
        <v>112</v>
      </c>
      <c r="L287" s="29">
        <f t="shared" si="64"/>
        <v>-10088.091623809083</v>
      </c>
      <c r="M287" s="28" t="str">
        <f t="shared" si="52"/>
        <v/>
      </c>
      <c r="N287" s="27" t="str">
        <f t="shared" si="65"/>
        <v/>
      </c>
      <c r="O287" s="26" t="str">
        <f>IF(AND($Q286=$O$38,IFERROR(LARGE($V$176:$V286,1)&lt;$N$42,TRUE)),1,IF(AND(ISNUMBER($O286),$O286&lt;$N$32),$O286+1,""))</f>
        <v/>
      </c>
      <c r="P287" s="26" t="str">
        <f t="shared" si="66"/>
        <v/>
      </c>
      <c r="Q287" s="26" t="str">
        <f t="shared" si="53"/>
        <v/>
      </c>
      <c r="R287" s="24" t="str">
        <f t="shared" si="67"/>
        <v/>
      </c>
      <c r="S287" s="180">
        <f t="shared" si="69"/>
        <v>9</v>
      </c>
      <c r="T287" s="151"/>
      <c r="U287" s="25" t="str">
        <f t="shared" si="54"/>
        <v/>
      </c>
      <c r="V287" s="24" t="str">
        <f>IF(AND(ISNUMBER(R286),ISNUMBER(R287)),V286,IF(AND(R286="",ISNUMBER(R287)),IFERROR(LARGE($V$176:$V286,1)+1,0),""))</f>
        <v/>
      </c>
      <c r="W287" s="23" t="str">
        <f t="shared" si="55"/>
        <v/>
      </c>
      <c r="X287" s="22" t="str">
        <f t="shared" si="56"/>
        <v/>
      </c>
      <c r="Y287" s="22"/>
      <c r="Z287" s="22"/>
      <c r="AA287" s="22"/>
      <c r="AB287" s="22" t="str" cm="1">
        <f t="array" ref="AB287">IF(IF(AND($P286="",$P287=1),($N$37*-1),0)+IF(AND($Q286="",$Q287=1),($N$38*-1),0)+IF(IF(($K287-$N$48)&lt;1,0,IF(IF(INDEX($AD$176:$AD$905,($K287-$N$48))="",0,INDEX($AD$176:$AD$905,($K287-$N$48)))&gt;0,IF(INDEX($AD$176:$AD$905,($K287-$N$48))="",0,INDEX($AD$176:$AD$905,($K287-$N$48))),0))="",0,IF(($K287-$N$48)&lt;1,0,IF(IF(INDEX($AD$176:$AD$905,($K287-$N$48))="",0,INDEX($AD$176:$AD$905,($K287-$N$48)))&gt;0,IF(INDEX($AD$176:$AD$905,($K287-$N$48))="",0,INDEX($AD$176:$AD$905,($K287-$N$48))),0)))=0,"",IF(AND($P286="",$P287=1),($N$37*-1),0)+IF(AND($Q286="",$Q287=1),($N$38*-1),0)+IF(IF(($K287-$N$48)&lt;1,0,IF(IF(INDEX($AD$176:$AD$905,($K287-$N$48))="",0,INDEX($AD$176:$AD$905,($K287-$N$48)))&gt;0,IF(INDEX($AD$176:$AD$905,($K287-$N$48))="",0,INDEX($AD$176:$AD$905,($K287-$N$48))),0))="",0,IF(($K287-$N$48)&lt;1,0,IF(IF(INDEX($AD$176:$AD$905,($K287-$N$48))="",0,INDEX($AD$176:$AD$905,($K287-$N$48)))&gt;0,IF(INDEX($AD$176:$AD$905,($K287-$N$48))="",0,INDEX($AD$176:$AD$905,($K287-$N$48))),0))))</f>
        <v/>
      </c>
      <c r="AC287" s="22" t="str">
        <f t="shared" si="57"/>
        <v/>
      </c>
      <c r="AD287" s="22" t="str">
        <f t="shared" si="68"/>
        <v/>
      </c>
      <c r="AE287" s="22" t="str" cm="1">
        <f t="array" ref="AE287">IF(($K287-$N$48)&lt;1,"",IF((IF(INDEX($AC$176:$AC$905,($K287-$N$48))="",0,INDEX($AC$176:$AC$905,($K287-$N$48))))=0,"",(IF(INDEX($AC$176:$AC$905,($K287-$N$48))="",0,INDEX($AC$176:$AC$905,($K287-$N$48))))))</f>
        <v/>
      </c>
      <c r="AF287" s="31" t="str">
        <f t="shared" si="58"/>
        <v/>
      </c>
      <c r="AG287" s="31" t="str">
        <f t="shared" si="59"/>
        <v/>
      </c>
      <c r="AH287" s="31" t="str">
        <f t="shared" si="60"/>
        <v/>
      </c>
      <c r="AI287" s="31" t="str">
        <f t="shared" si="61"/>
        <v/>
      </c>
      <c r="AJ287" s="303" t="str">
        <f t="shared" si="62"/>
        <v/>
      </c>
      <c r="AK287" s="139" t="str">
        <f t="shared" si="63"/>
        <v/>
      </c>
      <c r="AM287" s="319"/>
      <c r="AN287" s="40"/>
      <c r="AO287" s="1"/>
    </row>
    <row r="288" spans="7:41" x14ac:dyDescent="0.25">
      <c r="G288" s="235" t="str">
        <f t="shared" si="49"/>
        <v/>
      </c>
      <c r="H288" s="4" t="str">
        <f t="shared" si="50"/>
        <v/>
      </c>
      <c r="I288" s="11" t="str">
        <f t="shared" si="51"/>
        <v>09.00</v>
      </c>
      <c r="K288" s="30">
        <v>113</v>
      </c>
      <c r="L288" s="29">
        <f t="shared" si="64"/>
        <v>-10088.091623809083</v>
      </c>
      <c r="M288" s="28" t="str">
        <f t="shared" si="52"/>
        <v/>
      </c>
      <c r="N288" s="27" t="str">
        <f t="shared" si="65"/>
        <v/>
      </c>
      <c r="O288" s="26" t="str">
        <f>IF(AND($Q287=$O$38,IFERROR(LARGE($V$176:$V287,1)&lt;$N$42,TRUE)),1,IF(AND(ISNUMBER($O287),$O287&lt;$N$32),$O287+1,""))</f>
        <v/>
      </c>
      <c r="P288" s="26" t="str">
        <f t="shared" si="66"/>
        <v/>
      </c>
      <c r="Q288" s="26" t="str">
        <f t="shared" si="53"/>
        <v/>
      </c>
      <c r="R288" s="24" t="str">
        <f t="shared" si="67"/>
        <v/>
      </c>
      <c r="S288" s="180">
        <f t="shared" si="69"/>
        <v>9</v>
      </c>
      <c r="T288" s="151"/>
      <c r="U288" s="25" t="str">
        <f t="shared" si="54"/>
        <v/>
      </c>
      <c r="V288" s="24" t="str">
        <f>IF(AND(ISNUMBER(R287),ISNUMBER(R288)),V287,IF(AND(R287="",ISNUMBER(R288)),IFERROR(LARGE($V$176:$V287,1)+1,0),""))</f>
        <v/>
      </c>
      <c r="W288" s="23" t="str">
        <f t="shared" si="55"/>
        <v/>
      </c>
      <c r="X288" s="22" t="str">
        <f t="shared" si="56"/>
        <v/>
      </c>
      <c r="Y288" s="22"/>
      <c r="Z288" s="22"/>
      <c r="AA288" s="22"/>
      <c r="AB288" s="22" t="str" cm="1">
        <f t="array" ref="AB288">IF(IF(AND($P287="",$P288=1),($N$37*-1),0)+IF(AND($Q287="",$Q288=1),($N$38*-1),0)+IF(IF(($K288-$N$48)&lt;1,0,IF(IF(INDEX($AD$176:$AD$905,($K288-$N$48))="",0,INDEX($AD$176:$AD$905,($K288-$N$48)))&gt;0,IF(INDEX($AD$176:$AD$905,($K288-$N$48))="",0,INDEX($AD$176:$AD$905,($K288-$N$48))),0))="",0,IF(($K288-$N$48)&lt;1,0,IF(IF(INDEX($AD$176:$AD$905,($K288-$N$48))="",0,INDEX($AD$176:$AD$905,($K288-$N$48)))&gt;0,IF(INDEX($AD$176:$AD$905,($K288-$N$48))="",0,INDEX($AD$176:$AD$905,($K288-$N$48))),0)))=0,"",IF(AND($P287="",$P288=1),($N$37*-1),0)+IF(AND($Q287="",$Q288=1),($N$38*-1),0)+IF(IF(($K288-$N$48)&lt;1,0,IF(IF(INDEX($AD$176:$AD$905,($K288-$N$48))="",0,INDEX($AD$176:$AD$905,($K288-$N$48)))&gt;0,IF(INDEX($AD$176:$AD$905,($K288-$N$48))="",0,INDEX($AD$176:$AD$905,($K288-$N$48))),0))="",0,IF(($K288-$N$48)&lt;1,0,IF(IF(INDEX($AD$176:$AD$905,($K288-$N$48))="",0,INDEX($AD$176:$AD$905,($K288-$N$48)))&gt;0,IF(INDEX($AD$176:$AD$905,($K288-$N$48))="",0,INDEX($AD$176:$AD$905,($K288-$N$48))),0))))</f>
        <v/>
      </c>
      <c r="AC288" s="22" t="str">
        <f t="shared" si="57"/>
        <v/>
      </c>
      <c r="AD288" s="22" t="str">
        <f t="shared" si="68"/>
        <v/>
      </c>
      <c r="AE288" s="22" t="str" cm="1">
        <f t="array" ref="AE288">IF(($K288-$N$48)&lt;1,"",IF((IF(INDEX($AC$176:$AC$905,($K288-$N$48))="",0,INDEX($AC$176:$AC$905,($K288-$N$48))))=0,"",(IF(INDEX($AC$176:$AC$905,($K288-$N$48))="",0,INDEX($AC$176:$AC$905,($K288-$N$48))))))</f>
        <v/>
      </c>
      <c r="AF288" s="31" t="str">
        <f t="shared" si="58"/>
        <v/>
      </c>
      <c r="AG288" s="31" t="str">
        <f t="shared" si="59"/>
        <v/>
      </c>
      <c r="AH288" s="31" t="str">
        <f t="shared" si="60"/>
        <v/>
      </c>
      <c r="AI288" s="31" t="str">
        <f t="shared" si="61"/>
        <v/>
      </c>
      <c r="AJ288" s="303" t="str">
        <f t="shared" si="62"/>
        <v/>
      </c>
      <c r="AK288" s="139" t="str">
        <f t="shared" si="63"/>
        <v/>
      </c>
      <c r="AM288" s="319"/>
      <c r="AN288" s="40"/>
      <c r="AO288" s="1"/>
    </row>
    <row r="289" spans="7:41" x14ac:dyDescent="0.25">
      <c r="G289" s="235" t="str">
        <f t="shared" si="49"/>
        <v/>
      </c>
      <c r="H289" s="4" t="str">
        <f t="shared" si="50"/>
        <v/>
      </c>
      <c r="I289" s="11" t="str">
        <f t="shared" si="51"/>
        <v>09.00</v>
      </c>
      <c r="K289" s="30">
        <v>114</v>
      </c>
      <c r="L289" s="29">
        <f t="shared" si="64"/>
        <v>-4723.0916238090831</v>
      </c>
      <c r="M289" s="28">
        <f t="shared" si="52"/>
        <v>5365</v>
      </c>
      <c r="N289" s="27" t="str">
        <f t="shared" si="65"/>
        <v/>
      </c>
      <c r="O289" s="26" t="str">
        <f>IF(AND($Q288=$O$38,IFERROR(LARGE($V$176:$V288,1)&lt;$N$42,TRUE)),1,IF(AND(ISNUMBER($O288),$O288&lt;$N$32),$O288+1,""))</f>
        <v/>
      </c>
      <c r="P289" s="26" t="str">
        <f t="shared" si="66"/>
        <v/>
      </c>
      <c r="Q289" s="26" t="str">
        <f t="shared" si="53"/>
        <v/>
      </c>
      <c r="R289" s="24" t="str">
        <f t="shared" si="67"/>
        <v/>
      </c>
      <c r="S289" s="180">
        <f t="shared" si="69"/>
        <v>9</v>
      </c>
      <c r="T289" s="151"/>
      <c r="U289" s="25" t="str">
        <f t="shared" si="54"/>
        <v/>
      </c>
      <c r="V289" s="24" t="str">
        <f>IF(AND(ISNUMBER(R288),ISNUMBER(R289)),V288,IF(AND(R288="",ISNUMBER(R289)),IFERROR(LARGE($V$176:$V288,1)+1,0),""))</f>
        <v/>
      </c>
      <c r="W289" s="23" t="str">
        <f t="shared" si="55"/>
        <v/>
      </c>
      <c r="X289" s="22" t="str">
        <f t="shared" si="56"/>
        <v/>
      </c>
      <c r="Y289" s="22"/>
      <c r="Z289" s="22"/>
      <c r="AA289" s="22"/>
      <c r="AB289" s="22" cm="1">
        <f t="array" ref="AB289">IF(IF(AND($P288="",$P289=1),($N$37*-1),0)+IF(AND($Q288="",$Q289=1),($N$38*-1),0)+IF(IF(($K289-$N$48)&lt;1,0,IF(IF(INDEX($AD$176:$AD$905,($K289-$N$48))="",0,INDEX($AD$176:$AD$905,($K289-$N$48)))&gt;0,IF(INDEX($AD$176:$AD$905,($K289-$N$48))="",0,INDEX($AD$176:$AD$905,($K289-$N$48))),0))="",0,IF(($K289-$N$48)&lt;1,0,IF(IF(INDEX($AD$176:$AD$905,($K289-$N$48))="",0,INDEX($AD$176:$AD$905,($K289-$N$48)))&gt;0,IF(INDEX($AD$176:$AD$905,($K289-$N$48))="",0,INDEX($AD$176:$AD$905,($K289-$N$48))),0)))=0,"",IF(AND($P288="",$P289=1),($N$37*-1),0)+IF(AND($Q288="",$Q289=1),($N$38*-1),0)+IF(IF(($K289-$N$48)&lt;1,0,IF(IF(INDEX($AD$176:$AD$905,($K289-$N$48))="",0,INDEX($AD$176:$AD$905,($K289-$N$48)))&gt;0,IF(INDEX($AD$176:$AD$905,($K289-$N$48))="",0,INDEX($AD$176:$AD$905,($K289-$N$48))),0))="",0,IF(($K289-$N$48)&lt;1,0,IF(IF(INDEX($AD$176:$AD$905,($K289-$N$48))="",0,INDEX($AD$176:$AD$905,($K289-$N$48)))&gt;0,IF(INDEX($AD$176:$AD$905,($K289-$N$48))="",0,INDEX($AD$176:$AD$905,($K289-$N$48))),0))))</f>
        <v>525</v>
      </c>
      <c r="AC289" s="22" t="str">
        <f t="shared" si="57"/>
        <v/>
      </c>
      <c r="AD289" s="22" t="str">
        <f t="shared" si="68"/>
        <v/>
      </c>
      <c r="AE289" s="22" cm="1">
        <f t="array" ref="AE289">IF(($K289-$N$48)&lt;1,"",IF((IF(INDEX($AC$176:$AC$905,($K289-$N$48))="",0,INDEX($AC$176:$AC$905,($K289-$N$48))))=0,"",(IF(INDEX($AC$176:$AC$905,($K289-$N$48))="",0,INDEX($AC$176:$AC$905,($K289-$N$48))))))</f>
        <v>5500</v>
      </c>
      <c r="AF289" s="31">
        <f t="shared" si="58"/>
        <v>0</v>
      </c>
      <c r="AG289" s="31">
        <f t="shared" si="59"/>
        <v>-82.5</v>
      </c>
      <c r="AH289" s="31">
        <f t="shared" si="60"/>
        <v>-110</v>
      </c>
      <c r="AI289" s="31">
        <f t="shared" si="61"/>
        <v>-27.5</v>
      </c>
      <c r="AJ289" s="303">
        <f t="shared" si="62"/>
        <v>-440</v>
      </c>
      <c r="AK289" s="139">
        <f t="shared" si="63"/>
        <v>-440</v>
      </c>
      <c r="AM289" s="319"/>
      <c r="AN289" s="40"/>
      <c r="AO289" s="1"/>
    </row>
    <row r="290" spans="7:41" x14ac:dyDescent="0.25">
      <c r="G290" s="235" t="str">
        <f t="shared" si="49"/>
        <v/>
      </c>
      <c r="H290" s="4" t="str">
        <f t="shared" si="50"/>
        <v/>
      </c>
      <c r="I290" s="11" t="str">
        <f t="shared" si="51"/>
        <v>09.00</v>
      </c>
      <c r="K290" s="30">
        <v>115</v>
      </c>
      <c r="L290" s="29">
        <f t="shared" si="64"/>
        <v>-4723.0916238090831</v>
      </c>
      <c r="M290" s="28" t="str">
        <f t="shared" si="52"/>
        <v/>
      </c>
      <c r="N290" s="27" t="str">
        <f t="shared" si="65"/>
        <v/>
      </c>
      <c r="O290" s="26" t="str">
        <f>IF(AND($Q289=$O$38,IFERROR(LARGE($V$176:$V289,1)&lt;$N$42,TRUE)),1,IF(AND(ISNUMBER($O289),$O289&lt;$N$32),$O289+1,""))</f>
        <v/>
      </c>
      <c r="P290" s="26" t="str">
        <f t="shared" si="66"/>
        <v/>
      </c>
      <c r="Q290" s="26" t="str">
        <f t="shared" si="53"/>
        <v/>
      </c>
      <c r="R290" s="24" t="str">
        <f t="shared" si="67"/>
        <v/>
      </c>
      <c r="S290" s="180">
        <f t="shared" si="69"/>
        <v>9</v>
      </c>
      <c r="T290" s="151"/>
      <c r="U290" s="25" t="str">
        <f t="shared" si="54"/>
        <v/>
      </c>
      <c r="V290" s="24" t="str">
        <f>IF(AND(ISNUMBER(R289),ISNUMBER(R290)),V289,IF(AND(R289="",ISNUMBER(R290)),IFERROR(LARGE($V$176:$V289,1)+1,0),""))</f>
        <v/>
      </c>
      <c r="W290" s="23" t="str">
        <f t="shared" si="55"/>
        <v/>
      </c>
      <c r="X290" s="22" t="str">
        <f t="shared" si="56"/>
        <v/>
      </c>
      <c r="Y290" s="22"/>
      <c r="Z290" s="22"/>
      <c r="AA290" s="22"/>
      <c r="AB290" s="22" t="str" cm="1">
        <f t="array" ref="AB290">IF(IF(AND($P289="",$P290=1),($N$37*-1),0)+IF(AND($Q289="",$Q290=1),($N$38*-1),0)+IF(IF(($K290-$N$48)&lt;1,0,IF(IF(INDEX($AD$176:$AD$905,($K290-$N$48))="",0,INDEX($AD$176:$AD$905,($K290-$N$48)))&gt;0,IF(INDEX($AD$176:$AD$905,($K290-$N$48))="",0,INDEX($AD$176:$AD$905,($K290-$N$48))),0))="",0,IF(($K290-$N$48)&lt;1,0,IF(IF(INDEX($AD$176:$AD$905,($K290-$N$48))="",0,INDEX($AD$176:$AD$905,($K290-$N$48)))&gt;0,IF(INDEX($AD$176:$AD$905,($K290-$N$48))="",0,INDEX($AD$176:$AD$905,($K290-$N$48))),0)))=0,"",IF(AND($P289="",$P290=1),($N$37*-1),0)+IF(AND($Q289="",$Q290=1),($N$38*-1),0)+IF(IF(($K290-$N$48)&lt;1,0,IF(IF(INDEX($AD$176:$AD$905,($K290-$N$48))="",0,INDEX($AD$176:$AD$905,($K290-$N$48)))&gt;0,IF(INDEX($AD$176:$AD$905,($K290-$N$48))="",0,INDEX($AD$176:$AD$905,($K290-$N$48))),0))="",0,IF(($K290-$N$48)&lt;1,0,IF(IF(INDEX($AD$176:$AD$905,($K290-$N$48))="",0,INDEX($AD$176:$AD$905,($K290-$N$48)))&gt;0,IF(INDEX($AD$176:$AD$905,($K290-$N$48))="",0,INDEX($AD$176:$AD$905,($K290-$N$48))),0))))</f>
        <v/>
      </c>
      <c r="AC290" s="22" t="str">
        <f t="shared" si="57"/>
        <v/>
      </c>
      <c r="AD290" s="22" t="str">
        <f t="shared" si="68"/>
        <v/>
      </c>
      <c r="AE290" s="22" t="str" cm="1">
        <f t="array" ref="AE290">IF(($K290-$N$48)&lt;1,"",IF((IF(INDEX($AC$176:$AC$905,($K290-$N$48))="",0,INDEX($AC$176:$AC$905,($K290-$N$48))))=0,"",(IF(INDEX($AC$176:$AC$905,($K290-$N$48))="",0,INDEX($AC$176:$AC$905,($K290-$N$48))))))</f>
        <v/>
      </c>
      <c r="AF290" s="31" t="str">
        <f t="shared" si="58"/>
        <v/>
      </c>
      <c r="AG290" s="31" t="str">
        <f t="shared" si="59"/>
        <v/>
      </c>
      <c r="AH290" s="31" t="str">
        <f t="shared" si="60"/>
        <v/>
      </c>
      <c r="AI290" s="31" t="str">
        <f t="shared" si="61"/>
        <v/>
      </c>
      <c r="AJ290" s="303" t="str">
        <f t="shared" si="62"/>
        <v/>
      </c>
      <c r="AK290" s="139" t="str">
        <f t="shared" si="63"/>
        <v/>
      </c>
      <c r="AM290" s="319"/>
      <c r="AN290" s="40"/>
      <c r="AO290" s="1"/>
    </row>
    <row r="291" spans="7:41" x14ac:dyDescent="0.25">
      <c r="G291" s="235" t="str">
        <f t="shared" si="49"/>
        <v/>
      </c>
      <c r="H291" s="4" t="str">
        <f t="shared" si="50"/>
        <v/>
      </c>
      <c r="I291" s="11" t="str">
        <f t="shared" si="51"/>
        <v>09.00</v>
      </c>
      <c r="K291" s="30">
        <v>116</v>
      </c>
      <c r="L291" s="29">
        <f t="shared" si="64"/>
        <v>-4723.0916238090831</v>
      </c>
      <c r="M291" s="28" t="str">
        <f t="shared" si="52"/>
        <v/>
      </c>
      <c r="N291" s="27" t="str">
        <f t="shared" si="65"/>
        <v/>
      </c>
      <c r="O291" s="26" t="str">
        <f>IF(AND($Q290=$O$38,IFERROR(LARGE($V$176:$V290,1)&lt;$N$42,TRUE)),1,IF(AND(ISNUMBER($O290),$O290&lt;$N$32),$O290+1,""))</f>
        <v/>
      </c>
      <c r="P291" s="26" t="str">
        <f t="shared" si="66"/>
        <v/>
      </c>
      <c r="Q291" s="26" t="str">
        <f t="shared" si="53"/>
        <v/>
      </c>
      <c r="R291" s="24" t="str">
        <f t="shared" si="67"/>
        <v/>
      </c>
      <c r="S291" s="180">
        <f t="shared" si="69"/>
        <v>9</v>
      </c>
      <c r="T291" s="151"/>
      <c r="U291" s="25" t="str">
        <f t="shared" si="54"/>
        <v/>
      </c>
      <c r="V291" s="24" t="str">
        <f>IF(AND(ISNUMBER(R290),ISNUMBER(R291)),V290,IF(AND(R290="",ISNUMBER(R291)),IFERROR(LARGE($V$176:$V290,1)+1,0),""))</f>
        <v/>
      </c>
      <c r="W291" s="23" t="str">
        <f t="shared" si="55"/>
        <v/>
      </c>
      <c r="X291" s="22" t="str">
        <f t="shared" si="56"/>
        <v/>
      </c>
      <c r="Y291" s="22"/>
      <c r="Z291" s="22"/>
      <c r="AA291" s="22"/>
      <c r="AB291" s="22" t="str" cm="1">
        <f t="array" ref="AB291">IF(IF(AND($P290="",$P291=1),($N$37*-1),0)+IF(AND($Q290="",$Q291=1),($N$38*-1),0)+IF(IF(($K291-$N$48)&lt;1,0,IF(IF(INDEX($AD$176:$AD$905,($K291-$N$48))="",0,INDEX($AD$176:$AD$905,($K291-$N$48)))&gt;0,IF(INDEX($AD$176:$AD$905,($K291-$N$48))="",0,INDEX($AD$176:$AD$905,($K291-$N$48))),0))="",0,IF(($K291-$N$48)&lt;1,0,IF(IF(INDEX($AD$176:$AD$905,($K291-$N$48))="",0,INDEX($AD$176:$AD$905,($K291-$N$48)))&gt;0,IF(INDEX($AD$176:$AD$905,($K291-$N$48))="",0,INDEX($AD$176:$AD$905,($K291-$N$48))),0)))=0,"",IF(AND($P290="",$P291=1),($N$37*-1),0)+IF(AND($Q290="",$Q291=1),($N$38*-1),0)+IF(IF(($K291-$N$48)&lt;1,0,IF(IF(INDEX($AD$176:$AD$905,($K291-$N$48))="",0,INDEX($AD$176:$AD$905,($K291-$N$48)))&gt;0,IF(INDEX($AD$176:$AD$905,($K291-$N$48))="",0,INDEX($AD$176:$AD$905,($K291-$N$48))),0))="",0,IF(($K291-$N$48)&lt;1,0,IF(IF(INDEX($AD$176:$AD$905,($K291-$N$48))="",0,INDEX($AD$176:$AD$905,($K291-$N$48)))&gt;0,IF(INDEX($AD$176:$AD$905,($K291-$N$48))="",0,INDEX($AD$176:$AD$905,($K291-$N$48))),0))))</f>
        <v/>
      </c>
      <c r="AC291" s="22" t="str">
        <f t="shared" si="57"/>
        <v/>
      </c>
      <c r="AD291" s="22" t="str">
        <f t="shared" si="68"/>
        <v/>
      </c>
      <c r="AE291" s="22" t="str" cm="1">
        <f t="array" ref="AE291">IF(($K291-$N$48)&lt;1,"",IF((IF(INDEX($AC$176:$AC$905,($K291-$N$48))="",0,INDEX($AC$176:$AC$905,($K291-$N$48))))=0,"",(IF(INDEX($AC$176:$AC$905,($K291-$N$48))="",0,INDEX($AC$176:$AC$905,($K291-$N$48))))))</f>
        <v/>
      </c>
      <c r="AF291" s="31" t="str">
        <f t="shared" si="58"/>
        <v/>
      </c>
      <c r="AG291" s="31" t="str">
        <f t="shared" si="59"/>
        <v/>
      </c>
      <c r="AH291" s="31" t="str">
        <f t="shared" si="60"/>
        <v/>
      </c>
      <c r="AI291" s="31" t="str">
        <f t="shared" si="61"/>
        <v/>
      </c>
      <c r="AJ291" s="303" t="str">
        <f t="shared" si="62"/>
        <v/>
      </c>
      <c r="AK291" s="139" t="str">
        <f t="shared" si="63"/>
        <v/>
      </c>
      <c r="AM291" s="319"/>
      <c r="AN291" s="40"/>
      <c r="AO291" s="1"/>
    </row>
    <row r="292" spans="7:41" x14ac:dyDescent="0.25">
      <c r="G292" s="235" t="str">
        <f t="shared" si="49"/>
        <v/>
      </c>
      <c r="H292" s="4" t="str">
        <f t="shared" si="50"/>
        <v/>
      </c>
      <c r="I292" s="11" t="str">
        <f t="shared" si="51"/>
        <v>09.00</v>
      </c>
      <c r="K292" s="30">
        <v>117</v>
      </c>
      <c r="L292" s="29">
        <f t="shared" si="64"/>
        <v>-4723.0916238090831</v>
      </c>
      <c r="M292" s="28" t="str">
        <f t="shared" si="52"/>
        <v/>
      </c>
      <c r="N292" s="27" t="str">
        <f t="shared" si="65"/>
        <v/>
      </c>
      <c r="O292" s="26" t="str">
        <f>IF(AND($Q291=$O$38,IFERROR(LARGE($V$176:$V291,1)&lt;$N$42,TRUE)),1,IF(AND(ISNUMBER($O291),$O291&lt;$N$32),$O291+1,""))</f>
        <v/>
      </c>
      <c r="P292" s="26" t="str">
        <f t="shared" si="66"/>
        <v/>
      </c>
      <c r="Q292" s="26" t="str">
        <f t="shared" si="53"/>
        <v/>
      </c>
      <c r="R292" s="24" t="str">
        <f t="shared" si="67"/>
        <v/>
      </c>
      <c r="S292" s="180">
        <f t="shared" si="69"/>
        <v>9</v>
      </c>
      <c r="T292" s="151"/>
      <c r="U292" s="25" t="str">
        <f t="shared" si="54"/>
        <v/>
      </c>
      <c r="V292" s="24" t="str">
        <f>IF(AND(ISNUMBER(R291),ISNUMBER(R292)),V291,IF(AND(R291="",ISNUMBER(R292)),IFERROR(LARGE($V$176:$V291,1)+1,0),""))</f>
        <v/>
      </c>
      <c r="W292" s="23" t="str">
        <f t="shared" si="55"/>
        <v/>
      </c>
      <c r="X292" s="22" t="str">
        <f t="shared" si="56"/>
        <v/>
      </c>
      <c r="Y292" s="22"/>
      <c r="Z292" s="22"/>
      <c r="AA292" s="22"/>
      <c r="AB292" s="22" t="str" cm="1">
        <f t="array" ref="AB292">IF(IF(AND($P291="",$P292=1),($N$37*-1),0)+IF(AND($Q291="",$Q292=1),($N$38*-1),0)+IF(IF(($K292-$N$48)&lt;1,0,IF(IF(INDEX($AD$176:$AD$905,($K292-$N$48))="",0,INDEX($AD$176:$AD$905,($K292-$N$48)))&gt;0,IF(INDEX($AD$176:$AD$905,($K292-$N$48))="",0,INDEX($AD$176:$AD$905,($K292-$N$48))),0))="",0,IF(($K292-$N$48)&lt;1,0,IF(IF(INDEX($AD$176:$AD$905,($K292-$N$48))="",0,INDEX($AD$176:$AD$905,($K292-$N$48)))&gt;0,IF(INDEX($AD$176:$AD$905,($K292-$N$48))="",0,INDEX($AD$176:$AD$905,($K292-$N$48))),0)))=0,"",IF(AND($P291="",$P292=1),($N$37*-1),0)+IF(AND($Q291="",$Q292=1),($N$38*-1),0)+IF(IF(($K292-$N$48)&lt;1,0,IF(IF(INDEX($AD$176:$AD$905,($K292-$N$48))="",0,INDEX($AD$176:$AD$905,($K292-$N$48)))&gt;0,IF(INDEX($AD$176:$AD$905,($K292-$N$48))="",0,INDEX($AD$176:$AD$905,($K292-$N$48))),0))="",0,IF(($K292-$N$48)&lt;1,0,IF(IF(INDEX($AD$176:$AD$905,($K292-$N$48))="",0,INDEX($AD$176:$AD$905,($K292-$N$48)))&gt;0,IF(INDEX($AD$176:$AD$905,($K292-$N$48))="",0,INDEX($AD$176:$AD$905,($K292-$N$48))),0))))</f>
        <v/>
      </c>
      <c r="AC292" s="22" t="str">
        <f t="shared" si="57"/>
        <v/>
      </c>
      <c r="AD292" s="22" t="str">
        <f t="shared" si="68"/>
        <v/>
      </c>
      <c r="AE292" s="22" t="str" cm="1">
        <f t="array" ref="AE292">IF(($K292-$N$48)&lt;1,"",IF((IF(INDEX($AC$176:$AC$905,($K292-$N$48))="",0,INDEX($AC$176:$AC$905,($K292-$N$48))))=0,"",(IF(INDEX($AC$176:$AC$905,($K292-$N$48))="",0,INDEX($AC$176:$AC$905,($K292-$N$48))))))</f>
        <v/>
      </c>
      <c r="AF292" s="31" t="str">
        <f t="shared" si="58"/>
        <v/>
      </c>
      <c r="AG292" s="31" t="str">
        <f t="shared" si="59"/>
        <v/>
      </c>
      <c r="AH292" s="31" t="str">
        <f t="shared" si="60"/>
        <v/>
      </c>
      <c r="AI292" s="31" t="str">
        <f t="shared" si="61"/>
        <v/>
      </c>
      <c r="AJ292" s="303" t="str">
        <f t="shared" si="62"/>
        <v/>
      </c>
      <c r="AK292" s="139" t="str">
        <f t="shared" si="63"/>
        <v/>
      </c>
      <c r="AM292" s="319"/>
      <c r="AN292" s="40"/>
      <c r="AO292" s="1"/>
    </row>
    <row r="293" spans="7:41" x14ac:dyDescent="0.25">
      <c r="G293" s="235" t="str">
        <f t="shared" si="49"/>
        <v/>
      </c>
      <c r="H293" s="4" t="str">
        <f t="shared" si="50"/>
        <v/>
      </c>
      <c r="I293" s="11" t="str">
        <f t="shared" si="51"/>
        <v>09.00</v>
      </c>
      <c r="K293" s="30">
        <v>118</v>
      </c>
      <c r="L293" s="29">
        <f t="shared" si="64"/>
        <v>-4723.0916238090831</v>
      </c>
      <c r="M293" s="28" t="str">
        <f t="shared" si="52"/>
        <v/>
      </c>
      <c r="N293" s="27" t="str">
        <f t="shared" si="65"/>
        <v/>
      </c>
      <c r="O293" s="26" t="str">
        <f>IF(AND($Q292=$O$38,IFERROR(LARGE($V$176:$V292,1)&lt;$N$42,TRUE)),1,IF(AND(ISNUMBER($O292),$O292&lt;$N$32),$O292+1,""))</f>
        <v/>
      </c>
      <c r="P293" s="26" t="str">
        <f t="shared" si="66"/>
        <v/>
      </c>
      <c r="Q293" s="26" t="str">
        <f t="shared" si="53"/>
        <v/>
      </c>
      <c r="R293" s="24" t="str">
        <f t="shared" si="67"/>
        <v/>
      </c>
      <c r="S293" s="180">
        <f t="shared" si="69"/>
        <v>9</v>
      </c>
      <c r="T293" s="151"/>
      <c r="U293" s="25" t="str">
        <f t="shared" si="54"/>
        <v/>
      </c>
      <c r="V293" s="24" t="str">
        <f>IF(AND(ISNUMBER(R292),ISNUMBER(R293)),V292,IF(AND(R292="",ISNUMBER(R293)),IFERROR(LARGE($V$176:$V292,1)+1,0),""))</f>
        <v/>
      </c>
      <c r="W293" s="23" t="str">
        <f t="shared" si="55"/>
        <v/>
      </c>
      <c r="X293" s="22" t="str">
        <f t="shared" si="56"/>
        <v/>
      </c>
      <c r="Y293" s="22"/>
      <c r="Z293" s="22"/>
      <c r="AA293" s="22"/>
      <c r="AB293" s="22" t="str" cm="1">
        <f t="array" ref="AB293">IF(IF(AND($P292="",$P293=1),($N$37*-1),0)+IF(AND($Q292="",$Q293=1),($N$38*-1),0)+IF(IF(($K293-$N$48)&lt;1,0,IF(IF(INDEX($AD$176:$AD$905,($K293-$N$48))="",0,INDEX($AD$176:$AD$905,($K293-$N$48)))&gt;0,IF(INDEX($AD$176:$AD$905,($K293-$N$48))="",0,INDEX($AD$176:$AD$905,($K293-$N$48))),0))="",0,IF(($K293-$N$48)&lt;1,0,IF(IF(INDEX($AD$176:$AD$905,($K293-$N$48))="",0,INDEX($AD$176:$AD$905,($K293-$N$48)))&gt;0,IF(INDEX($AD$176:$AD$905,($K293-$N$48))="",0,INDEX($AD$176:$AD$905,($K293-$N$48))),0)))=0,"",IF(AND($P292="",$P293=1),($N$37*-1),0)+IF(AND($Q292="",$Q293=1),($N$38*-1),0)+IF(IF(($K293-$N$48)&lt;1,0,IF(IF(INDEX($AD$176:$AD$905,($K293-$N$48))="",0,INDEX($AD$176:$AD$905,($K293-$N$48)))&gt;0,IF(INDEX($AD$176:$AD$905,($K293-$N$48))="",0,INDEX($AD$176:$AD$905,($K293-$N$48))),0))="",0,IF(($K293-$N$48)&lt;1,0,IF(IF(INDEX($AD$176:$AD$905,($K293-$N$48))="",0,INDEX($AD$176:$AD$905,($K293-$N$48)))&gt;0,IF(INDEX($AD$176:$AD$905,($K293-$N$48))="",0,INDEX($AD$176:$AD$905,($K293-$N$48))),0))))</f>
        <v/>
      </c>
      <c r="AC293" s="22" t="str">
        <f t="shared" si="57"/>
        <v/>
      </c>
      <c r="AD293" s="22" t="str">
        <f t="shared" si="68"/>
        <v/>
      </c>
      <c r="AE293" s="22" t="str" cm="1">
        <f t="array" ref="AE293">IF(($K293-$N$48)&lt;1,"",IF((IF(INDEX($AC$176:$AC$905,($K293-$N$48))="",0,INDEX($AC$176:$AC$905,($K293-$N$48))))=0,"",(IF(INDEX($AC$176:$AC$905,($K293-$N$48))="",0,INDEX($AC$176:$AC$905,($K293-$N$48))))))</f>
        <v/>
      </c>
      <c r="AF293" s="31" t="str">
        <f t="shared" si="58"/>
        <v/>
      </c>
      <c r="AG293" s="31" t="str">
        <f t="shared" si="59"/>
        <v/>
      </c>
      <c r="AH293" s="31" t="str">
        <f t="shared" si="60"/>
        <v/>
      </c>
      <c r="AI293" s="31" t="str">
        <f t="shared" si="61"/>
        <v/>
      </c>
      <c r="AJ293" s="303" t="str">
        <f t="shared" si="62"/>
        <v/>
      </c>
      <c r="AK293" s="139" t="str">
        <f t="shared" si="63"/>
        <v/>
      </c>
      <c r="AM293" s="319"/>
      <c r="AN293" s="40"/>
      <c r="AO293" s="1"/>
    </row>
    <row r="294" spans="7:41" x14ac:dyDescent="0.25">
      <c r="G294" s="235" t="str">
        <f t="shared" si="49"/>
        <v/>
      </c>
      <c r="H294" s="4" t="str">
        <f t="shared" si="50"/>
        <v/>
      </c>
      <c r="I294" s="11" t="str">
        <f t="shared" si="51"/>
        <v>09.00</v>
      </c>
      <c r="K294" s="30">
        <v>119</v>
      </c>
      <c r="L294" s="29">
        <f t="shared" si="64"/>
        <v>-4723.0916238090831</v>
      </c>
      <c r="M294" s="28" t="str">
        <f t="shared" si="52"/>
        <v/>
      </c>
      <c r="N294" s="27" t="str">
        <f t="shared" si="65"/>
        <v/>
      </c>
      <c r="O294" s="26" t="str">
        <f>IF(AND($Q293=$O$38,IFERROR(LARGE($V$176:$V293,1)&lt;$N$42,TRUE)),1,IF(AND(ISNUMBER($O293),$O293&lt;$N$32),$O293+1,""))</f>
        <v/>
      </c>
      <c r="P294" s="26" t="str">
        <f t="shared" si="66"/>
        <v/>
      </c>
      <c r="Q294" s="26" t="str">
        <f t="shared" si="53"/>
        <v/>
      </c>
      <c r="R294" s="24" t="str">
        <f t="shared" si="67"/>
        <v/>
      </c>
      <c r="S294" s="180">
        <f t="shared" si="69"/>
        <v>9</v>
      </c>
      <c r="T294" s="151"/>
      <c r="U294" s="25" t="str">
        <f t="shared" si="54"/>
        <v/>
      </c>
      <c r="V294" s="24" t="str">
        <f>IF(AND(ISNUMBER(R293),ISNUMBER(R294)),V293,IF(AND(R293="",ISNUMBER(R294)),IFERROR(LARGE($V$176:$V293,1)+1,0),""))</f>
        <v/>
      </c>
      <c r="W294" s="23" t="str">
        <f t="shared" si="55"/>
        <v/>
      </c>
      <c r="X294" s="22" t="str">
        <f t="shared" si="56"/>
        <v/>
      </c>
      <c r="Y294" s="22"/>
      <c r="Z294" s="22"/>
      <c r="AA294" s="22"/>
      <c r="AB294" s="22" t="str" cm="1">
        <f t="array" ref="AB294">IF(IF(AND($P293="",$P294=1),($N$37*-1),0)+IF(AND($Q293="",$Q294=1),($N$38*-1),0)+IF(IF(($K294-$N$48)&lt;1,0,IF(IF(INDEX($AD$176:$AD$905,($K294-$N$48))="",0,INDEX($AD$176:$AD$905,($K294-$N$48)))&gt;0,IF(INDEX($AD$176:$AD$905,($K294-$N$48))="",0,INDEX($AD$176:$AD$905,($K294-$N$48))),0))="",0,IF(($K294-$N$48)&lt;1,0,IF(IF(INDEX($AD$176:$AD$905,($K294-$N$48))="",0,INDEX($AD$176:$AD$905,($K294-$N$48)))&gt;0,IF(INDEX($AD$176:$AD$905,($K294-$N$48))="",0,INDEX($AD$176:$AD$905,($K294-$N$48))),0)))=0,"",IF(AND($P293="",$P294=1),($N$37*-1),0)+IF(AND($Q293="",$Q294=1),($N$38*-1),0)+IF(IF(($K294-$N$48)&lt;1,0,IF(IF(INDEX($AD$176:$AD$905,($K294-$N$48))="",0,INDEX($AD$176:$AD$905,($K294-$N$48)))&gt;0,IF(INDEX($AD$176:$AD$905,($K294-$N$48))="",0,INDEX($AD$176:$AD$905,($K294-$N$48))),0))="",0,IF(($K294-$N$48)&lt;1,0,IF(IF(INDEX($AD$176:$AD$905,($K294-$N$48))="",0,INDEX($AD$176:$AD$905,($K294-$N$48)))&gt;0,IF(INDEX($AD$176:$AD$905,($K294-$N$48))="",0,INDEX($AD$176:$AD$905,($K294-$N$48))),0))))</f>
        <v/>
      </c>
      <c r="AC294" s="22" t="str">
        <f t="shared" si="57"/>
        <v/>
      </c>
      <c r="AD294" s="22" t="str">
        <f t="shared" si="68"/>
        <v/>
      </c>
      <c r="AE294" s="22" t="str" cm="1">
        <f t="array" ref="AE294">IF(($K294-$N$48)&lt;1,"",IF((IF(INDEX($AC$176:$AC$905,($K294-$N$48))="",0,INDEX($AC$176:$AC$905,($K294-$N$48))))=0,"",(IF(INDEX($AC$176:$AC$905,($K294-$N$48))="",0,INDEX($AC$176:$AC$905,($K294-$N$48))))))</f>
        <v/>
      </c>
      <c r="AF294" s="31" t="str">
        <f t="shared" si="58"/>
        <v/>
      </c>
      <c r="AG294" s="31" t="str">
        <f t="shared" si="59"/>
        <v/>
      </c>
      <c r="AH294" s="31" t="str">
        <f t="shared" si="60"/>
        <v/>
      </c>
      <c r="AI294" s="31" t="str">
        <f t="shared" si="61"/>
        <v/>
      </c>
      <c r="AJ294" s="303" t="str">
        <f t="shared" si="62"/>
        <v/>
      </c>
      <c r="AK294" s="139" t="str">
        <f t="shared" si="63"/>
        <v/>
      </c>
      <c r="AM294" s="319"/>
      <c r="AN294" s="40"/>
      <c r="AO294" s="1"/>
    </row>
    <row r="295" spans="7:41" x14ac:dyDescent="0.25">
      <c r="G295" s="235" t="str">
        <f t="shared" si="49"/>
        <v/>
      </c>
      <c r="H295" s="4" t="str">
        <f t="shared" si="50"/>
        <v/>
      </c>
      <c r="I295" s="11" t="str">
        <f t="shared" si="51"/>
        <v>09.00</v>
      </c>
      <c r="K295" s="30">
        <v>120</v>
      </c>
      <c r="L295" s="29">
        <f t="shared" si="64"/>
        <v>-4723.0916238090831</v>
      </c>
      <c r="M295" s="28" t="str">
        <f t="shared" si="52"/>
        <v/>
      </c>
      <c r="N295" s="27" t="str">
        <f t="shared" si="65"/>
        <v/>
      </c>
      <c r="O295" s="26" t="str">
        <f>IF(AND($Q294=$O$38,IFERROR(LARGE($V$176:$V294,1)&lt;$N$42,TRUE)),1,IF(AND(ISNUMBER($O294),$O294&lt;$N$32),$O294+1,""))</f>
        <v/>
      </c>
      <c r="P295" s="26" t="str">
        <f t="shared" si="66"/>
        <v/>
      </c>
      <c r="Q295" s="26" t="str">
        <f t="shared" si="53"/>
        <v/>
      </c>
      <c r="R295" s="24" t="str">
        <f t="shared" si="67"/>
        <v/>
      </c>
      <c r="S295" s="180">
        <f t="shared" si="69"/>
        <v>9</v>
      </c>
      <c r="T295" s="151"/>
      <c r="U295" s="25" t="str">
        <f t="shared" si="54"/>
        <v/>
      </c>
      <c r="V295" s="24" t="str">
        <f>IF(AND(ISNUMBER(R294),ISNUMBER(R295)),V294,IF(AND(R294="",ISNUMBER(R295)),IFERROR(LARGE($V$176:$V294,1)+1,0),""))</f>
        <v/>
      </c>
      <c r="W295" s="23" t="str">
        <f t="shared" si="55"/>
        <v/>
      </c>
      <c r="X295" s="22" t="str">
        <f t="shared" si="56"/>
        <v/>
      </c>
      <c r="Y295" s="22"/>
      <c r="Z295" s="22"/>
      <c r="AA295" s="22"/>
      <c r="AB295" s="22" t="str" cm="1">
        <f t="array" ref="AB295">IF(IF(AND($P294="",$P295=1),($N$37*-1),0)+IF(AND($Q294="",$Q295=1),($N$38*-1),0)+IF(IF(($K295-$N$48)&lt;1,0,IF(IF(INDEX($AD$176:$AD$905,($K295-$N$48))="",0,INDEX($AD$176:$AD$905,($K295-$N$48)))&gt;0,IF(INDEX($AD$176:$AD$905,($K295-$N$48))="",0,INDEX($AD$176:$AD$905,($K295-$N$48))),0))="",0,IF(($K295-$N$48)&lt;1,0,IF(IF(INDEX($AD$176:$AD$905,($K295-$N$48))="",0,INDEX($AD$176:$AD$905,($K295-$N$48)))&gt;0,IF(INDEX($AD$176:$AD$905,($K295-$N$48))="",0,INDEX($AD$176:$AD$905,($K295-$N$48))),0)))=0,"",IF(AND($P294="",$P295=1),($N$37*-1),0)+IF(AND($Q294="",$Q295=1),($N$38*-1),0)+IF(IF(($K295-$N$48)&lt;1,0,IF(IF(INDEX($AD$176:$AD$905,($K295-$N$48))="",0,INDEX($AD$176:$AD$905,($K295-$N$48)))&gt;0,IF(INDEX($AD$176:$AD$905,($K295-$N$48))="",0,INDEX($AD$176:$AD$905,($K295-$N$48))),0))="",0,IF(($K295-$N$48)&lt;1,0,IF(IF(INDEX($AD$176:$AD$905,($K295-$N$48))="",0,INDEX($AD$176:$AD$905,($K295-$N$48)))&gt;0,IF(INDEX($AD$176:$AD$905,($K295-$N$48))="",0,INDEX($AD$176:$AD$905,($K295-$N$48))),0))))</f>
        <v/>
      </c>
      <c r="AC295" s="22" t="str">
        <f t="shared" si="57"/>
        <v/>
      </c>
      <c r="AD295" s="22" t="str">
        <f t="shared" si="68"/>
        <v/>
      </c>
      <c r="AE295" s="22" t="str" cm="1">
        <f t="array" ref="AE295">IF(($K295-$N$48)&lt;1,"",IF((IF(INDEX($AC$176:$AC$905,($K295-$N$48))="",0,INDEX($AC$176:$AC$905,($K295-$N$48))))=0,"",(IF(INDEX($AC$176:$AC$905,($K295-$N$48))="",0,INDEX($AC$176:$AC$905,($K295-$N$48))))))</f>
        <v/>
      </c>
      <c r="AF295" s="31" t="str">
        <f t="shared" si="58"/>
        <v/>
      </c>
      <c r="AG295" s="31" t="str">
        <f t="shared" si="59"/>
        <v/>
      </c>
      <c r="AH295" s="31" t="str">
        <f t="shared" si="60"/>
        <v/>
      </c>
      <c r="AI295" s="31" t="str">
        <f t="shared" si="61"/>
        <v/>
      </c>
      <c r="AJ295" s="303" t="str">
        <f t="shared" si="62"/>
        <v/>
      </c>
      <c r="AK295" s="139" t="str">
        <f t="shared" si="63"/>
        <v/>
      </c>
      <c r="AM295" s="319"/>
      <c r="AN295" s="40"/>
      <c r="AO295" s="1"/>
    </row>
    <row r="296" spans="7:41" x14ac:dyDescent="0.25">
      <c r="G296" s="235" t="str">
        <f t="shared" si="49"/>
        <v/>
      </c>
      <c r="H296" s="4" t="str">
        <f t="shared" si="50"/>
        <v/>
      </c>
      <c r="I296" s="11" t="str">
        <f t="shared" si="51"/>
        <v>09.00</v>
      </c>
      <c r="K296" s="30">
        <v>121</v>
      </c>
      <c r="L296" s="29">
        <f t="shared" si="64"/>
        <v>-4723.0916238090831</v>
      </c>
      <c r="M296" s="28" t="str">
        <f t="shared" si="52"/>
        <v/>
      </c>
      <c r="N296" s="27" t="str">
        <f t="shared" si="65"/>
        <v/>
      </c>
      <c r="O296" s="26" t="str">
        <f>IF(AND($Q295=$O$38,IFERROR(LARGE($V$176:$V295,1)&lt;$N$42,TRUE)),1,IF(AND(ISNUMBER($O295),$O295&lt;$N$32),$O295+1,""))</f>
        <v/>
      </c>
      <c r="P296" s="26" t="str">
        <f t="shared" si="66"/>
        <v/>
      </c>
      <c r="Q296" s="26" t="str">
        <f t="shared" si="53"/>
        <v/>
      </c>
      <c r="R296" s="24" t="str">
        <f t="shared" si="67"/>
        <v/>
      </c>
      <c r="S296" s="180">
        <f t="shared" si="69"/>
        <v>9</v>
      </c>
      <c r="T296" s="151"/>
      <c r="U296" s="25" t="str">
        <f t="shared" si="54"/>
        <v/>
      </c>
      <c r="V296" s="24" t="str">
        <f>IF(AND(ISNUMBER(R295),ISNUMBER(R296)),V295,IF(AND(R295="",ISNUMBER(R296)),IFERROR(LARGE($V$176:$V295,1)+1,0),""))</f>
        <v/>
      </c>
      <c r="W296" s="23" t="str">
        <f t="shared" si="55"/>
        <v/>
      </c>
      <c r="X296" s="22" t="str">
        <f t="shared" si="56"/>
        <v/>
      </c>
      <c r="Y296" s="22"/>
      <c r="Z296" s="22"/>
      <c r="AA296" s="22"/>
      <c r="AB296" s="22" t="str" cm="1">
        <f t="array" ref="AB296">IF(IF(AND($P295="",$P296=1),($N$37*-1),0)+IF(AND($Q295="",$Q296=1),($N$38*-1),0)+IF(IF(($K296-$N$48)&lt;1,0,IF(IF(INDEX($AD$176:$AD$905,($K296-$N$48))="",0,INDEX($AD$176:$AD$905,($K296-$N$48)))&gt;0,IF(INDEX($AD$176:$AD$905,($K296-$N$48))="",0,INDEX($AD$176:$AD$905,($K296-$N$48))),0))="",0,IF(($K296-$N$48)&lt;1,0,IF(IF(INDEX($AD$176:$AD$905,($K296-$N$48))="",0,INDEX($AD$176:$AD$905,($K296-$N$48)))&gt;0,IF(INDEX($AD$176:$AD$905,($K296-$N$48))="",0,INDEX($AD$176:$AD$905,($K296-$N$48))),0)))=0,"",IF(AND($P295="",$P296=1),($N$37*-1),0)+IF(AND($Q295="",$Q296=1),($N$38*-1),0)+IF(IF(($K296-$N$48)&lt;1,0,IF(IF(INDEX($AD$176:$AD$905,($K296-$N$48))="",0,INDEX($AD$176:$AD$905,($K296-$N$48)))&gt;0,IF(INDEX($AD$176:$AD$905,($K296-$N$48))="",0,INDEX($AD$176:$AD$905,($K296-$N$48))),0))="",0,IF(($K296-$N$48)&lt;1,0,IF(IF(INDEX($AD$176:$AD$905,($K296-$N$48))="",0,INDEX($AD$176:$AD$905,($K296-$N$48)))&gt;0,IF(INDEX($AD$176:$AD$905,($K296-$N$48))="",0,INDEX($AD$176:$AD$905,($K296-$N$48))),0))))</f>
        <v/>
      </c>
      <c r="AC296" s="22" t="str">
        <f t="shared" si="57"/>
        <v/>
      </c>
      <c r="AD296" s="22" t="str">
        <f t="shared" si="68"/>
        <v/>
      </c>
      <c r="AE296" s="22" t="str" cm="1">
        <f t="array" ref="AE296">IF(($K296-$N$48)&lt;1,"",IF((IF(INDEX($AC$176:$AC$905,($K296-$N$48))="",0,INDEX($AC$176:$AC$905,($K296-$N$48))))=0,"",(IF(INDEX($AC$176:$AC$905,($K296-$N$48))="",0,INDEX($AC$176:$AC$905,($K296-$N$48))))))</f>
        <v/>
      </c>
      <c r="AF296" s="31" t="str">
        <f t="shared" si="58"/>
        <v/>
      </c>
      <c r="AG296" s="31" t="str">
        <f t="shared" si="59"/>
        <v/>
      </c>
      <c r="AH296" s="31" t="str">
        <f t="shared" si="60"/>
        <v/>
      </c>
      <c r="AI296" s="31" t="str">
        <f t="shared" si="61"/>
        <v/>
      </c>
      <c r="AJ296" s="303" t="str">
        <f t="shared" si="62"/>
        <v/>
      </c>
      <c r="AK296" s="139" t="str">
        <f t="shared" si="63"/>
        <v/>
      </c>
      <c r="AM296" s="319"/>
      <c r="AN296" s="40"/>
      <c r="AO296" s="1"/>
    </row>
    <row r="297" spans="7:41" x14ac:dyDescent="0.25">
      <c r="G297" s="235" t="str">
        <f t="shared" si="49"/>
        <v/>
      </c>
      <c r="H297" s="4" t="str">
        <f t="shared" si="50"/>
        <v/>
      </c>
      <c r="I297" s="11" t="str">
        <f t="shared" si="51"/>
        <v>09.00</v>
      </c>
      <c r="K297" s="30">
        <v>122</v>
      </c>
      <c r="L297" s="29">
        <f t="shared" si="64"/>
        <v>-4723.0916238090831</v>
      </c>
      <c r="M297" s="28" t="str">
        <f t="shared" si="52"/>
        <v/>
      </c>
      <c r="N297" s="27" t="str">
        <f t="shared" si="65"/>
        <v/>
      </c>
      <c r="O297" s="26" t="str">
        <f>IF(AND($Q296=$O$38,IFERROR(LARGE($V$176:$V296,1)&lt;$N$42,TRUE)),1,IF(AND(ISNUMBER($O296),$O296&lt;$N$32),$O296+1,""))</f>
        <v/>
      </c>
      <c r="P297" s="26" t="str">
        <f t="shared" si="66"/>
        <v/>
      </c>
      <c r="Q297" s="26" t="str">
        <f t="shared" si="53"/>
        <v/>
      </c>
      <c r="R297" s="24" t="str">
        <f t="shared" si="67"/>
        <v/>
      </c>
      <c r="S297" s="180">
        <f t="shared" si="69"/>
        <v>9</v>
      </c>
      <c r="T297" s="151"/>
      <c r="U297" s="25" t="str">
        <f t="shared" si="54"/>
        <v/>
      </c>
      <c r="V297" s="24" t="str">
        <f>IF(AND(ISNUMBER(R296),ISNUMBER(R297)),V296,IF(AND(R296="",ISNUMBER(R297)),IFERROR(LARGE($V$176:$V296,1)+1,0),""))</f>
        <v/>
      </c>
      <c r="W297" s="23" t="str">
        <f t="shared" si="55"/>
        <v/>
      </c>
      <c r="X297" s="22" t="str">
        <f t="shared" si="56"/>
        <v/>
      </c>
      <c r="Y297" s="22"/>
      <c r="Z297" s="22"/>
      <c r="AA297" s="22"/>
      <c r="AB297" s="22" t="str" cm="1">
        <f t="array" ref="AB297">IF(IF(AND($P296="",$P297=1),($N$37*-1),0)+IF(AND($Q296="",$Q297=1),($N$38*-1),0)+IF(IF(($K297-$N$48)&lt;1,0,IF(IF(INDEX($AD$176:$AD$905,($K297-$N$48))="",0,INDEX($AD$176:$AD$905,($K297-$N$48)))&gt;0,IF(INDEX($AD$176:$AD$905,($K297-$N$48))="",0,INDEX($AD$176:$AD$905,($K297-$N$48))),0))="",0,IF(($K297-$N$48)&lt;1,0,IF(IF(INDEX($AD$176:$AD$905,($K297-$N$48))="",0,INDEX($AD$176:$AD$905,($K297-$N$48)))&gt;0,IF(INDEX($AD$176:$AD$905,($K297-$N$48))="",0,INDEX($AD$176:$AD$905,($K297-$N$48))),0)))=0,"",IF(AND($P296="",$P297=1),($N$37*-1),0)+IF(AND($Q296="",$Q297=1),($N$38*-1),0)+IF(IF(($K297-$N$48)&lt;1,0,IF(IF(INDEX($AD$176:$AD$905,($K297-$N$48))="",0,INDEX($AD$176:$AD$905,($K297-$N$48)))&gt;0,IF(INDEX($AD$176:$AD$905,($K297-$N$48))="",0,INDEX($AD$176:$AD$905,($K297-$N$48))),0))="",0,IF(($K297-$N$48)&lt;1,0,IF(IF(INDEX($AD$176:$AD$905,($K297-$N$48))="",0,INDEX($AD$176:$AD$905,($K297-$N$48)))&gt;0,IF(INDEX($AD$176:$AD$905,($K297-$N$48))="",0,INDEX($AD$176:$AD$905,($K297-$N$48))),0))))</f>
        <v/>
      </c>
      <c r="AC297" s="22" t="str">
        <f t="shared" si="57"/>
        <v/>
      </c>
      <c r="AD297" s="22" t="str">
        <f t="shared" si="68"/>
        <v/>
      </c>
      <c r="AE297" s="22" t="str" cm="1">
        <f t="array" ref="AE297">IF(($K297-$N$48)&lt;1,"",IF((IF(INDEX($AC$176:$AC$905,($K297-$N$48))="",0,INDEX($AC$176:$AC$905,($K297-$N$48))))=0,"",(IF(INDEX($AC$176:$AC$905,($K297-$N$48))="",0,INDEX($AC$176:$AC$905,($K297-$N$48))))))</f>
        <v/>
      </c>
      <c r="AF297" s="31" t="str">
        <f t="shared" si="58"/>
        <v/>
      </c>
      <c r="AG297" s="31" t="str">
        <f t="shared" si="59"/>
        <v/>
      </c>
      <c r="AH297" s="31" t="str">
        <f t="shared" si="60"/>
        <v/>
      </c>
      <c r="AI297" s="31" t="str">
        <f t="shared" si="61"/>
        <v/>
      </c>
      <c r="AJ297" s="303" t="str">
        <f t="shared" si="62"/>
        <v/>
      </c>
      <c r="AK297" s="139" t="str">
        <f t="shared" si="63"/>
        <v/>
      </c>
      <c r="AM297" s="319"/>
      <c r="AN297" s="40"/>
      <c r="AO297" s="1"/>
    </row>
    <row r="298" spans="7:41" x14ac:dyDescent="0.25">
      <c r="G298" s="235" t="str">
        <f t="shared" si="49"/>
        <v/>
      </c>
      <c r="H298" s="4" t="str">
        <f t="shared" si="50"/>
        <v/>
      </c>
      <c r="I298" s="11" t="str">
        <f t="shared" si="51"/>
        <v>09.00</v>
      </c>
      <c r="K298" s="30">
        <v>123</v>
      </c>
      <c r="L298" s="29">
        <f t="shared" si="64"/>
        <v>641.9083761909169</v>
      </c>
      <c r="M298" s="28">
        <f t="shared" si="52"/>
        <v>5365</v>
      </c>
      <c r="N298" s="27" t="str">
        <f t="shared" si="65"/>
        <v/>
      </c>
      <c r="O298" s="26" t="str">
        <f>IF(AND($Q297=$O$38,IFERROR(LARGE($V$176:$V297,1)&lt;$N$42,TRUE)),1,IF(AND(ISNUMBER($O297),$O297&lt;$N$32),$O297+1,""))</f>
        <v/>
      </c>
      <c r="P298" s="26" t="str">
        <f t="shared" si="66"/>
        <v/>
      </c>
      <c r="Q298" s="26" t="str">
        <f t="shared" si="53"/>
        <v/>
      </c>
      <c r="R298" s="24" t="str">
        <f t="shared" si="67"/>
        <v/>
      </c>
      <c r="S298" s="180">
        <f t="shared" si="69"/>
        <v>9</v>
      </c>
      <c r="T298" s="151"/>
      <c r="U298" s="25" t="str">
        <f t="shared" si="54"/>
        <v/>
      </c>
      <c r="V298" s="24" t="str">
        <f>IF(AND(ISNUMBER(R297),ISNUMBER(R298)),V297,IF(AND(R297="",ISNUMBER(R298)),IFERROR(LARGE($V$176:$V297,1)+1,0),""))</f>
        <v/>
      </c>
      <c r="W298" s="23" t="str">
        <f t="shared" si="55"/>
        <v/>
      </c>
      <c r="X298" s="22" t="str">
        <f t="shared" si="56"/>
        <v/>
      </c>
      <c r="Y298" s="22"/>
      <c r="Z298" s="22"/>
      <c r="AA298" s="22"/>
      <c r="AB298" s="22" cm="1">
        <f t="array" ref="AB298">IF(IF(AND($P297="",$P298=1),($N$37*-1),0)+IF(AND($Q297="",$Q298=1),($N$38*-1),0)+IF(IF(($K298-$N$48)&lt;1,0,IF(IF(INDEX($AD$176:$AD$905,($K298-$N$48))="",0,INDEX($AD$176:$AD$905,($K298-$N$48)))&gt;0,IF(INDEX($AD$176:$AD$905,($K298-$N$48))="",0,INDEX($AD$176:$AD$905,($K298-$N$48))),0))="",0,IF(($K298-$N$48)&lt;1,0,IF(IF(INDEX($AD$176:$AD$905,($K298-$N$48))="",0,INDEX($AD$176:$AD$905,($K298-$N$48)))&gt;0,IF(INDEX($AD$176:$AD$905,($K298-$N$48))="",0,INDEX($AD$176:$AD$905,($K298-$N$48))),0)))=0,"",IF(AND($P297="",$P298=1),($N$37*-1),0)+IF(AND($Q297="",$Q298=1),($N$38*-1),0)+IF(IF(($K298-$N$48)&lt;1,0,IF(IF(INDEX($AD$176:$AD$905,($K298-$N$48))="",0,INDEX($AD$176:$AD$905,($K298-$N$48)))&gt;0,IF(INDEX($AD$176:$AD$905,($K298-$N$48))="",0,INDEX($AD$176:$AD$905,($K298-$N$48))),0))="",0,IF(($K298-$N$48)&lt;1,0,IF(IF(INDEX($AD$176:$AD$905,($K298-$N$48))="",0,INDEX($AD$176:$AD$905,($K298-$N$48)))&gt;0,IF(INDEX($AD$176:$AD$905,($K298-$N$48))="",0,INDEX($AD$176:$AD$905,($K298-$N$48))),0))))</f>
        <v>525</v>
      </c>
      <c r="AC298" s="22" t="str">
        <f t="shared" si="57"/>
        <v/>
      </c>
      <c r="AD298" s="22" t="str">
        <f t="shared" si="68"/>
        <v/>
      </c>
      <c r="AE298" s="22" cm="1">
        <f t="array" ref="AE298">IF(($K298-$N$48)&lt;1,"",IF((IF(INDEX($AC$176:$AC$905,($K298-$N$48))="",0,INDEX($AC$176:$AC$905,($K298-$N$48))))=0,"",(IF(INDEX($AC$176:$AC$905,($K298-$N$48))="",0,INDEX($AC$176:$AC$905,($K298-$N$48))))))</f>
        <v>5500</v>
      </c>
      <c r="AF298" s="31">
        <f t="shared" si="58"/>
        <v>0</v>
      </c>
      <c r="AG298" s="31">
        <f t="shared" si="59"/>
        <v>-82.5</v>
      </c>
      <c r="AH298" s="31">
        <f t="shared" si="60"/>
        <v>-110</v>
      </c>
      <c r="AI298" s="31">
        <f t="shared" si="61"/>
        <v>-27.5</v>
      </c>
      <c r="AJ298" s="303">
        <f t="shared" si="62"/>
        <v>-440</v>
      </c>
      <c r="AK298" s="139">
        <f t="shared" si="63"/>
        <v>-440</v>
      </c>
      <c r="AM298" s="319"/>
      <c r="AN298" s="40"/>
      <c r="AO298" s="1"/>
    </row>
    <row r="299" spans="7:41" x14ac:dyDescent="0.25">
      <c r="G299" s="235" t="str">
        <f t="shared" si="49"/>
        <v/>
      </c>
      <c r="H299" s="4" t="str">
        <f t="shared" si="50"/>
        <v/>
      </c>
      <c r="I299" s="11" t="str">
        <f t="shared" si="51"/>
        <v>09.00</v>
      </c>
      <c r="K299" s="30">
        <v>124</v>
      </c>
      <c r="L299" s="29">
        <f t="shared" si="64"/>
        <v>641.9083761909169</v>
      </c>
      <c r="M299" s="28" t="str">
        <f t="shared" si="52"/>
        <v/>
      </c>
      <c r="N299" s="27" t="str">
        <f t="shared" si="65"/>
        <v/>
      </c>
      <c r="O299" s="26" t="str">
        <f>IF(AND($Q298=$O$38,IFERROR(LARGE($V$176:$V298,1)&lt;$N$42,TRUE)),1,IF(AND(ISNUMBER($O298),$O298&lt;$N$32),$O298+1,""))</f>
        <v/>
      </c>
      <c r="P299" s="26" t="str">
        <f t="shared" si="66"/>
        <v/>
      </c>
      <c r="Q299" s="26" t="str">
        <f t="shared" si="53"/>
        <v/>
      </c>
      <c r="R299" s="24" t="str">
        <f t="shared" si="67"/>
        <v/>
      </c>
      <c r="S299" s="180">
        <f t="shared" si="69"/>
        <v>9</v>
      </c>
      <c r="T299" s="151"/>
      <c r="U299" s="25" t="str">
        <f t="shared" si="54"/>
        <v/>
      </c>
      <c r="V299" s="24" t="str">
        <f>IF(AND(ISNUMBER(R298),ISNUMBER(R299)),V298,IF(AND(R298="",ISNUMBER(R299)),IFERROR(LARGE($V$176:$V298,1)+1,0),""))</f>
        <v/>
      </c>
      <c r="W299" s="23" t="str">
        <f t="shared" si="55"/>
        <v/>
      </c>
      <c r="X299" s="22" t="str">
        <f t="shared" si="56"/>
        <v/>
      </c>
      <c r="Y299" s="22"/>
      <c r="Z299" s="22"/>
      <c r="AA299" s="22"/>
      <c r="AB299" s="22" t="str" cm="1">
        <f t="array" ref="AB299">IF(IF(AND($P298="",$P299=1),($N$37*-1),0)+IF(AND($Q298="",$Q299=1),($N$38*-1),0)+IF(IF(($K299-$N$48)&lt;1,0,IF(IF(INDEX($AD$176:$AD$905,($K299-$N$48))="",0,INDEX($AD$176:$AD$905,($K299-$N$48)))&gt;0,IF(INDEX($AD$176:$AD$905,($K299-$N$48))="",0,INDEX($AD$176:$AD$905,($K299-$N$48))),0))="",0,IF(($K299-$N$48)&lt;1,0,IF(IF(INDEX($AD$176:$AD$905,($K299-$N$48))="",0,INDEX($AD$176:$AD$905,($K299-$N$48)))&gt;0,IF(INDEX($AD$176:$AD$905,($K299-$N$48))="",0,INDEX($AD$176:$AD$905,($K299-$N$48))),0)))=0,"",IF(AND($P298="",$P299=1),($N$37*-1),0)+IF(AND($Q298="",$Q299=1),($N$38*-1),0)+IF(IF(($K299-$N$48)&lt;1,0,IF(IF(INDEX($AD$176:$AD$905,($K299-$N$48))="",0,INDEX($AD$176:$AD$905,($K299-$N$48)))&gt;0,IF(INDEX($AD$176:$AD$905,($K299-$N$48))="",0,INDEX($AD$176:$AD$905,($K299-$N$48))),0))="",0,IF(($K299-$N$48)&lt;1,0,IF(IF(INDEX($AD$176:$AD$905,($K299-$N$48))="",0,INDEX($AD$176:$AD$905,($K299-$N$48)))&gt;0,IF(INDEX($AD$176:$AD$905,($K299-$N$48))="",0,INDEX($AD$176:$AD$905,($K299-$N$48))),0))))</f>
        <v/>
      </c>
      <c r="AC299" s="22" t="str">
        <f t="shared" si="57"/>
        <v/>
      </c>
      <c r="AD299" s="22" t="str">
        <f t="shared" si="68"/>
        <v/>
      </c>
      <c r="AE299" s="22" t="str" cm="1">
        <f t="array" ref="AE299">IF(($K299-$N$48)&lt;1,"",IF((IF(INDEX($AC$176:$AC$905,($K299-$N$48))="",0,INDEX($AC$176:$AC$905,($K299-$N$48))))=0,"",(IF(INDEX($AC$176:$AC$905,($K299-$N$48))="",0,INDEX($AC$176:$AC$905,($K299-$N$48))))))</f>
        <v/>
      </c>
      <c r="AF299" s="31" t="str">
        <f t="shared" si="58"/>
        <v/>
      </c>
      <c r="AG299" s="31" t="str">
        <f t="shared" si="59"/>
        <v/>
      </c>
      <c r="AH299" s="31" t="str">
        <f t="shared" si="60"/>
        <v/>
      </c>
      <c r="AI299" s="31" t="str">
        <f t="shared" si="61"/>
        <v/>
      </c>
      <c r="AJ299" s="303" t="str">
        <f t="shared" si="62"/>
        <v/>
      </c>
      <c r="AK299" s="139" t="str">
        <f t="shared" si="63"/>
        <v/>
      </c>
      <c r="AM299" s="319"/>
      <c r="AN299" s="40"/>
      <c r="AO299" s="1"/>
    </row>
    <row r="300" spans="7:41" x14ac:dyDescent="0.25">
      <c r="G300" s="235" t="str">
        <f t="shared" si="49"/>
        <v/>
      </c>
      <c r="H300" s="4" t="str">
        <f t="shared" si="50"/>
        <v/>
      </c>
      <c r="I300" s="11" t="str">
        <f t="shared" si="51"/>
        <v>09.00</v>
      </c>
      <c r="K300" s="30">
        <v>125</v>
      </c>
      <c r="L300" s="29">
        <f t="shared" si="64"/>
        <v>641.9083761909169</v>
      </c>
      <c r="M300" s="28" t="str">
        <f t="shared" si="52"/>
        <v/>
      </c>
      <c r="N300" s="27" t="str">
        <f t="shared" si="65"/>
        <v/>
      </c>
      <c r="O300" s="26" t="str">
        <f>IF(AND($Q299=$O$38,IFERROR(LARGE($V$176:$V299,1)&lt;$N$42,TRUE)),1,IF(AND(ISNUMBER($O299),$O299&lt;$N$32),$O299+1,""))</f>
        <v/>
      </c>
      <c r="P300" s="26" t="str">
        <f t="shared" si="66"/>
        <v/>
      </c>
      <c r="Q300" s="26" t="str">
        <f t="shared" si="53"/>
        <v/>
      </c>
      <c r="R300" s="24" t="str">
        <f t="shared" si="67"/>
        <v/>
      </c>
      <c r="S300" s="180">
        <f t="shared" si="69"/>
        <v>9</v>
      </c>
      <c r="T300" s="151"/>
      <c r="U300" s="25" t="str">
        <f t="shared" si="54"/>
        <v/>
      </c>
      <c r="V300" s="24" t="str">
        <f>IF(AND(ISNUMBER(R299),ISNUMBER(R300)),V299,IF(AND(R299="",ISNUMBER(R300)),IFERROR(LARGE($V$176:$V299,1)+1,0),""))</f>
        <v/>
      </c>
      <c r="W300" s="23" t="str">
        <f t="shared" si="55"/>
        <v/>
      </c>
      <c r="X300" s="22" t="str">
        <f t="shared" si="56"/>
        <v/>
      </c>
      <c r="Y300" s="22"/>
      <c r="Z300" s="22"/>
      <c r="AA300" s="22"/>
      <c r="AB300" s="22" t="str" cm="1">
        <f t="array" ref="AB300">IF(IF(AND($P299="",$P300=1),($N$37*-1),0)+IF(AND($Q299="",$Q300=1),($N$38*-1),0)+IF(IF(($K300-$N$48)&lt;1,0,IF(IF(INDEX($AD$176:$AD$905,($K300-$N$48))="",0,INDEX($AD$176:$AD$905,($K300-$N$48)))&gt;0,IF(INDEX($AD$176:$AD$905,($K300-$N$48))="",0,INDEX($AD$176:$AD$905,($K300-$N$48))),0))="",0,IF(($K300-$N$48)&lt;1,0,IF(IF(INDEX($AD$176:$AD$905,($K300-$N$48))="",0,INDEX($AD$176:$AD$905,($K300-$N$48)))&gt;0,IF(INDEX($AD$176:$AD$905,($K300-$N$48))="",0,INDEX($AD$176:$AD$905,($K300-$N$48))),0)))=0,"",IF(AND($P299="",$P300=1),($N$37*-1),0)+IF(AND($Q299="",$Q300=1),($N$38*-1),0)+IF(IF(($K300-$N$48)&lt;1,0,IF(IF(INDEX($AD$176:$AD$905,($K300-$N$48))="",0,INDEX($AD$176:$AD$905,($K300-$N$48)))&gt;0,IF(INDEX($AD$176:$AD$905,($K300-$N$48))="",0,INDEX($AD$176:$AD$905,($K300-$N$48))),0))="",0,IF(($K300-$N$48)&lt;1,0,IF(IF(INDEX($AD$176:$AD$905,($K300-$N$48))="",0,INDEX($AD$176:$AD$905,($K300-$N$48)))&gt;0,IF(INDEX($AD$176:$AD$905,($K300-$N$48))="",0,INDEX($AD$176:$AD$905,($K300-$N$48))),0))))</f>
        <v/>
      </c>
      <c r="AC300" s="22" t="str">
        <f t="shared" si="57"/>
        <v/>
      </c>
      <c r="AD300" s="22" t="str">
        <f t="shared" si="68"/>
        <v/>
      </c>
      <c r="AE300" s="22" t="str" cm="1">
        <f t="array" ref="AE300">IF(($K300-$N$48)&lt;1,"",IF((IF(INDEX($AC$176:$AC$905,($K300-$N$48))="",0,INDEX($AC$176:$AC$905,($K300-$N$48))))=0,"",(IF(INDEX($AC$176:$AC$905,($K300-$N$48))="",0,INDEX($AC$176:$AC$905,($K300-$N$48))))))</f>
        <v/>
      </c>
      <c r="AF300" s="31" t="str">
        <f t="shared" si="58"/>
        <v/>
      </c>
      <c r="AG300" s="31" t="str">
        <f t="shared" si="59"/>
        <v/>
      </c>
      <c r="AH300" s="31" t="str">
        <f t="shared" si="60"/>
        <v/>
      </c>
      <c r="AI300" s="31" t="str">
        <f t="shared" si="61"/>
        <v/>
      </c>
      <c r="AJ300" s="303" t="str">
        <f t="shared" si="62"/>
        <v/>
      </c>
      <c r="AK300" s="139" t="str">
        <f t="shared" si="63"/>
        <v/>
      </c>
      <c r="AM300" s="319"/>
      <c r="AN300" s="40"/>
      <c r="AO300" s="1"/>
    </row>
    <row r="301" spans="7:41" x14ac:dyDescent="0.25">
      <c r="G301" s="235" t="str">
        <f t="shared" si="49"/>
        <v/>
      </c>
      <c r="H301" s="4" t="str">
        <f t="shared" si="50"/>
        <v/>
      </c>
      <c r="I301" s="11" t="str">
        <f t="shared" si="51"/>
        <v>09.00</v>
      </c>
      <c r="K301" s="30">
        <v>126</v>
      </c>
      <c r="L301" s="29">
        <f t="shared" si="64"/>
        <v>641.9083761909169</v>
      </c>
      <c r="M301" s="28" t="str">
        <f t="shared" si="52"/>
        <v/>
      </c>
      <c r="N301" s="27" t="str">
        <f t="shared" si="65"/>
        <v/>
      </c>
      <c r="O301" s="26" t="str">
        <f>IF(AND($Q300=$O$38,IFERROR(LARGE($V$176:$V300,1)&lt;$N$42,TRUE)),1,IF(AND(ISNUMBER($O300),$O300&lt;$N$32),$O300+1,""))</f>
        <v/>
      </c>
      <c r="P301" s="26" t="str">
        <f t="shared" si="66"/>
        <v/>
      </c>
      <c r="Q301" s="26" t="str">
        <f t="shared" si="53"/>
        <v/>
      </c>
      <c r="R301" s="24" t="str">
        <f t="shared" si="67"/>
        <v/>
      </c>
      <c r="S301" s="180">
        <f t="shared" si="69"/>
        <v>9</v>
      </c>
      <c r="T301" s="151"/>
      <c r="U301" s="25" t="str">
        <f t="shared" si="54"/>
        <v/>
      </c>
      <c r="V301" s="24" t="str">
        <f>IF(AND(ISNUMBER(R300),ISNUMBER(R301)),V300,IF(AND(R300="",ISNUMBER(R301)),IFERROR(LARGE($V$176:$V300,1)+1,0),""))</f>
        <v/>
      </c>
      <c r="W301" s="23" t="str">
        <f t="shared" si="55"/>
        <v/>
      </c>
      <c r="X301" s="22" t="str">
        <f t="shared" si="56"/>
        <v/>
      </c>
      <c r="Y301" s="22"/>
      <c r="Z301" s="22"/>
      <c r="AA301" s="22"/>
      <c r="AB301" s="22" t="str" cm="1">
        <f t="array" ref="AB301">IF(IF(AND($P300="",$P301=1),($N$37*-1),0)+IF(AND($Q300="",$Q301=1),($N$38*-1),0)+IF(IF(($K301-$N$48)&lt;1,0,IF(IF(INDEX($AD$176:$AD$905,($K301-$N$48))="",0,INDEX($AD$176:$AD$905,($K301-$N$48)))&gt;0,IF(INDEX($AD$176:$AD$905,($K301-$N$48))="",0,INDEX($AD$176:$AD$905,($K301-$N$48))),0))="",0,IF(($K301-$N$48)&lt;1,0,IF(IF(INDEX($AD$176:$AD$905,($K301-$N$48))="",0,INDEX($AD$176:$AD$905,($K301-$N$48)))&gt;0,IF(INDEX($AD$176:$AD$905,($K301-$N$48))="",0,INDEX($AD$176:$AD$905,($K301-$N$48))),0)))=0,"",IF(AND($P300="",$P301=1),($N$37*-1),0)+IF(AND($Q300="",$Q301=1),($N$38*-1),0)+IF(IF(($K301-$N$48)&lt;1,0,IF(IF(INDEX($AD$176:$AD$905,($K301-$N$48))="",0,INDEX($AD$176:$AD$905,($K301-$N$48)))&gt;0,IF(INDEX($AD$176:$AD$905,($K301-$N$48))="",0,INDEX($AD$176:$AD$905,($K301-$N$48))),0))="",0,IF(($K301-$N$48)&lt;1,0,IF(IF(INDEX($AD$176:$AD$905,($K301-$N$48))="",0,INDEX($AD$176:$AD$905,($K301-$N$48)))&gt;0,IF(INDEX($AD$176:$AD$905,($K301-$N$48))="",0,INDEX($AD$176:$AD$905,($K301-$N$48))),0))))</f>
        <v/>
      </c>
      <c r="AC301" s="22" t="str">
        <f t="shared" si="57"/>
        <v/>
      </c>
      <c r="AD301" s="22" t="str">
        <f t="shared" si="68"/>
        <v/>
      </c>
      <c r="AE301" s="22" t="str" cm="1">
        <f t="array" ref="AE301">IF(($K301-$N$48)&lt;1,"",IF((IF(INDEX($AC$176:$AC$905,($K301-$N$48))="",0,INDEX($AC$176:$AC$905,($K301-$N$48))))=0,"",(IF(INDEX($AC$176:$AC$905,($K301-$N$48))="",0,INDEX($AC$176:$AC$905,($K301-$N$48))))))</f>
        <v/>
      </c>
      <c r="AF301" s="31" t="str">
        <f t="shared" si="58"/>
        <v/>
      </c>
      <c r="AG301" s="31" t="str">
        <f t="shared" si="59"/>
        <v/>
      </c>
      <c r="AH301" s="31" t="str">
        <f t="shared" si="60"/>
        <v/>
      </c>
      <c r="AI301" s="31" t="str">
        <f t="shared" si="61"/>
        <v/>
      </c>
      <c r="AJ301" s="303" t="str">
        <f t="shared" si="62"/>
        <v/>
      </c>
      <c r="AK301" s="139" t="str">
        <f t="shared" si="63"/>
        <v/>
      </c>
      <c r="AM301" s="319"/>
      <c r="AN301" s="40"/>
      <c r="AO301" s="1"/>
    </row>
    <row r="302" spans="7:41" x14ac:dyDescent="0.25">
      <c r="G302" s="235" t="str">
        <f t="shared" si="49"/>
        <v/>
      </c>
      <c r="H302" s="4" t="str">
        <f t="shared" si="50"/>
        <v/>
      </c>
      <c r="I302" s="11" t="str">
        <f t="shared" si="51"/>
        <v>09.00</v>
      </c>
      <c r="K302" s="30">
        <v>127</v>
      </c>
      <c r="L302" s="29">
        <f t="shared" si="64"/>
        <v>641.9083761909169</v>
      </c>
      <c r="M302" s="28" t="str">
        <f t="shared" si="52"/>
        <v/>
      </c>
      <c r="N302" s="27" t="str">
        <f t="shared" si="65"/>
        <v/>
      </c>
      <c r="O302" s="26" t="str">
        <f>IF(AND($Q301=$O$38,IFERROR(LARGE($V$176:$V301,1)&lt;$N$42,TRUE)),1,IF(AND(ISNUMBER($O301),$O301&lt;$N$32),$O301+1,""))</f>
        <v/>
      </c>
      <c r="P302" s="26" t="str">
        <f t="shared" si="66"/>
        <v/>
      </c>
      <c r="Q302" s="26" t="str">
        <f t="shared" si="53"/>
        <v/>
      </c>
      <c r="R302" s="24" t="str">
        <f t="shared" si="67"/>
        <v/>
      </c>
      <c r="S302" s="180">
        <f t="shared" si="69"/>
        <v>9</v>
      </c>
      <c r="T302" s="151"/>
      <c r="U302" s="25" t="str">
        <f t="shared" si="54"/>
        <v/>
      </c>
      <c r="V302" s="24" t="str">
        <f>IF(AND(ISNUMBER(R301),ISNUMBER(R302)),V301,IF(AND(R301="",ISNUMBER(R302)),IFERROR(LARGE($V$176:$V301,1)+1,0),""))</f>
        <v/>
      </c>
      <c r="W302" s="23" t="str">
        <f t="shared" si="55"/>
        <v/>
      </c>
      <c r="X302" s="22" t="str">
        <f t="shared" si="56"/>
        <v/>
      </c>
      <c r="Y302" s="22"/>
      <c r="Z302" s="22"/>
      <c r="AA302" s="22"/>
      <c r="AB302" s="22" t="str" cm="1">
        <f t="array" ref="AB302">IF(IF(AND($P301="",$P302=1),($N$37*-1),0)+IF(AND($Q301="",$Q302=1),($N$38*-1),0)+IF(IF(($K302-$N$48)&lt;1,0,IF(IF(INDEX($AD$176:$AD$905,($K302-$N$48))="",0,INDEX($AD$176:$AD$905,($K302-$N$48)))&gt;0,IF(INDEX($AD$176:$AD$905,($K302-$N$48))="",0,INDEX($AD$176:$AD$905,($K302-$N$48))),0))="",0,IF(($K302-$N$48)&lt;1,0,IF(IF(INDEX($AD$176:$AD$905,($K302-$N$48))="",0,INDEX($AD$176:$AD$905,($K302-$N$48)))&gt;0,IF(INDEX($AD$176:$AD$905,($K302-$N$48))="",0,INDEX($AD$176:$AD$905,($K302-$N$48))),0)))=0,"",IF(AND($P301="",$P302=1),($N$37*-1),0)+IF(AND($Q301="",$Q302=1),($N$38*-1),0)+IF(IF(($K302-$N$48)&lt;1,0,IF(IF(INDEX($AD$176:$AD$905,($K302-$N$48))="",0,INDEX($AD$176:$AD$905,($K302-$N$48)))&gt;0,IF(INDEX($AD$176:$AD$905,($K302-$N$48))="",0,INDEX($AD$176:$AD$905,($K302-$N$48))),0))="",0,IF(($K302-$N$48)&lt;1,0,IF(IF(INDEX($AD$176:$AD$905,($K302-$N$48))="",0,INDEX($AD$176:$AD$905,($K302-$N$48)))&gt;0,IF(INDEX($AD$176:$AD$905,($K302-$N$48))="",0,INDEX($AD$176:$AD$905,($K302-$N$48))),0))))</f>
        <v/>
      </c>
      <c r="AC302" s="22" t="str">
        <f t="shared" si="57"/>
        <v/>
      </c>
      <c r="AD302" s="22" t="str">
        <f t="shared" si="68"/>
        <v/>
      </c>
      <c r="AE302" s="22" t="str" cm="1">
        <f t="array" ref="AE302">IF(($K302-$N$48)&lt;1,"",IF((IF(INDEX($AC$176:$AC$905,($K302-$N$48))="",0,INDEX($AC$176:$AC$905,($K302-$N$48))))=0,"",(IF(INDEX($AC$176:$AC$905,($K302-$N$48))="",0,INDEX($AC$176:$AC$905,($K302-$N$48))))))</f>
        <v/>
      </c>
      <c r="AF302" s="31" t="str">
        <f t="shared" si="58"/>
        <v/>
      </c>
      <c r="AG302" s="31" t="str">
        <f t="shared" si="59"/>
        <v/>
      </c>
      <c r="AH302" s="31" t="str">
        <f t="shared" si="60"/>
        <v/>
      </c>
      <c r="AI302" s="31" t="str">
        <f t="shared" si="61"/>
        <v/>
      </c>
      <c r="AJ302" s="303" t="str">
        <f t="shared" si="62"/>
        <v/>
      </c>
      <c r="AK302" s="139" t="str">
        <f t="shared" si="63"/>
        <v/>
      </c>
      <c r="AM302" s="319"/>
      <c r="AN302" s="40"/>
      <c r="AO302" s="1"/>
    </row>
    <row r="303" spans="7:41" x14ac:dyDescent="0.25">
      <c r="G303" s="235" t="str">
        <f t="shared" si="49"/>
        <v/>
      </c>
      <c r="H303" s="4" t="str">
        <f t="shared" si="50"/>
        <v/>
      </c>
      <c r="I303" s="11" t="str">
        <f t="shared" si="51"/>
        <v>09.00</v>
      </c>
      <c r="K303" s="30">
        <v>128</v>
      </c>
      <c r="L303" s="29">
        <f t="shared" si="64"/>
        <v>641.9083761909169</v>
      </c>
      <c r="M303" s="28" t="str">
        <f t="shared" si="52"/>
        <v/>
      </c>
      <c r="N303" s="27" t="str">
        <f t="shared" si="65"/>
        <v/>
      </c>
      <c r="O303" s="26" t="str">
        <f>IF(AND($Q302=$O$38,IFERROR(LARGE($V$176:$V302,1)&lt;$N$42,TRUE)),1,IF(AND(ISNUMBER($O302),$O302&lt;$N$32),$O302+1,""))</f>
        <v/>
      </c>
      <c r="P303" s="26" t="str">
        <f t="shared" si="66"/>
        <v/>
      </c>
      <c r="Q303" s="26" t="str">
        <f t="shared" si="53"/>
        <v/>
      </c>
      <c r="R303" s="24" t="str">
        <f t="shared" si="67"/>
        <v/>
      </c>
      <c r="S303" s="180">
        <f t="shared" si="69"/>
        <v>9</v>
      </c>
      <c r="T303" s="151"/>
      <c r="U303" s="25" t="str">
        <f t="shared" si="54"/>
        <v/>
      </c>
      <c r="V303" s="24" t="str">
        <f>IF(AND(ISNUMBER(R302),ISNUMBER(R303)),V302,IF(AND(R302="",ISNUMBER(R303)),IFERROR(LARGE($V$176:$V302,1)+1,0),""))</f>
        <v/>
      </c>
      <c r="W303" s="23" t="str">
        <f t="shared" si="55"/>
        <v/>
      </c>
      <c r="X303" s="22" t="str">
        <f t="shared" si="56"/>
        <v/>
      </c>
      <c r="Y303" s="22"/>
      <c r="Z303" s="22"/>
      <c r="AA303" s="22"/>
      <c r="AB303" s="22" t="str" cm="1">
        <f t="array" ref="AB303">IF(IF(AND($P302="",$P303=1),($N$37*-1),0)+IF(AND($Q302="",$Q303=1),($N$38*-1),0)+IF(IF(($K303-$N$48)&lt;1,0,IF(IF(INDEX($AD$176:$AD$905,($K303-$N$48))="",0,INDEX($AD$176:$AD$905,($K303-$N$48)))&gt;0,IF(INDEX($AD$176:$AD$905,($K303-$N$48))="",0,INDEX($AD$176:$AD$905,($K303-$N$48))),0))="",0,IF(($K303-$N$48)&lt;1,0,IF(IF(INDEX($AD$176:$AD$905,($K303-$N$48))="",0,INDEX($AD$176:$AD$905,($K303-$N$48)))&gt;0,IF(INDEX($AD$176:$AD$905,($K303-$N$48))="",0,INDEX($AD$176:$AD$905,($K303-$N$48))),0)))=0,"",IF(AND($P302="",$P303=1),($N$37*-1),0)+IF(AND($Q302="",$Q303=1),($N$38*-1),0)+IF(IF(($K303-$N$48)&lt;1,0,IF(IF(INDEX($AD$176:$AD$905,($K303-$N$48))="",0,INDEX($AD$176:$AD$905,($K303-$N$48)))&gt;0,IF(INDEX($AD$176:$AD$905,($K303-$N$48))="",0,INDEX($AD$176:$AD$905,($K303-$N$48))),0))="",0,IF(($K303-$N$48)&lt;1,0,IF(IF(INDEX($AD$176:$AD$905,($K303-$N$48))="",0,INDEX($AD$176:$AD$905,($K303-$N$48)))&gt;0,IF(INDEX($AD$176:$AD$905,($K303-$N$48))="",0,INDEX($AD$176:$AD$905,($K303-$N$48))),0))))</f>
        <v/>
      </c>
      <c r="AC303" s="22" t="str">
        <f t="shared" si="57"/>
        <v/>
      </c>
      <c r="AD303" s="22" t="str">
        <f t="shared" si="68"/>
        <v/>
      </c>
      <c r="AE303" s="22" t="str" cm="1">
        <f t="array" ref="AE303">IF(($K303-$N$48)&lt;1,"",IF((IF(INDEX($AC$176:$AC$905,($K303-$N$48))="",0,INDEX($AC$176:$AC$905,($K303-$N$48))))=0,"",(IF(INDEX($AC$176:$AC$905,($K303-$N$48))="",0,INDEX($AC$176:$AC$905,($K303-$N$48))))))</f>
        <v/>
      </c>
      <c r="AF303" s="31" t="str">
        <f t="shared" si="58"/>
        <v/>
      </c>
      <c r="AG303" s="31" t="str">
        <f t="shared" si="59"/>
        <v/>
      </c>
      <c r="AH303" s="31" t="str">
        <f t="shared" si="60"/>
        <v/>
      </c>
      <c r="AI303" s="31" t="str">
        <f t="shared" si="61"/>
        <v/>
      </c>
      <c r="AJ303" s="303" t="str">
        <f t="shared" si="62"/>
        <v/>
      </c>
      <c r="AK303" s="139" t="str">
        <f t="shared" si="63"/>
        <v/>
      </c>
      <c r="AM303" s="319"/>
      <c r="AN303" s="40"/>
      <c r="AO303" s="1"/>
    </row>
    <row r="304" spans="7:41" x14ac:dyDescent="0.25">
      <c r="G304" s="235" t="str">
        <f t="shared" ref="G304:G367" si="70">IF(RIGHT(H304,2)=".N","NEW",IF(SUM(N304:R304)=0,"",LEFT(H304,5)))</f>
        <v/>
      </c>
      <c r="H304" s="4" t="str">
        <f t="shared" ref="H304:H367" si="71">IF(SUM(N304:R304)&gt;0,CONCATENATE(IF(LEN(ROUNDDOWN(S304,0))=1,CONCATENATE("0",ROUNDDOWN(S304,0)),ROUNDDOWN(S304,0)),".",IF(LEN(ROUND(MOD(S304,1)*100,0))=1,CONCATENATE("0",ROUND(MOD(S304,1)*100,0)),ROUND(MOD(S304,1)*100,0)),IF(N304&lt;&gt;"",".N",IF(O304&lt;&gt;"",".R",IF(P304&lt;&gt;"",".O",IF(Q304&lt;&gt;"",".I",IF(R304&lt;&gt;"",".D","")))))),"")</f>
        <v/>
      </c>
      <c r="I304" s="11" t="str">
        <f t="shared" ref="I304:I367" si="72">CONCATENATE(IF(LEN(ROUNDDOWN(S304,0))=1,CONCATENATE("0",ROUNDDOWN(S304,0)),ROUNDDOWN(S304,0)),".",IF(LEN(ROUND(MOD(S304,1)*100,0))=1,CONCATENATE("0",ROUND(MOD(S304,1)*100,0)),ROUND(MOD(S304,1)*100,0)),IF(N304&lt;&gt;"",".N.",IF(O304&lt;&gt;"",".R.",IF(P304&lt;&gt;"",".O.",IF(Q304&lt;&gt;"",".I.",IF(R304&lt;&gt;"",".D.",""))))),IF(N304&lt;&gt;"",N304,IF(O304&lt;&gt;"",O304,IF(P304&lt;&gt;"",P304,IF(Q304&lt;&gt;"",Q304,IF(R304&lt;&gt;"",IF(MOD(R304,$N$44)=0,$N$44,MOD(R304,$N$44)),""))))))</f>
        <v>09.00</v>
      </c>
      <c r="K304" s="30">
        <v>129</v>
      </c>
      <c r="L304" s="29">
        <f t="shared" si="64"/>
        <v>641.9083761909169</v>
      </c>
      <c r="M304" s="28" t="str">
        <f t="shared" ref="M304:M367" si="73">IFERROR(IF(IF($K304=1,(($M$23*-1)+($M$24*-1)),IF(ISNUMBER(W304),W304,0)+IF(ISNUMBER(X304),X304,0)+IF(ISNUMBER(AB304),AB304,0)+IF(ISNUMBER(AE304),AE304,0)+IF(ISNUMBER(AF304),AF304,0)+IF(ISNUMBER(AG304),AG304,0)+IF(ISNUMBER(AH304),AH304,0)+IF(ISNUMBER(AI304),AI304,0)+IF(ISNUMBER(AK304),AK304,0))=0,"",IF($K304=1,(($M$23*-1)+($M$24*-1)),IF(ISNUMBER(W304),W304,0)+IF(ISNUMBER(X304),X304,0)+IF(ISNUMBER(AB304),AB304,0)+IF(ISNUMBER(AE304),AE304,0)+IF(ISNUMBER(AF304),AF304,0)+IF(ISNUMBER(AG304),AG304,0)+IF(ISNUMBER(AH304),AH304,0)+IF(ISNUMBER(AI304),AI304,0)+IF(ISNUMBER(AK304),AK304,0))),"")</f>
        <v/>
      </c>
      <c r="N304" s="27" t="str">
        <f t="shared" si="65"/>
        <v/>
      </c>
      <c r="O304" s="26" t="str">
        <f>IF(AND($Q303=$O$38,IFERROR(LARGE($V$176:$V303,1)&lt;$N$42,TRUE)),1,IF(AND(ISNUMBER($O303),$O303&lt;$N$32),$O303+1,""))</f>
        <v/>
      </c>
      <c r="P304" s="26" t="str">
        <f t="shared" si="66"/>
        <v/>
      </c>
      <c r="Q304" s="26" t="str">
        <f t="shared" ref="Q304:Q367" si="74">IF($R303=($N$43*$N$44),1,IF(AND(ISNUMBER($Q303),$Q303&lt;$O$38),$Q303+1,""))</f>
        <v/>
      </c>
      <c r="R304" s="24" t="str">
        <f t="shared" si="67"/>
        <v/>
      </c>
      <c r="S304" s="180">
        <f t="shared" si="69"/>
        <v>9</v>
      </c>
      <c r="T304" s="151"/>
      <c r="U304" s="25" t="str">
        <f t="shared" ref="U304:U367" si="75">IF(ISNUMBER($R304),ROUNDUP($R304/$N$44,0),"")</f>
        <v/>
      </c>
      <c r="V304" s="24" t="str">
        <f>IF(AND(ISNUMBER(R303),ISNUMBER(R304)),V303,IF(AND(R303="",ISNUMBER(R304)),IFERROR(LARGE($V$176:$V303,1)+1,0),""))</f>
        <v/>
      </c>
      <c r="W304" s="23" t="str">
        <f t="shared" ref="W304:W367" si="76">IF($O304=1,($M$30*-1),"")</f>
        <v/>
      </c>
      <c r="X304" s="22" t="str">
        <f t="shared" ref="X304:X367" si="77">IF($K304=1,($M$24*-1),IF($O304=1,($M$31*-1),""))</f>
        <v/>
      </c>
      <c r="Y304" s="22"/>
      <c r="Z304" s="22"/>
      <c r="AA304" s="22"/>
      <c r="AB304" s="22" t="str" cm="1">
        <f t="array" ref="AB304">IF(IF(AND($P303="",$P304=1),($N$37*-1),0)+IF(AND($Q303="",$Q304=1),($N$38*-1),0)+IF(IF(($K304-$N$48)&lt;1,0,IF(IF(INDEX($AD$176:$AD$905,($K304-$N$48))="",0,INDEX($AD$176:$AD$905,($K304-$N$48)))&gt;0,IF(INDEX($AD$176:$AD$905,($K304-$N$48))="",0,INDEX($AD$176:$AD$905,($K304-$N$48))),0))="",0,IF(($K304-$N$48)&lt;1,0,IF(IF(INDEX($AD$176:$AD$905,($K304-$N$48))="",0,INDEX($AD$176:$AD$905,($K304-$N$48)))&gt;0,IF(INDEX($AD$176:$AD$905,($K304-$N$48))="",0,INDEX($AD$176:$AD$905,($K304-$N$48))),0)))=0,"",IF(AND($P303="",$P304=1),($N$37*-1),0)+IF(AND($Q303="",$Q304=1),($N$38*-1),0)+IF(IF(($K304-$N$48)&lt;1,0,IF(IF(INDEX($AD$176:$AD$905,($K304-$N$48))="",0,INDEX($AD$176:$AD$905,($K304-$N$48)))&gt;0,IF(INDEX($AD$176:$AD$905,($K304-$N$48))="",0,INDEX($AD$176:$AD$905,($K304-$N$48))),0))="",0,IF(($K304-$N$48)&lt;1,0,IF(IF(INDEX($AD$176:$AD$905,($K304-$N$48))="",0,INDEX($AD$176:$AD$905,($K304-$N$48)))&gt;0,IF(INDEX($AD$176:$AD$905,($K304-$N$48))="",0,INDEX($AD$176:$AD$905,($K304-$N$48))),0))))</f>
        <v/>
      </c>
      <c r="AC304" s="22" t="str">
        <f t="shared" ref="AC304:AC367" si="78">IF(IF(OR(AND(ISNUMBER($U304),IF(ISNUMBER($U305),$U305,0)-IF(ISNUMBER($U304),$U304,0)=1),AND(ISNUMBER($U304),$U305="")),VLOOKUP(IF($U304&gt;$L$63,$L$63,$U304),$L$52:$N$63,COLUMNS($L$52:$N$52),FALSE),0)=0,"",IF(OR(AND(ISNUMBER($U304),IF(ISNUMBER($U305),$U305,0)-IF(ISNUMBER($U304),$U304,0)=1),AND(ISNUMBER($U304),$U305="")),VLOOKUP(IF($U304&gt;$L$63,$L$63,$U304),$L$52:$N$63,COLUMNS($L$52:$N$52),FALSE),0))</f>
        <v/>
      </c>
      <c r="AD304" s="22" t="str">
        <f t="shared" si="68"/>
        <v/>
      </c>
      <c r="AE304" s="22" t="str" cm="1">
        <f t="array" ref="AE304">IF(($K304-$N$48)&lt;1,"",IF((IF(INDEX($AC$176:$AC$905,($K304-$N$48))="",0,INDEX($AC$176:$AC$905,($K304-$N$48))))=0,"",(IF(INDEX($AC$176:$AC$905,($K304-$N$48))="",0,INDEX($AC$176:$AC$905,($K304-$N$48))))))</f>
        <v/>
      </c>
      <c r="AF304" s="31" t="str">
        <f t="shared" ref="AF304:AF367" si="79">IF($O$67="Invoice",IF(AND(ISNUMBER($AC304),ISNUMBER($O$68)),$AC304*$O$68*-1,""),IF($O$67="Payment",IF(AND(ISNUMBER($AE304),ISNUMBER($O$68)),$AE304*$O$68*-1,""),""))</f>
        <v/>
      </c>
      <c r="AG304" s="31" t="str">
        <f t="shared" ref="AG304:AG367" si="80">IF($O$67="Invoice",IF(AND(ISNUMBER($AC304),ISNUMBER($O$69)),$AC304*$O$69*-1,""),IF($O$67="Payment",IF(AND(ISNUMBER($AE304),ISNUMBER($O$69)),$AE304*$O$69*-1,""),""))</f>
        <v/>
      </c>
      <c r="AH304" s="31" t="str">
        <f t="shared" ref="AH304:AH367" si="81">IF($O$67="Invoice",IF(AND(ISNUMBER($AC304),ISNUMBER($O$70)),$AC304*$O$70*-1,""),IF($O$67="Payment",IF(AND(ISNUMBER($AE304),ISNUMBER($O$70)),$AE304*$O$70*-1,""),""))</f>
        <v/>
      </c>
      <c r="AI304" s="31" t="str">
        <f t="shared" ref="AI304:AI367" si="82">IF($O$67="Invoice",IF(AND(ISNUMBER($AC304),ISNUMBER($O$71)),$AC304*$O$71*-1,""),IF($O$67="Payment",IF(AND(ISNUMBER($AE304),ISNUMBER($O$71)),$AE304*$O$71*-1,""),""))</f>
        <v/>
      </c>
      <c r="AJ304" s="303" t="str">
        <f t="shared" ref="AJ304:AJ367" si="83">IF($O$67="Invoice",IF(AND(ISNUMBER($AC304),ISNUMBER($O$72)),$AC304*$O$72*-1,""),IF($O$67="Payment",IF(AND(ISNUMBER($AE304),ISNUMBER($O$72)),$AE304*$O$72*-1,""),""))</f>
        <v/>
      </c>
      <c r="AK304" s="139" t="str">
        <f t="shared" ref="AK304:AK367" si="84">IF($O$67="Invoice",IF(AND(ISNUMBER($AC304),ISNUMBER($O$73)),$AC304*$O$73*-1,""),IF($O$67="Payment",IF(AND(ISNUMBER($AE304),ISNUMBER($O$73)),$AE304*$O$73*-1,""),""))</f>
        <v/>
      </c>
      <c r="AM304" s="319"/>
      <c r="AN304" s="40"/>
      <c r="AO304" s="1"/>
    </row>
    <row r="305" spans="7:42" x14ac:dyDescent="0.25">
      <c r="G305" s="235" t="str">
        <f t="shared" si="70"/>
        <v/>
      </c>
      <c r="H305" s="4" t="str">
        <f t="shared" si="71"/>
        <v/>
      </c>
      <c r="I305" s="11" t="str">
        <f t="shared" si="72"/>
        <v>09.00</v>
      </c>
      <c r="K305" s="30">
        <v>130</v>
      </c>
      <c r="L305" s="29">
        <f t="shared" ref="L305:L368" si="85">IF(ISNUMBER($M305),$M305+$L304,$L304)</f>
        <v>641.9083761909169</v>
      </c>
      <c r="M305" s="28" t="str">
        <f t="shared" si="73"/>
        <v/>
      </c>
      <c r="N305" s="27" t="str">
        <f t="shared" ref="N305:N368" si="86">IF($K304&lt;$N$25,$N304+1,"")</f>
        <v/>
      </c>
      <c r="O305" s="26" t="str">
        <f>IF(AND($Q304=$O$38,IFERROR(LARGE($V$176:$V304,1)&lt;$N$42,TRUE)),1,IF(AND(ISNUMBER($O304),$O304&lt;$N$32),$O304+1,""))</f>
        <v/>
      </c>
      <c r="P305" s="26" t="str">
        <f t="shared" ref="P305:P368" si="87">IF(OR($N304=$N$25,O304=$N$32),1,IF(AND($P304&lt;$O$37,P304&gt;0),P304+1,""))</f>
        <v/>
      </c>
      <c r="Q305" s="26" t="str">
        <f t="shared" si="74"/>
        <v/>
      </c>
      <c r="R305" s="24" t="str">
        <f t="shared" ref="R305:R368" si="88">IF(AND($P304=$O$37,$R304=""),1,IF($R304&lt;($N$43*$N$44),$R304+1,""))</f>
        <v/>
      </c>
      <c r="S305" s="180">
        <f t="shared" si="69"/>
        <v>9</v>
      </c>
      <c r="T305" s="151"/>
      <c r="U305" s="25" t="str">
        <f t="shared" si="75"/>
        <v/>
      </c>
      <c r="V305" s="24" t="str">
        <f>IF(AND(ISNUMBER(R304),ISNUMBER(R305)),V304,IF(AND(R304="",ISNUMBER(R305)),IFERROR(LARGE($V$176:$V304,1)+1,0),""))</f>
        <v/>
      </c>
      <c r="W305" s="23" t="str">
        <f t="shared" si="76"/>
        <v/>
      </c>
      <c r="X305" s="22" t="str">
        <f t="shared" si="77"/>
        <v/>
      </c>
      <c r="Y305" s="22"/>
      <c r="Z305" s="22"/>
      <c r="AA305" s="22"/>
      <c r="AB305" s="22" t="str" cm="1">
        <f t="array" ref="AB305">IF(IF(AND($P304="",$P305=1),($N$37*-1),0)+IF(AND($Q304="",$Q305=1),($N$38*-1),0)+IF(IF(($K305-$N$48)&lt;1,0,IF(IF(INDEX($AD$176:$AD$905,($K305-$N$48))="",0,INDEX($AD$176:$AD$905,($K305-$N$48)))&gt;0,IF(INDEX($AD$176:$AD$905,($K305-$N$48))="",0,INDEX($AD$176:$AD$905,($K305-$N$48))),0))="",0,IF(($K305-$N$48)&lt;1,0,IF(IF(INDEX($AD$176:$AD$905,($K305-$N$48))="",0,INDEX($AD$176:$AD$905,($K305-$N$48)))&gt;0,IF(INDEX($AD$176:$AD$905,($K305-$N$48))="",0,INDEX($AD$176:$AD$905,($K305-$N$48))),0)))=0,"",IF(AND($P304="",$P305=1),($N$37*-1),0)+IF(AND($Q304="",$Q305=1),($N$38*-1),0)+IF(IF(($K305-$N$48)&lt;1,0,IF(IF(INDEX($AD$176:$AD$905,($K305-$N$48))="",0,INDEX($AD$176:$AD$905,($K305-$N$48)))&gt;0,IF(INDEX($AD$176:$AD$905,($K305-$N$48))="",0,INDEX($AD$176:$AD$905,($K305-$N$48))),0))="",0,IF(($K305-$N$48)&lt;1,0,IF(IF(INDEX($AD$176:$AD$905,($K305-$N$48))="",0,INDEX($AD$176:$AD$905,($K305-$N$48)))&gt;0,IF(INDEX($AD$176:$AD$905,($K305-$N$48))="",0,INDEX($AD$176:$AD$905,($K305-$N$48))),0))))</f>
        <v/>
      </c>
      <c r="AC305" s="22" t="str">
        <f t="shared" si="78"/>
        <v/>
      </c>
      <c r="AD305" s="22" t="str">
        <f t="shared" si="68"/>
        <v/>
      </c>
      <c r="AE305" s="22" t="str" cm="1">
        <f t="array" ref="AE305">IF(($K305-$N$48)&lt;1,"",IF((IF(INDEX($AC$176:$AC$905,($K305-$N$48))="",0,INDEX($AC$176:$AC$905,($K305-$N$48))))=0,"",(IF(INDEX($AC$176:$AC$905,($K305-$N$48))="",0,INDEX($AC$176:$AC$905,($K305-$N$48))))))</f>
        <v/>
      </c>
      <c r="AF305" s="31" t="str">
        <f t="shared" si="79"/>
        <v/>
      </c>
      <c r="AG305" s="31" t="str">
        <f t="shared" si="80"/>
        <v/>
      </c>
      <c r="AH305" s="31" t="str">
        <f t="shared" si="81"/>
        <v/>
      </c>
      <c r="AI305" s="31" t="str">
        <f t="shared" si="82"/>
        <v/>
      </c>
      <c r="AJ305" s="303" t="str">
        <f t="shared" si="83"/>
        <v/>
      </c>
      <c r="AK305" s="139" t="str">
        <f t="shared" si="84"/>
        <v/>
      </c>
      <c r="AM305" s="319"/>
      <c r="AN305" s="40"/>
      <c r="AO305" s="1"/>
    </row>
    <row r="306" spans="7:42" x14ac:dyDescent="0.25">
      <c r="G306" s="235" t="str">
        <f t="shared" si="70"/>
        <v/>
      </c>
      <c r="H306" s="4" t="str">
        <f t="shared" si="71"/>
        <v/>
      </c>
      <c r="I306" s="11" t="str">
        <f t="shared" si="72"/>
        <v>09.00</v>
      </c>
      <c r="K306" s="30">
        <v>131</v>
      </c>
      <c r="L306" s="29">
        <f t="shared" si="85"/>
        <v>641.9083761909169</v>
      </c>
      <c r="M306" s="28" t="str">
        <f t="shared" si="73"/>
        <v/>
      </c>
      <c r="N306" s="27" t="str">
        <f t="shared" si="86"/>
        <v/>
      </c>
      <c r="O306" s="26" t="str">
        <f>IF(AND($Q305=$O$38,IFERROR(LARGE($V$176:$V305,1)&lt;$N$42,TRUE)),1,IF(AND(ISNUMBER($O305),$O305&lt;$N$32),$O305+1,""))</f>
        <v/>
      </c>
      <c r="P306" s="26" t="str">
        <f t="shared" si="87"/>
        <v/>
      </c>
      <c r="Q306" s="26" t="str">
        <f t="shared" si="74"/>
        <v/>
      </c>
      <c r="R306" s="24" t="str">
        <f t="shared" si="88"/>
        <v/>
      </c>
      <c r="S306" s="180">
        <f t="shared" si="69"/>
        <v>9</v>
      </c>
      <c r="T306" s="151"/>
      <c r="U306" s="25" t="str">
        <f t="shared" si="75"/>
        <v/>
      </c>
      <c r="V306" s="24" t="str">
        <f>IF(AND(ISNUMBER(R305),ISNUMBER(R306)),V305,IF(AND(R305="",ISNUMBER(R306)),IFERROR(LARGE($V$176:$V305,1)+1,0),""))</f>
        <v/>
      </c>
      <c r="W306" s="23" t="str">
        <f t="shared" si="76"/>
        <v/>
      </c>
      <c r="X306" s="22" t="str">
        <f t="shared" si="77"/>
        <v/>
      </c>
      <c r="Y306" s="22"/>
      <c r="Z306" s="22"/>
      <c r="AA306" s="22"/>
      <c r="AB306" s="22" t="str" cm="1">
        <f t="array" ref="AB306">IF(IF(AND($P305="",$P306=1),($N$37*-1),0)+IF(AND($Q305="",$Q306=1),($N$38*-1),0)+IF(IF(($K306-$N$48)&lt;1,0,IF(IF(INDEX($AD$176:$AD$905,($K306-$N$48))="",0,INDEX($AD$176:$AD$905,($K306-$N$48)))&gt;0,IF(INDEX($AD$176:$AD$905,($K306-$N$48))="",0,INDEX($AD$176:$AD$905,($K306-$N$48))),0))="",0,IF(($K306-$N$48)&lt;1,0,IF(IF(INDEX($AD$176:$AD$905,($K306-$N$48))="",0,INDEX($AD$176:$AD$905,($K306-$N$48)))&gt;0,IF(INDEX($AD$176:$AD$905,($K306-$N$48))="",0,INDEX($AD$176:$AD$905,($K306-$N$48))),0)))=0,"",IF(AND($P305="",$P306=1),($N$37*-1),0)+IF(AND($Q305="",$Q306=1),($N$38*-1),0)+IF(IF(($K306-$N$48)&lt;1,0,IF(IF(INDEX($AD$176:$AD$905,($K306-$N$48))="",0,INDEX($AD$176:$AD$905,($K306-$N$48)))&gt;0,IF(INDEX($AD$176:$AD$905,($K306-$N$48))="",0,INDEX($AD$176:$AD$905,($K306-$N$48))),0))="",0,IF(($K306-$N$48)&lt;1,0,IF(IF(INDEX($AD$176:$AD$905,($K306-$N$48))="",0,INDEX($AD$176:$AD$905,($K306-$N$48)))&gt;0,IF(INDEX($AD$176:$AD$905,($K306-$N$48))="",0,INDEX($AD$176:$AD$905,($K306-$N$48))),0))))</f>
        <v/>
      </c>
      <c r="AC306" s="22" t="str">
        <f t="shared" si="78"/>
        <v/>
      </c>
      <c r="AD306" s="22" t="str">
        <f t="shared" si="68"/>
        <v/>
      </c>
      <c r="AE306" s="22" t="str" cm="1">
        <f t="array" ref="AE306">IF(($K306-$N$48)&lt;1,"",IF((IF(INDEX($AC$176:$AC$905,($K306-$N$48))="",0,INDEX($AC$176:$AC$905,($K306-$N$48))))=0,"",(IF(INDEX($AC$176:$AC$905,($K306-$N$48))="",0,INDEX($AC$176:$AC$905,($K306-$N$48))))))</f>
        <v/>
      </c>
      <c r="AF306" s="31" t="str">
        <f t="shared" si="79"/>
        <v/>
      </c>
      <c r="AG306" s="31" t="str">
        <f t="shared" si="80"/>
        <v/>
      </c>
      <c r="AH306" s="31" t="str">
        <f t="shared" si="81"/>
        <v/>
      </c>
      <c r="AI306" s="31" t="str">
        <f t="shared" si="82"/>
        <v/>
      </c>
      <c r="AJ306" s="303" t="str">
        <f t="shared" si="83"/>
        <v/>
      </c>
      <c r="AK306" s="139" t="str">
        <f t="shared" si="84"/>
        <v/>
      </c>
      <c r="AM306" s="319"/>
      <c r="AN306" s="40"/>
      <c r="AO306" s="1"/>
    </row>
    <row r="307" spans="7:42" x14ac:dyDescent="0.25">
      <c r="G307" s="235" t="str">
        <f t="shared" si="70"/>
        <v/>
      </c>
      <c r="H307" s="4" t="str">
        <f t="shared" si="71"/>
        <v/>
      </c>
      <c r="I307" s="11" t="str">
        <f t="shared" si="72"/>
        <v>09.00</v>
      </c>
      <c r="K307" s="30">
        <v>132</v>
      </c>
      <c r="L307" s="29">
        <f t="shared" si="85"/>
        <v>6006.9083761909169</v>
      </c>
      <c r="M307" s="28">
        <f t="shared" si="73"/>
        <v>5365</v>
      </c>
      <c r="N307" s="27" t="str">
        <f t="shared" si="86"/>
        <v/>
      </c>
      <c r="O307" s="26" t="str">
        <f>IF(AND($Q306=$O$38,IFERROR(LARGE($V$176:$V306,1)&lt;$N$42,TRUE)),1,IF(AND(ISNUMBER($O306),$O306&lt;$N$32),$O306+1,""))</f>
        <v/>
      </c>
      <c r="P307" s="26" t="str">
        <f t="shared" si="87"/>
        <v/>
      </c>
      <c r="Q307" s="26" t="str">
        <f t="shared" si="74"/>
        <v/>
      </c>
      <c r="R307" s="24" t="str">
        <f t="shared" si="88"/>
        <v/>
      </c>
      <c r="S307" s="180">
        <f t="shared" si="69"/>
        <v>9</v>
      </c>
      <c r="T307" s="151"/>
      <c r="U307" s="25" t="str">
        <f t="shared" si="75"/>
        <v/>
      </c>
      <c r="V307" s="24" t="str">
        <f>IF(AND(ISNUMBER(R306),ISNUMBER(R307)),V306,IF(AND(R306="",ISNUMBER(R307)),IFERROR(LARGE($V$176:$V306,1)+1,0),""))</f>
        <v/>
      </c>
      <c r="W307" s="23" t="str">
        <f t="shared" si="76"/>
        <v/>
      </c>
      <c r="X307" s="22" t="str">
        <f t="shared" si="77"/>
        <v/>
      </c>
      <c r="Y307" s="22"/>
      <c r="Z307" s="22"/>
      <c r="AA307" s="22"/>
      <c r="AB307" s="22" cm="1">
        <f t="array" ref="AB307">IF(IF(AND($P306="",$P307=1),($N$37*-1),0)+IF(AND($Q306="",$Q307=1),($N$38*-1),0)+IF(IF(($K307-$N$48)&lt;1,0,IF(IF(INDEX($AD$176:$AD$905,($K307-$N$48))="",0,INDEX($AD$176:$AD$905,($K307-$N$48)))&gt;0,IF(INDEX($AD$176:$AD$905,($K307-$N$48))="",0,INDEX($AD$176:$AD$905,($K307-$N$48))),0))="",0,IF(($K307-$N$48)&lt;1,0,IF(IF(INDEX($AD$176:$AD$905,($K307-$N$48))="",0,INDEX($AD$176:$AD$905,($K307-$N$48)))&gt;0,IF(INDEX($AD$176:$AD$905,($K307-$N$48))="",0,INDEX($AD$176:$AD$905,($K307-$N$48))),0)))=0,"",IF(AND($P306="",$P307=1),($N$37*-1),0)+IF(AND($Q306="",$Q307=1),($N$38*-1),0)+IF(IF(($K307-$N$48)&lt;1,0,IF(IF(INDEX($AD$176:$AD$905,($K307-$N$48))="",0,INDEX($AD$176:$AD$905,($K307-$N$48)))&gt;0,IF(INDEX($AD$176:$AD$905,($K307-$N$48))="",0,INDEX($AD$176:$AD$905,($K307-$N$48))),0))="",0,IF(($K307-$N$48)&lt;1,0,IF(IF(INDEX($AD$176:$AD$905,($K307-$N$48))="",0,INDEX($AD$176:$AD$905,($K307-$N$48)))&gt;0,IF(INDEX($AD$176:$AD$905,($K307-$N$48))="",0,INDEX($AD$176:$AD$905,($K307-$N$48))),0))))</f>
        <v>525</v>
      </c>
      <c r="AC307" s="22" t="str">
        <f t="shared" si="78"/>
        <v/>
      </c>
      <c r="AD307" s="22" t="str">
        <f t="shared" si="68"/>
        <v/>
      </c>
      <c r="AE307" s="22" cm="1">
        <f t="array" ref="AE307">IF(($K307-$N$48)&lt;1,"",IF((IF(INDEX($AC$176:$AC$905,($K307-$N$48))="",0,INDEX($AC$176:$AC$905,($K307-$N$48))))=0,"",(IF(INDEX($AC$176:$AC$905,($K307-$N$48))="",0,INDEX($AC$176:$AC$905,($K307-$N$48))))))</f>
        <v>5500</v>
      </c>
      <c r="AF307" s="31">
        <f t="shared" si="79"/>
        <v>0</v>
      </c>
      <c r="AG307" s="31">
        <f t="shared" si="80"/>
        <v>-82.5</v>
      </c>
      <c r="AH307" s="31">
        <f t="shared" si="81"/>
        <v>-110</v>
      </c>
      <c r="AI307" s="31">
        <f t="shared" si="82"/>
        <v>-27.5</v>
      </c>
      <c r="AJ307" s="303">
        <f t="shared" si="83"/>
        <v>-440</v>
      </c>
      <c r="AK307" s="139">
        <f t="shared" si="84"/>
        <v>-440</v>
      </c>
      <c r="AM307" s="319"/>
      <c r="AN307" s="40"/>
      <c r="AO307" s="1"/>
    </row>
    <row r="308" spans="7:42" x14ac:dyDescent="0.25">
      <c r="G308" s="235" t="str">
        <f t="shared" si="70"/>
        <v/>
      </c>
      <c r="H308" s="4" t="str">
        <f t="shared" si="71"/>
        <v/>
      </c>
      <c r="I308" s="11" t="str">
        <f t="shared" si="72"/>
        <v>09.00</v>
      </c>
      <c r="K308" s="30">
        <v>133</v>
      </c>
      <c r="L308" s="29">
        <f t="shared" si="85"/>
        <v>6006.9083761909169</v>
      </c>
      <c r="M308" s="28" t="str">
        <f t="shared" si="73"/>
        <v/>
      </c>
      <c r="N308" s="27" t="str">
        <f t="shared" si="86"/>
        <v/>
      </c>
      <c r="O308" s="26" t="str">
        <f>IF(AND($Q307=$O$38,IFERROR(LARGE($V$176:$V307,1)&lt;$N$42,TRUE)),1,IF(AND(ISNUMBER($O307),$O307&lt;$N$32),$O307+1,""))</f>
        <v/>
      </c>
      <c r="P308" s="26" t="str">
        <f t="shared" si="87"/>
        <v/>
      </c>
      <c r="Q308" s="26" t="str">
        <f t="shared" si="74"/>
        <v/>
      </c>
      <c r="R308" s="24" t="str">
        <f t="shared" si="88"/>
        <v/>
      </c>
      <c r="S308" s="180">
        <f t="shared" si="69"/>
        <v>9</v>
      </c>
      <c r="T308" s="151"/>
      <c r="U308" s="25" t="str">
        <f t="shared" si="75"/>
        <v/>
      </c>
      <c r="V308" s="24" t="str">
        <f>IF(AND(ISNUMBER(R307),ISNUMBER(R308)),V307,IF(AND(R307="",ISNUMBER(R308)),IFERROR(LARGE($V$176:$V307,1)+1,0),""))</f>
        <v/>
      </c>
      <c r="W308" s="23" t="str">
        <f t="shared" si="76"/>
        <v/>
      </c>
      <c r="X308" s="22" t="str">
        <f t="shared" si="77"/>
        <v/>
      </c>
      <c r="Y308" s="22"/>
      <c r="Z308" s="22"/>
      <c r="AA308" s="22"/>
      <c r="AB308" s="22" t="str" cm="1">
        <f t="array" ref="AB308">IF(IF(AND($P307="",$P308=1),($N$37*-1),0)+IF(AND($Q307="",$Q308=1),($N$38*-1),0)+IF(IF(($K308-$N$48)&lt;1,0,IF(IF(INDEX($AD$176:$AD$905,($K308-$N$48))="",0,INDEX($AD$176:$AD$905,($K308-$N$48)))&gt;0,IF(INDEX($AD$176:$AD$905,($K308-$N$48))="",0,INDEX($AD$176:$AD$905,($K308-$N$48))),0))="",0,IF(($K308-$N$48)&lt;1,0,IF(IF(INDEX($AD$176:$AD$905,($K308-$N$48))="",0,INDEX($AD$176:$AD$905,($K308-$N$48)))&gt;0,IF(INDEX($AD$176:$AD$905,($K308-$N$48))="",0,INDEX($AD$176:$AD$905,($K308-$N$48))),0)))=0,"",IF(AND($P307="",$P308=1),($N$37*-1),0)+IF(AND($Q307="",$Q308=1),($N$38*-1),0)+IF(IF(($K308-$N$48)&lt;1,0,IF(IF(INDEX($AD$176:$AD$905,($K308-$N$48))="",0,INDEX($AD$176:$AD$905,($K308-$N$48)))&gt;0,IF(INDEX($AD$176:$AD$905,($K308-$N$48))="",0,INDEX($AD$176:$AD$905,($K308-$N$48))),0))="",0,IF(($K308-$N$48)&lt;1,0,IF(IF(INDEX($AD$176:$AD$905,($K308-$N$48))="",0,INDEX($AD$176:$AD$905,($K308-$N$48)))&gt;0,IF(INDEX($AD$176:$AD$905,($K308-$N$48))="",0,INDEX($AD$176:$AD$905,($K308-$N$48))),0))))</f>
        <v/>
      </c>
      <c r="AC308" s="22" t="str">
        <f t="shared" si="78"/>
        <v/>
      </c>
      <c r="AD308" s="22" t="str">
        <f t="shared" si="68"/>
        <v/>
      </c>
      <c r="AE308" s="22" t="str" cm="1">
        <f t="array" ref="AE308">IF(($K308-$N$48)&lt;1,"",IF((IF(INDEX($AC$176:$AC$905,($K308-$N$48))="",0,INDEX($AC$176:$AC$905,($K308-$N$48))))=0,"",(IF(INDEX($AC$176:$AC$905,($K308-$N$48))="",0,INDEX($AC$176:$AC$905,($K308-$N$48))))))</f>
        <v/>
      </c>
      <c r="AF308" s="31" t="str">
        <f t="shared" si="79"/>
        <v/>
      </c>
      <c r="AG308" s="31" t="str">
        <f t="shared" si="80"/>
        <v/>
      </c>
      <c r="AH308" s="31" t="str">
        <f t="shared" si="81"/>
        <v/>
      </c>
      <c r="AI308" s="31" t="str">
        <f t="shared" si="82"/>
        <v/>
      </c>
      <c r="AJ308" s="303" t="str">
        <f t="shared" si="83"/>
        <v/>
      </c>
      <c r="AK308" s="139" t="str">
        <f t="shared" si="84"/>
        <v/>
      </c>
      <c r="AM308" s="319"/>
      <c r="AN308" s="40"/>
      <c r="AO308" s="1"/>
    </row>
    <row r="309" spans="7:42" x14ac:dyDescent="0.25">
      <c r="G309" s="235" t="str">
        <f t="shared" si="70"/>
        <v/>
      </c>
      <c r="H309" s="4" t="str">
        <f t="shared" si="71"/>
        <v/>
      </c>
      <c r="I309" s="11" t="str">
        <f t="shared" si="72"/>
        <v>09.00</v>
      </c>
      <c r="K309" s="30">
        <v>134</v>
      </c>
      <c r="L309" s="29">
        <f t="shared" si="85"/>
        <v>6006.9083761909169</v>
      </c>
      <c r="M309" s="28" t="str">
        <f t="shared" si="73"/>
        <v/>
      </c>
      <c r="N309" s="27" t="str">
        <f t="shared" si="86"/>
        <v/>
      </c>
      <c r="O309" s="26" t="str">
        <f>IF(AND($Q308=$O$38,IFERROR(LARGE($V$176:$V308,1)&lt;$N$42,TRUE)),1,IF(AND(ISNUMBER($O308),$O308&lt;$N$32),$O308+1,""))</f>
        <v/>
      </c>
      <c r="P309" s="26" t="str">
        <f t="shared" si="87"/>
        <v/>
      </c>
      <c r="Q309" s="26" t="str">
        <f t="shared" si="74"/>
        <v/>
      </c>
      <c r="R309" s="24" t="str">
        <f t="shared" si="88"/>
        <v/>
      </c>
      <c r="S309" s="180">
        <f t="shared" si="69"/>
        <v>9</v>
      </c>
      <c r="T309" s="151"/>
      <c r="U309" s="25" t="str">
        <f t="shared" si="75"/>
        <v/>
      </c>
      <c r="V309" s="24" t="str">
        <f>IF(AND(ISNUMBER(R308),ISNUMBER(R309)),V308,IF(AND(R308="",ISNUMBER(R309)),IFERROR(LARGE($V$176:$V308,1)+1,0),""))</f>
        <v/>
      </c>
      <c r="W309" s="23" t="str">
        <f t="shared" si="76"/>
        <v/>
      </c>
      <c r="X309" s="22" t="str">
        <f t="shared" si="77"/>
        <v/>
      </c>
      <c r="Y309" s="22"/>
      <c r="Z309" s="22"/>
      <c r="AA309" s="22"/>
      <c r="AB309" s="22" t="str" cm="1">
        <f t="array" ref="AB309">IF(IF(AND($P308="",$P309=1),($N$37*-1),0)+IF(AND($Q308="",$Q309=1),($N$38*-1),0)+IF(IF(($K309-$N$48)&lt;1,0,IF(IF(INDEX($AD$176:$AD$905,($K309-$N$48))="",0,INDEX($AD$176:$AD$905,($K309-$N$48)))&gt;0,IF(INDEX($AD$176:$AD$905,($K309-$N$48))="",0,INDEX($AD$176:$AD$905,($K309-$N$48))),0))="",0,IF(($K309-$N$48)&lt;1,0,IF(IF(INDEX($AD$176:$AD$905,($K309-$N$48))="",0,INDEX($AD$176:$AD$905,($K309-$N$48)))&gt;0,IF(INDEX($AD$176:$AD$905,($K309-$N$48))="",0,INDEX($AD$176:$AD$905,($K309-$N$48))),0)))=0,"",IF(AND($P308="",$P309=1),($N$37*-1),0)+IF(AND($Q308="",$Q309=1),($N$38*-1),0)+IF(IF(($K309-$N$48)&lt;1,0,IF(IF(INDEX($AD$176:$AD$905,($K309-$N$48))="",0,INDEX($AD$176:$AD$905,($K309-$N$48)))&gt;0,IF(INDEX($AD$176:$AD$905,($K309-$N$48))="",0,INDEX($AD$176:$AD$905,($K309-$N$48))),0))="",0,IF(($K309-$N$48)&lt;1,0,IF(IF(INDEX($AD$176:$AD$905,($K309-$N$48))="",0,INDEX($AD$176:$AD$905,($K309-$N$48)))&gt;0,IF(INDEX($AD$176:$AD$905,($K309-$N$48))="",0,INDEX($AD$176:$AD$905,($K309-$N$48))),0))))</f>
        <v/>
      </c>
      <c r="AC309" s="22" t="str">
        <f t="shared" si="78"/>
        <v/>
      </c>
      <c r="AD309" s="22" t="str">
        <f t="shared" si="68"/>
        <v/>
      </c>
      <c r="AE309" s="22" t="str" cm="1">
        <f t="array" ref="AE309">IF(($K309-$N$48)&lt;1,"",IF((IF(INDEX($AC$176:$AC$905,($K309-$N$48))="",0,INDEX($AC$176:$AC$905,($K309-$N$48))))=0,"",(IF(INDEX($AC$176:$AC$905,($K309-$N$48))="",0,INDEX($AC$176:$AC$905,($K309-$N$48))))))</f>
        <v/>
      </c>
      <c r="AF309" s="31" t="str">
        <f t="shared" si="79"/>
        <v/>
      </c>
      <c r="AG309" s="31" t="str">
        <f t="shared" si="80"/>
        <v/>
      </c>
      <c r="AH309" s="31" t="str">
        <f t="shared" si="81"/>
        <v/>
      </c>
      <c r="AI309" s="31" t="str">
        <f t="shared" si="82"/>
        <v/>
      </c>
      <c r="AJ309" s="303" t="str">
        <f t="shared" si="83"/>
        <v/>
      </c>
      <c r="AK309" s="139" t="str">
        <f t="shared" si="84"/>
        <v/>
      </c>
      <c r="AM309" s="319"/>
      <c r="AN309" s="40"/>
      <c r="AO309" s="1"/>
    </row>
    <row r="310" spans="7:42" x14ac:dyDescent="0.25">
      <c r="G310" s="235" t="str">
        <f t="shared" si="70"/>
        <v/>
      </c>
      <c r="H310" s="4" t="str">
        <f t="shared" si="71"/>
        <v/>
      </c>
      <c r="I310" s="11" t="str">
        <f t="shared" si="72"/>
        <v>09.00</v>
      </c>
      <c r="K310" s="30">
        <v>135</v>
      </c>
      <c r="L310" s="29">
        <f t="shared" si="85"/>
        <v>6006.9083761909169</v>
      </c>
      <c r="M310" s="28" t="str">
        <f t="shared" si="73"/>
        <v/>
      </c>
      <c r="N310" s="27" t="str">
        <f t="shared" si="86"/>
        <v/>
      </c>
      <c r="O310" s="26" t="str">
        <f>IF(AND($Q309=$O$38,IFERROR(LARGE($V$176:$V309,1)&lt;$N$42,TRUE)),1,IF(AND(ISNUMBER($O309),$O309&lt;$N$32),$O309+1,""))</f>
        <v/>
      </c>
      <c r="P310" s="26" t="str">
        <f t="shared" si="87"/>
        <v/>
      </c>
      <c r="Q310" s="26" t="str">
        <f t="shared" si="74"/>
        <v/>
      </c>
      <c r="R310" s="24" t="str">
        <f t="shared" si="88"/>
        <v/>
      </c>
      <c r="S310" s="180">
        <f t="shared" si="69"/>
        <v>9</v>
      </c>
      <c r="T310" s="151"/>
      <c r="U310" s="25" t="str">
        <f t="shared" si="75"/>
        <v/>
      </c>
      <c r="V310" s="24" t="str">
        <f>IF(AND(ISNUMBER(R309),ISNUMBER(R310)),V309,IF(AND(R309="",ISNUMBER(R310)),IFERROR(LARGE($V$176:$V309,1)+1,0),""))</f>
        <v/>
      </c>
      <c r="W310" s="23" t="str">
        <f t="shared" si="76"/>
        <v/>
      </c>
      <c r="X310" s="22" t="str">
        <f t="shared" si="77"/>
        <v/>
      </c>
      <c r="Y310" s="22"/>
      <c r="Z310" s="22"/>
      <c r="AA310" s="22"/>
      <c r="AB310" s="22" t="str" cm="1">
        <f t="array" ref="AB310">IF(IF(AND($P309="",$P310=1),($N$37*-1),0)+IF(AND($Q309="",$Q310=1),($N$38*-1),0)+IF(IF(($K310-$N$48)&lt;1,0,IF(IF(INDEX($AD$176:$AD$905,($K310-$N$48))="",0,INDEX($AD$176:$AD$905,($K310-$N$48)))&gt;0,IF(INDEX($AD$176:$AD$905,($K310-$N$48))="",0,INDEX($AD$176:$AD$905,($K310-$N$48))),0))="",0,IF(($K310-$N$48)&lt;1,0,IF(IF(INDEX($AD$176:$AD$905,($K310-$N$48))="",0,INDEX($AD$176:$AD$905,($K310-$N$48)))&gt;0,IF(INDEX($AD$176:$AD$905,($K310-$N$48))="",0,INDEX($AD$176:$AD$905,($K310-$N$48))),0)))=0,"",IF(AND($P309="",$P310=1),($N$37*-1),0)+IF(AND($Q309="",$Q310=1),($N$38*-1),0)+IF(IF(($K310-$N$48)&lt;1,0,IF(IF(INDEX($AD$176:$AD$905,($K310-$N$48))="",0,INDEX($AD$176:$AD$905,($K310-$N$48)))&gt;0,IF(INDEX($AD$176:$AD$905,($K310-$N$48))="",0,INDEX($AD$176:$AD$905,($K310-$N$48))),0))="",0,IF(($K310-$N$48)&lt;1,0,IF(IF(INDEX($AD$176:$AD$905,($K310-$N$48))="",0,INDEX($AD$176:$AD$905,($K310-$N$48)))&gt;0,IF(INDEX($AD$176:$AD$905,($K310-$N$48))="",0,INDEX($AD$176:$AD$905,($K310-$N$48))),0))))</f>
        <v/>
      </c>
      <c r="AC310" s="22" t="str">
        <f t="shared" si="78"/>
        <v/>
      </c>
      <c r="AD310" s="22" t="str">
        <f t="shared" si="68"/>
        <v/>
      </c>
      <c r="AE310" s="22" t="str" cm="1">
        <f t="array" ref="AE310">IF(($K310-$N$48)&lt;1,"",IF((IF(INDEX($AC$176:$AC$905,($K310-$N$48))="",0,INDEX($AC$176:$AC$905,($K310-$N$48))))=0,"",(IF(INDEX($AC$176:$AC$905,($K310-$N$48))="",0,INDEX($AC$176:$AC$905,($K310-$N$48))))))</f>
        <v/>
      </c>
      <c r="AF310" s="31" t="str">
        <f t="shared" si="79"/>
        <v/>
      </c>
      <c r="AG310" s="31" t="str">
        <f t="shared" si="80"/>
        <v/>
      </c>
      <c r="AH310" s="31" t="str">
        <f t="shared" si="81"/>
        <v/>
      </c>
      <c r="AI310" s="31" t="str">
        <f t="shared" si="82"/>
        <v/>
      </c>
      <c r="AJ310" s="303" t="str">
        <f t="shared" si="83"/>
        <v/>
      </c>
      <c r="AK310" s="139" t="str">
        <f t="shared" si="84"/>
        <v/>
      </c>
      <c r="AM310" s="319"/>
      <c r="AN310" s="40"/>
      <c r="AO310" s="1"/>
    </row>
    <row r="311" spans="7:42" x14ac:dyDescent="0.25">
      <c r="G311" s="235" t="str">
        <f t="shared" si="70"/>
        <v/>
      </c>
      <c r="H311" s="4" t="str">
        <f t="shared" si="71"/>
        <v/>
      </c>
      <c r="I311" s="11" t="str">
        <f t="shared" si="72"/>
        <v>09.00</v>
      </c>
      <c r="K311" s="30">
        <v>136</v>
      </c>
      <c r="L311" s="29">
        <f t="shared" si="85"/>
        <v>6006.9083761909169</v>
      </c>
      <c r="M311" s="28" t="str">
        <f t="shared" si="73"/>
        <v/>
      </c>
      <c r="N311" s="27" t="str">
        <f t="shared" si="86"/>
        <v/>
      </c>
      <c r="O311" s="26" t="str">
        <f>IF(AND($Q310=$O$38,IFERROR(LARGE($V$176:$V310,1)&lt;$N$42,TRUE)),1,IF(AND(ISNUMBER($O310),$O310&lt;$N$32),$O310+1,""))</f>
        <v/>
      </c>
      <c r="P311" s="26" t="str">
        <f t="shared" si="87"/>
        <v/>
      </c>
      <c r="Q311" s="26" t="str">
        <f t="shared" si="74"/>
        <v/>
      </c>
      <c r="R311" s="24" t="str">
        <f t="shared" si="88"/>
        <v/>
      </c>
      <c r="S311" s="180">
        <f t="shared" si="69"/>
        <v>9</v>
      </c>
      <c r="T311" s="151"/>
      <c r="U311" s="25" t="str">
        <f t="shared" si="75"/>
        <v/>
      </c>
      <c r="V311" s="24" t="str">
        <f>IF(AND(ISNUMBER(R310),ISNUMBER(R311)),V310,IF(AND(R310="",ISNUMBER(R311)),IFERROR(LARGE($V$176:$V310,1)+1,0),""))</f>
        <v/>
      </c>
      <c r="W311" s="23" t="str">
        <f t="shared" si="76"/>
        <v/>
      </c>
      <c r="X311" s="22" t="str">
        <f t="shared" si="77"/>
        <v/>
      </c>
      <c r="Y311" s="22"/>
      <c r="Z311" s="22"/>
      <c r="AA311" s="22"/>
      <c r="AB311" s="22" t="str" cm="1">
        <f t="array" ref="AB311">IF(IF(AND($P310="",$P311=1),($N$37*-1),0)+IF(AND($Q310="",$Q311=1),($N$38*-1),0)+IF(IF(($K311-$N$48)&lt;1,0,IF(IF(INDEX($AD$176:$AD$905,($K311-$N$48))="",0,INDEX($AD$176:$AD$905,($K311-$N$48)))&gt;0,IF(INDEX($AD$176:$AD$905,($K311-$N$48))="",0,INDEX($AD$176:$AD$905,($K311-$N$48))),0))="",0,IF(($K311-$N$48)&lt;1,0,IF(IF(INDEX($AD$176:$AD$905,($K311-$N$48))="",0,INDEX($AD$176:$AD$905,($K311-$N$48)))&gt;0,IF(INDEX($AD$176:$AD$905,($K311-$N$48))="",0,INDEX($AD$176:$AD$905,($K311-$N$48))),0)))=0,"",IF(AND($P310="",$P311=1),($N$37*-1),0)+IF(AND($Q310="",$Q311=1),($N$38*-1),0)+IF(IF(($K311-$N$48)&lt;1,0,IF(IF(INDEX($AD$176:$AD$905,($K311-$N$48))="",0,INDEX($AD$176:$AD$905,($K311-$N$48)))&gt;0,IF(INDEX($AD$176:$AD$905,($K311-$N$48))="",0,INDEX($AD$176:$AD$905,($K311-$N$48))),0))="",0,IF(($K311-$N$48)&lt;1,0,IF(IF(INDEX($AD$176:$AD$905,($K311-$N$48))="",0,INDEX($AD$176:$AD$905,($K311-$N$48)))&gt;0,IF(INDEX($AD$176:$AD$905,($K311-$N$48))="",0,INDEX($AD$176:$AD$905,($K311-$N$48))),0))))</f>
        <v/>
      </c>
      <c r="AC311" s="22" t="str">
        <f t="shared" si="78"/>
        <v/>
      </c>
      <c r="AD311" s="22" t="str">
        <f t="shared" si="68"/>
        <v/>
      </c>
      <c r="AE311" s="22" t="str" cm="1">
        <f t="array" ref="AE311">IF(($K311-$N$48)&lt;1,"",IF((IF(INDEX($AC$176:$AC$905,($K311-$N$48))="",0,INDEX($AC$176:$AC$905,($K311-$N$48))))=0,"",(IF(INDEX($AC$176:$AC$905,($K311-$N$48))="",0,INDEX($AC$176:$AC$905,($K311-$N$48))))))</f>
        <v/>
      </c>
      <c r="AF311" s="31" t="str">
        <f t="shared" si="79"/>
        <v/>
      </c>
      <c r="AG311" s="31" t="str">
        <f t="shared" si="80"/>
        <v/>
      </c>
      <c r="AH311" s="31" t="str">
        <f t="shared" si="81"/>
        <v/>
      </c>
      <c r="AI311" s="31" t="str">
        <f t="shared" si="82"/>
        <v/>
      </c>
      <c r="AJ311" s="303" t="str">
        <f t="shared" si="83"/>
        <v/>
      </c>
      <c r="AK311" s="139" t="str">
        <f t="shared" si="84"/>
        <v/>
      </c>
      <c r="AM311" s="319"/>
      <c r="AN311" s="40"/>
      <c r="AO311" s="1"/>
      <c r="AP311" cm="1">
        <f t="array" ref="AP311">IF(INDEX($AC$176:$AC$905,($K311-$N$48))="",0,INDEX($AC$176:$AC$905,($K311-$N$48)))</f>
        <v>0</v>
      </c>
    </row>
    <row r="312" spans="7:42" x14ac:dyDescent="0.25">
      <c r="G312" s="235" t="str">
        <f t="shared" si="70"/>
        <v/>
      </c>
      <c r="H312" s="4" t="str">
        <f t="shared" si="71"/>
        <v/>
      </c>
      <c r="I312" s="11" t="str">
        <f t="shared" si="72"/>
        <v>09.00</v>
      </c>
      <c r="K312" s="30">
        <v>137</v>
      </c>
      <c r="L312" s="29">
        <f t="shared" si="85"/>
        <v>6006.9083761909169</v>
      </c>
      <c r="M312" s="28" t="str">
        <f t="shared" si="73"/>
        <v/>
      </c>
      <c r="N312" s="27" t="str">
        <f t="shared" si="86"/>
        <v/>
      </c>
      <c r="O312" s="26" t="str">
        <f>IF(AND($Q311=$O$38,IFERROR(LARGE($V$176:$V311,1)&lt;$N$42,TRUE)),1,IF(AND(ISNUMBER($O311),$O311&lt;$N$32),$O311+1,""))</f>
        <v/>
      </c>
      <c r="P312" s="26" t="str">
        <f t="shared" si="87"/>
        <v/>
      </c>
      <c r="Q312" s="26" t="str">
        <f t="shared" si="74"/>
        <v/>
      </c>
      <c r="R312" s="24" t="str">
        <f t="shared" si="88"/>
        <v/>
      </c>
      <c r="S312" s="180">
        <f t="shared" si="69"/>
        <v>9</v>
      </c>
      <c r="T312" s="151"/>
      <c r="U312" s="25" t="str">
        <f t="shared" si="75"/>
        <v/>
      </c>
      <c r="V312" s="24" t="str">
        <f>IF(AND(ISNUMBER(R311),ISNUMBER(R312)),V311,IF(AND(R311="",ISNUMBER(R312)),IFERROR(LARGE($V$176:$V311,1)+1,0),""))</f>
        <v/>
      </c>
      <c r="W312" s="23" t="str">
        <f t="shared" si="76"/>
        <v/>
      </c>
      <c r="X312" s="22" t="str">
        <f t="shared" si="77"/>
        <v/>
      </c>
      <c r="Y312" s="22"/>
      <c r="Z312" s="22"/>
      <c r="AA312" s="22"/>
      <c r="AB312" s="22" t="str" cm="1">
        <f t="array" ref="AB312">IF(IF(AND($P311="",$P312=1),($N$37*-1),0)+IF(AND($Q311="",$Q312=1),($N$38*-1),0)+IF(IF(($K312-$N$48)&lt;1,0,IF(IF(INDEX($AD$176:$AD$905,($K312-$N$48))="",0,INDEX($AD$176:$AD$905,($K312-$N$48)))&gt;0,IF(INDEX($AD$176:$AD$905,($K312-$N$48))="",0,INDEX($AD$176:$AD$905,($K312-$N$48))),0))="",0,IF(($K312-$N$48)&lt;1,0,IF(IF(INDEX($AD$176:$AD$905,($K312-$N$48))="",0,INDEX($AD$176:$AD$905,($K312-$N$48)))&gt;0,IF(INDEX($AD$176:$AD$905,($K312-$N$48))="",0,INDEX($AD$176:$AD$905,($K312-$N$48))),0)))=0,"",IF(AND($P311="",$P312=1),($N$37*-1),0)+IF(AND($Q311="",$Q312=1),($N$38*-1),0)+IF(IF(($K312-$N$48)&lt;1,0,IF(IF(INDEX($AD$176:$AD$905,($K312-$N$48))="",0,INDEX($AD$176:$AD$905,($K312-$N$48)))&gt;0,IF(INDEX($AD$176:$AD$905,($K312-$N$48))="",0,INDEX($AD$176:$AD$905,($K312-$N$48))),0))="",0,IF(($K312-$N$48)&lt;1,0,IF(IF(INDEX($AD$176:$AD$905,($K312-$N$48))="",0,INDEX($AD$176:$AD$905,($K312-$N$48)))&gt;0,IF(INDEX($AD$176:$AD$905,($K312-$N$48))="",0,INDEX($AD$176:$AD$905,($K312-$N$48))),0))))</f>
        <v/>
      </c>
      <c r="AC312" s="22" t="str">
        <f t="shared" si="78"/>
        <v/>
      </c>
      <c r="AD312" s="22" t="str">
        <f t="shared" si="68"/>
        <v/>
      </c>
      <c r="AE312" s="22" t="str" cm="1">
        <f t="array" ref="AE312">IF(($K312-$N$48)&lt;1,"",IF((IF(INDEX($AC$176:$AC$905,($K312-$N$48))="",0,INDEX($AC$176:$AC$905,($K312-$N$48))))=0,"",(IF(INDEX($AC$176:$AC$905,($K312-$N$48))="",0,INDEX($AC$176:$AC$905,($K312-$N$48))))))</f>
        <v/>
      </c>
      <c r="AF312" s="31" t="str">
        <f t="shared" si="79"/>
        <v/>
      </c>
      <c r="AG312" s="31" t="str">
        <f t="shared" si="80"/>
        <v/>
      </c>
      <c r="AH312" s="31" t="str">
        <f t="shared" si="81"/>
        <v/>
      </c>
      <c r="AI312" s="31" t="str">
        <f t="shared" si="82"/>
        <v/>
      </c>
      <c r="AJ312" s="303" t="str">
        <f t="shared" si="83"/>
        <v/>
      </c>
      <c r="AK312" s="139" t="str">
        <f t="shared" si="84"/>
        <v/>
      </c>
      <c r="AM312" s="319"/>
      <c r="AN312" s="40"/>
      <c r="AO312" s="1"/>
    </row>
    <row r="313" spans="7:42" x14ac:dyDescent="0.25">
      <c r="G313" s="235" t="str">
        <f t="shared" si="70"/>
        <v/>
      </c>
      <c r="H313" s="4" t="str">
        <f t="shared" si="71"/>
        <v/>
      </c>
      <c r="I313" s="11" t="str">
        <f t="shared" si="72"/>
        <v>09.00</v>
      </c>
      <c r="K313" s="30">
        <v>138</v>
      </c>
      <c r="L313" s="29">
        <f t="shared" si="85"/>
        <v>6006.9083761909169</v>
      </c>
      <c r="M313" s="28" t="str">
        <f t="shared" si="73"/>
        <v/>
      </c>
      <c r="N313" s="27" t="str">
        <f t="shared" si="86"/>
        <v/>
      </c>
      <c r="O313" s="26" t="str">
        <f>IF(AND($Q312=$O$38,IFERROR(LARGE($V$176:$V312,1)&lt;$N$42,TRUE)),1,IF(AND(ISNUMBER($O312),$O312&lt;$N$32),$O312+1,""))</f>
        <v/>
      </c>
      <c r="P313" s="26" t="str">
        <f t="shared" si="87"/>
        <v/>
      </c>
      <c r="Q313" s="26" t="str">
        <f t="shared" si="74"/>
        <v/>
      </c>
      <c r="R313" s="24" t="str">
        <f t="shared" si="88"/>
        <v/>
      </c>
      <c r="S313" s="180">
        <f t="shared" si="69"/>
        <v>9</v>
      </c>
      <c r="T313" s="151"/>
      <c r="U313" s="25" t="str">
        <f t="shared" si="75"/>
        <v/>
      </c>
      <c r="V313" s="24" t="str">
        <f>IF(AND(ISNUMBER(R312),ISNUMBER(R313)),V312,IF(AND(R312="",ISNUMBER(R313)),IFERROR(LARGE($V$176:$V312,1)+1,0),""))</f>
        <v/>
      </c>
      <c r="W313" s="23" t="str">
        <f t="shared" si="76"/>
        <v/>
      </c>
      <c r="X313" s="22" t="str">
        <f t="shared" si="77"/>
        <v/>
      </c>
      <c r="Y313" s="22"/>
      <c r="Z313" s="22"/>
      <c r="AA313" s="22"/>
      <c r="AB313" s="22" t="str" cm="1">
        <f t="array" ref="AB313">IF(IF(AND($P312="",$P313=1),($N$37*-1),0)+IF(AND($Q312="",$Q313=1),($N$38*-1),0)+IF(IF(($K313-$N$48)&lt;1,0,IF(IF(INDEX($AD$176:$AD$905,($K313-$N$48))="",0,INDEX($AD$176:$AD$905,($K313-$N$48)))&gt;0,IF(INDEX($AD$176:$AD$905,($K313-$N$48))="",0,INDEX($AD$176:$AD$905,($K313-$N$48))),0))="",0,IF(($K313-$N$48)&lt;1,0,IF(IF(INDEX($AD$176:$AD$905,($K313-$N$48))="",0,INDEX($AD$176:$AD$905,($K313-$N$48)))&gt;0,IF(INDEX($AD$176:$AD$905,($K313-$N$48))="",0,INDEX($AD$176:$AD$905,($K313-$N$48))),0)))=0,"",IF(AND($P312="",$P313=1),($N$37*-1),0)+IF(AND($Q312="",$Q313=1),($N$38*-1),0)+IF(IF(($K313-$N$48)&lt;1,0,IF(IF(INDEX($AD$176:$AD$905,($K313-$N$48))="",0,INDEX($AD$176:$AD$905,($K313-$N$48)))&gt;0,IF(INDEX($AD$176:$AD$905,($K313-$N$48))="",0,INDEX($AD$176:$AD$905,($K313-$N$48))),0))="",0,IF(($K313-$N$48)&lt;1,0,IF(IF(INDEX($AD$176:$AD$905,($K313-$N$48))="",0,INDEX($AD$176:$AD$905,($K313-$N$48)))&gt;0,IF(INDEX($AD$176:$AD$905,($K313-$N$48))="",0,INDEX($AD$176:$AD$905,($K313-$N$48))),0))))</f>
        <v/>
      </c>
      <c r="AC313" s="22" t="str">
        <f t="shared" si="78"/>
        <v/>
      </c>
      <c r="AD313" s="22" t="str">
        <f t="shared" si="68"/>
        <v/>
      </c>
      <c r="AE313" s="22" t="str" cm="1">
        <f t="array" ref="AE313">IF(($K313-$N$48)&lt;1,"",IF((IF(INDEX($AC$176:$AC$905,($K313-$N$48))="",0,INDEX($AC$176:$AC$905,($K313-$N$48))))=0,"",(IF(INDEX($AC$176:$AC$905,($K313-$N$48))="",0,INDEX($AC$176:$AC$905,($K313-$N$48))))))</f>
        <v/>
      </c>
      <c r="AF313" s="31" t="str">
        <f t="shared" si="79"/>
        <v/>
      </c>
      <c r="AG313" s="31" t="str">
        <f t="shared" si="80"/>
        <v/>
      </c>
      <c r="AH313" s="31" t="str">
        <f t="shared" si="81"/>
        <v/>
      </c>
      <c r="AI313" s="31" t="str">
        <f t="shared" si="82"/>
        <v/>
      </c>
      <c r="AJ313" s="303" t="str">
        <f t="shared" si="83"/>
        <v/>
      </c>
      <c r="AK313" s="139" t="str">
        <f t="shared" si="84"/>
        <v/>
      </c>
      <c r="AM313" s="319"/>
      <c r="AN313" s="40"/>
      <c r="AO313" s="1"/>
    </row>
    <row r="314" spans="7:42" x14ac:dyDescent="0.25">
      <c r="G314" s="235" t="str">
        <f t="shared" si="70"/>
        <v/>
      </c>
      <c r="H314" s="4" t="str">
        <f t="shared" si="71"/>
        <v/>
      </c>
      <c r="I314" s="11" t="str">
        <f t="shared" si="72"/>
        <v>09.00</v>
      </c>
      <c r="K314" s="30">
        <v>139</v>
      </c>
      <c r="L314" s="29">
        <f t="shared" si="85"/>
        <v>6006.9083761909169</v>
      </c>
      <c r="M314" s="28" t="str">
        <f t="shared" si="73"/>
        <v/>
      </c>
      <c r="N314" s="27" t="str">
        <f t="shared" si="86"/>
        <v/>
      </c>
      <c r="O314" s="26" t="str">
        <f>IF(AND($Q313=$O$38,IFERROR(LARGE($V$176:$V313,1)&lt;$N$42,TRUE)),1,IF(AND(ISNUMBER($O313),$O313&lt;$N$32),$O313+1,""))</f>
        <v/>
      </c>
      <c r="P314" s="26" t="str">
        <f t="shared" si="87"/>
        <v/>
      </c>
      <c r="Q314" s="26" t="str">
        <f t="shared" si="74"/>
        <v/>
      </c>
      <c r="R314" s="24" t="str">
        <f t="shared" si="88"/>
        <v/>
      </c>
      <c r="S314" s="180">
        <f t="shared" si="69"/>
        <v>9</v>
      </c>
      <c r="T314" s="151"/>
      <c r="U314" s="25" t="str">
        <f t="shared" si="75"/>
        <v/>
      </c>
      <c r="V314" s="24" t="str">
        <f>IF(AND(ISNUMBER(R313),ISNUMBER(R314)),V313,IF(AND(R313="",ISNUMBER(R314)),IFERROR(LARGE($V$176:$V313,1)+1,0),""))</f>
        <v/>
      </c>
      <c r="W314" s="23" t="str">
        <f t="shared" si="76"/>
        <v/>
      </c>
      <c r="X314" s="22" t="str">
        <f t="shared" si="77"/>
        <v/>
      </c>
      <c r="Y314" s="22"/>
      <c r="Z314" s="22"/>
      <c r="AA314" s="22"/>
      <c r="AB314" s="22" t="str" cm="1">
        <f t="array" ref="AB314">IF(IF(AND($P313="",$P314=1),($N$37*-1),0)+IF(AND($Q313="",$Q314=1),($N$38*-1),0)+IF(IF(($K314-$N$48)&lt;1,0,IF(IF(INDEX($AD$176:$AD$905,($K314-$N$48))="",0,INDEX($AD$176:$AD$905,($K314-$N$48)))&gt;0,IF(INDEX($AD$176:$AD$905,($K314-$N$48))="",0,INDEX($AD$176:$AD$905,($K314-$N$48))),0))="",0,IF(($K314-$N$48)&lt;1,0,IF(IF(INDEX($AD$176:$AD$905,($K314-$N$48))="",0,INDEX($AD$176:$AD$905,($K314-$N$48)))&gt;0,IF(INDEX($AD$176:$AD$905,($K314-$N$48))="",0,INDEX($AD$176:$AD$905,($K314-$N$48))),0)))=0,"",IF(AND($P313="",$P314=1),($N$37*-1),0)+IF(AND($Q313="",$Q314=1),($N$38*-1),0)+IF(IF(($K314-$N$48)&lt;1,0,IF(IF(INDEX($AD$176:$AD$905,($K314-$N$48))="",0,INDEX($AD$176:$AD$905,($K314-$N$48)))&gt;0,IF(INDEX($AD$176:$AD$905,($K314-$N$48))="",0,INDEX($AD$176:$AD$905,($K314-$N$48))),0))="",0,IF(($K314-$N$48)&lt;1,0,IF(IF(INDEX($AD$176:$AD$905,($K314-$N$48))="",0,INDEX($AD$176:$AD$905,($K314-$N$48)))&gt;0,IF(INDEX($AD$176:$AD$905,($K314-$N$48))="",0,INDEX($AD$176:$AD$905,($K314-$N$48))),0))))</f>
        <v/>
      </c>
      <c r="AC314" s="22" t="str">
        <f t="shared" si="78"/>
        <v/>
      </c>
      <c r="AD314" s="22" t="str">
        <f t="shared" si="68"/>
        <v/>
      </c>
      <c r="AE314" s="22" t="str" cm="1">
        <f t="array" ref="AE314">IF(($K314-$N$48)&lt;1,"",IF((IF(INDEX($AC$176:$AC$905,($K314-$N$48))="",0,INDEX($AC$176:$AC$905,($K314-$N$48))))=0,"",(IF(INDEX($AC$176:$AC$905,($K314-$N$48))="",0,INDEX($AC$176:$AC$905,($K314-$N$48))))))</f>
        <v/>
      </c>
      <c r="AF314" s="31" t="str">
        <f t="shared" si="79"/>
        <v/>
      </c>
      <c r="AG314" s="31" t="str">
        <f t="shared" si="80"/>
        <v/>
      </c>
      <c r="AH314" s="31" t="str">
        <f t="shared" si="81"/>
        <v/>
      </c>
      <c r="AI314" s="31" t="str">
        <f t="shared" si="82"/>
        <v/>
      </c>
      <c r="AJ314" s="303" t="str">
        <f t="shared" si="83"/>
        <v/>
      </c>
      <c r="AK314" s="139" t="str">
        <f t="shared" si="84"/>
        <v/>
      </c>
      <c r="AM314" s="319"/>
      <c r="AN314" s="40"/>
      <c r="AO314" s="1"/>
    </row>
    <row r="315" spans="7:42" x14ac:dyDescent="0.25">
      <c r="G315" s="235" t="str">
        <f t="shared" si="70"/>
        <v/>
      </c>
      <c r="H315" s="4" t="str">
        <f t="shared" si="71"/>
        <v/>
      </c>
      <c r="I315" s="11" t="str">
        <f t="shared" si="72"/>
        <v>09.00</v>
      </c>
      <c r="K315" s="30">
        <v>140</v>
      </c>
      <c r="L315" s="29">
        <f t="shared" si="85"/>
        <v>6006.9083761909169</v>
      </c>
      <c r="M315" s="28" t="str">
        <f t="shared" si="73"/>
        <v/>
      </c>
      <c r="N315" s="27" t="str">
        <f t="shared" si="86"/>
        <v/>
      </c>
      <c r="O315" s="26" t="str">
        <f>IF(AND($Q314=$O$38,IFERROR(LARGE($V$176:$V314,1)&lt;$N$42,TRUE)),1,IF(AND(ISNUMBER($O314),$O314&lt;$N$32),$O314+1,""))</f>
        <v/>
      </c>
      <c r="P315" s="26" t="str">
        <f t="shared" si="87"/>
        <v/>
      </c>
      <c r="Q315" s="26" t="str">
        <f t="shared" si="74"/>
        <v/>
      </c>
      <c r="R315" s="24" t="str">
        <f t="shared" si="88"/>
        <v/>
      </c>
      <c r="S315" s="180">
        <f t="shared" si="69"/>
        <v>9</v>
      </c>
      <c r="T315" s="151"/>
      <c r="U315" s="25" t="str">
        <f t="shared" si="75"/>
        <v/>
      </c>
      <c r="V315" s="24" t="str">
        <f>IF(AND(ISNUMBER(R314),ISNUMBER(R315)),V314,IF(AND(R314="",ISNUMBER(R315)),IFERROR(LARGE($V$176:$V314,1)+1,0),""))</f>
        <v/>
      </c>
      <c r="W315" s="23" t="str">
        <f t="shared" si="76"/>
        <v/>
      </c>
      <c r="X315" s="22" t="str">
        <f t="shared" si="77"/>
        <v/>
      </c>
      <c r="Y315" s="22"/>
      <c r="Z315" s="22"/>
      <c r="AA315" s="22"/>
      <c r="AB315" s="22" t="str" cm="1">
        <f t="array" ref="AB315">IF(IF(AND($P314="",$P315=1),($N$37*-1),0)+IF(AND($Q314="",$Q315=1),($N$38*-1),0)+IF(IF(($K315-$N$48)&lt;1,0,IF(IF(INDEX($AD$176:$AD$905,($K315-$N$48))="",0,INDEX($AD$176:$AD$905,($K315-$N$48)))&gt;0,IF(INDEX($AD$176:$AD$905,($K315-$N$48))="",0,INDEX($AD$176:$AD$905,($K315-$N$48))),0))="",0,IF(($K315-$N$48)&lt;1,0,IF(IF(INDEX($AD$176:$AD$905,($K315-$N$48))="",0,INDEX($AD$176:$AD$905,($K315-$N$48)))&gt;0,IF(INDEX($AD$176:$AD$905,($K315-$N$48))="",0,INDEX($AD$176:$AD$905,($K315-$N$48))),0)))=0,"",IF(AND($P314="",$P315=1),($N$37*-1),0)+IF(AND($Q314="",$Q315=1),($N$38*-1),0)+IF(IF(($K315-$N$48)&lt;1,0,IF(IF(INDEX($AD$176:$AD$905,($K315-$N$48))="",0,INDEX($AD$176:$AD$905,($K315-$N$48)))&gt;0,IF(INDEX($AD$176:$AD$905,($K315-$N$48))="",0,INDEX($AD$176:$AD$905,($K315-$N$48))),0))="",0,IF(($K315-$N$48)&lt;1,0,IF(IF(INDEX($AD$176:$AD$905,($K315-$N$48))="",0,INDEX($AD$176:$AD$905,($K315-$N$48)))&gt;0,IF(INDEX($AD$176:$AD$905,($K315-$N$48))="",0,INDEX($AD$176:$AD$905,($K315-$N$48))),0))))</f>
        <v/>
      </c>
      <c r="AC315" s="22" t="str">
        <f t="shared" si="78"/>
        <v/>
      </c>
      <c r="AD315" s="22" t="str">
        <f t="shared" si="68"/>
        <v/>
      </c>
      <c r="AE315" s="22" t="str" cm="1">
        <f t="array" ref="AE315">IF(($K315-$N$48)&lt;1,"",IF((IF(INDEX($AC$176:$AC$905,($K315-$N$48))="",0,INDEX($AC$176:$AC$905,($K315-$N$48))))=0,"",(IF(INDEX($AC$176:$AC$905,($K315-$N$48))="",0,INDEX($AC$176:$AC$905,($K315-$N$48))))))</f>
        <v/>
      </c>
      <c r="AF315" s="31" t="str">
        <f t="shared" si="79"/>
        <v/>
      </c>
      <c r="AG315" s="31" t="str">
        <f t="shared" si="80"/>
        <v/>
      </c>
      <c r="AH315" s="31" t="str">
        <f t="shared" si="81"/>
        <v/>
      </c>
      <c r="AI315" s="31" t="str">
        <f t="shared" si="82"/>
        <v/>
      </c>
      <c r="AJ315" s="303" t="str">
        <f t="shared" si="83"/>
        <v/>
      </c>
      <c r="AK315" s="139" t="str">
        <f t="shared" si="84"/>
        <v/>
      </c>
      <c r="AM315" s="319"/>
      <c r="AN315" s="40"/>
      <c r="AO315" s="1"/>
    </row>
    <row r="316" spans="7:42" x14ac:dyDescent="0.25">
      <c r="G316" s="235" t="str">
        <f t="shared" si="70"/>
        <v/>
      </c>
      <c r="H316" s="4" t="str">
        <f t="shared" si="71"/>
        <v/>
      </c>
      <c r="I316" s="11" t="str">
        <f t="shared" si="72"/>
        <v>09.00</v>
      </c>
      <c r="K316" s="30">
        <v>141</v>
      </c>
      <c r="L316" s="29">
        <f t="shared" si="85"/>
        <v>11371.908376190917</v>
      </c>
      <c r="M316" s="28">
        <f t="shared" si="73"/>
        <v>5365</v>
      </c>
      <c r="N316" s="27" t="str">
        <f t="shared" si="86"/>
        <v/>
      </c>
      <c r="O316" s="26" t="str">
        <f>IF(AND($Q315=$O$38,IFERROR(LARGE($V$176:$V315,1)&lt;$N$42,TRUE)),1,IF(AND(ISNUMBER($O315),$O315&lt;$N$32),$O315+1,""))</f>
        <v/>
      </c>
      <c r="P316" s="26" t="str">
        <f t="shared" si="87"/>
        <v/>
      </c>
      <c r="Q316" s="26" t="str">
        <f t="shared" si="74"/>
        <v/>
      </c>
      <c r="R316" s="24" t="str">
        <f t="shared" si="88"/>
        <v/>
      </c>
      <c r="S316" s="180">
        <f t="shared" si="69"/>
        <v>9</v>
      </c>
      <c r="T316" s="151"/>
      <c r="U316" s="25" t="str">
        <f t="shared" si="75"/>
        <v/>
      </c>
      <c r="V316" s="24" t="str">
        <f>IF(AND(ISNUMBER(R315),ISNUMBER(R316)),V315,IF(AND(R315="",ISNUMBER(R316)),IFERROR(LARGE($V$176:$V315,1)+1,0),""))</f>
        <v/>
      </c>
      <c r="W316" s="23" t="str">
        <f t="shared" si="76"/>
        <v/>
      </c>
      <c r="X316" s="22" t="str">
        <f t="shared" si="77"/>
        <v/>
      </c>
      <c r="Y316" s="22"/>
      <c r="Z316" s="22"/>
      <c r="AA316" s="22"/>
      <c r="AB316" s="22" cm="1">
        <f t="array" ref="AB316">IF(IF(AND($P315="",$P316=1),($N$37*-1),0)+IF(AND($Q315="",$Q316=1),($N$38*-1),0)+IF(IF(($K316-$N$48)&lt;1,0,IF(IF(INDEX($AD$176:$AD$905,($K316-$N$48))="",0,INDEX($AD$176:$AD$905,($K316-$N$48)))&gt;0,IF(INDEX($AD$176:$AD$905,($K316-$N$48))="",0,INDEX($AD$176:$AD$905,($K316-$N$48))),0))="",0,IF(($K316-$N$48)&lt;1,0,IF(IF(INDEX($AD$176:$AD$905,($K316-$N$48))="",0,INDEX($AD$176:$AD$905,($K316-$N$48)))&gt;0,IF(INDEX($AD$176:$AD$905,($K316-$N$48))="",0,INDEX($AD$176:$AD$905,($K316-$N$48))),0)))=0,"",IF(AND($P315="",$P316=1),($N$37*-1),0)+IF(AND($Q315="",$Q316=1),($N$38*-1),0)+IF(IF(($K316-$N$48)&lt;1,0,IF(IF(INDEX($AD$176:$AD$905,($K316-$N$48))="",0,INDEX($AD$176:$AD$905,($K316-$N$48)))&gt;0,IF(INDEX($AD$176:$AD$905,($K316-$N$48))="",0,INDEX($AD$176:$AD$905,($K316-$N$48))),0))="",0,IF(($K316-$N$48)&lt;1,0,IF(IF(INDEX($AD$176:$AD$905,($K316-$N$48))="",0,INDEX($AD$176:$AD$905,($K316-$N$48)))&gt;0,IF(INDEX($AD$176:$AD$905,($K316-$N$48))="",0,INDEX($AD$176:$AD$905,($K316-$N$48))),0))))</f>
        <v>525</v>
      </c>
      <c r="AC316" s="22" t="str">
        <f t="shared" si="78"/>
        <v/>
      </c>
      <c r="AD316" s="22" t="str">
        <f t="shared" si="68"/>
        <v/>
      </c>
      <c r="AE316" s="22" cm="1">
        <f t="array" ref="AE316">IF(($K316-$N$48)&lt;1,"",IF((IF(INDEX($AC$176:$AC$905,($K316-$N$48))="",0,INDEX($AC$176:$AC$905,($K316-$N$48))))=0,"",(IF(INDEX($AC$176:$AC$905,($K316-$N$48))="",0,INDEX($AC$176:$AC$905,($K316-$N$48))))))</f>
        <v>5500</v>
      </c>
      <c r="AF316" s="31">
        <f t="shared" si="79"/>
        <v>0</v>
      </c>
      <c r="AG316" s="31">
        <f t="shared" si="80"/>
        <v>-82.5</v>
      </c>
      <c r="AH316" s="31">
        <f t="shared" si="81"/>
        <v>-110</v>
      </c>
      <c r="AI316" s="31">
        <f t="shared" si="82"/>
        <v>-27.5</v>
      </c>
      <c r="AJ316" s="303">
        <f t="shared" si="83"/>
        <v>-440</v>
      </c>
      <c r="AK316" s="139">
        <f t="shared" si="84"/>
        <v>-440</v>
      </c>
      <c r="AM316" s="319"/>
      <c r="AN316" s="40"/>
      <c r="AO316" s="1"/>
    </row>
    <row r="317" spans="7:42" x14ac:dyDescent="0.25">
      <c r="G317" s="235" t="str">
        <f t="shared" si="70"/>
        <v/>
      </c>
      <c r="H317" s="4" t="str">
        <f t="shared" si="71"/>
        <v/>
      </c>
      <c r="I317" s="11" t="str">
        <f t="shared" si="72"/>
        <v>09.00</v>
      </c>
      <c r="K317" s="30">
        <v>142</v>
      </c>
      <c r="L317" s="29">
        <f t="shared" si="85"/>
        <v>11371.908376190917</v>
      </c>
      <c r="M317" s="28" t="str">
        <f t="shared" si="73"/>
        <v/>
      </c>
      <c r="N317" s="27" t="str">
        <f t="shared" si="86"/>
        <v/>
      </c>
      <c r="O317" s="26" t="str">
        <f>IF(AND($Q316=$O$38,IFERROR(LARGE($V$176:$V316,1)&lt;$N$42,TRUE)),1,IF(AND(ISNUMBER($O316),$O316&lt;$N$32),$O316+1,""))</f>
        <v/>
      </c>
      <c r="P317" s="26" t="str">
        <f t="shared" si="87"/>
        <v/>
      </c>
      <c r="Q317" s="26" t="str">
        <f t="shared" si="74"/>
        <v/>
      </c>
      <c r="R317" s="24" t="str">
        <f t="shared" si="88"/>
        <v/>
      </c>
      <c r="S317" s="180">
        <f t="shared" si="69"/>
        <v>9</v>
      </c>
      <c r="T317" s="151"/>
      <c r="U317" s="25" t="str">
        <f t="shared" si="75"/>
        <v/>
      </c>
      <c r="V317" s="24" t="str">
        <f>IF(AND(ISNUMBER(R316),ISNUMBER(R317)),V316,IF(AND(R316="",ISNUMBER(R317)),IFERROR(LARGE($V$176:$V316,1)+1,0),""))</f>
        <v/>
      </c>
      <c r="W317" s="23" t="str">
        <f t="shared" si="76"/>
        <v/>
      </c>
      <c r="X317" s="22" t="str">
        <f t="shared" si="77"/>
        <v/>
      </c>
      <c r="Y317" s="22"/>
      <c r="Z317" s="22"/>
      <c r="AA317" s="22"/>
      <c r="AB317" s="22" t="str" cm="1">
        <f t="array" ref="AB317">IF(IF(AND($P316="",$P317=1),($N$37*-1),0)+IF(AND($Q316="",$Q317=1),($N$38*-1),0)+IF(IF(($K317-$N$48)&lt;1,0,IF(IF(INDEX($AD$176:$AD$905,($K317-$N$48))="",0,INDEX($AD$176:$AD$905,($K317-$N$48)))&gt;0,IF(INDEX($AD$176:$AD$905,($K317-$N$48))="",0,INDEX($AD$176:$AD$905,($K317-$N$48))),0))="",0,IF(($K317-$N$48)&lt;1,0,IF(IF(INDEX($AD$176:$AD$905,($K317-$N$48))="",0,INDEX($AD$176:$AD$905,($K317-$N$48)))&gt;0,IF(INDEX($AD$176:$AD$905,($K317-$N$48))="",0,INDEX($AD$176:$AD$905,($K317-$N$48))),0)))=0,"",IF(AND($P316="",$P317=1),($N$37*-1),0)+IF(AND($Q316="",$Q317=1),($N$38*-1),0)+IF(IF(($K317-$N$48)&lt;1,0,IF(IF(INDEX($AD$176:$AD$905,($K317-$N$48))="",0,INDEX($AD$176:$AD$905,($K317-$N$48)))&gt;0,IF(INDEX($AD$176:$AD$905,($K317-$N$48))="",0,INDEX($AD$176:$AD$905,($K317-$N$48))),0))="",0,IF(($K317-$N$48)&lt;1,0,IF(IF(INDEX($AD$176:$AD$905,($K317-$N$48))="",0,INDEX($AD$176:$AD$905,($K317-$N$48)))&gt;0,IF(INDEX($AD$176:$AD$905,($K317-$N$48))="",0,INDEX($AD$176:$AD$905,($K317-$N$48))),0))))</f>
        <v/>
      </c>
      <c r="AC317" s="22" t="str">
        <f t="shared" si="78"/>
        <v/>
      </c>
      <c r="AD317" s="22" t="str">
        <f t="shared" si="68"/>
        <v/>
      </c>
      <c r="AE317" s="22" t="str" cm="1">
        <f t="array" ref="AE317">IF(($K317-$N$48)&lt;1,"",IF((IF(INDEX($AC$176:$AC$905,($K317-$N$48))="",0,INDEX($AC$176:$AC$905,($K317-$N$48))))=0,"",(IF(INDEX($AC$176:$AC$905,($K317-$N$48))="",0,INDEX($AC$176:$AC$905,($K317-$N$48))))))</f>
        <v/>
      </c>
      <c r="AF317" s="31" t="str">
        <f t="shared" si="79"/>
        <v/>
      </c>
      <c r="AG317" s="31" t="str">
        <f t="shared" si="80"/>
        <v/>
      </c>
      <c r="AH317" s="31" t="str">
        <f t="shared" si="81"/>
        <v/>
      </c>
      <c r="AI317" s="31" t="str">
        <f t="shared" si="82"/>
        <v/>
      </c>
      <c r="AJ317" s="303" t="str">
        <f t="shared" si="83"/>
        <v/>
      </c>
      <c r="AK317" s="139" t="str">
        <f t="shared" si="84"/>
        <v/>
      </c>
      <c r="AM317" s="319"/>
      <c r="AN317" s="40"/>
      <c r="AO317" s="1"/>
    </row>
    <row r="318" spans="7:42" x14ac:dyDescent="0.25">
      <c r="G318" s="235" t="str">
        <f t="shared" si="70"/>
        <v/>
      </c>
      <c r="H318" s="4" t="str">
        <f t="shared" si="71"/>
        <v/>
      </c>
      <c r="I318" s="11" t="str">
        <f t="shared" si="72"/>
        <v>09.00</v>
      </c>
      <c r="K318" s="30">
        <v>143</v>
      </c>
      <c r="L318" s="29">
        <f t="shared" si="85"/>
        <v>11371.908376190917</v>
      </c>
      <c r="M318" s="28" t="str">
        <f t="shared" si="73"/>
        <v/>
      </c>
      <c r="N318" s="27" t="str">
        <f t="shared" si="86"/>
        <v/>
      </c>
      <c r="O318" s="26" t="str">
        <f>IF(AND($Q317=$O$38,IFERROR(LARGE($V$176:$V317,1)&lt;$N$42,TRUE)),1,IF(AND(ISNUMBER($O317),$O317&lt;$N$32),$O317+1,""))</f>
        <v/>
      </c>
      <c r="P318" s="26" t="str">
        <f t="shared" si="87"/>
        <v/>
      </c>
      <c r="Q318" s="26" t="str">
        <f t="shared" si="74"/>
        <v/>
      </c>
      <c r="R318" s="24" t="str">
        <f t="shared" si="88"/>
        <v/>
      </c>
      <c r="S318" s="180">
        <f t="shared" si="69"/>
        <v>9</v>
      </c>
      <c r="T318" s="151"/>
      <c r="U318" s="25" t="str">
        <f t="shared" si="75"/>
        <v/>
      </c>
      <c r="V318" s="24" t="str">
        <f>IF(AND(ISNUMBER(R317),ISNUMBER(R318)),V317,IF(AND(R317="",ISNUMBER(R318)),IFERROR(LARGE($V$176:$V317,1)+1,0),""))</f>
        <v/>
      </c>
      <c r="W318" s="23" t="str">
        <f t="shared" si="76"/>
        <v/>
      </c>
      <c r="X318" s="22" t="str">
        <f t="shared" si="77"/>
        <v/>
      </c>
      <c r="Y318" s="22"/>
      <c r="Z318" s="22"/>
      <c r="AA318" s="22"/>
      <c r="AB318" s="22" t="str" cm="1">
        <f t="array" ref="AB318">IF(IF(AND($P317="",$P318=1),($N$37*-1),0)+IF(AND($Q317="",$Q318=1),($N$38*-1),0)+IF(IF(($K318-$N$48)&lt;1,0,IF(IF(INDEX($AD$176:$AD$905,($K318-$N$48))="",0,INDEX($AD$176:$AD$905,($K318-$N$48)))&gt;0,IF(INDEX($AD$176:$AD$905,($K318-$N$48))="",0,INDEX($AD$176:$AD$905,($K318-$N$48))),0))="",0,IF(($K318-$N$48)&lt;1,0,IF(IF(INDEX($AD$176:$AD$905,($K318-$N$48))="",0,INDEX($AD$176:$AD$905,($K318-$N$48)))&gt;0,IF(INDEX($AD$176:$AD$905,($K318-$N$48))="",0,INDEX($AD$176:$AD$905,($K318-$N$48))),0)))=0,"",IF(AND($P317="",$P318=1),($N$37*-1),0)+IF(AND($Q317="",$Q318=1),($N$38*-1),0)+IF(IF(($K318-$N$48)&lt;1,0,IF(IF(INDEX($AD$176:$AD$905,($K318-$N$48))="",0,INDEX($AD$176:$AD$905,($K318-$N$48)))&gt;0,IF(INDEX($AD$176:$AD$905,($K318-$N$48))="",0,INDEX($AD$176:$AD$905,($K318-$N$48))),0))="",0,IF(($K318-$N$48)&lt;1,0,IF(IF(INDEX($AD$176:$AD$905,($K318-$N$48))="",0,INDEX($AD$176:$AD$905,($K318-$N$48)))&gt;0,IF(INDEX($AD$176:$AD$905,($K318-$N$48))="",0,INDEX($AD$176:$AD$905,($K318-$N$48))),0))))</f>
        <v/>
      </c>
      <c r="AC318" s="22" t="str">
        <f t="shared" si="78"/>
        <v/>
      </c>
      <c r="AD318" s="22" t="str">
        <f t="shared" si="68"/>
        <v/>
      </c>
      <c r="AE318" s="22" t="str" cm="1">
        <f t="array" ref="AE318">IF(($K318-$N$48)&lt;1,"",IF((IF(INDEX($AC$176:$AC$905,($K318-$N$48))="",0,INDEX($AC$176:$AC$905,($K318-$N$48))))=0,"",(IF(INDEX($AC$176:$AC$905,($K318-$N$48))="",0,INDEX($AC$176:$AC$905,($K318-$N$48))))))</f>
        <v/>
      </c>
      <c r="AF318" s="31" t="str">
        <f t="shared" si="79"/>
        <v/>
      </c>
      <c r="AG318" s="31" t="str">
        <f t="shared" si="80"/>
        <v/>
      </c>
      <c r="AH318" s="31" t="str">
        <f t="shared" si="81"/>
        <v/>
      </c>
      <c r="AI318" s="31" t="str">
        <f t="shared" si="82"/>
        <v/>
      </c>
      <c r="AJ318" s="303" t="str">
        <f t="shared" si="83"/>
        <v/>
      </c>
      <c r="AK318" s="139" t="str">
        <f t="shared" si="84"/>
        <v/>
      </c>
      <c r="AM318" s="319"/>
      <c r="AN318" s="40"/>
      <c r="AO318" s="1"/>
    </row>
    <row r="319" spans="7:42" x14ac:dyDescent="0.25">
      <c r="G319" s="235" t="str">
        <f t="shared" si="70"/>
        <v/>
      </c>
      <c r="H319" s="4" t="str">
        <f t="shared" si="71"/>
        <v/>
      </c>
      <c r="I319" s="11" t="str">
        <f t="shared" si="72"/>
        <v>09.00</v>
      </c>
      <c r="K319" s="30">
        <v>144</v>
      </c>
      <c r="L319" s="29">
        <f t="shared" si="85"/>
        <v>11371.908376190917</v>
      </c>
      <c r="M319" s="28" t="str">
        <f t="shared" si="73"/>
        <v/>
      </c>
      <c r="N319" s="27" t="str">
        <f t="shared" si="86"/>
        <v/>
      </c>
      <c r="O319" s="26" t="str">
        <f>IF(AND($Q318=$O$38,IFERROR(LARGE($V$176:$V318,1)&lt;$N$42,TRUE)),1,IF(AND(ISNUMBER($O318),$O318&lt;$N$32),$O318+1,""))</f>
        <v/>
      </c>
      <c r="P319" s="26" t="str">
        <f t="shared" si="87"/>
        <v/>
      </c>
      <c r="Q319" s="26" t="str">
        <f t="shared" si="74"/>
        <v/>
      </c>
      <c r="R319" s="24" t="str">
        <f t="shared" si="88"/>
        <v/>
      </c>
      <c r="S319" s="180">
        <f t="shared" si="69"/>
        <v>9</v>
      </c>
      <c r="T319" s="151"/>
      <c r="U319" s="25" t="str">
        <f t="shared" si="75"/>
        <v/>
      </c>
      <c r="V319" s="24" t="str">
        <f>IF(AND(ISNUMBER(R318),ISNUMBER(R319)),V318,IF(AND(R318="",ISNUMBER(R319)),IFERROR(LARGE($V$176:$V318,1)+1,0),""))</f>
        <v/>
      </c>
      <c r="W319" s="23" t="str">
        <f t="shared" si="76"/>
        <v/>
      </c>
      <c r="X319" s="22" t="str">
        <f t="shared" si="77"/>
        <v/>
      </c>
      <c r="Y319" s="22"/>
      <c r="Z319" s="22"/>
      <c r="AA319" s="22"/>
      <c r="AB319" s="22" t="str" cm="1">
        <f t="array" ref="AB319">IF(IF(AND($P318="",$P319=1),($N$37*-1),0)+IF(AND($Q318="",$Q319=1),($N$38*-1),0)+IF(IF(($K319-$N$48)&lt;1,0,IF(IF(INDEX($AD$176:$AD$905,($K319-$N$48))="",0,INDEX($AD$176:$AD$905,($K319-$N$48)))&gt;0,IF(INDEX($AD$176:$AD$905,($K319-$N$48))="",0,INDEX($AD$176:$AD$905,($K319-$N$48))),0))="",0,IF(($K319-$N$48)&lt;1,0,IF(IF(INDEX($AD$176:$AD$905,($K319-$N$48))="",0,INDEX($AD$176:$AD$905,($K319-$N$48)))&gt;0,IF(INDEX($AD$176:$AD$905,($K319-$N$48))="",0,INDEX($AD$176:$AD$905,($K319-$N$48))),0)))=0,"",IF(AND($P318="",$P319=1),($N$37*-1),0)+IF(AND($Q318="",$Q319=1),($N$38*-1),0)+IF(IF(($K319-$N$48)&lt;1,0,IF(IF(INDEX($AD$176:$AD$905,($K319-$N$48))="",0,INDEX($AD$176:$AD$905,($K319-$N$48)))&gt;0,IF(INDEX($AD$176:$AD$905,($K319-$N$48))="",0,INDEX($AD$176:$AD$905,($K319-$N$48))),0))="",0,IF(($K319-$N$48)&lt;1,0,IF(IF(INDEX($AD$176:$AD$905,($K319-$N$48))="",0,INDEX($AD$176:$AD$905,($K319-$N$48)))&gt;0,IF(INDEX($AD$176:$AD$905,($K319-$N$48))="",0,INDEX($AD$176:$AD$905,($K319-$N$48))),0))))</f>
        <v/>
      </c>
      <c r="AC319" s="22" t="str">
        <f t="shared" si="78"/>
        <v/>
      </c>
      <c r="AD319" s="22" t="str">
        <f t="shared" si="68"/>
        <v/>
      </c>
      <c r="AE319" s="22" t="str" cm="1">
        <f t="array" ref="AE319">IF(($K319-$N$48)&lt;1,"",IF((IF(INDEX($AC$176:$AC$905,($K319-$N$48))="",0,INDEX($AC$176:$AC$905,($K319-$N$48))))=0,"",(IF(INDEX($AC$176:$AC$905,($K319-$N$48))="",0,INDEX($AC$176:$AC$905,($K319-$N$48))))))</f>
        <v/>
      </c>
      <c r="AF319" s="31" t="str">
        <f t="shared" si="79"/>
        <v/>
      </c>
      <c r="AG319" s="31" t="str">
        <f t="shared" si="80"/>
        <v/>
      </c>
      <c r="AH319" s="31" t="str">
        <f t="shared" si="81"/>
        <v/>
      </c>
      <c r="AI319" s="31" t="str">
        <f t="shared" si="82"/>
        <v/>
      </c>
      <c r="AJ319" s="303" t="str">
        <f t="shared" si="83"/>
        <v/>
      </c>
      <c r="AK319" s="139" t="str">
        <f t="shared" si="84"/>
        <v/>
      </c>
      <c r="AM319" s="319"/>
      <c r="AN319" s="40"/>
      <c r="AO319" s="1"/>
    </row>
    <row r="320" spans="7:42" x14ac:dyDescent="0.25">
      <c r="G320" s="235" t="str">
        <f t="shared" si="70"/>
        <v/>
      </c>
      <c r="H320" s="4" t="str">
        <f t="shared" si="71"/>
        <v/>
      </c>
      <c r="I320" s="11" t="str">
        <f t="shared" si="72"/>
        <v>09.00</v>
      </c>
      <c r="K320" s="30">
        <v>145</v>
      </c>
      <c r="L320" s="29">
        <f t="shared" si="85"/>
        <v>11371.908376190917</v>
      </c>
      <c r="M320" s="28" t="str">
        <f t="shared" si="73"/>
        <v/>
      </c>
      <c r="N320" s="27" t="str">
        <f t="shared" si="86"/>
        <v/>
      </c>
      <c r="O320" s="26" t="str">
        <f>IF(AND($Q319=$O$38,IFERROR(LARGE($V$176:$V319,1)&lt;$N$42,TRUE)),1,IF(AND(ISNUMBER($O319),$O319&lt;$N$32),$O319+1,""))</f>
        <v/>
      </c>
      <c r="P320" s="26" t="str">
        <f t="shared" si="87"/>
        <v/>
      </c>
      <c r="Q320" s="26" t="str">
        <f t="shared" si="74"/>
        <v/>
      </c>
      <c r="R320" s="24" t="str">
        <f t="shared" si="88"/>
        <v/>
      </c>
      <c r="S320" s="180">
        <f t="shared" si="69"/>
        <v>9</v>
      </c>
      <c r="T320" s="151"/>
      <c r="U320" s="25" t="str">
        <f t="shared" si="75"/>
        <v/>
      </c>
      <c r="V320" s="24" t="str">
        <f>IF(AND(ISNUMBER(R319),ISNUMBER(R320)),V319,IF(AND(R319="",ISNUMBER(R320)),IFERROR(LARGE($V$176:$V319,1)+1,0),""))</f>
        <v/>
      </c>
      <c r="W320" s="23" t="str">
        <f t="shared" si="76"/>
        <v/>
      </c>
      <c r="X320" s="22" t="str">
        <f t="shared" si="77"/>
        <v/>
      </c>
      <c r="Y320" s="22"/>
      <c r="Z320" s="22"/>
      <c r="AA320" s="22"/>
      <c r="AB320" s="22" t="str" cm="1">
        <f t="array" ref="AB320">IF(IF(AND($P319="",$P320=1),($N$37*-1),0)+IF(AND($Q319="",$Q320=1),($N$38*-1),0)+IF(IF(($K320-$N$48)&lt;1,0,IF(IF(INDEX($AD$176:$AD$905,($K320-$N$48))="",0,INDEX($AD$176:$AD$905,($K320-$N$48)))&gt;0,IF(INDEX($AD$176:$AD$905,($K320-$N$48))="",0,INDEX($AD$176:$AD$905,($K320-$N$48))),0))="",0,IF(($K320-$N$48)&lt;1,0,IF(IF(INDEX($AD$176:$AD$905,($K320-$N$48))="",0,INDEX($AD$176:$AD$905,($K320-$N$48)))&gt;0,IF(INDEX($AD$176:$AD$905,($K320-$N$48))="",0,INDEX($AD$176:$AD$905,($K320-$N$48))),0)))=0,"",IF(AND($P319="",$P320=1),($N$37*-1),0)+IF(AND($Q319="",$Q320=1),($N$38*-1),0)+IF(IF(($K320-$N$48)&lt;1,0,IF(IF(INDEX($AD$176:$AD$905,($K320-$N$48))="",0,INDEX($AD$176:$AD$905,($K320-$N$48)))&gt;0,IF(INDEX($AD$176:$AD$905,($K320-$N$48))="",0,INDEX($AD$176:$AD$905,($K320-$N$48))),0))="",0,IF(($K320-$N$48)&lt;1,0,IF(IF(INDEX($AD$176:$AD$905,($K320-$N$48))="",0,INDEX($AD$176:$AD$905,($K320-$N$48)))&gt;0,IF(INDEX($AD$176:$AD$905,($K320-$N$48))="",0,INDEX($AD$176:$AD$905,($K320-$N$48))),0))))</f>
        <v/>
      </c>
      <c r="AC320" s="22" t="str">
        <f t="shared" si="78"/>
        <v/>
      </c>
      <c r="AD320" s="22" t="str">
        <f t="shared" ref="AD320:AD383" si="89">IF(IF(OR(AND(ISNUMBER($U320),IF(ISNUMBER($U321),$U321,0)-IF(ISNUMBER($U320),$U320,0)=1),AND(ISNUMBER($U320),$U321="")),IF($U320=1,$P$37,0),0)=0,"",IF(OR(AND(ISNUMBER($U320),IF(ISNUMBER($U321),$U321,0)-IF(ISNUMBER($U320),$U320,0)=1),AND(ISNUMBER($U320),$U321="")),IF($U320=1,$P$37,0),0))</f>
        <v/>
      </c>
      <c r="AE320" s="22" t="str" cm="1">
        <f t="array" ref="AE320">IF(($K320-$N$48)&lt;1,"",IF((IF(INDEX($AC$176:$AC$905,($K320-$N$48))="",0,INDEX($AC$176:$AC$905,($K320-$N$48))))=0,"",(IF(INDEX($AC$176:$AC$905,($K320-$N$48))="",0,INDEX($AC$176:$AC$905,($K320-$N$48))))))</f>
        <v/>
      </c>
      <c r="AF320" s="31" t="str">
        <f t="shared" si="79"/>
        <v/>
      </c>
      <c r="AG320" s="31" t="str">
        <f t="shared" si="80"/>
        <v/>
      </c>
      <c r="AH320" s="31" t="str">
        <f t="shared" si="81"/>
        <v/>
      </c>
      <c r="AI320" s="31" t="str">
        <f t="shared" si="82"/>
        <v/>
      </c>
      <c r="AJ320" s="303" t="str">
        <f t="shared" si="83"/>
        <v/>
      </c>
      <c r="AK320" s="139" t="str">
        <f t="shared" si="84"/>
        <v/>
      </c>
      <c r="AM320" s="319"/>
      <c r="AN320" s="40"/>
      <c r="AO320" s="1"/>
    </row>
    <row r="321" spans="7:41" x14ac:dyDescent="0.25">
      <c r="G321" s="235" t="str">
        <f t="shared" si="70"/>
        <v/>
      </c>
      <c r="H321" s="4" t="str">
        <f t="shared" si="71"/>
        <v/>
      </c>
      <c r="I321" s="11" t="str">
        <f t="shared" si="72"/>
        <v>09.00</v>
      </c>
      <c r="K321" s="30">
        <v>146</v>
      </c>
      <c r="L321" s="29">
        <f t="shared" si="85"/>
        <v>11371.908376190917</v>
      </c>
      <c r="M321" s="28" t="str">
        <f t="shared" si="73"/>
        <v/>
      </c>
      <c r="N321" s="27" t="str">
        <f t="shared" si="86"/>
        <v/>
      </c>
      <c r="O321" s="26" t="str">
        <f>IF(AND($Q320=$O$38,IFERROR(LARGE($V$176:$V320,1)&lt;$N$42,TRUE)),1,IF(AND(ISNUMBER($O320),$O320&lt;$N$32),$O320+1,""))</f>
        <v/>
      </c>
      <c r="P321" s="26" t="str">
        <f t="shared" si="87"/>
        <v/>
      </c>
      <c r="Q321" s="26" t="str">
        <f t="shared" si="74"/>
        <v/>
      </c>
      <c r="R321" s="24" t="str">
        <f t="shared" si="88"/>
        <v/>
      </c>
      <c r="S321" s="180">
        <f t="shared" si="69"/>
        <v>9</v>
      </c>
      <c r="T321" s="151"/>
      <c r="U321" s="25" t="str">
        <f t="shared" si="75"/>
        <v/>
      </c>
      <c r="V321" s="24" t="str">
        <f>IF(AND(ISNUMBER(R320),ISNUMBER(R321)),V320,IF(AND(R320="",ISNUMBER(R321)),IFERROR(LARGE($V$176:$V320,1)+1,0),""))</f>
        <v/>
      </c>
      <c r="W321" s="23" t="str">
        <f t="shared" si="76"/>
        <v/>
      </c>
      <c r="X321" s="22" t="str">
        <f t="shared" si="77"/>
        <v/>
      </c>
      <c r="Y321" s="22"/>
      <c r="Z321" s="22"/>
      <c r="AA321" s="22"/>
      <c r="AB321" s="22" t="str" cm="1">
        <f t="array" ref="AB321">IF(IF(AND($P320="",$P321=1),($N$37*-1),0)+IF(AND($Q320="",$Q321=1),($N$38*-1),0)+IF(IF(($K321-$N$48)&lt;1,0,IF(IF(INDEX($AD$176:$AD$905,($K321-$N$48))="",0,INDEX($AD$176:$AD$905,($K321-$N$48)))&gt;0,IF(INDEX($AD$176:$AD$905,($K321-$N$48))="",0,INDEX($AD$176:$AD$905,($K321-$N$48))),0))="",0,IF(($K321-$N$48)&lt;1,0,IF(IF(INDEX($AD$176:$AD$905,($K321-$N$48))="",0,INDEX($AD$176:$AD$905,($K321-$N$48)))&gt;0,IF(INDEX($AD$176:$AD$905,($K321-$N$48))="",0,INDEX($AD$176:$AD$905,($K321-$N$48))),0)))=0,"",IF(AND($P320="",$P321=1),($N$37*-1),0)+IF(AND($Q320="",$Q321=1),($N$38*-1),0)+IF(IF(($K321-$N$48)&lt;1,0,IF(IF(INDEX($AD$176:$AD$905,($K321-$N$48))="",0,INDEX($AD$176:$AD$905,($K321-$N$48)))&gt;0,IF(INDEX($AD$176:$AD$905,($K321-$N$48))="",0,INDEX($AD$176:$AD$905,($K321-$N$48))),0))="",0,IF(($K321-$N$48)&lt;1,0,IF(IF(INDEX($AD$176:$AD$905,($K321-$N$48))="",0,INDEX($AD$176:$AD$905,($K321-$N$48)))&gt;0,IF(INDEX($AD$176:$AD$905,($K321-$N$48))="",0,INDEX($AD$176:$AD$905,($K321-$N$48))),0))))</f>
        <v/>
      </c>
      <c r="AC321" s="22" t="str">
        <f t="shared" si="78"/>
        <v/>
      </c>
      <c r="AD321" s="22" t="str">
        <f t="shared" si="89"/>
        <v/>
      </c>
      <c r="AE321" s="22" t="str" cm="1">
        <f t="array" ref="AE321">IF(($K321-$N$48)&lt;1,"",IF((IF(INDEX($AC$176:$AC$905,($K321-$N$48))="",0,INDEX($AC$176:$AC$905,($K321-$N$48))))=0,"",(IF(INDEX($AC$176:$AC$905,($K321-$N$48))="",0,INDEX($AC$176:$AC$905,($K321-$N$48))))))</f>
        <v/>
      </c>
      <c r="AF321" s="31" t="str">
        <f t="shared" si="79"/>
        <v/>
      </c>
      <c r="AG321" s="31" t="str">
        <f t="shared" si="80"/>
        <v/>
      </c>
      <c r="AH321" s="31" t="str">
        <f t="shared" si="81"/>
        <v/>
      </c>
      <c r="AI321" s="31" t="str">
        <f t="shared" si="82"/>
        <v/>
      </c>
      <c r="AJ321" s="303" t="str">
        <f t="shared" si="83"/>
        <v/>
      </c>
      <c r="AK321" s="139" t="str">
        <f t="shared" si="84"/>
        <v/>
      </c>
      <c r="AM321" s="319"/>
      <c r="AN321" s="40"/>
      <c r="AO321" s="1"/>
    </row>
    <row r="322" spans="7:41" x14ac:dyDescent="0.25">
      <c r="G322" s="235" t="str">
        <f t="shared" si="70"/>
        <v/>
      </c>
      <c r="H322" s="4" t="str">
        <f t="shared" si="71"/>
        <v/>
      </c>
      <c r="I322" s="11" t="str">
        <f t="shared" si="72"/>
        <v>09.00</v>
      </c>
      <c r="K322" s="30">
        <v>147</v>
      </c>
      <c r="L322" s="29">
        <f t="shared" si="85"/>
        <v>11371.908376190917</v>
      </c>
      <c r="M322" s="28" t="str">
        <f t="shared" si="73"/>
        <v/>
      </c>
      <c r="N322" s="27" t="str">
        <f t="shared" si="86"/>
        <v/>
      </c>
      <c r="O322" s="26" t="str">
        <f>IF(AND($Q321=$O$38,IFERROR(LARGE($V$176:$V321,1)&lt;$N$42,TRUE)),1,IF(AND(ISNUMBER($O321),$O321&lt;$N$32),$O321+1,""))</f>
        <v/>
      </c>
      <c r="P322" s="26" t="str">
        <f t="shared" si="87"/>
        <v/>
      </c>
      <c r="Q322" s="26" t="str">
        <f t="shared" si="74"/>
        <v/>
      </c>
      <c r="R322" s="24" t="str">
        <f t="shared" si="88"/>
        <v/>
      </c>
      <c r="S322" s="180">
        <f t="shared" si="69"/>
        <v>9</v>
      </c>
      <c r="T322" s="151"/>
      <c r="U322" s="25" t="str">
        <f t="shared" si="75"/>
        <v/>
      </c>
      <c r="V322" s="24" t="str">
        <f>IF(AND(ISNUMBER(R321),ISNUMBER(R322)),V321,IF(AND(R321="",ISNUMBER(R322)),IFERROR(LARGE($V$176:$V321,1)+1,0),""))</f>
        <v/>
      </c>
      <c r="W322" s="23" t="str">
        <f t="shared" si="76"/>
        <v/>
      </c>
      <c r="X322" s="22" t="str">
        <f t="shared" si="77"/>
        <v/>
      </c>
      <c r="Y322" s="22"/>
      <c r="Z322" s="22"/>
      <c r="AA322" s="22"/>
      <c r="AB322" s="22" t="str" cm="1">
        <f t="array" ref="AB322">IF(IF(AND($P321="",$P322=1),($N$37*-1),0)+IF(AND($Q321="",$Q322=1),($N$38*-1),0)+IF(IF(($K322-$N$48)&lt;1,0,IF(IF(INDEX($AD$176:$AD$905,($K322-$N$48))="",0,INDEX($AD$176:$AD$905,($K322-$N$48)))&gt;0,IF(INDEX($AD$176:$AD$905,($K322-$N$48))="",0,INDEX($AD$176:$AD$905,($K322-$N$48))),0))="",0,IF(($K322-$N$48)&lt;1,0,IF(IF(INDEX($AD$176:$AD$905,($K322-$N$48))="",0,INDEX($AD$176:$AD$905,($K322-$N$48)))&gt;0,IF(INDEX($AD$176:$AD$905,($K322-$N$48))="",0,INDEX($AD$176:$AD$905,($K322-$N$48))),0)))=0,"",IF(AND($P321="",$P322=1),($N$37*-1),0)+IF(AND($Q321="",$Q322=1),($N$38*-1),0)+IF(IF(($K322-$N$48)&lt;1,0,IF(IF(INDEX($AD$176:$AD$905,($K322-$N$48))="",0,INDEX($AD$176:$AD$905,($K322-$N$48)))&gt;0,IF(INDEX($AD$176:$AD$905,($K322-$N$48))="",0,INDEX($AD$176:$AD$905,($K322-$N$48))),0))="",0,IF(($K322-$N$48)&lt;1,0,IF(IF(INDEX($AD$176:$AD$905,($K322-$N$48))="",0,INDEX($AD$176:$AD$905,($K322-$N$48)))&gt;0,IF(INDEX($AD$176:$AD$905,($K322-$N$48))="",0,INDEX($AD$176:$AD$905,($K322-$N$48))),0))))</f>
        <v/>
      </c>
      <c r="AC322" s="22" t="str">
        <f t="shared" si="78"/>
        <v/>
      </c>
      <c r="AD322" s="22" t="str">
        <f t="shared" si="89"/>
        <v/>
      </c>
      <c r="AE322" s="22" t="str" cm="1">
        <f t="array" ref="AE322">IF(($K322-$N$48)&lt;1,"",IF((IF(INDEX($AC$176:$AC$905,($K322-$N$48))="",0,INDEX($AC$176:$AC$905,($K322-$N$48))))=0,"",(IF(INDEX($AC$176:$AC$905,($K322-$N$48))="",0,INDEX($AC$176:$AC$905,($K322-$N$48))))))</f>
        <v/>
      </c>
      <c r="AF322" s="31" t="str">
        <f t="shared" si="79"/>
        <v/>
      </c>
      <c r="AG322" s="31" t="str">
        <f t="shared" si="80"/>
        <v/>
      </c>
      <c r="AH322" s="31" t="str">
        <f t="shared" si="81"/>
        <v/>
      </c>
      <c r="AI322" s="31" t="str">
        <f t="shared" si="82"/>
        <v/>
      </c>
      <c r="AJ322" s="303" t="str">
        <f t="shared" si="83"/>
        <v/>
      </c>
      <c r="AK322" s="139" t="str">
        <f t="shared" si="84"/>
        <v/>
      </c>
      <c r="AM322" s="319"/>
      <c r="AN322" s="40"/>
      <c r="AO322" s="1"/>
    </row>
    <row r="323" spans="7:41" x14ac:dyDescent="0.25">
      <c r="G323" s="235" t="str">
        <f t="shared" si="70"/>
        <v/>
      </c>
      <c r="H323" s="4" t="str">
        <f t="shared" si="71"/>
        <v/>
      </c>
      <c r="I323" s="11" t="str">
        <f t="shared" si="72"/>
        <v>09.00</v>
      </c>
      <c r="K323" s="30">
        <v>148</v>
      </c>
      <c r="L323" s="29">
        <f t="shared" si="85"/>
        <v>11371.908376190917</v>
      </c>
      <c r="M323" s="28" t="str">
        <f t="shared" si="73"/>
        <v/>
      </c>
      <c r="N323" s="27" t="str">
        <f t="shared" si="86"/>
        <v/>
      </c>
      <c r="O323" s="26" t="str">
        <f>IF(AND($Q322=$O$38,IFERROR(LARGE($V$176:$V322,1)&lt;$N$42,TRUE)),1,IF(AND(ISNUMBER($O322),$O322&lt;$N$32),$O322+1,""))</f>
        <v/>
      </c>
      <c r="P323" s="26" t="str">
        <f t="shared" si="87"/>
        <v/>
      </c>
      <c r="Q323" s="26" t="str">
        <f t="shared" si="74"/>
        <v/>
      </c>
      <c r="R323" s="24" t="str">
        <f t="shared" si="88"/>
        <v/>
      </c>
      <c r="S323" s="180">
        <f t="shared" si="69"/>
        <v>9</v>
      </c>
      <c r="T323" s="151"/>
      <c r="U323" s="25" t="str">
        <f t="shared" si="75"/>
        <v/>
      </c>
      <c r="V323" s="24" t="str">
        <f>IF(AND(ISNUMBER(R322),ISNUMBER(R323)),V322,IF(AND(R322="",ISNUMBER(R323)),IFERROR(LARGE($V$176:$V322,1)+1,0),""))</f>
        <v/>
      </c>
      <c r="W323" s="23" t="str">
        <f t="shared" si="76"/>
        <v/>
      </c>
      <c r="X323" s="22" t="str">
        <f t="shared" si="77"/>
        <v/>
      </c>
      <c r="Y323" s="22"/>
      <c r="Z323" s="22"/>
      <c r="AA323" s="22"/>
      <c r="AB323" s="22" t="str" cm="1">
        <f t="array" ref="AB323">IF(IF(AND($P322="",$P323=1),($N$37*-1),0)+IF(AND($Q322="",$Q323=1),($N$38*-1),0)+IF(IF(($K323-$N$48)&lt;1,0,IF(IF(INDEX($AD$176:$AD$905,($K323-$N$48))="",0,INDEX($AD$176:$AD$905,($K323-$N$48)))&gt;0,IF(INDEX($AD$176:$AD$905,($K323-$N$48))="",0,INDEX($AD$176:$AD$905,($K323-$N$48))),0))="",0,IF(($K323-$N$48)&lt;1,0,IF(IF(INDEX($AD$176:$AD$905,($K323-$N$48))="",0,INDEX($AD$176:$AD$905,($K323-$N$48)))&gt;0,IF(INDEX($AD$176:$AD$905,($K323-$N$48))="",0,INDEX($AD$176:$AD$905,($K323-$N$48))),0)))=0,"",IF(AND($P322="",$P323=1),($N$37*-1),0)+IF(AND($Q322="",$Q323=1),($N$38*-1),0)+IF(IF(($K323-$N$48)&lt;1,0,IF(IF(INDEX($AD$176:$AD$905,($K323-$N$48))="",0,INDEX($AD$176:$AD$905,($K323-$N$48)))&gt;0,IF(INDEX($AD$176:$AD$905,($K323-$N$48))="",0,INDEX($AD$176:$AD$905,($K323-$N$48))),0))="",0,IF(($K323-$N$48)&lt;1,0,IF(IF(INDEX($AD$176:$AD$905,($K323-$N$48))="",0,INDEX($AD$176:$AD$905,($K323-$N$48)))&gt;0,IF(INDEX($AD$176:$AD$905,($K323-$N$48))="",0,INDEX($AD$176:$AD$905,($K323-$N$48))),0))))</f>
        <v/>
      </c>
      <c r="AC323" s="22" t="str">
        <f t="shared" si="78"/>
        <v/>
      </c>
      <c r="AD323" s="22" t="str">
        <f t="shared" si="89"/>
        <v/>
      </c>
      <c r="AE323" s="22" t="str" cm="1">
        <f t="array" ref="AE323">IF(($K323-$N$48)&lt;1,"",IF((IF(INDEX($AC$176:$AC$905,($K323-$N$48))="",0,INDEX($AC$176:$AC$905,($K323-$N$48))))=0,"",(IF(INDEX($AC$176:$AC$905,($K323-$N$48))="",0,INDEX($AC$176:$AC$905,($K323-$N$48))))))</f>
        <v/>
      </c>
      <c r="AF323" s="31" t="str">
        <f t="shared" si="79"/>
        <v/>
      </c>
      <c r="AG323" s="31" t="str">
        <f t="shared" si="80"/>
        <v/>
      </c>
      <c r="AH323" s="31" t="str">
        <f t="shared" si="81"/>
        <v/>
      </c>
      <c r="AI323" s="31" t="str">
        <f t="shared" si="82"/>
        <v/>
      </c>
      <c r="AJ323" s="303" t="str">
        <f t="shared" si="83"/>
        <v/>
      </c>
      <c r="AK323" s="139" t="str">
        <f t="shared" si="84"/>
        <v/>
      </c>
      <c r="AM323" s="319"/>
      <c r="AN323" s="40"/>
      <c r="AO323" s="1"/>
    </row>
    <row r="324" spans="7:41" x14ac:dyDescent="0.25">
      <c r="G324" s="235" t="str">
        <f t="shared" si="70"/>
        <v/>
      </c>
      <c r="H324" s="4" t="str">
        <f t="shared" si="71"/>
        <v/>
      </c>
      <c r="I324" s="11" t="str">
        <f t="shared" si="72"/>
        <v>09.00</v>
      </c>
      <c r="K324" s="30">
        <v>149</v>
      </c>
      <c r="L324" s="29">
        <f t="shared" si="85"/>
        <v>11371.908376190917</v>
      </c>
      <c r="M324" s="28" t="str">
        <f t="shared" si="73"/>
        <v/>
      </c>
      <c r="N324" s="27" t="str">
        <f t="shared" si="86"/>
        <v/>
      </c>
      <c r="O324" s="26" t="str">
        <f>IF(AND($Q323=$O$38,IFERROR(LARGE($V$176:$V323,1)&lt;$N$42,TRUE)),1,IF(AND(ISNUMBER($O323),$O323&lt;$N$32),$O323+1,""))</f>
        <v/>
      </c>
      <c r="P324" s="26" t="str">
        <f t="shared" si="87"/>
        <v/>
      </c>
      <c r="Q324" s="26" t="str">
        <f t="shared" si="74"/>
        <v/>
      </c>
      <c r="R324" s="24" t="str">
        <f t="shared" si="88"/>
        <v/>
      </c>
      <c r="S324" s="180">
        <f t="shared" si="69"/>
        <v>9</v>
      </c>
      <c r="T324" s="151"/>
      <c r="U324" s="25" t="str">
        <f t="shared" si="75"/>
        <v/>
      </c>
      <c r="V324" s="24" t="str">
        <f>IF(AND(ISNUMBER(R323),ISNUMBER(R324)),V323,IF(AND(R323="",ISNUMBER(R324)),IFERROR(LARGE($V$176:$V323,1)+1,0),""))</f>
        <v/>
      </c>
      <c r="W324" s="23" t="str">
        <f t="shared" si="76"/>
        <v/>
      </c>
      <c r="X324" s="22" t="str">
        <f t="shared" si="77"/>
        <v/>
      </c>
      <c r="Y324" s="22"/>
      <c r="Z324" s="22"/>
      <c r="AA324" s="22"/>
      <c r="AB324" s="22" t="str" cm="1">
        <f t="array" ref="AB324">IF(IF(AND($P323="",$P324=1),($N$37*-1),0)+IF(AND($Q323="",$Q324=1),($N$38*-1),0)+IF(IF(($K324-$N$48)&lt;1,0,IF(IF(INDEX($AD$176:$AD$905,($K324-$N$48))="",0,INDEX($AD$176:$AD$905,($K324-$N$48)))&gt;0,IF(INDEX($AD$176:$AD$905,($K324-$N$48))="",0,INDEX($AD$176:$AD$905,($K324-$N$48))),0))="",0,IF(($K324-$N$48)&lt;1,0,IF(IF(INDEX($AD$176:$AD$905,($K324-$N$48))="",0,INDEX($AD$176:$AD$905,($K324-$N$48)))&gt;0,IF(INDEX($AD$176:$AD$905,($K324-$N$48))="",0,INDEX($AD$176:$AD$905,($K324-$N$48))),0)))=0,"",IF(AND($P323="",$P324=1),($N$37*-1),0)+IF(AND($Q323="",$Q324=1),($N$38*-1),0)+IF(IF(($K324-$N$48)&lt;1,0,IF(IF(INDEX($AD$176:$AD$905,($K324-$N$48))="",0,INDEX($AD$176:$AD$905,($K324-$N$48)))&gt;0,IF(INDEX($AD$176:$AD$905,($K324-$N$48))="",0,INDEX($AD$176:$AD$905,($K324-$N$48))),0))="",0,IF(($K324-$N$48)&lt;1,0,IF(IF(INDEX($AD$176:$AD$905,($K324-$N$48))="",0,INDEX($AD$176:$AD$905,($K324-$N$48)))&gt;0,IF(INDEX($AD$176:$AD$905,($K324-$N$48))="",0,INDEX($AD$176:$AD$905,($K324-$N$48))),0))))</f>
        <v/>
      </c>
      <c r="AC324" s="22" t="str">
        <f t="shared" si="78"/>
        <v/>
      </c>
      <c r="AD324" s="22" t="str">
        <f t="shared" si="89"/>
        <v/>
      </c>
      <c r="AE324" s="22" t="str" cm="1">
        <f t="array" ref="AE324">IF(($K324-$N$48)&lt;1,"",IF((IF(INDEX($AC$176:$AC$905,($K324-$N$48))="",0,INDEX($AC$176:$AC$905,($K324-$N$48))))=0,"",(IF(INDEX($AC$176:$AC$905,($K324-$N$48))="",0,INDEX($AC$176:$AC$905,($K324-$N$48))))))</f>
        <v/>
      </c>
      <c r="AF324" s="31" t="str">
        <f t="shared" si="79"/>
        <v/>
      </c>
      <c r="AG324" s="31" t="str">
        <f t="shared" si="80"/>
        <v/>
      </c>
      <c r="AH324" s="31" t="str">
        <f t="shared" si="81"/>
        <v/>
      </c>
      <c r="AI324" s="31" t="str">
        <f t="shared" si="82"/>
        <v/>
      </c>
      <c r="AJ324" s="303" t="str">
        <f t="shared" si="83"/>
        <v/>
      </c>
      <c r="AK324" s="139" t="str">
        <f t="shared" si="84"/>
        <v/>
      </c>
      <c r="AM324" s="319"/>
      <c r="AN324" s="40"/>
      <c r="AO324" s="1"/>
    </row>
    <row r="325" spans="7:41" x14ac:dyDescent="0.25">
      <c r="G325" s="235" t="str">
        <f t="shared" si="70"/>
        <v/>
      </c>
      <c r="H325" s="4" t="str">
        <f t="shared" si="71"/>
        <v/>
      </c>
      <c r="I325" s="11" t="str">
        <f t="shared" si="72"/>
        <v>09.00</v>
      </c>
      <c r="K325" s="30">
        <v>150</v>
      </c>
      <c r="L325" s="29">
        <f t="shared" si="85"/>
        <v>11371.908376190917</v>
      </c>
      <c r="M325" s="28" t="str">
        <f t="shared" si="73"/>
        <v/>
      </c>
      <c r="N325" s="27" t="str">
        <f t="shared" si="86"/>
        <v/>
      </c>
      <c r="O325" s="26" t="str">
        <f>IF(AND($Q324=$O$38,IFERROR(LARGE($V$176:$V324,1)&lt;$N$42,TRUE)),1,IF(AND(ISNUMBER($O324),$O324&lt;$N$32),$O324+1,""))</f>
        <v/>
      </c>
      <c r="P325" s="26" t="str">
        <f t="shared" si="87"/>
        <v/>
      </c>
      <c r="Q325" s="26" t="str">
        <f t="shared" si="74"/>
        <v/>
      </c>
      <c r="R325" s="24" t="str">
        <f t="shared" si="88"/>
        <v/>
      </c>
      <c r="S325" s="180">
        <f t="shared" si="69"/>
        <v>9</v>
      </c>
      <c r="T325" s="151"/>
      <c r="U325" s="25" t="str">
        <f t="shared" si="75"/>
        <v/>
      </c>
      <c r="V325" s="24" t="str">
        <f>IF(AND(ISNUMBER(R324),ISNUMBER(R325)),V324,IF(AND(R324="",ISNUMBER(R325)),IFERROR(LARGE($V$176:$V324,1)+1,0),""))</f>
        <v/>
      </c>
      <c r="W325" s="23" t="str">
        <f t="shared" si="76"/>
        <v/>
      </c>
      <c r="X325" s="22" t="str">
        <f t="shared" si="77"/>
        <v/>
      </c>
      <c r="Y325" s="22"/>
      <c r="Z325" s="22"/>
      <c r="AA325" s="22"/>
      <c r="AB325" s="22" t="str" cm="1">
        <f t="array" ref="AB325">IF(IF(AND($P324="",$P325=1),($N$37*-1),0)+IF(AND($Q324="",$Q325=1),($N$38*-1),0)+IF(IF(($K325-$N$48)&lt;1,0,IF(IF(INDEX($AD$176:$AD$905,($K325-$N$48))="",0,INDEX($AD$176:$AD$905,($K325-$N$48)))&gt;0,IF(INDEX($AD$176:$AD$905,($K325-$N$48))="",0,INDEX($AD$176:$AD$905,($K325-$N$48))),0))="",0,IF(($K325-$N$48)&lt;1,0,IF(IF(INDEX($AD$176:$AD$905,($K325-$N$48))="",0,INDEX($AD$176:$AD$905,($K325-$N$48)))&gt;0,IF(INDEX($AD$176:$AD$905,($K325-$N$48))="",0,INDEX($AD$176:$AD$905,($K325-$N$48))),0)))=0,"",IF(AND($P324="",$P325=1),($N$37*-1),0)+IF(AND($Q324="",$Q325=1),($N$38*-1),0)+IF(IF(($K325-$N$48)&lt;1,0,IF(IF(INDEX($AD$176:$AD$905,($K325-$N$48))="",0,INDEX($AD$176:$AD$905,($K325-$N$48)))&gt;0,IF(INDEX($AD$176:$AD$905,($K325-$N$48))="",0,INDEX($AD$176:$AD$905,($K325-$N$48))),0))="",0,IF(($K325-$N$48)&lt;1,0,IF(IF(INDEX($AD$176:$AD$905,($K325-$N$48))="",0,INDEX($AD$176:$AD$905,($K325-$N$48)))&gt;0,IF(INDEX($AD$176:$AD$905,($K325-$N$48))="",0,INDEX($AD$176:$AD$905,($K325-$N$48))),0))))</f>
        <v/>
      </c>
      <c r="AC325" s="22" t="str">
        <f t="shared" si="78"/>
        <v/>
      </c>
      <c r="AD325" s="22" t="str">
        <f t="shared" si="89"/>
        <v/>
      </c>
      <c r="AE325" s="22" t="str" cm="1">
        <f t="array" ref="AE325">IF(($K325-$N$48)&lt;1,"",IF((IF(INDEX($AC$176:$AC$905,($K325-$N$48))="",0,INDEX($AC$176:$AC$905,($K325-$N$48))))=0,"",(IF(INDEX($AC$176:$AC$905,($K325-$N$48))="",0,INDEX($AC$176:$AC$905,($K325-$N$48))))))</f>
        <v/>
      </c>
      <c r="AF325" s="31" t="str">
        <f t="shared" si="79"/>
        <v/>
      </c>
      <c r="AG325" s="31" t="str">
        <f t="shared" si="80"/>
        <v/>
      </c>
      <c r="AH325" s="31" t="str">
        <f t="shared" si="81"/>
        <v/>
      </c>
      <c r="AI325" s="31" t="str">
        <f t="shared" si="82"/>
        <v/>
      </c>
      <c r="AJ325" s="303" t="str">
        <f t="shared" si="83"/>
        <v/>
      </c>
      <c r="AK325" s="139" t="str">
        <f t="shared" si="84"/>
        <v/>
      </c>
      <c r="AM325" s="319"/>
      <c r="AN325" s="40"/>
      <c r="AO325" s="1"/>
    </row>
    <row r="326" spans="7:41" x14ac:dyDescent="0.25">
      <c r="G326" s="235" t="str">
        <f t="shared" si="70"/>
        <v/>
      </c>
      <c r="H326" s="4" t="str">
        <f t="shared" si="71"/>
        <v/>
      </c>
      <c r="I326" s="11" t="str">
        <f t="shared" si="72"/>
        <v>09.00</v>
      </c>
      <c r="K326" s="30">
        <v>151</v>
      </c>
      <c r="L326" s="29">
        <f t="shared" si="85"/>
        <v>11371.908376190917</v>
      </c>
      <c r="M326" s="28" t="str">
        <f t="shared" si="73"/>
        <v/>
      </c>
      <c r="N326" s="27" t="str">
        <f t="shared" si="86"/>
        <v/>
      </c>
      <c r="O326" s="26" t="str">
        <f>IF(AND($Q325=$O$38,IFERROR(LARGE($V$176:$V325,1)&lt;$N$42,TRUE)),1,IF(AND(ISNUMBER($O325),$O325&lt;$N$32),$O325+1,""))</f>
        <v/>
      </c>
      <c r="P326" s="26" t="str">
        <f t="shared" si="87"/>
        <v/>
      </c>
      <c r="Q326" s="26" t="str">
        <f t="shared" si="74"/>
        <v/>
      </c>
      <c r="R326" s="24" t="str">
        <f t="shared" si="88"/>
        <v/>
      </c>
      <c r="S326" s="180">
        <f t="shared" si="69"/>
        <v>9</v>
      </c>
      <c r="T326" s="151"/>
      <c r="U326" s="25" t="str">
        <f t="shared" si="75"/>
        <v/>
      </c>
      <c r="V326" s="24" t="str">
        <f>IF(AND(ISNUMBER(R325),ISNUMBER(R326)),V325,IF(AND(R325="",ISNUMBER(R326)),IFERROR(LARGE($V$176:$V325,1)+1,0),""))</f>
        <v/>
      </c>
      <c r="W326" s="23" t="str">
        <f t="shared" si="76"/>
        <v/>
      </c>
      <c r="X326" s="22" t="str">
        <f t="shared" si="77"/>
        <v/>
      </c>
      <c r="Y326" s="22"/>
      <c r="Z326" s="22"/>
      <c r="AA326" s="22"/>
      <c r="AB326" s="22" t="str" cm="1">
        <f t="array" ref="AB326">IF(IF(AND($P325="",$P326=1),($N$37*-1),0)+IF(AND($Q325="",$Q326=1),($N$38*-1),0)+IF(IF(($K326-$N$48)&lt;1,0,IF(IF(INDEX($AD$176:$AD$905,($K326-$N$48))="",0,INDEX($AD$176:$AD$905,($K326-$N$48)))&gt;0,IF(INDEX($AD$176:$AD$905,($K326-$N$48))="",0,INDEX($AD$176:$AD$905,($K326-$N$48))),0))="",0,IF(($K326-$N$48)&lt;1,0,IF(IF(INDEX($AD$176:$AD$905,($K326-$N$48))="",0,INDEX($AD$176:$AD$905,($K326-$N$48)))&gt;0,IF(INDEX($AD$176:$AD$905,($K326-$N$48))="",0,INDEX($AD$176:$AD$905,($K326-$N$48))),0)))=0,"",IF(AND($P325="",$P326=1),($N$37*-1),0)+IF(AND($Q325="",$Q326=1),($N$38*-1),0)+IF(IF(($K326-$N$48)&lt;1,0,IF(IF(INDEX($AD$176:$AD$905,($K326-$N$48))="",0,INDEX($AD$176:$AD$905,($K326-$N$48)))&gt;0,IF(INDEX($AD$176:$AD$905,($K326-$N$48))="",0,INDEX($AD$176:$AD$905,($K326-$N$48))),0))="",0,IF(($K326-$N$48)&lt;1,0,IF(IF(INDEX($AD$176:$AD$905,($K326-$N$48))="",0,INDEX($AD$176:$AD$905,($K326-$N$48)))&gt;0,IF(INDEX($AD$176:$AD$905,($K326-$N$48))="",0,INDEX($AD$176:$AD$905,($K326-$N$48))),0))))</f>
        <v/>
      </c>
      <c r="AC326" s="22" t="str">
        <f t="shared" si="78"/>
        <v/>
      </c>
      <c r="AD326" s="22" t="str">
        <f t="shared" si="89"/>
        <v/>
      </c>
      <c r="AE326" s="22" t="str" cm="1">
        <f t="array" ref="AE326">IF(($K326-$N$48)&lt;1,"",IF((IF(INDEX($AC$176:$AC$905,($K326-$N$48))="",0,INDEX($AC$176:$AC$905,($K326-$N$48))))=0,"",(IF(INDEX($AC$176:$AC$905,($K326-$N$48))="",0,INDEX($AC$176:$AC$905,($K326-$N$48))))))</f>
        <v/>
      </c>
      <c r="AF326" s="31" t="str">
        <f t="shared" si="79"/>
        <v/>
      </c>
      <c r="AG326" s="31" t="str">
        <f t="shared" si="80"/>
        <v/>
      </c>
      <c r="AH326" s="31" t="str">
        <f t="shared" si="81"/>
        <v/>
      </c>
      <c r="AI326" s="31" t="str">
        <f t="shared" si="82"/>
        <v/>
      </c>
      <c r="AJ326" s="303" t="str">
        <f t="shared" si="83"/>
        <v/>
      </c>
      <c r="AK326" s="139" t="str">
        <f t="shared" si="84"/>
        <v/>
      </c>
      <c r="AM326" s="319"/>
      <c r="AN326" s="40"/>
      <c r="AO326" s="1"/>
    </row>
    <row r="327" spans="7:41" x14ac:dyDescent="0.25">
      <c r="G327" s="235" t="str">
        <f t="shared" si="70"/>
        <v/>
      </c>
      <c r="H327" s="4" t="str">
        <f t="shared" si="71"/>
        <v/>
      </c>
      <c r="I327" s="11" t="str">
        <f t="shared" si="72"/>
        <v>09.00</v>
      </c>
      <c r="K327" s="30">
        <v>152</v>
      </c>
      <c r="L327" s="29">
        <f t="shared" si="85"/>
        <v>11371.908376190917</v>
      </c>
      <c r="M327" s="28" t="str">
        <f t="shared" si="73"/>
        <v/>
      </c>
      <c r="N327" s="27" t="str">
        <f t="shared" si="86"/>
        <v/>
      </c>
      <c r="O327" s="26" t="str">
        <f>IF(AND($Q326=$O$38,IFERROR(LARGE($V$176:$V326,1)&lt;$N$42,TRUE)),1,IF(AND(ISNUMBER($O326),$O326&lt;$N$32),$O326+1,""))</f>
        <v/>
      </c>
      <c r="P327" s="26" t="str">
        <f t="shared" si="87"/>
        <v/>
      </c>
      <c r="Q327" s="26" t="str">
        <f t="shared" si="74"/>
        <v/>
      </c>
      <c r="R327" s="24" t="str">
        <f t="shared" si="88"/>
        <v/>
      </c>
      <c r="S327" s="180">
        <f t="shared" si="69"/>
        <v>9</v>
      </c>
      <c r="T327" s="151"/>
      <c r="U327" s="25" t="str">
        <f t="shared" si="75"/>
        <v/>
      </c>
      <c r="V327" s="24" t="str">
        <f>IF(AND(ISNUMBER(R326),ISNUMBER(R327)),V326,IF(AND(R326="",ISNUMBER(R327)),IFERROR(LARGE($V$176:$V326,1)+1,0),""))</f>
        <v/>
      </c>
      <c r="W327" s="23" t="str">
        <f t="shared" si="76"/>
        <v/>
      </c>
      <c r="X327" s="22" t="str">
        <f t="shared" si="77"/>
        <v/>
      </c>
      <c r="Y327" s="22"/>
      <c r="Z327" s="22"/>
      <c r="AA327" s="22"/>
      <c r="AB327" s="22" t="str" cm="1">
        <f t="array" ref="AB327">IF(IF(AND($P326="",$P327=1),($N$37*-1),0)+IF(AND($Q326="",$Q327=1),($N$38*-1),0)+IF(IF(($K327-$N$48)&lt;1,0,IF(IF(INDEX($AD$176:$AD$905,($K327-$N$48))="",0,INDEX($AD$176:$AD$905,($K327-$N$48)))&gt;0,IF(INDEX($AD$176:$AD$905,($K327-$N$48))="",0,INDEX($AD$176:$AD$905,($K327-$N$48))),0))="",0,IF(($K327-$N$48)&lt;1,0,IF(IF(INDEX($AD$176:$AD$905,($K327-$N$48))="",0,INDEX($AD$176:$AD$905,($K327-$N$48)))&gt;0,IF(INDEX($AD$176:$AD$905,($K327-$N$48))="",0,INDEX($AD$176:$AD$905,($K327-$N$48))),0)))=0,"",IF(AND($P326="",$P327=1),($N$37*-1),0)+IF(AND($Q326="",$Q327=1),($N$38*-1),0)+IF(IF(($K327-$N$48)&lt;1,0,IF(IF(INDEX($AD$176:$AD$905,($K327-$N$48))="",0,INDEX($AD$176:$AD$905,($K327-$N$48)))&gt;0,IF(INDEX($AD$176:$AD$905,($K327-$N$48))="",0,INDEX($AD$176:$AD$905,($K327-$N$48))),0))="",0,IF(($K327-$N$48)&lt;1,0,IF(IF(INDEX($AD$176:$AD$905,($K327-$N$48))="",0,INDEX($AD$176:$AD$905,($K327-$N$48)))&gt;0,IF(INDEX($AD$176:$AD$905,($K327-$N$48))="",0,INDEX($AD$176:$AD$905,($K327-$N$48))),0))))</f>
        <v/>
      </c>
      <c r="AC327" s="22" t="str">
        <f t="shared" si="78"/>
        <v/>
      </c>
      <c r="AD327" s="22" t="str">
        <f t="shared" si="89"/>
        <v/>
      </c>
      <c r="AE327" s="22" t="str" cm="1">
        <f t="array" ref="AE327">IF(($K327-$N$48)&lt;1,"",IF((IF(INDEX($AC$176:$AC$905,($K327-$N$48))="",0,INDEX($AC$176:$AC$905,($K327-$N$48))))=0,"",(IF(INDEX($AC$176:$AC$905,($K327-$N$48))="",0,INDEX($AC$176:$AC$905,($K327-$N$48))))))</f>
        <v/>
      </c>
      <c r="AF327" s="31" t="str">
        <f t="shared" si="79"/>
        <v/>
      </c>
      <c r="AG327" s="31" t="str">
        <f t="shared" si="80"/>
        <v/>
      </c>
      <c r="AH327" s="31" t="str">
        <f t="shared" si="81"/>
        <v/>
      </c>
      <c r="AI327" s="31" t="str">
        <f t="shared" si="82"/>
        <v/>
      </c>
      <c r="AJ327" s="303" t="str">
        <f t="shared" si="83"/>
        <v/>
      </c>
      <c r="AK327" s="139" t="str">
        <f t="shared" si="84"/>
        <v/>
      </c>
      <c r="AM327" s="319"/>
      <c r="AN327" s="40"/>
      <c r="AO327" s="1"/>
    </row>
    <row r="328" spans="7:41" x14ac:dyDescent="0.25">
      <c r="G328" s="235" t="str">
        <f t="shared" si="70"/>
        <v/>
      </c>
      <c r="H328" s="4" t="str">
        <f t="shared" si="71"/>
        <v/>
      </c>
      <c r="I328" s="11" t="str">
        <f t="shared" si="72"/>
        <v>09.00</v>
      </c>
      <c r="K328" s="30">
        <v>153</v>
      </c>
      <c r="L328" s="29">
        <f t="shared" si="85"/>
        <v>11371.908376190917</v>
      </c>
      <c r="M328" s="28" t="str">
        <f t="shared" si="73"/>
        <v/>
      </c>
      <c r="N328" s="27" t="str">
        <f t="shared" si="86"/>
        <v/>
      </c>
      <c r="O328" s="26" t="str">
        <f>IF(AND($Q327=$O$38,IFERROR(LARGE($V$176:$V327,1)&lt;$N$42,TRUE)),1,IF(AND(ISNUMBER($O327),$O327&lt;$N$32),$O327+1,""))</f>
        <v/>
      </c>
      <c r="P328" s="26" t="str">
        <f t="shared" si="87"/>
        <v/>
      </c>
      <c r="Q328" s="26" t="str">
        <f t="shared" si="74"/>
        <v/>
      </c>
      <c r="R328" s="24" t="str">
        <f t="shared" si="88"/>
        <v/>
      </c>
      <c r="S328" s="180">
        <f t="shared" si="69"/>
        <v>9</v>
      </c>
      <c r="T328" s="151"/>
      <c r="U328" s="25" t="str">
        <f t="shared" si="75"/>
        <v/>
      </c>
      <c r="V328" s="24" t="str">
        <f>IF(AND(ISNUMBER(R327),ISNUMBER(R328)),V327,IF(AND(R327="",ISNUMBER(R328)),IFERROR(LARGE($V$176:$V327,1)+1,0),""))</f>
        <v/>
      </c>
      <c r="W328" s="23" t="str">
        <f t="shared" si="76"/>
        <v/>
      </c>
      <c r="X328" s="22" t="str">
        <f t="shared" si="77"/>
        <v/>
      </c>
      <c r="Y328" s="22"/>
      <c r="Z328" s="22"/>
      <c r="AA328" s="22"/>
      <c r="AB328" s="22" t="str" cm="1">
        <f t="array" ref="AB328">IF(IF(AND($P327="",$P328=1),($N$37*-1),0)+IF(AND($Q327="",$Q328=1),($N$38*-1),0)+IF(IF(($K328-$N$48)&lt;1,0,IF(IF(INDEX($AD$176:$AD$905,($K328-$N$48))="",0,INDEX($AD$176:$AD$905,($K328-$N$48)))&gt;0,IF(INDEX($AD$176:$AD$905,($K328-$N$48))="",0,INDEX($AD$176:$AD$905,($K328-$N$48))),0))="",0,IF(($K328-$N$48)&lt;1,0,IF(IF(INDEX($AD$176:$AD$905,($K328-$N$48))="",0,INDEX($AD$176:$AD$905,($K328-$N$48)))&gt;0,IF(INDEX($AD$176:$AD$905,($K328-$N$48))="",0,INDEX($AD$176:$AD$905,($K328-$N$48))),0)))=0,"",IF(AND($P327="",$P328=1),($N$37*-1),0)+IF(AND($Q327="",$Q328=1),($N$38*-1),0)+IF(IF(($K328-$N$48)&lt;1,0,IF(IF(INDEX($AD$176:$AD$905,($K328-$N$48))="",0,INDEX($AD$176:$AD$905,($K328-$N$48)))&gt;0,IF(INDEX($AD$176:$AD$905,($K328-$N$48))="",0,INDEX($AD$176:$AD$905,($K328-$N$48))),0))="",0,IF(($K328-$N$48)&lt;1,0,IF(IF(INDEX($AD$176:$AD$905,($K328-$N$48))="",0,INDEX($AD$176:$AD$905,($K328-$N$48)))&gt;0,IF(INDEX($AD$176:$AD$905,($K328-$N$48))="",0,INDEX($AD$176:$AD$905,($K328-$N$48))),0))))</f>
        <v/>
      </c>
      <c r="AC328" s="22" t="str">
        <f t="shared" si="78"/>
        <v/>
      </c>
      <c r="AD328" s="22" t="str">
        <f t="shared" si="89"/>
        <v/>
      </c>
      <c r="AE328" s="22" t="str" cm="1">
        <f t="array" ref="AE328">IF(($K328-$N$48)&lt;1,"",IF((IF(INDEX($AC$176:$AC$905,($K328-$N$48))="",0,INDEX($AC$176:$AC$905,($K328-$N$48))))=0,"",(IF(INDEX($AC$176:$AC$905,($K328-$N$48))="",0,INDEX($AC$176:$AC$905,($K328-$N$48))))))</f>
        <v/>
      </c>
      <c r="AF328" s="31" t="str">
        <f t="shared" si="79"/>
        <v/>
      </c>
      <c r="AG328" s="31" t="str">
        <f t="shared" si="80"/>
        <v/>
      </c>
      <c r="AH328" s="31" t="str">
        <f t="shared" si="81"/>
        <v/>
      </c>
      <c r="AI328" s="31" t="str">
        <f t="shared" si="82"/>
        <v/>
      </c>
      <c r="AJ328" s="303" t="str">
        <f t="shared" si="83"/>
        <v/>
      </c>
      <c r="AK328" s="139" t="str">
        <f t="shared" si="84"/>
        <v/>
      </c>
      <c r="AM328" s="319"/>
      <c r="AN328" s="40"/>
      <c r="AO328" s="1"/>
    </row>
    <row r="329" spans="7:41" x14ac:dyDescent="0.25">
      <c r="G329" s="235" t="str">
        <f t="shared" si="70"/>
        <v/>
      </c>
      <c r="H329" s="4" t="str">
        <f t="shared" si="71"/>
        <v/>
      </c>
      <c r="I329" s="11" t="str">
        <f t="shared" si="72"/>
        <v>09.00</v>
      </c>
      <c r="K329" s="30">
        <v>154</v>
      </c>
      <c r="L329" s="29">
        <f t="shared" si="85"/>
        <v>11371.908376190917</v>
      </c>
      <c r="M329" s="28" t="str">
        <f t="shared" si="73"/>
        <v/>
      </c>
      <c r="N329" s="27" t="str">
        <f t="shared" si="86"/>
        <v/>
      </c>
      <c r="O329" s="26" t="str">
        <f>IF(AND($Q328=$O$38,IFERROR(LARGE($V$176:$V328,1)&lt;$N$42,TRUE)),1,IF(AND(ISNUMBER($O328),$O328&lt;$N$32),$O328+1,""))</f>
        <v/>
      </c>
      <c r="P329" s="26" t="str">
        <f t="shared" si="87"/>
        <v/>
      </c>
      <c r="Q329" s="26" t="str">
        <f t="shared" si="74"/>
        <v/>
      </c>
      <c r="R329" s="24" t="str">
        <f t="shared" si="88"/>
        <v/>
      </c>
      <c r="S329" s="180">
        <f t="shared" si="69"/>
        <v>9</v>
      </c>
      <c r="T329" s="151"/>
      <c r="U329" s="25" t="str">
        <f t="shared" si="75"/>
        <v/>
      </c>
      <c r="V329" s="24" t="str">
        <f>IF(AND(ISNUMBER(R328),ISNUMBER(R329)),V328,IF(AND(R328="",ISNUMBER(R329)),IFERROR(LARGE($V$176:$V328,1)+1,0),""))</f>
        <v/>
      </c>
      <c r="W329" s="23" t="str">
        <f t="shared" si="76"/>
        <v/>
      </c>
      <c r="X329" s="22" t="str">
        <f t="shared" si="77"/>
        <v/>
      </c>
      <c r="Y329" s="22"/>
      <c r="Z329" s="22"/>
      <c r="AA329" s="22"/>
      <c r="AB329" s="22" t="str" cm="1">
        <f t="array" ref="AB329">IF(IF(AND($P328="",$P329=1),($N$37*-1),0)+IF(AND($Q328="",$Q329=1),($N$38*-1),0)+IF(IF(($K329-$N$48)&lt;1,0,IF(IF(INDEX($AD$176:$AD$905,($K329-$N$48))="",0,INDEX($AD$176:$AD$905,($K329-$N$48)))&gt;0,IF(INDEX($AD$176:$AD$905,($K329-$N$48))="",0,INDEX($AD$176:$AD$905,($K329-$N$48))),0))="",0,IF(($K329-$N$48)&lt;1,0,IF(IF(INDEX($AD$176:$AD$905,($K329-$N$48))="",0,INDEX($AD$176:$AD$905,($K329-$N$48)))&gt;0,IF(INDEX($AD$176:$AD$905,($K329-$N$48))="",0,INDEX($AD$176:$AD$905,($K329-$N$48))),0)))=0,"",IF(AND($P328="",$P329=1),($N$37*-1),0)+IF(AND($Q328="",$Q329=1),($N$38*-1),0)+IF(IF(($K329-$N$48)&lt;1,0,IF(IF(INDEX($AD$176:$AD$905,($K329-$N$48))="",0,INDEX($AD$176:$AD$905,($K329-$N$48)))&gt;0,IF(INDEX($AD$176:$AD$905,($K329-$N$48))="",0,INDEX($AD$176:$AD$905,($K329-$N$48))),0))="",0,IF(($K329-$N$48)&lt;1,0,IF(IF(INDEX($AD$176:$AD$905,($K329-$N$48))="",0,INDEX($AD$176:$AD$905,($K329-$N$48)))&gt;0,IF(INDEX($AD$176:$AD$905,($K329-$N$48))="",0,INDEX($AD$176:$AD$905,($K329-$N$48))),0))))</f>
        <v/>
      </c>
      <c r="AC329" s="22" t="str">
        <f t="shared" si="78"/>
        <v/>
      </c>
      <c r="AD329" s="22" t="str">
        <f t="shared" si="89"/>
        <v/>
      </c>
      <c r="AE329" s="22" t="str" cm="1">
        <f t="array" ref="AE329">IF(($K329-$N$48)&lt;1,"",IF((IF(INDEX($AC$176:$AC$905,($K329-$N$48))="",0,INDEX($AC$176:$AC$905,($K329-$N$48))))=0,"",(IF(INDEX($AC$176:$AC$905,($K329-$N$48))="",0,INDEX($AC$176:$AC$905,($K329-$N$48))))))</f>
        <v/>
      </c>
      <c r="AF329" s="31" t="str">
        <f t="shared" si="79"/>
        <v/>
      </c>
      <c r="AG329" s="31" t="str">
        <f t="shared" si="80"/>
        <v/>
      </c>
      <c r="AH329" s="31" t="str">
        <f t="shared" si="81"/>
        <v/>
      </c>
      <c r="AI329" s="31" t="str">
        <f t="shared" si="82"/>
        <v/>
      </c>
      <c r="AJ329" s="303" t="str">
        <f t="shared" si="83"/>
        <v/>
      </c>
      <c r="AK329" s="139" t="str">
        <f t="shared" si="84"/>
        <v/>
      </c>
      <c r="AM329" s="319"/>
      <c r="AN329" s="40"/>
      <c r="AO329" s="1"/>
    </row>
    <row r="330" spans="7:41" x14ac:dyDescent="0.25">
      <c r="G330" s="235" t="str">
        <f t="shared" si="70"/>
        <v/>
      </c>
      <c r="H330" s="4" t="str">
        <f t="shared" si="71"/>
        <v/>
      </c>
      <c r="I330" s="11" t="str">
        <f t="shared" si="72"/>
        <v>09.00</v>
      </c>
      <c r="K330" s="30">
        <v>155</v>
      </c>
      <c r="L330" s="29">
        <f t="shared" si="85"/>
        <v>11371.908376190917</v>
      </c>
      <c r="M330" s="28" t="str">
        <f t="shared" si="73"/>
        <v/>
      </c>
      <c r="N330" s="27" t="str">
        <f t="shared" si="86"/>
        <v/>
      </c>
      <c r="O330" s="26" t="str">
        <f>IF(AND($Q329=$O$38,IFERROR(LARGE($V$176:$V329,1)&lt;$N$42,TRUE)),1,IF(AND(ISNUMBER($O329),$O329&lt;$N$32),$O329+1,""))</f>
        <v/>
      </c>
      <c r="P330" s="26" t="str">
        <f t="shared" si="87"/>
        <v/>
      </c>
      <c r="Q330" s="26" t="str">
        <f t="shared" si="74"/>
        <v/>
      </c>
      <c r="R330" s="24" t="str">
        <f t="shared" si="88"/>
        <v/>
      </c>
      <c r="S330" s="180">
        <f t="shared" si="69"/>
        <v>9</v>
      </c>
      <c r="T330" s="151"/>
      <c r="U330" s="25" t="str">
        <f t="shared" si="75"/>
        <v/>
      </c>
      <c r="V330" s="24" t="str">
        <f>IF(AND(ISNUMBER(R329),ISNUMBER(R330)),V329,IF(AND(R329="",ISNUMBER(R330)),IFERROR(LARGE($V$176:$V329,1)+1,0),""))</f>
        <v/>
      </c>
      <c r="W330" s="23" t="str">
        <f t="shared" si="76"/>
        <v/>
      </c>
      <c r="X330" s="22" t="str">
        <f t="shared" si="77"/>
        <v/>
      </c>
      <c r="Y330" s="22"/>
      <c r="Z330" s="22"/>
      <c r="AA330" s="22"/>
      <c r="AB330" s="22" t="str" cm="1">
        <f t="array" ref="AB330">IF(IF(AND($P329="",$P330=1),($N$37*-1),0)+IF(AND($Q329="",$Q330=1),($N$38*-1),0)+IF(IF(($K330-$N$48)&lt;1,0,IF(IF(INDEX($AD$176:$AD$905,($K330-$N$48))="",0,INDEX($AD$176:$AD$905,($K330-$N$48)))&gt;0,IF(INDEX($AD$176:$AD$905,($K330-$N$48))="",0,INDEX($AD$176:$AD$905,($K330-$N$48))),0))="",0,IF(($K330-$N$48)&lt;1,0,IF(IF(INDEX($AD$176:$AD$905,($K330-$N$48))="",0,INDEX($AD$176:$AD$905,($K330-$N$48)))&gt;0,IF(INDEX($AD$176:$AD$905,($K330-$N$48))="",0,INDEX($AD$176:$AD$905,($K330-$N$48))),0)))=0,"",IF(AND($P329="",$P330=1),($N$37*-1),0)+IF(AND($Q329="",$Q330=1),($N$38*-1),0)+IF(IF(($K330-$N$48)&lt;1,0,IF(IF(INDEX($AD$176:$AD$905,($K330-$N$48))="",0,INDEX($AD$176:$AD$905,($K330-$N$48)))&gt;0,IF(INDEX($AD$176:$AD$905,($K330-$N$48))="",0,INDEX($AD$176:$AD$905,($K330-$N$48))),0))="",0,IF(($K330-$N$48)&lt;1,0,IF(IF(INDEX($AD$176:$AD$905,($K330-$N$48))="",0,INDEX($AD$176:$AD$905,($K330-$N$48)))&gt;0,IF(INDEX($AD$176:$AD$905,($K330-$N$48))="",0,INDEX($AD$176:$AD$905,($K330-$N$48))),0))))</f>
        <v/>
      </c>
      <c r="AC330" s="22" t="str">
        <f t="shared" si="78"/>
        <v/>
      </c>
      <c r="AD330" s="22" t="str">
        <f t="shared" si="89"/>
        <v/>
      </c>
      <c r="AE330" s="22" t="str" cm="1">
        <f t="array" ref="AE330">IF(($K330-$N$48)&lt;1,"",IF((IF(INDEX($AC$176:$AC$905,($K330-$N$48))="",0,INDEX($AC$176:$AC$905,($K330-$N$48))))=0,"",(IF(INDEX($AC$176:$AC$905,($K330-$N$48))="",0,INDEX($AC$176:$AC$905,($K330-$N$48))))))</f>
        <v/>
      </c>
      <c r="AF330" s="31" t="str">
        <f t="shared" si="79"/>
        <v/>
      </c>
      <c r="AG330" s="31" t="str">
        <f t="shared" si="80"/>
        <v/>
      </c>
      <c r="AH330" s="31" t="str">
        <f t="shared" si="81"/>
        <v/>
      </c>
      <c r="AI330" s="31" t="str">
        <f t="shared" si="82"/>
        <v/>
      </c>
      <c r="AJ330" s="303" t="str">
        <f t="shared" si="83"/>
        <v/>
      </c>
      <c r="AK330" s="139" t="str">
        <f t="shared" si="84"/>
        <v/>
      </c>
      <c r="AM330" s="319"/>
      <c r="AN330" s="40"/>
      <c r="AO330" s="1"/>
    </row>
    <row r="331" spans="7:41" x14ac:dyDescent="0.25">
      <c r="G331" s="235" t="str">
        <f t="shared" si="70"/>
        <v/>
      </c>
      <c r="H331" s="4" t="str">
        <f t="shared" si="71"/>
        <v/>
      </c>
      <c r="I331" s="11" t="str">
        <f t="shared" si="72"/>
        <v>09.00</v>
      </c>
      <c r="K331" s="30">
        <v>156</v>
      </c>
      <c r="L331" s="29">
        <f t="shared" si="85"/>
        <v>11371.908376190917</v>
      </c>
      <c r="M331" s="28" t="str">
        <f t="shared" si="73"/>
        <v/>
      </c>
      <c r="N331" s="27" t="str">
        <f t="shared" si="86"/>
        <v/>
      </c>
      <c r="O331" s="26" t="str">
        <f>IF(AND($Q330=$O$38,IFERROR(LARGE($V$176:$V330,1)&lt;$N$42,TRUE)),1,IF(AND(ISNUMBER($O330),$O330&lt;$N$32),$O330+1,""))</f>
        <v/>
      </c>
      <c r="P331" s="26" t="str">
        <f t="shared" si="87"/>
        <v/>
      </c>
      <c r="Q331" s="26" t="str">
        <f t="shared" si="74"/>
        <v/>
      </c>
      <c r="R331" s="24" t="str">
        <f t="shared" si="88"/>
        <v/>
      </c>
      <c r="S331" s="180">
        <f t="shared" si="69"/>
        <v>9</v>
      </c>
      <c r="T331" s="151"/>
      <c r="U331" s="25" t="str">
        <f t="shared" si="75"/>
        <v/>
      </c>
      <c r="V331" s="24" t="str">
        <f>IF(AND(ISNUMBER(R330),ISNUMBER(R331)),V330,IF(AND(R330="",ISNUMBER(R331)),IFERROR(LARGE($V$176:$V330,1)+1,0),""))</f>
        <v/>
      </c>
      <c r="W331" s="23" t="str">
        <f t="shared" si="76"/>
        <v/>
      </c>
      <c r="X331" s="22" t="str">
        <f t="shared" si="77"/>
        <v/>
      </c>
      <c r="Y331" s="22"/>
      <c r="Z331" s="22"/>
      <c r="AA331" s="22"/>
      <c r="AB331" s="22" t="str" cm="1">
        <f t="array" ref="AB331">IF(IF(AND($P330="",$P331=1),($N$37*-1),0)+IF(AND($Q330="",$Q331=1),($N$38*-1),0)+IF(IF(($K331-$N$48)&lt;1,0,IF(IF(INDEX($AD$176:$AD$905,($K331-$N$48))="",0,INDEX($AD$176:$AD$905,($K331-$N$48)))&gt;0,IF(INDEX($AD$176:$AD$905,($K331-$N$48))="",0,INDEX($AD$176:$AD$905,($K331-$N$48))),0))="",0,IF(($K331-$N$48)&lt;1,0,IF(IF(INDEX($AD$176:$AD$905,($K331-$N$48))="",0,INDEX($AD$176:$AD$905,($K331-$N$48)))&gt;0,IF(INDEX($AD$176:$AD$905,($K331-$N$48))="",0,INDEX($AD$176:$AD$905,($K331-$N$48))),0)))=0,"",IF(AND($P330="",$P331=1),($N$37*-1),0)+IF(AND($Q330="",$Q331=1),($N$38*-1),0)+IF(IF(($K331-$N$48)&lt;1,0,IF(IF(INDEX($AD$176:$AD$905,($K331-$N$48))="",0,INDEX($AD$176:$AD$905,($K331-$N$48)))&gt;0,IF(INDEX($AD$176:$AD$905,($K331-$N$48))="",0,INDEX($AD$176:$AD$905,($K331-$N$48))),0))="",0,IF(($K331-$N$48)&lt;1,0,IF(IF(INDEX($AD$176:$AD$905,($K331-$N$48))="",0,INDEX($AD$176:$AD$905,($K331-$N$48)))&gt;0,IF(INDEX($AD$176:$AD$905,($K331-$N$48))="",0,INDEX($AD$176:$AD$905,($K331-$N$48))),0))))</f>
        <v/>
      </c>
      <c r="AC331" s="22" t="str">
        <f t="shared" si="78"/>
        <v/>
      </c>
      <c r="AD331" s="22" t="str">
        <f t="shared" si="89"/>
        <v/>
      </c>
      <c r="AE331" s="22" t="str" cm="1">
        <f t="array" ref="AE331">IF(($K331-$N$48)&lt;1,"",IF((IF(INDEX($AC$176:$AC$905,($K331-$N$48))="",0,INDEX($AC$176:$AC$905,($K331-$N$48))))=0,"",(IF(INDEX($AC$176:$AC$905,($K331-$N$48))="",0,INDEX($AC$176:$AC$905,($K331-$N$48))))))</f>
        <v/>
      </c>
      <c r="AF331" s="31" t="str">
        <f t="shared" si="79"/>
        <v/>
      </c>
      <c r="AG331" s="31" t="str">
        <f t="shared" si="80"/>
        <v/>
      </c>
      <c r="AH331" s="31" t="str">
        <f t="shared" si="81"/>
        <v/>
      </c>
      <c r="AI331" s="31" t="str">
        <f t="shared" si="82"/>
        <v/>
      </c>
      <c r="AJ331" s="303" t="str">
        <f t="shared" si="83"/>
        <v/>
      </c>
      <c r="AK331" s="139" t="str">
        <f t="shared" si="84"/>
        <v/>
      </c>
      <c r="AM331" s="319"/>
      <c r="AN331" s="40"/>
      <c r="AO331" s="1"/>
    </row>
    <row r="332" spans="7:41" x14ac:dyDescent="0.25">
      <c r="G332" s="235" t="str">
        <f t="shared" si="70"/>
        <v/>
      </c>
      <c r="H332" s="4" t="str">
        <f t="shared" si="71"/>
        <v/>
      </c>
      <c r="I332" s="11" t="str">
        <f t="shared" si="72"/>
        <v>09.00</v>
      </c>
      <c r="K332" s="30">
        <v>157</v>
      </c>
      <c r="L332" s="29">
        <f t="shared" si="85"/>
        <v>11371.908376190917</v>
      </c>
      <c r="M332" s="28" t="str">
        <f t="shared" si="73"/>
        <v/>
      </c>
      <c r="N332" s="27" t="str">
        <f t="shared" si="86"/>
        <v/>
      </c>
      <c r="O332" s="26" t="str">
        <f>IF(AND($Q331=$O$38,IFERROR(LARGE($V$176:$V331,1)&lt;$N$42,TRUE)),1,IF(AND(ISNUMBER($O331),$O331&lt;$N$32),$O331+1,""))</f>
        <v/>
      </c>
      <c r="P332" s="26" t="str">
        <f t="shared" si="87"/>
        <v/>
      </c>
      <c r="Q332" s="26" t="str">
        <f t="shared" si="74"/>
        <v/>
      </c>
      <c r="R332" s="24" t="str">
        <f t="shared" si="88"/>
        <v/>
      </c>
      <c r="S332" s="180">
        <f t="shared" si="69"/>
        <v>9</v>
      </c>
      <c r="T332" s="151"/>
      <c r="U332" s="25" t="str">
        <f t="shared" si="75"/>
        <v/>
      </c>
      <c r="V332" s="24" t="str">
        <f>IF(AND(ISNUMBER(R331),ISNUMBER(R332)),V331,IF(AND(R331="",ISNUMBER(R332)),IFERROR(LARGE($V$176:$V331,1)+1,0),""))</f>
        <v/>
      </c>
      <c r="W332" s="23" t="str">
        <f t="shared" si="76"/>
        <v/>
      </c>
      <c r="X332" s="22" t="str">
        <f t="shared" si="77"/>
        <v/>
      </c>
      <c r="Y332" s="22"/>
      <c r="Z332" s="22"/>
      <c r="AA332" s="22"/>
      <c r="AB332" s="22" t="str" cm="1">
        <f t="array" ref="AB332">IF(IF(AND($P331="",$P332=1),($N$37*-1),0)+IF(AND($Q331="",$Q332=1),($N$38*-1),0)+IF(IF(($K332-$N$48)&lt;1,0,IF(IF(INDEX($AD$176:$AD$905,($K332-$N$48))="",0,INDEX($AD$176:$AD$905,($K332-$N$48)))&gt;0,IF(INDEX($AD$176:$AD$905,($K332-$N$48))="",0,INDEX($AD$176:$AD$905,($K332-$N$48))),0))="",0,IF(($K332-$N$48)&lt;1,0,IF(IF(INDEX($AD$176:$AD$905,($K332-$N$48))="",0,INDEX($AD$176:$AD$905,($K332-$N$48)))&gt;0,IF(INDEX($AD$176:$AD$905,($K332-$N$48))="",0,INDEX($AD$176:$AD$905,($K332-$N$48))),0)))=0,"",IF(AND($P331="",$P332=1),($N$37*-1),0)+IF(AND($Q331="",$Q332=1),($N$38*-1),0)+IF(IF(($K332-$N$48)&lt;1,0,IF(IF(INDEX($AD$176:$AD$905,($K332-$N$48))="",0,INDEX($AD$176:$AD$905,($K332-$N$48)))&gt;0,IF(INDEX($AD$176:$AD$905,($K332-$N$48))="",0,INDEX($AD$176:$AD$905,($K332-$N$48))),0))="",0,IF(($K332-$N$48)&lt;1,0,IF(IF(INDEX($AD$176:$AD$905,($K332-$N$48))="",0,INDEX($AD$176:$AD$905,($K332-$N$48)))&gt;0,IF(INDEX($AD$176:$AD$905,($K332-$N$48))="",0,INDEX($AD$176:$AD$905,($K332-$N$48))),0))))</f>
        <v/>
      </c>
      <c r="AC332" s="22" t="str">
        <f t="shared" si="78"/>
        <v/>
      </c>
      <c r="AD332" s="22" t="str">
        <f t="shared" si="89"/>
        <v/>
      </c>
      <c r="AE332" s="22" t="str" cm="1">
        <f t="array" ref="AE332">IF(($K332-$N$48)&lt;1,"",IF((IF(INDEX($AC$176:$AC$905,($K332-$N$48))="",0,INDEX($AC$176:$AC$905,($K332-$N$48))))=0,"",(IF(INDEX($AC$176:$AC$905,($K332-$N$48))="",0,INDEX($AC$176:$AC$905,($K332-$N$48))))))</f>
        <v/>
      </c>
      <c r="AF332" s="31" t="str">
        <f t="shared" si="79"/>
        <v/>
      </c>
      <c r="AG332" s="31" t="str">
        <f t="shared" si="80"/>
        <v/>
      </c>
      <c r="AH332" s="31" t="str">
        <f t="shared" si="81"/>
        <v/>
      </c>
      <c r="AI332" s="31" t="str">
        <f t="shared" si="82"/>
        <v/>
      </c>
      <c r="AJ332" s="303" t="str">
        <f t="shared" si="83"/>
        <v/>
      </c>
      <c r="AK332" s="139" t="str">
        <f t="shared" si="84"/>
        <v/>
      </c>
      <c r="AM332" s="319"/>
      <c r="AN332" s="40"/>
      <c r="AO332" s="1"/>
    </row>
    <row r="333" spans="7:41" x14ac:dyDescent="0.25">
      <c r="G333" s="235" t="str">
        <f t="shared" si="70"/>
        <v/>
      </c>
      <c r="H333" s="4" t="str">
        <f t="shared" si="71"/>
        <v/>
      </c>
      <c r="I333" s="11" t="str">
        <f t="shared" si="72"/>
        <v>09.00</v>
      </c>
      <c r="K333" s="30">
        <v>158</v>
      </c>
      <c r="L333" s="29">
        <f t="shared" si="85"/>
        <v>11371.908376190917</v>
      </c>
      <c r="M333" s="28" t="str">
        <f t="shared" si="73"/>
        <v/>
      </c>
      <c r="N333" s="27" t="str">
        <f t="shared" si="86"/>
        <v/>
      </c>
      <c r="O333" s="26" t="str">
        <f>IF(AND($Q332=$O$38,IFERROR(LARGE($V$176:$V332,1)&lt;$N$42,TRUE)),1,IF(AND(ISNUMBER($O332),$O332&lt;$N$32),$O332+1,""))</f>
        <v/>
      </c>
      <c r="P333" s="26" t="str">
        <f t="shared" si="87"/>
        <v/>
      </c>
      <c r="Q333" s="26" t="str">
        <f t="shared" si="74"/>
        <v/>
      </c>
      <c r="R333" s="24" t="str">
        <f t="shared" si="88"/>
        <v/>
      </c>
      <c r="S333" s="180">
        <f t="shared" si="69"/>
        <v>9</v>
      </c>
      <c r="T333" s="151"/>
      <c r="U333" s="25" t="str">
        <f t="shared" si="75"/>
        <v/>
      </c>
      <c r="V333" s="24" t="str">
        <f>IF(AND(ISNUMBER(R332),ISNUMBER(R333)),V332,IF(AND(R332="",ISNUMBER(R333)),IFERROR(LARGE($V$176:$V332,1)+1,0),""))</f>
        <v/>
      </c>
      <c r="W333" s="23" t="str">
        <f t="shared" si="76"/>
        <v/>
      </c>
      <c r="X333" s="22" t="str">
        <f t="shared" si="77"/>
        <v/>
      </c>
      <c r="Y333" s="22"/>
      <c r="Z333" s="22"/>
      <c r="AA333" s="22"/>
      <c r="AB333" s="22" t="str" cm="1">
        <f t="array" ref="AB333">IF(IF(AND($P332="",$P333=1),($N$37*-1),0)+IF(AND($Q332="",$Q333=1),($N$38*-1),0)+IF(IF(($K333-$N$48)&lt;1,0,IF(IF(INDEX($AD$176:$AD$905,($K333-$N$48))="",0,INDEX($AD$176:$AD$905,($K333-$N$48)))&gt;0,IF(INDEX($AD$176:$AD$905,($K333-$N$48))="",0,INDEX($AD$176:$AD$905,($K333-$N$48))),0))="",0,IF(($K333-$N$48)&lt;1,0,IF(IF(INDEX($AD$176:$AD$905,($K333-$N$48))="",0,INDEX($AD$176:$AD$905,($K333-$N$48)))&gt;0,IF(INDEX($AD$176:$AD$905,($K333-$N$48))="",0,INDEX($AD$176:$AD$905,($K333-$N$48))),0)))=0,"",IF(AND($P332="",$P333=1),($N$37*-1),0)+IF(AND($Q332="",$Q333=1),($N$38*-1),0)+IF(IF(($K333-$N$48)&lt;1,0,IF(IF(INDEX($AD$176:$AD$905,($K333-$N$48))="",0,INDEX($AD$176:$AD$905,($K333-$N$48)))&gt;0,IF(INDEX($AD$176:$AD$905,($K333-$N$48))="",0,INDEX($AD$176:$AD$905,($K333-$N$48))),0))="",0,IF(($K333-$N$48)&lt;1,0,IF(IF(INDEX($AD$176:$AD$905,($K333-$N$48))="",0,INDEX($AD$176:$AD$905,($K333-$N$48)))&gt;0,IF(INDEX($AD$176:$AD$905,($K333-$N$48))="",0,INDEX($AD$176:$AD$905,($K333-$N$48))),0))))</f>
        <v/>
      </c>
      <c r="AC333" s="22" t="str">
        <f t="shared" si="78"/>
        <v/>
      </c>
      <c r="AD333" s="22" t="str">
        <f t="shared" si="89"/>
        <v/>
      </c>
      <c r="AE333" s="22" t="str" cm="1">
        <f t="array" ref="AE333">IF(($K333-$N$48)&lt;1,"",IF((IF(INDEX($AC$176:$AC$905,($K333-$N$48))="",0,INDEX($AC$176:$AC$905,($K333-$N$48))))=0,"",(IF(INDEX($AC$176:$AC$905,($K333-$N$48))="",0,INDEX($AC$176:$AC$905,($K333-$N$48))))))</f>
        <v/>
      </c>
      <c r="AF333" s="31" t="str">
        <f t="shared" si="79"/>
        <v/>
      </c>
      <c r="AG333" s="31" t="str">
        <f t="shared" si="80"/>
        <v/>
      </c>
      <c r="AH333" s="31" t="str">
        <f t="shared" si="81"/>
        <v/>
      </c>
      <c r="AI333" s="31" t="str">
        <f t="shared" si="82"/>
        <v/>
      </c>
      <c r="AJ333" s="303" t="str">
        <f t="shared" si="83"/>
        <v/>
      </c>
      <c r="AK333" s="139" t="str">
        <f t="shared" si="84"/>
        <v/>
      </c>
      <c r="AM333" s="319"/>
      <c r="AN333" s="40"/>
      <c r="AO333" s="1"/>
    </row>
    <row r="334" spans="7:41" x14ac:dyDescent="0.25">
      <c r="G334" s="235" t="str">
        <f t="shared" si="70"/>
        <v/>
      </c>
      <c r="H334" s="4" t="str">
        <f t="shared" si="71"/>
        <v/>
      </c>
      <c r="I334" s="11" t="str">
        <f t="shared" si="72"/>
        <v>09.00</v>
      </c>
      <c r="K334" s="30">
        <v>159</v>
      </c>
      <c r="L334" s="29">
        <f t="shared" si="85"/>
        <v>11371.908376190917</v>
      </c>
      <c r="M334" s="28" t="str">
        <f t="shared" si="73"/>
        <v/>
      </c>
      <c r="N334" s="27" t="str">
        <f t="shared" si="86"/>
        <v/>
      </c>
      <c r="O334" s="26" t="str">
        <f>IF(AND($Q333=$O$38,IFERROR(LARGE($V$176:$V333,1)&lt;$N$42,TRUE)),1,IF(AND(ISNUMBER($O333),$O333&lt;$N$32),$O333+1,""))</f>
        <v/>
      </c>
      <c r="P334" s="26" t="str">
        <f t="shared" si="87"/>
        <v/>
      </c>
      <c r="Q334" s="26" t="str">
        <f t="shared" si="74"/>
        <v/>
      </c>
      <c r="R334" s="24" t="str">
        <f t="shared" si="88"/>
        <v/>
      </c>
      <c r="S334" s="180">
        <f t="shared" si="69"/>
        <v>9</v>
      </c>
      <c r="T334" s="151"/>
      <c r="U334" s="25" t="str">
        <f t="shared" si="75"/>
        <v/>
      </c>
      <c r="V334" s="24" t="str">
        <f>IF(AND(ISNUMBER(R333),ISNUMBER(R334)),V333,IF(AND(R333="",ISNUMBER(R334)),IFERROR(LARGE($V$176:$V333,1)+1,0),""))</f>
        <v/>
      </c>
      <c r="W334" s="23" t="str">
        <f t="shared" si="76"/>
        <v/>
      </c>
      <c r="X334" s="22" t="str">
        <f t="shared" si="77"/>
        <v/>
      </c>
      <c r="Y334" s="22"/>
      <c r="Z334" s="22"/>
      <c r="AA334" s="22"/>
      <c r="AB334" s="22" t="str" cm="1">
        <f t="array" ref="AB334">IF(IF(AND($P333="",$P334=1),($N$37*-1),0)+IF(AND($Q333="",$Q334=1),($N$38*-1),0)+IF(IF(($K334-$N$48)&lt;1,0,IF(IF(INDEX($AD$176:$AD$905,($K334-$N$48))="",0,INDEX($AD$176:$AD$905,($K334-$N$48)))&gt;0,IF(INDEX($AD$176:$AD$905,($K334-$N$48))="",0,INDEX($AD$176:$AD$905,($K334-$N$48))),0))="",0,IF(($K334-$N$48)&lt;1,0,IF(IF(INDEX($AD$176:$AD$905,($K334-$N$48))="",0,INDEX($AD$176:$AD$905,($K334-$N$48)))&gt;0,IF(INDEX($AD$176:$AD$905,($K334-$N$48))="",0,INDEX($AD$176:$AD$905,($K334-$N$48))),0)))=0,"",IF(AND($P333="",$P334=1),($N$37*-1),0)+IF(AND($Q333="",$Q334=1),($N$38*-1),0)+IF(IF(($K334-$N$48)&lt;1,0,IF(IF(INDEX($AD$176:$AD$905,($K334-$N$48))="",0,INDEX($AD$176:$AD$905,($K334-$N$48)))&gt;0,IF(INDEX($AD$176:$AD$905,($K334-$N$48))="",0,INDEX($AD$176:$AD$905,($K334-$N$48))),0))="",0,IF(($K334-$N$48)&lt;1,0,IF(IF(INDEX($AD$176:$AD$905,($K334-$N$48))="",0,INDEX($AD$176:$AD$905,($K334-$N$48)))&gt;0,IF(INDEX($AD$176:$AD$905,($K334-$N$48))="",0,INDEX($AD$176:$AD$905,($K334-$N$48))),0))))</f>
        <v/>
      </c>
      <c r="AC334" s="22" t="str">
        <f t="shared" si="78"/>
        <v/>
      </c>
      <c r="AD334" s="22" t="str">
        <f t="shared" si="89"/>
        <v/>
      </c>
      <c r="AE334" s="22" t="str" cm="1">
        <f t="array" ref="AE334">IF(($K334-$N$48)&lt;1,"",IF((IF(INDEX($AC$176:$AC$905,($K334-$N$48))="",0,INDEX($AC$176:$AC$905,($K334-$N$48))))=0,"",(IF(INDEX($AC$176:$AC$905,($K334-$N$48))="",0,INDEX($AC$176:$AC$905,($K334-$N$48))))))</f>
        <v/>
      </c>
      <c r="AF334" s="31" t="str">
        <f t="shared" si="79"/>
        <v/>
      </c>
      <c r="AG334" s="31" t="str">
        <f t="shared" si="80"/>
        <v/>
      </c>
      <c r="AH334" s="31" t="str">
        <f t="shared" si="81"/>
        <v/>
      </c>
      <c r="AI334" s="31" t="str">
        <f t="shared" si="82"/>
        <v/>
      </c>
      <c r="AJ334" s="303" t="str">
        <f t="shared" si="83"/>
        <v/>
      </c>
      <c r="AK334" s="139" t="str">
        <f t="shared" si="84"/>
        <v/>
      </c>
      <c r="AM334" s="319"/>
      <c r="AN334" s="40"/>
      <c r="AO334" s="1"/>
    </row>
    <row r="335" spans="7:41" x14ac:dyDescent="0.25">
      <c r="G335" s="235" t="str">
        <f t="shared" si="70"/>
        <v/>
      </c>
      <c r="H335" s="4" t="str">
        <f t="shared" si="71"/>
        <v/>
      </c>
      <c r="I335" s="11" t="str">
        <f t="shared" si="72"/>
        <v>09.00</v>
      </c>
      <c r="K335" s="30">
        <v>160</v>
      </c>
      <c r="L335" s="29">
        <f t="shared" si="85"/>
        <v>11371.908376190917</v>
      </c>
      <c r="M335" s="28" t="str">
        <f t="shared" si="73"/>
        <v/>
      </c>
      <c r="N335" s="27" t="str">
        <f t="shared" si="86"/>
        <v/>
      </c>
      <c r="O335" s="26" t="str">
        <f>IF(AND($Q334=$O$38,IFERROR(LARGE($V$176:$V334,1)&lt;$N$42,TRUE)),1,IF(AND(ISNUMBER($O334),$O334&lt;$N$32),$O334+1,""))</f>
        <v/>
      </c>
      <c r="P335" s="26" t="str">
        <f t="shared" si="87"/>
        <v/>
      </c>
      <c r="Q335" s="26" t="str">
        <f t="shared" si="74"/>
        <v/>
      </c>
      <c r="R335" s="24" t="str">
        <f t="shared" si="88"/>
        <v/>
      </c>
      <c r="S335" s="180">
        <f t="shared" si="69"/>
        <v>9</v>
      </c>
      <c r="T335" s="151"/>
      <c r="U335" s="25" t="str">
        <f t="shared" si="75"/>
        <v/>
      </c>
      <c r="V335" s="24" t="str">
        <f>IF(AND(ISNUMBER(R334),ISNUMBER(R335)),V334,IF(AND(R334="",ISNUMBER(R335)),IFERROR(LARGE($V$176:$V334,1)+1,0),""))</f>
        <v/>
      </c>
      <c r="W335" s="23" t="str">
        <f t="shared" si="76"/>
        <v/>
      </c>
      <c r="X335" s="22" t="str">
        <f t="shared" si="77"/>
        <v/>
      </c>
      <c r="Y335" s="22"/>
      <c r="Z335" s="22"/>
      <c r="AA335" s="22"/>
      <c r="AB335" s="22" t="str" cm="1">
        <f t="array" ref="AB335">IF(IF(AND($P334="",$P335=1),($N$37*-1),0)+IF(AND($Q334="",$Q335=1),($N$38*-1),0)+IF(IF(($K335-$N$48)&lt;1,0,IF(IF(INDEX($AD$176:$AD$905,($K335-$N$48))="",0,INDEX($AD$176:$AD$905,($K335-$N$48)))&gt;0,IF(INDEX($AD$176:$AD$905,($K335-$N$48))="",0,INDEX($AD$176:$AD$905,($K335-$N$48))),0))="",0,IF(($K335-$N$48)&lt;1,0,IF(IF(INDEX($AD$176:$AD$905,($K335-$N$48))="",0,INDEX($AD$176:$AD$905,($K335-$N$48)))&gt;0,IF(INDEX($AD$176:$AD$905,($K335-$N$48))="",0,INDEX($AD$176:$AD$905,($K335-$N$48))),0)))=0,"",IF(AND($P334="",$P335=1),($N$37*-1),0)+IF(AND($Q334="",$Q335=1),($N$38*-1),0)+IF(IF(($K335-$N$48)&lt;1,0,IF(IF(INDEX($AD$176:$AD$905,($K335-$N$48))="",0,INDEX($AD$176:$AD$905,($K335-$N$48)))&gt;0,IF(INDEX($AD$176:$AD$905,($K335-$N$48))="",0,INDEX($AD$176:$AD$905,($K335-$N$48))),0))="",0,IF(($K335-$N$48)&lt;1,0,IF(IF(INDEX($AD$176:$AD$905,($K335-$N$48))="",0,INDEX($AD$176:$AD$905,($K335-$N$48)))&gt;0,IF(INDEX($AD$176:$AD$905,($K335-$N$48))="",0,INDEX($AD$176:$AD$905,($K335-$N$48))),0))))</f>
        <v/>
      </c>
      <c r="AC335" s="22" t="str">
        <f t="shared" si="78"/>
        <v/>
      </c>
      <c r="AD335" s="22" t="str">
        <f t="shared" si="89"/>
        <v/>
      </c>
      <c r="AE335" s="22" t="str" cm="1">
        <f t="array" ref="AE335">IF(($K335-$N$48)&lt;1,"",IF((IF(INDEX($AC$176:$AC$905,($K335-$N$48))="",0,INDEX($AC$176:$AC$905,($K335-$N$48))))=0,"",(IF(INDEX($AC$176:$AC$905,($K335-$N$48))="",0,INDEX($AC$176:$AC$905,($K335-$N$48))))))</f>
        <v/>
      </c>
      <c r="AF335" s="31" t="str">
        <f t="shared" si="79"/>
        <v/>
      </c>
      <c r="AG335" s="31" t="str">
        <f t="shared" si="80"/>
        <v/>
      </c>
      <c r="AH335" s="31" t="str">
        <f t="shared" si="81"/>
        <v/>
      </c>
      <c r="AI335" s="31" t="str">
        <f t="shared" si="82"/>
        <v/>
      </c>
      <c r="AJ335" s="303" t="str">
        <f t="shared" si="83"/>
        <v/>
      </c>
      <c r="AK335" s="139" t="str">
        <f t="shared" si="84"/>
        <v/>
      </c>
      <c r="AM335" s="319"/>
      <c r="AN335" s="40"/>
      <c r="AO335" s="1"/>
    </row>
    <row r="336" spans="7:41" x14ac:dyDescent="0.25">
      <c r="G336" s="235" t="str">
        <f t="shared" si="70"/>
        <v/>
      </c>
      <c r="H336" s="4" t="str">
        <f t="shared" si="71"/>
        <v/>
      </c>
      <c r="I336" s="11" t="str">
        <f t="shared" si="72"/>
        <v>09.00</v>
      </c>
      <c r="K336" s="30">
        <v>161</v>
      </c>
      <c r="L336" s="29">
        <f t="shared" si="85"/>
        <v>11371.908376190917</v>
      </c>
      <c r="M336" s="28" t="str">
        <f t="shared" si="73"/>
        <v/>
      </c>
      <c r="N336" s="27" t="str">
        <f t="shared" si="86"/>
        <v/>
      </c>
      <c r="O336" s="26" t="str">
        <f>IF(AND($Q335=$O$38,IFERROR(LARGE($V$176:$V335,1)&lt;$N$42,TRUE)),1,IF(AND(ISNUMBER($O335),$O335&lt;$N$32),$O335+1,""))</f>
        <v/>
      </c>
      <c r="P336" s="26" t="str">
        <f t="shared" si="87"/>
        <v/>
      </c>
      <c r="Q336" s="26" t="str">
        <f t="shared" si="74"/>
        <v/>
      </c>
      <c r="R336" s="24" t="str">
        <f t="shared" si="88"/>
        <v/>
      </c>
      <c r="S336" s="180">
        <f t="shared" si="69"/>
        <v>9</v>
      </c>
      <c r="T336" s="151"/>
      <c r="U336" s="25" t="str">
        <f t="shared" si="75"/>
        <v/>
      </c>
      <c r="V336" s="24" t="str">
        <f>IF(AND(ISNUMBER(R335),ISNUMBER(R336)),V335,IF(AND(R335="",ISNUMBER(R336)),IFERROR(LARGE($V$176:$V335,1)+1,0),""))</f>
        <v/>
      </c>
      <c r="W336" s="23" t="str">
        <f t="shared" si="76"/>
        <v/>
      </c>
      <c r="X336" s="22" t="str">
        <f t="shared" si="77"/>
        <v/>
      </c>
      <c r="Y336" s="22"/>
      <c r="Z336" s="22"/>
      <c r="AA336" s="22"/>
      <c r="AB336" s="22" t="str" cm="1">
        <f t="array" ref="AB336">IF(IF(AND($P335="",$P336=1),($N$37*-1),0)+IF(AND($Q335="",$Q336=1),($N$38*-1),0)+IF(IF(($K336-$N$48)&lt;1,0,IF(IF(INDEX($AD$176:$AD$905,($K336-$N$48))="",0,INDEX($AD$176:$AD$905,($K336-$N$48)))&gt;0,IF(INDEX($AD$176:$AD$905,($K336-$N$48))="",0,INDEX($AD$176:$AD$905,($K336-$N$48))),0))="",0,IF(($K336-$N$48)&lt;1,0,IF(IF(INDEX($AD$176:$AD$905,($K336-$N$48))="",0,INDEX($AD$176:$AD$905,($K336-$N$48)))&gt;0,IF(INDEX($AD$176:$AD$905,($K336-$N$48))="",0,INDEX($AD$176:$AD$905,($K336-$N$48))),0)))=0,"",IF(AND($P335="",$P336=1),($N$37*-1),0)+IF(AND($Q335="",$Q336=1),($N$38*-1),0)+IF(IF(($K336-$N$48)&lt;1,0,IF(IF(INDEX($AD$176:$AD$905,($K336-$N$48))="",0,INDEX($AD$176:$AD$905,($K336-$N$48)))&gt;0,IF(INDEX($AD$176:$AD$905,($K336-$N$48))="",0,INDEX($AD$176:$AD$905,($K336-$N$48))),0))="",0,IF(($K336-$N$48)&lt;1,0,IF(IF(INDEX($AD$176:$AD$905,($K336-$N$48))="",0,INDEX($AD$176:$AD$905,($K336-$N$48)))&gt;0,IF(INDEX($AD$176:$AD$905,($K336-$N$48))="",0,INDEX($AD$176:$AD$905,($K336-$N$48))),0))))</f>
        <v/>
      </c>
      <c r="AC336" s="22" t="str">
        <f t="shared" si="78"/>
        <v/>
      </c>
      <c r="AD336" s="22" t="str">
        <f t="shared" si="89"/>
        <v/>
      </c>
      <c r="AE336" s="22" t="str" cm="1">
        <f t="array" ref="AE336">IF(($K336-$N$48)&lt;1,"",IF((IF(INDEX($AC$176:$AC$905,($K336-$N$48))="",0,INDEX($AC$176:$AC$905,($K336-$N$48))))=0,"",(IF(INDEX($AC$176:$AC$905,($K336-$N$48))="",0,INDEX($AC$176:$AC$905,($K336-$N$48))))))</f>
        <v/>
      </c>
      <c r="AF336" s="31" t="str">
        <f t="shared" si="79"/>
        <v/>
      </c>
      <c r="AG336" s="31" t="str">
        <f t="shared" si="80"/>
        <v/>
      </c>
      <c r="AH336" s="31" t="str">
        <f t="shared" si="81"/>
        <v/>
      </c>
      <c r="AI336" s="31" t="str">
        <f t="shared" si="82"/>
        <v/>
      </c>
      <c r="AJ336" s="303" t="str">
        <f t="shared" si="83"/>
        <v/>
      </c>
      <c r="AK336" s="139" t="str">
        <f t="shared" si="84"/>
        <v/>
      </c>
      <c r="AM336" s="319"/>
      <c r="AN336" s="40"/>
      <c r="AO336" s="1"/>
    </row>
    <row r="337" spans="7:41" x14ac:dyDescent="0.25">
      <c r="G337" s="235" t="str">
        <f t="shared" si="70"/>
        <v/>
      </c>
      <c r="H337" s="4" t="str">
        <f t="shared" si="71"/>
        <v/>
      </c>
      <c r="I337" s="11" t="str">
        <f t="shared" si="72"/>
        <v>09.00</v>
      </c>
      <c r="K337" s="30">
        <v>162</v>
      </c>
      <c r="L337" s="29">
        <f t="shared" si="85"/>
        <v>11371.908376190917</v>
      </c>
      <c r="M337" s="28" t="str">
        <f t="shared" si="73"/>
        <v/>
      </c>
      <c r="N337" s="27" t="str">
        <f t="shared" si="86"/>
        <v/>
      </c>
      <c r="O337" s="26" t="str">
        <f>IF(AND($Q336=$O$38,IFERROR(LARGE($V$176:$V336,1)&lt;$N$42,TRUE)),1,IF(AND(ISNUMBER($O336),$O336&lt;$N$32),$O336+1,""))</f>
        <v/>
      </c>
      <c r="P337" s="26" t="str">
        <f t="shared" si="87"/>
        <v/>
      </c>
      <c r="Q337" s="26" t="str">
        <f t="shared" si="74"/>
        <v/>
      </c>
      <c r="R337" s="24" t="str">
        <f t="shared" si="88"/>
        <v/>
      </c>
      <c r="S337" s="180">
        <f t="shared" si="69"/>
        <v>9</v>
      </c>
      <c r="T337" s="151"/>
      <c r="U337" s="25" t="str">
        <f t="shared" si="75"/>
        <v/>
      </c>
      <c r="V337" s="24" t="str">
        <f>IF(AND(ISNUMBER(R336),ISNUMBER(R337)),V336,IF(AND(R336="",ISNUMBER(R337)),IFERROR(LARGE($V$176:$V336,1)+1,0),""))</f>
        <v/>
      </c>
      <c r="W337" s="23" t="str">
        <f t="shared" si="76"/>
        <v/>
      </c>
      <c r="X337" s="22" t="str">
        <f t="shared" si="77"/>
        <v/>
      </c>
      <c r="Y337" s="22"/>
      <c r="Z337" s="22"/>
      <c r="AA337" s="22"/>
      <c r="AB337" s="22" t="str" cm="1">
        <f t="array" ref="AB337">IF(IF(AND($P336="",$P337=1),($N$37*-1),0)+IF(AND($Q336="",$Q337=1),($N$38*-1),0)+IF(IF(($K337-$N$48)&lt;1,0,IF(IF(INDEX($AD$176:$AD$905,($K337-$N$48))="",0,INDEX($AD$176:$AD$905,($K337-$N$48)))&gt;0,IF(INDEX($AD$176:$AD$905,($K337-$N$48))="",0,INDEX($AD$176:$AD$905,($K337-$N$48))),0))="",0,IF(($K337-$N$48)&lt;1,0,IF(IF(INDEX($AD$176:$AD$905,($K337-$N$48))="",0,INDEX($AD$176:$AD$905,($K337-$N$48)))&gt;0,IF(INDEX($AD$176:$AD$905,($K337-$N$48))="",0,INDEX($AD$176:$AD$905,($K337-$N$48))),0)))=0,"",IF(AND($P336="",$P337=1),($N$37*-1),0)+IF(AND($Q336="",$Q337=1),($N$38*-1),0)+IF(IF(($K337-$N$48)&lt;1,0,IF(IF(INDEX($AD$176:$AD$905,($K337-$N$48))="",0,INDEX($AD$176:$AD$905,($K337-$N$48)))&gt;0,IF(INDEX($AD$176:$AD$905,($K337-$N$48))="",0,INDEX($AD$176:$AD$905,($K337-$N$48))),0))="",0,IF(($K337-$N$48)&lt;1,0,IF(IF(INDEX($AD$176:$AD$905,($K337-$N$48))="",0,INDEX($AD$176:$AD$905,($K337-$N$48)))&gt;0,IF(INDEX($AD$176:$AD$905,($K337-$N$48))="",0,INDEX($AD$176:$AD$905,($K337-$N$48))),0))))</f>
        <v/>
      </c>
      <c r="AC337" s="22" t="str">
        <f t="shared" si="78"/>
        <v/>
      </c>
      <c r="AD337" s="22" t="str">
        <f t="shared" si="89"/>
        <v/>
      </c>
      <c r="AE337" s="22" t="str" cm="1">
        <f t="array" ref="AE337">IF(($K337-$N$48)&lt;1,"",IF((IF(INDEX($AC$176:$AC$905,($K337-$N$48))="",0,INDEX($AC$176:$AC$905,($K337-$N$48))))=0,"",(IF(INDEX($AC$176:$AC$905,($K337-$N$48))="",0,INDEX($AC$176:$AC$905,($K337-$N$48))))))</f>
        <v/>
      </c>
      <c r="AF337" s="31" t="str">
        <f t="shared" si="79"/>
        <v/>
      </c>
      <c r="AG337" s="31" t="str">
        <f t="shared" si="80"/>
        <v/>
      </c>
      <c r="AH337" s="31" t="str">
        <f t="shared" si="81"/>
        <v/>
      </c>
      <c r="AI337" s="31" t="str">
        <f t="shared" si="82"/>
        <v/>
      </c>
      <c r="AJ337" s="303" t="str">
        <f t="shared" si="83"/>
        <v/>
      </c>
      <c r="AK337" s="139" t="str">
        <f t="shared" si="84"/>
        <v/>
      </c>
      <c r="AM337" s="319"/>
      <c r="AN337" s="40"/>
      <c r="AO337" s="1"/>
    </row>
    <row r="338" spans="7:41" x14ac:dyDescent="0.25">
      <c r="G338" s="235" t="str">
        <f t="shared" si="70"/>
        <v/>
      </c>
      <c r="H338" s="4" t="str">
        <f t="shared" si="71"/>
        <v/>
      </c>
      <c r="I338" s="11" t="str">
        <f t="shared" si="72"/>
        <v>09.00</v>
      </c>
      <c r="K338" s="30">
        <v>163</v>
      </c>
      <c r="L338" s="29">
        <f t="shared" si="85"/>
        <v>11371.908376190917</v>
      </c>
      <c r="M338" s="28" t="str">
        <f t="shared" si="73"/>
        <v/>
      </c>
      <c r="N338" s="27" t="str">
        <f t="shared" si="86"/>
        <v/>
      </c>
      <c r="O338" s="26" t="str">
        <f>IF(AND($Q337=$O$38,IFERROR(LARGE($V$176:$V337,1)&lt;$N$42,TRUE)),1,IF(AND(ISNUMBER($O337),$O337&lt;$N$32),$O337+1,""))</f>
        <v/>
      </c>
      <c r="P338" s="26" t="str">
        <f t="shared" si="87"/>
        <v/>
      </c>
      <c r="Q338" s="26" t="str">
        <f t="shared" si="74"/>
        <v/>
      </c>
      <c r="R338" s="24" t="str">
        <f t="shared" si="88"/>
        <v/>
      </c>
      <c r="S338" s="180">
        <f t="shared" si="69"/>
        <v>9</v>
      </c>
      <c r="T338" s="151"/>
      <c r="U338" s="25" t="str">
        <f t="shared" si="75"/>
        <v/>
      </c>
      <c r="V338" s="24" t="str">
        <f>IF(AND(ISNUMBER(R337),ISNUMBER(R338)),V337,IF(AND(R337="",ISNUMBER(R338)),IFERROR(LARGE($V$176:$V337,1)+1,0),""))</f>
        <v/>
      </c>
      <c r="W338" s="23" t="str">
        <f t="shared" si="76"/>
        <v/>
      </c>
      <c r="X338" s="22" t="str">
        <f t="shared" si="77"/>
        <v/>
      </c>
      <c r="Y338" s="22"/>
      <c r="Z338" s="22"/>
      <c r="AA338" s="22"/>
      <c r="AB338" s="22" t="str" cm="1">
        <f t="array" ref="AB338">IF(IF(AND($P337="",$P338=1),($N$37*-1),0)+IF(AND($Q337="",$Q338=1),($N$38*-1),0)+IF(IF(($K338-$N$48)&lt;1,0,IF(IF(INDEX($AD$176:$AD$905,($K338-$N$48))="",0,INDEX($AD$176:$AD$905,($K338-$N$48)))&gt;0,IF(INDEX($AD$176:$AD$905,($K338-$N$48))="",0,INDEX($AD$176:$AD$905,($K338-$N$48))),0))="",0,IF(($K338-$N$48)&lt;1,0,IF(IF(INDEX($AD$176:$AD$905,($K338-$N$48))="",0,INDEX($AD$176:$AD$905,($K338-$N$48)))&gt;0,IF(INDEX($AD$176:$AD$905,($K338-$N$48))="",0,INDEX($AD$176:$AD$905,($K338-$N$48))),0)))=0,"",IF(AND($P337="",$P338=1),($N$37*-1),0)+IF(AND($Q337="",$Q338=1),($N$38*-1),0)+IF(IF(($K338-$N$48)&lt;1,0,IF(IF(INDEX($AD$176:$AD$905,($K338-$N$48))="",0,INDEX($AD$176:$AD$905,($K338-$N$48)))&gt;0,IF(INDEX($AD$176:$AD$905,($K338-$N$48))="",0,INDEX($AD$176:$AD$905,($K338-$N$48))),0))="",0,IF(($K338-$N$48)&lt;1,0,IF(IF(INDEX($AD$176:$AD$905,($K338-$N$48))="",0,INDEX($AD$176:$AD$905,($K338-$N$48)))&gt;0,IF(INDEX($AD$176:$AD$905,($K338-$N$48))="",0,INDEX($AD$176:$AD$905,($K338-$N$48))),0))))</f>
        <v/>
      </c>
      <c r="AC338" s="22" t="str">
        <f t="shared" si="78"/>
        <v/>
      </c>
      <c r="AD338" s="22" t="str">
        <f t="shared" si="89"/>
        <v/>
      </c>
      <c r="AE338" s="22" t="str" cm="1">
        <f t="array" ref="AE338">IF(($K338-$N$48)&lt;1,"",IF((IF(INDEX($AC$176:$AC$905,($K338-$N$48))="",0,INDEX($AC$176:$AC$905,($K338-$N$48))))=0,"",(IF(INDEX($AC$176:$AC$905,($K338-$N$48))="",0,INDEX($AC$176:$AC$905,($K338-$N$48))))))</f>
        <v/>
      </c>
      <c r="AF338" s="31" t="str">
        <f t="shared" si="79"/>
        <v/>
      </c>
      <c r="AG338" s="31" t="str">
        <f t="shared" si="80"/>
        <v/>
      </c>
      <c r="AH338" s="31" t="str">
        <f t="shared" si="81"/>
        <v/>
      </c>
      <c r="AI338" s="31" t="str">
        <f t="shared" si="82"/>
        <v/>
      </c>
      <c r="AJ338" s="303" t="str">
        <f t="shared" si="83"/>
        <v/>
      </c>
      <c r="AK338" s="139" t="str">
        <f t="shared" si="84"/>
        <v/>
      </c>
      <c r="AM338" s="319"/>
      <c r="AN338" s="40"/>
      <c r="AO338" s="1"/>
    </row>
    <row r="339" spans="7:41" x14ac:dyDescent="0.25">
      <c r="G339" s="235" t="str">
        <f t="shared" si="70"/>
        <v/>
      </c>
      <c r="H339" s="4" t="str">
        <f t="shared" si="71"/>
        <v/>
      </c>
      <c r="I339" s="11" t="str">
        <f t="shared" si="72"/>
        <v>09.00</v>
      </c>
      <c r="K339" s="30">
        <v>164</v>
      </c>
      <c r="L339" s="29">
        <f t="shared" si="85"/>
        <v>11371.908376190917</v>
      </c>
      <c r="M339" s="28" t="str">
        <f t="shared" si="73"/>
        <v/>
      </c>
      <c r="N339" s="27" t="str">
        <f t="shared" si="86"/>
        <v/>
      </c>
      <c r="O339" s="26" t="str">
        <f>IF(AND($Q338=$O$38,IFERROR(LARGE($V$176:$V338,1)&lt;$N$42,TRUE)),1,IF(AND(ISNUMBER($O338),$O338&lt;$N$32),$O338+1,""))</f>
        <v/>
      </c>
      <c r="P339" s="26" t="str">
        <f t="shared" si="87"/>
        <v/>
      </c>
      <c r="Q339" s="26" t="str">
        <f t="shared" si="74"/>
        <v/>
      </c>
      <c r="R339" s="24" t="str">
        <f t="shared" si="88"/>
        <v/>
      </c>
      <c r="S339" s="180">
        <f t="shared" si="69"/>
        <v>9</v>
      </c>
      <c r="T339" s="151"/>
      <c r="U339" s="25" t="str">
        <f t="shared" si="75"/>
        <v/>
      </c>
      <c r="V339" s="24" t="str">
        <f>IF(AND(ISNUMBER(R338),ISNUMBER(R339)),V338,IF(AND(R338="",ISNUMBER(R339)),IFERROR(LARGE($V$176:$V338,1)+1,0),""))</f>
        <v/>
      </c>
      <c r="W339" s="23" t="str">
        <f t="shared" si="76"/>
        <v/>
      </c>
      <c r="X339" s="22" t="str">
        <f t="shared" si="77"/>
        <v/>
      </c>
      <c r="Y339" s="22"/>
      <c r="Z339" s="22"/>
      <c r="AA339" s="22"/>
      <c r="AB339" s="22" t="str" cm="1">
        <f t="array" ref="AB339">IF(IF(AND($P338="",$P339=1),($N$37*-1),0)+IF(AND($Q338="",$Q339=1),($N$38*-1),0)+IF(IF(($K339-$N$48)&lt;1,0,IF(IF(INDEX($AD$176:$AD$905,($K339-$N$48))="",0,INDEX($AD$176:$AD$905,($K339-$N$48)))&gt;0,IF(INDEX($AD$176:$AD$905,($K339-$N$48))="",0,INDEX($AD$176:$AD$905,($K339-$N$48))),0))="",0,IF(($K339-$N$48)&lt;1,0,IF(IF(INDEX($AD$176:$AD$905,($K339-$N$48))="",0,INDEX($AD$176:$AD$905,($K339-$N$48)))&gt;0,IF(INDEX($AD$176:$AD$905,($K339-$N$48))="",0,INDEX($AD$176:$AD$905,($K339-$N$48))),0)))=0,"",IF(AND($P338="",$P339=1),($N$37*-1),0)+IF(AND($Q338="",$Q339=1),($N$38*-1),0)+IF(IF(($K339-$N$48)&lt;1,0,IF(IF(INDEX($AD$176:$AD$905,($K339-$N$48))="",0,INDEX($AD$176:$AD$905,($K339-$N$48)))&gt;0,IF(INDEX($AD$176:$AD$905,($K339-$N$48))="",0,INDEX($AD$176:$AD$905,($K339-$N$48))),0))="",0,IF(($K339-$N$48)&lt;1,0,IF(IF(INDEX($AD$176:$AD$905,($K339-$N$48))="",0,INDEX($AD$176:$AD$905,($K339-$N$48)))&gt;0,IF(INDEX($AD$176:$AD$905,($K339-$N$48))="",0,INDEX($AD$176:$AD$905,($K339-$N$48))),0))))</f>
        <v/>
      </c>
      <c r="AC339" s="22" t="str">
        <f t="shared" si="78"/>
        <v/>
      </c>
      <c r="AD339" s="22" t="str">
        <f t="shared" si="89"/>
        <v/>
      </c>
      <c r="AE339" s="22" t="str" cm="1">
        <f t="array" ref="AE339">IF(($K339-$N$48)&lt;1,"",IF((IF(INDEX($AC$176:$AC$905,($K339-$N$48))="",0,INDEX($AC$176:$AC$905,($K339-$N$48))))=0,"",(IF(INDEX($AC$176:$AC$905,($K339-$N$48))="",0,INDEX($AC$176:$AC$905,($K339-$N$48))))))</f>
        <v/>
      </c>
      <c r="AF339" s="31" t="str">
        <f t="shared" si="79"/>
        <v/>
      </c>
      <c r="AG339" s="31" t="str">
        <f t="shared" si="80"/>
        <v/>
      </c>
      <c r="AH339" s="31" t="str">
        <f t="shared" si="81"/>
        <v/>
      </c>
      <c r="AI339" s="31" t="str">
        <f t="shared" si="82"/>
        <v/>
      </c>
      <c r="AJ339" s="303" t="str">
        <f t="shared" si="83"/>
        <v/>
      </c>
      <c r="AK339" s="139" t="str">
        <f t="shared" si="84"/>
        <v/>
      </c>
      <c r="AM339" s="319"/>
      <c r="AN339" s="40"/>
      <c r="AO339" s="1"/>
    </row>
    <row r="340" spans="7:41" x14ac:dyDescent="0.25">
      <c r="G340" s="235" t="str">
        <f t="shared" si="70"/>
        <v/>
      </c>
      <c r="H340" s="4" t="str">
        <f t="shared" si="71"/>
        <v/>
      </c>
      <c r="I340" s="11" t="str">
        <f t="shared" si="72"/>
        <v>09.00</v>
      </c>
      <c r="K340" s="30">
        <v>165</v>
      </c>
      <c r="L340" s="29">
        <f t="shared" si="85"/>
        <v>11371.908376190917</v>
      </c>
      <c r="M340" s="28" t="str">
        <f t="shared" si="73"/>
        <v/>
      </c>
      <c r="N340" s="27" t="str">
        <f t="shared" si="86"/>
        <v/>
      </c>
      <c r="O340" s="26" t="str">
        <f>IF(AND($Q339=$O$38,IFERROR(LARGE($V$176:$V339,1)&lt;$N$42,TRUE)),1,IF(AND(ISNUMBER($O339),$O339&lt;$N$32),$O339+1,""))</f>
        <v/>
      </c>
      <c r="P340" s="26" t="str">
        <f t="shared" si="87"/>
        <v/>
      </c>
      <c r="Q340" s="26" t="str">
        <f t="shared" si="74"/>
        <v/>
      </c>
      <c r="R340" s="24" t="str">
        <f t="shared" si="88"/>
        <v/>
      </c>
      <c r="S340" s="180">
        <f t="shared" si="69"/>
        <v>9</v>
      </c>
      <c r="T340" s="151"/>
      <c r="U340" s="25" t="str">
        <f t="shared" si="75"/>
        <v/>
      </c>
      <c r="V340" s="24" t="str">
        <f>IF(AND(ISNUMBER(R339),ISNUMBER(R340)),V339,IF(AND(R339="",ISNUMBER(R340)),IFERROR(LARGE($V$176:$V339,1)+1,0),""))</f>
        <v/>
      </c>
      <c r="W340" s="23" t="str">
        <f t="shared" si="76"/>
        <v/>
      </c>
      <c r="X340" s="22" t="str">
        <f t="shared" si="77"/>
        <v/>
      </c>
      <c r="Y340" s="22"/>
      <c r="Z340" s="22"/>
      <c r="AA340" s="22"/>
      <c r="AB340" s="22" t="str" cm="1">
        <f t="array" ref="AB340">IF(IF(AND($P339="",$P340=1),($N$37*-1),0)+IF(AND($Q339="",$Q340=1),($N$38*-1),0)+IF(IF(($K340-$N$48)&lt;1,0,IF(IF(INDEX($AD$176:$AD$905,($K340-$N$48))="",0,INDEX($AD$176:$AD$905,($K340-$N$48)))&gt;0,IF(INDEX($AD$176:$AD$905,($K340-$N$48))="",0,INDEX($AD$176:$AD$905,($K340-$N$48))),0))="",0,IF(($K340-$N$48)&lt;1,0,IF(IF(INDEX($AD$176:$AD$905,($K340-$N$48))="",0,INDEX($AD$176:$AD$905,($K340-$N$48)))&gt;0,IF(INDEX($AD$176:$AD$905,($K340-$N$48))="",0,INDEX($AD$176:$AD$905,($K340-$N$48))),0)))=0,"",IF(AND($P339="",$P340=1),($N$37*-1),0)+IF(AND($Q339="",$Q340=1),($N$38*-1),0)+IF(IF(($K340-$N$48)&lt;1,0,IF(IF(INDEX($AD$176:$AD$905,($K340-$N$48))="",0,INDEX($AD$176:$AD$905,($K340-$N$48)))&gt;0,IF(INDEX($AD$176:$AD$905,($K340-$N$48))="",0,INDEX($AD$176:$AD$905,($K340-$N$48))),0))="",0,IF(($K340-$N$48)&lt;1,0,IF(IF(INDEX($AD$176:$AD$905,($K340-$N$48))="",0,INDEX($AD$176:$AD$905,($K340-$N$48)))&gt;0,IF(INDEX($AD$176:$AD$905,($K340-$N$48))="",0,INDEX($AD$176:$AD$905,($K340-$N$48))),0))))</f>
        <v/>
      </c>
      <c r="AC340" s="22" t="str">
        <f t="shared" si="78"/>
        <v/>
      </c>
      <c r="AD340" s="22" t="str">
        <f t="shared" si="89"/>
        <v/>
      </c>
      <c r="AE340" s="22" t="str" cm="1">
        <f t="array" ref="AE340">IF(($K340-$N$48)&lt;1,"",IF((IF(INDEX($AC$176:$AC$905,($K340-$N$48))="",0,INDEX($AC$176:$AC$905,($K340-$N$48))))=0,"",(IF(INDEX($AC$176:$AC$905,($K340-$N$48))="",0,INDEX($AC$176:$AC$905,($K340-$N$48))))))</f>
        <v/>
      </c>
      <c r="AF340" s="31" t="str">
        <f t="shared" si="79"/>
        <v/>
      </c>
      <c r="AG340" s="31" t="str">
        <f t="shared" si="80"/>
        <v/>
      </c>
      <c r="AH340" s="31" t="str">
        <f t="shared" si="81"/>
        <v/>
      </c>
      <c r="AI340" s="31" t="str">
        <f t="shared" si="82"/>
        <v/>
      </c>
      <c r="AJ340" s="303" t="str">
        <f t="shared" si="83"/>
        <v/>
      </c>
      <c r="AK340" s="139" t="str">
        <f t="shared" si="84"/>
        <v/>
      </c>
      <c r="AM340" s="319"/>
      <c r="AN340" s="40"/>
      <c r="AO340" s="1"/>
    </row>
    <row r="341" spans="7:41" x14ac:dyDescent="0.25">
      <c r="G341" s="235" t="str">
        <f t="shared" si="70"/>
        <v/>
      </c>
      <c r="H341" s="4" t="str">
        <f t="shared" si="71"/>
        <v/>
      </c>
      <c r="I341" s="11" t="str">
        <f t="shared" si="72"/>
        <v>09.00</v>
      </c>
      <c r="K341" s="30">
        <v>166</v>
      </c>
      <c r="L341" s="29">
        <f t="shared" si="85"/>
        <v>11371.908376190917</v>
      </c>
      <c r="M341" s="28" t="str">
        <f t="shared" si="73"/>
        <v/>
      </c>
      <c r="N341" s="27" t="str">
        <f t="shared" si="86"/>
        <v/>
      </c>
      <c r="O341" s="26" t="str">
        <f>IF(AND($Q340=$O$38,IFERROR(LARGE($V$176:$V340,1)&lt;$N$42,TRUE)),1,IF(AND(ISNUMBER($O340),$O340&lt;$N$32),$O340+1,""))</f>
        <v/>
      </c>
      <c r="P341" s="26" t="str">
        <f t="shared" si="87"/>
        <v/>
      </c>
      <c r="Q341" s="26" t="str">
        <f t="shared" si="74"/>
        <v/>
      </c>
      <c r="R341" s="24" t="str">
        <f t="shared" si="88"/>
        <v/>
      </c>
      <c r="S341" s="180">
        <f t="shared" si="69"/>
        <v>9</v>
      </c>
      <c r="T341" s="151"/>
      <c r="U341" s="25" t="str">
        <f t="shared" si="75"/>
        <v/>
      </c>
      <c r="V341" s="24" t="str">
        <f>IF(AND(ISNUMBER(R340),ISNUMBER(R341)),V340,IF(AND(R340="",ISNUMBER(R341)),IFERROR(LARGE($V$176:$V340,1)+1,0),""))</f>
        <v/>
      </c>
      <c r="W341" s="23" t="str">
        <f t="shared" si="76"/>
        <v/>
      </c>
      <c r="X341" s="22" t="str">
        <f t="shared" si="77"/>
        <v/>
      </c>
      <c r="Y341" s="22"/>
      <c r="Z341" s="22"/>
      <c r="AA341" s="22"/>
      <c r="AB341" s="22" t="str" cm="1">
        <f t="array" ref="AB341">IF(IF(AND($P340="",$P341=1),($N$37*-1),0)+IF(AND($Q340="",$Q341=1),($N$38*-1),0)+IF(IF(($K341-$N$48)&lt;1,0,IF(IF(INDEX($AD$176:$AD$905,($K341-$N$48))="",0,INDEX($AD$176:$AD$905,($K341-$N$48)))&gt;0,IF(INDEX($AD$176:$AD$905,($K341-$N$48))="",0,INDEX($AD$176:$AD$905,($K341-$N$48))),0))="",0,IF(($K341-$N$48)&lt;1,0,IF(IF(INDEX($AD$176:$AD$905,($K341-$N$48))="",0,INDEX($AD$176:$AD$905,($K341-$N$48)))&gt;0,IF(INDEX($AD$176:$AD$905,($K341-$N$48))="",0,INDEX($AD$176:$AD$905,($K341-$N$48))),0)))=0,"",IF(AND($P340="",$P341=1),($N$37*-1),0)+IF(AND($Q340="",$Q341=1),($N$38*-1),0)+IF(IF(($K341-$N$48)&lt;1,0,IF(IF(INDEX($AD$176:$AD$905,($K341-$N$48))="",0,INDEX($AD$176:$AD$905,($K341-$N$48)))&gt;0,IF(INDEX($AD$176:$AD$905,($K341-$N$48))="",0,INDEX($AD$176:$AD$905,($K341-$N$48))),0))="",0,IF(($K341-$N$48)&lt;1,0,IF(IF(INDEX($AD$176:$AD$905,($K341-$N$48))="",0,INDEX($AD$176:$AD$905,($K341-$N$48)))&gt;0,IF(INDEX($AD$176:$AD$905,($K341-$N$48))="",0,INDEX($AD$176:$AD$905,($K341-$N$48))),0))))</f>
        <v/>
      </c>
      <c r="AC341" s="22" t="str">
        <f t="shared" si="78"/>
        <v/>
      </c>
      <c r="AD341" s="22" t="str">
        <f t="shared" si="89"/>
        <v/>
      </c>
      <c r="AE341" s="22" t="str" cm="1">
        <f t="array" ref="AE341">IF(($K341-$N$48)&lt;1,"",IF((IF(INDEX($AC$176:$AC$905,($K341-$N$48))="",0,INDEX($AC$176:$AC$905,($K341-$N$48))))=0,"",(IF(INDEX($AC$176:$AC$905,($K341-$N$48))="",0,INDEX($AC$176:$AC$905,($K341-$N$48))))))</f>
        <v/>
      </c>
      <c r="AF341" s="31" t="str">
        <f t="shared" si="79"/>
        <v/>
      </c>
      <c r="AG341" s="31" t="str">
        <f t="shared" si="80"/>
        <v/>
      </c>
      <c r="AH341" s="31" t="str">
        <f t="shared" si="81"/>
        <v/>
      </c>
      <c r="AI341" s="31" t="str">
        <f t="shared" si="82"/>
        <v/>
      </c>
      <c r="AJ341" s="303" t="str">
        <f t="shared" si="83"/>
        <v/>
      </c>
      <c r="AK341" s="139" t="str">
        <f t="shared" si="84"/>
        <v/>
      </c>
      <c r="AM341" s="319"/>
      <c r="AN341" s="40"/>
      <c r="AO341" s="1"/>
    </row>
    <row r="342" spans="7:41" x14ac:dyDescent="0.25">
      <c r="G342" s="235" t="str">
        <f t="shared" si="70"/>
        <v/>
      </c>
      <c r="H342" s="4" t="str">
        <f t="shared" si="71"/>
        <v/>
      </c>
      <c r="I342" s="11" t="str">
        <f t="shared" si="72"/>
        <v>09.00</v>
      </c>
      <c r="K342" s="30">
        <v>167</v>
      </c>
      <c r="L342" s="29">
        <f t="shared" si="85"/>
        <v>11371.908376190917</v>
      </c>
      <c r="M342" s="28" t="str">
        <f t="shared" si="73"/>
        <v/>
      </c>
      <c r="N342" s="27" t="str">
        <f t="shared" si="86"/>
        <v/>
      </c>
      <c r="O342" s="26" t="str">
        <f>IF(AND($Q341=$O$38,IFERROR(LARGE($V$176:$V341,1)&lt;$N$42,TRUE)),1,IF(AND(ISNUMBER($O341),$O341&lt;$N$32),$O341+1,""))</f>
        <v/>
      </c>
      <c r="P342" s="26" t="str">
        <f t="shared" si="87"/>
        <v/>
      </c>
      <c r="Q342" s="26" t="str">
        <f t="shared" si="74"/>
        <v/>
      </c>
      <c r="R342" s="24" t="str">
        <f t="shared" si="88"/>
        <v/>
      </c>
      <c r="S342" s="180">
        <f t="shared" si="69"/>
        <v>9</v>
      </c>
      <c r="T342" s="151"/>
      <c r="U342" s="25" t="str">
        <f t="shared" si="75"/>
        <v/>
      </c>
      <c r="V342" s="24" t="str">
        <f>IF(AND(ISNUMBER(R341),ISNUMBER(R342)),V341,IF(AND(R341="",ISNUMBER(R342)),IFERROR(LARGE($V$176:$V341,1)+1,0),""))</f>
        <v/>
      </c>
      <c r="W342" s="23" t="str">
        <f t="shared" si="76"/>
        <v/>
      </c>
      <c r="X342" s="22" t="str">
        <f t="shared" si="77"/>
        <v/>
      </c>
      <c r="Y342" s="22"/>
      <c r="Z342" s="22"/>
      <c r="AA342" s="22"/>
      <c r="AB342" s="22" t="str" cm="1">
        <f t="array" ref="AB342">IF(IF(AND($P341="",$P342=1),($N$37*-1),0)+IF(AND($Q341="",$Q342=1),($N$38*-1),0)+IF(IF(($K342-$N$48)&lt;1,0,IF(IF(INDEX($AD$176:$AD$905,($K342-$N$48))="",0,INDEX($AD$176:$AD$905,($K342-$N$48)))&gt;0,IF(INDEX($AD$176:$AD$905,($K342-$N$48))="",0,INDEX($AD$176:$AD$905,($K342-$N$48))),0))="",0,IF(($K342-$N$48)&lt;1,0,IF(IF(INDEX($AD$176:$AD$905,($K342-$N$48))="",0,INDEX($AD$176:$AD$905,($K342-$N$48)))&gt;0,IF(INDEX($AD$176:$AD$905,($K342-$N$48))="",0,INDEX($AD$176:$AD$905,($K342-$N$48))),0)))=0,"",IF(AND($P341="",$P342=1),($N$37*-1),0)+IF(AND($Q341="",$Q342=1),($N$38*-1),0)+IF(IF(($K342-$N$48)&lt;1,0,IF(IF(INDEX($AD$176:$AD$905,($K342-$N$48))="",0,INDEX($AD$176:$AD$905,($K342-$N$48)))&gt;0,IF(INDEX($AD$176:$AD$905,($K342-$N$48))="",0,INDEX($AD$176:$AD$905,($K342-$N$48))),0))="",0,IF(($K342-$N$48)&lt;1,0,IF(IF(INDEX($AD$176:$AD$905,($K342-$N$48))="",0,INDEX($AD$176:$AD$905,($K342-$N$48)))&gt;0,IF(INDEX($AD$176:$AD$905,($K342-$N$48))="",0,INDEX($AD$176:$AD$905,($K342-$N$48))),0))))</f>
        <v/>
      </c>
      <c r="AC342" s="22" t="str">
        <f t="shared" si="78"/>
        <v/>
      </c>
      <c r="AD342" s="22" t="str">
        <f t="shared" si="89"/>
        <v/>
      </c>
      <c r="AE342" s="22" t="str" cm="1">
        <f t="array" ref="AE342">IF(($K342-$N$48)&lt;1,"",IF((IF(INDEX($AC$176:$AC$905,($K342-$N$48))="",0,INDEX($AC$176:$AC$905,($K342-$N$48))))=0,"",(IF(INDEX($AC$176:$AC$905,($K342-$N$48))="",0,INDEX($AC$176:$AC$905,($K342-$N$48))))))</f>
        <v/>
      </c>
      <c r="AF342" s="31" t="str">
        <f t="shared" si="79"/>
        <v/>
      </c>
      <c r="AG342" s="31" t="str">
        <f t="shared" si="80"/>
        <v/>
      </c>
      <c r="AH342" s="31" t="str">
        <f t="shared" si="81"/>
        <v/>
      </c>
      <c r="AI342" s="31" t="str">
        <f t="shared" si="82"/>
        <v/>
      </c>
      <c r="AJ342" s="303" t="str">
        <f t="shared" si="83"/>
        <v/>
      </c>
      <c r="AK342" s="139" t="str">
        <f t="shared" si="84"/>
        <v/>
      </c>
      <c r="AM342" s="319"/>
      <c r="AN342" s="40"/>
      <c r="AO342" s="1"/>
    </row>
    <row r="343" spans="7:41" x14ac:dyDescent="0.25">
      <c r="G343" s="235" t="str">
        <f t="shared" si="70"/>
        <v/>
      </c>
      <c r="H343" s="4" t="str">
        <f t="shared" si="71"/>
        <v/>
      </c>
      <c r="I343" s="11" t="str">
        <f t="shared" si="72"/>
        <v>09.00</v>
      </c>
      <c r="K343" s="30">
        <v>168</v>
      </c>
      <c r="L343" s="29">
        <f t="shared" si="85"/>
        <v>11371.908376190917</v>
      </c>
      <c r="M343" s="28" t="str">
        <f t="shared" si="73"/>
        <v/>
      </c>
      <c r="N343" s="27" t="str">
        <f t="shared" si="86"/>
        <v/>
      </c>
      <c r="O343" s="26" t="str">
        <f>IF(AND($Q342=$O$38,IFERROR(LARGE($V$176:$V342,1)&lt;$N$42,TRUE)),1,IF(AND(ISNUMBER($O342),$O342&lt;$N$32),$O342+1,""))</f>
        <v/>
      </c>
      <c r="P343" s="26" t="str">
        <f t="shared" si="87"/>
        <v/>
      </c>
      <c r="Q343" s="26" t="str">
        <f t="shared" si="74"/>
        <v/>
      </c>
      <c r="R343" s="24" t="str">
        <f t="shared" si="88"/>
        <v/>
      </c>
      <c r="S343" s="180">
        <f t="shared" si="69"/>
        <v>9</v>
      </c>
      <c r="T343" s="151"/>
      <c r="U343" s="25" t="str">
        <f t="shared" si="75"/>
        <v/>
      </c>
      <c r="V343" s="24" t="str">
        <f>IF(AND(ISNUMBER(R342),ISNUMBER(R343)),V342,IF(AND(R342="",ISNUMBER(R343)),IFERROR(LARGE($V$176:$V342,1)+1,0),""))</f>
        <v/>
      </c>
      <c r="W343" s="23" t="str">
        <f t="shared" si="76"/>
        <v/>
      </c>
      <c r="X343" s="22" t="str">
        <f t="shared" si="77"/>
        <v/>
      </c>
      <c r="Y343" s="22"/>
      <c r="Z343" s="22"/>
      <c r="AA343" s="22"/>
      <c r="AB343" s="22" t="str" cm="1">
        <f t="array" ref="AB343">IF(IF(AND($P342="",$P343=1),($N$37*-1),0)+IF(AND($Q342="",$Q343=1),($N$38*-1),0)+IF(IF(($K343-$N$48)&lt;1,0,IF(IF(INDEX($AD$176:$AD$905,($K343-$N$48))="",0,INDEX($AD$176:$AD$905,($K343-$N$48)))&gt;0,IF(INDEX($AD$176:$AD$905,($K343-$N$48))="",0,INDEX($AD$176:$AD$905,($K343-$N$48))),0))="",0,IF(($K343-$N$48)&lt;1,0,IF(IF(INDEX($AD$176:$AD$905,($K343-$N$48))="",0,INDEX($AD$176:$AD$905,($K343-$N$48)))&gt;0,IF(INDEX($AD$176:$AD$905,($K343-$N$48))="",0,INDEX($AD$176:$AD$905,($K343-$N$48))),0)))=0,"",IF(AND($P342="",$P343=1),($N$37*-1),0)+IF(AND($Q342="",$Q343=1),($N$38*-1),0)+IF(IF(($K343-$N$48)&lt;1,0,IF(IF(INDEX($AD$176:$AD$905,($K343-$N$48))="",0,INDEX($AD$176:$AD$905,($K343-$N$48)))&gt;0,IF(INDEX($AD$176:$AD$905,($K343-$N$48))="",0,INDEX($AD$176:$AD$905,($K343-$N$48))),0))="",0,IF(($K343-$N$48)&lt;1,0,IF(IF(INDEX($AD$176:$AD$905,($K343-$N$48))="",0,INDEX($AD$176:$AD$905,($K343-$N$48)))&gt;0,IF(INDEX($AD$176:$AD$905,($K343-$N$48))="",0,INDEX($AD$176:$AD$905,($K343-$N$48))),0))))</f>
        <v/>
      </c>
      <c r="AC343" s="22" t="str">
        <f t="shared" si="78"/>
        <v/>
      </c>
      <c r="AD343" s="22" t="str">
        <f t="shared" si="89"/>
        <v/>
      </c>
      <c r="AE343" s="22" t="str" cm="1">
        <f t="array" ref="AE343">IF(($K343-$N$48)&lt;1,"",IF((IF(INDEX($AC$176:$AC$905,($K343-$N$48))="",0,INDEX($AC$176:$AC$905,($K343-$N$48))))=0,"",(IF(INDEX($AC$176:$AC$905,($K343-$N$48))="",0,INDEX($AC$176:$AC$905,($K343-$N$48))))))</f>
        <v/>
      </c>
      <c r="AF343" s="31" t="str">
        <f t="shared" si="79"/>
        <v/>
      </c>
      <c r="AG343" s="31" t="str">
        <f t="shared" si="80"/>
        <v/>
      </c>
      <c r="AH343" s="31" t="str">
        <f t="shared" si="81"/>
        <v/>
      </c>
      <c r="AI343" s="31" t="str">
        <f t="shared" si="82"/>
        <v/>
      </c>
      <c r="AJ343" s="303" t="str">
        <f t="shared" si="83"/>
        <v/>
      </c>
      <c r="AK343" s="139" t="str">
        <f t="shared" si="84"/>
        <v/>
      </c>
      <c r="AM343" s="319"/>
      <c r="AN343" s="40"/>
      <c r="AO343" s="1"/>
    </row>
    <row r="344" spans="7:41" x14ac:dyDescent="0.25">
      <c r="G344" s="235" t="str">
        <f t="shared" si="70"/>
        <v/>
      </c>
      <c r="H344" s="4" t="str">
        <f t="shared" si="71"/>
        <v/>
      </c>
      <c r="I344" s="11" t="str">
        <f t="shared" si="72"/>
        <v>09.00</v>
      </c>
      <c r="K344" s="30">
        <v>169</v>
      </c>
      <c r="L344" s="29">
        <f t="shared" si="85"/>
        <v>11371.908376190917</v>
      </c>
      <c r="M344" s="28" t="str">
        <f t="shared" si="73"/>
        <v/>
      </c>
      <c r="N344" s="27" t="str">
        <f t="shared" si="86"/>
        <v/>
      </c>
      <c r="O344" s="26" t="str">
        <f>IF(AND($Q343=$O$38,IFERROR(LARGE($V$176:$V343,1)&lt;$N$42,TRUE)),1,IF(AND(ISNUMBER($O343),$O343&lt;$N$32),$O343+1,""))</f>
        <v/>
      </c>
      <c r="P344" s="26" t="str">
        <f t="shared" si="87"/>
        <v/>
      </c>
      <c r="Q344" s="26" t="str">
        <f t="shared" si="74"/>
        <v/>
      </c>
      <c r="R344" s="24" t="str">
        <f t="shared" si="88"/>
        <v/>
      </c>
      <c r="S344" s="180">
        <f t="shared" si="69"/>
        <v>9</v>
      </c>
      <c r="T344" s="151"/>
      <c r="U344" s="25" t="str">
        <f t="shared" si="75"/>
        <v/>
      </c>
      <c r="V344" s="24" t="str">
        <f>IF(AND(ISNUMBER(R343),ISNUMBER(R344)),V343,IF(AND(R343="",ISNUMBER(R344)),IFERROR(LARGE($V$176:$V343,1)+1,0),""))</f>
        <v/>
      </c>
      <c r="W344" s="23" t="str">
        <f t="shared" si="76"/>
        <v/>
      </c>
      <c r="X344" s="22" t="str">
        <f t="shared" si="77"/>
        <v/>
      </c>
      <c r="Y344" s="22"/>
      <c r="Z344" s="22"/>
      <c r="AA344" s="22"/>
      <c r="AB344" s="22" t="str" cm="1">
        <f t="array" ref="AB344">IF(IF(AND($P343="",$P344=1),($N$37*-1),0)+IF(AND($Q343="",$Q344=1),($N$38*-1),0)+IF(IF(($K344-$N$48)&lt;1,0,IF(IF(INDEX($AD$176:$AD$905,($K344-$N$48))="",0,INDEX($AD$176:$AD$905,($K344-$N$48)))&gt;0,IF(INDEX($AD$176:$AD$905,($K344-$N$48))="",0,INDEX($AD$176:$AD$905,($K344-$N$48))),0))="",0,IF(($K344-$N$48)&lt;1,0,IF(IF(INDEX($AD$176:$AD$905,($K344-$N$48))="",0,INDEX($AD$176:$AD$905,($K344-$N$48)))&gt;0,IF(INDEX($AD$176:$AD$905,($K344-$N$48))="",0,INDEX($AD$176:$AD$905,($K344-$N$48))),0)))=0,"",IF(AND($P343="",$P344=1),($N$37*-1),0)+IF(AND($Q343="",$Q344=1),($N$38*-1),0)+IF(IF(($K344-$N$48)&lt;1,0,IF(IF(INDEX($AD$176:$AD$905,($K344-$N$48))="",0,INDEX($AD$176:$AD$905,($K344-$N$48)))&gt;0,IF(INDEX($AD$176:$AD$905,($K344-$N$48))="",0,INDEX($AD$176:$AD$905,($K344-$N$48))),0))="",0,IF(($K344-$N$48)&lt;1,0,IF(IF(INDEX($AD$176:$AD$905,($K344-$N$48))="",0,INDEX($AD$176:$AD$905,($K344-$N$48)))&gt;0,IF(INDEX($AD$176:$AD$905,($K344-$N$48))="",0,INDEX($AD$176:$AD$905,($K344-$N$48))),0))))</f>
        <v/>
      </c>
      <c r="AC344" s="22" t="str">
        <f t="shared" si="78"/>
        <v/>
      </c>
      <c r="AD344" s="22" t="str">
        <f t="shared" si="89"/>
        <v/>
      </c>
      <c r="AE344" s="22" t="str" cm="1">
        <f t="array" ref="AE344">IF(($K344-$N$48)&lt;1,"",IF((IF(INDEX($AC$176:$AC$905,($K344-$N$48))="",0,INDEX($AC$176:$AC$905,($K344-$N$48))))=0,"",(IF(INDEX($AC$176:$AC$905,($K344-$N$48))="",0,INDEX($AC$176:$AC$905,($K344-$N$48))))))</f>
        <v/>
      </c>
      <c r="AF344" s="31" t="str">
        <f t="shared" si="79"/>
        <v/>
      </c>
      <c r="AG344" s="31" t="str">
        <f t="shared" si="80"/>
        <v/>
      </c>
      <c r="AH344" s="31" t="str">
        <f t="shared" si="81"/>
        <v/>
      </c>
      <c r="AI344" s="31" t="str">
        <f t="shared" si="82"/>
        <v/>
      </c>
      <c r="AJ344" s="303" t="str">
        <f t="shared" si="83"/>
        <v/>
      </c>
      <c r="AK344" s="139" t="str">
        <f t="shared" si="84"/>
        <v/>
      </c>
      <c r="AM344" s="319"/>
      <c r="AN344" s="40"/>
      <c r="AO344" s="1"/>
    </row>
    <row r="345" spans="7:41" x14ac:dyDescent="0.25">
      <c r="G345" s="235" t="str">
        <f t="shared" si="70"/>
        <v/>
      </c>
      <c r="H345" s="4" t="str">
        <f t="shared" si="71"/>
        <v/>
      </c>
      <c r="I345" s="11" t="str">
        <f t="shared" si="72"/>
        <v>09.00</v>
      </c>
      <c r="K345" s="30">
        <v>170</v>
      </c>
      <c r="L345" s="29">
        <f t="shared" si="85"/>
        <v>11371.908376190917</v>
      </c>
      <c r="M345" s="28" t="str">
        <f t="shared" si="73"/>
        <v/>
      </c>
      <c r="N345" s="27" t="str">
        <f t="shared" si="86"/>
        <v/>
      </c>
      <c r="O345" s="26" t="str">
        <f>IF(AND($Q344=$O$38,IFERROR(LARGE($V$176:$V344,1)&lt;$N$42,TRUE)),1,IF(AND(ISNUMBER($O344),$O344&lt;$N$32),$O344+1,""))</f>
        <v/>
      </c>
      <c r="P345" s="26" t="str">
        <f t="shared" si="87"/>
        <v/>
      </c>
      <c r="Q345" s="26" t="str">
        <f t="shared" si="74"/>
        <v/>
      </c>
      <c r="R345" s="24" t="str">
        <f t="shared" si="88"/>
        <v/>
      </c>
      <c r="S345" s="180">
        <f t="shared" si="69"/>
        <v>9</v>
      </c>
      <c r="T345" s="151"/>
      <c r="U345" s="25" t="str">
        <f t="shared" si="75"/>
        <v/>
      </c>
      <c r="V345" s="24" t="str">
        <f>IF(AND(ISNUMBER(R344),ISNUMBER(R345)),V344,IF(AND(R344="",ISNUMBER(R345)),IFERROR(LARGE($V$176:$V344,1)+1,0),""))</f>
        <v/>
      </c>
      <c r="W345" s="23" t="str">
        <f t="shared" si="76"/>
        <v/>
      </c>
      <c r="X345" s="22" t="str">
        <f t="shared" si="77"/>
        <v/>
      </c>
      <c r="Y345" s="22"/>
      <c r="Z345" s="22"/>
      <c r="AA345" s="22"/>
      <c r="AB345" s="22" t="str" cm="1">
        <f t="array" ref="AB345">IF(IF(AND($P344="",$P345=1),($N$37*-1),0)+IF(AND($Q344="",$Q345=1),($N$38*-1),0)+IF(IF(($K345-$N$48)&lt;1,0,IF(IF(INDEX($AD$176:$AD$905,($K345-$N$48))="",0,INDEX($AD$176:$AD$905,($K345-$N$48)))&gt;0,IF(INDEX($AD$176:$AD$905,($K345-$N$48))="",0,INDEX($AD$176:$AD$905,($K345-$N$48))),0))="",0,IF(($K345-$N$48)&lt;1,0,IF(IF(INDEX($AD$176:$AD$905,($K345-$N$48))="",0,INDEX($AD$176:$AD$905,($K345-$N$48)))&gt;0,IF(INDEX($AD$176:$AD$905,($K345-$N$48))="",0,INDEX($AD$176:$AD$905,($K345-$N$48))),0)))=0,"",IF(AND($P344="",$P345=1),($N$37*-1),0)+IF(AND($Q344="",$Q345=1),($N$38*-1),0)+IF(IF(($K345-$N$48)&lt;1,0,IF(IF(INDEX($AD$176:$AD$905,($K345-$N$48))="",0,INDEX($AD$176:$AD$905,($K345-$N$48)))&gt;0,IF(INDEX($AD$176:$AD$905,($K345-$N$48))="",0,INDEX($AD$176:$AD$905,($K345-$N$48))),0))="",0,IF(($K345-$N$48)&lt;1,0,IF(IF(INDEX($AD$176:$AD$905,($K345-$N$48))="",0,INDEX($AD$176:$AD$905,($K345-$N$48)))&gt;0,IF(INDEX($AD$176:$AD$905,($K345-$N$48))="",0,INDEX($AD$176:$AD$905,($K345-$N$48))),0))))</f>
        <v/>
      </c>
      <c r="AC345" s="22" t="str">
        <f t="shared" si="78"/>
        <v/>
      </c>
      <c r="AD345" s="22" t="str">
        <f t="shared" si="89"/>
        <v/>
      </c>
      <c r="AE345" s="22" t="str" cm="1">
        <f t="array" ref="AE345">IF(($K345-$N$48)&lt;1,"",IF((IF(INDEX($AC$176:$AC$905,($K345-$N$48))="",0,INDEX($AC$176:$AC$905,($K345-$N$48))))=0,"",(IF(INDEX($AC$176:$AC$905,($K345-$N$48))="",0,INDEX($AC$176:$AC$905,($K345-$N$48))))))</f>
        <v/>
      </c>
      <c r="AF345" s="31" t="str">
        <f t="shared" si="79"/>
        <v/>
      </c>
      <c r="AG345" s="31" t="str">
        <f t="shared" si="80"/>
        <v/>
      </c>
      <c r="AH345" s="31" t="str">
        <f t="shared" si="81"/>
        <v/>
      </c>
      <c r="AI345" s="31" t="str">
        <f t="shared" si="82"/>
        <v/>
      </c>
      <c r="AJ345" s="303" t="str">
        <f t="shared" si="83"/>
        <v/>
      </c>
      <c r="AK345" s="139" t="str">
        <f t="shared" si="84"/>
        <v/>
      </c>
      <c r="AM345" s="319"/>
      <c r="AN345" s="40"/>
      <c r="AO345" s="1"/>
    </row>
    <row r="346" spans="7:41" x14ac:dyDescent="0.25">
      <c r="G346" s="235" t="str">
        <f t="shared" si="70"/>
        <v/>
      </c>
      <c r="H346" s="4" t="str">
        <f t="shared" si="71"/>
        <v/>
      </c>
      <c r="I346" s="11" t="str">
        <f t="shared" si="72"/>
        <v>09.00</v>
      </c>
      <c r="K346" s="30">
        <v>171</v>
      </c>
      <c r="L346" s="29">
        <f t="shared" si="85"/>
        <v>11371.908376190917</v>
      </c>
      <c r="M346" s="28" t="str">
        <f t="shared" si="73"/>
        <v/>
      </c>
      <c r="N346" s="27" t="str">
        <f t="shared" si="86"/>
        <v/>
      </c>
      <c r="O346" s="26" t="str">
        <f>IF(AND($Q345=$O$38,IFERROR(LARGE($V$176:$V345,1)&lt;$N$42,TRUE)),1,IF(AND(ISNUMBER($O345),$O345&lt;$N$32),$O345+1,""))</f>
        <v/>
      </c>
      <c r="P346" s="26" t="str">
        <f t="shared" si="87"/>
        <v/>
      </c>
      <c r="Q346" s="26" t="str">
        <f t="shared" si="74"/>
        <v/>
      </c>
      <c r="R346" s="24" t="str">
        <f t="shared" si="88"/>
        <v/>
      </c>
      <c r="S346" s="180">
        <f t="shared" si="69"/>
        <v>9</v>
      </c>
      <c r="T346" s="151"/>
      <c r="U346" s="25" t="str">
        <f t="shared" si="75"/>
        <v/>
      </c>
      <c r="V346" s="24" t="str">
        <f>IF(AND(ISNUMBER(R345),ISNUMBER(R346)),V345,IF(AND(R345="",ISNUMBER(R346)),IFERROR(LARGE($V$176:$V345,1)+1,0),""))</f>
        <v/>
      </c>
      <c r="W346" s="23" t="str">
        <f t="shared" si="76"/>
        <v/>
      </c>
      <c r="X346" s="22" t="str">
        <f t="shared" si="77"/>
        <v/>
      </c>
      <c r="Y346" s="22"/>
      <c r="Z346" s="22"/>
      <c r="AA346" s="22"/>
      <c r="AB346" s="22" t="str" cm="1">
        <f t="array" ref="AB346">IF(IF(AND($P345="",$P346=1),($N$37*-1),0)+IF(AND($Q345="",$Q346=1),($N$38*-1),0)+IF(IF(($K346-$N$48)&lt;1,0,IF(IF(INDEX($AD$176:$AD$905,($K346-$N$48))="",0,INDEX($AD$176:$AD$905,($K346-$N$48)))&gt;0,IF(INDEX($AD$176:$AD$905,($K346-$N$48))="",0,INDEX($AD$176:$AD$905,($K346-$N$48))),0))="",0,IF(($K346-$N$48)&lt;1,0,IF(IF(INDEX($AD$176:$AD$905,($K346-$N$48))="",0,INDEX($AD$176:$AD$905,($K346-$N$48)))&gt;0,IF(INDEX($AD$176:$AD$905,($K346-$N$48))="",0,INDEX($AD$176:$AD$905,($K346-$N$48))),0)))=0,"",IF(AND($P345="",$P346=1),($N$37*-1),0)+IF(AND($Q345="",$Q346=1),($N$38*-1),0)+IF(IF(($K346-$N$48)&lt;1,0,IF(IF(INDEX($AD$176:$AD$905,($K346-$N$48))="",0,INDEX($AD$176:$AD$905,($K346-$N$48)))&gt;0,IF(INDEX($AD$176:$AD$905,($K346-$N$48))="",0,INDEX($AD$176:$AD$905,($K346-$N$48))),0))="",0,IF(($K346-$N$48)&lt;1,0,IF(IF(INDEX($AD$176:$AD$905,($K346-$N$48))="",0,INDEX($AD$176:$AD$905,($K346-$N$48)))&gt;0,IF(INDEX($AD$176:$AD$905,($K346-$N$48))="",0,INDEX($AD$176:$AD$905,($K346-$N$48))),0))))</f>
        <v/>
      </c>
      <c r="AC346" s="22" t="str">
        <f t="shared" si="78"/>
        <v/>
      </c>
      <c r="AD346" s="22" t="str">
        <f t="shared" si="89"/>
        <v/>
      </c>
      <c r="AE346" s="22" t="str" cm="1">
        <f t="array" ref="AE346">IF(($K346-$N$48)&lt;1,"",IF((IF(INDEX($AC$176:$AC$905,($K346-$N$48))="",0,INDEX($AC$176:$AC$905,($K346-$N$48))))=0,"",(IF(INDEX($AC$176:$AC$905,($K346-$N$48))="",0,INDEX($AC$176:$AC$905,($K346-$N$48))))))</f>
        <v/>
      </c>
      <c r="AF346" s="31" t="str">
        <f t="shared" si="79"/>
        <v/>
      </c>
      <c r="AG346" s="31" t="str">
        <f t="shared" si="80"/>
        <v/>
      </c>
      <c r="AH346" s="31" t="str">
        <f t="shared" si="81"/>
        <v/>
      </c>
      <c r="AI346" s="31" t="str">
        <f t="shared" si="82"/>
        <v/>
      </c>
      <c r="AJ346" s="303" t="str">
        <f t="shared" si="83"/>
        <v/>
      </c>
      <c r="AK346" s="139" t="str">
        <f t="shared" si="84"/>
        <v/>
      </c>
      <c r="AM346" s="319"/>
      <c r="AN346" s="40"/>
      <c r="AO346" s="1"/>
    </row>
    <row r="347" spans="7:41" x14ac:dyDescent="0.25">
      <c r="G347" s="235" t="str">
        <f t="shared" si="70"/>
        <v/>
      </c>
      <c r="H347" s="4" t="str">
        <f t="shared" si="71"/>
        <v/>
      </c>
      <c r="I347" s="11" t="str">
        <f t="shared" si="72"/>
        <v>09.00</v>
      </c>
      <c r="K347" s="30">
        <v>172</v>
      </c>
      <c r="L347" s="29">
        <f t="shared" si="85"/>
        <v>11371.908376190917</v>
      </c>
      <c r="M347" s="28" t="str">
        <f t="shared" si="73"/>
        <v/>
      </c>
      <c r="N347" s="27" t="str">
        <f t="shared" si="86"/>
        <v/>
      </c>
      <c r="O347" s="26" t="str">
        <f>IF(AND($Q346=$O$38,IFERROR(LARGE($V$176:$V346,1)&lt;$N$42,TRUE)),1,IF(AND(ISNUMBER($O346),$O346&lt;$N$32),$O346+1,""))</f>
        <v/>
      </c>
      <c r="P347" s="26" t="str">
        <f t="shared" si="87"/>
        <v/>
      </c>
      <c r="Q347" s="26" t="str">
        <f t="shared" si="74"/>
        <v/>
      </c>
      <c r="R347" s="24" t="str">
        <f t="shared" si="88"/>
        <v/>
      </c>
      <c r="S347" s="180">
        <f t="shared" ref="S347:S378" si="90">IF($Q347=1,ROUNDDOWN($S346,0)+1,IF($R347=1,$S346+0.01,IF(ISNUMBER($U347),IF(AND($U347&gt;1,($U347-$U346)=1),$S346+0.01,$S346),$S346)))</f>
        <v>9</v>
      </c>
      <c r="T347" s="151"/>
      <c r="U347" s="25" t="str">
        <f t="shared" si="75"/>
        <v/>
      </c>
      <c r="V347" s="24" t="str">
        <f>IF(AND(ISNUMBER(R346),ISNUMBER(R347)),V346,IF(AND(R346="",ISNUMBER(R347)),IFERROR(LARGE($V$176:$V346,1)+1,0),""))</f>
        <v/>
      </c>
      <c r="W347" s="23" t="str">
        <f t="shared" si="76"/>
        <v/>
      </c>
      <c r="X347" s="22" t="str">
        <f t="shared" si="77"/>
        <v/>
      </c>
      <c r="Y347" s="22"/>
      <c r="Z347" s="22"/>
      <c r="AA347" s="22"/>
      <c r="AB347" s="22" t="str" cm="1">
        <f t="array" ref="AB347">IF(IF(AND($P346="",$P347=1),($N$37*-1),0)+IF(AND($Q346="",$Q347=1),($N$38*-1),0)+IF(IF(($K347-$N$48)&lt;1,0,IF(IF(INDEX($AD$176:$AD$905,($K347-$N$48))="",0,INDEX($AD$176:$AD$905,($K347-$N$48)))&gt;0,IF(INDEX($AD$176:$AD$905,($K347-$N$48))="",0,INDEX($AD$176:$AD$905,($K347-$N$48))),0))="",0,IF(($K347-$N$48)&lt;1,0,IF(IF(INDEX($AD$176:$AD$905,($K347-$N$48))="",0,INDEX($AD$176:$AD$905,($K347-$N$48)))&gt;0,IF(INDEX($AD$176:$AD$905,($K347-$N$48))="",0,INDEX($AD$176:$AD$905,($K347-$N$48))),0)))=0,"",IF(AND($P346="",$P347=1),($N$37*-1),0)+IF(AND($Q346="",$Q347=1),($N$38*-1),0)+IF(IF(($K347-$N$48)&lt;1,0,IF(IF(INDEX($AD$176:$AD$905,($K347-$N$48))="",0,INDEX($AD$176:$AD$905,($K347-$N$48)))&gt;0,IF(INDEX($AD$176:$AD$905,($K347-$N$48))="",0,INDEX($AD$176:$AD$905,($K347-$N$48))),0))="",0,IF(($K347-$N$48)&lt;1,0,IF(IF(INDEX($AD$176:$AD$905,($K347-$N$48))="",0,INDEX($AD$176:$AD$905,($K347-$N$48)))&gt;0,IF(INDEX($AD$176:$AD$905,($K347-$N$48))="",0,INDEX($AD$176:$AD$905,($K347-$N$48))),0))))</f>
        <v/>
      </c>
      <c r="AC347" s="22" t="str">
        <f t="shared" si="78"/>
        <v/>
      </c>
      <c r="AD347" s="22" t="str">
        <f t="shared" si="89"/>
        <v/>
      </c>
      <c r="AE347" s="22" t="str" cm="1">
        <f t="array" ref="AE347">IF(($K347-$N$48)&lt;1,"",IF((IF(INDEX($AC$176:$AC$905,($K347-$N$48))="",0,INDEX($AC$176:$AC$905,($K347-$N$48))))=0,"",(IF(INDEX($AC$176:$AC$905,($K347-$N$48))="",0,INDEX($AC$176:$AC$905,($K347-$N$48))))))</f>
        <v/>
      </c>
      <c r="AF347" s="31" t="str">
        <f t="shared" si="79"/>
        <v/>
      </c>
      <c r="AG347" s="31" t="str">
        <f t="shared" si="80"/>
        <v/>
      </c>
      <c r="AH347" s="31" t="str">
        <f t="shared" si="81"/>
        <v/>
      </c>
      <c r="AI347" s="31" t="str">
        <f t="shared" si="82"/>
        <v/>
      </c>
      <c r="AJ347" s="303" t="str">
        <f t="shared" si="83"/>
        <v/>
      </c>
      <c r="AK347" s="139" t="str">
        <f t="shared" si="84"/>
        <v/>
      </c>
      <c r="AM347" s="319"/>
      <c r="AN347" s="40"/>
      <c r="AO347" s="1"/>
    </row>
    <row r="348" spans="7:41" x14ac:dyDescent="0.25">
      <c r="G348" s="235" t="str">
        <f t="shared" si="70"/>
        <v/>
      </c>
      <c r="H348" s="4" t="str">
        <f t="shared" si="71"/>
        <v/>
      </c>
      <c r="I348" s="11" t="str">
        <f t="shared" si="72"/>
        <v>09.00</v>
      </c>
      <c r="K348" s="30">
        <v>173</v>
      </c>
      <c r="L348" s="29">
        <f t="shared" si="85"/>
        <v>11371.908376190917</v>
      </c>
      <c r="M348" s="28" t="str">
        <f t="shared" si="73"/>
        <v/>
      </c>
      <c r="N348" s="27" t="str">
        <f t="shared" si="86"/>
        <v/>
      </c>
      <c r="O348" s="26" t="str">
        <f>IF(AND($Q347=$O$38,IFERROR(LARGE($V$176:$V347,1)&lt;$N$42,TRUE)),1,IF(AND(ISNUMBER($O347),$O347&lt;$N$32),$O347+1,""))</f>
        <v/>
      </c>
      <c r="P348" s="26" t="str">
        <f t="shared" si="87"/>
        <v/>
      </c>
      <c r="Q348" s="26" t="str">
        <f t="shared" si="74"/>
        <v/>
      </c>
      <c r="R348" s="24" t="str">
        <f t="shared" si="88"/>
        <v/>
      </c>
      <c r="S348" s="180">
        <f t="shared" si="90"/>
        <v>9</v>
      </c>
      <c r="T348" s="151"/>
      <c r="U348" s="25" t="str">
        <f t="shared" si="75"/>
        <v/>
      </c>
      <c r="V348" s="24" t="str">
        <f>IF(AND(ISNUMBER(R347),ISNUMBER(R348)),V347,IF(AND(R347="",ISNUMBER(R348)),IFERROR(LARGE($V$176:$V347,1)+1,0),""))</f>
        <v/>
      </c>
      <c r="W348" s="23" t="str">
        <f t="shared" si="76"/>
        <v/>
      </c>
      <c r="X348" s="22" t="str">
        <f t="shared" si="77"/>
        <v/>
      </c>
      <c r="Y348" s="22"/>
      <c r="Z348" s="22"/>
      <c r="AA348" s="22"/>
      <c r="AB348" s="22" t="str" cm="1">
        <f t="array" ref="AB348">IF(IF(AND($P347="",$P348=1),($N$37*-1),0)+IF(AND($Q347="",$Q348=1),($N$38*-1),0)+IF(IF(($K348-$N$48)&lt;1,0,IF(IF(INDEX($AD$176:$AD$905,($K348-$N$48))="",0,INDEX($AD$176:$AD$905,($K348-$N$48)))&gt;0,IF(INDEX($AD$176:$AD$905,($K348-$N$48))="",0,INDEX($AD$176:$AD$905,($K348-$N$48))),0))="",0,IF(($K348-$N$48)&lt;1,0,IF(IF(INDEX($AD$176:$AD$905,($K348-$N$48))="",0,INDEX($AD$176:$AD$905,($K348-$N$48)))&gt;0,IF(INDEX($AD$176:$AD$905,($K348-$N$48))="",0,INDEX($AD$176:$AD$905,($K348-$N$48))),0)))=0,"",IF(AND($P347="",$P348=1),($N$37*-1),0)+IF(AND($Q347="",$Q348=1),($N$38*-1),0)+IF(IF(($K348-$N$48)&lt;1,0,IF(IF(INDEX($AD$176:$AD$905,($K348-$N$48))="",0,INDEX($AD$176:$AD$905,($K348-$N$48)))&gt;0,IF(INDEX($AD$176:$AD$905,($K348-$N$48))="",0,INDEX($AD$176:$AD$905,($K348-$N$48))),0))="",0,IF(($K348-$N$48)&lt;1,0,IF(IF(INDEX($AD$176:$AD$905,($K348-$N$48))="",0,INDEX($AD$176:$AD$905,($K348-$N$48)))&gt;0,IF(INDEX($AD$176:$AD$905,($K348-$N$48))="",0,INDEX($AD$176:$AD$905,($K348-$N$48))),0))))</f>
        <v/>
      </c>
      <c r="AC348" s="22" t="str">
        <f t="shared" si="78"/>
        <v/>
      </c>
      <c r="AD348" s="22" t="str">
        <f t="shared" si="89"/>
        <v/>
      </c>
      <c r="AE348" s="22" t="str" cm="1">
        <f t="array" ref="AE348">IF(($K348-$N$48)&lt;1,"",IF((IF(INDEX($AC$176:$AC$905,($K348-$N$48))="",0,INDEX($AC$176:$AC$905,($K348-$N$48))))=0,"",(IF(INDEX($AC$176:$AC$905,($K348-$N$48))="",0,INDEX($AC$176:$AC$905,($K348-$N$48))))))</f>
        <v/>
      </c>
      <c r="AF348" s="31" t="str">
        <f t="shared" si="79"/>
        <v/>
      </c>
      <c r="AG348" s="31" t="str">
        <f t="shared" si="80"/>
        <v/>
      </c>
      <c r="AH348" s="31" t="str">
        <f t="shared" si="81"/>
        <v/>
      </c>
      <c r="AI348" s="31" t="str">
        <f t="shared" si="82"/>
        <v/>
      </c>
      <c r="AJ348" s="303" t="str">
        <f t="shared" si="83"/>
        <v/>
      </c>
      <c r="AK348" s="139" t="str">
        <f t="shared" si="84"/>
        <v/>
      </c>
      <c r="AM348" s="319"/>
      <c r="AN348" s="40"/>
      <c r="AO348" s="1"/>
    </row>
    <row r="349" spans="7:41" x14ac:dyDescent="0.25">
      <c r="G349" s="235" t="str">
        <f t="shared" si="70"/>
        <v/>
      </c>
      <c r="H349" s="4" t="str">
        <f t="shared" si="71"/>
        <v/>
      </c>
      <c r="I349" s="11" t="str">
        <f t="shared" si="72"/>
        <v>09.00</v>
      </c>
      <c r="K349" s="30">
        <v>174</v>
      </c>
      <c r="L349" s="29">
        <f t="shared" si="85"/>
        <v>11371.908376190917</v>
      </c>
      <c r="M349" s="28" t="str">
        <f t="shared" si="73"/>
        <v/>
      </c>
      <c r="N349" s="27" t="str">
        <f t="shared" si="86"/>
        <v/>
      </c>
      <c r="O349" s="26" t="str">
        <f>IF(AND($Q348=$O$38,IFERROR(LARGE($V$176:$V348,1)&lt;$N$42,TRUE)),1,IF(AND(ISNUMBER($O348),$O348&lt;$N$32),$O348+1,""))</f>
        <v/>
      </c>
      <c r="P349" s="26" t="str">
        <f t="shared" si="87"/>
        <v/>
      </c>
      <c r="Q349" s="26" t="str">
        <f t="shared" si="74"/>
        <v/>
      </c>
      <c r="R349" s="24" t="str">
        <f t="shared" si="88"/>
        <v/>
      </c>
      <c r="S349" s="180">
        <f t="shared" si="90"/>
        <v>9</v>
      </c>
      <c r="T349" s="151"/>
      <c r="U349" s="25" t="str">
        <f t="shared" si="75"/>
        <v/>
      </c>
      <c r="V349" s="24" t="str">
        <f>IF(AND(ISNUMBER(R348),ISNUMBER(R349)),V348,IF(AND(R348="",ISNUMBER(R349)),IFERROR(LARGE($V$176:$V348,1)+1,0),""))</f>
        <v/>
      </c>
      <c r="W349" s="23" t="str">
        <f t="shared" si="76"/>
        <v/>
      </c>
      <c r="X349" s="22" t="str">
        <f t="shared" si="77"/>
        <v/>
      </c>
      <c r="Y349" s="22"/>
      <c r="Z349" s="22"/>
      <c r="AA349" s="22"/>
      <c r="AB349" s="22" t="str" cm="1">
        <f t="array" ref="AB349">IF(IF(AND($P348="",$P349=1),($N$37*-1),0)+IF(AND($Q348="",$Q349=1),($N$38*-1),0)+IF(IF(($K349-$N$48)&lt;1,0,IF(IF(INDEX($AD$176:$AD$905,($K349-$N$48))="",0,INDEX($AD$176:$AD$905,($K349-$N$48)))&gt;0,IF(INDEX($AD$176:$AD$905,($K349-$N$48))="",0,INDEX($AD$176:$AD$905,($K349-$N$48))),0))="",0,IF(($K349-$N$48)&lt;1,0,IF(IF(INDEX($AD$176:$AD$905,($K349-$N$48))="",0,INDEX($AD$176:$AD$905,($K349-$N$48)))&gt;0,IF(INDEX($AD$176:$AD$905,($K349-$N$48))="",0,INDEX($AD$176:$AD$905,($K349-$N$48))),0)))=0,"",IF(AND($P348="",$P349=1),($N$37*-1),0)+IF(AND($Q348="",$Q349=1),($N$38*-1),0)+IF(IF(($K349-$N$48)&lt;1,0,IF(IF(INDEX($AD$176:$AD$905,($K349-$N$48))="",0,INDEX($AD$176:$AD$905,($K349-$N$48)))&gt;0,IF(INDEX($AD$176:$AD$905,($K349-$N$48))="",0,INDEX($AD$176:$AD$905,($K349-$N$48))),0))="",0,IF(($K349-$N$48)&lt;1,0,IF(IF(INDEX($AD$176:$AD$905,($K349-$N$48))="",0,INDEX($AD$176:$AD$905,($K349-$N$48)))&gt;0,IF(INDEX($AD$176:$AD$905,($K349-$N$48))="",0,INDEX($AD$176:$AD$905,($K349-$N$48))),0))))</f>
        <v/>
      </c>
      <c r="AC349" s="22" t="str">
        <f t="shared" si="78"/>
        <v/>
      </c>
      <c r="AD349" s="22" t="str">
        <f t="shared" si="89"/>
        <v/>
      </c>
      <c r="AE349" s="22" t="str" cm="1">
        <f t="array" ref="AE349">IF(($K349-$N$48)&lt;1,"",IF((IF(INDEX($AC$176:$AC$905,($K349-$N$48))="",0,INDEX($AC$176:$AC$905,($K349-$N$48))))=0,"",(IF(INDEX($AC$176:$AC$905,($K349-$N$48))="",0,INDEX($AC$176:$AC$905,($K349-$N$48))))))</f>
        <v/>
      </c>
      <c r="AF349" s="31" t="str">
        <f t="shared" si="79"/>
        <v/>
      </c>
      <c r="AG349" s="31" t="str">
        <f t="shared" si="80"/>
        <v/>
      </c>
      <c r="AH349" s="31" t="str">
        <f t="shared" si="81"/>
        <v/>
      </c>
      <c r="AI349" s="31" t="str">
        <f t="shared" si="82"/>
        <v/>
      </c>
      <c r="AJ349" s="303" t="str">
        <f t="shared" si="83"/>
        <v/>
      </c>
      <c r="AK349" s="139" t="str">
        <f t="shared" si="84"/>
        <v/>
      </c>
      <c r="AM349" s="319"/>
      <c r="AN349" s="40"/>
      <c r="AO349" s="1"/>
    </row>
    <row r="350" spans="7:41" x14ac:dyDescent="0.25">
      <c r="G350" s="235" t="str">
        <f t="shared" si="70"/>
        <v/>
      </c>
      <c r="H350" s="4" t="str">
        <f t="shared" si="71"/>
        <v/>
      </c>
      <c r="I350" s="11" t="str">
        <f t="shared" si="72"/>
        <v>09.00</v>
      </c>
      <c r="K350" s="30">
        <v>175</v>
      </c>
      <c r="L350" s="29">
        <f t="shared" si="85"/>
        <v>11371.908376190917</v>
      </c>
      <c r="M350" s="28" t="str">
        <f t="shared" si="73"/>
        <v/>
      </c>
      <c r="N350" s="27" t="str">
        <f t="shared" si="86"/>
        <v/>
      </c>
      <c r="O350" s="26" t="str">
        <f>IF(AND($Q349=$O$38,IFERROR(LARGE($V$176:$V349,1)&lt;$N$42,TRUE)),1,IF(AND(ISNUMBER($O349),$O349&lt;$N$32),$O349+1,""))</f>
        <v/>
      </c>
      <c r="P350" s="26" t="str">
        <f t="shared" si="87"/>
        <v/>
      </c>
      <c r="Q350" s="26" t="str">
        <f t="shared" si="74"/>
        <v/>
      </c>
      <c r="R350" s="24" t="str">
        <f t="shared" si="88"/>
        <v/>
      </c>
      <c r="S350" s="180">
        <f t="shared" si="90"/>
        <v>9</v>
      </c>
      <c r="T350" s="151"/>
      <c r="U350" s="25" t="str">
        <f t="shared" si="75"/>
        <v/>
      </c>
      <c r="V350" s="24" t="str">
        <f>IF(AND(ISNUMBER(R349),ISNUMBER(R350)),V349,IF(AND(R349="",ISNUMBER(R350)),IFERROR(LARGE($V$176:$V349,1)+1,0),""))</f>
        <v/>
      </c>
      <c r="W350" s="23" t="str">
        <f t="shared" si="76"/>
        <v/>
      </c>
      <c r="X350" s="22" t="str">
        <f t="shared" si="77"/>
        <v/>
      </c>
      <c r="Y350" s="22"/>
      <c r="Z350" s="22"/>
      <c r="AA350" s="22"/>
      <c r="AB350" s="22" t="str" cm="1">
        <f t="array" ref="AB350">IF(IF(AND($P349="",$P350=1),($N$37*-1),0)+IF(AND($Q349="",$Q350=1),($N$38*-1),0)+IF(IF(($K350-$N$48)&lt;1,0,IF(IF(INDEX($AD$176:$AD$905,($K350-$N$48))="",0,INDEX($AD$176:$AD$905,($K350-$N$48)))&gt;0,IF(INDEX($AD$176:$AD$905,($K350-$N$48))="",0,INDEX($AD$176:$AD$905,($K350-$N$48))),0))="",0,IF(($K350-$N$48)&lt;1,0,IF(IF(INDEX($AD$176:$AD$905,($K350-$N$48))="",0,INDEX($AD$176:$AD$905,($K350-$N$48)))&gt;0,IF(INDEX($AD$176:$AD$905,($K350-$N$48))="",0,INDEX($AD$176:$AD$905,($K350-$N$48))),0)))=0,"",IF(AND($P349="",$P350=1),($N$37*-1),0)+IF(AND($Q349="",$Q350=1),($N$38*-1),0)+IF(IF(($K350-$N$48)&lt;1,0,IF(IF(INDEX($AD$176:$AD$905,($K350-$N$48))="",0,INDEX($AD$176:$AD$905,($K350-$N$48)))&gt;0,IF(INDEX($AD$176:$AD$905,($K350-$N$48))="",0,INDEX($AD$176:$AD$905,($K350-$N$48))),0))="",0,IF(($K350-$N$48)&lt;1,0,IF(IF(INDEX($AD$176:$AD$905,($K350-$N$48))="",0,INDEX($AD$176:$AD$905,($K350-$N$48)))&gt;0,IF(INDEX($AD$176:$AD$905,($K350-$N$48))="",0,INDEX($AD$176:$AD$905,($K350-$N$48))),0))))</f>
        <v/>
      </c>
      <c r="AC350" s="22" t="str">
        <f t="shared" si="78"/>
        <v/>
      </c>
      <c r="AD350" s="22" t="str">
        <f t="shared" si="89"/>
        <v/>
      </c>
      <c r="AE350" s="22" t="str" cm="1">
        <f t="array" ref="AE350">IF(($K350-$N$48)&lt;1,"",IF((IF(INDEX($AC$176:$AC$905,($K350-$N$48))="",0,INDEX($AC$176:$AC$905,($K350-$N$48))))=0,"",(IF(INDEX($AC$176:$AC$905,($K350-$N$48))="",0,INDEX($AC$176:$AC$905,($K350-$N$48))))))</f>
        <v/>
      </c>
      <c r="AF350" s="31" t="str">
        <f t="shared" si="79"/>
        <v/>
      </c>
      <c r="AG350" s="31" t="str">
        <f t="shared" si="80"/>
        <v/>
      </c>
      <c r="AH350" s="31" t="str">
        <f t="shared" si="81"/>
        <v/>
      </c>
      <c r="AI350" s="31" t="str">
        <f t="shared" si="82"/>
        <v/>
      </c>
      <c r="AJ350" s="303" t="str">
        <f t="shared" si="83"/>
        <v/>
      </c>
      <c r="AK350" s="139" t="str">
        <f t="shared" si="84"/>
        <v/>
      </c>
      <c r="AM350" s="319"/>
      <c r="AN350" s="40"/>
      <c r="AO350" s="1"/>
    </row>
    <row r="351" spans="7:41" x14ac:dyDescent="0.25">
      <c r="G351" s="235" t="str">
        <f t="shared" si="70"/>
        <v/>
      </c>
      <c r="H351" s="4" t="str">
        <f t="shared" si="71"/>
        <v/>
      </c>
      <c r="I351" s="11" t="str">
        <f t="shared" si="72"/>
        <v>09.00</v>
      </c>
      <c r="K351" s="30">
        <v>176</v>
      </c>
      <c r="L351" s="29">
        <f t="shared" si="85"/>
        <v>11371.908376190917</v>
      </c>
      <c r="M351" s="28" t="str">
        <f t="shared" si="73"/>
        <v/>
      </c>
      <c r="N351" s="27" t="str">
        <f t="shared" si="86"/>
        <v/>
      </c>
      <c r="O351" s="26" t="str">
        <f>IF(AND($Q350=$O$38,IFERROR(LARGE($V$176:$V350,1)&lt;$N$42,TRUE)),1,IF(AND(ISNUMBER($O350),$O350&lt;$N$32),$O350+1,""))</f>
        <v/>
      </c>
      <c r="P351" s="26" t="str">
        <f t="shared" si="87"/>
        <v/>
      </c>
      <c r="Q351" s="26" t="str">
        <f t="shared" si="74"/>
        <v/>
      </c>
      <c r="R351" s="24" t="str">
        <f t="shared" si="88"/>
        <v/>
      </c>
      <c r="S351" s="180">
        <f t="shared" si="90"/>
        <v>9</v>
      </c>
      <c r="T351" s="151"/>
      <c r="U351" s="25" t="str">
        <f t="shared" si="75"/>
        <v/>
      </c>
      <c r="V351" s="24" t="str">
        <f>IF(AND(ISNUMBER(R350),ISNUMBER(R351)),V350,IF(AND(R350="",ISNUMBER(R351)),IFERROR(LARGE($V$176:$V350,1)+1,0),""))</f>
        <v/>
      </c>
      <c r="W351" s="23" t="str">
        <f t="shared" si="76"/>
        <v/>
      </c>
      <c r="X351" s="22" t="str">
        <f t="shared" si="77"/>
        <v/>
      </c>
      <c r="Y351" s="22"/>
      <c r="Z351" s="22"/>
      <c r="AA351" s="22"/>
      <c r="AB351" s="22" t="str" cm="1">
        <f t="array" ref="AB351">IF(IF(AND($P350="",$P351=1),($N$37*-1),0)+IF(AND($Q350="",$Q351=1),($N$38*-1),0)+IF(IF(($K351-$N$48)&lt;1,0,IF(IF(INDEX($AD$176:$AD$905,($K351-$N$48))="",0,INDEX($AD$176:$AD$905,($K351-$N$48)))&gt;0,IF(INDEX($AD$176:$AD$905,($K351-$N$48))="",0,INDEX($AD$176:$AD$905,($K351-$N$48))),0))="",0,IF(($K351-$N$48)&lt;1,0,IF(IF(INDEX($AD$176:$AD$905,($K351-$N$48))="",0,INDEX($AD$176:$AD$905,($K351-$N$48)))&gt;0,IF(INDEX($AD$176:$AD$905,($K351-$N$48))="",0,INDEX($AD$176:$AD$905,($K351-$N$48))),0)))=0,"",IF(AND($P350="",$P351=1),($N$37*-1),0)+IF(AND($Q350="",$Q351=1),($N$38*-1),0)+IF(IF(($K351-$N$48)&lt;1,0,IF(IF(INDEX($AD$176:$AD$905,($K351-$N$48))="",0,INDEX($AD$176:$AD$905,($K351-$N$48)))&gt;0,IF(INDEX($AD$176:$AD$905,($K351-$N$48))="",0,INDEX($AD$176:$AD$905,($K351-$N$48))),0))="",0,IF(($K351-$N$48)&lt;1,0,IF(IF(INDEX($AD$176:$AD$905,($K351-$N$48))="",0,INDEX($AD$176:$AD$905,($K351-$N$48)))&gt;0,IF(INDEX($AD$176:$AD$905,($K351-$N$48))="",0,INDEX($AD$176:$AD$905,($K351-$N$48))),0))))</f>
        <v/>
      </c>
      <c r="AC351" s="22" t="str">
        <f t="shared" si="78"/>
        <v/>
      </c>
      <c r="AD351" s="22" t="str">
        <f t="shared" si="89"/>
        <v/>
      </c>
      <c r="AE351" s="22" t="str" cm="1">
        <f t="array" ref="AE351">IF(($K351-$N$48)&lt;1,"",IF((IF(INDEX($AC$176:$AC$905,($K351-$N$48))="",0,INDEX($AC$176:$AC$905,($K351-$N$48))))=0,"",(IF(INDEX($AC$176:$AC$905,($K351-$N$48))="",0,INDEX($AC$176:$AC$905,($K351-$N$48))))))</f>
        <v/>
      </c>
      <c r="AF351" s="31" t="str">
        <f t="shared" si="79"/>
        <v/>
      </c>
      <c r="AG351" s="31" t="str">
        <f t="shared" si="80"/>
        <v/>
      </c>
      <c r="AH351" s="31" t="str">
        <f t="shared" si="81"/>
        <v/>
      </c>
      <c r="AI351" s="31" t="str">
        <f t="shared" si="82"/>
        <v/>
      </c>
      <c r="AJ351" s="303" t="str">
        <f t="shared" si="83"/>
        <v/>
      </c>
      <c r="AK351" s="139" t="str">
        <f t="shared" si="84"/>
        <v/>
      </c>
      <c r="AM351" s="319"/>
      <c r="AN351" s="40"/>
      <c r="AO351" s="1"/>
    </row>
    <row r="352" spans="7:41" x14ac:dyDescent="0.25">
      <c r="G352" s="235" t="str">
        <f t="shared" si="70"/>
        <v/>
      </c>
      <c r="H352" s="4" t="str">
        <f t="shared" si="71"/>
        <v/>
      </c>
      <c r="I352" s="11" t="str">
        <f t="shared" si="72"/>
        <v>09.00</v>
      </c>
      <c r="K352" s="30">
        <v>177</v>
      </c>
      <c r="L352" s="29">
        <f t="shared" si="85"/>
        <v>11371.908376190917</v>
      </c>
      <c r="M352" s="28" t="str">
        <f t="shared" si="73"/>
        <v/>
      </c>
      <c r="N352" s="27" t="str">
        <f t="shared" si="86"/>
        <v/>
      </c>
      <c r="O352" s="26" t="str">
        <f>IF(AND($Q351=$O$38,IFERROR(LARGE($V$176:$V351,1)&lt;$N$42,TRUE)),1,IF(AND(ISNUMBER($O351),$O351&lt;$N$32),$O351+1,""))</f>
        <v/>
      </c>
      <c r="P352" s="26" t="str">
        <f t="shared" si="87"/>
        <v/>
      </c>
      <c r="Q352" s="26" t="str">
        <f t="shared" si="74"/>
        <v/>
      </c>
      <c r="R352" s="24" t="str">
        <f t="shared" si="88"/>
        <v/>
      </c>
      <c r="S352" s="180">
        <f t="shared" si="90"/>
        <v>9</v>
      </c>
      <c r="T352" s="151"/>
      <c r="U352" s="25" t="str">
        <f t="shared" si="75"/>
        <v/>
      </c>
      <c r="V352" s="24" t="str">
        <f>IF(AND(ISNUMBER(R351),ISNUMBER(R352)),V351,IF(AND(R351="",ISNUMBER(R352)),IFERROR(LARGE($V$176:$V351,1)+1,0),""))</f>
        <v/>
      </c>
      <c r="W352" s="23" t="str">
        <f t="shared" si="76"/>
        <v/>
      </c>
      <c r="X352" s="22" t="str">
        <f t="shared" si="77"/>
        <v/>
      </c>
      <c r="Y352" s="22"/>
      <c r="Z352" s="22"/>
      <c r="AA352" s="22"/>
      <c r="AB352" s="22" t="str" cm="1">
        <f t="array" ref="AB352">IF(IF(AND($P351="",$P352=1),($N$37*-1),0)+IF(AND($Q351="",$Q352=1),($N$38*-1),0)+IF(IF(($K352-$N$48)&lt;1,0,IF(IF(INDEX($AD$176:$AD$905,($K352-$N$48))="",0,INDEX($AD$176:$AD$905,($K352-$N$48)))&gt;0,IF(INDEX($AD$176:$AD$905,($K352-$N$48))="",0,INDEX($AD$176:$AD$905,($K352-$N$48))),0))="",0,IF(($K352-$N$48)&lt;1,0,IF(IF(INDEX($AD$176:$AD$905,($K352-$N$48))="",0,INDEX($AD$176:$AD$905,($K352-$N$48)))&gt;0,IF(INDEX($AD$176:$AD$905,($K352-$N$48))="",0,INDEX($AD$176:$AD$905,($K352-$N$48))),0)))=0,"",IF(AND($P351="",$P352=1),($N$37*-1),0)+IF(AND($Q351="",$Q352=1),($N$38*-1),0)+IF(IF(($K352-$N$48)&lt;1,0,IF(IF(INDEX($AD$176:$AD$905,($K352-$N$48))="",0,INDEX($AD$176:$AD$905,($K352-$N$48)))&gt;0,IF(INDEX($AD$176:$AD$905,($K352-$N$48))="",0,INDEX($AD$176:$AD$905,($K352-$N$48))),0))="",0,IF(($K352-$N$48)&lt;1,0,IF(IF(INDEX($AD$176:$AD$905,($K352-$N$48))="",0,INDEX($AD$176:$AD$905,($K352-$N$48)))&gt;0,IF(INDEX($AD$176:$AD$905,($K352-$N$48))="",0,INDEX($AD$176:$AD$905,($K352-$N$48))),0))))</f>
        <v/>
      </c>
      <c r="AC352" s="22" t="str">
        <f t="shared" si="78"/>
        <v/>
      </c>
      <c r="AD352" s="22" t="str">
        <f t="shared" si="89"/>
        <v/>
      </c>
      <c r="AE352" s="22" t="str" cm="1">
        <f t="array" ref="AE352">IF(($K352-$N$48)&lt;1,"",IF((IF(INDEX($AC$176:$AC$905,($K352-$N$48))="",0,INDEX($AC$176:$AC$905,($K352-$N$48))))=0,"",(IF(INDEX($AC$176:$AC$905,($K352-$N$48))="",0,INDEX($AC$176:$AC$905,($K352-$N$48))))))</f>
        <v/>
      </c>
      <c r="AF352" s="31" t="str">
        <f t="shared" si="79"/>
        <v/>
      </c>
      <c r="AG352" s="31" t="str">
        <f t="shared" si="80"/>
        <v/>
      </c>
      <c r="AH352" s="31" t="str">
        <f t="shared" si="81"/>
        <v/>
      </c>
      <c r="AI352" s="31" t="str">
        <f t="shared" si="82"/>
        <v/>
      </c>
      <c r="AJ352" s="303" t="str">
        <f t="shared" si="83"/>
        <v/>
      </c>
      <c r="AK352" s="139" t="str">
        <f t="shared" si="84"/>
        <v/>
      </c>
      <c r="AM352" s="319"/>
      <c r="AN352" s="40"/>
      <c r="AO352" s="1"/>
    </row>
    <row r="353" spans="7:41" x14ac:dyDescent="0.25">
      <c r="G353" s="235" t="str">
        <f t="shared" si="70"/>
        <v/>
      </c>
      <c r="H353" s="4" t="str">
        <f t="shared" si="71"/>
        <v/>
      </c>
      <c r="I353" s="11" t="str">
        <f t="shared" si="72"/>
        <v>09.00</v>
      </c>
      <c r="K353" s="30">
        <v>178</v>
      </c>
      <c r="L353" s="29">
        <f t="shared" si="85"/>
        <v>11371.908376190917</v>
      </c>
      <c r="M353" s="28" t="str">
        <f t="shared" si="73"/>
        <v/>
      </c>
      <c r="N353" s="27" t="str">
        <f t="shared" si="86"/>
        <v/>
      </c>
      <c r="O353" s="26" t="str">
        <f>IF(AND($Q352=$O$38,IFERROR(LARGE($V$176:$V352,1)&lt;$N$42,TRUE)),1,IF(AND(ISNUMBER($O352),$O352&lt;$N$32),$O352+1,""))</f>
        <v/>
      </c>
      <c r="P353" s="26" t="str">
        <f t="shared" si="87"/>
        <v/>
      </c>
      <c r="Q353" s="26" t="str">
        <f t="shared" si="74"/>
        <v/>
      </c>
      <c r="R353" s="24" t="str">
        <f t="shared" si="88"/>
        <v/>
      </c>
      <c r="S353" s="180">
        <f t="shared" si="90"/>
        <v>9</v>
      </c>
      <c r="T353" s="151"/>
      <c r="U353" s="25" t="str">
        <f t="shared" si="75"/>
        <v/>
      </c>
      <c r="V353" s="24" t="str">
        <f>IF(AND(ISNUMBER(R352),ISNUMBER(R353)),V352,IF(AND(R352="",ISNUMBER(R353)),IFERROR(LARGE($V$176:$V352,1)+1,0),""))</f>
        <v/>
      </c>
      <c r="W353" s="23" t="str">
        <f t="shared" si="76"/>
        <v/>
      </c>
      <c r="X353" s="22" t="str">
        <f t="shared" si="77"/>
        <v/>
      </c>
      <c r="Y353" s="22"/>
      <c r="Z353" s="22"/>
      <c r="AA353" s="22"/>
      <c r="AB353" s="22" t="str" cm="1">
        <f t="array" ref="AB353">IF(IF(AND($P352="",$P353=1),($N$37*-1),0)+IF(AND($Q352="",$Q353=1),($N$38*-1),0)+IF(IF(($K353-$N$48)&lt;1,0,IF(IF(INDEX($AD$176:$AD$905,($K353-$N$48))="",0,INDEX($AD$176:$AD$905,($K353-$N$48)))&gt;0,IF(INDEX($AD$176:$AD$905,($K353-$N$48))="",0,INDEX($AD$176:$AD$905,($K353-$N$48))),0))="",0,IF(($K353-$N$48)&lt;1,0,IF(IF(INDEX($AD$176:$AD$905,($K353-$N$48))="",0,INDEX($AD$176:$AD$905,($K353-$N$48)))&gt;0,IF(INDEX($AD$176:$AD$905,($K353-$N$48))="",0,INDEX($AD$176:$AD$905,($K353-$N$48))),0)))=0,"",IF(AND($P352="",$P353=1),($N$37*-1),0)+IF(AND($Q352="",$Q353=1),($N$38*-1),0)+IF(IF(($K353-$N$48)&lt;1,0,IF(IF(INDEX($AD$176:$AD$905,($K353-$N$48))="",0,INDEX($AD$176:$AD$905,($K353-$N$48)))&gt;0,IF(INDEX($AD$176:$AD$905,($K353-$N$48))="",0,INDEX($AD$176:$AD$905,($K353-$N$48))),0))="",0,IF(($K353-$N$48)&lt;1,0,IF(IF(INDEX($AD$176:$AD$905,($K353-$N$48))="",0,INDEX($AD$176:$AD$905,($K353-$N$48)))&gt;0,IF(INDEX($AD$176:$AD$905,($K353-$N$48))="",0,INDEX($AD$176:$AD$905,($K353-$N$48))),0))))</f>
        <v/>
      </c>
      <c r="AC353" s="22" t="str">
        <f t="shared" si="78"/>
        <v/>
      </c>
      <c r="AD353" s="22" t="str">
        <f t="shared" si="89"/>
        <v/>
      </c>
      <c r="AE353" s="22" t="str" cm="1">
        <f t="array" ref="AE353">IF(($K353-$N$48)&lt;1,"",IF((IF(INDEX($AC$176:$AC$905,($K353-$N$48))="",0,INDEX($AC$176:$AC$905,($K353-$N$48))))=0,"",(IF(INDEX($AC$176:$AC$905,($K353-$N$48))="",0,INDEX($AC$176:$AC$905,($K353-$N$48))))))</f>
        <v/>
      </c>
      <c r="AF353" s="31" t="str">
        <f t="shared" si="79"/>
        <v/>
      </c>
      <c r="AG353" s="31" t="str">
        <f t="shared" si="80"/>
        <v/>
      </c>
      <c r="AH353" s="31" t="str">
        <f t="shared" si="81"/>
        <v/>
      </c>
      <c r="AI353" s="31" t="str">
        <f t="shared" si="82"/>
        <v/>
      </c>
      <c r="AJ353" s="303" t="str">
        <f t="shared" si="83"/>
        <v/>
      </c>
      <c r="AK353" s="139" t="str">
        <f t="shared" si="84"/>
        <v/>
      </c>
      <c r="AM353" s="319"/>
      <c r="AN353" s="40"/>
      <c r="AO353" s="1"/>
    </row>
    <row r="354" spans="7:41" x14ac:dyDescent="0.25">
      <c r="G354" s="235" t="str">
        <f t="shared" si="70"/>
        <v/>
      </c>
      <c r="H354" s="4" t="str">
        <f t="shared" si="71"/>
        <v/>
      </c>
      <c r="I354" s="11" t="str">
        <f t="shared" si="72"/>
        <v>09.00</v>
      </c>
      <c r="K354" s="30">
        <v>179</v>
      </c>
      <c r="L354" s="29">
        <f t="shared" si="85"/>
        <v>11371.908376190917</v>
      </c>
      <c r="M354" s="28" t="str">
        <f t="shared" si="73"/>
        <v/>
      </c>
      <c r="N354" s="27" t="str">
        <f t="shared" si="86"/>
        <v/>
      </c>
      <c r="O354" s="26" t="str">
        <f>IF(AND($Q353=$O$38,IFERROR(LARGE($V$176:$V353,1)&lt;$N$42,TRUE)),1,IF(AND(ISNUMBER($O353),$O353&lt;$N$32),$O353+1,""))</f>
        <v/>
      </c>
      <c r="P354" s="26" t="str">
        <f t="shared" si="87"/>
        <v/>
      </c>
      <c r="Q354" s="26" t="str">
        <f t="shared" si="74"/>
        <v/>
      </c>
      <c r="R354" s="24" t="str">
        <f t="shared" si="88"/>
        <v/>
      </c>
      <c r="S354" s="180">
        <f t="shared" si="90"/>
        <v>9</v>
      </c>
      <c r="T354" s="151"/>
      <c r="U354" s="25" t="str">
        <f t="shared" si="75"/>
        <v/>
      </c>
      <c r="V354" s="24" t="str">
        <f>IF(AND(ISNUMBER(R353),ISNUMBER(R354)),V353,IF(AND(R353="",ISNUMBER(R354)),IFERROR(LARGE($V$176:$V353,1)+1,0),""))</f>
        <v/>
      </c>
      <c r="W354" s="23" t="str">
        <f t="shared" si="76"/>
        <v/>
      </c>
      <c r="X354" s="22" t="str">
        <f t="shared" si="77"/>
        <v/>
      </c>
      <c r="Y354" s="22"/>
      <c r="Z354" s="22"/>
      <c r="AA354" s="22"/>
      <c r="AB354" s="22" t="str" cm="1">
        <f t="array" ref="AB354">IF(IF(AND($P353="",$P354=1),($N$37*-1),0)+IF(AND($Q353="",$Q354=1),($N$38*-1),0)+IF(IF(($K354-$N$48)&lt;1,0,IF(IF(INDEX($AD$176:$AD$905,($K354-$N$48))="",0,INDEX($AD$176:$AD$905,($K354-$N$48)))&gt;0,IF(INDEX($AD$176:$AD$905,($K354-$N$48))="",0,INDEX($AD$176:$AD$905,($K354-$N$48))),0))="",0,IF(($K354-$N$48)&lt;1,0,IF(IF(INDEX($AD$176:$AD$905,($K354-$N$48))="",0,INDEX($AD$176:$AD$905,($K354-$N$48)))&gt;0,IF(INDEX($AD$176:$AD$905,($K354-$N$48))="",0,INDEX($AD$176:$AD$905,($K354-$N$48))),0)))=0,"",IF(AND($P353="",$P354=1),($N$37*-1),0)+IF(AND($Q353="",$Q354=1),($N$38*-1),0)+IF(IF(($K354-$N$48)&lt;1,0,IF(IF(INDEX($AD$176:$AD$905,($K354-$N$48))="",0,INDEX($AD$176:$AD$905,($K354-$N$48)))&gt;0,IF(INDEX($AD$176:$AD$905,($K354-$N$48))="",0,INDEX($AD$176:$AD$905,($K354-$N$48))),0))="",0,IF(($K354-$N$48)&lt;1,0,IF(IF(INDEX($AD$176:$AD$905,($K354-$N$48))="",0,INDEX($AD$176:$AD$905,($K354-$N$48)))&gt;0,IF(INDEX($AD$176:$AD$905,($K354-$N$48))="",0,INDEX($AD$176:$AD$905,($K354-$N$48))),0))))</f>
        <v/>
      </c>
      <c r="AC354" s="22" t="str">
        <f t="shared" si="78"/>
        <v/>
      </c>
      <c r="AD354" s="22" t="str">
        <f t="shared" si="89"/>
        <v/>
      </c>
      <c r="AE354" s="22" t="str" cm="1">
        <f t="array" ref="AE354">IF(($K354-$N$48)&lt;1,"",IF((IF(INDEX($AC$176:$AC$905,($K354-$N$48))="",0,INDEX($AC$176:$AC$905,($K354-$N$48))))=0,"",(IF(INDEX($AC$176:$AC$905,($K354-$N$48))="",0,INDEX($AC$176:$AC$905,($K354-$N$48))))))</f>
        <v/>
      </c>
      <c r="AF354" s="31" t="str">
        <f t="shared" si="79"/>
        <v/>
      </c>
      <c r="AG354" s="31" t="str">
        <f t="shared" si="80"/>
        <v/>
      </c>
      <c r="AH354" s="31" t="str">
        <f t="shared" si="81"/>
        <v/>
      </c>
      <c r="AI354" s="31" t="str">
        <f t="shared" si="82"/>
        <v/>
      </c>
      <c r="AJ354" s="303" t="str">
        <f t="shared" si="83"/>
        <v/>
      </c>
      <c r="AK354" s="139" t="str">
        <f t="shared" si="84"/>
        <v/>
      </c>
      <c r="AM354" s="319"/>
      <c r="AN354" s="40"/>
      <c r="AO354" s="1"/>
    </row>
    <row r="355" spans="7:41" x14ac:dyDescent="0.25">
      <c r="G355" s="235" t="str">
        <f t="shared" si="70"/>
        <v/>
      </c>
      <c r="H355" s="4" t="str">
        <f t="shared" si="71"/>
        <v/>
      </c>
      <c r="I355" s="11" t="str">
        <f t="shared" si="72"/>
        <v>09.00</v>
      </c>
      <c r="K355" s="30">
        <v>180</v>
      </c>
      <c r="L355" s="29">
        <f t="shared" si="85"/>
        <v>11371.908376190917</v>
      </c>
      <c r="M355" s="28" t="str">
        <f t="shared" si="73"/>
        <v/>
      </c>
      <c r="N355" s="27" t="str">
        <f t="shared" si="86"/>
        <v/>
      </c>
      <c r="O355" s="26" t="str">
        <f>IF(AND($Q354=$O$38,IFERROR(LARGE($V$176:$V354,1)&lt;$N$42,TRUE)),1,IF(AND(ISNUMBER($O354),$O354&lt;$N$32),$O354+1,""))</f>
        <v/>
      </c>
      <c r="P355" s="26" t="str">
        <f t="shared" si="87"/>
        <v/>
      </c>
      <c r="Q355" s="26" t="str">
        <f t="shared" si="74"/>
        <v/>
      </c>
      <c r="R355" s="24" t="str">
        <f t="shared" si="88"/>
        <v/>
      </c>
      <c r="S355" s="180">
        <f t="shared" si="90"/>
        <v>9</v>
      </c>
      <c r="T355" s="151"/>
      <c r="U355" s="25" t="str">
        <f t="shared" si="75"/>
        <v/>
      </c>
      <c r="V355" s="24" t="str">
        <f>IF(AND(ISNUMBER(R354),ISNUMBER(R355)),V354,IF(AND(R354="",ISNUMBER(R355)),IFERROR(LARGE($V$176:$V354,1)+1,0),""))</f>
        <v/>
      </c>
      <c r="W355" s="23" t="str">
        <f t="shared" si="76"/>
        <v/>
      </c>
      <c r="X355" s="22" t="str">
        <f t="shared" si="77"/>
        <v/>
      </c>
      <c r="Y355" s="22"/>
      <c r="Z355" s="22"/>
      <c r="AA355" s="22"/>
      <c r="AB355" s="22" t="str" cm="1">
        <f t="array" ref="AB355">IF(IF(AND($P354="",$P355=1),($N$37*-1),0)+IF(AND($Q354="",$Q355=1),($N$38*-1),0)+IF(IF(($K355-$N$48)&lt;1,0,IF(IF(INDEX($AD$176:$AD$905,($K355-$N$48))="",0,INDEX($AD$176:$AD$905,($K355-$N$48)))&gt;0,IF(INDEX($AD$176:$AD$905,($K355-$N$48))="",0,INDEX($AD$176:$AD$905,($K355-$N$48))),0))="",0,IF(($K355-$N$48)&lt;1,0,IF(IF(INDEX($AD$176:$AD$905,($K355-$N$48))="",0,INDEX($AD$176:$AD$905,($K355-$N$48)))&gt;0,IF(INDEX($AD$176:$AD$905,($K355-$N$48))="",0,INDEX($AD$176:$AD$905,($K355-$N$48))),0)))=0,"",IF(AND($P354="",$P355=1),($N$37*-1),0)+IF(AND($Q354="",$Q355=1),($N$38*-1),0)+IF(IF(($K355-$N$48)&lt;1,0,IF(IF(INDEX($AD$176:$AD$905,($K355-$N$48))="",0,INDEX($AD$176:$AD$905,($K355-$N$48)))&gt;0,IF(INDEX($AD$176:$AD$905,($K355-$N$48))="",0,INDEX($AD$176:$AD$905,($K355-$N$48))),0))="",0,IF(($K355-$N$48)&lt;1,0,IF(IF(INDEX($AD$176:$AD$905,($K355-$N$48))="",0,INDEX($AD$176:$AD$905,($K355-$N$48)))&gt;0,IF(INDEX($AD$176:$AD$905,($K355-$N$48))="",0,INDEX($AD$176:$AD$905,($K355-$N$48))),0))))</f>
        <v/>
      </c>
      <c r="AC355" s="22" t="str">
        <f t="shared" si="78"/>
        <v/>
      </c>
      <c r="AD355" s="22" t="str">
        <f t="shared" si="89"/>
        <v/>
      </c>
      <c r="AE355" s="22" t="str" cm="1">
        <f t="array" ref="AE355">IF(($K355-$N$48)&lt;1,"",IF((IF(INDEX($AC$176:$AC$905,($K355-$N$48))="",0,INDEX($AC$176:$AC$905,($K355-$N$48))))=0,"",(IF(INDEX($AC$176:$AC$905,($K355-$N$48))="",0,INDEX($AC$176:$AC$905,($K355-$N$48))))))</f>
        <v/>
      </c>
      <c r="AF355" s="31" t="str">
        <f t="shared" si="79"/>
        <v/>
      </c>
      <c r="AG355" s="31" t="str">
        <f t="shared" si="80"/>
        <v/>
      </c>
      <c r="AH355" s="31" t="str">
        <f t="shared" si="81"/>
        <v/>
      </c>
      <c r="AI355" s="31" t="str">
        <f t="shared" si="82"/>
        <v/>
      </c>
      <c r="AJ355" s="303" t="str">
        <f t="shared" si="83"/>
        <v/>
      </c>
      <c r="AK355" s="139" t="str">
        <f t="shared" si="84"/>
        <v/>
      </c>
      <c r="AM355" s="319"/>
      <c r="AN355" s="40"/>
      <c r="AO355" s="1"/>
    </row>
    <row r="356" spans="7:41" x14ac:dyDescent="0.25">
      <c r="G356" s="235" t="str">
        <f t="shared" si="70"/>
        <v/>
      </c>
      <c r="H356" s="4" t="str">
        <f t="shared" si="71"/>
        <v/>
      </c>
      <c r="I356" s="11" t="str">
        <f t="shared" si="72"/>
        <v>09.00</v>
      </c>
      <c r="K356" s="30">
        <v>181</v>
      </c>
      <c r="L356" s="29">
        <f t="shared" si="85"/>
        <v>11371.908376190917</v>
      </c>
      <c r="M356" s="28" t="str">
        <f t="shared" si="73"/>
        <v/>
      </c>
      <c r="N356" s="27" t="str">
        <f t="shared" si="86"/>
        <v/>
      </c>
      <c r="O356" s="26" t="str">
        <f>IF(AND($Q355=$O$38,IFERROR(LARGE($V$176:$V355,1)&lt;$N$42,TRUE)),1,IF(AND(ISNUMBER($O355),$O355&lt;$N$32),$O355+1,""))</f>
        <v/>
      </c>
      <c r="P356" s="26" t="str">
        <f t="shared" si="87"/>
        <v/>
      </c>
      <c r="Q356" s="26" t="str">
        <f t="shared" si="74"/>
        <v/>
      </c>
      <c r="R356" s="24" t="str">
        <f t="shared" si="88"/>
        <v/>
      </c>
      <c r="S356" s="180">
        <f t="shared" si="90"/>
        <v>9</v>
      </c>
      <c r="T356" s="151"/>
      <c r="U356" s="25" t="str">
        <f t="shared" si="75"/>
        <v/>
      </c>
      <c r="V356" s="24" t="str">
        <f>IF(AND(ISNUMBER(R355),ISNUMBER(R356)),V355,IF(AND(R355="",ISNUMBER(R356)),IFERROR(LARGE($V$176:$V355,1)+1,0),""))</f>
        <v/>
      </c>
      <c r="W356" s="23" t="str">
        <f t="shared" si="76"/>
        <v/>
      </c>
      <c r="X356" s="22" t="str">
        <f t="shared" si="77"/>
        <v/>
      </c>
      <c r="Y356" s="22"/>
      <c r="Z356" s="22"/>
      <c r="AA356" s="22"/>
      <c r="AB356" s="22" t="str" cm="1">
        <f t="array" ref="AB356">IF(IF(AND($P355="",$P356=1),($N$37*-1),0)+IF(AND($Q355="",$Q356=1),($N$38*-1),0)+IF(IF(($K356-$N$48)&lt;1,0,IF(IF(INDEX($AD$176:$AD$905,($K356-$N$48))="",0,INDEX($AD$176:$AD$905,($K356-$N$48)))&gt;0,IF(INDEX($AD$176:$AD$905,($K356-$N$48))="",0,INDEX($AD$176:$AD$905,($K356-$N$48))),0))="",0,IF(($K356-$N$48)&lt;1,0,IF(IF(INDEX($AD$176:$AD$905,($K356-$N$48))="",0,INDEX($AD$176:$AD$905,($K356-$N$48)))&gt;0,IF(INDEX($AD$176:$AD$905,($K356-$N$48))="",0,INDEX($AD$176:$AD$905,($K356-$N$48))),0)))=0,"",IF(AND($P355="",$P356=1),($N$37*-1),0)+IF(AND($Q355="",$Q356=1),($N$38*-1),0)+IF(IF(($K356-$N$48)&lt;1,0,IF(IF(INDEX($AD$176:$AD$905,($K356-$N$48))="",0,INDEX($AD$176:$AD$905,($K356-$N$48)))&gt;0,IF(INDEX($AD$176:$AD$905,($K356-$N$48))="",0,INDEX($AD$176:$AD$905,($K356-$N$48))),0))="",0,IF(($K356-$N$48)&lt;1,0,IF(IF(INDEX($AD$176:$AD$905,($K356-$N$48))="",0,INDEX($AD$176:$AD$905,($K356-$N$48)))&gt;0,IF(INDEX($AD$176:$AD$905,($K356-$N$48))="",0,INDEX($AD$176:$AD$905,($K356-$N$48))),0))))</f>
        <v/>
      </c>
      <c r="AC356" s="22" t="str">
        <f t="shared" si="78"/>
        <v/>
      </c>
      <c r="AD356" s="22" t="str">
        <f t="shared" si="89"/>
        <v/>
      </c>
      <c r="AE356" s="22" t="str" cm="1">
        <f t="array" ref="AE356">IF(($K356-$N$48)&lt;1,"",IF((IF(INDEX($AC$176:$AC$905,($K356-$N$48))="",0,INDEX($AC$176:$AC$905,($K356-$N$48))))=0,"",(IF(INDEX($AC$176:$AC$905,($K356-$N$48))="",0,INDEX($AC$176:$AC$905,($K356-$N$48))))))</f>
        <v/>
      </c>
      <c r="AF356" s="31" t="str">
        <f t="shared" si="79"/>
        <v/>
      </c>
      <c r="AG356" s="31" t="str">
        <f t="shared" si="80"/>
        <v/>
      </c>
      <c r="AH356" s="31" t="str">
        <f t="shared" si="81"/>
        <v/>
      </c>
      <c r="AI356" s="31" t="str">
        <f t="shared" si="82"/>
        <v/>
      </c>
      <c r="AJ356" s="303" t="str">
        <f t="shared" si="83"/>
        <v/>
      </c>
      <c r="AK356" s="139" t="str">
        <f t="shared" si="84"/>
        <v/>
      </c>
      <c r="AM356" s="319"/>
      <c r="AN356" s="40"/>
      <c r="AO356" s="1"/>
    </row>
    <row r="357" spans="7:41" x14ac:dyDescent="0.25">
      <c r="G357" s="235" t="str">
        <f t="shared" si="70"/>
        <v/>
      </c>
      <c r="H357" s="4" t="str">
        <f t="shared" si="71"/>
        <v/>
      </c>
      <c r="I357" s="11" t="str">
        <f t="shared" si="72"/>
        <v>09.00</v>
      </c>
      <c r="K357" s="30">
        <v>182</v>
      </c>
      <c r="L357" s="29">
        <f t="shared" si="85"/>
        <v>11371.908376190917</v>
      </c>
      <c r="M357" s="28" t="str">
        <f t="shared" si="73"/>
        <v/>
      </c>
      <c r="N357" s="27" t="str">
        <f t="shared" si="86"/>
        <v/>
      </c>
      <c r="O357" s="26" t="str">
        <f>IF(AND($Q356=$O$38,IFERROR(LARGE($V$176:$V356,1)&lt;$N$42,TRUE)),1,IF(AND(ISNUMBER($O356),$O356&lt;$N$32),$O356+1,""))</f>
        <v/>
      </c>
      <c r="P357" s="26" t="str">
        <f t="shared" si="87"/>
        <v/>
      </c>
      <c r="Q357" s="26" t="str">
        <f t="shared" si="74"/>
        <v/>
      </c>
      <c r="R357" s="24" t="str">
        <f t="shared" si="88"/>
        <v/>
      </c>
      <c r="S357" s="180">
        <f t="shared" si="90"/>
        <v>9</v>
      </c>
      <c r="T357" s="151"/>
      <c r="U357" s="25" t="str">
        <f t="shared" si="75"/>
        <v/>
      </c>
      <c r="V357" s="24" t="str">
        <f>IF(AND(ISNUMBER(R356),ISNUMBER(R357)),V356,IF(AND(R356="",ISNUMBER(R357)),IFERROR(LARGE($V$176:$V356,1)+1,0),""))</f>
        <v/>
      </c>
      <c r="W357" s="23" t="str">
        <f t="shared" si="76"/>
        <v/>
      </c>
      <c r="X357" s="22" t="str">
        <f t="shared" si="77"/>
        <v/>
      </c>
      <c r="Y357" s="22"/>
      <c r="Z357" s="22"/>
      <c r="AA357" s="22"/>
      <c r="AB357" s="22" t="str" cm="1">
        <f t="array" ref="AB357">IF(IF(AND($P356="",$P357=1),($N$37*-1),0)+IF(AND($Q356="",$Q357=1),($N$38*-1),0)+IF(IF(($K357-$N$48)&lt;1,0,IF(IF(INDEX($AD$176:$AD$905,($K357-$N$48))="",0,INDEX($AD$176:$AD$905,($K357-$N$48)))&gt;0,IF(INDEX($AD$176:$AD$905,($K357-$N$48))="",0,INDEX($AD$176:$AD$905,($K357-$N$48))),0))="",0,IF(($K357-$N$48)&lt;1,0,IF(IF(INDEX($AD$176:$AD$905,($K357-$N$48))="",0,INDEX($AD$176:$AD$905,($K357-$N$48)))&gt;0,IF(INDEX($AD$176:$AD$905,($K357-$N$48))="",0,INDEX($AD$176:$AD$905,($K357-$N$48))),0)))=0,"",IF(AND($P356="",$P357=1),($N$37*-1),0)+IF(AND($Q356="",$Q357=1),($N$38*-1),0)+IF(IF(($K357-$N$48)&lt;1,0,IF(IF(INDEX($AD$176:$AD$905,($K357-$N$48))="",0,INDEX($AD$176:$AD$905,($K357-$N$48)))&gt;0,IF(INDEX($AD$176:$AD$905,($K357-$N$48))="",0,INDEX($AD$176:$AD$905,($K357-$N$48))),0))="",0,IF(($K357-$N$48)&lt;1,0,IF(IF(INDEX($AD$176:$AD$905,($K357-$N$48))="",0,INDEX($AD$176:$AD$905,($K357-$N$48)))&gt;0,IF(INDEX($AD$176:$AD$905,($K357-$N$48))="",0,INDEX($AD$176:$AD$905,($K357-$N$48))),0))))</f>
        <v/>
      </c>
      <c r="AC357" s="22" t="str">
        <f t="shared" si="78"/>
        <v/>
      </c>
      <c r="AD357" s="22" t="str">
        <f t="shared" si="89"/>
        <v/>
      </c>
      <c r="AE357" s="22" t="str" cm="1">
        <f t="array" ref="AE357">IF(($K357-$N$48)&lt;1,"",IF((IF(INDEX($AC$176:$AC$905,($K357-$N$48))="",0,INDEX($AC$176:$AC$905,($K357-$N$48))))=0,"",(IF(INDEX($AC$176:$AC$905,($K357-$N$48))="",0,INDEX($AC$176:$AC$905,($K357-$N$48))))))</f>
        <v/>
      </c>
      <c r="AF357" s="31" t="str">
        <f t="shared" si="79"/>
        <v/>
      </c>
      <c r="AG357" s="31" t="str">
        <f t="shared" si="80"/>
        <v/>
      </c>
      <c r="AH357" s="31" t="str">
        <f t="shared" si="81"/>
        <v/>
      </c>
      <c r="AI357" s="31" t="str">
        <f t="shared" si="82"/>
        <v/>
      </c>
      <c r="AJ357" s="303" t="str">
        <f t="shared" si="83"/>
        <v/>
      </c>
      <c r="AK357" s="139" t="str">
        <f t="shared" si="84"/>
        <v/>
      </c>
      <c r="AM357" s="319"/>
      <c r="AN357" s="40"/>
      <c r="AO357" s="1"/>
    </row>
    <row r="358" spans="7:41" x14ac:dyDescent="0.25">
      <c r="G358" s="235" t="str">
        <f t="shared" si="70"/>
        <v/>
      </c>
      <c r="H358" s="4" t="str">
        <f t="shared" si="71"/>
        <v/>
      </c>
      <c r="I358" s="11" t="str">
        <f t="shared" si="72"/>
        <v>09.00</v>
      </c>
      <c r="K358" s="30">
        <v>183</v>
      </c>
      <c r="L358" s="29">
        <f t="shared" si="85"/>
        <v>11371.908376190917</v>
      </c>
      <c r="M358" s="28" t="str">
        <f t="shared" si="73"/>
        <v/>
      </c>
      <c r="N358" s="27" t="str">
        <f t="shared" si="86"/>
        <v/>
      </c>
      <c r="O358" s="26" t="str">
        <f>IF(AND($Q357=$O$38,IFERROR(LARGE($V$176:$V357,1)&lt;$N$42,TRUE)),1,IF(AND(ISNUMBER($O357),$O357&lt;$N$32),$O357+1,""))</f>
        <v/>
      </c>
      <c r="P358" s="26" t="str">
        <f t="shared" si="87"/>
        <v/>
      </c>
      <c r="Q358" s="26" t="str">
        <f t="shared" si="74"/>
        <v/>
      </c>
      <c r="R358" s="24" t="str">
        <f t="shared" si="88"/>
        <v/>
      </c>
      <c r="S358" s="180">
        <f t="shared" si="90"/>
        <v>9</v>
      </c>
      <c r="T358" s="151"/>
      <c r="U358" s="25" t="str">
        <f t="shared" si="75"/>
        <v/>
      </c>
      <c r="V358" s="24" t="str">
        <f>IF(AND(ISNUMBER(R357),ISNUMBER(R358)),V357,IF(AND(R357="",ISNUMBER(R358)),IFERROR(LARGE($V$176:$V357,1)+1,0),""))</f>
        <v/>
      </c>
      <c r="W358" s="23" t="str">
        <f t="shared" si="76"/>
        <v/>
      </c>
      <c r="X358" s="22" t="str">
        <f t="shared" si="77"/>
        <v/>
      </c>
      <c r="Y358" s="22"/>
      <c r="Z358" s="22"/>
      <c r="AA358" s="22"/>
      <c r="AB358" s="22" t="str" cm="1">
        <f t="array" ref="AB358">IF(IF(AND($P357="",$P358=1),($N$37*-1),0)+IF(AND($Q357="",$Q358=1),($N$38*-1),0)+IF(IF(($K358-$N$48)&lt;1,0,IF(IF(INDEX($AD$176:$AD$905,($K358-$N$48))="",0,INDEX($AD$176:$AD$905,($K358-$N$48)))&gt;0,IF(INDEX($AD$176:$AD$905,($K358-$N$48))="",0,INDEX($AD$176:$AD$905,($K358-$N$48))),0))="",0,IF(($K358-$N$48)&lt;1,0,IF(IF(INDEX($AD$176:$AD$905,($K358-$N$48))="",0,INDEX($AD$176:$AD$905,($K358-$N$48)))&gt;0,IF(INDEX($AD$176:$AD$905,($K358-$N$48))="",0,INDEX($AD$176:$AD$905,($K358-$N$48))),0)))=0,"",IF(AND($P357="",$P358=1),($N$37*-1),0)+IF(AND($Q357="",$Q358=1),($N$38*-1),0)+IF(IF(($K358-$N$48)&lt;1,0,IF(IF(INDEX($AD$176:$AD$905,($K358-$N$48))="",0,INDEX($AD$176:$AD$905,($K358-$N$48)))&gt;0,IF(INDEX($AD$176:$AD$905,($K358-$N$48))="",0,INDEX($AD$176:$AD$905,($K358-$N$48))),0))="",0,IF(($K358-$N$48)&lt;1,0,IF(IF(INDEX($AD$176:$AD$905,($K358-$N$48))="",0,INDEX($AD$176:$AD$905,($K358-$N$48)))&gt;0,IF(INDEX($AD$176:$AD$905,($K358-$N$48))="",0,INDEX($AD$176:$AD$905,($K358-$N$48))),0))))</f>
        <v/>
      </c>
      <c r="AC358" s="22" t="str">
        <f t="shared" si="78"/>
        <v/>
      </c>
      <c r="AD358" s="22" t="str">
        <f t="shared" si="89"/>
        <v/>
      </c>
      <c r="AE358" s="22" t="str" cm="1">
        <f t="array" ref="AE358">IF(($K358-$N$48)&lt;1,"",IF((IF(INDEX($AC$176:$AC$905,($K358-$N$48))="",0,INDEX($AC$176:$AC$905,($K358-$N$48))))=0,"",(IF(INDEX($AC$176:$AC$905,($K358-$N$48))="",0,INDEX($AC$176:$AC$905,($K358-$N$48))))))</f>
        <v/>
      </c>
      <c r="AF358" s="31" t="str">
        <f t="shared" si="79"/>
        <v/>
      </c>
      <c r="AG358" s="31" t="str">
        <f t="shared" si="80"/>
        <v/>
      </c>
      <c r="AH358" s="31" t="str">
        <f t="shared" si="81"/>
        <v/>
      </c>
      <c r="AI358" s="31" t="str">
        <f t="shared" si="82"/>
        <v/>
      </c>
      <c r="AJ358" s="303" t="str">
        <f t="shared" si="83"/>
        <v/>
      </c>
      <c r="AK358" s="139" t="str">
        <f t="shared" si="84"/>
        <v/>
      </c>
      <c r="AM358" s="319"/>
      <c r="AN358" s="40"/>
      <c r="AO358" s="1"/>
    </row>
    <row r="359" spans="7:41" x14ac:dyDescent="0.25">
      <c r="G359" s="235" t="str">
        <f t="shared" si="70"/>
        <v/>
      </c>
      <c r="H359" s="4" t="str">
        <f t="shared" si="71"/>
        <v/>
      </c>
      <c r="I359" s="11" t="str">
        <f t="shared" si="72"/>
        <v>09.00</v>
      </c>
      <c r="K359" s="30">
        <v>184</v>
      </c>
      <c r="L359" s="29">
        <f t="shared" si="85"/>
        <v>11371.908376190917</v>
      </c>
      <c r="M359" s="28" t="str">
        <f t="shared" si="73"/>
        <v/>
      </c>
      <c r="N359" s="27" t="str">
        <f t="shared" si="86"/>
        <v/>
      </c>
      <c r="O359" s="26" t="str">
        <f>IF(AND($Q358=$O$38,IFERROR(LARGE($V$176:$V358,1)&lt;$N$42,TRUE)),1,IF(AND(ISNUMBER($O358),$O358&lt;$N$32),$O358+1,""))</f>
        <v/>
      </c>
      <c r="P359" s="26" t="str">
        <f t="shared" si="87"/>
        <v/>
      </c>
      <c r="Q359" s="26" t="str">
        <f t="shared" si="74"/>
        <v/>
      </c>
      <c r="R359" s="24" t="str">
        <f t="shared" si="88"/>
        <v/>
      </c>
      <c r="S359" s="180">
        <f t="shared" si="90"/>
        <v>9</v>
      </c>
      <c r="T359" s="151"/>
      <c r="U359" s="25" t="str">
        <f t="shared" si="75"/>
        <v/>
      </c>
      <c r="V359" s="24" t="str">
        <f>IF(AND(ISNUMBER(R358),ISNUMBER(R359)),V358,IF(AND(R358="",ISNUMBER(R359)),IFERROR(LARGE($V$176:$V358,1)+1,0),""))</f>
        <v/>
      </c>
      <c r="W359" s="23" t="str">
        <f t="shared" si="76"/>
        <v/>
      </c>
      <c r="X359" s="22" t="str">
        <f t="shared" si="77"/>
        <v/>
      </c>
      <c r="Y359" s="22"/>
      <c r="Z359" s="22"/>
      <c r="AA359" s="22"/>
      <c r="AB359" s="22" t="str" cm="1">
        <f t="array" ref="AB359">IF(IF(AND($P358="",$P359=1),($N$37*-1),0)+IF(AND($Q358="",$Q359=1),($N$38*-1),0)+IF(IF(($K359-$N$48)&lt;1,0,IF(IF(INDEX($AD$176:$AD$905,($K359-$N$48))="",0,INDEX($AD$176:$AD$905,($K359-$N$48)))&gt;0,IF(INDEX($AD$176:$AD$905,($K359-$N$48))="",0,INDEX($AD$176:$AD$905,($K359-$N$48))),0))="",0,IF(($K359-$N$48)&lt;1,0,IF(IF(INDEX($AD$176:$AD$905,($K359-$N$48))="",0,INDEX($AD$176:$AD$905,($K359-$N$48)))&gt;0,IF(INDEX($AD$176:$AD$905,($K359-$N$48))="",0,INDEX($AD$176:$AD$905,($K359-$N$48))),0)))=0,"",IF(AND($P358="",$P359=1),($N$37*-1),0)+IF(AND($Q358="",$Q359=1),($N$38*-1),0)+IF(IF(($K359-$N$48)&lt;1,0,IF(IF(INDEX($AD$176:$AD$905,($K359-$N$48))="",0,INDEX($AD$176:$AD$905,($K359-$N$48)))&gt;0,IF(INDEX($AD$176:$AD$905,($K359-$N$48))="",0,INDEX($AD$176:$AD$905,($K359-$N$48))),0))="",0,IF(($K359-$N$48)&lt;1,0,IF(IF(INDEX($AD$176:$AD$905,($K359-$N$48))="",0,INDEX($AD$176:$AD$905,($K359-$N$48)))&gt;0,IF(INDEX($AD$176:$AD$905,($K359-$N$48))="",0,INDEX($AD$176:$AD$905,($K359-$N$48))),0))))</f>
        <v/>
      </c>
      <c r="AC359" s="22" t="str">
        <f t="shared" si="78"/>
        <v/>
      </c>
      <c r="AD359" s="22" t="str">
        <f t="shared" si="89"/>
        <v/>
      </c>
      <c r="AE359" s="22" t="str" cm="1">
        <f t="array" ref="AE359">IF(($K359-$N$48)&lt;1,"",IF((IF(INDEX($AC$176:$AC$905,($K359-$N$48))="",0,INDEX($AC$176:$AC$905,($K359-$N$48))))=0,"",(IF(INDEX($AC$176:$AC$905,($K359-$N$48))="",0,INDEX($AC$176:$AC$905,($K359-$N$48))))))</f>
        <v/>
      </c>
      <c r="AF359" s="31" t="str">
        <f t="shared" si="79"/>
        <v/>
      </c>
      <c r="AG359" s="31" t="str">
        <f t="shared" si="80"/>
        <v/>
      </c>
      <c r="AH359" s="31" t="str">
        <f t="shared" si="81"/>
        <v/>
      </c>
      <c r="AI359" s="31" t="str">
        <f t="shared" si="82"/>
        <v/>
      </c>
      <c r="AJ359" s="303" t="str">
        <f t="shared" si="83"/>
        <v/>
      </c>
      <c r="AK359" s="139" t="str">
        <f t="shared" si="84"/>
        <v/>
      </c>
      <c r="AM359" s="319"/>
      <c r="AN359" s="40"/>
      <c r="AO359" s="1"/>
    </row>
    <row r="360" spans="7:41" x14ac:dyDescent="0.25">
      <c r="G360" s="235" t="str">
        <f t="shared" si="70"/>
        <v/>
      </c>
      <c r="H360" s="4" t="str">
        <f t="shared" si="71"/>
        <v/>
      </c>
      <c r="I360" s="11" t="str">
        <f t="shared" si="72"/>
        <v>09.00</v>
      </c>
      <c r="K360" s="30">
        <v>185</v>
      </c>
      <c r="L360" s="29">
        <f t="shared" si="85"/>
        <v>11371.908376190917</v>
      </c>
      <c r="M360" s="28" t="str">
        <f t="shared" si="73"/>
        <v/>
      </c>
      <c r="N360" s="27" t="str">
        <f t="shared" si="86"/>
        <v/>
      </c>
      <c r="O360" s="26" t="str">
        <f>IF(AND($Q359=$O$38,IFERROR(LARGE($V$176:$V359,1)&lt;$N$42,TRUE)),1,IF(AND(ISNUMBER($O359),$O359&lt;$N$32),$O359+1,""))</f>
        <v/>
      </c>
      <c r="P360" s="26" t="str">
        <f t="shared" si="87"/>
        <v/>
      </c>
      <c r="Q360" s="26" t="str">
        <f t="shared" si="74"/>
        <v/>
      </c>
      <c r="R360" s="24" t="str">
        <f t="shared" si="88"/>
        <v/>
      </c>
      <c r="S360" s="180">
        <f t="shared" si="90"/>
        <v>9</v>
      </c>
      <c r="T360" s="151"/>
      <c r="U360" s="25" t="str">
        <f t="shared" si="75"/>
        <v/>
      </c>
      <c r="V360" s="24" t="str">
        <f>IF(AND(ISNUMBER(R359),ISNUMBER(R360)),V359,IF(AND(R359="",ISNUMBER(R360)),IFERROR(LARGE($V$176:$V359,1)+1,0),""))</f>
        <v/>
      </c>
      <c r="W360" s="23" t="str">
        <f t="shared" si="76"/>
        <v/>
      </c>
      <c r="X360" s="22" t="str">
        <f t="shared" si="77"/>
        <v/>
      </c>
      <c r="Y360" s="22"/>
      <c r="Z360" s="22"/>
      <c r="AA360" s="22"/>
      <c r="AB360" s="22" t="str" cm="1">
        <f t="array" ref="AB360">IF(IF(AND($P359="",$P360=1),($N$37*-1),0)+IF(AND($Q359="",$Q360=1),($N$38*-1),0)+IF(IF(($K360-$N$48)&lt;1,0,IF(IF(INDEX($AD$176:$AD$905,($K360-$N$48))="",0,INDEX($AD$176:$AD$905,($K360-$N$48)))&gt;0,IF(INDEX($AD$176:$AD$905,($K360-$N$48))="",0,INDEX($AD$176:$AD$905,($K360-$N$48))),0))="",0,IF(($K360-$N$48)&lt;1,0,IF(IF(INDEX($AD$176:$AD$905,($K360-$N$48))="",0,INDEX($AD$176:$AD$905,($K360-$N$48)))&gt;0,IF(INDEX($AD$176:$AD$905,($K360-$N$48))="",0,INDEX($AD$176:$AD$905,($K360-$N$48))),0)))=0,"",IF(AND($P359="",$P360=1),($N$37*-1),0)+IF(AND($Q359="",$Q360=1),($N$38*-1),0)+IF(IF(($K360-$N$48)&lt;1,0,IF(IF(INDEX($AD$176:$AD$905,($K360-$N$48))="",0,INDEX($AD$176:$AD$905,($K360-$N$48)))&gt;0,IF(INDEX($AD$176:$AD$905,($K360-$N$48))="",0,INDEX($AD$176:$AD$905,($K360-$N$48))),0))="",0,IF(($K360-$N$48)&lt;1,0,IF(IF(INDEX($AD$176:$AD$905,($K360-$N$48))="",0,INDEX($AD$176:$AD$905,($K360-$N$48)))&gt;0,IF(INDEX($AD$176:$AD$905,($K360-$N$48))="",0,INDEX($AD$176:$AD$905,($K360-$N$48))),0))))</f>
        <v/>
      </c>
      <c r="AC360" s="22" t="str">
        <f t="shared" si="78"/>
        <v/>
      </c>
      <c r="AD360" s="22" t="str">
        <f t="shared" si="89"/>
        <v/>
      </c>
      <c r="AE360" s="22" t="str" cm="1">
        <f t="array" ref="AE360">IF(($K360-$N$48)&lt;1,"",IF((IF(INDEX($AC$176:$AC$905,($K360-$N$48))="",0,INDEX($AC$176:$AC$905,($K360-$N$48))))=0,"",(IF(INDEX($AC$176:$AC$905,($K360-$N$48))="",0,INDEX($AC$176:$AC$905,($K360-$N$48))))))</f>
        <v/>
      </c>
      <c r="AF360" s="31" t="str">
        <f t="shared" si="79"/>
        <v/>
      </c>
      <c r="AG360" s="31" t="str">
        <f t="shared" si="80"/>
        <v/>
      </c>
      <c r="AH360" s="31" t="str">
        <f t="shared" si="81"/>
        <v/>
      </c>
      <c r="AI360" s="31" t="str">
        <f t="shared" si="82"/>
        <v/>
      </c>
      <c r="AJ360" s="303" t="str">
        <f t="shared" si="83"/>
        <v/>
      </c>
      <c r="AK360" s="139" t="str">
        <f t="shared" si="84"/>
        <v/>
      </c>
      <c r="AM360" s="319"/>
      <c r="AN360" s="40"/>
      <c r="AO360" s="1"/>
    </row>
    <row r="361" spans="7:41" x14ac:dyDescent="0.25">
      <c r="G361" s="235" t="str">
        <f t="shared" si="70"/>
        <v/>
      </c>
      <c r="H361" s="4" t="str">
        <f t="shared" si="71"/>
        <v/>
      </c>
      <c r="I361" s="11" t="str">
        <f t="shared" si="72"/>
        <v>09.00</v>
      </c>
      <c r="K361" s="30">
        <v>186</v>
      </c>
      <c r="L361" s="29">
        <f t="shared" si="85"/>
        <v>11371.908376190917</v>
      </c>
      <c r="M361" s="28" t="str">
        <f t="shared" si="73"/>
        <v/>
      </c>
      <c r="N361" s="27" t="str">
        <f t="shared" si="86"/>
        <v/>
      </c>
      <c r="O361" s="26" t="str">
        <f>IF(AND($Q360=$O$38,IFERROR(LARGE($V$176:$V360,1)&lt;$N$42,TRUE)),1,IF(AND(ISNUMBER($O360),$O360&lt;$N$32),$O360+1,""))</f>
        <v/>
      </c>
      <c r="P361" s="26" t="str">
        <f t="shared" si="87"/>
        <v/>
      </c>
      <c r="Q361" s="26" t="str">
        <f t="shared" si="74"/>
        <v/>
      </c>
      <c r="R361" s="24" t="str">
        <f t="shared" si="88"/>
        <v/>
      </c>
      <c r="S361" s="180">
        <f t="shared" si="90"/>
        <v>9</v>
      </c>
      <c r="T361" s="151"/>
      <c r="U361" s="25" t="str">
        <f t="shared" si="75"/>
        <v/>
      </c>
      <c r="V361" s="24" t="str">
        <f>IF(AND(ISNUMBER(R360),ISNUMBER(R361)),V360,IF(AND(R360="",ISNUMBER(R361)),IFERROR(LARGE($V$176:$V360,1)+1,0),""))</f>
        <v/>
      </c>
      <c r="W361" s="23" t="str">
        <f t="shared" si="76"/>
        <v/>
      </c>
      <c r="X361" s="22" t="str">
        <f t="shared" si="77"/>
        <v/>
      </c>
      <c r="Y361" s="22"/>
      <c r="Z361" s="22"/>
      <c r="AA361" s="22"/>
      <c r="AB361" s="22" t="str" cm="1">
        <f t="array" ref="AB361">IF(IF(AND($P360="",$P361=1),($N$37*-1),0)+IF(AND($Q360="",$Q361=1),($N$38*-1),0)+IF(IF(($K361-$N$48)&lt;1,0,IF(IF(INDEX($AD$176:$AD$905,($K361-$N$48))="",0,INDEX($AD$176:$AD$905,($K361-$N$48)))&gt;0,IF(INDEX($AD$176:$AD$905,($K361-$N$48))="",0,INDEX($AD$176:$AD$905,($K361-$N$48))),0))="",0,IF(($K361-$N$48)&lt;1,0,IF(IF(INDEX($AD$176:$AD$905,($K361-$N$48))="",0,INDEX($AD$176:$AD$905,($K361-$N$48)))&gt;0,IF(INDEX($AD$176:$AD$905,($K361-$N$48))="",0,INDEX($AD$176:$AD$905,($K361-$N$48))),0)))=0,"",IF(AND($P360="",$P361=1),($N$37*-1),0)+IF(AND($Q360="",$Q361=1),($N$38*-1),0)+IF(IF(($K361-$N$48)&lt;1,0,IF(IF(INDEX($AD$176:$AD$905,($K361-$N$48))="",0,INDEX($AD$176:$AD$905,($K361-$N$48)))&gt;0,IF(INDEX($AD$176:$AD$905,($K361-$N$48))="",0,INDEX($AD$176:$AD$905,($K361-$N$48))),0))="",0,IF(($K361-$N$48)&lt;1,0,IF(IF(INDEX($AD$176:$AD$905,($K361-$N$48))="",0,INDEX($AD$176:$AD$905,($K361-$N$48)))&gt;0,IF(INDEX($AD$176:$AD$905,($K361-$N$48))="",0,INDEX($AD$176:$AD$905,($K361-$N$48))),0))))</f>
        <v/>
      </c>
      <c r="AC361" s="22" t="str">
        <f t="shared" si="78"/>
        <v/>
      </c>
      <c r="AD361" s="22" t="str">
        <f t="shared" si="89"/>
        <v/>
      </c>
      <c r="AE361" s="22" t="str" cm="1">
        <f t="array" ref="AE361">IF(($K361-$N$48)&lt;1,"",IF((IF(INDEX($AC$176:$AC$905,($K361-$N$48))="",0,INDEX($AC$176:$AC$905,($K361-$N$48))))=0,"",(IF(INDEX($AC$176:$AC$905,($K361-$N$48))="",0,INDEX($AC$176:$AC$905,($K361-$N$48))))))</f>
        <v/>
      </c>
      <c r="AF361" s="31" t="str">
        <f t="shared" si="79"/>
        <v/>
      </c>
      <c r="AG361" s="31" t="str">
        <f t="shared" si="80"/>
        <v/>
      </c>
      <c r="AH361" s="31" t="str">
        <f t="shared" si="81"/>
        <v/>
      </c>
      <c r="AI361" s="31" t="str">
        <f t="shared" si="82"/>
        <v/>
      </c>
      <c r="AJ361" s="303" t="str">
        <f t="shared" si="83"/>
        <v/>
      </c>
      <c r="AK361" s="139" t="str">
        <f t="shared" si="84"/>
        <v/>
      </c>
      <c r="AM361" s="319"/>
      <c r="AN361" s="40"/>
      <c r="AO361" s="1"/>
    </row>
    <row r="362" spans="7:41" x14ac:dyDescent="0.25">
      <c r="G362" s="235" t="str">
        <f t="shared" si="70"/>
        <v/>
      </c>
      <c r="H362" s="4" t="str">
        <f t="shared" si="71"/>
        <v/>
      </c>
      <c r="I362" s="11" t="str">
        <f t="shared" si="72"/>
        <v>09.00</v>
      </c>
      <c r="K362" s="30">
        <v>187</v>
      </c>
      <c r="L362" s="29">
        <f t="shared" si="85"/>
        <v>11371.908376190917</v>
      </c>
      <c r="M362" s="28" t="str">
        <f t="shared" si="73"/>
        <v/>
      </c>
      <c r="N362" s="27" t="str">
        <f t="shared" si="86"/>
        <v/>
      </c>
      <c r="O362" s="26" t="str">
        <f>IF(AND($Q361=$O$38,IFERROR(LARGE($V$176:$V361,1)&lt;$N$42,TRUE)),1,IF(AND(ISNUMBER($O361),$O361&lt;$N$32),$O361+1,""))</f>
        <v/>
      </c>
      <c r="P362" s="26" t="str">
        <f t="shared" si="87"/>
        <v/>
      </c>
      <c r="Q362" s="26" t="str">
        <f t="shared" si="74"/>
        <v/>
      </c>
      <c r="R362" s="24" t="str">
        <f t="shared" si="88"/>
        <v/>
      </c>
      <c r="S362" s="180">
        <f t="shared" si="90"/>
        <v>9</v>
      </c>
      <c r="T362" s="151"/>
      <c r="U362" s="25" t="str">
        <f t="shared" si="75"/>
        <v/>
      </c>
      <c r="V362" s="24" t="str">
        <f>IF(AND(ISNUMBER(R361),ISNUMBER(R362)),V361,IF(AND(R361="",ISNUMBER(R362)),IFERROR(LARGE($V$176:$V361,1)+1,0),""))</f>
        <v/>
      </c>
      <c r="W362" s="23" t="str">
        <f t="shared" si="76"/>
        <v/>
      </c>
      <c r="X362" s="22" t="str">
        <f t="shared" si="77"/>
        <v/>
      </c>
      <c r="Y362" s="22"/>
      <c r="Z362" s="22"/>
      <c r="AA362" s="22"/>
      <c r="AB362" s="22" t="str" cm="1">
        <f t="array" ref="AB362">IF(IF(AND($P361="",$P362=1),($N$37*-1),0)+IF(AND($Q361="",$Q362=1),($N$38*-1),0)+IF(IF(($K362-$N$48)&lt;1,0,IF(IF(INDEX($AD$176:$AD$905,($K362-$N$48))="",0,INDEX($AD$176:$AD$905,($K362-$N$48)))&gt;0,IF(INDEX($AD$176:$AD$905,($K362-$N$48))="",0,INDEX($AD$176:$AD$905,($K362-$N$48))),0))="",0,IF(($K362-$N$48)&lt;1,0,IF(IF(INDEX($AD$176:$AD$905,($K362-$N$48))="",0,INDEX($AD$176:$AD$905,($K362-$N$48)))&gt;0,IF(INDEX($AD$176:$AD$905,($K362-$N$48))="",0,INDEX($AD$176:$AD$905,($K362-$N$48))),0)))=0,"",IF(AND($P361="",$P362=1),($N$37*-1),0)+IF(AND($Q361="",$Q362=1),($N$38*-1),0)+IF(IF(($K362-$N$48)&lt;1,0,IF(IF(INDEX($AD$176:$AD$905,($K362-$N$48))="",0,INDEX($AD$176:$AD$905,($K362-$N$48)))&gt;0,IF(INDEX($AD$176:$AD$905,($K362-$N$48))="",0,INDEX($AD$176:$AD$905,($K362-$N$48))),0))="",0,IF(($K362-$N$48)&lt;1,0,IF(IF(INDEX($AD$176:$AD$905,($K362-$N$48))="",0,INDEX($AD$176:$AD$905,($K362-$N$48)))&gt;0,IF(INDEX($AD$176:$AD$905,($K362-$N$48))="",0,INDEX($AD$176:$AD$905,($K362-$N$48))),0))))</f>
        <v/>
      </c>
      <c r="AC362" s="22" t="str">
        <f t="shared" si="78"/>
        <v/>
      </c>
      <c r="AD362" s="22" t="str">
        <f t="shared" si="89"/>
        <v/>
      </c>
      <c r="AE362" s="22" t="str" cm="1">
        <f t="array" ref="AE362">IF(($K362-$N$48)&lt;1,"",IF((IF(INDEX($AC$176:$AC$905,($K362-$N$48))="",0,INDEX($AC$176:$AC$905,($K362-$N$48))))=0,"",(IF(INDEX($AC$176:$AC$905,($K362-$N$48))="",0,INDEX($AC$176:$AC$905,($K362-$N$48))))))</f>
        <v/>
      </c>
      <c r="AF362" s="31" t="str">
        <f t="shared" si="79"/>
        <v/>
      </c>
      <c r="AG362" s="31" t="str">
        <f t="shared" si="80"/>
        <v/>
      </c>
      <c r="AH362" s="31" t="str">
        <f t="shared" si="81"/>
        <v/>
      </c>
      <c r="AI362" s="31" t="str">
        <f t="shared" si="82"/>
        <v/>
      </c>
      <c r="AJ362" s="303" t="str">
        <f t="shared" si="83"/>
        <v/>
      </c>
      <c r="AK362" s="139" t="str">
        <f t="shared" si="84"/>
        <v/>
      </c>
      <c r="AM362" s="319"/>
      <c r="AN362" s="40"/>
      <c r="AO362" s="1"/>
    </row>
    <row r="363" spans="7:41" x14ac:dyDescent="0.25">
      <c r="G363" s="235" t="str">
        <f t="shared" si="70"/>
        <v/>
      </c>
      <c r="H363" s="4" t="str">
        <f t="shared" si="71"/>
        <v/>
      </c>
      <c r="I363" s="11" t="str">
        <f t="shared" si="72"/>
        <v>09.00</v>
      </c>
      <c r="K363" s="30">
        <v>188</v>
      </c>
      <c r="L363" s="29">
        <f t="shared" si="85"/>
        <v>11371.908376190917</v>
      </c>
      <c r="M363" s="28" t="str">
        <f t="shared" si="73"/>
        <v/>
      </c>
      <c r="N363" s="27" t="str">
        <f t="shared" si="86"/>
        <v/>
      </c>
      <c r="O363" s="26" t="str">
        <f>IF(AND($Q362=$O$38,IFERROR(LARGE($V$176:$V362,1)&lt;$N$42,TRUE)),1,IF(AND(ISNUMBER($O362),$O362&lt;$N$32),$O362+1,""))</f>
        <v/>
      </c>
      <c r="P363" s="26" t="str">
        <f t="shared" si="87"/>
        <v/>
      </c>
      <c r="Q363" s="26" t="str">
        <f t="shared" si="74"/>
        <v/>
      </c>
      <c r="R363" s="24" t="str">
        <f t="shared" si="88"/>
        <v/>
      </c>
      <c r="S363" s="180">
        <f t="shared" si="90"/>
        <v>9</v>
      </c>
      <c r="T363" s="151"/>
      <c r="U363" s="25" t="str">
        <f t="shared" si="75"/>
        <v/>
      </c>
      <c r="V363" s="24" t="str">
        <f>IF(AND(ISNUMBER(R362),ISNUMBER(R363)),V362,IF(AND(R362="",ISNUMBER(R363)),IFERROR(LARGE($V$176:$V362,1)+1,0),""))</f>
        <v/>
      </c>
      <c r="W363" s="23" t="str">
        <f t="shared" si="76"/>
        <v/>
      </c>
      <c r="X363" s="22" t="str">
        <f t="shared" si="77"/>
        <v/>
      </c>
      <c r="Y363" s="22"/>
      <c r="Z363" s="22"/>
      <c r="AA363" s="22"/>
      <c r="AB363" s="22" t="str" cm="1">
        <f t="array" ref="AB363">IF(IF(AND($P362="",$P363=1),($N$37*-1),0)+IF(AND($Q362="",$Q363=1),($N$38*-1),0)+IF(IF(($K363-$N$48)&lt;1,0,IF(IF(INDEX($AD$176:$AD$905,($K363-$N$48))="",0,INDEX($AD$176:$AD$905,($K363-$N$48)))&gt;0,IF(INDEX($AD$176:$AD$905,($K363-$N$48))="",0,INDEX($AD$176:$AD$905,($K363-$N$48))),0))="",0,IF(($K363-$N$48)&lt;1,0,IF(IF(INDEX($AD$176:$AD$905,($K363-$N$48))="",0,INDEX($AD$176:$AD$905,($K363-$N$48)))&gt;0,IF(INDEX($AD$176:$AD$905,($K363-$N$48))="",0,INDEX($AD$176:$AD$905,($K363-$N$48))),0)))=0,"",IF(AND($P362="",$P363=1),($N$37*-1),0)+IF(AND($Q362="",$Q363=1),($N$38*-1),0)+IF(IF(($K363-$N$48)&lt;1,0,IF(IF(INDEX($AD$176:$AD$905,($K363-$N$48))="",0,INDEX($AD$176:$AD$905,($K363-$N$48)))&gt;0,IF(INDEX($AD$176:$AD$905,($K363-$N$48))="",0,INDEX($AD$176:$AD$905,($K363-$N$48))),0))="",0,IF(($K363-$N$48)&lt;1,0,IF(IF(INDEX($AD$176:$AD$905,($K363-$N$48))="",0,INDEX($AD$176:$AD$905,($K363-$N$48)))&gt;0,IF(INDEX($AD$176:$AD$905,($K363-$N$48))="",0,INDEX($AD$176:$AD$905,($K363-$N$48))),0))))</f>
        <v/>
      </c>
      <c r="AC363" s="22" t="str">
        <f t="shared" si="78"/>
        <v/>
      </c>
      <c r="AD363" s="22" t="str">
        <f t="shared" si="89"/>
        <v/>
      </c>
      <c r="AE363" s="22" t="str" cm="1">
        <f t="array" ref="AE363">IF(($K363-$N$48)&lt;1,"",IF((IF(INDEX($AC$176:$AC$905,($K363-$N$48))="",0,INDEX($AC$176:$AC$905,($K363-$N$48))))=0,"",(IF(INDEX($AC$176:$AC$905,($K363-$N$48))="",0,INDEX($AC$176:$AC$905,($K363-$N$48))))))</f>
        <v/>
      </c>
      <c r="AF363" s="31" t="str">
        <f t="shared" si="79"/>
        <v/>
      </c>
      <c r="AG363" s="31" t="str">
        <f t="shared" si="80"/>
        <v/>
      </c>
      <c r="AH363" s="31" t="str">
        <f t="shared" si="81"/>
        <v/>
      </c>
      <c r="AI363" s="31" t="str">
        <f t="shared" si="82"/>
        <v/>
      </c>
      <c r="AJ363" s="303" t="str">
        <f t="shared" si="83"/>
        <v/>
      </c>
      <c r="AK363" s="139" t="str">
        <f t="shared" si="84"/>
        <v/>
      </c>
      <c r="AM363" s="319"/>
      <c r="AN363" s="40"/>
      <c r="AO363" s="1"/>
    </row>
    <row r="364" spans="7:41" x14ac:dyDescent="0.25">
      <c r="G364" s="235" t="str">
        <f t="shared" si="70"/>
        <v/>
      </c>
      <c r="H364" s="4" t="str">
        <f t="shared" si="71"/>
        <v/>
      </c>
      <c r="I364" s="11" t="str">
        <f t="shared" si="72"/>
        <v>09.00</v>
      </c>
      <c r="K364" s="30">
        <v>189</v>
      </c>
      <c r="L364" s="29">
        <f t="shared" si="85"/>
        <v>11371.908376190917</v>
      </c>
      <c r="M364" s="28" t="str">
        <f t="shared" si="73"/>
        <v/>
      </c>
      <c r="N364" s="27" t="str">
        <f t="shared" si="86"/>
        <v/>
      </c>
      <c r="O364" s="26" t="str">
        <f>IF(AND($Q363=$O$38,IFERROR(LARGE($V$176:$V363,1)&lt;$N$42,TRUE)),1,IF(AND(ISNUMBER($O363),$O363&lt;$N$32),$O363+1,""))</f>
        <v/>
      </c>
      <c r="P364" s="26" t="str">
        <f t="shared" si="87"/>
        <v/>
      </c>
      <c r="Q364" s="26" t="str">
        <f t="shared" si="74"/>
        <v/>
      </c>
      <c r="R364" s="24" t="str">
        <f t="shared" si="88"/>
        <v/>
      </c>
      <c r="S364" s="180">
        <f t="shared" si="90"/>
        <v>9</v>
      </c>
      <c r="T364" s="151"/>
      <c r="U364" s="25" t="str">
        <f t="shared" si="75"/>
        <v/>
      </c>
      <c r="V364" s="24" t="str">
        <f>IF(AND(ISNUMBER(R363),ISNUMBER(R364)),V363,IF(AND(R363="",ISNUMBER(R364)),IFERROR(LARGE($V$176:$V363,1)+1,0),""))</f>
        <v/>
      </c>
      <c r="W364" s="23" t="str">
        <f t="shared" si="76"/>
        <v/>
      </c>
      <c r="X364" s="22" t="str">
        <f t="shared" si="77"/>
        <v/>
      </c>
      <c r="Y364" s="22"/>
      <c r="Z364" s="22"/>
      <c r="AA364" s="22"/>
      <c r="AB364" s="22" t="str" cm="1">
        <f t="array" ref="AB364">IF(IF(AND($P363="",$P364=1),($N$37*-1),0)+IF(AND($Q363="",$Q364=1),($N$38*-1),0)+IF(IF(($K364-$N$48)&lt;1,0,IF(IF(INDEX($AD$176:$AD$905,($K364-$N$48))="",0,INDEX($AD$176:$AD$905,($K364-$N$48)))&gt;0,IF(INDEX($AD$176:$AD$905,($K364-$N$48))="",0,INDEX($AD$176:$AD$905,($K364-$N$48))),0))="",0,IF(($K364-$N$48)&lt;1,0,IF(IF(INDEX($AD$176:$AD$905,($K364-$N$48))="",0,INDEX($AD$176:$AD$905,($K364-$N$48)))&gt;0,IF(INDEX($AD$176:$AD$905,($K364-$N$48))="",0,INDEX($AD$176:$AD$905,($K364-$N$48))),0)))=0,"",IF(AND($P363="",$P364=1),($N$37*-1),0)+IF(AND($Q363="",$Q364=1),($N$38*-1),0)+IF(IF(($K364-$N$48)&lt;1,0,IF(IF(INDEX($AD$176:$AD$905,($K364-$N$48))="",0,INDEX($AD$176:$AD$905,($K364-$N$48)))&gt;0,IF(INDEX($AD$176:$AD$905,($K364-$N$48))="",0,INDEX($AD$176:$AD$905,($K364-$N$48))),0))="",0,IF(($K364-$N$48)&lt;1,0,IF(IF(INDEX($AD$176:$AD$905,($K364-$N$48))="",0,INDEX($AD$176:$AD$905,($K364-$N$48)))&gt;0,IF(INDEX($AD$176:$AD$905,($K364-$N$48))="",0,INDEX($AD$176:$AD$905,($K364-$N$48))),0))))</f>
        <v/>
      </c>
      <c r="AC364" s="22" t="str">
        <f t="shared" si="78"/>
        <v/>
      </c>
      <c r="AD364" s="22" t="str">
        <f t="shared" si="89"/>
        <v/>
      </c>
      <c r="AE364" s="22" t="str" cm="1">
        <f t="array" ref="AE364">IF(($K364-$N$48)&lt;1,"",IF((IF(INDEX($AC$176:$AC$905,($K364-$N$48))="",0,INDEX($AC$176:$AC$905,($K364-$N$48))))=0,"",(IF(INDEX($AC$176:$AC$905,($K364-$N$48))="",0,INDEX($AC$176:$AC$905,($K364-$N$48))))))</f>
        <v/>
      </c>
      <c r="AF364" s="31" t="str">
        <f t="shared" si="79"/>
        <v/>
      </c>
      <c r="AG364" s="31" t="str">
        <f t="shared" si="80"/>
        <v/>
      </c>
      <c r="AH364" s="31" t="str">
        <f t="shared" si="81"/>
        <v/>
      </c>
      <c r="AI364" s="31" t="str">
        <f t="shared" si="82"/>
        <v/>
      </c>
      <c r="AJ364" s="303" t="str">
        <f t="shared" si="83"/>
        <v/>
      </c>
      <c r="AK364" s="139" t="str">
        <f t="shared" si="84"/>
        <v/>
      </c>
      <c r="AM364" s="319"/>
      <c r="AN364" s="40"/>
      <c r="AO364" s="1"/>
    </row>
    <row r="365" spans="7:41" x14ac:dyDescent="0.25">
      <c r="G365" s="235" t="str">
        <f t="shared" si="70"/>
        <v/>
      </c>
      <c r="H365" s="4" t="str">
        <f t="shared" si="71"/>
        <v/>
      </c>
      <c r="I365" s="11" t="str">
        <f t="shared" si="72"/>
        <v>09.00</v>
      </c>
      <c r="K365" s="30">
        <v>190</v>
      </c>
      <c r="L365" s="29">
        <f t="shared" si="85"/>
        <v>11371.908376190917</v>
      </c>
      <c r="M365" s="28" t="str">
        <f t="shared" si="73"/>
        <v/>
      </c>
      <c r="N365" s="27" t="str">
        <f t="shared" si="86"/>
        <v/>
      </c>
      <c r="O365" s="26" t="str">
        <f>IF(AND($Q364=$O$38,IFERROR(LARGE($V$176:$V364,1)&lt;$N$42,TRUE)),1,IF(AND(ISNUMBER($O364),$O364&lt;$N$32),$O364+1,""))</f>
        <v/>
      </c>
      <c r="P365" s="26" t="str">
        <f t="shared" si="87"/>
        <v/>
      </c>
      <c r="Q365" s="26" t="str">
        <f t="shared" si="74"/>
        <v/>
      </c>
      <c r="R365" s="24" t="str">
        <f t="shared" si="88"/>
        <v/>
      </c>
      <c r="S365" s="180">
        <f t="shared" si="90"/>
        <v>9</v>
      </c>
      <c r="T365" s="151"/>
      <c r="U365" s="25" t="str">
        <f t="shared" si="75"/>
        <v/>
      </c>
      <c r="V365" s="24" t="str">
        <f>IF(AND(ISNUMBER(R364),ISNUMBER(R365)),V364,IF(AND(R364="",ISNUMBER(R365)),IFERROR(LARGE($V$176:$V364,1)+1,0),""))</f>
        <v/>
      </c>
      <c r="W365" s="23" t="str">
        <f t="shared" si="76"/>
        <v/>
      </c>
      <c r="X365" s="22" t="str">
        <f t="shared" si="77"/>
        <v/>
      </c>
      <c r="Y365" s="22"/>
      <c r="Z365" s="22"/>
      <c r="AA365" s="22"/>
      <c r="AB365" s="22" t="str" cm="1">
        <f t="array" ref="AB365">IF(IF(AND($P364="",$P365=1),($N$37*-1),0)+IF(AND($Q364="",$Q365=1),($N$38*-1),0)+IF(IF(($K365-$N$48)&lt;1,0,IF(IF(INDEX($AD$176:$AD$905,($K365-$N$48))="",0,INDEX($AD$176:$AD$905,($K365-$N$48)))&gt;0,IF(INDEX($AD$176:$AD$905,($K365-$N$48))="",0,INDEX($AD$176:$AD$905,($K365-$N$48))),0))="",0,IF(($K365-$N$48)&lt;1,0,IF(IF(INDEX($AD$176:$AD$905,($K365-$N$48))="",0,INDEX($AD$176:$AD$905,($K365-$N$48)))&gt;0,IF(INDEX($AD$176:$AD$905,($K365-$N$48))="",0,INDEX($AD$176:$AD$905,($K365-$N$48))),0)))=0,"",IF(AND($P364="",$P365=1),($N$37*-1),0)+IF(AND($Q364="",$Q365=1),($N$38*-1),0)+IF(IF(($K365-$N$48)&lt;1,0,IF(IF(INDEX($AD$176:$AD$905,($K365-$N$48))="",0,INDEX($AD$176:$AD$905,($K365-$N$48)))&gt;0,IF(INDEX($AD$176:$AD$905,($K365-$N$48))="",0,INDEX($AD$176:$AD$905,($K365-$N$48))),0))="",0,IF(($K365-$N$48)&lt;1,0,IF(IF(INDEX($AD$176:$AD$905,($K365-$N$48))="",0,INDEX($AD$176:$AD$905,($K365-$N$48)))&gt;0,IF(INDEX($AD$176:$AD$905,($K365-$N$48))="",0,INDEX($AD$176:$AD$905,($K365-$N$48))),0))))</f>
        <v/>
      </c>
      <c r="AC365" s="22" t="str">
        <f t="shared" si="78"/>
        <v/>
      </c>
      <c r="AD365" s="22" t="str">
        <f t="shared" si="89"/>
        <v/>
      </c>
      <c r="AE365" s="22" t="str" cm="1">
        <f t="array" ref="AE365">IF(($K365-$N$48)&lt;1,"",IF((IF(INDEX($AC$176:$AC$905,($K365-$N$48))="",0,INDEX($AC$176:$AC$905,($K365-$N$48))))=0,"",(IF(INDEX($AC$176:$AC$905,($K365-$N$48))="",0,INDEX($AC$176:$AC$905,($K365-$N$48))))))</f>
        <v/>
      </c>
      <c r="AF365" s="31" t="str">
        <f t="shared" si="79"/>
        <v/>
      </c>
      <c r="AG365" s="31" t="str">
        <f t="shared" si="80"/>
        <v/>
      </c>
      <c r="AH365" s="31" t="str">
        <f t="shared" si="81"/>
        <v/>
      </c>
      <c r="AI365" s="31" t="str">
        <f t="shared" si="82"/>
        <v/>
      </c>
      <c r="AJ365" s="303" t="str">
        <f t="shared" si="83"/>
        <v/>
      </c>
      <c r="AK365" s="139" t="str">
        <f t="shared" si="84"/>
        <v/>
      </c>
      <c r="AM365" s="319"/>
      <c r="AN365" s="40"/>
      <c r="AO365" s="1"/>
    </row>
    <row r="366" spans="7:41" x14ac:dyDescent="0.25">
      <c r="G366" s="235" t="str">
        <f t="shared" si="70"/>
        <v/>
      </c>
      <c r="H366" s="4" t="str">
        <f t="shared" si="71"/>
        <v/>
      </c>
      <c r="I366" s="11" t="str">
        <f t="shared" si="72"/>
        <v>09.00</v>
      </c>
      <c r="K366" s="30">
        <v>191</v>
      </c>
      <c r="L366" s="29">
        <f t="shared" si="85"/>
        <v>11371.908376190917</v>
      </c>
      <c r="M366" s="28" t="str">
        <f t="shared" si="73"/>
        <v/>
      </c>
      <c r="N366" s="27" t="str">
        <f t="shared" si="86"/>
        <v/>
      </c>
      <c r="O366" s="26" t="str">
        <f>IF(AND($Q365=$O$38,IFERROR(LARGE($V$176:$V365,1)&lt;$N$42,TRUE)),1,IF(AND(ISNUMBER($O365),$O365&lt;$N$32),$O365+1,""))</f>
        <v/>
      </c>
      <c r="P366" s="26" t="str">
        <f t="shared" si="87"/>
        <v/>
      </c>
      <c r="Q366" s="26" t="str">
        <f t="shared" si="74"/>
        <v/>
      </c>
      <c r="R366" s="24" t="str">
        <f t="shared" si="88"/>
        <v/>
      </c>
      <c r="S366" s="180">
        <f t="shared" si="90"/>
        <v>9</v>
      </c>
      <c r="T366" s="151"/>
      <c r="U366" s="25" t="str">
        <f t="shared" si="75"/>
        <v/>
      </c>
      <c r="V366" s="24" t="str">
        <f>IF(AND(ISNUMBER(R365),ISNUMBER(R366)),V365,IF(AND(R365="",ISNUMBER(R366)),IFERROR(LARGE($V$176:$V365,1)+1,0),""))</f>
        <v/>
      </c>
      <c r="W366" s="23" t="str">
        <f t="shared" si="76"/>
        <v/>
      </c>
      <c r="X366" s="22" t="str">
        <f t="shared" si="77"/>
        <v/>
      </c>
      <c r="Y366" s="22"/>
      <c r="Z366" s="22"/>
      <c r="AA366" s="22"/>
      <c r="AB366" s="22" t="str" cm="1">
        <f t="array" ref="AB366">IF(IF(AND($P365="",$P366=1),($N$37*-1),0)+IF(AND($Q365="",$Q366=1),($N$38*-1),0)+IF(IF(($K366-$N$48)&lt;1,0,IF(IF(INDEX($AD$176:$AD$905,($K366-$N$48))="",0,INDEX($AD$176:$AD$905,($K366-$N$48)))&gt;0,IF(INDEX($AD$176:$AD$905,($K366-$N$48))="",0,INDEX($AD$176:$AD$905,($K366-$N$48))),0))="",0,IF(($K366-$N$48)&lt;1,0,IF(IF(INDEX($AD$176:$AD$905,($K366-$N$48))="",0,INDEX($AD$176:$AD$905,($K366-$N$48)))&gt;0,IF(INDEX($AD$176:$AD$905,($K366-$N$48))="",0,INDEX($AD$176:$AD$905,($K366-$N$48))),0)))=0,"",IF(AND($P365="",$P366=1),($N$37*-1),0)+IF(AND($Q365="",$Q366=1),($N$38*-1),0)+IF(IF(($K366-$N$48)&lt;1,0,IF(IF(INDEX($AD$176:$AD$905,($K366-$N$48))="",0,INDEX($AD$176:$AD$905,($K366-$N$48)))&gt;0,IF(INDEX($AD$176:$AD$905,($K366-$N$48))="",0,INDEX($AD$176:$AD$905,($K366-$N$48))),0))="",0,IF(($K366-$N$48)&lt;1,0,IF(IF(INDEX($AD$176:$AD$905,($K366-$N$48))="",0,INDEX($AD$176:$AD$905,($K366-$N$48)))&gt;0,IF(INDEX($AD$176:$AD$905,($K366-$N$48))="",0,INDEX($AD$176:$AD$905,($K366-$N$48))),0))))</f>
        <v/>
      </c>
      <c r="AC366" s="22" t="str">
        <f t="shared" si="78"/>
        <v/>
      </c>
      <c r="AD366" s="22" t="str">
        <f t="shared" si="89"/>
        <v/>
      </c>
      <c r="AE366" s="22" t="str" cm="1">
        <f t="array" ref="AE366">IF(($K366-$N$48)&lt;1,"",IF((IF(INDEX($AC$176:$AC$905,($K366-$N$48))="",0,INDEX($AC$176:$AC$905,($K366-$N$48))))=0,"",(IF(INDEX($AC$176:$AC$905,($K366-$N$48))="",0,INDEX($AC$176:$AC$905,($K366-$N$48))))))</f>
        <v/>
      </c>
      <c r="AF366" s="31" t="str">
        <f t="shared" si="79"/>
        <v/>
      </c>
      <c r="AG366" s="31" t="str">
        <f t="shared" si="80"/>
        <v/>
      </c>
      <c r="AH366" s="31" t="str">
        <f t="shared" si="81"/>
        <v/>
      </c>
      <c r="AI366" s="31" t="str">
        <f t="shared" si="82"/>
        <v/>
      </c>
      <c r="AJ366" s="303" t="str">
        <f t="shared" si="83"/>
        <v/>
      </c>
      <c r="AK366" s="139" t="str">
        <f t="shared" si="84"/>
        <v/>
      </c>
      <c r="AM366" s="319"/>
      <c r="AN366" s="40"/>
      <c r="AO366" s="1"/>
    </row>
    <row r="367" spans="7:41" x14ac:dyDescent="0.25">
      <c r="G367" s="235" t="str">
        <f t="shared" si="70"/>
        <v/>
      </c>
      <c r="H367" s="4" t="str">
        <f t="shared" si="71"/>
        <v/>
      </c>
      <c r="I367" s="11" t="str">
        <f t="shared" si="72"/>
        <v>09.00</v>
      </c>
      <c r="K367" s="30">
        <v>192</v>
      </c>
      <c r="L367" s="29">
        <f t="shared" si="85"/>
        <v>11371.908376190917</v>
      </c>
      <c r="M367" s="28" t="str">
        <f t="shared" si="73"/>
        <v/>
      </c>
      <c r="N367" s="27" t="str">
        <f t="shared" si="86"/>
        <v/>
      </c>
      <c r="O367" s="26" t="str">
        <f>IF(AND($Q366=$O$38,IFERROR(LARGE($V$176:$V366,1)&lt;$N$42,TRUE)),1,IF(AND(ISNUMBER($O366),$O366&lt;$N$32),$O366+1,""))</f>
        <v/>
      </c>
      <c r="P367" s="26" t="str">
        <f t="shared" si="87"/>
        <v/>
      </c>
      <c r="Q367" s="26" t="str">
        <f t="shared" si="74"/>
        <v/>
      </c>
      <c r="R367" s="24" t="str">
        <f t="shared" si="88"/>
        <v/>
      </c>
      <c r="S367" s="180">
        <f t="shared" si="90"/>
        <v>9</v>
      </c>
      <c r="T367" s="151"/>
      <c r="U367" s="25" t="str">
        <f t="shared" si="75"/>
        <v/>
      </c>
      <c r="V367" s="24" t="str">
        <f>IF(AND(ISNUMBER(R366),ISNUMBER(R367)),V366,IF(AND(R366="",ISNUMBER(R367)),IFERROR(LARGE($V$176:$V366,1)+1,0),""))</f>
        <v/>
      </c>
      <c r="W367" s="23" t="str">
        <f t="shared" si="76"/>
        <v/>
      </c>
      <c r="X367" s="22" t="str">
        <f t="shared" si="77"/>
        <v/>
      </c>
      <c r="Y367" s="22"/>
      <c r="Z367" s="22"/>
      <c r="AA367" s="22"/>
      <c r="AB367" s="22" t="str" cm="1">
        <f t="array" ref="AB367">IF(IF(AND($P366="",$P367=1),($N$37*-1),0)+IF(AND($Q366="",$Q367=1),($N$38*-1),0)+IF(IF(($K367-$N$48)&lt;1,0,IF(IF(INDEX($AD$176:$AD$905,($K367-$N$48))="",0,INDEX($AD$176:$AD$905,($K367-$N$48)))&gt;0,IF(INDEX($AD$176:$AD$905,($K367-$N$48))="",0,INDEX($AD$176:$AD$905,($K367-$N$48))),0))="",0,IF(($K367-$N$48)&lt;1,0,IF(IF(INDEX($AD$176:$AD$905,($K367-$N$48))="",0,INDEX($AD$176:$AD$905,($K367-$N$48)))&gt;0,IF(INDEX($AD$176:$AD$905,($K367-$N$48))="",0,INDEX($AD$176:$AD$905,($K367-$N$48))),0)))=0,"",IF(AND($P366="",$P367=1),($N$37*-1),0)+IF(AND($Q366="",$Q367=1),($N$38*-1),0)+IF(IF(($K367-$N$48)&lt;1,0,IF(IF(INDEX($AD$176:$AD$905,($K367-$N$48))="",0,INDEX($AD$176:$AD$905,($K367-$N$48)))&gt;0,IF(INDEX($AD$176:$AD$905,($K367-$N$48))="",0,INDEX($AD$176:$AD$905,($K367-$N$48))),0))="",0,IF(($K367-$N$48)&lt;1,0,IF(IF(INDEX($AD$176:$AD$905,($K367-$N$48))="",0,INDEX($AD$176:$AD$905,($K367-$N$48)))&gt;0,IF(INDEX($AD$176:$AD$905,($K367-$N$48))="",0,INDEX($AD$176:$AD$905,($K367-$N$48))),0))))</f>
        <v/>
      </c>
      <c r="AC367" s="22" t="str">
        <f t="shared" si="78"/>
        <v/>
      </c>
      <c r="AD367" s="22" t="str">
        <f t="shared" si="89"/>
        <v/>
      </c>
      <c r="AE367" s="22" t="str" cm="1">
        <f t="array" ref="AE367">IF(($K367-$N$48)&lt;1,"",IF((IF(INDEX($AC$176:$AC$905,($K367-$N$48))="",0,INDEX($AC$176:$AC$905,($K367-$N$48))))=0,"",(IF(INDEX($AC$176:$AC$905,($K367-$N$48))="",0,INDEX($AC$176:$AC$905,($K367-$N$48))))))</f>
        <v/>
      </c>
      <c r="AF367" s="31" t="str">
        <f t="shared" si="79"/>
        <v/>
      </c>
      <c r="AG367" s="31" t="str">
        <f t="shared" si="80"/>
        <v/>
      </c>
      <c r="AH367" s="31" t="str">
        <f t="shared" si="81"/>
        <v/>
      </c>
      <c r="AI367" s="31" t="str">
        <f t="shared" si="82"/>
        <v/>
      </c>
      <c r="AJ367" s="303" t="str">
        <f t="shared" si="83"/>
        <v/>
      </c>
      <c r="AK367" s="139" t="str">
        <f t="shared" si="84"/>
        <v/>
      </c>
      <c r="AM367" s="319"/>
      <c r="AN367" s="40"/>
      <c r="AO367" s="1"/>
    </row>
    <row r="368" spans="7:41" x14ac:dyDescent="0.25">
      <c r="G368" s="235" t="str">
        <f t="shared" ref="G368:G396" si="91">IF(RIGHT(H368,2)=".N","NEW",IF(SUM(N368:R368)=0,"",LEFT(H368,5)))</f>
        <v/>
      </c>
      <c r="H368" s="4" t="str">
        <f t="shared" ref="H368:H397" si="92">IF(SUM(N368:R368)&gt;0,CONCATENATE(IF(LEN(ROUNDDOWN(S368,0))=1,CONCATENATE("0",ROUNDDOWN(S368,0)),ROUNDDOWN(S368,0)),".",IF(LEN(ROUND(MOD(S368,1)*100,0))=1,CONCATENATE("0",ROUND(MOD(S368,1)*100,0)),ROUND(MOD(S368,1)*100,0)),IF(N368&lt;&gt;"",".N",IF(O368&lt;&gt;"",".R",IF(P368&lt;&gt;"",".O",IF(Q368&lt;&gt;"",".I",IF(R368&lt;&gt;"",".D","")))))),"")</f>
        <v/>
      </c>
      <c r="I368" s="11" t="str">
        <f t="shared" ref="I368:I431" si="93">CONCATENATE(IF(LEN(ROUNDDOWN(S368,0))=1,CONCATENATE("0",ROUNDDOWN(S368,0)),ROUNDDOWN(S368,0)),".",IF(LEN(ROUND(MOD(S368,1)*100,0))=1,CONCATENATE("0",ROUND(MOD(S368,1)*100,0)),ROUND(MOD(S368,1)*100,0)),IF(N368&lt;&gt;"",".N.",IF(O368&lt;&gt;"",".R.",IF(P368&lt;&gt;"",".O.",IF(Q368&lt;&gt;"",".I.",IF(R368&lt;&gt;"",".D.",""))))),IF(N368&lt;&gt;"",N368,IF(O368&lt;&gt;"",O368,IF(P368&lt;&gt;"",P368,IF(Q368&lt;&gt;"",Q368,IF(R368&lt;&gt;"",IF(MOD(R368,$N$44)=0,$N$44,MOD(R368,$N$44)),""))))))</f>
        <v>09.00</v>
      </c>
      <c r="K368" s="30">
        <v>193</v>
      </c>
      <c r="L368" s="29">
        <f t="shared" si="85"/>
        <v>11371.908376190917</v>
      </c>
      <c r="M368" s="28" t="str">
        <f t="shared" ref="M368:M431" si="94">IFERROR(IF(IF($K368=1,(($M$23*-1)+($M$24*-1)),IF(ISNUMBER(W368),W368,0)+IF(ISNUMBER(X368),X368,0)+IF(ISNUMBER(AB368),AB368,0)+IF(ISNUMBER(AE368),AE368,0)+IF(ISNUMBER(AF368),AF368,0)+IF(ISNUMBER(AG368),AG368,0)+IF(ISNUMBER(AH368),AH368,0)+IF(ISNUMBER(AI368),AI368,0)+IF(ISNUMBER(AK368),AK368,0))=0,"",IF($K368=1,(($M$23*-1)+($M$24*-1)),IF(ISNUMBER(W368),W368,0)+IF(ISNUMBER(X368),X368,0)+IF(ISNUMBER(AB368),AB368,0)+IF(ISNUMBER(AE368),AE368,0)+IF(ISNUMBER(AF368),AF368,0)+IF(ISNUMBER(AG368),AG368,0)+IF(ISNUMBER(AH368),AH368,0)+IF(ISNUMBER(AI368),AI368,0)+IF(ISNUMBER(AK368),AK368,0))),"")</f>
        <v/>
      </c>
      <c r="N368" s="27" t="str">
        <f t="shared" si="86"/>
        <v/>
      </c>
      <c r="O368" s="26" t="str">
        <f>IF(AND($Q367=$O$38,IFERROR(LARGE($V$176:$V367,1)&lt;$N$42,TRUE)),1,IF(AND(ISNUMBER($O367),$O367&lt;$N$32),$O367+1,""))</f>
        <v/>
      </c>
      <c r="P368" s="26" t="str">
        <f t="shared" si="87"/>
        <v/>
      </c>
      <c r="Q368" s="26" t="str">
        <f t="shared" ref="Q368:Q431" si="95">IF($R367=($N$43*$N$44),1,IF(AND(ISNUMBER($Q367),$Q367&lt;$O$38),$Q367+1,""))</f>
        <v/>
      </c>
      <c r="R368" s="24" t="str">
        <f t="shared" si="88"/>
        <v/>
      </c>
      <c r="S368" s="180">
        <f t="shared" si="90"/>
        <v>9</v>
      </c>
      <c r="T368" s="151"/>
      <c r="U368" s="25" t="str">
        <f t="shared" ref="U368:U431" si="96">IF(ISNUMBER($R368),ROUNDUP($R368/$N$44,0),"")</f>
        <v/>
      </c>
      <c r="V368" s="24" t="str">
        <f>IF(AND(ISNUMBER(R367),ISNUMBER(R368)),V367,IF(AND(R367="",ISNUMBER(R368)),IFERROR(LARGE($V$176:$V367,1)+1,0),""))</f>
        <v/>
      </c>
      <c r="W368" s="23" t="str">
        <f t="shared" ref="W368:W431" si="97">IF($O368=1,($M$30*-1),"")</f>
        <v/>
      </c>
      <c r="X368" s="22" t="str">
        <f t="shared" ref="X368:X431" si="98">IF($K368=1,($M$24*-1),IF($O368=1,($M$31*-1),""))</f>
        <v/>
      </c>
      <c r="Y368" s="22"/>
      <c r="Z368" s="22"/>
      <c r="AA368" s="22"/>
      <c r="AB368" s="22" t="str" cm="1">
        <f t="array" ref="AB368">IF(IF(AND($P367="",$P368=1),($N$37*-1),0)+IF(AND($Q367="",$Q368=1),($N$38*-1),0)+IF(IF(($K368-$N$48)&lt;1,0,IF(IF(INDEX($AD$176:$AD$905,($K368-$N$48))="",0,INDEX($AD$176:$AD$905,($K368-$N$48)))&gt;0,IF(INDEX($AD$176:$AD$905,($K368-$N$48))="",0,INDEX($AD$176:$AD$905,($K368-$N$48))),0))="",0,IF(($K368-$N$48)&lt;1,0,IF(IF(INDEX($AD$176:$AD$905,($K368-$N$48))="",0,INDEX($AD$176:$AD$905,($K368-$N$48)))&gt;0,IF(INDEX($AD$176:$AD$905,($K368-$N$48))="",0,INDEX($AD$176:$AD$905,($K368-$N$48))),0)))=0,"",IF(AND($P367="",$P368=1),($N$37*-1),0)+IF(AND($Q367="",$Q368=1),($N$38*-1),0)+IF(IF(($K368-$N$48)&lt;1,0,IF(IF(INDEX($AD$176:$AD$905,($K368-$N$48))="",0,INDEX($AD$176:$AD$905,($K368-$N$48)))&gt;0,IF(INDEX($AD$176:$AD$905,($K368-$N$48))="",0,INDEX($AD$176:$AD$905,($K368-$N$48))),0))="",0,IF(($K368-$N$48)&lt;1,0,IF(IF(INDEX($AD$176:$AD$905,($K368-$N$48))="",0,INDEX($AD$176:$AD$905,($K368-$N$48)))&gt;0,IF(INDEX($AD$176:$AD$905,($K368-$N$48))="",0,INDEX($AD$176:$AD$905,($K368-$N$48))),0))))</f>
        <v/>
      </c>
      <c r="AC368" s="22" t="str">
        <f t="shared" ref="AC368:AC431" si="99">IF(IF(OR(AND(ISNUMBER($U368),IF(ISNUMBER($U369),$U369,0)-IF(ISNUMBER($U368),$U368,0)=1),AND(ISNUMBER($U368),$U369="")),VLOOKUP(IF($U368&gt;$L$63,$L$63,$U368),$L$52:$N$63,COLUMNS($L$52:$N$52),FALSE),0)=0,"",IF(OR(AND(ISNUMBER($U368),IF(ISNUMBER($U369),$U369,0)-IF(ISNUMBER($U368),$U368,0)=1),AND(ISNUMBER($U368),$U369="")),VLOOKUP(IF($U368&gt;$L$63,$L$63,$U368),$L$52:$N$63,COLUMNS($L$52:$N$52),FALSE),0))</f>
        <v/>
      </c>
      <c r="AD368" s="22" t="str">
        <f t="shared" si="89"/>
        <v/>
      </c>
      <c r="AE368" s="22" t="str" cm="1">
        <f t="array" ref="AE368">IF(($K368-$N$48)&lt;1,"",IF((IF(INDEX($AC$176:$AC$905,($K368-$N$48))="",0,INDEX($AC$176:$AC$905,($K368-$N$48))))=0,"",(IF(INDEX($AC$176:$AC$905,($K368-$N$48))="",0,INDEX($AC$176:$AC$905,($K368-$N$48))))))</f>
        <v/>
      </c>
      <c r="AF368" s="31" t="str">
        <f t="shared" ref="AF368:AF431" si="100">IF($O$67="Invoice",IF(AND(ISNUMBER($AC368),ISNUMBER($O$68)),$AC368*$O$68*-1,""),IF($O$67="Payment",IF(AND(ISNUMBER($AE368),ISNUMBER($O$68)),$AE368*$O$68*-1,""),""))</f>
        <v/>
      </c>
      <c r="AG368" s="31" t="str">
        <f t="shared" ref="AG368:AG431" si="101">IF($O$67="Invoice",IF(AND(ISNUMBER($AC368),ISNUMBER($O$69)),$AC368*$O$69*-1,""),IF($O$67="Payment",IF(AND(ISNUMBER($AE368),ISNUMBER($O$69)),$AE368*$O$69*-1,""),""))</f>
        <v/>
      </c>
      <c r="AH368" s="31" t="str">
        <f t="shared" ref="AH368:AH431" si="102">IF($O$67="Invoice",IF(AND(ISNUMBER($AC368),ISNUMBER($O$70)),$AC368*$O$70*-1,""),IF($O$67="Payment",IF(AND(ISNUMBER($AE368),ISNUMBER($O$70)),$AE368*$O$70*-1,""),""))</f>
        <v/>
      </c>
      <c r="AI368" s="31" t="str">
        <f t="shared" ref="AI368:AI431" si="103">IF($O$67="Invoice",IF(AND(ISNUMBER($AC368),ISNUMBER($O$71)),$AC368*$O$71*-1,""),IF($O$67="Payment",IF(AND(ISNUMBER($AE368),ISNUMBER($O$71)),$AE368*$O$71*-1,""),""))</f>
        <v/>
      </c>
      <c r="AJ368" s="303" t="str">
        <f t="shared" ref="AJ368:AJ431" si="104">IF($O$67="Invoice",IF(AND(ISNUMBER($AC368),ISNUMBER($O$72)),$AC368*$O$72*-1,""),IF($O$67="Payment",IF(AND(ISNUMBER($AE368),ISNUMBER($O$72)),$AE368*$O$72*-1,""),""))</f>
        <v/>
      </c>
      <c r="AK368" s="139" t="str">
        <f t="shared" ref="AK368:AK431" si="105">IF($O$67="Invoice",IF(AND(ISNUMBER($AC368),ISNUMBER($O$73)),$AC368*$O$73*-1,""),IF($O$67="Payment",IF(AND(ISNUMBER($AE368),ISNUMBER($O$73)),$AE368*$O$73*-1,""),""))</f>
        <v/>
      </c>
      <c r="AM368" s="319"/>
      <c r="AN368" s="40"/>
      <c r="AO368" s="1"/>
    </row>
    <row r="369" spans="7:41" x14ac:dyDescent="0.25">
      <c r="G369" s="235" t="str">
        <f t="shared" si="91"/>
        <v/>
      </c>
      <c r="H369" s="4" t="str">
        <f t="shared" si="92"/>
        <v/>
      </c>
      <c r="I369" s="11" t="str">
        <f t="shared" si="93"/>
        <v>09.00</v>
      </c>
      <c r="K369" s="30">
        <v>194</v>
      </c>
      <c r="L369" s="29">
        <f t="shared" ref="L369:L432" si="106">IF(ISNUMBER($M369),$M369+$L368,$L368)</f>
        <v>11371.908376190917</v>
      </c>
      <c r="M369" s="28" t="str">
        <f t="shared" si="94"/>
        <v/>
      </c>
      <c r="N369" s="27" t="str">
        <f t="shared" ref="N369:N432" si="107">IF($K368&lt;$N$25,$N368+1,"")</f>
        <v/>
      </c>
      <c r="O369" s="26" t="str">
        <f>IF(AND($Q368=$O$38,IFERROR(LARGE($V$176:$V368,1)&lt;$N$42,TRUE)),1,IF(AND(ISNUMBER($O368),$O368&lt;$N$32),$O368+1,""))</f>
        <v/>
      </c>
      <c r="P369" s="26" t="str">
        <f t="shared" ref="P369:P432" si="108">IF(OR($N368=$N$25,O368=$N$32),1,IF(AND($P368&lt;$O$37,P368&gt;0),P368+1,""))</f>
        <v/>
      </c>
      <c r="Q369" s="26" t="str">
        <f t="shared" si="95"/>
        <v/>
      </c>
      <c r="R369" s="24" t="str">
        <f t="shared" ref="R369:R432" si="109">IF(AND($P368=$O$37,$R368=""),1,IF($R368&lt;($N$43*$N$44),$R368+1,""))</f>
        <v/>
      </c>
      <c r="S369" s="180">
        <f t="shared" si="90"/>
        <v>9</v>
      </c>
      <c r="T369" s="151"/>
      <c r="U369" s="25" t="str">
        <f t="shared" si="96"/>
        <v/>
      </c>
      <c r="V369" s="24" t="str">
        <f>IF(AND(ISNUMBER(R368),ISNUMBER(R369)),V368,IF(AND(R368="",ISNUMBER(R369)),IFERROR(LARGE($V$176:$V368,1)+1,0),""))</f>
        <v/>
      </c>
      <c r="W369" s="23" t="str">
        <f t="shared" si="97"/>
        <v/>
      </c>
      <c r="X369" s="22" t="str">
        <f t="shared" si="98"/>
        <v/>
      </c>
      <c r="Y369" s="22"/>
      <c r="Z369" s="22"/>
      <c r="AA369" s="22"/>
      <c r="AB369" s="22" t="str" cm="1">
        <f t="array" ref="AB369">IF(IF(AND($P368="",$P369=1),($N$37*-1),0)+IF(AND($Q368="",$Q369=1),($N$38*-1),0)+IF(IF(($K369-$N$48)&lt;1,0,IF(IF(INDEX($AD$176:$AD$905,($K369-$N$48))="",0,INDEX($AD$176:$AD$905,($K369-$N$48)))&gt;0,IF(INDEX($AD$176:$AD$905,($K369-$N$48))="",0,INDEX($AD$176:$AD$905,($K369-$N$48))),0))="",0,IF(($K369-$N$48)&lt;1,0,IF(IF(INDEX($AD$176:$AD$905,($K369-$N$48))="",0,INDEX($AD$176:$AD$905,($K369-$N$48)))&gt;0,IF(INDEX($AD$176:$AD$905,($K369-$N$48))="",0,INDEX($AD$176:$AD$905,($K369-$N$48))),0)))=0,"",IF(AND($P368="",$P369=1),($N$37*-1),0)+IF(AND($Q368="",$Q369=1),($N$38*-1),0)+IF(IF(($K369-$N$48)&lt;1,0,IF(IF(INDEX($AD$176:$AD$905,($K369-$N$48))="",0,INDEX($AD$176:$AD$905,($K369-$N$48)))&gt;0,IF(INDEX($AD$176:$AD$905,($K369-$N$48))="",0,INDEX($AD$176:$AD$905,($K369-$N$48))),0))="",0,IF(($K369-$N$48)&lt;1,0,IF(IF(INDEX($AD$176:$AD$905,($K369-$N$48))="",0,INDEX($AD$176:$AD$905,($K369-$N$48)))&gt;0,IF(INDEX($AD$176:$AD$905,($K369-$N$48))="",0,INDEX($AD$176:$AD$905,($K369-$N$48))),0))))</f>
        <v/>
      </c>
      <c r="AC369" s="22" t="str">
        <f t="shared" si="99"/>
        <v/>
      </c>
      <c r="AD369" s="22" t="str">
        <f t="shared" si="89"/>
        <v/>
      </c>
      <c r="AE369" s="22" t="str" cm="1">
        <f t="array" ref="AE369">IF(($K369-$N$48)&lt;1,"",IF((IF(INDEX($AC$176:$AC$905,($K369-$N$48))="",0,INDEX($AC$176:$AC$905,($K369-$N$48))))=0,"",(IF(INDEX($AC$176:$AC$905,($K369-$N$48))="",0,INDEX($AC$176:$AC$905,($K369-$N$48))))))</f>
        <v/>
      </c>
      <c r="AF369" s="31" t="str">
        <f t="shared" si="100"/>
        <v/>
      </c>
      <c r="AG369" s="31" t="str">
        <f t="shared" si="101"/>
        <v/>
      </c>
      <c r="AH369" s="31" t="str">
        <f t="shared" si="102"/>
        <v/>
      </c>
      <c r="AI369" s="31" t="str">
        <f t="shared" si="103"/>
        <v/>
      </c>
      <c r="AJ369" s="303" t="str">
        <f t="shared" si="104"/>
        <v/>
      </c>
      <c r="AK369" s="139" t="str">
        <f t="shared" si="105"/>
        <v/>
      </c>
      <c r="AM369" s="319"/>
      <c r="AN369" s="40"/>
      <c r="AO369" s="1"/>
    </row>
    <row r="370" spans="7:41" x14ac:dyDescent="0.25">
      <c r="G370" s="235" t="str">
        <f t="shared" si="91"/>
        <v/>
      </c>
      <c r="H370" s="4" t="str">
        <f t="shared" si="92"/>
        <v/>
      </c>
      <c r="I370" s="11" t="str">
        <f t="shared" si="93"/>
        <v>09.00</v>
      </c>
      <c r="K370" s="30">
        <v>195</v>
      </c>
      <c r="L370" s="29">
        <f t="shared" si="106"/>
        <v>11371.908376190917</v>
      </c>
      <c r="M370" s="28" t="str">
        <f t="shared" si="94"/>
        <v/>
      </c>
      <c r="N370" s="27" t="str">
        <f t="shared" si="107"/>
        <v/>
      </c>
      <c r="O370" s="26" t="str">
        <f>IF(AND($Q369=$O$38,IFERROR(LARGE($V$176:$V369,1)&lt;$N$42,TRUE)),1,IF(AND(ISNUMBER($O369),$O369&lt;$N$32),$O369+1,""))</f>
        <v/>
      </c>
      <c r="P370" s="26" t="str">
        <f t="shared" si="108"/>
        <v/>
      </c>
      <c r="Q370" s="26" t="str">
        <f t="shared" si="95"/>
        <v/>
      </c>
      <c r="R370" s="24" t="str">
        <f t="shared" si="109"/>
        <v/>
      </c>
      <c r="S370" s="180">
        <f t="shared" si="90"/>
        <v>9</v>
      </c>
      <c r="T370" s="151"/>
      <c r="U370" s="25" t="str">
        <f t="shared" si="96"/>
        <v/>
      </c>
      <c r="V370" s="24" t="str">
        <f>IF(AND(ISNUMBER(R369),ISNUMBER(R370)),V369,IF(AND(R369="",ISNUMBER(R370)),IFERROR(LARGE($V$176:$V369,1)+1,0),""))</f>
        <v/>
      </c>
      <c r="W370" s="23" t="str">
        <f t="shared" si="97"/>
        <v/>
      </c>
      <c r="X370" s="22" t="str">
        <f t="shared" si="98"/>
        <v/>
      </c>
      <c r="Y370" s="22"/>
      <c r="Z370" s="22"/>
      <c r="AA370" s="22"/>
      <c r="AB370" s="22" t="str" cm="1">
        <f t="array" ref="AB370">IF(IF(AND($P369="",$P370=1),($N$37*-1),0)+IF(AND($Q369="",$Q370=1),($N$38*-1),0)+IF(IF(($K370-$N$48)&lt;1,0,IF(IF(INDEX($AD$176:$AD$905,($K370-$N$48))="",0,INDEX($AD$176:$AD$905,($K370-$N$48)))&gt;0,IF(INDEX($AD$176:$AD$905,($K370-$N$48))="",0,INDEX($AD$176:$AD$905,($K370-$N$48))),0))="",0,IF(($K370-$N$48)&lt;1,0,IF(IF(INDEX($AD$176:$AD$905,($K370-$N$48))="",0,INDEX($AD$176:$AD$905,($K370-$N$48)))&gt;0,IF(INDEX($AD$176:$AD$905,($K370-$N$48))="",0,INDEX($AD$176:$AD$905,($K370-$N$48))),0)))=0,"",IF(AND($P369="",$P370=1),($N$37*-1),0)+IF(AND($Q369="",$Q370=1),($N$38*-1),0)+IF(IF(($K370-$N$48)&lt;1,0,IF(IF(INDEX($AD$176:$AD$905,($K370-$N$48))="",0,INDEX($AD$176:$AD$905,($K370-$N$48)))&gt;0,IF(INDEX($AD$176:$AD$905,($K370-$N$48))="",0,INDEX($AD$176:$AD$905,($K370-$N$48))),0))="",0,IF(($K370-$N$48)&lt;1,0,IF(IF(INDEX($AD$176:$AD$905,($K370-$N$48))="",0,INDEX($AD$176:$AD$905,($K370-$N$48)))&gt;0,IF(INDEX($AD$176:$AD$905,($K370-$N$48))="",0,INDEX($AD$176:$AD$905,($K370-$N$48))),0))))</f>
        <v/>
      </c>
      <c r="AC370" s="22" t="str">
        <f t="shared" si="99"/>
        <v/>
      </c>
      <c r="AD370" s="22" t="str">
        <f t="shared" si="89"/>
        <v/>
      </c>
      <c r="AE370" s="22" t="str" cm="1">
        <f t="array" ref="AE370">IF(($K370-$N$48)&lt;1,"",IF((IF(INDEX($AC$176:$AC$905,($K370-$N$48))="",0,INDEX($AC$176:$AC$905,($K370-$N$48))))=0,"",(IF(INDEX($AC$176:$AC$905,($K370-$N$48))="",0,INDEX($AC$176:$AC$905,($K370-$N$48))))))</f>
        <v/>
      </c>
      <c r="AF370" s="31" t="str">
        <f t="shared" si="100"/>
        <v/>
      </c>
      <c r="AG370" s="31" t="str">
        <f t="shared" si="101"/>
        <v/>
      </c>
      <c r="AH370" s="31" t="str">
        <f t="shared" si="102"/>
        <v/>
      </c>
      <c r="AI370" s="31" t="str">
        <f t="shared" si="103"/>
        <v/>
      </c>
      <c r="AJ370" s="303" t="str">
        <f t="shared" si="104"/>
        <v/>
      </c>
      <c r="AK370" s="139" t="str">
        <f t="shared" si="105"/>
        <v/>
      </c>
      <c r="AM370" s="319"/>
      <c r="AN370" s="40"/>
      <c r="AO370" s="1"/>
    </row>
    <row r="371" spans="7:41" x14ac:dyDescent="0.25">
      <c r="G371" s="235" t="str">
        <f t="shared" si="91"/>
        <v/>
      </c>
      <c r="H371" s="4" t="str">
        <f t="shared" si="92"/>
        <v/>
      </c>
      <c r="I371" s="11" t="str">
        <f t="shared" si="93"/>
        <v>09.00</v>
      </c>
      <c r="K371" s="30">
        <v>196</v>
      </c>
      <c r="L371" s="29">
        <f t="shared" si="106"/>
        <v>11371.908376190917</v>
      </c>
      <c r="M371" s="28" t="str">
        <f t="shared" si="94"/>
        <v/>
      </c>
      <c r="N371" s="27" t="str">
        <f t="shared" si="107"/>
        <v/>
      </c>
      <c r="O371" s="26" t="str">
        <f>IF(AND($Q370=$O$38,IFERROR(LARGE($V$176:$V370,1)&lt;$N$42,TRUE)),1,IF(AND(ISNUMBER($O370),$O370&lt;$N$32),$O370+1,""))</f>
        <v/>
      </c>
      <c r="P371" s="26" t="str">
        <f t="shared" si="108"/>
        <v/>
      </c>
      <c r="Q371" s="26" t="str">
        <f t="shared" si="95"/>
        <v/>
      </c>
      <c r="R371" s="24" t="str">
        <f t="shared" si="109"/>
        <v/>
      </c>
      <c r="S371" s="180">
        <f t="shared" si="90"/>
        <v>9</v>
      </c>
      <c r="T371" s="151"/>
      <c r="U371" s="25" t="str">
        <f t="shared" si="96"/>
        <v/>
      </c>
      <c r="V371" s="24" t="str">
        <f>IF(AND(ISNUMBER(R370),ISNUMBER(R371)),V370,IF(AND(R370="",ISNUMBER(R371)),IFERROR(LARGE($V$176:$V370,1)+1,0),""))</f>
        <v/>
      </c>
      <c r="W371" s="23" t="str">
        <f t="shared" si="97"/>
        <v/>
      </c>
      <c r="X371" s="22" t="str">
        <f t="shared" si="98"/>
        <v/>
      </c>
      <c r="Y371" s="22"/>
      <c r="Z371" s="22"/>
      <c r="AA371" s="22"/>
      <c r="AB371" s="22" t="str" cm="1">
        <f t="array" ref="AB371">IF(IF(AND($P370="",$P371=1),($N$37*-1),0)+IF(AND($Q370="",$Q371=1),($N$38*-1),0)+IF(IF(($K371-$N$48)&lt;1,0,IF(IF(INDEX($AD$176:$AD$905,($K371-$N$48))="",0,INDEX($AD$176:$AD$905,($K371-$N$48)))&gt;0,IF(INDEX($AD$176:$AD$905,($K371-$N$48))="",0,INDEX($AD$176:$AD$905,($K371-$N$48))),0))="",0,IF(($K371-$N$48)&lt;1,0,IF(IF(INDEX($AD$176:$AD$905,($K371-$N$48))="",0,INDEX($AD$176:$AD$905,($K371-$N$48)))&gt;0,IF(INDEX($AD$176:$AD$905,($K371-$N$48))="",0,INDEX($AD$176:$AD$905,($K371-$N$48))),0)))=0,"",IF(AND($P370="",$P371=1),($N$37*-1),0)+IF(AND($Q370="",$Q371=1),($N$38*-1),0)+IF(IF(($K371-$N$48)&lt;1,0,IF(IF(INDEX($AD$176:$AD$905,($K371-$N$48))="",0,INDEX($AD$176:$AD$905,($K371-$N$48)))&gt;0,IF(INDEX($AD$176:$AD$905,($K371-$N$48))="",0,INDEX($AD$176:$AD$905,($K371-$N$48))),0))="",0,IF(($K371-$N$48)&lt;1,0,IF(IF(INDEX($AD$176:$AD$905,($K371-$N$48))="",0,INDEX($AD$176:$AD$905,($K371-$N$48)))&gt;0,IF(INDEX($AD$176:$AD$905,($K371-$N$48))="",0,INDEX($AD$176:$AD$905,($K371-$N$48))),0))))</f>
        <v/>
      </c>
      <c r="AC371" s="22" t="str">
        <f t="shared" si="99"/>
        <v/>
      </c>
      <c r="AD371" s="22" t="str">
        <f t="shared" si="89"/>
        <v/>
      </c>
      <c r="AE371" s="22" t="str" cm="1">
        <f t="array" ref="AE371">IF(($K371-$N$48)&lt;1,"",IF((IF(INDEX($AC$176:$AC$905,($K371-$N$48))="",0,INDEX($AC$176:$AC$905,($K371-$N$48))))=0,"",(IF(INDEX($AC$176:$AC$905,($K371-$N$48))="",0,INDEX($AC$176:$AC$905,($K371-$N$48))))))</f>
        <v/>
      </c>
      <c r="AF371" s="31" t="str">
        <f t="shared" si="100"/>
        <v/>
      </c>
      <c r="AG371" s="31" t="str">
        <f t="shared" si="101"/>
        <v/>
      </c>
      <c r="AH371" s="31" t="str">
        <f t="shared" si="102"/>
        <v/>
      </c>
      <c r="AI371" s="31" t="str">
        <f t="shared" si="103"/>
        <v/>
      </c>
      <c r="AJ371" s="303" t="str">
        <f t="shared" si="104"/>
        <v/>
      </c>
      <c r="AK371" s="139" t="str">
        <f t="shared" si="105"/>
        <v/>
      </c>
      <c r="AM371" s="319"/>
      <c r="AN371" s="40"/>
      <c r="AO371" s="1"/>
    </row>
    <row r="372" spans="7:41" x14ac:dyDescent="0.25">
      <c r="G372" s="235" t="str">
        <f t="shared" si="91"/>
        <v/>
      </c>
      <c r="H372" s="4" t="str">
        <f t="shared" si="92"/>
        <v/>
      </c>
      <c r="I372" s="11" t="str">
        <f t="shared" si="93"/>
        <v>09.00</v>
      </c>
      <c r="K372" s="30">
        <v>197</v>
      </c>
      <c r="L372" s="29">
        <f t="shared" si="106"/>
        <v>11371.908376190917</v>
      </c>
      <c r="M372" s="28" t="str">
        <f t="shared" si="94"/>
        <v/>
      </c>
      <c r="N372" s="27" t="str">
        <f t="shared" si="107"/>
        <v/>
      </c>
      <c r="O372" s="26" t="str">
        <f>IF(AND($Q371=$O$38,IFERROR(LARGE($V$176:$V371,1)&lt;$N$42,TRUE)),1,IF(AND(ISNUMBER($O371),$O371&lt;$N$32),$O371+1,""))</f>
        <v/>
      </c>
      <c r="P372" s="26" t="str">
        <f t="shared" si="108"/>
        <v/>
      </c>
      <c r="Q372" s="26" t="str">
        <f t="shared" si="95"/>
        <v/>
      </c>
      <c r="R372" s="24" t="str">
        <f t="shared" si="109"/>
        <v/>
      </c>
      <c r="S372" s="180">
        <f t="shared" si="90"/>
        <v>9</v>
      </c>
      <c r="T372" s="151"/>
      <c r="U372" s="25" t="str">
        <f t="shared" si="96"/>
        <v/>
      </c>
      <c r="V372" s="24" t="str">
        <f>IF(AND(ISNUMBER(R371),ISNUMBER(R372)),V371,IF(AND(R371="",ISNUMBER(R372)),IFERROR(LARGE($V$176:$V371,1)+1,0),""))</f>
        <v/>
      </c>
      <c r="W372" s="23" t="str">
        <f t="shared" si="97"/>
        <v/>
      </c>
      <c r="X372" s="22" t="str">
        <f t="shared" si="98"/>
        <v/>
      </c>
      <c r="Y372" s="22"/>
      <c r="Z372" s="22"/>
      <c r="AA372" s="22"/>
      <c r="AB372" s="22" t="str" cm="1">
        <f t="array" ref="AB372">IF(IF(AND($P371="",$P372=1),($N$37*-1),0)+IF(AND($Q371="",$Q372=1),($N$38*-1),0)+IF(IF(($K372-$N$48)&lt;1,0,IF(IF(INDEX($AD$176:$AD$905,($K372-$N$48))="",0,INDEX($AD$176:$AD$905,($K372-$N$48)))&gt;0,IF(INDEX($AD$176:$AD$905,($K372-$N$48))="",0,INDEX($AD$176:$AD$905,($K372-$N$48))),0))="",0,IF(($K372-$N$48)&lt;1,0,IF(IF(INDEX($AD$176:$AD$905,($K372-$N$48))="",0,INDEX($AD$176:$AD$905,($K372-$N$48)))&gt;0,IF(INDEX($AD$176:$AD$905,($K372-$N$48))="",0,INDEX($AD$176:$AD$905,($K372-$N$48))),0)))=0,"",IF(AND($P371="",$P372=1),($N$37*-1),0)+IF(AND($Q371="",$Q372=1),($N$38*-1),0)+IF(IF(($K372-$N$48)&lt;1,0,IF(IF(INDEX($AD$176:$AD$905,($K372-$N$48))="",0,INDEX($AD$176:$AD$905,($K372-$N$48)))&gt;0,IF(INDEX($AD$176:$AD$905,($K372-$N$48))="",0,INDEX($AD$176:$AD$905,($K372-$N$48))),0))="",0,IF(($K372-$N$48)&lt;1,0,IF(IF(INDEX($AD$176:$AD$905,($K372-$N$48))="",0,INDEX($AD$176:$AD$905,($K372-$N$48)))&gt;0,IF(INDEX($AD$176:$AD$905,($K372-$N$48))="",0,INDEX($AD$176:$AD$905,($K372-$N$48))),0))))</f>
        <v/>
      </c>
      <c r="AC372" s="22" t="str">
        <f t="shared" si="99"/>
        <v/>
      </c>
      <c r="AD372" s="22" t="str">
        <f t="shared" si="89"/>
        <v/>
      </c>
      <c r="AE372" s="22" t="str" cm="1">
        <f t="array" ref="AE372">IF(($K372-$N$48)&lt;1,"",IF((IF(INDEX($AC$176:$AC$905,($K372-$N$48))="",0,INDEX($AC$176:$AC$905,($K372-$N$48))))=0,"",(IF(INDEX($AC$176:$AC$905,($K372-$N$48))="",0,INDEX($AC$176:$AC$905,($K372-$N$48))))))</f>
        <v/>
      </c>
      <c r="AF372" s="31" t="str">
        <f t="shared" si="100"/>
        <v/>
      </c>
      <c r="AG372" s="31" t="str">
        <f t="shared" si="101"/>
        <v/>
      </c>
      <c r="AH372" s="31" t="str">
        <f t="shared" si="102"/>
        <v/>
      </c>
      <c r="AI372" s="31" t="str">
        <f t="shared" si="103"/>
        <v/>
      </c>
      <c r="AJ372" s="303" t="str">
        <f t="shared" si="104"/>
        <v/>
      </c>
      <c r="AK372" s="139" t="str">
        <f t="shared" si="105"/>
        <v/>
      </c>
      <c r="AM372" s="319"/>
      <c r="AN372" s="40"/>
      <c r="AO372" s="1"/>
    </row>
    <row r="373" spans="7:41" x14ac:dyDescent="0.25">
      <c r="G373" s="235" t="str">
        <f t="shared" si="91"/>
        <v/>
      </c>
      <c r="H373" s="4" t="str">
        <f t="shared" si="92"/>
        <v/>
      </c>
      <c r="I373" s="11" t="str">
        <f t="shared" si="93"/>
        <v>09.00</v>
      </c>
      <c r="K373" s="30">
        <v>198</v>
      </c>
      <c r="L373" s="29">
        <f t="shared" si="106"/>
        <v>11371.908376190917</v>
      </c>
      <c r="M373" s="28" t="str">
        <f t="shared" si="94"/>
        <v/>
      </c>
      <c r="N373" s="27" t="str">
        <f t="shared" si="107"/>
        <v/>
      </c>
      <c r="O373" s="26" t="str">
        <f>IF(AND($Q372=$O$38,IFERROR(LARGE($V$176:$V372,1)&lt;$N$42,TRUE)),1,IF(AND(ISNUMBER($O372),$O372&lt;$N$32),$O372+1,""))</f>
        <v/>
      </c>
      <c r="P373" s="26" t="str">
        <f t="shared" si="108"/>
        <v/>
      </c>
      <c r="Q373" s="26" t="str">
        <f t="shared" si="95"/>
        <v/>
      </c>
      <c r="R373" s="24" t="str">
        <f t="shared" si="109"/>
        <v/>
      </c>
      <c r="S373" s="180">
        <f t="shared" si="90"/>
        <v>9</v>
      </c>
      <c r="T373" s="151"/>
      <c r="U373" s="25" t="str">
        <f t="shared" si="96"/>
        <v/>
      </c>
      <c r="V373" s="24" t="str">
        <f>IF(AND(ISNUMBER(R372),ISNUMBER(R373)),V372,IF(AND(R372="",ISNUMBER(R373)),IFERROR(LARGE($V$176:$V372,1)+1,0),""))</f>
        <v/>
      </c>
      <c r="W373" s="23" t="str">
        <f t="shared" si="97"/>
        <v/>
      </c>
      <c r="X373" s="22" t="str">
        <f t="shared" si="98"/>
        <v/>
      </c>
      <c r="Y373" s="22"/>
      <c r="Z373" s="22"/>
      <c r="AA373" s="22"/>
      <c r="AB373" s="22" t="str" cm="1">
        <f t="array" ref="AB373">IF(IF(AND($P372="",$P373=1),($N$37*-1),0)+IF(AND($Q372="",$Q373=1),($N$38*-1),0)+IF(IF(($K373-$N$48)&lt;1,0,IF(IF(INDEX($AD$176:$AD$905,($K373-$N$48))="",0,INDEX($AD$176:$AD$905,($K373-$N$48)))&gt;0,IF(INDEX($AD$176:$AD$905,($K373-$N$48))="",0,INDEX($AD$176:$AD$905,($K373-$N$48))),0))="",0,IF(($K373-$N$48)&lt;1,0,IF(IF(INDEX($AD$176:$AD$905,($K373-$N$48))="",0,INDEX($AD$176:$AD$905,($K373-$N$48)))&gt;0,IF(INDEX($AD$176:$AD$905,($K373-$N$48))="",0,INDEX($AD$176:$AD$905,($K373-$N$48))),0)))=0,"",IF(AND($P372="",$P373=1),($N$37*-1),0)+IF(AND($Q372="",$Q373=1),($N$38*-1),0)+IF(IF(($K373-$N$48)&lt;1,0,IF(IF(INDEX($AD$176:$AD$905,($K373-$N$48))="",0,INDEX($AD$176:$AD$905,($K373-$N$48)))&gt;0,IF(INDEX($AD$176:$AD$905,($K373-$N$48))="",0,INDEX($AD$176:$AD$905,($K373-$N$48))),0))="",0,IF(($K373-$N$48)&lt;1,0,IF(IF(INDEX($AD$176:$AD$905,($K373-$N$48))="",0,INDEX($AD$176:$AD$905,($K373-$N$48)))&gt;0,IF(INDEX($AD$176:$AD$905,($K373-$N$48))="",0,INDEX($AD$176:$AD$905,($K373-$N$48))),0))))</f>
        <v/>
      </c>
      <c r="AC373" s="22" t="str">
        <f t="shared" si="99"/>
        <v/>
      </c>
      <c r="AD373" s="22" t="str">
        <f t="shared" si="89"/>
        <v/>
      </c>
      <c r="AE373" s="22" t="str" cm="1">
        <f t="array" ref="AE373">IF(($K373-$N$48)&lt;1,"",IF((IF(INDEX($AC$176:$AC$905,($K373-$N$48))="",0,INDEX($AC$176:$AC$905,($K373-$N$48))))=0,"",(IF(INDEX($AC$176:$AC$905,($K373-$N$48))="",0,INDEX($AC$176:$AC$905,($K373-$N$48))))))</f>
        <v/>
      </c>
      <c r="AF373" s="31" t="str">
        <f t="shared" si="100"/>
        <v/>
      </c>
      <c r="AG373" s="31" t="str">
        <f t="shared" si="101"/>
        <v/>
      </c>
      <c r="AH373" s="31" t="str">
        <f t="shared" si="102"/>
        <v/>
      </c>
      <c r="AI373" s="31" t="str">
        <f t="shared" si="103"/>
        <v/>
      </c>
      <c r="AJ373" s="303" t="str">
        <f t="shared" si="104"/>
        <v/>
      </c>
      <c r="AK373" s="139" t="str">
        <f t="shared" si="105"/>
        <v/>
      </c>
      <c r="AM373" s="319"/>
      <c r="AN373" s="40"/>
      <c r="AO373" s="1"/>
    </row>
    <row r="374" spans="7:41" x14ac:dyDescent="0.25">
      <c r="G374" s="235" t="str">
        <f t="shared" si="91"/>
        <v/>
      </c>
      <c r="H374" s="4" t="str">
        <f t="shared" si="92"/>
        <v/>
      </c>
      <c r="I374" s="11" t="str">
        <f t="shared" si="93"/>
        <v>09.00</v>
      </c>
      <c r="K374" s="30">
        <v>199</v>
      </c>
      <c r="L374" s="29">
        <f t="shared" si="106"/>
        <v>11371.908376190917</v>
      </c>
      <c r="M374" s="28" t="str">
        <f t="shared" si="94"/>
        <v/>
      </c>
      <c r="N374" s="27" t="str">
        <f t="shared" si="107"/>
        <v/>
      </c>
      <c r="O374" s="26" t="str">
        <f>IF(AND($Q373=$O$38,IFERROR(LARGE($V$176:$V373,1)&lt;$N$42,TRUE)),1,IF(AND(ISNUMBER($O373),$O373&lt;$N$32),$O373+1,""))</f>
        <v/>
      </c>
      <c r="P374" s="26" t="str">
        <f t="shared" si="108"/>
        <v/>
      </c>
      <c r="Q374" s="26" t="str">
        <f t="shared" si="95"/>
        <v/>
      </c>
      <c r="R374" s="24" t="str">
        <f t="shared" si="109"/>
        <v/>
      </c>
      <c r="S374" s="180">
        <f t="shared" si="90"/>
        <v>9</v>
      </c>
      <c r="T374" s="151"/>
      <c r="U374" s="25" t="str">
        <f t="shared" si="96"/>
        <v/>
      </c>
      <c r="V374" s="24" t="str">
        <f>IF(AND(ISNUMBER(R373),ISNUMBER(R374)),V373,IF(AND(R373="",ISNUMBER(R374)),IFERROR(LARGE($V$176:$V373,1)+1,0),""))</f>
        <v/>
      </c>
      <c r="W374" s="23" t="str">
        <f t="shared" si="97"/>
        <v/>
      </c>
      <c r="X374" s="22" t="str">
        <f t="shared" si="98"/>
        <v/>
      </c>
      <c r="Y374" s="22"/>
      <c r="Z374" s="22"/>
      <c r="AA374" s="22"/>
      <c r="AB374" s="22" t="str" cm="1">
        <f t="array" ref="AB374">IF(IF(AND($P373="",$P374=1),($N$37*-1),0)+IF(AND($Q373="",$Q374=1),($N$38*-1),0)+IF(IF(($K374-$N$48)&lt;1,0,IF(IF(INDEX($AD$176:$AD$905,($K374-$N$48))="",0,INDEX($AD$176:$AD$905,($K374-$N$48)))&gt;0,IF(INDEX($AD$176:$AD$905,($K374-$N$48))="",0,INDEX($AD$176:$AD$905,($K374-$N$48))),0))="",0,IF(($K374-$N$48)&lt;1,0,IF(IF(INDEX($AD$176:$AD$905,($K374-$N$48))="",0,INDEX($AD$176:$AD$905,($K374-$N$48)))&gt;0,IF(INDEX($AD$176:$AD$905,($K374-$N$48))="",0,INDEX($AD$176:$AD$905,($K374-$N$48))),0)))=0,"",IF(AND($P373="",$P374=1),($N$37*-1),0)+IF(AND($Q373="",$Q374=1),($N$38*-1),0)+IF(IF(($K374-$N$48)&lt;1,0,IF(IF(INDEX($AD$176:$AD$905,($K374-$N$48))="",0,INDEX($AD$176:$AD$905,($K374-$N$48)))&gt;0,IF(INDEX($AD$176:$AD$905,($K374-$N$48))="",0,INDEX($AD$176:$AD$905,($K374-$N$48))),0))="",0,IF(($K374-$N$48)&lt;1,0,IF(IF(INDEX($AD$176:$AD$905,($K374-$N$48))="",0,INDEX($AD$176:$AD$905,($K374-$N$48)))&gt;0,IF(INDEX($AD$176:$AD$905,($K374-$N$48))="",0,INDEX($AD$176:$AD$905,($K374-$N$48))),0))))</f>
        <v/>
      </c>
      <c r="AC374" s="22" t="str">
        <f t="shared" si="99"/>
        <v/>
      </c>
      <c r="AD374" s="22" t="str">
        <f t="shared" si="89"/>
        <v/>
      </c>
      <c r="AE374" s="22" t="str" cm="1">
        <f t="array" ref="AE374">IF(($K374-$N$48)&lt;1,"",IF((IF(INDEX($AC$176:$AC$905,($K374-$N$48))="",0,INDEX($AC$176:$AC$905,($K374-$N$48))))=0,"",(IF(INDEX($AC$176:$AC$905,($K374-$N$48))="",0,INDEX($AC$176:$AC$905,($K374-$N$48))))))</f>
        <v/>
      </c>
      <c r="AF374" s="31" t="str">
        <f t="shared" si="100"/>
        <v/>
      </c>
      <c r="AG374" s="31" t="str">
        <f t="shared" si="101"/>
        <v/>
      </c>
      <c r="AH374" s="31" t="str">
        <f t="shared" si="102"/>
        <v/>
      </c>
      <c r="AI374" s="31" t="str">
        <f t="shared" si="103"/>
        <v/>
      </c>
      <c r="AJ374" s="303" t="str">
        <f t="shared" si="104"/>
        <v/>
      </c>
      <c r="AK374" s="139" t="str">
        <f t="shared" si="105"/>
        <v/>
      </c>
      <c r="AM374" s="319"/>
      <c r="AN374" s="40"/>
      <c r="AO374" s="1"/>
    </row>
    <row r="375" spans="7:41" x14ac:dyDescent="0.25">
      <c r="G375" s="235" t="str">
        <f t="shared" si="91"/>
        <v/>
      </c>
      <c r="H375" s="4" t="str">
        <f t="shared" si="92"/>
        <v/>
      </c>
      <c r="I375" s="11" t="str">
        <f t="shared" si="93"/>
        <v>09.00</v>
      </c>
      <c r="K375" s="30">
        <v>200</v>
      </c>
      <c r="L375" s="29">
        <f t="shared" si="106"/>
        <v>11371.908376190917</v>
      </c>
      <c r="M375" s="28" t="str">
        <f t="shared" si="94"/>
        <v/>
      </c>
      <c r="N375" s="27" t="str">
        <f t="shared" si="107"/>
        <v/>
      </c>
      <c r="O375" s="26" t="str">
        <f>IF(AND($Q374=$O$38,IFERROR(LARGE($V$176:$V374,1)&lt;$N$42,TRUE)),1,IF(AND(ISNUMBER($O374),$O374&lt;$N$32),$O374+1,""))</f>
        <v/>
      </c>
      <c r="P375" s="26" t="str">
        <f t="shared" si="108"/>
        <v/>
      </c>
      <c r="Q375" s="26" t="str">
        <f t="shared" si="95"/>
        <v/>
      </c>
      <c r="R375" s="24" t="str">
        <f t="shared" si="109"/>
        <v/>
      </c>
      <c r="S375" s="180">
        <f t="shared" si="90"/>
        <v>9</v>
      </c>
      <c r="T375" s="151"/>
      <c r="U375" s="25" t="str">
        <f t="shared" si="96"/>
        <v/>
      </c>
      <c r="V375" s="24" t="str">
        <f>IF(AND(ISNUMBER(R374),ISNUMBER(R375)),V374,IF(AND(R374="",ISNUMBER(R375)),IFERROR(LARGE($V$176:$V374,1)+1,0),""))</f>
        <v/>
      </c>
      <c r="W375" s="23" t="str">
        <f t="shared" si="97"/>
        <v/>
      </c>
      <c r="X375" s="22" t="str">
        <f t="shared" si="98"/>
        <v/>
      </c>
      <c r="Y375" s="22"/>
      <c r="Z375" s="22"/>
      <c r="AA375" s="22"/>
      <c r="AB375" s="22" t="str" cm="1">
        <f t="array" ref="AB375">IF(IF(AND($P374="",$P375=1),($N$37*-1),0)+IF(AND($Q374="",$Q375=1),($N$38*-1),0)+IF(IF(($K375-$N$48)&lt;1,0,IF(IF(INDEX($AD$176:$AD$905,($K375-$N$48))="",0,INDEX($AD$176:$AD$905,($K375-$N$48)))&gt;0,IF(INDEX($AD$176:$AD$905,($K375-$N$48))="",0,INDEX($AD$176:$AD$905,($K375-$N$48))),0))="",0,IF(($K375-$N$48)&lt;1,0,IF(IF(INDEX($AD$176:$AD$905,($K375-$N$48))="",0,INDEX($AD$176:$AD$905,($K375-$N$48)))&gt;0,IF(INDEX($AD$176:$AD$905,($K375-$N$48))="",0,INDEX($AD$176:$AD$905,($K375-$N$48))),0)))=0,"",IF(AND($P374="",$P375=1),($N$37*-1),0)+IF(AND($Q374="",$Q375=1),($N$38*-1),0)+IF(IF(($K375-$N$48)&lt;1,0,IF(IF(INDEX($AD$176:$AD$905,($K375-$N$48))="",0,INDEX($AD$176:$AD$905,($K375-$N$48)))&gt;0,IF(INDEX($AD$176:$AD$905,($K375-$N$48))="",0,INDEX($AD$176:$AD$905,($K375-$N$48))),0))="",0,IF(($K375-$N$48)&lt;1,0,IF(IF(INDEX($AD$176:$AD$905,($K375-$N$48))="",0,INDEX($AD$176:$AD$905,($K375-$N$48)))&gt;0,IF(INDEX($AD$176:$AD$905,($K375-$N$48))="",0,INDEX($AD$176:$AD$905,($K375-$N$48))),0))))</f>
        <v/>
      </c>
      <c r="AC375" s="22" t="str">
        <f t="shared" si="99"/>
        <v/>
      </c>
      <c r="AD375" s="22" t="str">
        <f t="shared" si="89"/>
        <v/>
      </c>
      <c r="AE375" s="22" t="str" cm="1">
        <f t="array" ref="AE375">IF(($K375-$N$48)&lt;1,"",IF((IF(INDEX($AC$176:$AC$905,($K375-$N$48))="",0,INDEX($AC$176:$AC$905,($K375-$N$48))))=0,"",(IF(INDEX($AC$176:$AC$905,($K375-$N$48))="",0,INDEX($AC$176:$AC$905,($K375-$N$48))))))</f>
        <v/>
      </c>
      <c r="AF375" s="31" t="str">
        <f t="shared" si="100"/>
        <v/>
      </c>
      <c r="AG375" s="31" t="str">
        <f t="shared" si="101"/>
        <v/>
      </c>
      <c r="AH375" s="31" t="str">
        <f t="shared" si="102"/>
        <v/>
      </c>
      <c r="AI375" s="31" t="str">
        <f t="shared" si="103"/>
        <v/>
      </c>
      <c r="AJ375" s="303" t="str">
        <f t="shared" si="104"/>
        <v/>
      </c>
      <c r="AK375" s="139" t="str">
        <f t="shared" si="105"/>
        <v/>
      </c>
      <c r="AM375" s="319"/>
      <c r="AN375" s="40"/>
      <c r="AO375" s="1"/>
    </row>
    <row r="376" spans="7:41" x14ac:dyDescent="0.25">
      <c r="G376" s="235" t="str">
        <f t="shared" si="91"/>
        <v/>
      </c>
      <c r="H376" s="4" t="str">
        <f t="shared" si="92"/>
        <v/>
      </c>
      <c r="I376" s="11" t="str">
        <f t="shared" si="93"/>
        <v>09.00</v>
      </c>
      <c r="K376" s="30">
        <v>201</v>
      </c>
      <c r="L376" s="29">
        <f t="shared" si="106"/>
        <v>11371.908376190917</v>
      </c>
      <c r="M376" s="28" t="str">
        <f t="shared" si="94"/>
        <v/>
      </c>
      <c r="N376" s="27" t="str">
        <f t="shared" si="107"/>
        <v/>
      </c>
      <c r="O376" s="26" t="str">
        <f>IF(AND($Q375=$O$38,IFERROR(LARGE($V$176:$V375,1)&lt;$N$42,TRUE)),1,IF(AND(ISNUMBER($O375),$O375&lt;$N$32),$O375+1,""))</f>
        <v/>
      </c>
      <c r="P376" s="26" t="str">
        <f t="shared" si="108"/>
        <v/>
      </c>
      <c r="Q376" s="26" t="str">
        <f t="shared" si="95"/>
        <v/>
      </c>
      <c r="R376" s="24" t="str">
        <f t="shared" si="109"/>
        <v/>
      </c>
      <c r="S376" s="180">
        <f t="shared" si="90"/>
        <v>9</v>
      </c>
      <c r="T376" s="151"/>
      <c r="U376" s="25" t="str">
        <f t="shared" si="96"/>
        <v/>
      </c>
      <c r="V376" s="24" t="str">
        <f>IF(AND(ISNUMBER(R375),ISNUMBER(R376)),V375,IF(AND(R375="",ISNUMBER(R376)),IFERROR(LARGE($V$176:$V375,1)+1,0),""))</f>
        <v/>
      </c>
      <c r="W376" s="23" t="str">
        <f t="shared" si="97"/>
        <v/>
      </c>
      <c r="X376" s="22" t="str">
        <f t="shared" si="98"/>
        <v/>
      </c>
      <c r="Y376" s="22"/>
      <c r="Z376" s="22"/>
      <c r="AA376" s="22"/>
      <c r="AB376" s="22" t="str" cm="1">
        <f t="array" ref="AB376">IF(IF(AND($P375="",$P376=1),($N$37*-1),0)+IF(AND($Q375="",$Q376=1),($N$38*-1),0)+IF(IF(($K376-$N$48)&lt;1,0,IF(IF(INDEX($AD$176:$AD$905,($K376-$N$48))="",0,INDEX($AD$176:$AD$905,($K376-$N$48)))&gt;0,IF(INDEX($AD$176:$AD$905,($K376-$N$48))="",0,INDEX($AD$176:$AD$905,($K376-$N$48))),0))="",0,IF(($K376-$N$48)&lt;1,0,IF(IF(INDEX($AD$176:$AD$905,($K376-$N$48))="",0,INDEX($AD$176:$AD$905,($K376-$N$48)))&gt;0,IF(INDEX($AD$176:$AD$905,($K376-$N$48))="",0,INDEX($AD$176:$AD$905,($K376-$N$48))),0)))=0,"",IF(AND($P375="",$P376=1),($N$37*-1),0)+IF(AND($Q375="",$Q376=1),($N$38*-1),0)+IF(IF(($K376-$N$48)&lt;1,0,IF(IF(INDEX($AD$176:$AD$905,($K376-$N$48))="",0,INDEX($AD$176:$AD$905,($K376-$N$48)))&gt;0,IF(INDEX($AD$176:$AD$905,($K376-$N$48))="",0,INDEX($AD$176:$AD$905,($K376-$N$48))),0))="",0,IF(($K376-$N$48)&lt;1,0,IF(IF(INDEX($AD$176:$AD$905,($K376-$N$48))="",0,INDEX($AD$176:$AD$905,($K376-$N$48)))&gt;0,IF(INDEX($AD$176:$AD$905,($K376-$N$48))="",0,INDEX($AD$176:$AD$905,($K376-$N$48))),0))))</f>
        <v/>
      </c>
      <c r="AC376" s="22" t="str">
        <f t="shared" si="99"/>
        <v/>
      </c>
      <c r="AD376" s="22" t="str">
        <f t="shared" si="89"/>
        <v/>
      </c>
      <c r="AE376" s="22" t="str" cm="1">
        <f t="array" ref="AE376">IF(($K376-$N$48)&lt;1,"",IF((IF(INDEX($AC$176:$AC$905,($K376-$N$48))="",0,INDEX($AC$176:$AC$905,($K376-$N$48))))=0,"",(IF(INDEX($AC$176:$AC$905,($K376-$N$48))="",0,INDEX($AC$176:$AC$905,($K376-$N$48))))))</f>
        <v/>
      </c>
      <c r="AF376" s="31" t="str">
        <f t="shared" si="100"/>
        <v/>
      </c>
      <c r="AG376" s="31" t="str">
        <f t="shared" si="101"/>
        <v/>
      </c>
      <c r="AH376" s="31" t="str">
        <f t="shared" si="102"/>
        <v/>
      </c>
      <c r="AI376" s="31" t="str">
        <f t="shared" si="103"/>
        <v/>
      </c>
      <c r="AJ376" s="303" t="str">
        <f t="shared" si="104"/>
        <v/>
      </c>
      <c r="AK376" s="139" t="str">
        <f t="shared" si="105"/>
        <v/>
      </c>
      <c r="AM376" s="319"/>
      <c r="AN376" s="40"/>
      <c r="AO376" s="1"/>
    </row>
    <row r="377" spans="7:41" x14ac:dyDescent="0.25">
      <c r="G377" s="235" t="str">
        <f t="shared" si="91"/>
        <v/>
      </c>
      <c r="H377" s="4" t="str">
        <f t="shared" si="92"/>
        <v/>
      </c>
      <c r="I377" s="11" t="str">
        <f t="shared" si="93"/>
        <v>09.00</v>
      </c>
      <c r="K377" s="30">
        <v>202</v>
      </c>
      <c r="L377" s="29">
        <f t="shared" si="106"/>
        <v>11371.908376190917</v>
      </c>
      <c r="M377" s="28" t="str">
        <f t="shared" si="94"/>
        <v/>
      </c>
      <c r="N377" s="27" t="str">
        <f t="shared" si="107"/>
        <v/>
      </c>
      <c r="O377" s="26" t="str">
        <f>IF(AND($Q376=$O$38,IFERROR(LARGE($V$176:$V376,1)&lt;$N$42,TRUE)),1,IF(AND(ISNUMBER($O376),$O376&lt;$N$32),$O376+1,""))</f>
        <v/>
      </c>
      <c r="P377" s="26" t="str">
        <f t="shared" si="108"/>
        <v/>
      </c>
      <c r="Q377" s="26" t="str">
        <f t="shared" si="95"/>
        <v/>
      </c>
      <c r="R377" s="24" t="str">
        <f t="shared" si="109"/>
        <v/>
      </c>
      <c r="S377" s="180">
        <f t="shared" si="90"/>
        <v>9</v>
      </c>
      <c r="T377" s="151"/>
      <c r="U377" s="25" t="str">
        <f t="shared" si="96"/>
        <v/>
      </c>
      <c r="V377" s="24" t="str">
        <f>IF(AND(ISNUMBER(R376),ISNUMBER(R377)),V376,IF(AND(R376="",ISNUMBER(R377)),IFERROR(LARGE($V$176:$V376,1)+1,0),""))</f>
        <v/>
      </c>
      <c r="W377" s="23" t="str">
        <f t="shared" si="97"/>
        <v/>
      </c>
      <c r="X377" s="22" t="str">
        <f t="shared" si="98"/>
        <v/>
      </c>
      <c r="Y377" s="22"/>
      <c r="Z377" s="22"/>
      <c r="AA377" s="22"/>
      <c r="AB377" s="22" t="str" cm="1">
        <f t="array" ref="AB377">IF(IF(AND($P376="",$P377=1),($N$37*-1),0)+IF(AND($Q376="",$Q377=1),($N$38*-1),0)+IF(IF(($K377-$N$48)&lt;1,0,IF(IF(INDEX($AD$176:$AD$905,($K377-$N$48))="",0,INDEX($AD$176:$AD$905,($K377-$N$48)))&gt;0,IF(INDEX($AD$176:$AD$905,($K377-$N$48))="",0,INDEX($AD$176:$AD$905,($K377-$N$48))),0))="",0,IF(($K377-$N$48)&lt;1,0,IF(IF(INDEX($AD$176:$AD$905,($K377-$N$48))="",0,INDEX($AD$176:$AD$905,($K377-$N$48)))&gt;0,IF(INDEX($AD$176:$AD$905,($K377-$N$48))="",0,INDEX($AD$176:$AD$905,($K377-$N$48))),0)))=0,"",IF(AND($P376="",$P377=1),($N$37*-1),0)+IF(AND($Q376="",$Q377=1),($N$38*-1),0)+IF(IF(($K377-$N$48)&lt;1,0,IF(IF(INDEX($AD$176:$AD$905,($K377-$N$48))="",0,INDEX($AD$176:$AD$905,($K377-$N$48)))&gt;0,IF(INDEX($AD$176:$AD$905,($K377-$N$48))="",0,INDEX($AD$176:$AD$905,($K377-$N$48))),0))="",0,IF(($K377-$N$48)&lt;1,0,IF(IF(INDEX($AD$176:$AD$905,($K377-$N$48))="",0,INDEX($AD$176:$AD$905,($K377-$N$48)))&gt;0,IF(INDEX($AD$176:$AD$905,($K377-$N$48))="",0,INDEX($AD$176:$AD$905,($K377-$N$48))),0))))</f>
        <v/>
      </c>
      <c r="AC377" s="22" t="str">
        <f t="shared" si="99"/>
        <v/>
      </c>
      <c r="AD377" s="22" t="str">
        <f t="shared" si="89"/>
        <v/>
      </c>
      <c r="AE377" s="22" t="str" cm="1">
        <f t="array" ref="AE377">IF(($K377-$N$48)&lt;1,"",IF((IF(INDEX($AC$176:$AC$905,($K377-$N$48))="",0,INDEX($AC$176:$AC$905,($K377-$N$48))))=0,"",(IF(INDEX($AC$176:$AC$905,($K377-$N$48))="",0,INDEX($AC$176:$AC$905,($K377-$N$48))))))</f>
        <v/>
      </c>
      <c r="AF377" s="31" t="str">
        <f t="shared" si="100"/>
        <v/>
      </c>
      <c r="AG377" s="31" t="str">
        <f t="shared" si="101"/>
        <v/>
      </c>
      <c r="AH377" s="31" t="str">
        <f t="shared" si="102"/>
        <v/>
      </c>
      <c r="AI377" s="31" t="str">
        <f t="shared" si="103"/>
        <v/>
      </c>
      <c r="AJ377" s="303" t="str">
        <f t="shared" si="104"/>
        <v/>
      </c>
      <c r="AK377" s="139" t="str">
        <f t="shared" si="105"/>
        <v/>
      </c>
      <c r="AM377" s="319"/>
      <c r="AN377" s="40"/>
      <c r="AO377" s="1"/>
    </row>
    <row r="378" spans="7:41" x14ac:dyDescent="0.25">
      <c r="G378" s="235" t="str">
        <f t="shared" si="91"/>
        <v/>
      </c>
      <c r="H378" s="4" t="str">
        <f t="shared" si="92"/>
        <v/>
      </c>
      <c r="I378" s="11" t="str">
        <f t="shared" si="93"/>
        <v>09.00</v>
      </c>
      <c r="K378" s="30">
        <v>203</v>
      </c>
      <c r="L378" s="29">
        <f t="shared" si="106"/>
        <v>11371.908376190917</v>
      </c>
      <c r="M378" s="28" t="str">
        <f t="shared" si="94"/>
        <v/>
      </c>
      <c r="N378" s="27" t="str">
        <f t="shared" si="107"/>
        <v/>
      </c>
      <c r="O378" s="26" t="str">
        <f>IF(AND($Q377=$O$38,IFERROR(LARGE($V$176:$V377,1)&lt;$N$42,TRUE)),1,IF(AND(ISNUMBER($O377),$O377&lt;$N$32),$O377+1,""))</f>
        <v/>
      </c>
      <c r="P378" s="26" t="str">
        <f t="shared" si="108"/>
        <v/>
      </c>
      <c r="Q378" s="26" t="str">
        <f t="shared" si="95"/>
        <v/>
      </c>
      <c r="R378" s="24" t="str">
        <f t="shared" si="109"/>
        <v/>
      </c>
      <c r="S378" s="180">
        <f t="shared" si="90"/>
        <v>9</v>
      </c>
      <c r="T378" s="151"/>
      <c r="U378" s="25" t="str">
        <f t="shared" si="96"/>
        <v/>
      </c>
      <c r="V378" s="24" t="str">
        <f>IF(AND(ISNUMBER(R377),ISNUMBER(R378)),V377,IF(AND(R377="",ISNUMBER(R378)),IFERROR(LARGE($V$176:$V377,1)+1,0),""))</f>
        <v/>
      </c>
      <c r="W378" s="23" t="str">
        <f t="shared" si="97"/>
        <v/>
      </c>
      <c r="X378" s="22" t="str">
        <f t="shared" si="98"/>
        <v/>
      </c>
      <c r="Y378" s="22"/>
      <c r="Z378" s="22"/>
      <c r="AA378" s="22"/>
      <c r="AB378" s="22" t="str" cm="1">
        <f t="array" ref="AB378">IF(IF(AND($P377="",$P378=1),($N$37*-1),0)+IF(AND($Q377="",$Q378=1),($N$38*-1),0)+IF(IF(($K378-$N$48)&lt;1,0,IF(IF(INDEX($AD$176:$AD$905,($K378-$N$48))="",0,INDEX($AD$176:$AD$905,($K378-$N$48)))&gt;0,IF(INDEX($AD$176:$AD$905,($K378-$N$48))="",0,INDEX($AD$176:$AD$905,($K378-$N$48))),0))="",0,IF(($K378-$N$48)&lt;1,0,IF(IF(INDEX($AD$176:$AD$905,($K378-$N$48))="",0,INDEX($AD$176:$AD$905,($K378-$N$48)))&gt;0,IF(INDEX($AD$176:$AD$905,($K378-$N$48))="",0,INDEX($AD$176:$AD$905,($K378-$N$48))),0)))=0,"",IF(AND($P377="",$P378=1),($N$37*-1),0)+IF(AND($Q377="",$Q378=1),($N$38*-1),0)+IF(IF(($K378-$N$48)&lt;1,0,IF(IF(INDEX($AD$176:$AD$905,($K378-$N$48))="",0,INDEX($AD$176:$AD$905,($K378-$N$48)))&gt;0,IF(INDEX($AD$176:$AD$905,($K378-$N$48))="",0,INDEX($AD$176:$AD$905,($K378-$N$48))),0))="",0,IF(($K378-$N$48)&lt;1,0,IF(IF(INDEX($AD$176:$AD$905,($K378-$N$48))="",0,INDEX($AD$176:$AD$905,($K378-$N$48)))&gt;0,IF(INDEX($AD$176:$AD$905,($K378-$N$48))="",0,INDEX($AD$176:$AD$905,($K378-$N$48))),0))))</f>
        <v/>
      </c>
      <c r="AC378" s="22" t="str">
        <f t="shared" si="99"/>
        <v/>
      </c>
      <c r="AD378" s="22" t="str">
        <f t="shared" si="89"/>
        <v/>
      </c>
      <c r="AE378" s="22" t="str" cm="1">
        <f t="array" ref="AE378">IF(($K378-$N$48)&lt;1,"",IF((IF(INDEX($AC$176:$AC$905,($K378-$N$48))="",0,INDEX($AC$176:$AC$905,($K378-$N$48))))=0,"",(IF(INDEX($AC$176:$AC$905,($K378-$N$48))="",0,INDEX($AC$176:$AC$905,($K378-$N$48))))))</f>
        <v/>
      </c>
      <c r="AF378" s="31" t="str">
        <f t="shared" si="100"/>
        <v/>
      </c>
      <c r="AG378" s="31" t="str">
        <f t="shared" si="101"/>
        <v/>
      </c>
      <c r="AH378" s="31" t="str">
        <f t="shared" si="102"/>
        <v/>
      </c>
      <c r="AI378" s="31" t="str">
        <f t="shared" si="103"/>
        <v/>
      </c>
      <c r="AJ378" s="303" t="str">
        <f t="shared" si="104"/>
        <v/>
      </c>
      <c r="AK378" s="139" t="str">
        <f t="shared" si="105"/>
        <v/>
      </c>
      <c r="AM378" s="319"/>
      <c r="AN378" s="40"/>
      <c r="AO378" s="1"/>
    </row>
    <row r="379" spans="7:41" x14ac:dyDescent="0.25">
      <c r="G379" s="235" t="str">
        <f t="shared" si="91"/>
        <v/>
      </c>
      <c r="H379" s="4" t="str">
        <f t="shared" si="92"/>
        <v/>
      </c>
      <c r="I379" s="11" t="str">
        <f t="shared" si="93"/>
        <v>09.00</v>
      </c>
      <c r="K379" s="30">
        <v>204</v>
      </c>
      <c r="L379" s="29">
        <f t="shared" si="106"/>
        <v>11371.908376190917</v>
      </c>
      <c r="M379" s="28" t="str">
        <f t="shared" si="94"/>
        <v/>
      </c>
      <c r="N379" s="27" t="str">
        <f t="shared" si="107"/>
        <v/>
      </c>
      <c r="O379" s="26" t="str">
        <f>IF(AND($Q378=$O$38,IFERROR(LARGE($V$176:$V378,1)&lt;$N$42,TRUE)),1,IF(AND(ISNUMBER($O378),$O378&lt;$N$32),$O378+1,""))</f>
        <v/>
      </c>
      <c r="P379" s="26" t="str">
        <f t="shared" si="108"/>
        <v/>
      </c>
      <c r="Q379" s="26" t="str">
        <f t="shared" si="95"/>
        <v/>
      </c>
      <c r="R379" s="24" t="str">
        <f t="shared" si="109"/>
        <v/>
      </c>
      <c r="S379" s="180">
        <f>IF($Q379=1,ROUNDDOWN($S378,0)+1,IF($R379=1,$S378+0.01,IF(ISNUMBER($U379),IF(AND($U379&gt;1,($U379-$U378)=1),$S378+0.01,$S378),$S378)))</f>
        <v>9</v>
      </c>
      <c r="T379" s="151"/>
      <c r="U379" s="25" t="str">
        <f t="shared" si="96"/>
        <v/>
      </c>
      <c r="V379" s="24" t="str">
        <f>IF(AND(ISNUMBER(R378),ISNUMBER(R379)),V378,IF(AND(R378="",ISNUMBER(R379)),IFERROR(LARGE($V$176:$V378,1)+1,0),""))</f>
        <v/>
      </c>
      <c r="W379" s="23" t="str">
        <f t="shared" si="97"/>
        <v/>
      </c>
      <c r="X379" s="22" t="str">
        <f t="shared" si="98"/>
        <v/>
      </c>
      <c r="Y379" s="22"/>
      <c r="Z379" s="22"/>
      <c r="AA379" s="22"/>
      <c r="AB379" s="22" t="str" cm="1">
        <f t="array" ref="AB379">IF(IF(AND($P378="",$P379=1),($N$37*-1),0)+IF(AND($Q378="",$Q379=1),($N$38*-1),0)+IF(IF(($K379-$N$48)&lt;1,0,IF(IF(INDEX($AD$176:$AD$905,($K379-$N$48))="",0,INDEX($AD$176:$AD$905,($K379-$N$48)))&gt;0,IF(INDEX($AD$176:$AD$905,($K379-$N$48))="",0,INDEX($AD$176:$AD$905,($K379-$N$48))),0))="",0,IF(($K379-$N$48)&lt;1,0,IF(IF(INDEX($AD$176:$AD$905,($K379-$N$48))="",0,INDEX($AD$176:$AD$905,($K379-$N$48)))&gt;0,IF(INDEX($AD$176:$AD$905,($K379-$N$48))="",0,INDEX($AD$176:$AD$905,($K379-$N$48))),0)))=0,"",IF(AND($P378="",$P379=1),($N$37*-1),0)+IF(AND($Q378="",$Q379=1),($N$38*-1),0)+IF(IF(($K379-$N$48)&lt;1,0,IF(IF(INDEX($AD$176:$AD$905,($K379-$N$48))="",0,INDEX($AD$176:$AD$905,($K379-$N$48)))&gt;0,IF(INDEX($AD$176:$AD$905,($K379-$N$48))="",0,INDEX($AD$176:$AD$905,($K379-$N$48))),0))="",0,IF(($K379-$N$48)&lt;1,0,IF(IF(INDEX($AD$176:$AD$905,($K379-$N$48))="",0,INDEX($AD$176:$AD$905,($K379-$N$48)))&gt;0,IF(INDEX($AD$176:$AD$905,($K379-$N$48))="",0,INDEX($AD$176:$AD$905,($K379-$N$48))),0))))</f>
        <v/>
      </c>
      <c r="AC379" s="22" t="str">
        <f t="shared" si="99"/>
        <v/>
      </c>
      <c r="AD379" s="22" t="str">
        <f t="shared" si="89"/>
        <v/>
      </c>
      <c r="AE379" s="22" t="str" cm="1">
        <f t="array" ref="AE379">IF(($K379-$N$48)&lt;1,"",IF((IF(INDEX($AC$176:$AC$905,($K379-$N$48))="",0,INDEX($AC$176:$AC$905,($K379-$N$48))))=0,"",(IF(INDEX($AC$176:$AC$905,($K379-$N$48))="",0,INDEX($AC$176:$AC$905,($K379-$N$48))))))</f>
        <v/>
      </c>
      <c r="AF379" s="31" t="str">
        <f t="shared" si="100"/>
        <v/>
      </c>
      <c r="AG379" s="31" t="str">
        <f t="shared" si="101"/>
        <v/>
      </c>
      <c r="AH379" s="31" t="str">
        <f t="shared" si="102"/>
        <v/>
      </c>
      <c r="AI379" s="31" t="str">
        <f t="shared" si="103"/>
        <v/>
      </c>
      <c r="AJ379" s="303" t="str">
        <f t="shared" si="104"/>
        <v/>
      </c>
      <c r="AK379" s="139" t="str">
        <f t="shared" si="105"/>
        <v/>
      </c>
      <c r="AM379" s="319"/>
      <c r="AN379" s="40"/>
      <c r="AO379" s="1"/>
    </row>
    <row r="380" spans="7:41" x14ac:dyDescent="0.25">
      <c r="G380" s="235" t="str">
        <f t="shared" si="91"/>
        <v/>
      </c>
      <c r="H380" s="4" t="str">
        <f t="shared" si="92"/>
        <v/>
      </c>
      <c r="I380" s="11" t="str">
        <f t="shared" si="93"/>
        <v>09.00</v>
      </c>
      <c r="K380" s="30">
        <v>205</v>
      </c>
      <c r="L380" s="29">
        <f t="shared" si="106"/>
        <v>11371.908376190917</v>
      </c>
      <c r="M380" s="28" t="str">
        <f t="shared" si="94"/>
        <v/>
      </c>
      <c r="N380" s="27" t="str">
        <f t="shared" si="107"/>
        <v/>
      </c>
      <c r="O380" s="26" t="str">
        <f>IF(AND($Q379=$O$38,IFERROR(LARGE($V$176:$V379,1)&lt;$N$42,TRUE)),1,IF(AND(ISNUMBER($O379),$O379&lt;$N$32),$O379+1,""))</f>
        <v/>
      </c>
      <c r="P380" s="26" t="str">
        <f t="shared" si="108"/>
        <v/>
      </c>
      <c r="Q380" s="26" t="str">
        <f t="shared" si="95"/>
        <v/>
      </c>
      <c r="R380" s="24" t="str">
        <f t="shared" si="109"/>
        <v/>
      </c>
      <c r="S380" s="180">
        <f t="shared" ref="S380:S443" si="110">IF($Q380=1,ROUNDDOWN($S379,0)+1,IF($R380=1,$S379+0.01,IF(ISNUMBER($U380),IF(AND($U380&gt;1,($U380-$U379)=1),$S379+0.01,$S379),$S379)))</f>
        <v>9</v>
      </c>
      <c r="T380" s="151"/>
      <c r="U380" s="25" t="str">
        <f t="shared" si="96"/>
        <v/>
      </c>
      <c r="V380" s="24" t="str">
        <f>IF(AND(ISNUMBER(R379),ISNUMBER(R380)),V379,IF(AND(R379="",ISNUMBER(R380)),IFERROR(LARGE($V$176:$V379,1)+1,0),""))</f>
        <v/>
      </c>
      <c r="W380" s="23" t="str">
        <f t="shared" si="97"/>
        <v/>
      </c>
      <c r="X380" s="22" t="str">
        <f t="shared" si="98"/>
        <v/>
      </c>
      <c r="Y380" s="22"/>
      <c r="Z380" s="22"/>
      <c r="AA380" s="22"/>
      <c r="AB380" s="22" t="str" cm="1">
        <f t="array" ref="AB380">IF(IF(AND($P379="",$P380=1),($N$37*-1),0)+IF(AND($Q379="",$Q380=1),($N$38*-1),0)+IF(IF(($K380-$N$48)&lt;1,0,IF(IF(INDEX($AD$176:$AD$905,($K380-$N$48))="",0,INDEX($AD$176:$AD$905,($K380-$N$48)))&gt;0,IF(INDEX($AD$176:$AD$905,($K380-$N$48))="",0,INDEX($AD$176:$AD$905,($K380-$N$48))),0))="",0,IF(($K380-$N$48)&lt;1,0,IF(IF(INDEX($AD$176:$AD$905,($K380-$N$48))="",0,INDEX($AD$176:$AD$905,($K380-$N$48)))&gt;0,IF(INDEX($AD$176:$AD$905,($K380-$N$48))="",0,INDEX($AD$176:$AD$905,($K380-$N$48))),0)))=0,"",IF(AND($P379="",$P380=1),($N$37*-1),0)+IF(AND($Q379="",$Q380=1),($N$38*-1),0)+IF(IF(($K380-$N$48)&lt;1,0,IF(IF(INDEX($AD$176:$AD$905,($K380-$N$48))="",0,INDEX($AD$176:$AD$905,($K380-$N$48)))&gt;0,IF(INDEX($AD$176:$AD$905,($K380-$N$48))="",0,INDEX($AD$176:$AD$905,($K380-$N$48))),0))="",0,IF(($K380-$N$48)&lt;1,0,IF(IF(INDEX($AD$176:$AD$905,($K380-$N$48))="",0,INDEX($AD$176:$AD$905,($K380-$N$48)))&gt;0,IF(INDEX($AD$176:$AD$905,($K380-$N$48))="",0,INDEX($AD$176:$AD$905,($K380-$N$48))),0))))</f>
        <v/>
      </c>
      <c r="AC380" s="22" t="str">
        <f t="shared" si="99"/>
        <v/>
      </c>
      <c r="AD380" s="22" t="str">
        <f t="shared" si="89"/>
        <v/>
      </c>
      <c r="AE380" s="22" t="str" cm="1">
        <f t="array" ref="AE380">IF(($K380-$N$48)&lt;1,"",IF((IF(INDEX($AC$176:$AC$905,($K380-$N$48))="",0,INDEX($AC$176:$AC$905,($K380-$N$48))))=0,"",(IF(INDEX($AC$176:$AC$905,($K380-$N$48))="",0,INDEX($AC$176:$AC$905,($K380-$N$48))))))</f>
        <v/>
      </c>
      <c r="AF380" s="31" t="str">
        <f t="shared" si="100"/>
        <v/>
      </c>
      <c r="AG380" s="31" t="str">
        <f t="shared" si="101"/>
        <v/>
      </c>
      <c r="AH380" s="31" t="str">
        <f t="shared" si="102"/>
        <v/>
      </c>
      <c r="AI380" s="31" t="str">
        <f t="shared" si="103"/>
        <v/>
      </c>
      <c r="AJ380" s="303" t="str">
        <f t="shared" si="104"/>
        <v/>
      </c>
      <c r="AK380" s="139" t="str">
        <f t="shared" si="105"/>
        <v/>
      </c>
      <c r="AM380" s="319"/>
      <c r="AN380" s="40"/>
      <c r="AO380" s="1"/>
    </row>
    <row r="381" spans="7:41" x14ac:dyDescent="0.25">
      <c r="G381" s="235" t="str">
        <f t="shared" si="91"/>
        <v/>
      </c>
      <c r="H381" s="4" t="str">
        <f t="shared" si="92"/>
        <v/>
      </c>
      <c r="I381" s="11" t="str">
        <f t="shared" si="93"/>
        <v>09.00</v>
      </c>
      <c r="K381" s="30">
        <v>206</v>
      </c>
      <c r="L381" s="29">
        <f t="shared" si="106"/>
        <v>11371.908376190917</v>
      </c>
      <c r="M381" s="28" t="str">
        <f t="shared" si="94"/>
        <v/>
      </c>
      <c r="N381" s="27" t="str">
        <f t="shared" si="107"/>
        <v/>
      </c>
      <c r="O381" s="26" t="str">
        <f>IF(AND($Q380=$O$38,IFERROR(LARGE($V$176:$V380,1)&lt;$N$42,TRUE)),1,IF(AND(ISNUMBER($O380),$O380&lt;$N$32),$O380+1,""))</f>
        <v/>
      </c>
      <c r="P381" s="26" t="str">
        <f t="shared" si="108"/>
        <v/>
      </c>
      <c r="Q381" s="26" t="str">
        <f t="shared" si="95"/>
        <v/>
      </c>
      <c r="R381" s="24" t="str">
        <f t="shared" si="109"/>
        <v/>
      </c>
      <c r="S381" s="180">
        <f t="shared" si="110"/>
        <v>9</v>
      </c>
      <c r="T381" s="151"/>
      <c r="U381" s="25" t="str">
        <f t="shared" si="96"/>
        <v/>
      </c>
      <c r="V381" s="24" t="str">
        <f>IF(AND(ISNUMBER(R380),ISNUMBER(R381)),V380,IF(AND(R380="",ISNUMBER(R381)),IFERROR(LARGE($V$176:$V380,1)+1,0),""))</f>
        <v/>
      </c>
      <c r="W381" s="23" t="str">
        <f t="shared" si="97"/>
        <v/>
      </c>
      <c r="X381" s="22" t="str">
        <f t="shared" si="98"/>
        <v/>
      </c>
      <c r="Y381" s="22"/>
      <c r="Z381" s="22"/>
      <c r="AA381" s="22"/>
      <c r="AB381" s="22" t="str" cm="1">
        <f t="array" ref="AB381">IF(IF(AND($P380="",$P381=1),($N$37*-1),0)+IF(AND($Q380="",$Q381=1),($N$38*-1),0)+IF(IF(($K381-$N$48)&lt;1,0,IF(IF(INDEX($AD$176:$AD$905,($K381-$N$48))="",0,INDEX($AD$176:$AD$905,($K381-$N$48)))&gt;0,IF(INDEX($AD$176:$AD$905,($K381-$N$48))="",0,INDEX($AD$176:$AD$905,($K381-$N$48))),0))="",0,IF(($K381-$N$48)&lt;1,0,IF(IF(INDEX($AD$176:$AD$905,($K381-$N$48))="",0,INDEX($AD$176:$AD$905,($K381-$N$48)))&gt;0,IF(INDEX($AD$176:$AD$905,($K381-$N$48))="",0,INDEX($AD$176:$AD$905,($K381-$N$48))),0)))=0,"",IF(AND($P380="",$P381=1),($N$37*-1),0)+IF(AND($Q380="",$Q381=1),($N$38*-1),0)+IF(IF(($K381-$N$48)&lt;1,0,IF(IF(INDEX($AD$176:$AD$905,($K381-$N$48))="",0,INDEX($AD$176:$AD$905,($K381-$N$48)))&gt;0,IF(INDEX($AD$176:$AD$905,($K381-$N$48))="",0,INDEX($AD$176:$AD$905,($K381-$N$48))),0))="",0,IF(($K381-$N$48)&lt;1,0,IF(IF(INDEX($AD$176:$AD$905,($K381-$N$48))="",0,INDEX($AD$176:$AD$905,($K381-$N$48)))&gt;0,IF(INDEX($AD$176:$AD$905,($K381-$N$48))="",0,INDEX($AD$176:$AD$905,($K381-$N$48))),0))))</f>
        <v/>
      </c>
      <c r="AC381" s="22" t="str">
        <f t="shared" si="99"/>
        <v/>
      </c>
      <c r="AD381" s="22" t="str">
        <f t="shared" si="89"/>
        <v/>
      </c>
      <c r="AE381" s="22" t="str" cm="1">
        <f t="array" ref="AE381">IF(($K381-$N$48)&lt;1,"",IF((IF(INDEX($AC$176:$AC$905,($K381-$N$48))="",0,INDEX($AC$176:$AC$905,($K381-$N$48))))=0,"",(IF(INDEX($AC$176:$AC$905,($K381-$N$48))="",0,INDEX($AC$176:$AC$905,($K381-$N$48))))))</f>
        <v/>
      </c>
      <c r="AF381" s="31" t="str">
        <f t="shared" si="100"/>
        <v/>
      </c>
      <c r="AG381" s="31" t="str">
        <f t="shared" si="101"/>
        <v/>
      </c>
      <c r="AH381" s="31" t="str">
        <f t="shared" si="102"/>
        <v/>
      </c>
      <c r="AI381" s="31" t="str">
        <f t="shared" si="103"/>
        <v/>
      </c>
      <c r="AJ381" s="303" t="str">
        <f t="shared" si="104"/>
        <v/>
      </c>
      <c r="AK381" s="139" t="str">
        <f t="shared" si="105"/>
        <v/>
      </c>
      <c r="AM381" s="319"/>
      <c r="AN381" s="40"/>
      <c r="AO381" s="1"/>
    </row>
    <row r="382" spans="7:41" x14ac:dyDescent="0.25">
      <c r="G382" s="235" t="str">
        <f t="shared" si="91"/>
        <v/>
      </c>
      <c r="H382" s="4" t="str">
        <f t="shared" si="92"/>
        <v/>
      </c>
      <c r="I382" s="11" t="str">
        <f t="shared" si="93"/>
        <v>09.00</v>
      </c>
      <c r="K382" s="30">
        <v>207</v>
      </c>
      <c r="L382" s="29">
        <f t="shared" si="106"/>
        <v>11371.908376190917</v>
      </c>
      <c r="M382" s="28" t="str">
        <f t="shared" si="94"/>
        <v/>
      </c>
      <c r="N382" s="27" t="str">
        <f t="shared" si="107"/>
        <v/>
      </c>
      <c r="O382" s="26" t="str">
        <f>IF(AND($Q381=$O$38,IFERROR(LARGE($V$176:$V381,1)&lt;$N$42,TRUE)),1,IF(AND(ISNUMBER($O381),$O381&lt;$N$32),$O381+1,""))</f>
        <v/>
      </c>
      <c r="P382" s="26" t="str">
        <f t="shared" si="108"/>
        <v/>
      </c>
      <c r="Q382" s="26" t="str">
        <f t="shared" si="95"/>
        <v/>
      </c>
      <c r="R382" s="24" t="str">
        <f t="shared" si="109"/>
        <v/>
      </c>
      <c r="S382" s="180">
        <f t="shared" si="110"/>
        <v>9</v>
      </c>
      <c r="T382" s="151"/>
      <c r="U382" s="25" t="str">
        <f t="shared" si="96"/>
        <v/>
      </c>
      <c r="V382" s="24" t="str">
        <f>IF(AND(ISNUMBER(R381),ISNUMBER(R382)),V381,IF(AND(R381="",ISNUMBER(R382)),IFERROR(LARGE($V$176:$V381,1)+1,0),""))</f>
        <v/>
      </c>
      <c r="W382" s="23" t="str">
        <f t="shared" si="97"/>
        <v/>
      </c>
      <c r="X382" s="22" t="str">
        <f t="shared" si="98"/>
        <v/>
      </c>
      <c r="Y382" s="22"/>
      <c r="Z382" s="22"/>
      <c r="AA382" s="22"/>
      <c r="AB382" s="22" t="str" cm="1">
        <f t="array" ref="AB382">IF(IF(AND($P381="",$P382=1),($N$37*-1),0)+IF(AND($Q381="",$Q382=1),($N$38*-1),0)+IF(IF(($K382-$N$48)&lt;1,0,IF(IF(INDEX($AD$176:$AD$905,($K382-$N$48))="",0,INDEX($AD$176:$AD$905,($K382-$N$48)))&gt;0,IF(INDEX($AD$176:$AD$905,($K382-$N$48))="",0,INDEX($AD$176:$AD$905,($K382-$N$48))),0))="",0,IF(($K382-$N$48)&lt;1,0,IF(IF(INDEX($AD$176:$AD$905,($K382-$N$48))="",0,INDEX($AD$176:$AD$905,($K382-$N$48)))&gt;0,IF(INDEX($AD$176:$AD$905,($K382-$N$48))="",0,INDEX($AD$176:$AD$905,($K382-$N$48))),0)))=0,"",IF(AND($P381="",$P382=1),($N$37*-1),0)+IF(AND($Q381="",$Q382=1),($N$38*-1),0)+IF(IF(($K382-$N$48)&lt;1,0,IF(IF(INDEX($AD$176:$AD$905,($K382-$N$48))="",0,INDEX($AD$176:$AD$905,($K382-$N$48)))&gt;0,IF(INDEX($AD$176:$AD$905,($K382-$N$48))="",0,INDEX($AD$176:$AD$905,($K382-$N$48))),0))="",0,IF(($K382-$N$48)&lt;1,0,IF(IF(INDEX($AD$176:$AD$905,($K382-$N$48))="",0,INDEX($AD$176:$AD$905,($K382-$N$48)))&gt;0,IF(INDEX($AD$176:$AD$905,($K382-$N$48))="",0,INDEX($AD$176:$AD$905,($K382-$N$48))),0))))</f>
        <v/>
      </c>
      <c r="AC382" s="22" t="str">
        <f t="shared" si="99"/>
        <v/>
      </c>
      <c r="AD382" s="22" t="str">
        <f t="shared" si="89"/>
        <v/>
      </c>
      <c r="AE382" s="22" t="str" cm="1">
        <f t="array" ref="AE382">IF(($K382-$N$48)&lt;1,"",IF((IF(INDEX($AC$176:$AC$905,($K382-$N$48))="",0,INDEX($AC$176:$AC$905,($K382-$N$48))))=0,"",(IF(INDEX($AC$176:$AC$905,($K382-$N$48))="",0,INDEX($AC$176:$AC$905,($K382-$N$48))))))</f>
        <v/>
      </c>
      <c r="AF382" s="31" t="str">
        <f t="shared" si="100"/>
        <v/>
      </c>
      <c r="AG382" s="31" t="str">
        <f t="shared" si="101"/>
        <v/>
      </c>
      <c r="AH382" s="31" t="str">
        <f t="shared" si="102"/>
        <v/>
      </c>
      <c r="AI382" s="31" t="str">
        <f t="shared" si="103"/>
        <v/>
      </c>
      <c r="AJ382" s="303" t="str">
        <f t="shared" si="104"/>
        <v/>
      </c>
      <c r="AK382" s="139" t="str">
        <f t="shared" si="105"/>
        <v/>
      </c>
      <c r="AM382" s="319"/>
      <c r="AN382" s="40"/>
      <c r="AO382" s="1"/>
    </row>
    <row r="383" spans="7:41" x14ac:dyDescent="0.25">
      <c r="G383" s="235" t="str">
        <f t="shared" si="91"/>
        <v/>
      </c>
      <c r="H383" s="4" t="str">
        <f t="shared" si="92"/>
        <v/>
      </c>
      <c r="I383" s="11" t="str">
        <f t="shared" si="93"/>
        <v>09.00</v>
      </c>
      <c r="K383" s="30">
        <v>208</v>
      </c>
      <c r="L383" s="29">
        <f t="shared" si="106"/>
        <v>11371.908376190917</v>
      </c>
      <c r="M383" s="28" t="str">
        <f t="shared" si="94"/>
        <v/>
      </c>
      <c r="N383" s="27" t="str">
        <f t="shared" si="107"/>
        <v/>
      </c>
      <c r="O383" s="26" t="str">
        <f>IF(AND($Q382=$O$38,IFERROR(LARGE($V$176:$V382,1)&lt;$N$42,TRUE)),1,IF(AND(ISNUMBER($O382),$O382&lt;$N$32),$O382+1,""))</f>
        <v/>
      </c>
      <c r="P383" s="26" t="str">
        <f t="shared" si="108"/>
        <v/>
      </c>
      <c r="Q383" s="26" t="str">
        <f t="shared" si="95"/>
        <v/>
      </c>
      <c r="R383" s="24" t="str">
        <f t="shared" si="109"/>
        <v/>
      </c>
      <c r="S383" s="180">
        <f t="shared" si="110"/>
        <v>9</v>
      </c>
      <c r="T383" s="151"/>
      <c r="U383" s="25" t="str">
        <f t="shared" si="96"/>
        <v/>
      </c>
      <c r="V383" s="24" t="str">
        <f>IF(AND(ISNUMBER(R382),ISNUMBER(R383)),V382,IF(AND(R382="",ISNUMBER(R383)),IFERROR(LARGE($V$176:$V382,1)+1,0),""))</f>
        <v/>
      </c>
      <c r="W383" s="23" t="str">
        <f t="shared" si="97"/>
        <v/>
      </c>
      <c r="X383" s="22" t="str">
        <f t="shared" si="98"/>
        <v/>
      </c>
      <c r="Y383" s="22"/>
      <c r="Z383" s="22"/>
      <c r="AA383" s="22"/>
      <c r="AB383" s="22" t="str" cm="1">
        <f t="array" ref="AB383">IF(IF(AND($P382="",$P383=1),($N$37*-1),0)+IF(AND($Q382="",$Q383=1),($N$38*-1),0)+IF(IF(($K383-$N$48)&lt;1,0,IF(IF(INDEX($AD$176:$AD$905,($K383-$N$48))="",0,INDEX($AD$176:$AD$905,($K383-$N$48)))&gt;0,IF(INDEX($AD$176:$AD$905,($K383-$N$48))="",0,INDEX($AD$176:$AD$905,($K383-$N$48))),0))="",0,IF(($K383-$N$48)&lt;1,0,IF(IF(INDEX($AD$176:$AD$905,($K383-$N$48))="",0,INDEX($AD$176:$AD$905,($K383-$N$48)))&gt;0,IF(INDEX($AD$176:$AD$905,($K383-$N$48))="",0,INDEX($AD$176:$AD$905,($K383-$N$48))),0)))=0,"",IF(AND($P382="",$P383=1),($N$37*-1),0)+IF(AND($Q382="",$Q383=1),($N$38*-1),0)+IF(IF(($K383-$N$48)&lt;1,0,IF(IF(INDEX($AD$176:$AD$905,($K383-$N$48))="",0,INDEX($AD$176:$AD$905,($K383-$N$48)))&gt;0,IF(INDEX($AD$176:$AD$905,($K383-$N$48))="",0,INDEX($AD$176:$AD$905,($K383-$N$48))),0))="",0,IF(($K383-$N$48)&lt;1,0,IF(IF(INDEX($AD$176:$AD$905,($K383-$N$48))="",0,INDEX($AD$176:$AD$905,($K383-$N$48)))&gt;0,IF(INDEX($AD$176:$AD$905,($K383-$N$48))="",0,INDEX($AD$176:$AD$905,($K383-$N$48))),0))))</f>
        <v/>
      </c>
      <c r="AC383" s="22" t="str">
        <f t="shared" si="99"/>
        <v/>
      </c>
      <c r="AD383" s="22" t="str">
        <f t="shared" si="89"/>
        <v/>
      </c>
      <c r="AE383" s="22" t="str" cm="1">
        <f t="array" ref="AE383">IF(($K383-$N$48)&lt;1,"",IF((IF(INDEX($AC$176:$AC$905,($K383-$N$48))="",0,INDEX($AC$176:$AC$905,($K383-$N$48))))=0,"",(IF(INDEX($AC$176:$AC$905,($K383-$N$48))="",0,INDEX($AC$176:$AC$905,($K383-$N$48))))))</f>
        <v/>
      </c>
      <c r="AF383" s="31" t="str">
        <f t="shared" si="100"/>
        <v/>
      </c>
      <c r="AG383" s="31" t="str">
        <f t="shared" si="101"/>
        <v/>
      </c>
      <c r="AH383" s="31" t="str">
        <f t="shared" si="102"/>
        <v/>
      </c>
      <c r="AI383" s="31" t="str">
        <f t="shared" si="103"/>
        <v/>
      </c>
      <c r="AJ383" s="303" t="str">
        <f t="shared" si="104"/>
        <v/>
      </c>
      <c r="AK383" s="139" t="str">
        <f t="shared" si="105"/>
        <v/>
      </c>
      <c r="AM383" s="319"/>
      <c r="AN383" s="40"/>
      <c r="AO383" s="1"/>
    </row>
    <row r="384" spans="7:41" x14ac:dyDescent="0.25">
      <c r="G384" s="235" t="str">
        <f t="shared" si="91"/>
        <v/>
      </c>
      <c r="H384" s="4" t="str">
        <f t="shared" si="92"/>
        <v/>
      </c>
      <c r="I384" s="11" t="str">
        <f t="shared" si="93"/>
        <v>09.00</v>
      </c>
      <c r="K384" s="30">
        <v>209</v>
      </c>
      <c r="L384" s="29">
        <f t="shared" si="106"/>
        <v>11371.908376190917</v>
      </c>
      <c r="M384" s="28" t="str">
        <f t="shared" si="94"/>
        <v/>
      </c>
      <c r="N384" s="27" t="str">
        <f t="shared" si="107"/>
        <v/>
      </c>
      <c r="O384" s="26" t="str">
        <f>IF(AND($Q383=$O$38,IFERROR(LARGE($V$176:$V383,1)&lt;$N$42,TRUE)),1,IF(AND(ISNUMBER($O383),$O383&lt;$N$32),$O383+1,""))</f>
        <v/>
      </c>
      <c r="P384" s="26" t="str">
        <f t="shared" si="108"/>
        <v/>
      </c>
      <c r="Q384" s="26" t="str">
        <f t="shared" si="95"/>
        <v/>
      </c>
      <c r="R384" s="24" t="str">
        <f t="shared" si="109"/>
        <v/>
      </c>
      <c r="S384" s="180">
        <f t="shared" si="110"/>
        <v>9</v>
      </c>
      <c r="T384" s="151"/>
      <c r="U384" s="25" t="str">
        <f t="shared" si="96"/>
        <v/>
      </c>
      <c r="V384" s="24" t="str">
        <f>IF(AND(ISNUMBER(R383),ISNUMBER(R384)),V383,IF(AND(R383="",ISNUMBER(R384)),IFERROR(LARGE($V$176:$V383,1)+1,0),""))</f>
        <v/>
      </c>
      <c r="W384" s="23" t="str">
        <f t="shared" si="97"/>
        <v/>
      </c>
      <c r="X384" s="22" t="str">
        <f t="shared" si="98"/>
        <v/>
      </c>
      <c r="Y384" s="22"/>
      <c r="Z384" s="22"/>
      <c r="AA384" s="22"/>
      <c r="AB384" s="22" t="str" cm="1">
        <f t="array" ref="AB384">IF(IF(AND($P383="",$P384=1),($N$37*-1),0)+IF(AND($Q383="",$Q384=1),($N$38*-1),0)+IF(IF(($K384-$N$48)&lt;1,0,IF(IF(INDEX($AD$176:$AD$905,($K384-$N$48))="",0,INDEX($AD$176:$AD$905,($K384-$N$48)))&gt;0,IF(INDEX($AD$176:$AD$905,($K384-$N$48))="",0,INDEX($AD$176:$AD$905,($K384-$N$48))),0))="",0,IF(($K384-$N$48)&lt;1,0,IF(IF(INDEX($AD$176:$AD$905,($K384-$N$48))="",0,INDEX($AD$176:$AD$905,($K384-$N$48)))&gt;0,IF(INDEX($AD$176:$AD$905,($K384-$N$48))="",0,INDEX($AD$176:$AD$905,($K384-$N$48))),0)))=0,"",IF(AND($P383="",$P384=1),($N$37*-1),0)+IF(AND($Q383="",$Q384=1),($N$38*-1),0)+IF(IF(($K384-$N$48)&lt;1,0,IF(IF(INDEX($AD$176:$AD$905,($K384-$N$48))="",0,INDEX($AD$176:$AD$905,($K384-$N$48)))&gt;0,IF(INDEX($AD$176:$AD$905,($K384-$N$48))="",0,INDEX($AD$176:$AD$905,($K384-$N$48))),0))="",0,IF(($K384-$N$48)&lt;1,0,IF(IF(INDEX($AD$176:$AD$905,($K384-$N$48))="",0,INDEX($AD$176:$AD$905,($K384-$N$48)))&gt;0,IF(INDEX($AD$176:$AD$905,($K384-$N$48))="",0,INDEX($AD$176:$AD$905,($K384-$N$48))),0))))</f>
        <v/>
      </c>
      <c r="AC384" s="22" t="str">
        <f t="shared" si="99"/>
        <v/>
      </c>
      <c r="AD384" s="22" t="str">
        <f t="shared" ref="AD384:AD447" si="111">IF(IF(OR(AND(ISNUMBER($U384),IF(ISNUMBER($U385),$U385,0)-IF(ISNUMBER($U384),$U384,0)=1),AND(ISNUMBER($U384),$U385="")),IF($U384=1,$P$37,0),0)=0,"",IF(OR(AND(ISNUMBER($U384),IF(ISNUMBER($U385),$U385,0)-IF(ISNUMBER($U384),$U384,0)=1),AND(ISNUMBER($U384),$U385="")),IF($U384=1,$P$37,0),0))</f>
        <v/>
      </c>
      <c r="AE384" s="22" t="str" cm="1">
        <f t="array" ref="AE384">IF(($K384-$N$48)&lt;1,"",IF((IF(INDEX($AC$176:$AC$905,($K384-$N$48))="",0,INDEX($AC$176:$AC$905,($K384-$N$48))))=0,"",(IF(INDEX($AC$176:$AC$905,($K384-$N$48))="",0,INDEX($AC$176:$AC$905,($K384-$N$48))))))</f>
        <v/>
      </c>
      <c r="AF384" s="31" t="str">
        <f t="shared" si="100"/>
        <v/>
      </c>
      <c r="AG384" s="31" t="str">
        <f t="shared" si="101"/>
        <v/>
      </c>
      <c r="AH384" s="31" t="str">
        <f t="shared" si="102"/>
        <v/>
      </c>
      <c r="AI384" s="31" t="str">
        <f t="shared" si="103"/>
        <v/>
      </c>
      <c r="AJ384" s="303" t="str">
        <f t="shared" si="104"/>
        <v/>
      </c>
      <c r="AK384" s="139" t="str">
        <f t="shared" si="105"/>
        <v/>
      </c>
      <c r="AM384" s="319"/>
      <c r="AN384" s="40"/>
      <c r="AO384" s="1"/>
    </row>
    <row r="385" spans="7:41" x14ac:dyDescent="0.25">
      <c r="G385" s="235" t="str">
        <f t="shared" si="91"/>
        <v/>
      </c>
      <c r="H385" s="4" t="str">
        <f t="shared" si="92"/>
        <v/>
      </c>
      <c r="I385" s="11" t="str">
        <f t="shared" si="93"/>
        <v>09.00</v>
      </c>
      <c r="K385" s="30">
        <v>210</v>
      </c>
      <c r="L385" s="29">
        <f t="shared" si="106"/>
        <v>11371.908376190917</v>
      </c>
      <c r="M385" s="28" t="str">
        <f t="shared" si="94"/>
        <v/>
      </c>
      <c r="N385" s="27" t="str">
        <f t="shared" si="107"/>
        <v/>
      </c>
      <c r="O385" s="26" t="str">
        <f>IF(AND($Q384=$O$38,IFERROR(LARGE($V$176:$V384,1)&lt;$N$42,TRUE)),1,IF(AND(ISNUMBER($O384),$O384&lt;$N$32),$O384+1,""))</f>
        <v/>
      </c>
      <c r="P385" s="26" t="str">
        <f t="shared" si="108"/>
        <v/>
      </c>
      <c r="Q385" s="26" t="str">
        <f t="shared" si="95"/>
        <v/>
      </c>
      <c r="R385" s="24" t="str">
        <f t="shared" si="109"/>
        <v/>
      </c>
      <c r="S385" s="180">
        <f t="shared" si="110"/>
        <v>9</v>
      </c>
      <c r="T385" s="151"/>
      <c r="U385" s="25" t="str">
        <f t="shared" si="96"/>
        <v/>
      </c>
      <c r="V385" s="24" t="str">
        <f>IF(AND(ISNUMBER(R384),ISNUMBER(R385)),V384,IF(AND(R384="",ISNUMBER(R385)),IFERROR(LARGE($V$176:$V384,1)+1,0),""))</f>
        <v/>
      </c>
      <c r="W385" s="23" t="str">
        <f t="shared" si="97"/>
        <v/>
      </c>
      <c r="X385" s="22" t="str">
        <f t="shared" si="98"/>
        <v/>
      </c>
      <c r="Y385" s="22"/>
      <c r="Z385" s="22"/>
      <c r="AA385" s="22"/>
      <c r="AB385" s="22" t="str" cm="1">
        <f t="array" ref="AB385">IF(IF(AND($P384="",$P385=1),($N$37*-1),0)+IF(AND($Q384="",$Q385=1),($N$38*-1),0)+IF(IF(($K385-$N$48)&lt;1,0,IF(IF(INDEX($AD$176:$AD$905,($K385-$N$48))="",0,INDEX($AD$176:$AD$905,($K385-$N$48)))&gt;0,IF(INDEX($AD$176:$AD$905,($K385-$N$48))="",0,INDEX($AD$176:$AD$905,($K385-$N$48))),0))="",0,IF(($K385-$N$48)&lt;1,0,IF(IF(INDEX($AD$176:$AD$905,($K385-$N$48))="",0,INDEX($AD$176:$AD$905,($K385-$N$48)))&gt;0,IF(INDEX($AD$176:$AD$905,($K385-$N$48))="",0,INDEX($AD$176:$AD$905,($K385-$N$48))),0)))=0,"",IF(AND($P384="",$P385=1),($N$37*-1),0)+IF(AND($Q384="",$Q385=1),($N$38*-1),0)+IF(IF(($K385-$N$48)&lt;1,0,IF(IF(INDEX($AD$176:$AD$905,($K385-$N$48))="",0,INDEX($AD$176:$AD$905,($K385-$N$48)))&gt;0,IF(INDEX($AD$176:$AD$905,($K385-$N$48))="",0,INDEX($AD$176:$AD$905,($K385-$N$48))),0))="",0,IF(($K385-$N$48)&lt;1,0,IF(IF(INDEX($AD$176:$AD$905,($K385-$N$48))="",0,INDEX($AD$176:$AD$905,($K385-$N$48)))&gt;0,IF(INDEX($AD$176:$AD$905,($K385-$N$48))="",0,INDEX($AD$176:$AD$905,($K385-$N$48))),0))))</f>
        <v/>
      </c>
      <c r="AC385" s="22" t="str">
        <f t="shared" si="99"/>
        <v/>
      </c>
      <c r="AD385" s="22" t="str">
        <f t="shared" si="111"/>
        <v/>
      </c>
      <c r="AE385" s="22" t="str" cm="1">
        <f t="array" ref="AE385">IF(($K385-$N$48)&lt;1,"",IF((IF(INDEX($AC$176:$AC$905,($K385-$N$48))="",0,INDEX($AC$176:$AC$905,($K385-$N$48))))=0,"",(IF(INDEX($AC$176:$AC$905,($K385-$N$48))="",0,INDEX($AC$176:$AC$905,($K385-$N$48))))))</f>
        <v/>
      </c>
      <c r="AF385" s="31" t="str">
        <f t="shared" si="100"/>
        <v/>
      </c>
      <c r="AG385" s="31" t="str">
        <f t="shared" si="101"/>
        <v/>
      </c>
      <c r="AH385" s="31" t="str">
        <f t="shared" si="102"/>
        <v/>
      </c>
      <c r="AI385" s="31" t="str">
        <f t="shared" si="103"/>
        <v/>
      </c>
      <c r="AJ385" s="303" t="str">
        <f t="shared" si="104"/>
        <v/>
      </c>
      <c r="AK385" s="139" t="str">
        <f t="shared" si="105"/>
        <v/>
      </c>
      <c r="AM385" s="319"/>
      <c r="AN385" s="40"/>
      <c r="AO385" s="1"/>
    </row>
    <row r="386" spans="7:41" x14ac:dyDescent="0.25">
      <c r="G386" s="235" t="str">
        <f t="shared" si="91"/>
        <v/>
      </c>
      <c r="H386" s="4" t="str">
        <f t="shared" si="92"/>
        <v/>
      </c>
      <c r="I386" s="11" t="str">
        <f t="shared" si="93"/>
        <v>09.00</v>
      </c>
      <c r="K386" s="30">
        <v>211</v>
      </c>
      <c r="L386" s="29">
        <f t="shared" si="106"/>
        <v>11371.908376190917</v>
      </c>
      <c r="M386" s="28" t="str">
        <f t="shared" si="94"/>
        <v/>
      </c>
      <c r="N386" s="27" t="str">
        <f t="shared" si="107"/>
        <v/>
      </c>
      <c r="O386" s="26" t="str">
        <f>IF(AND($Q385=$O$38,IFERROR(LARGE($V$176:$V385,1)&lt;$N$42,TRUE)),1,IF(AND(ISNUMBER($O385),$O385&lt;$N$32),$O385+1,""))</f>
        <v/>
      </c>
      <c r="P386" s="26" t="str">
        <f t="shared" si="108"/>
        <v/>
      </c>
      <c r="Q386" s="26" t="str">
        <f t="shared" si="95"/>
        <v/>
      </c>
      <c r="R386" s="24" t="str">
        <f t="shared" si="109"/>
        <v/>
      </c>
      <c r="S386" s="180">
        <f t="shared" si="110"/>
        <v>9</v>
      </c>
      <c r="T386" s="151"/>
      <c r="U386" s="25" t="str">
        <f t="shared" si="96"/>
        <v/>
      </c>
      <c r="V386" s="24" t="str">
        <f>IF(AND(ISNUMBER(R385),ISNUMBER(R386)),V385,IF(AND(R385="",ISNUMBER(R386)),IFERROR(LARGE($V$176:$V385,1)+1,0),""))</f>
        <v/>
      </c>
      <c r="W386" s="23" t="str">
        <f t="shared" si="97"/>
        <v/>
      </c>
      <c r="X386" s="22" t="str">
        <f t="shared" si="98"/>
        <v/>
      </c>
      <c r="Y386" s="22"/>
      <c r="Z386" s="22"/>
      <c r="AA386" s="22"/>
      <c r="AB386" s="22" t="str" cm="1">
        <f t="array" ref="AB386">IF(IF(AND($P385="",$P386=1),($N$37*-1),0)+IF(AND($Q385="",$Q386=1),($N$38*-1),0)+IF(IF(($K386-$N$48)&lt;1,0,IF(IF(INDEX($AD$176:$AD$905,($K386-$N$48))="",0,INDEX($AD$176:$AD$905,($K386-$N$48)))&gt;0,IF(INDEX($AD$176:$AD$905,($K386-$N$48))="",0,INDEX($AD$176:$AD$905,($K386-$N$48))),0))="",0,IF(($K386-$N$48)&lt;1,0,IF(IF(INDEX($AD$176:$AD$905,($K386-$N$48))="",0,INDEX($AD$176:$AD$905,($K386-$N$48)))&gt;0,IF(INDEX($AD$176:$AD$905,($K386-$N$48))="",0,INDEX($AD$176:$AD$905,($K386-$N$48))),0)))=0,"",IF(AND($P385="",$P386=1),($N$37*-1),0)+IF(AND($Q385="",$Q386=1),($N$38*-1),0)+IF(IF(($K386-$N$48)&lt;1,0,IF(IF(INDEX($AD$176:$AD$905,($K386-$N$48))="",0,INDEX($AD$176:$AD$905,($K386-$N$48)))&gt;0,IF(INDEX($AD$176:$AD$905,($K386-$N$48))="",0,INDEX($AD$176:$AD$905,($K386-$N$48))),0))="",0,IF(($K386-$N$48)&lt;1,0,IF(IF(INDEX($AD$176:$AD$905,($K386-$N$48))="",0,INDEX($AD$176:$AD$905,($K386-$N$48)))&gt;0,IF(INDEX($AD$176:$AD$905,($K386-$N$48))="",0,INDEX($AD$176:$AD$905,($K386-$N$48))),0))))</f>
        <v/>
      </c>
      <c r="AC386" s="22" t="str">
        <f t="shared" si="99"/>
        <v/>
      </c>
      <c r="AD386" s="22" t="str">
        <f t="shared" si="111"/>
        <v/>
      </c>
      <c r="AE386" s="22" t="str" cm="1">
        <f t="array" ref="AE386">IF(($K386-$N$48)&lt;1,"",IF((IF(INDEX($AC$176:$AC$905,($K386-$N$48))="",0,INDEX($AC$176:$AC$905,($K386-$N$48))))=0,"",(IF(INDEX($AC$176:$AC$905,($K386-$N$48))="",0,INDEX($AC$176:$AC$905,($K386-$N$48))))))</f>
        <v/>
      </c>
      <c r="AF386" s="31" t="str">
        <f t="shared" si="100"/>
        <v/>
      </c>
      <c r="AG386" s="31" t="str">
        <f t="shared" si="101"/>
        <v/>
      </c>
      <c r="AH386" s="31" t="str">
        <f t="shared" si="102"/>
        <v/>
      </c>
      <c r="AI386" s="31" t="str">
        <f t="shared" si="103"/>
        <v/>
      </c>
      <c r="AJ386" s="303" t="str">
        <f t="shared" si="104"/>
        <v/>
      </c>
      <c r="AK386" s="139" t="str">
        <f t="shared" si="105"/>
        <v/>
      </c>
      <c r="AM386" s="319"/>
      <c r="AN386" s="40"/>
      <c r="AO386" s="1"/>
    </row>
    <row r="387" spans="7:41" x14ac:dyDescent="0.25">
      <c r="G387" s="235" t="str">
        <f t="shared" si="91"/>
        <v/>
      </c>
      <c r="H387" s="4" t="str">
        <f t="shared" si="92"/>
        <v/>
      </c>
      <c r="I387" s="11" t="str">
        <f t="shared" si="93"/>
        <v>09.00</v>
      </c>
      <c r="K387" s="30">
        <v>212</v>
      </c>
      <c r="L387" s="29">
        <f t="shared" si="106"/>
        <v>11371.908376190917</v>
      </c>
      <c r="M387" s="28" t="str">
        <f t="shared" si="94"/>
        <v/>
      </c>
      <c r="N387" s="27" t="str">
        <f t="shared" si="107"/>
        <v/>
      </c>
      <c r="O387" s="26" t="str">
        <f>IF(AND($Q386=$O$38,IFERROR(LARGE($V$176:$V386,1)&lt;$N$42,TRUE)),1,IF(AND(ISNUMBER($O386),$O386&lt;$N$32),$O386+1,""))</f>
        <v/>
      </c>
      <c r="P387" s="26" t="str">
        <f t="shared" si="108"/>
        <v/>
      </c>
      <c r="Q387" s="26" t="str">
        <f t="shared" si="95"/>
        <v/>
      </c>
      <c r="R387" s="24" t="str">
        <f t="shared" si="109"/>
        <v/>
      </c>
      <c r="S387" s="180">
        <f t="shared" si="110"/>
        <v>9</v>
      </c>
      <c r="T387" s="151"/>
      <c r="U387" s="25" t="str">
        <f t="shared" si="96"/>
        <v/>
      </c>
      <c r="V387" s="24" t="str">
        <f>IF(AND(ISNUMBER(R386),ISNUMBER(R387)),V386,IF(AND(R386="",ISNUMBER(R387)),IFERROR(LARGE($V$176:$V386,1)+1,0),""))</f>
        <v/>
      </c>
      <c r="W387" s="23" t="str">
        <f t="shared" si="97"/>
        <v/>
      </c>
      <c r="X387" s="22" t="str">
        <f t="shared" si="98"/>
        <v/>
      </c>
      <c r="Y387" s="22"/>
      <c r="Z387" s="22"/>
      <c r="AA387" s="22"/>
      <c r="AB387" s="22" t="str" cm="1">
        <f t="array" ref="AB387">IF(IF(AND($P386="",$P387=1),($N$37*-1),0)+IF(AND($Q386="",$Q387=1),($N$38*-1),0)+IF(IF(($K387-$N$48)&lt;1,0,IF(IF(INDEX($AD$176:$AD$905,($K387-$N$48))="",0,INDEX($AD$176:$AD$905,($K387-$N$48)))&gt;0,IF(INDEX($AD$176:$AD$905,($K387-$N$48))="",0,INDEX($AD$176:$AD$905,($K387-$N$48))),0))="",0,IF(($K387-$N$48)&lt;1,0,IF(IF(INDEX($AD$176:$AD$905,($K387-$N$48))="",0,INDEX($AD$176:$AD$905,($K387-$N$48)))&gt;0,IF(INDEX($AD$176:$AD$905,($K387-$N$48))="",0,INDEX($AD$176:$AD$905,($K387-$N$48))),0)))=0,"",IF(AND($P386="",$P387=1),($N$37*-1),0)+IF(AND($Q386="",$Q387=1),($N$38*-1),0)+IF(IF(($K387-$N$48)&lt;1,0,IF(IF(INDEX($AD$176:$AD$905,($K387-$N$48))="",0,INDEX($AD$176:$AD$905,($K387-$N$48)))&gt;0,IF(INDEX($AD$176:$AD$905,($K387-$N$48))="",0,INDEX($AD$176:$AD$905,($K387-$N$48))),0))="",0,IF(($K387-$N$48)&lt;1,0,IF(IF(INDEX($AD$176:$AD$905,($K387-$N$48))="",0,INDEX($AD$176:$AD$905,($K387-$N$48)))&gt;0,IF(INDEX($AD$176:$AD$905,($K387-$N$48))="",0,INDEX($AD$176:$AD$905,($K387-$N$48))),0))))</f>
        <v/>
      </c>
      <c r="AC387" s="22" t="str">
        <f t="shared" si="99"/>
        <v/>
      </c>
      <c r="AD387" s="22" t="str">
        <f t="shared" si="111"/>
        <v/>
      </c>
      <c r="AE387" s="22" t="str" cm="1">
        <f t="array" ref="AE387">IF(($K387-$N$48)&lt;1,"",IF((IF(INDEX($AC$176:$AC$905,($K387-$N$48))="",0,INDEX($AC$176:$AC$905,($K387-$N$48))))=0,"",(IF(INDEX($AC$176:$AC$905,($K387-$N$48))="",0,INDEX($AC$176:$AC$905,($K387-$N$48))))))</f>
        <v/>
      </c>
      <c r="AF387" s="31" t="str">
        <f t="shared" si="100"/>
        <v/>
      </c>
      <c r="AG387" s="31" t="str">
        <f t="shared" si="101"/>
        <v/>
      </c>
      <c r="AH387" s="31" t="str">
        <f t="shared" si="102"/>
        <v/>
      </c>
      <c r="AI387" s="31" t="str">
        <f t="shared" si="103"/>
        <v/>
      </c>
      <c r="AJ387" s="303" t="str">
        <f t="shared" si="104"/>
        <v/>
      </c>
      <c r="AK387" s="139" t="str">
        <f t="shared" si="105"/>
        <v/>
      </c>
      <c r="AM387" s="319"/>
      <c r="AN387" s="40"/>
      <c r="AO387" s="1"/>
    </row>
    <row r="388" spans="7:41" x14ac:dyDescent="0.25">
      <c r="G388" s="235" t="str">
        <f t="shared" si="91"/>
        <v/>
      </c>
      <c r="H388" s="4" t="str">
        <f t="shared" si="92"/>
        <v/>
      </c>
      <c r="I388" s="11" t="str">
        <f t="shared" si="93"/>
        <v>09.00</v>
      </c>
      <c r="K388" s="30">
        <v>213</v>
      </c>
      <c r="L388" s="29">
        <f t="shared" si="106"/>
        <v>11371.908376190917</v>
      </c>
      <c r="M388" s="28" t="str">
        <f t="shared" si="94"/>
        <v/>
      </c>
      <c r="N388" s="27" t="str">
        <f t="shared" si="107"/>
        <v/>
      </c>
      <c r="O388" s="26" t="str">
        <f>IF(AND($Q387=$O$38,IFERROR(LARGE($V$176:$V387,1)&lt;$N$42,TRUE)),1,IF(AND(ISNUMBER($O387),$O387&lt;$N$32),$O387+1,""))</f>
        <v/>
      </c>
      <c r="P388" s="26" t="str">
        <f t="shared" si="108"/>
        <v/>
      </c>
      <c r="Q388" s="26" t="str">
        <f t="shared" si="95"/>
        <v/>
      </c>
      <c r="R388" s="24" t="str">
        <f t="shared" si="109"/>
        <v/>
      </c>
      <c r="S388" s="180">
        <f t="shared" si="110"/>
        <v>9</v>
      </c>
      <c r="T388" s="151"/>
      <c r="U388" s="25" t="str">
        <f t="shared" si="96"/>
        <v/>
      </c>
      <c r="V388" s="24" t="str">
        <f>IF(AND(ISNUMBER(R387),ISNUMBER(R388)),V387,IF(AND(R387="",ISNUMBER(R388)),IFERROR(LARGE($V$176:$V387,1)+1,0),""))</f>
        <v/>
      </c>
      <c r="W388" s="23" t="str">
        <f t="shared" si="97"/>
        <v/>
      </c>
      <c r="X388" s="22" t="str">
        <f t="shared" si="98"/>
        <v/>
      </c>
      <c r="Y388" s="22"/>
      <c r="Z388" s="22"/>
      <c r="AA388" s="22"/>
      <c r="AB388" s="22" t="str" cm="1">
        <f t="array" ref="AB388">IF(IF(AND($P387="",$P388=1),($N$37*-1),0)+IF(AND($Q387="",$Q388=1),($N$38*-1),0)+IF(IF(($K388-$N$48)&lt;1,0,IF(IF(INDEX($AD$176:$AD$905,($K388-$N$48))="",0,INDEX($AD$176:$AD$905,($K388-$N$48)))&gt;0,IF(INDEX($AD$176:$AD$905,($K388-$N$48))="",0,INDEX($AD$176:$AD$905,($K388-$N$48))),0))="",0,IF(($K388-$N$48)&lt;1,0,IF(IF(INDEX($AD$176:$AD$905,($K388-$N$48))="",0,INDEX($AD$176:$AD$905,($K388-$N$48)))&gt;0,IF(INDEX($AD$176:$AD$905,($K388-$N$48))="",0,INDEX($AD$176:$AD$905,($K388-$N$48))),0)))=0,"",IF(AND($P387="",$P388=1),($N$37*-1),0)+IF(AND($Q387="",$Q388=1),($N$38*-1),0)+IF(IF(($K388-$N$48)&lt;1,0,IF(IF(INDEX($AD$176:$AD$905,($K388-$N$48))="",0,INDEX($AD$176:$AD$905,($K388-$N$48)))&gt;0,IF(INDEX($AD$176:$AD$905,($K388-$N$48))="",0,INDEX($AD$176:$AD$905,($K388-$N$48))),0))="",0,IF(($K388-$N$48)&lt;1,0,IF(IF(INDEX($AD$176:$AD$905,($K388-$N$48))="",0,INDEX($AD$176:$AD$905,($K388-$N$48)))&gt;0,IF(INDEX($AD$176:$AD$905,($K388-$N$48))="",0,INDEX($AD$176:$AD$905,($K388-$N$48))),0))))</f>
        <v/>
      </c>
      <c r="AC388" s="22" t="str">
        <f t="shared" si="99"/>
        <v/>
      </c>
      <c r="AD388" s="22" t="str">
        <f t="shared" si="111"/>
        <v/>
      </c>
      <c r="AE388" s="22" t="str" cm="1">
        <f t="array" ref="AE388">IF(($K388-$N$48)&lt;1,"",IF((IF(INDEX($AC$176:$AC$905,($K388-$N$48))="",0,INDEX($AC$176:$AC$905,($K388-$N$48))))=0,"",(IF(INDEX($AC$176:$AC$905,($K388-$N$48))="",0,INDEX($AC$176:$AC$905,($K388-$N$48))))))</f>
        <v/>
      </c>
      <c r="AF388" s="31" t="str">
        <f t="shared" si="100"/>
        <v/>
      </c>
      <c r="AG388" s="31" t="str">
        <f t="shared" si="101"/>
        <v/>
      </c>
      <c r="AH388" s="31" t="str">
        <f t="shared" si="102"/>
        <v/>
      </c>
      <c r="AI388" s="31" t="str">
        <f t="shared" si="103"/>
        <v/>
      </c>
      <c r="AJ388" s="303" t="str">
        <f t="shared" si="104"/>
        <v/>
      </c>
      <c r="AK388" s="139" t="str">
        <f t="shared" si="105"/>
        <v/>
      </c>
      <c r="AM388" s="319"/>
      <c r="AN388" s="40"/>
      <c r="AO388" s="1"/>
    </row>
    <row r="389" spans="7:41" x14ac:dyDescent="0.25">
      <c r="G389" s="235" t="str">
        <f t="shared" si="91"/>
        <v/>
      </c>
      <c r="H389" s="4" t="str">
        <f t="shared" si="92"/>
        <v/>
      </c>
      <c r="I389" s="11" t="str">
        <f t="shared" si="93"/>
        <v>09.00</v>
      </c>
      <c r="K389" s="30">
        <v>214</v>
      </c>
      <c r="L389" s="29">
        <f t="shared" si="106"/>
        <v>11371.908376190917</v>
      </c>
      <c r="M389" s="28" t="str">
        <f t="shared" si="94"/>
        <v/>
      </c>
      <c r="N389" s="27" t="str">
        <f t="shared" si="107"/>
        <v/>
      </c>
      <c r="O389" s="26" t="str">
        <f>IF(AND($Q388=$O$38,IFERROR(LARGE($V$176:$V388,1)&lt;$N$42,TRUE)),1,IF(AND(ISNUMBER($O388),$O388&lt;$N$32),$O388+1,""))</f>
        <v/>
      </c>
      <c r="P389" s="26" t="str">
        <f t="shared" si="108"/>
        <v/>
      </c>
      <c r="Q389" s="26" t="str">
        <f t="shared" si="95"/>
        <v/>
      </c>
      <c r="R389" s="24" t="str">
        <f t="shared" si="109"/>
        <v/>
      </c>
      <c r="S389" s="180">
        <f t="shared" si="110"/>
        <v>9</v>
      </c>
      <c r="T389" s="151"/>
      <c r="U389" s="25" t="str">
        <f t="shared" si="96"/>
        <v/>
      </c>
      <c r="V389" s="24" t="str">
        <f>IF(AND(ISNUMBER(R388),ISNUMBER(R389)),V388,IF(AND(R388="",ISNUMBER(R389)),IFERROR(LARGE($V$176:$V388,1)+1,0),""))</f>
        <v/>
      </c>
      <c r="W389" s="23" t="str">
        <f t="shared" si="97"/>
        <v/>
      </c>
      <c r="X389" s="22" t="str">
        <f t="shared" si="98"/>
        <v/>
      </c>
      <c r="Y389" s="22"/>
      <c r="Z389" s="22"/>
      <c r="AA389" s="22"/>
      <c r="AB389" s="22" t="str" cm="1">
        <f t="array" ref="AB389">IF(IF(AND($P388="",$P389=1),($N$37*-1),0)+IF(AND($Q388="",$Q389=1),($N$38*-1),0)+IF(IF(($K389-$N$48)&lt;1,0,IF(IF(INDEX($AD$176:$AD$905,($K389-$N$48))="",0,INDEX($AD$176:$AD$905,($K389-$N$48)))&gt;0,IF(INDEX($AD$176:$AD$905,($K389-$N$48))="",0,INDEX($AD$176:$AD$905,($K389-$N$48))),0))="",0,IF(($K389-$N$48)&lt;1,0,IF(IF(INDEX($AD$176:$AD$905,($K389-$N$48))="",0,INDEX($AD$176:$AD$905,($K389-$N$48)))&gt;0,IF(INDEX($AD$176:$AD$905,($K389-$N$48))="",0,INDEX($AD$176:$AD$905,($K389-$N$48))),0)))=0,"",IF(AND($P388="",$P389=1),($N$37*-1),0)+IF(AND($Q388="",$Q389=1),($N$38*-1),0)+IF(IF(($K389-$N$48)&lt;1,0,IF(IF(INDEX($AD$176:$AD$905,($K389-$N$48))="",0,INDEX($AD$176:$AD$905,($K389-$N$48)))&gt;0,IF(INDEX($AD$176:$AD$905,($K389-$N$48))="",0,INDEX($AD$176:$AD$905,($K389-$N$48))),0))="",0,IF(($K389-$N$48)&lt;1,0,IF(IF(INDEX($AD$176:$AD$905,($K389-$N$48))="",0,INDEX($AD$176:$AD$905,($K389-$N$48)))&gt;0,IF(INDEX($AD$176:$AD$905,($K389-$N$48))="",0,INDEX($AD$176:$AD$905,($K389-$N$48))),0))))</f>
        <v/>
      </c>
      <c r="AC389" s="22" t="str">
        <f t="shared" si="99"/>
        <v/>
      </c>
      <c r="AD389" s="22" t="str">
        <f t="shared" si="111"/>
        <v/>
      </c>
      <c r="AE389" s="22" t="str" cm="1">
        <f t="array" ref="AE389">IF(($K389-$N$48)&lt;1,"",IF((IF(INDEX($AC$176:$AC$905,($K389-$N$48))="",0,INDEX($AC$176:$AC$905,($K389-$N$48))))=0,"",(IF(INDEX($AC$176:$AC$905,($K389-$N$48))="",0,INDEX($AC$176:$AC$905,($K389-$N$48))))))</f>
        <v/>
      </c>
      <c r="AF389" s="31" t="str">
        <f t="shared" si="100"/>
        <v/>
      </c>
      <c r="AG389" s="31" t="str">
        <f t="shared" si="101"/>
        <v/>
      </c>
      <c r="AH389" s="31" t="str">
        <f t="shared" si="102"/>
        <v/>
      </c>
      <c r="AI389" s="31" t="str">
        <f t="shared" si="103"/>
        <v/>
      </c>
      <c r="AJ389" s="303" t="str">
        <f t="shared" si="104"/>
        <v/>
      </c>
      <c r="AK389" s="139" t="str">
        <f t="shared" si="105"/>
        <v/>
      </c>
      <c r="AM389" s="319"/>
      <c r="AN389" s="40"/>
      <c r="AO389" s="1"/>
    </row>
    <row r="390" spans="7:41" x14ac:dyDescent="0.25">
      <c r="G390" s="235" t="str">
        <f t="shared" si="91"/>
        <v/>
      </c>
      <c r="H390" s="4" t="str">
        <f t="shared" si="92"/>
        <v/>
      </c>
      <c r="I390" s="11" t="str">
        <f t="shared" si="93"/>
        <v>09.00</v>
      </c>
      <c r="K390" s="30">
        <v>215</v>
      </c>
      <c r="L390" s="29">
        <f t="shared" si="106"/>
        <v>11371.908376190917</v>
      </c>
      <c r="M390" s="28" t="str">
        <f t="shared" si="94"/>
        <v/>
      </c>
      <c r="N390" s="27" t="str">
        <f t="shared" si="107"/>
        <v/>
      </c>
      <c r="O390" s="26" t="str">
        <f>IF(AND($Q389=$O$38,IFERROR(LARGE($V$176:$V389,1)&lt;$N$42,TRUE)),1,IF(AND(ISNUMBER($O389),$O389&lt;$N$32),$O389+1,""))</f>
        <v/>
      </c>
      <c r="P390" s="26" t="str">
        <f t="shared" si="108"/>
        <v/>
      </c>
      <c r="Q390" s="26" t="str">
        <f t="shared" si="95"/>
        <v/>
      </c>
      <c r="R390" s="24" t="str">
        <f t="shared" si="109"/>
        <v/>
      </c>
      <c r="S390" s="180">
        <f t="shared" si="110"/>
        <v>9</v>
      </c>
      <c r="T390" s="151"/>
      <c r="U390" s="25" t="str">
        <f t="shared" si="96"/>
        <v/>
      </c>
      <c r="V390" s="24" t="str">
        <f>IF(AND(ISNUMBER(R389),ISNUMBER(R390)),V389,IF(AND(R389="",ISNUMBER(R390)),IFERROR(LARGE($V$176:$V389,1)+1,0),""))</f>
        <v/>
      </c>
      <c r="W390" s="23" t="str">
        <f t="shared" si="97"/>
        <v/>
      </c>
      <c r="X390" s="22" t="str">
        <f t="shared" si="98"/>
        <v/>
      </c>
      <c r="Y390" s="22"/>
      <c r="Z390" s="22"/>
      <c r="AA390" s="22"/>
      <c r="AB390" s="22" t="str" cm="1">
        <f t="array" ref="AB390">IF(IF(AND($P389="",$P390=1),($N$37*-1),0)+IF(AND($Q389="",$Q390=1),($N$38*-1),0)+IF(IF(($K390-$N$48)&lt;1,0,IF(IF(INDEX($AD$176:$AD$905,($K390-$N$48))="",0,INDEX($AD$176:$AD$905,($K390-$N$48)))&gt;0,IF(INDEX($AD$176:$AD$905,($K390-$N$48))="",0,INDEX($AD$176:$AD$905,($K390-$N$48))),0))="",0,IF(($K390-$N$48)&lt;1,0,IF(IF(INDEX($AD$176:$AD$905,($K390-$N$48))="",0,INDEX($AD$176:$AD$905,($K390-$N$48)))&gt;0,IF(INDEX($AD$176:$AD$905,($K390-$N$48))="",0,INDEX($AD$176:$AD$905,($K390-$N$48))),0)))=0,"",IF(AND($P389="",$P390=1),($N$37*-1),0)+IF(AND($Q389="",$Q390=1),($N$38*-1),0)+IF(IF(($K390-$N$48)&lt;1,0,IF(IF(INDEX($AD$176:$AD$905,($K390-$N$48))="",0,INDEX($AD$176:$AD$905,($K390-$N$48)))&gt;0,IF(INDEX($AD$176:$AD$905,($K390-$N$48))="",0,INDEX($AD$176:$AD$905,($K390-$N$48))),0))="",0,IF(($K390-$N$48)&lt;1,0,IF(IF(INDEX($AD$176:$AD$905,($K390-$N$48))="",0,INDEX($AD$176:$AD$905,($K390-$N$48)))&gt;0,IF(INDEX($AD$176:$AD$905,($K390-$N$48))="",0,INDEX($AD$176:$AD$905,($K390-$N$48))),0))))</f>
        <v/>
      </c>
      <c r="AC390" s="22" t="str">
        <f t="shared" si="99"/>
        <v/>
      </c>
      <c r="AD390" s="22" t="str">
        <f t="shared" si="111"/>
        <v/>
      </c>
      <c r="AE390" s="22" t="str" cm="1">
        <f t="array" ref="AE390">IF(($K390-$N$48)&lt;1,"",IF((IF(INDEX($AC$176:$AC$905,($K390-$N$48))="",0,INDEX($AC$176:$AC$905,($K390-$N$48))))=0,"",(IF(INDEX($AC$176:$AC$905,($K390-$N$48))="",0,INDEX($AC$176:$AC$905,($K390-$N$48))))))</f>
        <v/>
      </c>
      <c r="AF390" s="31" t="str">
        <f t="shared" si="100"/>
        <v/>
      </c>
      <c r="AG390" s="31" t="str">
        <f t="shared" si="101"/>
        <v/>
      </c>
      <c r="AH390" s="31" t="str">
        <f t="shared" si="102"/>
        <v/>
      </c>
      <c r="AI390" s="31" t="str">
        <f t="shared" si="103"/>
        <v/>
      </c>
      <c r="AJ390" s="303" t="str">
        <f t="shared" si="104"/>
        <v/>
      </c>
      <c r="AK390" s="139" t="str">
        <f t="shared" si="105"/>
        <v/>
      </c>
      <c r="AM390" s="319"/>
      <c r="AN390" s="40"/>
      <c r="AO390" s="1"/>
    </row>
    <row r="391" spans="7:41" x14ac:dyDescent="0.25">
      <c r="G391" s="235" t="str">
        <f t="shared" si="91"/>
        <v/>
      </c>
      <c r="H391" s="4" t="str">
        <f t="shared" si="92"/>
        <v/>
      </c>
      <c r="I391" s="11" t="str">
        <f t="shared" si="93"/>
        <v>09.00</v>
      </c>
      <c r="K391" s="30">
        <v>216</v>
      </c>
      <c r="L391" s="29">
        <f t="shared" si="106"/>
        <v>11371.908376190917</v>
      </c>
      <c r="M391" s="28" t="str">
        <f t="shared" si="94"/>
        <v/>
      </c>
      <c r="N391" s="27" t="str">
        <f t="shared" si="107"/>
        <v/>
      </c>
      <c r="O391" s="26" t="str">
        <f>IF(AND($Q390=$O$38,IFERROR(LARGE($V$176:$V390,1)&lt;$N$42,TRUE)),1,IF(AND(ISNUMBER($O390),$O390&lt;$N$32),$O390+1,""))</f>
        <v/>
      </c>
      <c r="P391" s="26" t="str">
        <f t="shared" si="108"/>
        <v/>
      </c>
      <c r="Q391" s="26" t="str">
        <f t="shared" si="95"/>
        <v/>
      </c>
      <c r="R391" s="24" t="str">
        <f t="shared" si="109"/>
        <v/>
      </c>
      <c r="S391" s="180">
        <f t="shared" si="110"/>
        <v>9</v>
      </c>
      <c r="T391" s="151"/>
      <c r="U391" s="25" t="str">
        <f t="shared" si="96"/>
        <v/>
      </c>
      <c r="V391" s="24" t="str">
        <f>IF(AND(ISNUMBER(R390),ISNUMBER(R391)),V390,IF(AND(R390="",ISNUMBER(R391)),IFERROR(LARGE($V$176:$V390,1)+1,0),""))</f>
        <v/>
      </c>
      <c r="W391" s="23" t="str">
        <f t="shared" si="97"/>
        <v/>
      </c>
      <c r="X391" s="22" t="str">
        <f t="shared" si="98"/>
        <v/>
      </c>
      <c r="Y391" s="22"/>
      <c r="Z391" s="22"/>
      <c r="AA391" s="22"/>
      <c r="AB391" s="22" t="str" cm="1">
        <f t="array" ref="AB391">IF(IF(AND($P390="",$P391=1),($N$37*-1),0)+IF(AND($Q390="",$Q391=1),($N$38*-1),0)+IF(IF(($K391-$N$48)&lt;1,0,IF(IF(INDEX($AD$176:$AD$905,($K391-$N$48))="",0,INDEX($AD$176:$AD$905,($K391-$N$48)))&gt;0,IF(INDEX($AD$176:$AD$905,($K391-$N$48))="",0,INDEX($AD$176:$AD$905,($K391-$N$48))),0))="",0,IF(($K391-$N$48)&lt;1,0,IF(IF(INDEX($AD$176:$AD$905,($K391-$N$48))="",0,INDEX($AD$176:$AD$905,($K391-$N$48)))&gt;0,IF(INDEX($AD$176:$AD$905,($K391-$N$48))="",0,INDEX($AD$176:$AD$905,($K391-$N$48))),0)))=0,"",IF(AND($P390="",$P391=1),($N$37*-1),0)+IF(AND($Q390="",$Q391=1),($N$38*-1),0)+IF(IF(($K391-$N$48)&lt;1,0,IF(IF(INDEX($AD$176:$AD$905,($K391-$N$48))="",0,INDEX($AD$176:$AD$905,($K391-$N$48)))&gt;0,IF(INDEX($AD$176:$AD$905,($K391-$N$48))="",0,INDEX($AD$176:$AD$905,($K391-$N$48))),0))="",0,IF(($K391-$N$48)&lt;1,0,IF(IF(INDEX($AD$176:$AD$905,($K391-$N$48))="",0,INDEX($AD$176:$AD$905,($K391-$N$48)))&gt;0,IF(INDEX($AD$176:$AD$905,($K391-$N$48))="",0,INDEX($AD$176:$AD$905,($K391-$N$48))),0))))</f>
        <v/>
      </c>
      <c r="AC391" s="22" t="str">
        <f t="shared" si="99"/>
        <v/>
      </c>
      <c r="AD391" s="22" t="str">
        <f t="shared" si="111"/>
        <v/>
      </c>
      <c r="AE391" s="22" t="str" cm="1">
        <f t="array" ref="AE391">IF(($K391-$N$48)&lt;1,"",IF((IF(INDEX($AC$176:$AC$905,($K391-$N$48))="",0,INDEX($AC$176:$AC$905,($K391-$N$48))))=0,"",(IF(INDEX($AC$176:$AC$905,($K391-$N$48))="",0,INDEX($AC$176:$AC$905,($K391-$N$48))))))</f>
        <v/>
      </c>
      <c r="AF391" s="31" t="str">
        <f t="shared" si="100"/>
        <v/>
      </c>
      <c r="AG391" s="31" t="str">
        <f t="shared" si="101"/>
        <v/>
      </c>
      <c r="AH391" s="31" t="str">
        <f t="shared" si="102"/>
        <v/>
      </c>
      <c r="AI391" s="31" t="str">
        <f t="shared" si="103"/>
        <v/>
      </c>
      <c r="AJ391" s="303" t="str">
        <f t="shared" si="104"/>
        <v/>
      </c>
      <c r="AK391" s="139" t="str">
        <f t="shared" si="105"/>
        <v/>
      </c>
      <c r="AM391" s="319"/>
      <c r="AN391" s="40"/>
      <c r="AO391" s="1"/>
    </row>
    <row r="392" spans="7:41" x14ac:dyDescent="0.25">
      <c r="G392" s="235" t="str">
        <f t="shared" si="91"/>
        <v/>
      </c>
      <c r="H392" s="4" t="str">
        <f t="shared" si="92"/>
        <v/>
      </c>
      <c r="I392" s="11" t="str">
        <f t="shared" si="93"/>
        <v>09.00</v>
      </c>
      <c r="K392" s="30">
        <v>217</v>
      </c>
      <c r="L392" s="29">
        <f t="shared" si="106"/>
        <v>11371.908376190917</v>
      </c>
      <c r="M392" s="28" t="str">
        <f t="shared" si="94"/>
        <v/>
      </c>
      <c r="N392" s="27" t="str">
        <f t="shared" si="107"/>
        <v/>
      </c>
      <c r="O392" s="26" t="str">
        <f>IF(AND($Q391=$O$38,IFERROR(LARGE($V$176:$V391,1)&lt;$N$42,TRUE)),1,IF(AND(ISNUMBER($O391),$O391&lt;$N$32),$O391+1,""))</f>
        <v/>
      </c>
      <c r="P392" s="26" t="str">
        <f t="shared" si="108"/>
        <v/>
      </c>
      <c r="Q392" s="26" t="str">
        <f t="shared" si="95"/>
        <v/>
      </c>
      <c r="R392" s="24" t="str">
        <f t="shared" si="109"/>
        <v/>
      </c>
      <c r="S392" s="180">
        <f t="shared" si="110"/>
        <v>9</v>
      </c>
      <c r="T392" s="151"/>
      <c r="U392" s="25" t="str">
        <f t="shared" si="96"/>
        <v/>
      </c>
      <c r="V392" s="24" t="str">
        <f>IF(AND(ISNUMBER(R391),ISNUMBER(R392)),V391,IF(AND(R391="",ISNUMBER(R392)),IFERROR(LARGE($V$176:$V391,1)+1,0),""))</f>
        <v/>
      </c>
      <c r="W392" s="23" t="str">
        <f t="shared" si="97"/>
        <v/>
      </c>
      <c r="X392" s="22" t="str">
        <f t="shared" si="98"/>
        <v/>
      </c>
      <c r="Y392" s="22"/>
      <c r="Z392" s="22"/>
      <c r="AA392" s="22"/>
      <c r="AB392" s="22" t="str" cm="1">
        <f t="array" ref="AB392">IF(IF(AND($P391="",$P392=1),($N$37*-1),0)+IF(AND($Q391="",$Q392=1),($N$38*-1),0)+IF(IF(($K392-$N$48)&lt;1,0,IF(IF(INDEX($AD$176:$AD$905,($K392-$N$48))="",0,INDEX($AD$176:$AD$905,($K392-$N$48)))&gt;0,IF(INDEX($AD$176:$AD$905,($K392-$N$48))="",0,INDEX($AD$176:$AD$905,($K392-$N$48))),0))="",0,IF(($K392-$N$48)&lt;1,0,IF(IF(INDEX($AD$176:$AD$905,($K392-$N$48))="",0,INDEX($AD$176:$AD$905,($K392-$N$48)))&gt;0,IF(INDEX($AD$176:$AD$905,($K392-$N$48))="",0,INDEX($AD$176:$AD$905,($K392-$N$48))),0)))=0,"",IF(AND($P391="",$P392=1),($N$37*-1),0)+IF(AND($Q391="",$Q392=1),($N$38*-1),0)+IF(IF(($K392-$N$48)&lt;1,0,IF(IF(INDEX($AD$176:$AD$905,($K392-$N$48))="",0,INDEX($AD$176:$AD$905,($K392-$N$48)))&gt;0,IF(INDEX($AD$176:$AD$905,($K392-$N$48))="",0,INDEX($AD$176:$AD$905,($K392-$N$48))),0))="",0,IF(($K392-$N$48)&lt;1,0,IF(IF(INDEX($AD$176:$AD$905,($K392-$N$48))="",0,INDEX($AD$176:$AD$905,($K392-$N$48)))&gt;0,IF(INDEX($AD$176:$AD$905,($K392-$N$48))="",0,INDEX($AD$176:$AD$905,($K392-$N$48))),0))))</f>
        <v/>
      </c>
      <c r="AC392" s="22" t="str">
        <f t="shared" si="99"/>
        <v/>
      </c>
      <c r="AD392" s="22" t="str">
        <f t="shared" si="111"/>
        <v/>
      </c>
      <c r="AE392" s="22" t="str" cm="1">
        <f t="array" ref="AE392">IF(($K392-$N$48)&lt;1,"",IF((IF(INDEX($AC$176:$AC$905,($K392-$N$48))="",0,INDEX($AC$176:$AC$905,($K392-$N$48))))=0,"",(IF(INDEX($AC$176:$AC$905,($K392-$N$48))="",0,INDEX($AC$176:$AC$905,($K392-$N$48))))))</f>
        <v/>
      </c>
      <c r="AF392" s="31" t="str">
        <f t="shared" si="100"/>
        <v/>
      </c>
      <c r="AG392" s="31" t="str">
        <f t="shared" si="101"/>
        <v/>
      </c>
      <c r="AH392" s="31" t="str">
        <f t="shared" si="102"/>
        <v/>
      </c>
      <c r="AI392" s="31" t="str">
        <f t="shared" si="103"/>
        <v/>
      </c>
      <c r="AJ392" s="303" t="str">
        <f t="shared" si="104"/>
        <v/>
      </c>
      <c r="AK392" s="139" t="str">
        <f t="shared" si="105"/>
        <v/>
      </c>
      <c r="AM392" s="319"/>
      <c r="AN392" s="40"/>
      <c r="AO392" s="1"/>
    </row>
    <row r="393" spans="7:41" x14ac:dyDescent="0.25">
      <c r="G393" s="235" t="str">
        <f t="shared" si="91"/>
        <v/>
      </c>
      <c r="H393" s="4" t="str">
        <f t="shared" si="92"/>
        <v/>
      </c>
      <c r="I393" s="11" t="str">
        <f t="shared" si="93"/>
        <v>09.00</v>
      </c>
      <c r="K393" s="30">
        <v>218</v>
      </c>
      <c r="L393" s="29">
        <f t="shared" si="106"/>
        <v>11371.908376190917</v>
      </c>
      <c r="M393" s="28" t="str">
        <f t="shared" si="94"/>
        <v/>
      </c>
      <c r="N393" s="27" t="str">
        <f t="shared" si="107"/>
        <v/>
      </c>
      <c r="O393" s="26" t="str">
        <f>IF(AND($Q392=$O$38,IFERROR(LARGE($V$176:$V392,1)&lt;$N$42,TRUE)),1,IF(AND(ISNUMBER($O392),$O392&lt;$N$32),$O392+1,""))</f>
        <v/>
      </c>
      <c r="P393" s="26" t="str">
        <f t="shared" si="108"/>
        <v/>
      </c>
      <c r="Q393" s="26" t="str">
        <f t="shared" si="95"/>
        <v/>
      </c>
      <c r="R393" s="24" t="str">
        <f t="shared" si="109"/>
        <v/>
      </c>
      <c r="S393" s="180">
        <f t="shared" si="110"/>
        <v>9</v>
      </c>
      <c r="T393" s="151"/>
      <c r="U393" s="25" t="str">
        <f t="shared" si="96"/>
        <v/>
      </c>
      <c r="V393" s="24" t="str">
        <f>IF(AND(ISNUMBER(R392),ISNUMBER(R393)),V392,IF(AND(R392="",ISNUMBER(R393)),IFERROR(LARGE($V$176:$V392,1)+1,0),""))</f>
        <v/>
      </c>
      <c r="W393" s="23" t="str">
        <f t="shared" si="97"/>
        <v/>
      </c>
      <c r="X393" s="22" t="str">
        <f t="shared" si="98"/>
        <v/>
      </c>
      <c r="Y393" s="22"/>
      <c r="Z393" s="22"/>
      <c r="AA393" s="22"/>
      <c r="AB393" s="22" t="str" cm="1">
        <f t="array" ref="AB393">IF(IF(AND($P392="",$P393=1),($N$37*-1),0)+IF(AND($Q392="",$Q393=1),($N$38*-1),0)+IF(IF(($K393-$N$48)&lt;1,0,IF(IF(INDEX($AD$176:$AD$905,($K393-$N$48))="",0,INDEX($AD$176:$AD$905,($K393-$N$48)))&gt;0,IF(INDEX($AD$176:$AD$905,($K393-$N$48))="",0,INDEX($AD$176:$AD$905,($K393-$N$48))),0))="",0,IF(($K393-$N$48)&lt;1,0,IF(IF(INDEX($AD$176:$AD$905,($K393-$N$48))="",0,INDEX($AD$176:$AD$905,($K393-$N$48)))&gt;0,IF(INDEX($AD$176:$AD$905,($K393-$N$48))="",0,INDEX($AD$176:$AD$905,($K393-$N$48))),0)))=0,"",IF(AND($P392="",$P393=1),($N$37*-1),0)+IF(AND($Q392="",$Q393=1),($N$38*-1),0)+IF(IF(($K393-$N$48)&lt;1,0,IF(IF(INDEX($AD$176:$AD$905,($K393-$N$48))="",0,INDEX($AD$176:$AD$905,($K393-$N$48)))&gt;0,IF(INDEX($AD$176:$AD$905,($K393-$N$48))="",0,INDEX($AD$176:$AD$905,($K393-$N$48))),0))="",0,IF(($K393-$N$48)&lt;1,0,IF(IF(INDEX($AD$176:$AD$905,($K393-$N$48))="",0,INDEX($AD$176:$AD$905,($K393-$N$48)))&gt;0,IF(INDEX($AD$176:$AD$905,($K393-$N$48))="",0,INDEX($AD$176:$AD$905,($K393-$N$48))),0))))</f>
        <v/>
      </c>
      <c r="AC393" s="22" t="str">
        <f t="shared" si="99"/>
        <v/>
      </c>
      <c r="AD393" s="22" t="str">
        <f t="shared" si="111"/>
        <v/>
      </c>
      <c r="AE393" s="22" t="str" cm="1">
        <f t="array" ref="AE393">IF(($K393-$N$48)&lt;1,"",IF((IF(INDEX($AC$176:$AC$905,($K393-$N$48))="",0,INDEX($AC$176:$AC$905,($K393-$N$48))))=0,"",(IF(INDEX($AC$176:$AC$905,($K393-$N$48))="",0,INDEX($AC$176:$AC$905,($K393-$N$48))))))</f>
        <v/>
      </c>
      <c r="AF393" s="31" t="str">
        <f t="shared" si="100"/>
        <v/>
      </c>
      <c r="AG393" s="31" t="str">
        <f t="shared" si="101"/>
        <v/>
      </c>
      <c r="AH393" s="31" t="str">
        <f t="shared" si="102"/>
        <v/>
      </c>
      <c r="AI393" s="31" t="str">
        <f t="shared" si="103"/>
        <v/>
      </c>
      <c r="AJ393" s="303" t="str">
        <f t="shared" si="104"/>
        <v/>
      </c>
      <c r="AK393" s="139" t="str">
        <f t="shared" si="105"/>
        <v/>
      </c>
      <c r="AM393" s="319"/>
      <c r="AN393" s="40"/>
      <c r="AO393" s="1"/>
    </row>
    <row r="394" spans="7:41" x14ac:dyDescent="0.25">
      <c r="G394" s="235" t="str">
        <f t="shared" si="91"/>
        <v/>
      </c>
      <c r="H394" s="4" t="str">
        <f t="shared" si="92"/>
        <v/>
      </c>
      <c r="I394" s="11" t="str">
        <f t="shared" si="93"/>
        <v>09.00</v>
      </c>
      <c r="K394" s="30">
        <v>219</v>
      </c>
      <c r="L394" s="29">
        <f t="shared" si="106"/>
        <v>11371.908376190917</v>
      </c>
      <c r="M394" s="28" t="str">
        <f t="shared" si="94"/>
        <v/>
      </c>
      <c r="N394" s="27" t="str">
        <f t="shared" si="107"/>
        <v/>
      </c>
      <c r="O394" s="26" t="str">
        <f>IF(AND($Q393=$O$38,IFERROR(LARGE($V$176:$V393,1)&lt;$N$42,TRUE)),1,IF(AND(ISNUMBER($O393),$O393&lt;$N$32),$O393+1,""))</f>
        <v/>
      </c>
      <c r="P394" s="26" t="str">
        <f t="shared" si="108"/>
        <v/>
      </c>
      <c r="Q394" s="26" t="str">
        <f t="shared" si="95"/>
        <v/>
      </c>
      <c r="R394" s="24" t="str">
        <f t="shared" si="109"/>
        <v/>
      </c>
      <c r="S394" s="180">
        <f t="shared" si="110"/>
        <v>9</v>
      </c>
      <c r="T394" s="151"/>
      <c r="U394" s="25" t="str">
        <f t="shared" si="96"/>
        <v/>
      </c>
      <c r="V394" s="24" t="str">
        <f>IF(AND(ISNUMBER(R393),ISNUMBER(R394)),V393,IF(AND(R393="",ISNUMBER(R394)),IFERROR(LARGE($V$176:$V393,1)+1,0),""))</f>
        <v/>
      </c>
      <c r="W394" s="23" t="str">
        <f t="shared" si="97"/>
        <v/>
      </c>
      <c r="X394" s="22" t="str">
        <f t="shared" si="98"/>
        <v/>
      </c>
      <c r="Y394" s="22"/>
      <c r="Z394" s="22"/>
      <c r="AA394" s="22"/>
      <c r="AB394" s="22" t="str" cm="1">
        <f t="array" ref="AB394">IF(IF(AND($P393="",$P394=1),($N$37*-1),0)+IF(AND($Q393="",$Q394=1),($N$38*-1),0)+IF(IF(($K394-$N$48)&lt;1,0,IF(IF(INDEX($AD$176:$AD$905,($K394-$N$48))="",0,INDEX($AD$176:$AD$905,($K394-$N$48)))&gt;0,IF(INDEX($AD$176:$AD$905,($K394-$N$48))="",0,INDEX($AD$176:$AD$905,($K394-$N$48))),0))="",0,IF(($K394-$N$48)&lt;1,0,IF(IF(INDEX($AD$176:$AD$905,($K394-$N$48))="",0,INDEX($AD$176:$AD$905,($K394-$N$48)))&gt;0,IF(INDEX($AD$176:$AD$905,($K394-$N$48))="",0,INDEX($AD$176:$AD$905,($K394-$N$48))),0)))=0,"",IF(AND($P393="",$P394=1),($N$37*-1),0)+IF(AND($Q393="",$Q394=1),($N$38*-1),0)+IF(IF(($K394-$N$48)&lt;1,0,IF(IF(INDEX($AD$176:$AD$905,($K394-$N$48))="",0,INDEX($AD$176:$AD$905,($K394-$N$48)))&gt;0,IF(INDEX($AD$176:$AD$905,($K394-$N$48))="",0,INDEX($AD$176:$AD$905,($K394-$N$48))),0))="",0,IF(($K394-$N$48)&lt;1,0,IF(IF(INDEX($AD$176:$AD$905,($K394-$N$48))="",0,INDEX($AD$176:$AD$905,($K394-$N$48)))&gt;0,IF(INDEX($AD$176:$AD$905,($K394-$N$48))="",0,INDEX($AD$176:$AD$905,($K394-$N$48))),0))))</f>
        <v/>
      </c>
      <c r="AC394" s="22" t="str">
        <f t="shared" si="99"/>
        <v/>
      </c>
      <c r="AD394" s="22" t="str">
        <f t="shared" si="111"/>
        <v/>
      </c>
      <c r="AE394" s="22" t="str" cm="1">
        <f t="array" ref="AE394">IF(($K394-$N$48)&lt;1,"",IF((IF(INDEX($AC$176:$AC$905,($K394-$N$48))="",0,INDEX($AC$176:$AC$905,($K394-$N$48))))=0,"",(IF(INDEX($AC$176:$AC$905,($K394-$N$48))="",0,INDEX($AC$176:$AC$905,($K394-$N$48))))))</f>
        <v/>
      </c>
      <c r="AF394" s="31" t="str">
        <f t="shared" si="100"/>
        <v/>
      </c>
      <c r="AG394" s="31" t="str">
        <f t="shared" si="101"/>
        <v/>
      </c>
      <c r="AH394" s="31" t="str">
        <f t="shared" si="102"/>
        <v/>
      </c>
      <c r="AI394" s="31" t="str">
        <f t="shared" si="103"/>
        <v/>
      </c>
      <c r="AJ394" s="303" t="str">
        <f t="shared" si="104"/>
        <v/>
      </c>
      <c r="AK394" s="139" t="str">
        <f t="shared" si="105"/>
        <v/>
      </c>
      <c r="AM394" s="319"/>
      <c r="AN394" s="40"/>
      <c r="AO394" s="1"/>
    </row>
    <row r="395" spans="7:41" x14ac:dyDescent="0.25">
      <c r="G395" s="235" t="str">
        <f t="shared" si="91"/>
        <v/>
      </c>
      <c r="H395" s="4" t="str">
        <f t="shared" si="92"/>
        <v/>
      </c>
      <c r="I395" s="11" t="str">
        <f t="shared" si="93"/>
        <v>09.00</v>
      </c>
      <c r="K395" s="30">
        <v>220</v>
      </c>
      <c r="L395" s="29">
        <f t="shared" si="106"/>
        <v>11371.908376190917</v>
      </c>
      <c r="M395" s="28" t="str">
        <f t="shared" si="94"/>
        <v/>
      </c>
      <c r="N395" s="27" t="str">
        <f t="shared" si="107"/>
        <v/>
      </c>
      <c r="O395" s="26" t="str">
        <f>IF(AND($Q394=$O$38,IFERROR(LARGE($V$176:$V394,1)&lt;$N$42,TRUE)),1,IF(AND(ISNUMBER($O394),$O394&lt;$N$32),$O394+1,""))</f>
        <v/>
      </c>
      <c r="P395" s="26" t="str">
        <f t="shared" si="108"/>
        <v/>
      </c>
      <c r="Q395" s="26" t="str">
        <f t="shared" si="95"/>
        <v/>
      </c>
      <c r="R395" s="24" t="str">
        <f t="shared" si="109"/>
        <v/>
      </c>
      <c r="S395" s="180">
        <f t="shared" si="110"/>
        <v>9</v>
      </c>
      <c r="T395" s="151"/>
      <c r="U395" s="25" t="str">
        <f t="shared" si="96"/>
        <v/>
      </c>
      <c r="V395" s="24" t="str">
        <f>IF(AND(ISNUMBER(R394),ISNUMBER(R395)),V394,IF(AND(R394="",ISNUMBER(R395)),IFERROR(LARGE($V$176:$V394,1)+1,0),""))</f>
        <v/>
      </c>
      <c r="W395" s="23" t="str">
        <f t="shared" si="97"/>
        <v/>
      </c>
      <c r="X395" s="22" t="str">
        <f t="shared" si="98"/>
        <v/>
      </c>
      <c r="Y395" s="22"/>
      <c r="Z395" s="22"/>
      <c r="AA395" s="22"/>
      <c r="AB395" s="22" t="str" cm="1">
        <f t="array" ref="AB395">IF(IF(AND($P394="",$P395=1),($N$37*-1),0)+IF(AND($Q394="",$Q395=1),($N$38*-1),0)+IF(IF(($K395-$N$48)&lt;1,0,IF(IF(INDEX($AD$176:$AD$905,($K395-$N$48))="",0,INDEX($AD$176:$AD$905,($K395-$N$48)))&gt;0,IF(INDEX($AD$176:$AD$905,($K395-$N$48))="",0,INDEX($AD$176:$AD$905,($K395-$N$48))),0))="",0,IF(($K395-$N$48)&lt;1,0,IF(IF(INDEX($AD$176:$AD$905,($K395-$N$48))="",0,INDEX($AD$176:$AD$905,($K395-$N$48)))&gt;0,IF(INDEX($AD$176:$AD$905,($K395-$N$48))="",0,INDEX($AD$176:$AD$905,($K395-$N$48))),0)))=0,"",IF(AND($P394="",$P395=1),($N$37*-1),0)+IF(AND($Q394="",$Q395=1),($N$38*-1),0)+IF(IF(($K395-$N$48)&lt;1,0,IF(IF(INDEX($AD$176:$AD$905,($K395-$N$48))="",0,INDEX($AD$176:$AD$905,($K395-$N$48)))&gt;0,IF(INDEX($AD$176:$AD$905,($K395-$N$48))="",0,INDEX($AD$176:$AD$905,($K395-$N$48))),0))="",0,IF(($K395-$N$48)&lt;1,0,IF(IF(INDEX($AD$176:$AD$905,($K395-$N$48))="",0,INDEX($AD$176:$AD$905,($K395-$N$48)))&gt;0,IF(INDEX($AD$176:$AD$905,($K395-$N$48))="",0,INDEX($AD$176:$AD$905,($K395-$N$48))),0))))</f>
        <v/>
      </c>
      <c r="AC395" s="22" t="str">
        <f t="shared" si="99"/>
        <v/>
      </c>
      <c r="AD395" s="22" t="str">
        <f t="shared" si="111"/>
        <v/>
      </c>
      <c r="AE395" s="22" t="str" cm="1">
        <f t="array" ref="AE395">IF(($K395-$N$48)&lt;1,"",IF((IF(INDEX($AC$176:$AC$905,($K395-$N$48))="",0,INDEX($AC$176:$AC$905,($K395-$N$48))))=0,"",(IF(INDEX($AC$176:$AC$905,($K395-$N$48))="",0,INDEX($AC$176:$AC$905,($K395-$N$48))))))</f>
        <v/>
      </c>
      <c r="AF395" s="31" t="str">
        <f t="shared" si="100"/>
        <v/>
      </c>
      <c r="AG395" s="31" t="str">
        <f t="shared" si="101"/>
        <v/>
      </c>
      <c r="AH395" s="31" t="str">
        <f t="shared" si="102"/>
        <v/>
      </c>
      <c r="AI395" s="31" t="str">
        <f t="shared" si="103"/>
        <v/>
      </c>
      <c r="AJ395" s="303" t="str">
        <f t="shared" si="104"/>
        <v/>
      </c>
      <c r="AK395" s="139" t="str">
        <f t="shared" si="105"/>
        <v/>
      </c>
      <c r="AM395" s="319"/>
      <c r="AN395" s="40"/>
      <c r="AO395" s="1"/>
    </row>
    <row r="396" spans="7:41" x14ac:dyDescent="0.25">
      <c r="G396" s="235" t="str">
        <f t="shared" si="91"/>
        <v/>
      </c>
      <c r="H396" s="4" t="str">
        <f t="shared" si="92"/>
        <v/>
      </c>
      <c r="I396" s="11" t="str">
        <f t="shared" si="93"/>
        <v>09.00</v>
      </c>
      <c r="K396" s="30">
        <v>221</v>
      </c>
      <c r="L396" s="29">
        <f t="shared" si="106"/>
        <v>11371.908376190917</v>
      </c>
      <c r="M396" s="28" t="str">
        <f t="shared" si="94"/>
        <v/>
      </c>
      <c r="N396" s="27" t="str">
        <f t="shared" si="107"/>
        <v/>
      </c>
      <c r="O396" s="26" t="str">
        <f>IF(AND($Q395=$O$38,IFERROR(LARGE($V$176:$V395,1)&lt;$N$42,TRUE)),1,IF(AND(ISNUMBER($O395),$O395&lt;$N$32),$O395+1,""))</f>
        <v/>
      </c>
      <c r="P396" s="26" t="str">
        <f t="shared" si="108"/>
        <v/>
      </c>
      <c r="Q396" s="26" t="str">
        <f t="shared" si="95"/>
        <v/>
      </c>
      <c r="R396" s="24" t="str">
        <f t="shared" si="109"/>
        <v/>
      </c>
      <c r="S396" s="180">
        <f t="shared" si="110"/>
        <v>9</v>
      </c>
      <c r="T396" s="151"/>
      <c r="U396" s="25" t="str">
        <f t="shared" si="96"/>
        <v/>
      </c>
      <c r="V396" s="24" t="str">
        <f>IF(AND(ISNUMBER(R395),ISNUMBER(R396)),V395,IF(AND(R395="",ISNUMBER(R396)),IFERROR(LARGE($V$176:$V395,1)+1,0),""))</f>
        <v/>
      </c>
      <c r="W396" s="23" t="str">
        <f t="shared" si="97"/>
        <v/>
      </c>
      <c r="X396" s="22" t="str">
        <f t="shared" si="98"/>
        <v/>
      </c>
      <c r="Y396" s="22"/>
      <c r="Z396" s="22"/>
      <c r="AA396" s="22"/>
      <c r="AB396" s="22" t="str" cm="1">
        <f t="array" ref="AB396">IF(IF(AND($P395="",$P396=1),($N$37*-1),0)+IF(AND($Q395="",$Q396=1),($N$38*-1),0)+IF(IF(($K396-$N$48)&lt;1,0,IF(IF(INDEX($AD$176:$AD$905,($K396-$N$48))="",0,INDEX($AD$176:$AD$905,($K396-$N$48)))&gt;0,IF(INDEX($AD$176:$AD$905,($K396-$N$48))="",0,INDEX($AD$176:$AD$905,($K396-$N$48))),0))="",0,IF(($K396-$N$48)&lt;1,0,IF(IF(INDEX($AD$176:$AD$905,($K396-$N$48))="",0,INDEX($AD$176:$AD$905,($K396-$N$48)))&gt;0,IF(INDEX($AD$176:$AD$905,($K396-$N$48))="",0,INDEX($AD$176:$AD$905,($K396-$N$48))),0)))=0,"",IF(AND($P395="",$P396=1),($N$37*-1),0)+IF(AND($Q395="",$Q396=1),($N$38*-1),0)+IF(IF(($K396-$N$48)&lt;1,0,IF(IF(INDEX($AD$176:$AD$905,($K396-$N$48))="",0,INDEX($AD$176:$AD$905,($K396-$N$48)))&gt;0,IF(INDEX($AD$176:$AD$905,($K396-$N$48))="",0,INDEX($AD$176:$AD$905,($K396-$N$48))),0))="",0,IF(($K396-$N$48)&lt;1,0,IF(IF(INDEX($AD$176:$AD$905,($K396-$N$48))="",0,INDEX($AD$176:$AD$905,($K396-$N$48)))&gt;0,IF(INDEX($AD$176:$AD$905,($K396-$N$48))="",0,INDEX($AD$176:$AD$905,($K396-$N$48))),0))))</f>
        <v/>
      </c>
      <c r="AC396" s="22" t="str">
        <f t="shared" si="99"/>
        <v/>
      </c>
      <c r="AD396" s="22" t="str">
        <f t="shared" si="111"/>
        <v/>
      </c>
      <c r="AE396" s="22" t="str" cm="1">
        <f t="array" ref="AE396">IF(($K396-$N$48)&lt;1,"",IF((IF(INDEX($AC$176:$AC$905,($K396-$N$48))="",0,INDEX($AC$176:$AC$905,($K396-$N$48))))=0,"",(IF(INDEX($AC$176:$AC$905,($K396-$N$48))="",0,INDEX($AC$176:$AC$905,($K396-$N$48))))))</f>
        <v/>
      </c>
      <c r="AF396" s="31" t="str">
        <f t="shared" si="100"/>
        <v/>
      </c>
      <c r="AG396" s="31" t="str">
        <f t="shared" si="101"/>
        <v/>
      </c>
      <c r="AH396" s="31" t="str">
        <f t="shared" si="102"/>
        <v/>
      </c>
      <c r="AI396" s="31" t="str">
        <f t="shared" si="103"/>
        <v/>
      </c>
      <c r="AJ396" s="303" t="str">
        <f t="shared" si="104"/>
        <v/>
      </c>
      <c r="AK396" s="139" t="str">
        <f t="shared" si="105"/>
        <v/>
      </c>
      <c r="AM396" s="319"/>
      <c r="AN396" s="40"/>
      <c r="AO396" s="1"/>
    </row>
    <row r="397" spans="7:41" x14ac:dyDescent="0.25">
      <c r="G397" s="235" t="str">
        <f>IF(RIGHT(H397,2)=".N","NEW",IF(SUM(N397:R397)=0,"",LEFT(H397,5)))</f>
        <v/>
      </c>
      <c r="H397" s="4" t="str">
        <f t="shared" si="92"/>
        <v/>
      </c>
      <c r="I397" s="11" t="str">
        <f t="shared" si="93"/>
        <v>09.00</v>
      </c>
      <c r="K397" s="30">
        <v>222</v>
      </c>
      <c r="L397" s="29">
        <f t="shared" si="106"/>
        <v>11371.908376190917</v>
      </c>
      <c r="M397" s="28" t="str">
        <f t="shared" si="94"/>
        <v/>
      </c>
      <c r="N397" s="27" t="str">
        <f t="shared" si="107"/>
        <v/>
      </c>
      <c r="O397" s="26" t="str">
        <f>IF(AND($Q396=$O$38,IFERROR(LARGE($V$176:$V396,1)&lt;$N$42,TRUE)),1,IF(AND(ISNUMBER($O396),$O396&lt;$N$32),$O396+1,""))</f>
        <v/>
      </c>
      <c r="P397" s="26" t="str">
        <f t="shared" si="108"/>
        <v/>
      </c>
      <c r="Q397" s="26" t="str">
        <f t="shared" si="95"/>
        <v/>
      </c>
      <c r="R397" s="24" t="str">
        <f t="shared" si="109"/>
        <v/>
      </c>
      <c r="S397" s="180">
        <f t="shared" si="110"/>
        <v>9</v>
      </c>
      <c r="T397" s="151"/>
      <c r="U397" s="25" t="str">
        <f t="shared" si="96"/>
        <v/>
      </c>
      <c r="V397" s="24" t="str">
        <f>IF(AND(ISNUMBER(R396),ISNUMBER(R397)),V396,IF(AND(R396="",ISNUMBER(R397)),IFERROR(LARGE($V$176:$V396,1)+1,0),""))</f>
        <v/>
      </c>
      <c r="W397" s="23" t="str">
        <f t="shared" si="97"/>
        <v/>
      </c>
      <c r="X397" s="22" t="str">
        <f t="shared" si="98"/>
        <v/>
      </c>
      <c r="Y397" s="22"/>
      <c r="Z397" s="22"/>
      <c r="AA397" s="22"/>
      <c r="AB397" s="22" t="str" cm="1">
        <f t="array" ref="AB397">IF(IF(AND($P396="",$P397=1),($N$37*-1),0)+IF(AND($Q396="",$Q397=1),($N$38*-1),0)+IF(IF(($K397-$N$48)&lt;1,0,IF(IF(INDEX($AD$176:$AD$905,($K397-$N$48))="",0,INDEX($AD$176:$AD$905,($K397-$N$48)))&gt;0,IF(INDEX($AD$176:$AD$905,($K397-$N$48))="",0,INDEX($AD$176:$AD$905,($K397-$N$48))),0))="",0,IF(($K397-$N$48)&lt;1,0,IF(IF(INDEX($AD$176:$AD$905,($K397-$N$48))="",0,INDEX($AD$176:$AD$905,($K397-$N$48)))&gt;0,IF(INDEX($AD$176:$AD$905,($K397-$N$48))="",0,INDEX($AD$176:$AD$905,($K397-$N$48))),0)))=0,"",IF(AND($P396="",$P397=1),($N$37*-1),0)+IF(AND($Q396="",$Q397=1),($N$38*-1),0)+IF(IF(($K397-$N$48)&lt;1,0,IF(IF(INDEX($AD$176:$AD$905,($K397-$N$48))="",0,INDEX($AD$176:$AD$905,($K397-$N$48)))&gt;0,IF(INDEX($AD$176:$AD$905,($K397-$N$48))="",0,INDEX($AD$176:$AD$905,($K397-$N$48))),0))="",0,IF(($K397-$N$48)&lt;1,0,IF(IF(INDEX($AD$176:$AD$905,($K397-$N$48))="",0,INDEX($AD$176:$AD$905,($K397-$N$48)))&gt;0,IF(INDEX($AD$176:$AD$905,($K397-$N$48))="",0,INDEX($AD$176:$AD$905,($K397-$N$48))),0))))</f>
        <v/>
      </c>
      <c r="AC397" s="22" t="str">
        <f t="shared" si="99"/>
        <v/>
      </c>
      <c r="AD397" s="22" t="str">
        <f t="shared" si="111"/>
        <v/>
      </c>
      <c r="AE397" s="22" t="str" cm="1">
        <f t="array" ref="AE397">IF(($K397-$N$48)&lt;1,"",IF((IF(INDEX($AC$176:$AC$905,($K397-$N$48))="",0,INDEX($AC$176:$AC$905,($K397-$N$48))))=0,"",(IF(INDEX($AC$176:$AC$905,($K397-$N$48))="",0,INDEX($AC$176:$AC$905,($K397-$N$48))))))</f>
        <v/>
      </c>
      <c r="AF397" s="31" t="str">
        <f t="shared" si="100"/>
        <v/>
      </c>
      <c r="AG397" s="31" t="str">
        <f t="shared" si="101"/>
        <v/>
      </c>
      <c r="AH397" s="31" t="str">
        <f t="shared" si="102"/>
        <v/>
      </c>
      <c r="AI397" s="31" t="str">
        <f t="shared" si="103"/>
        <v/>
      </c>
      <c r="AJ397" s="303" t="str">
        <f t="shared" si="104"/>
        <v/>
      </c>
      <c r="AK397" s="139" t="str">
        <f t="shared" si="105"/>
        <v/>
      </c>
      <c r="AM397" s="319"/>
      <c r="AN397" s="40"/>
      <c r="AO397" s="1"/>
    </row>
    <row r="398" spans="7:41" x14ac:dyDescent="0.25">
      <c r="G398" s="235" t="str">
        <f t="shared" ref="G398:G461" si="112">IF(RIGHT(H398,2)=".N","NEW",IF(SUM(N398:R398)=0,"",LEFT(H398,5)))</f>
        <v/>
      </c>
      <c r="H398" s="4" t="str">
        <f>IF(SUM(N398:R398)&gt;0,CONCATENATE(IF(LEN(ROUNDDOWN(S398,0))=1,CONCATENATE("0",ROUNDDOWN(S398,0)),ROUNDDOWN(S398,0)),".",IF(LEN(ROUND(MOD(S398,1)*100,0))=1,CONCATENATE("0",ROUND(MOD(S398,1)*100,0)),ROUND(MOD(S398,1)*100,0)),IF(N398&lt;&gt;"",".N",IF(O398&lt;&gt;"",".R",IF(P398&lt;&gt;"",".O",IF(Q398&lt;&gt;"",".I",IF(R398&lt;&gt;"",".D","")))))),"")</f>
        <v/>
      </c>
      <c r="I398" s="11" t="str">
        <f t="shared" si="93"/>
        <v>09.00</v>
      </c>
      <c r="K398" s="30">
        <v>223</v>
      </c>
      <c r="L398" s="29">
        <f t="shared" si="106"/>
        <v>11371.908376190917</v>
      </c>
      <c r="M398" s="28" t="str">
        <f t="shared" si="94"/>
        <v/>
      </c>
      <c r="N398" s="27" t="str">
        <f t="shared" si="107"/>
        <v/>
      </c>
      <c r="O398" s="26" t="str">
        <f>IF(AND($Q397=$O$38,IFERROR(LARGE($V$176:$V397,1)&lt;$N$42,TRUE)),1,IF(AND(ISNUMBER($O397),$O397&lt;$N$32),$O397+1,""))</f>
        <v/>
      </c>
      <c r="P398" s="26" t="str">
        <f t="shared" si="108"/>
        <v/>
      </c>
      <c r="Q398" s="26" t="str">
        <f t="shared" si="95"/>
        <v/>
      </c>
      <c r="R398" s="24" t="str">
        <f t="shared" si="109"/>
        <v/>
      </c>
      <c r="S398" s="180">
        <f t="shared" si="110"/>
        <v>9</v>
      </c>
      <c r="T398" s="151"/>
      <c r="U398" s="25" t="str">
        <f t="shared" si="96"/>
        <v/>
      </c>
      <c r="V398" s="24" t="str">
        <f>IF(AND(ISNUMBER(R397),ISNUMBER(R398)),V397,IF(AND(R397="",ISNUMBER(R398)),IFERROR(LARGE($V$176:$V397,1)+1,0),""))</f>
        <v/>
      </c>
      <c r="W398" s="23" t="str">
        <f t="shared" si="97"/>
        <v/>
      </c>
      <c r="X398" s="22" t="str">
        <f t="shared" si="98"/>
        <v/>
      </c>
      <c r="Y398" s="22"/>
      <c r="Z398" s="22"/>
      <c r="AA398" s="22"/>
      <c r="AB398" s="22" t="str" cm="1">
        <f t="array" ref="AB398">IF(IF(AND($P397="",$P398=1),($N$37*-1),0)+IF(AND($Q397="",$Q398=1),($N$38*-1),0)+IF(IF(($K398-$N$48)&lt;1,0,IF(IF(INDEX($AD$176:$AD$905,($K398-$N$48))="",0,INDEX($AD$176:$AD$905,($K398-$N$48)))&gt;0,IF(INDEX($AD$176:$AD$905,($K398-$N$48))="",0,INDEX($AD$176:$AD$905,($K398-$N$48))),0))="",0,IF(($K398-$N$48)&lt;1,0,IF(IF(INDEX($AD$176:$AD$905,($K398-$N$48))="",0,INDEX($AD$176:$AD$905,($K398-$N$48)))&gt;0,IF(INDEX($AD$176:$AD$905,($K398-$N$48))="",0,INDEX($AD$176:$AD$905,($K398-$N$48))),0)))=0,"",IF(AND($P397="",$P398=1),($N$37*-1),0)+IF(AND($Q397="",$Q398=1),($N$38*-1),0)+IF(IF(($K398-$N$48)&lt;1,0,IF(IF(INDEX($AD$176:$AD$905,($K398-$N$48))="",0,INDEX($AD$176:$AD$905,($K398-$N$48)))&gt;0,IF(INDEX($AD$176:$AD$905,($K398-$N$48))="",0,INDEX($AD$176:$AD$905,($K398-$N$48))),0))="",0,IF(($K398-$N$48)&lt;1,0,IF(IF(INDEX($AD$176:$AD$905,($K398-$N$48))="",0,INDEX($AD$176:$AD$905,($K398-$N$48)))&gt;0,IF(INDEX($AD$176:$AD$905,($K398-$N$48))="",0,INDEX($AD$176:$AD$905,($K398-$N$48))),0))))</f>
        <v/>
      </c>
      <c r="AC398" s="22" t="str">
        <f t="shared" si="99"/>
        <v/>
      </c>
      <c r="AD398" s="22" t="str">
        <f t="shared" si="111"/>
        <v/>
      </c>
      <c r="AE398" s="22" t="str" cm="1">
        <f t="array" ref="AE398">IF(($K398-$N$48)&lt;1,"",IF((IF(INDEX($AC$176:$AC$905,($K398-$N$48))="",0,INDEX($AC$176:$AC$905,($K398-$N$48))))=0,"",(IF(INDEX($AC$176:$AC$905,($K398-$N$48))="",0,INDEX($AC$176:$AC$905,($K398-$N$48))))))</f>
        <v/>
      </c>
      <c r="AF398" s="31" t="str">
        <f t="shared" si="100"/>
        <v/>
      </c>
      <c r="AG398" s="31" t="str">
        <f t="shared" si="101"/>
        <v/>
      </c>
      <c r="AH398" s="31" t="str">
        <f t="shared" si="102"/>
        <v/>
      </c>
      <c r="AI398" s="31" t="str">
        <f t="shared" si="103"/>
        <v/>
      </c>
      <c r="AJ398" s="303" t="str">
        <f t="shared" si="104"/>
        <v/>
      </c>
      <c r="AK398" s="139" t="str">
        <f t="shared" si="105"/>
        <v/>
      </c>
      <c r="AM398" s="319"/>
      <c r="AN398" s="40"/>
      <c r="AO398" s="1"/>
    </row>
    <row r="399" spans="7:41" x14ac:dyDescent="0.25">
      <c r="G399" s="235" t="str">
        <f t="shared" si="112"/>
        <v/>
      </c>
      <c r="H399" s="4" t="str">
        <f t="shared" ref="H399:H462" si="113">IF(SUM(N399:R399)&gt;0,CONCATENATE(IF(LEN(ROUNDDOWN(S399,0))=1,CONCATENATE("0",ROUNDDOWN(S399,0)),ROUNDDOWN(S399,0)),".",IF(LEN(ROUND(MOD(S399,1)*100,0))=1,CONCATENATE("0",ROUND(MOD(S399,1)*100,0)),ROUND(MOD(S399,1)*100,0)),IF(N399&lt;&gt;"",".N",IF(O399&lt;&gt;"",".R",IF(P399&lt;&gt;"",".O",IF(Q399&lt;&gt;"",".I",IF(R399&lt;&gt;"",".D","")))))),"")</f>
        <v/>
      </c>
      <c r="I399" s="11" t="str">
        <f t="shared" si="93"/>
        <v>09.00</v>
      </c>
      <c r="K399" s="30">
        <v>224</v>
      </c>
      <c r="L399" s="29">
        <f t="shared" si="106"/>
        <v>11371.908376190917</v>
      </c>
      <c r="M399" s="28" t="str">
        <f t="shared" si="94"/>
        <v/>
      </c>
      <c r="N399" s="27" t="str">
        <f t="shared" si="107"/>
        <v/>
      </c>
      <c r="O399" s="26" t="str">
        <f>IF(AND($Q398=$O$38,IFERROR(LARGE($V$176:$V398,1)&lt;$N$42,TRUE)),1,IF(AND(ISNUMBER($O398),$O398&lt;$N$32),$O398+1,""))</f>
        <v/>
      </c>
      <c r="P399" s="26" t="str">
        <f t="shared" si="108"/>
        <v/>
      </c>
      <c r="Q399" s="26" t="str">
        <f t="shared" si="95"/>
        <v/>
      </c>
      <c r="R399" s="24" t="str">
        <f t="shared" si="109"/>
        <v/>
      </c>
      <c r="S399" s="180">
        <f t="shared" si="110"/>
        <v>9</v>
      </c>
      <c r="T399" s="151"/>
      <c r="U399" s="25" t="str">
        <f t="shared" si="96"/>
        <v/>
      </c>
      <c r="V399" s="24" t="str">
        <f>IF(AND(ISNUMBER(R398),ISNUMBER(R399)),V398,IF(AND(R398="",ISNUMBER(R399)),IFERROR(LARGE($V$176:$V398,1)+1,0),""))</f>
        <v/>
      </c>
      <c r="W399" s="23" t="str">
        <f t="shared" si="97"/>
        <v/>
      </c>
      <c r="X399" s="22" t="str">
        <f t="shared" si="98"/>
        <v/>
      </c>
      <c r="Y399" s="22"/>
      <c r="Z399" s="22"/>
      <c r="AA399" s="22"/>
      <c r="AB399" s="22" t="str" cm="1">
        <f t="array" ref="AB399">IF(IF(AND($P398="",$P399=1),($N$37*-1),0)+IF(AND($Q398="",$Q399=1),($N$38*-1),0)+IF(IF(($K399-$N$48)&lt;1,0,IF(IF(INDEX($AD$176:$AD$905,($K399-$N$48))="",0,INDEX($AD$176:$AD$905,($K399-$N$48)))&gt;0,IF(INDEX($AD$176:$AD$905,($K399-$N$48))="",0,INDEX($AD$176:$AD$905,($K399-$N$48))),0))="",0,IF(($K399-$N$48)&lt;1,0,IF(IF(INDEX($AD$176:$AD$905,($K399-$N$48))="",0,INDEX($AD$176:$AD$905,($K399-$N$48)))&gt;0,IF(INDEX($AD$176:$AD$905,($K399-$N$48))="",0,INDEX($AD$176:$AD$905,($K399-$N$48))),0)))=0,"",IF(AND($P398="",$P399=1),($N$37*-1),0)+IF(AND($Q398="",$Q399=1),($N$38*-1),0)+IF(IF(($K399-$N$48)&lt;1,0,IF(IF(INDEX($AD$176:$AD$905,($K399-$N$48))="",0,INDEX($AD$176:$AD$905,($K399-$N$48)))&gt;0,IF(INDEX($AD$176:$AD$905,($K399-$N$48))="",0,INDEX($AD$176:$AD$905,($K399-$N$48))),0))="",0,IF(($K399-$N$48)&lt;1,0,IF(IF(INDEX($AD$176:$AD$905,($K399-$N$48))="",0,INDEX($AD$176:$AD$905,($K399-$N$48)))&gt;0,IF(INDEX($AD$176:$AD$905,($K399-$N$48))="",0,INDEX($AD$176:$AD$905,($K399-$N$48))),0))))</f>
        <v/>
      </c>
      <c r="AC399" s="22" t="str">
        <f t="shared" si="99"/>
        <v/>
      </c>
      <c r="AD399" s="22" t="str">
        <f t="shared" si="111"/>
        <v/>
      </c>
      <c r="AE399" s="22" t="str" cm="1">
        <f t="array" ref="AE399">IF(($K399-$N$48)&lt;1,"",IF((IF(INDEX($AC$176:$AC$905,($K399-$N$48))="",0,INDEX($AC$176:$AC$905,($K399-$N$48))))=0,"",(IF(INDEX($AC$176:$AC$905,($K399-$N$48))="",0,INDEX($AC$176:$AC$905,($K399-$N$48))))))</f>
        <v/>
      </c>
      <c r="AF399" s="31" t="str">
        <f t="shared" si="100"/>
        <v/>
      </c>
      <c r="AG399" s="31" t="str">
        <f t="shared" si="101"/>
        <v/>
      </c>
      <c r="AH399" s="31" t="str">
        <f t="shared" si="102"/>
        <v/>
      </c>
      <c r="AI399" s="31" t="str">
        <f t="shared" si="103"/>
        <v/>
      </c>
      <c r="AJ399" s="303" t="str">
        <f t="shared" si="104"/>
        <v/>
      </c>
      <c r="AK399" s="139" t="str">
        <f t="shared" si="105"/>
        <v/>
      </c>
      <c r="AM399" s="319"/>
      <c r="AN399" s="40"/>
      <c r="AO399" s="1"/>
    </row>
    <row r="400" spans="7:41" x14ac:dyDescent="0.25">
      <c r="G400" s="235" t="str">
        <f t="shared" si="112"/>
        <v/>
      </c>
      <c r="H400" s="4" t="str">
        <f t="shared" si="113"/>
        <v/>
      </c>
      <c r="I400" s="11" t="str">
        <f t="shared" si="93"/>
        <v>09.00</v>
      </c>
      <c r="K400" s="30">
        <v>225</v>
      </c>
      <c r="L400" s="29">
        <f t="shared" si="106"/>
        <v>11371.908376190917</v>
      </c>
      <c r="M400" s="28" t="str">
        <f t="shared" si="94"/>
        <v/>
      </c>
      <c r="N400" s="27" t="str">
        <f t="shared" si="107"/>
        <v/>
      </c>
      <c r="O400" s="26" t="str">
        <f>IF(AND($Q399=$O$38,IFERROR(LARGE($V$176:$V399,1)&lt;$N$42,TRUE)),1,IF(AND(ISNUMBER($O399),$O399&lt;$N$32),$O399+1,""))</f>
        <v/>
      </c>
      <c r="P400" s="26" t="str">
        <f t="shared" si="108"/>
        <v/>
      </c>
      <c r="Q400" s="26" t="str">
        <f t="shared" si="95"/>
        <v/>
      </c>
      <c r="R400" s="24" t="str">
        <f t="shared" si="109"/>
        <v/>
      </c>
      <c r="S400" s="180">
        <f t="shared" si="110"/>
        <v>9</v>
      </c>
      <c r="T400" s="151"/>
      <c r="U400" s="25" t="str">
        <f t="shared" si="96"/>
        <v/>
      </c>
      <c r="V400" s="24" t="str">
        <f>IF(AND(ISNUMBER(R399),ISNUMBER(R400)),V399,IF(AND(R399="",ISNUMBER(R400)),IFERROR(LARGE($V$176:$V399,1)+1,0),""))</f>
        <v/>
      </c>
      <c r="W400" s="23" t="str">
        <f t="shared" si="97"/>
        <v/>
      </c>
      <c r="X400" s="22" t="str">
        <f t="shared" si="98"/>
        <v/>
      </c>
      <c r="Y400" s="22"/>
      <c r="Z400" s="22"/>
      <c r="AA400" s="22"/>
      <c r="AB400" s="22" t="str" cm="1">
        <f t="array" ref="AB400">IF(IF(AND($P399="",$P400=1),($N$37*-1),0)+IF(AND($Q399="",$Q400=1),($N$38*-1),0)+IF(IF(($K400-$N$48)&lt;1,0,IF(IF(INDEX($AD$176:$AD$905,($K400-$N$48))="",0,INDEX($AD$176:$AD$905,($K400-$N$48)))&gt;0,IF(INDEX($AD$176:$AD$905,($K400-$N$48))="",0,INDEX($AD$176:$AD$905,($K400-$N$48))),0))="",0,IF(($K400-$N$48)&lt;1,0,IF(IF(INDEX($AD$176:$AD$905,($K400-$N$48))="",0,INDEX($AD$176:$AD$905,($K400-$N$48)))&gt;0,IF(INDEX($AD$176:$AD$905,($K400-$N$48))="",0,INDEX($AD$176:$AD$905,($K400-$N$48))),0)))=0,"",IF(AND($P399="",$P400=1),($N$37*-1),0)+IF(AND($Q399="",$Q400=1),($N$38*-1),0)+IF(IF(($K400-$N$48)&lt;1,0,IF(IF(INDEX($AD$176:$AD$905,($K400-$N$48))="",0,INDEX($AD$176:$AD$905,($K400-$N$48)))&gt;0,IF(INDEX($AD$176:$AD$905,($K400-$N$48))="",0,INDEX($AD$176:$AD$905,($K400-$N$48))),0))="",0,IF(($K400-$N$48)&lt;1,0,IF(IF(INDEX($AD$176:$AD$905,($K400-$N$48))="",0,INDEX($AD$176:$AD$905,($K400-$N$48)))&gt;0,IF(INDEX($AD$176:$AD$905,($K400-$N$48))="",0,INDEX($AD$176:$AD$905,($K400-$N$48))),0))))</f>
        <v/>
      </c>
      <c r="AC400" s="22" t="str">
        <f t="shared" si="99"/>
        <v/>
      </c>
      <c r="AD400" s="22" t="str">
        <f t="shared" si="111"/>
        <v/>
      </c>
      <c r="AE400" s="22" t="str" cm="1">
        <f t="array" ref="AE400">IF(($K400-$N$48)&lt;1,"",IF((IF(INDEX($AC$176:$AC$905,($K400-$N$48))="",0,INDEX($AC$176:$AC$905,($K400-$N$48))))=0,"",(IF(INDEX($AC$176:$AC$905,($K400-$N$48))="",0,INDEX($AC$176:$AC$905,($K400-$N$48))))))</f>
        <v/>
      </c>
      <c r="AF400" s="31" t="str">
        <f t="shared" si="100"/>
        <v/>
      </c>
      <c r="AG400" s="31" t="str">
        <f t="shared" si="101"/>
        <v/>
      </c>
      <c r="AH400" s="31" t="str">
        <f t="shared" si="102"/>
        <v/>
      </c>
      <c r="AI400" s="31" t="str">
        <f t="shared" si="103"/>
        <v/>
      </c>
      <c r="AJ400" s="303" t="str">
        <f t="shared" si="104"/>
        <v/>
      </c>
      <c r="AK400" s="139" t="str">
        <f t="shared" si="105"/>
        <v/>
      </c>
      <c r="AM400" s="319"/>
      <c r="AN400" s="40"/>
      <c r="AO400" s="1"/>
    </row>
    <row r="401" spans="7:41" x14ac:dyDescent="0.25">
      <c r="G401" s="235" t="str">
        <f t="shared" si="112"/>
        <v/>
      </c>
      <c r="H401" s="4" t="str">
        <f t="shared" si="113"/>
        <v/>
      </c>
      <c r="I401" s="11" t="str">
        <f t="shared" si="93"/>
        <v>09.00</v>
      </c>
      <c r="K401" s="30">
        <v>226</v>
      </c>
      <c r="L401" s="29">
        <f t="shared" si="106"/>
        <v>11371.908376190917</v>
      </c>
      <c r="M401" s="28" t="str">
        <f t="shared" si="94"/>
        <v/>
      </c>
      <c r="N401" s="27" t="str">
        <f t="shared" si="107"/>
        <v/>
      </c>
      <c r="O401" s="26" t="str">
        <f>IF(AND($Q400=$O$38,IFERROR(LARGE($V$176:$V400,1)&lt;$N$42,TRUE)),1,IF(AND(ISNUMBER($O400),$O400&lt;$N$32),$O400+1,""))</f>
        <v/>
      </c>
      <c r="P401" s="26" t="str">
        <f t="shared" si="108"/>
        <v/>
      </c>
      <c r="Q401" s="26" t="str">
        <f t="shared" si="95"/>
        <v/>
      </c>
      <c r="R401" s="24" t="str">
        <f t="shared" si="109"/>
        <v/>
      </c>
      <c r="S401" s="180">
        <f t="shared" si="110"/>
        <v>9</v>
      </c>
      <c r="T401" s="151"/>
      <c r="U401" s="25" t="str">
        <f t="shared" si="96"/>
        <v/>
      </c>
      <c r="V401" s="24" t="str">
        <f>IF(AND(ISNUMBER(R400),ISNUMBER(R401)),V400,IF(AND(R400="",ISNUMBER(R401)),IFERROR(LARGE($V$176:$V400,1)+1,0),""))</f>
        <v/>
      </c>
      <c r="W401" s="23" t="str">
        <f t="shared" si="97"/>
        <v/>
      </c>
      <c r="X401" s="22" t="str">
        <f t="shared" si="98"/>
        <v/>
      </c>
      <c r="Y401" s="22"/>
      <c r="Z401" s="22"/>
      <c r="AA401" s="22"/>
      <c r="AB401" s="22" t="str" cm="1">
        <f t="array" ref="AB401">IF(IF(AND($P400="",$P401=1),($N$37*-1),0)+IF(AND($Q400="",$Q401=1),($N$38*-1),0)+IF(IF(($K401-$N$48)&lt;1,0,IF(IF(INDEX($AD$176:$AD$905,($K401-$N$48))="",0,INDEX($AD$176:$AD$905,($K401-$N$48)))&gt;0,IF(INDEX($AD$176:$AD$905,($K401-$N$48))="",0,INDEX($AD$176:$AD$905,($K401-$N$48))),0))="",0,IF(($K401-$N$48)&lt;1,0,IF(IF(INDEX($AD$176:$AD$905,($K401-$N$48))="",0,INDEX($AD$176:$AD$905,($K401-$N$48)))&gt;0,IF(INDEX($AD$176:$AD$905,($K401-$N$48))="",0,INDEX($AD$176:$AD$905,($K401-$N$48))),0)))=0,"",IF(AND($P400="",$P401=1),($N$37*-1),0)+IF(AND($Q400="",$Q401=1),($N$38*-1),0)+IF(IF(($K401-$N$48)&lt;1,0,IF(IF(INDEX($AD$176:$AD$905,($K401-$N$48))="",0,INDEX($AD$176:$AD$905,($K401-$N$48)))&gt;0,IF(INDEX($AD$176:$AD$905,($K401-$N$48))="",0,INDEX($AD$176:$AD$905,($K401-$N$48))),0))="",0,IF(($K401-$N$48)&lt;1,0,IF(IF(INDEX($AD$176:$AD$905,($K401-$N$48))="",0,INDEX($AD$176:$AD$905,($K401-$N$48)))&gt;0,IF(INDEX($AD$176:$AD$905,($K401-$N$48))="",0,INDEX($AD$176:$AD$905,($K401-$N$48))),0))))</f>
        <v/>
      </c>
      <c r="AC401" s="22" t="str">
        <f t="shared" si="99"/>
        <v/>
      </c>
      <c r="AD401" s="22" t="str">
        <f t="shared" si="111"/>
        <v/>
      </c>
      <c r="AE401" s="22" t="str" cm="1">
        <f t="array" ref="AE401">IF(($K401-$N$48)&lt;1,"",IF((IF(INDEX($AC$176:$AC$905,($K401-$N$48))="",0,INDEX($AC$176:$AC$905,($K401-$N$48))))=0,"",(IF(INDEX($AC$176:$AC$905,($K401-$N$48))="",0,INDEX($AC$176:$AC$905,($K401-$N$48))))))</f>
        <v/>
      </c>
      <c r="AF401" s="31" t="str">
        <f t="shared" si="100"/>
        <v/>
      </c>
      <c r="AG401" s="31" t="str">
        <f t="shared" si="101"/>
        <v/>
      </c>
      <c r="AH401" s="31" t="str">
        <f t="shared" si="102"/>
        <v/>
      </c>
      <c r="AI401" s="31" t="str">
        <f t="shared" si="103"/>
        <v/>
      </c>
      <c r="AJ401" s="303" t="str">
        <f t="shared" si="104"/>
        <v/>
      </c>
      <c r="AK401" s="139" t="str">
        <f t="shared" si="105"/>
        <v/>
      </c>
      <c r="AM401" s="319"/>
      <c r="AN401" s="40"/>
      <c r="AO401" s="1"/>
    </row>
    <row r="402" spans="7:41" x14ac:dyDescent="0.25">
      <c r="G402" s="235" t="str">
        <f t="shared" si="112"/>
        <v/>
      </c>
      <c r="H402" s="4" t="str">
        <f t="shared" si="113"/>
        <v/>
      </c>
      <c r="I402" s="11" t="str">
        <f t="shared" si="93"/>
        <v>09.00</v>
      </c>
      <c r="K402" s="30">
        <v>227</v>
      </c>
      <c r="L402" s="29">
        <f t="shared" si="106"/>
        <v>11371.908376190917</v>
      </c>
      <c r="M402" s="28" t="str">
        <f t="shared" si="94"/>
        <v/>
      </c>
      <c r="N402" s="27" t="str">
        <f t="shared" si="107"/>
        <v/>
      </c>
      <c r="O402" s="26" t="str">
        <f>IF(AND($Q401=$O$38,IFERROR(LARGE($V$176:$V401,1)&lt;$N$42,TRUE)),1,IF(AND(ISNUMBER($O401),$O401&lt;$N$32),$O401+1,""))</f>
        <v/>
      </c>
      <c r="P402" s="26" t="str">
        <f t="shared" si="108"/>
        <v/>
      </c>
      <c r="Q402" s="26" t="str">
        <f t="shared" si="95"/>
        <v/>
      </c>
      <c r="R402" s="24" t="str">
        <f t="shared" si="109"/>
        <v/>
      </c>
      <c r="S402" s="180">
        <f t="shared" si="110"/>
        <v>9</v>
      </c>
      <c r="T402" s="151"/>
      <c r="U402" s="25" t="str">
        <f t="shared" si="96"/>
        <v/>
      </c>
      <c r="V402" s="24" t="str">
        <f>IF(AND(ISNUMBER(R401),ISNUMBER(R402)),V401,IF(AND(R401="",ISNUMBER(R402)),IFERROR(LARGE($V$176:$V401,1)+1,0),""))</f>
        <v/>
      </c>
      <c r="W402" s="23" t="str">
        <f t="shared" si="97"/>
        <v/>
      </c>
      <c r="X402" s="22" t="str">
        <f t="shared" si="98"/>
        <v/>
      </c>
      <c r="Y402" s="22"/>
      <c r="Z402" s="22"/>
      <c r="AA402" s="22"/>
      <c r="AB402" s="22" t="str" cm="1">
        <f t="array" ref="AB402">IF(IF(AND($P401="",$P402=1),($N$37*-1),0)+IF(AND($Q401="",$Q402=1),($N$38*-1),0)+IF(IF(($K402-$N$48)&lt;1,0,IF(IF(INDEX($AD$176:$AD$905,($K402-$N$48))="",0,INDEX($AD$176:$AD$905,($K402-$N$48)))&gt;0,IF(INDEX($AD$176:$AD$905,($K402-$N$48))="",0,INDEX($AD$176:$AD$905,($K402-$N$48))),0))="",0,IF(($K402-$N$48)&lt;1,0,IF(IF(INDEX($AD$176:$AD$905,($K402-$N$48))="",0,INDEX($AD$176:$AD$905,($K402-$N$48)))&gt;0,IF(INDEX($AD$176:$AD$905,($K402-$N$48))="",0,INDEX($AD$176:$AD$905,($K402-$N$48))),0)))=0,"",IF(AND($P401="",$P402=1),($N$37*-1),0)+IF(AND($Q401="",$Q402=1),($N$38*-1),0)+IF(IF(($K402-$N$48)&lt;1,0,IF(IF(INDEX($AD$176:$AD$905,($K402-$N$48))="",0,INDEX($AD$176:$AD$905,($K402-$N$48)))&gt;0,IF(INDEX($AD$176:$AD$905,($K402-$N$48))="",0,INDEX($AD$176:$AD$905,($K402-$N$48))),0))="",0,IF(($K402-$N$48)&lt;1,0,IF(IF(INDEX($AD$176:$AD$905,($K402-$N$48))="",0,INDEX($AD$176:$AD$905,($K402-$N$48)))&gt;0,IF(INDEX($AD$176:$AD$905,($K402-$N$48))="",0,INDEX($AD$176:$AD$905,($K402-$N$48))),0))))</f>
        <v/>
      </c>
      <c r="AC402" s="22" t="str">
        <f t="shared" si="99"/>
        <v/>
      </c>
      <c r="AD402" s="22" t="str">
        <f t="shared" si="111"/>
        <v/>
      </c>
      <c r="AE402" s="22" t="str" cm="1">
        <f t="array" ref="AE402">IF(($K402-$N$48)&lt;1,"",IF((IF(INDEX($AC$176:$AC$905,($K402-$N$48))="",0,INDEX($AC$176:$AC$905,($K402-$N$48))))=0,"",(IF(INDEX($AC$176:$AC$905,($K402-$N$48))="",0,INDEX($AC$176:$AC$905,($K402-$N$48))))))</f>
        <v/>
      </c>
      <c r="AF402" s="31" t="str">
        <f t="shared" si="100"/>
        <v/>
      </c>
      <c r="AG402" s="31" t="str">
        <f t="shared" si="101"/>
        <v/>
      </c>
      <c r="AH402" s="31" t="str">
        <f t="shared" si="102"/>
        <v/>
      </c>
      <c r="AI402" s="31" t="str">
        <f t="shared" si="103"/>
        <v/>
      </c>
      <c r="AJ402" s="303" t="str">
        <f t="shared" si="104"/>
        <v/>
      </c>
      <c r="AK402" s="139" t="str">
        <f t="shared" si="105"/>
        <v/>
      </c>
      <c r="AM402" s="319"/>
      <c r="AN402" s="40"/>
      <c r="AO402" s="1"/>
    </row>
    <row r="403" spans="7:41" x14ac:dyDescent="0.25">
      <c r="G403" s="235" t="str">
        <f t="shared" si="112"/>
        <v/>
      </c>
      <c r="H403" s="4" t="str">
        <f t="shared" si="113"/>
        <v/>
      </c>
      <c r="I403" s="11" t="str">
        <f t="shared" si="93"/>
        <v>09.00</v>
      </c>
      <c r="K403" s="30">
        <v>228</v>
      </c>
      <c r="L403" s="29">
        <f t="shared" si="106"/>
        <v>11371.908376190917</v>
      </c>
      <c r="M403" s="28" t="str">
        <f t="shared" si="94"/>
        <v/>
      </c>
      <c r="N403" s="27" t="str">
        <f t="shared" si="107"/>
        <v/>
      </c>
      <c r="O403" s="26" t="str">
        <f>IF(AND($Q402=$O$38,IFERROR(LARGE($V$176:$V402,1)&lt;$N$42,TRUE)),1,IF(AND(ISNUMBER($O402),$O402&lt;$N$32),$O402+1,""))</f>
        <v/>
      </c>
      <c r="P403" s="26" t="str">
        <f t="shared" si="108"/>
        <v/>
      </c>
      <c r="Q403" s="26" t="str">
        <f t="shared" si="95"/>
        <v/>
      </c>
      <c r="R403" s="24" t="str">
        <f t="shared" si="109"/>
        <v/>
      </c>
      <c r="S403" s="180">
        <f t="shared" si="110"/>
        <v>9</v>
      </c>
      <c r="T403" s="151"/>
      <c r="U403" s="25" t="str">
        <f t="shared" si="96"/>
        <v/>
      </c>
      <c r="V403" s="24" t="str">
        <f>IF(AND(ISNUMBER(R402),ISNUMBER(R403)),V402,IF(AND(R402="",ISNUMBER(R403)),IFERROR(LARGE($V$176:$V402,1)+1,0),""))</f>
        <v/>
      </c>
      <c r="W403" s="23" t="str">
        <f t="shared" si="97"/>
        <v/>
      </c>
      <c r="X403" s="22" t="str">
        <f t="shared" si="98"/>
        <v/>
      </c>
      <c r="Y403" s="22"/>
      <c r="Z403" s="22"/>
      <c r="AA403" s="22"/>
      <c r="AB403" s="22" t="str" cm="1">
        <f t="array" ref="AB403">IF(IF(AND($P402="",$P403=1),($N$37*-1),0)+IF(AND($Q402="",$Q403=1),($N$38*-1),0)+IF(IF(($K403-$N$48)&lt;1,0,IF(IF(INDEX($AD$176:$AD$905,($K403-$N$48))="",0,INDEX($AD$176:$AD$905,($K403-$N$48)))&gt;0,IF(INDEX($AD$176:$AD$905,($K403-$N$48))="",0,INDEX($AD$176:$AD$905,($K403-$N$48))),0))="",0,IF(($K403-$N$48)&lt;1,0,IF(IF(INDEX($AD$176:$AD$905,($K403-$N$48))="",0,INDEX($AD$176:$AD$905,($K403-$N$48)))&gt;0,IF(INDEX($AD$176:$AD$905,($K403-$N$48))="",0,INDEX($AD$176:$AD$905,($K403-$N$48))),0)))=0,"",IF(AND($P402="",$P403=1),($N$37*-1),0)+IF(AND($Q402="",$Q403=1),($N$38*-1),0)+IF(IF(($K403-$N$48)&lt;1,0,IF(IF(INDEX($AD$176:$AD$905,($K403-$N$48))="",0,INDEX($AD$176:$AD$905,($K403-$N$48)))&gt;0,IF(INDEX($AD$176:$AD$905,($K403-$N$48))="",0,INDEX($AD$176:$AD$905,($K403-$N$48))),0))="",0,IF(($K403-$N$48)&lt;1,0,IF(IF(INDEX($AD$176:$AD$905,($K403-$N$48))="",0,INDEX($AD$176:$AD$905,($K403-$N$48)))&gt;0,IF(INDEX($AD$176:$AD$905,($K403-$N$48))="",0,INDEX($AD$176:$AD$905,($K403-$N$48))),0))))</f>
        <v/>
      </c>
      <c r="AC403" s="22" t="str">
        <f t="shared" si="99"/>
        <v/>
      </c>
      <c r="AD403" s="22" t="str">
        <f t="shared" si="111"/>
        <v/>
      </c>
      <c r="AE403" s="22" t="str" cm="1">
        <f t="array" ref="AE403">IF(($K403-$N$48)&lt;1,"",IF((IF(INDEX($AC$176:$AC$905,($K403-$N$48))="",0,INDEX($AC$176:$AC$905,($K403-$N$48))))=0,"",(IF(INDEX($AC$176:$AC$905,($K403-$N$48))="",0,INDEX($AC$176:$AC$905,($K403-$N$48))))))</f>
        <v/>
      </c>
      <c r="AF403" s="31" t="str">
        <f t="shared" si="100"/>
        <v/>
      </c>
      <c r="AG403" s="31" t="str">
        <f t="shared" si="101"/>
        <v/>
      </c>
      <c r="AH403" s="31" t="str">
        <f t="shared" si="102"/>
        <v/>
      </c>
      <c r="AI403" s="31" t="str">
        <f t="shared" si="103"/>
        <v/>
      </c>
      <c r="AJ403" s="303" t="str">
        <f t="shared" si="104"/>
        <v/>
      </c>
      <c r="AK403" s="139" t="str">
        <f t="shared" si="105"/>
        <v/>
      </c>
      <c r="AM403" s="319"/>
      <c r="AN403" s="40"/>
      <c r="AO403" s="1"/>
    </row>
    <row r="404" spans="7:41" x14ac:dyDescent="0.25">
      <c r="G404" s="235" t="str">
        <f t="shared" si="112"/>
        <v/>
      </c>
      <c r="H404" s="4" t="str">
        <f t="shared" si="113"/>
        <v/>
      </c>
      <c r="I404" s="11" t="str">
        <f t="shared" si="93"/>
        <v>09.00</v>
      </c>
      <c r="K404" s="30">
        <v>229</v>
      </c>
      <c r="L404" s="29">
        <f t="shared" si="106"/>
        <v>11371.908376190917</v>
      </c>
      <c r="M404" s="28" t="str">
        <f t="shared" si="94"/>
        <v/>
      </c>
      <c r="N404" s="27" t="str">
        <f t="shared" si="107"/>
        <v/>
      </c>
      <c r="O404" s="26" t="str">
        <f>IF(AND($Q403=$O$38,IFERROR(LARGE($V$176:$V403,1)&lt;$N$42,TRUE)),1,IF(AND(ISNUMBER($O403),$O403&lt;$N$32),$O403+1,""))</f>
        <v/>
      </c>
      <c r="P404" s="26" t="str">
        <f t="shared" si="108"/>
        <v/>
      </c>
      <c r="Q404" s="26" t="str">
        <f t="shared" si="95"/>
        <v/>
      </c>
      <c r="R404" s="24" t="str">
        <f t="shared" si="109"/>
        <v/>
      </c>
      <c r="S404" s="180">
        <f t="shared" si="110"/>
        <v>9</v>
      </c>
      <c r="T404" s="151"/>
      <c r="U404" s="25" t="str">
        <f t="shared" si="96"/>
        <v/>
      </c>
      <c r="V404" s="24" t="str">
        <f>IF(AND(ISNUMBER(R403),ISNUMBER(R404)),V403,IF(AND(R403="",ISNUMBER(R404)),IFERROR(LARGE($V$176:$V403,1)+1,0),""))</f>
        <v/>
      </c>
      <c r="W404" s="23" t="str">
        <f t="shared" si="97"/>
        <v/>
      </c>
      <c r="X404" s="22" t="str">
        <f t="shared" si="98"/>
        <v/>
      </c>
      <c r="Y404" s="22"/>
      <c r="Z404" s="22"/>
      <c r="AA404" s="22"/>
      <c r="AB404" s="22" t="str" cm="1">
        <f t="array" ref="AB404">IF(IF(AND($P403="",$P404=1),($N$37*-1),0)+IF(AND($Q403="",$Q404=1),($N$38*-1),0)+IF(IF(($K404-$N$48)&lt;1,0,IF(IF(INDEX($AD$176:$AD$905,($K404-$N$48))="",0,INDEX($AD$176:$AD$905,($K404-$N$48)))&gt;0,IF(INDEX($AD$176:$AD$905,($K404-$N$48))="",0,INDEX($AD$176:$AD$905,($K404-$N$48))),0))="",0,IF(($K404-$N$48)&lt;1,0,IF(IF(INDEX($AD$176:$AD$905,($K404-$N$48))="",0,INDEX($AD$176:$AD$905,($K404-$N$48)))&gt;0,IF(INDEX($AD$176:$AD$905,($K404-$N$48))="",0,INDEX($AD$176:$AD$905,($K404-$N$48))),0)))=0,"",IF(AND($P403="",$P404=1),($N$37*-1),0)+IF(AND($Q403="",$Q404=1),($N$38*-1),0)+IF(IF(($K404-$N$48)&lt;1,0,IF(IF(INDEX($AD$176:$AD$905,($K404-$N$48))="",0,INDEX($AD$176:$AD$905,($K404-$N$48)))&gt;0,IF(INDEX($AD$176:$AD$905,($K404-$N$48))="",0,INDEX($AD$176:$AD$905,($K404-$N$48))),0))="",0,IF(($K404-$N$48)&lt;1,0,IF(IF(INDEX($AD$176:$AD$905,($K404-$N$48))="",0,INDEX($AD$176:$AD$905,($K404-$N$48)))&gt;0,IF(INDEX($AD$176:$AD$905,($K404-$N$48))="",0,INDEX($AD$176:$AD$905,($K404-$N$48))),0))))</f>
        <v/>
      </c>
      <c r="AC404" s="22" t="str">
        <f t="shared" si="99"/>
        <v/>
      </c>
      <c r="AD404" s="22" t="str">
        <f t="shared" si="111"/>
        <v/>
      </c>
      <c r="AE404" s="22" t="str" cm="1">
        <f t="array" ref="AE404">IF(($K404-$N$48)&lt;1,"",IF((IF(INDEX($AC$176:$AC$905,($K404-$N$48))="",0,INDEX($AC$176:$AC$905,($K404-$N$48))))=0,"",(IF(INDEX($AC$176:$AC$905,($K404-$N$48))="",0,INDEX($AC$176:$AC$905,($K404-$N$48))))))</f>
        <v/>
      </c>
      <c r="AF404" s="31" t="str">
        <f t="shared" si="100"/>
        <v/>
      </c>
      <c r="AG404" s="31" t="str">
        <f t="shared" si="101"/>
        <v/>
      </c>
      <c r="AH404" s="31" t="str">
        <f t="shared" si="102"/>
        <v/>
      </c>
      <c r="AI404" s="31" t="str">
        <f t="shared" si="103"/>
        <v/>
      </c>
      <c r="AJ404" s="303" t="str">
        <f t="shared" si="104"/>
        <v/>
      </c>
      <c r="AK404" s="139" t="str">
        <f t="shared" si="105"/>
        <v/>
      </c>
      <c r="AM404" s="319"/>
      <c r="AN404" s="40"/>
      <c r="AO404" s="1"/>
    </row>
    <row r="405" spans="7:41" x14ac:dyDescent="0.25">
      <c r="G405" s="235" t="str">
        <f t="shared" si="112"/>
        <v/>
      </c>
      <c r="H405" s="4" t="str">
        <f t="shared" si="113"/>
        <v/>
      </c>
      <c r="I405" s="11" t="str">
        <f t="shared" si="93"/>
        <v>09.00</v>
      </c>
      <c r="K405" s="30">
        <v>230</v>
      </c>
      <c r="L405" s="29">
        <f t="shared" si="106"/>
        <v>11371.908376190917</v>
      </c>
      <c r="M405" s="28" t="str">
        <f t="shared" si="94"/>
        <v/>
      </c>
      <c r="N405" s="27" t="str">
        <f t="shared" si="107"/>
        <v/>
      </c>
      <c r="O405" s="26" t="str">
        <f>IF(AND($Q404=$O$38,IFERROR(LARGE($V$176:$V404,1)&lt;$N$42,TRUE)),1,IF(AND(ISNUMBER($O404),$O404&lt;$N$32),$O404+1,""))</f>
        <v/>
      </c>
      <c r="P405" s="26" t="str">
        <f t="shared" si="108"/>
        <v/>
      </c>
      <c r="Q405" s="26" t="str">
        <f t="shared" si="95"/>
        <v/>
      </c>
      <c r="R405" s="24" t="str">
        <f t="shared" si="109"/>
        <v/>
      </c>
      <c r="S405" s="180">
        <f t="shared" si="110"/>
        <v>9</v>
      </c>
      <c r="T405" s="151"/>
      <c r="U405" s="25" t="str">
        <f t="shared" si="96"/>
        <v/>
      </c>
      <c r="V405" s="24" t="str">
        <f>IF(AND(ISNUMBER(R404),ISNUMBER(R405)),V404,IF(AND(R404="",ISNUMBER(R405)),IFERROR(LARGE($V$176:$V404,1)+1,0),""))</f>
        <v/>
      </c>
      <c r="W405" s="23" t="str">
        <f t="shared" si="97"/>
        <v/>
      </c>
      <c r="X405" s="22" t="str">
        <f t="shared" si="98"/>
        <v/>
      </c>
      <c r="Y405" s="22"/>
      <c r="Z405" s="22"/>
      <c r="AA405" s="22"/>
      <c r="AB405" s="22" t="str" cm="1">
        <f t="array" ref="AB405">IF(IF(AND($P404="",$P405=1),($N$37*-1),0)+IF(AND($Q404="",$Q405=1),($N$38*-1),0)+IF(IF(($K405-$N$48)&lt;1,0,IF(IF(INDEX($AD$176:$AD$905,($K405-$N$48))="",0,INDEX($AD$176:$AD$905,($K405-$N$48)))&gt;0,IF(INDEX($AD$176:$AD$905,($K405-$N$48))="",0,INDEX($AD$176:$AD$905,($K405-$N$48))),0))="",0,IF(($K405-$N$48)&lt;1,0,IF(IF(INDEX($AD$176:$AD$905,($K405-$N$48))="",0,INDEX($AD$176:$AD$905,($K405-$N$48)))&gt;0,IF(INDEX($AD$176:$AD$905,($K405-$N$48))="",0,INDEX($AD$176:$AD$905,($K405-$N$48))),0)))=0,"",IF(AND($P404="",$P405=1),($N$37*-1),0)+IF(AND($Q404="",$Q405=1),($N$38*-1),0)+IF(IF(($K405-$N$48)&lt;1,0,IF(IF(INDEX($AD$176:$AD$905,($K405-$N$48))="",0,INDEX($AD$176:$AD$905,($K405-$N$48)))&gt;0,IF(INDEX($AD$176:$AD$905,($K405-$N$48))="",0,INDEX($AD$176:$AD$905,($K405-$N$48))),0))="",0,IF(($K405-$N$48)&lt;1,0,IF(IF(INDEX($AD$176:$AD$905,($K405-$N$48))="",0,INDEX($AD$176:$AD$905,($K405-$N$48)))&gt;0,IF(INDEX($AD$176:$AD$905,($K405-$N$48))="",0,INDEX($AD$176:$AD$905,($K405-$N$48))),0))))</f>
        <v/>
      </c>
      <c r="AC405" s="22" t="str">
        <f t="shared" si="99"/>
        <v/>
      </c>
      <c r="AD405" s="22" t="str">
        <f t="shared" si="111"/>
        <v/>
      </c>
      <c r="AE405" s="22" t="str" cm="1">
        <f t="array" ref="AE405">IF(($K405-$N$48)&lt;1,"",IF((IF(INDEX($AC$176:$AC$905,($K405-$N$48))="",0,INDEX($AC$176:$AC$905,($K405-$N$48))))=0,"",(IF(INDEX($AC$176:$AC$905,($K405-$N$48))="",0,INDEX($AC$176:$AC$905,($K405-$N$48))))))</f>
        <v/>
      </c>
      <c r="AF405" s="31" t="str">
        <f t="shared" si="100"/>
        <v/>
      </c>
      <c r="AG405" s="31" t="str">
        <f t="shared" si="101"/>
        <v/>
      </c>
      <c r="AH405" s="31" t="str">
        <f t="shared" si="102"/>
        <v/>
      </c>
      <c r="AI405" s="31" t="str">
        <f t="shared" si="103"/>
        <v/>
      </c>
      <c r="AJ405" s="303" t="str">
        <f t="shared" si="104"/>
        <v/>
      </c>
      <c r="AK405" s="139" t="str">
        <f t="shared" si="105"/>
        <v/>
      </c>
      <c r="AM405" s="319"/>
      <c r="AN405" s="40"/>
      <c r="AO405" s="1"/>
    </row>
    <row r="406" spans="7:41" x14ac:dyDescent="0.25">
      <c r="G406" s="235" t="str">
        <f t="shared" si="112"/>
        <v/>
      </c>
      <c r="H406" s="4" t="str">
        <f t="shared" si="113"/>
        <v/>
      </c>
      <c r="I406" s="11" t="str">
        <f t="shared" si="93"/>
        <v>09.00</v>
      </c>
      <c r="K406" s="30">
        <v>231</v>
      </c>
      <c r="L406" s="29">
        <f t="shared" si="106"/>
        <v>11371.908376190917</v>
      </c>
      <c r="M406" s="28" t="str">
        <f t="shared" si="94"/>
        <v/>
      </c>
      <c r="N406" s="27" t="str">
        <f t="shared" si="107"/>
        <v/>
      </c>
      <c r="O406" s="26" t="str">
        <f>IF(AND($Q405=$O$38,IFERROR(LARGE($V$176:$V405,1)&lt;$N$42,TRUE)),1,IF(AND(ISNUMBER($O405),$O405&lt;$N$32),$O405+1,""))</f>
        <v/>
      </c>
      <c r="P406" s="26" t="str">
        <f t="shared" si="108"/>
        <v/>
      </c>
      <c r="Q406" s="26" t="str">
        <f t="shared" si="95"/>
        <v/>
      </c>
      <c r="R406" s="24" t="str">
        <f t="shared" si="109"/>
        <v/>
      </c>
      <c r="S406" s="180">
        <f t="shared" si="110"/>
        <v>9</v>
      </c>
      <c r="T406" s="151"/>
      <c r="U406" s="25" t="str">
        <f t="shared" si="96"/>
        <v/>
      </c>
      <c r="V406" s="24" t="str">
        <f>IF(AND(ISNUMBER(R405),ISNUMBER(R406)),V405,IF(AND(R405="",ISNUMBER(R406)),IFERROR(LARGE($V$176:$V405,1)+1,0),""))</f>
        <v/>
      </c>
      <c r="W406" s="23" t="str">
        <f t="shared" si="97"/>
        <v/>
      </c>
      <c r="X406" s="22" t="str">
        <f t="shared" si="98"/>
        <v/>
      </c>
      <c r="Y406" s="22"/>
      <c r="Z406" s="22"/>
      <c r="AA406" s="22"/>
      <c r="AB406" s="22" t="str" cm="1">
        <f t="array" ref="AB406">IF(IF(AND($P405="",$P406=1),($N$37*-1),0)+IF(AND($Q405="",$Q406=1),($N$38*-1),0)+IF(IF(($K406-$N$48)&lt;1,0,IF(IF(INDEX($AD$176:$AD$905,($K406-$N$48))="",0,INDEX($AD$176:$AD$905,($K406-$N$48)))&gt;0,IF(INDEX($AD$176:$AD$905,($K406-$N$48))="",0,INDEX($AD$176:$AD$905,($K406-$N$48))),0))="",0,IF(($K406-$N$48)&lt;1,0,IF(IF(INDEX($AD$176:$AD$905,($K406-$N$48))="",0,INDEX($AD$176:$AD$905,($K406-$N$48)))&gt;0,IF(INDEX($AD$176:$AD$905,($K406-$N$48))="",0,INDEX($AD$176:$AD$905,($K406-$N$48))),0)))=0,"",IF(AND($P405="",$P406=1),($N$37*-1),0)+IF(AND($Q405="",$Q406=1),($N$38*-1),0)+IF(IF(($K406-$N$48)&lt;1,0,IF(IF(INDEX($AD$176:$AD$905,($K406-$N$48))="",0,INDEX($AD$176:$AD$905,($K406-$N$48)))&gt;0,IF(INDEX($AD$176:$AD$905,($K406-$N$48))="",0,INDEX($AD$176:$AD$905,($K406-$N$48))),0))="",0,IF(($K406-$N$48)&lt;1,0,IF(IF(INDEX($AD$176:$AD$905,($K406-$N$48))="",0,INDEX($AD$176:$AD$905,($K406-$N$48)))&gt;0,IF(INDEX($AD$176:$AD$905,($K406-$N$48))="",0,INDEX($AD$176:$AD$905,($K406-$N$48))),0))))</f>
        <v/>
      </c>
      <c r="AC406" s="22" t="str">
        <f t="shared" si="99"/>
        <v/>
      </c>
      <c r="AD406" s="22" t="str">
        <f t="shared" si="111"/>
        <v/>
      </c>
      <c r="AE406" s="22" t="str" cm="1">
        <f t="array" ref="AE406">IF(($K406-$N$48)&lt;1,"",IF((IF(INDEX($AC$176:$AC$905,($K406-$N$48))="",0,INDEX($AC$176:$AC$905,($K406-$N$48))))=0,"",(IF(INDEX($AC$176:$AC$905,($K406-$N$48))="",0,INDEX($AC$176:$AC$905,($K406-$N$48))))))</f>
        <v/>
      </c>
      <c r="AF406" s="31" t="str">
        <f t="shared" si="100"/>
        <v/>
      </c>
      <c r="AG406" s="31" t="str">
        <f t="shared" si="101"/>
        <v/>
      </c>
      <c r="AH406" s="31" t="str">
        <f t="shared" si="102"/>
        <v/>
      </c>
      <c r="AI406" s="31" t="str">
        <f t="shared" si="103"/>
        <v/>
      </c>
      <c r="AJ406" s="303" t="str">
        <f t="shared" si="104"/>
        <v/>
      </c>
      <c r="AK406" s="139" t="str">
        <f t="shared" si="105"/>
        <v/>
      </c>
      <c r="AM406" s="319"/>
      <c r="AN406" s="40"/>
      <c r="AO406" s="1"/>
    </row>
    <row r="407" spans="7:41" x14ac:dyDescent="0.25">
      <c r="G407" s="235" t="str">
        <f t="shared" si="112"/>
        <v/>
      </c>
      <c r="H407" s="4" t="str">
        <f t="shared" si="113"/>
        <v/>
      </c>
      <c r="I407" s="11" t="str">
        <f t="shared" si="93"/>
        <v>09.00</v>
      </c>
      <c r="K407" s="30">
        <v>232</v>
      </c>
      <c r="L407" s="29">
        <f t="shared" si="106"/>
        <v>11371.908376190917</v>
      </c>
      <c r="M407" s="28" t="str">
        <f t="shared" si="94"/>
        <v/>
      </c>
      <c r="N407" s="27" t="str">
        <f t="shared" si="107"/>
        <v/>
      </c>
      <c r="O407" s="26" t="str">
        <f>IF(AND($Q406=$O$38,IFERROR(LARGE($V$176:$V406,1)&lt;$N$42,TRUE)),1,IF(AND(ISNUMBER($O406),$O406&lt;$N$32),$O406+1,""))</f>
        <v/>
      </c>
      <c r="P407" s="26" t="str">
        <f t="shared" si="108"/>
        <v/>
      </c>
      <c r="Q407" s="26" t="str">
        <f t="shared" si="95"/>
        <v/>
      </c>
      <c r="R407" s="24" t="str">
        <f t="shared" si="109"/>
        <v/>
      </c>
      <c r="S407" s="180">
        <f t="shared" si="110"/>
        <v>9</v>
      </c>
      <c r="T407" s="151"/>
      <c r="U407" s="25" t="str">
        <f t="shared" si="96"/>
        <v/>
      </c>
      <c r="V407" s="24" t="str">
        <f>IF(AND(ISNUMBER(R406),ISNUMBER(R407)),V406,IF(AND(R406="",ISNUMBER(R407)),IFERROR(LARGE($V$176:$V406,1)+1,0),""))</f>
        <v/>
      </c>
      <c r="W407" s="23" t="str">
        <f t="shared" si="97"/>
        <v/>
      </c>
      <c r="X407" s="22" t="str">
        <f t="shared" si="98"/>
        <v/>
      </c>
      <c r="Y407" s="22"/>
      <c r="Z407" s="22"/>
      <c r="AA407" s="22"/>
      <c r="AB407" s="22" t="str" cm="1">
        <f t="array" ref="AB407">IF(IF(AND($P406="",$P407=1),($N$37*-1),0)+IF(AND($Q406="",$Q407=1),($N$38*-1),0)+IF(IF(($K407-$N$48)&lt;1,0,IF(IF(INDEX($AD$176:$AD$905,($K407-$N$48))="",0,INDEX($AD$176:$AD$905,($K407-$N$48)))&gt;0,IF(INDEX($AD$176:$AD$905,($K407-$N$48))="",0,INDEX($AD$176:$AD$905,($K407-$N$48))),0))="",0,IF(($K407-$N$48)&lt;1,0,IF(IF(INDEX($AD$176:$AD$905,($K407-$N$48))="",0,INDEX($AD$176:$AD$905,($K407-$N$48)))&gt;0,IF(INDEX($AD$176:$AD$905,($K407-$N$48))="",0,INDEX($AD$176:$AD$905,($K407-$N$48))),0)))=0,"",IF(AND($P406="",$P407=1),($N$37*-1),0)+IF(AND($Q406="",$Q407=1),($N$38*-1),0)+IF(IF(($K407-$N$48)&lt;1,0,IF(IF(INDEX($AD$176:$AD$905,($K407-$N$48))="",0,INDEX($AD$176:$AD$905,($K407-$N$48)))&gt;0,IF(INDEX($AD$176:$AD$905,($K407-$N$48))="",0,INDEX($AD$176:$AD$905,($K407-$N$48))),0))="",0,IF(($K407-$N$48)&lt;1,0,IF(IF(INDEX($AD$176:$AD$905,($K407-$N$48))="",0,INDEX($AD$176:$AD$905,($K407-$N$48)))&gt;0,IF(INDEX($AD$176:$AD$905,($K407-$N$48))="",0,INDEX($AD$176:$AD$905,($K407-$N$48))),0))))</f>
        <v/>
      </c>
      <c r="AC407" s="22" t="str">
        <f t="shared" si="99"/>
        <v/>
      </c>
      <c r="AD407" s="22" t="str">
        <f t="shared" si="111"/>
        <v/>
      </c>
      <c r="AE407" s="22" t="str" cm="1">
        <f t="array" ref="AE407">IF(($K407-$N$48)&lt;1,"",IF((IF(INDEX($AC$176:$AC$905,($K407-$N$48))="",0,INDEX($AC$176:$AC$905,($K407-$N$48))))=0,"",(IF(INDEX($AC$176:$AC$905,($K407-$N$48))="",0,INDEX($AC$176:$AC$905,($K407-$N$48))))))</f>
        <v/>
      </c>
      <c r="AF407" s="31" t="str">
        <f t="shared" si="100"/>
        <v/>
      </c>
      <c r="AG407" s="31" t="str">
        <f t="shared" si="101"/>
        <v/>
      </c>
      <c r="AH407" s="31" t="str">
        <f t="shared" si="102"/>
        <v/>
      </c>
      <c r="AI407" s="31" t="str">
        <f t="shared" si="103"/>
        <v/>
      </c>
      <c r="AJ407" s="303" t="str">
        <f t="shared" si="104"/>
        <v/>
      </c>
      <c r="AK407" s="139" t="str">
        <f t="shared" si="105"/>
        <v/>
      </c>
      <c r="AM407" s="319"/>
      <c r="AN407" s="40"/>
      <c r="AO407" s="1"/>
    </row>
    <row r="408" spans="7:41" x14ac:dyDescent="0.25">
      <c r="G408" s="235" t="str">
        <f t="shared" si="112"/>
        <v/>
      </c>
      <c r="H408" s="4" t="str">
        <f t="shared" si="113"/>
        <v/>
      </c>
      <c r="I408" s="11" t="str">
        <f t="shared" si="93"/>
        <v>09.00</v>
      </c>
      <c r="K408" s="30">
        <v>233</v>
      </c>
      <c r="L408" s="29">
        <f t="shared" si="106"/>
        <v>11371.908376190917</v>
      </c>
      <c r="M408" s="28" t="str">
        <f t="shared" si="94"/>
        <v/>
      </c>
      <c r="N408" s="27" t="str">
        <f t="shared" si="107"/>
        <v/>
      </c>
      <c r="O408" s="26" t="str">
        <f>IF(AND($Q407=$O$38,IFERROR(LARGE($V$176:$V407,1)&lt;$N$42,TRUE)),1,IF(AND(ISNUMBER($O407),$O407&lt;$N$32),$O407+1,""))</f>
        <v/>
      </c>
      <c r="P408" s="26" t="str">
        <f t="shared" si="108"/>
        <v/>
      </c>
      <c r="Q408" s="26" t="str">
        <f t="shared" si="95"/>
        <v/>
      </c>
      <c r="R408" s="24" t="str">
        <f t="shared" si="109"/>
        <v/>
      </c>
      <c r="S408" s="180">
        <f t="shared" si="110"/>
        <v>9</v>
      </c>
      <c r="T408" s="151"/>
      <c r="U408" s="25" t="str">
        <f t="shared" si="96"/>
        <v/>
      </c>
      <c r="V408" s="24" t="str">
        <f>IF(AND(ISNUMBER(R407),ISNUMBER(R408)),V407,IF(AND(R407="",ISNUMBER(R408)),IFERROR(LARGE($V$176:$V407,1)+1,0),""))</f>
        <v/>
      </c>
      <c r="W408" s="23" t="str">
        <f t="shared" si="97"/>
        <v/>
      </c>
      <c r="X408" s="22" t="str">
        <f t="shared" si="98"/>
        <v/>
      </c>
      <c r="Y408" s="22"/>
      <c r="Z408" s="22"/>
      <c r="AA408" s="22"/>
      <c r="AB408" s="22" t="str" cm="1">
        <f t="array" ref="AB408">IF(IF(AND($P407="",$P408=1),($N$37*-1),0)+IF(AND($Q407="",$Q408=1),($N$38*-1),0)+IF(IF(($K408-$N$48)&lt;1,0,IF(IF(INDEX($AD$176:$AD$905,($K408-$N$48))="",0,INDEX($AD$176:$AD$905,($K408-$N$48)))&gt;0,IF(INDEX($AD$176:$AD$905,($K408-$N$48))="",0,INDEX($AD$176:$AD$905,($K408-$N$48))),0))="",0,IF(($K408-$N$48)&lt;1,0,IF(IF(INDEX($AD$176:$AD$905,($K408-$N$48))="",0,INDEX($AD$176:$AD$905,($K408-$N$48)))&gt;0,IF(INDEX($AD$176:$AD$905,($K408-$N$48))="",0,INDEX($AD$176:$AD$905,($K408-$N$48))),0)))=0,"",IF(AND($P407="",$P408=1),($N$37*-1),0)+IF(AND($Q407="",$Q408=1),($N$38*-1),0)+IF(IF(($K408-$N$48)&lt;1,0,IF(IF(INDEX($AD$176:$AD$905,($K408-$N$48))="",0,INDEX($AD$176:$AD$905,($K408-$N$48)))&gt;0,IF(INDEX($AD$176:$AD$905,($K408-$N$48))="",0,INDEX($AD$176:$AD$905,($K408-$N$48))),0))="",0,IF(($K408-$N$48)&lt;1,0,IF(IF(INDEX($AD$176:$AD$905,($K408-$N$48))="",0,INDEX($AD$176:$AD$905,($K408-$N$48)))&gt;0,IF(INDEX($AD$176:$AD$905,($K408-$N$48))="",0,INDEX($AD$176:$AD$905,($K408-$N$48))),0))))</f>
        <v/>
      </c>
      <c r="AC408" s="22" t="str">
        <f t="shared" si="99"/>
        <v/>
      </c>
      <c r="AD408" s="22" t="str">
        <f t="shared" si="111"/>
        <v/>
      </c>
      <c r="AE408" s="22" t="str" cm="1">
        <f t="array" ref="AE408">IF(($K408-$N$48)&lt;1,"",IF((IF(INDEX($AC$176:$AC$905,($K408-$N$48))="",0,INDEX($AC$176:$AC$905,($K408-$N$48))))=0,"",(IF(INDEX($AC$176:$AC$905,($K408-$N$48))="",0,INDEX($AC$176:$AC$905,($K408-$N$48))))))</f>
        <v/>
      </c>
      <c r="AF408" s="31" t="str">
        <f t="shared" si="100"/>
        <v/>
      </c>
      <c r="AG408" s="31" t="str">
        <f t="shared" si="101"/>
        <v/>
      </c>
      <c r="AH408" s="31" t="str">
        <f t="shared" si="102"/>
        <v/>
      </c>
      <c r="AI408" s="31" t="str">
        <f t="shared" si="103"/>
        <v/>
      </c>
      <c r="AJ408" s="303" t="str">
        <f t="shared" si="104"/>
        <v/>
      </c>
      <c r="AK408" s="139" t="str">
        <f t="shared" si="105"/>
        <v/>
      </c>
      <c r="AM408" s="319"/>
      <c r="AN408" s="40"/>
      <c r="AO408" s="1"/>
    </row>
    <row r="409" spans="7:41" x14ac:dyDescent="0.25">
      <c r="G409" s="235" t="str">
        <f t="shared" si="112"/>
        <v/>
      </c>
      <c r="H409" s="4" t="str">
        <f t="shared" si="113"/>
        <v/>
      </c>
      <c r="I409" s="11" t="str">
        <f t="shared" si="93"/>
        <v>09.00</v>
      </c>
      <c r="K409" s="30">
        <v>234</v>
      </c>
      <c r="L409" s="29">
        <f t="shared" si="106"/>
        <v>11371.908376190917</v>
      </c>
      <c r="M409" s="28" t="str">
        <f t="shared" si="94"/>
        <v/>
      </c>
      <c r="N409" s="27" t="str">
        <f t="shared" si="107"/>
        <v/>
      </c>
      <c r="O409" s="26" t="str">
        <f>IF(AND($Q408=$O$38,IFERROR(LARGE($V$176:$V408,1)&lt;$N$42,TRUE)),1,IF(AND(ISNUMBER($O408),$O408&lt;$N$32),$O408+1,""))</f>
        <v/>
      </c>
      <c r="P409" s="26" t="str">
        <f t="shared" si="108"/>
        <v/>
      </c>
      <c r="Q409" s="26" t="str">
        <f t="shared" si="95"/>
        <v/>
      </c>
      <c r="R409" s="24" t="str">
        <f t="shared" si="109"/>
        <v/>
      </c>
      <c r="S409" s="180">
        <f t="shared" si="110"/>
        <v>9</v>
      </c>
      <c r="T409" s="151"/>
      <c r="U409" s="25" t="str">
        <f t="shared" si="96"/>
        <v/>
      </c>
      <c r="V409" s="24" t="str">
        <f>IF(AND(ISNUMBER(R408),ISNUMBER(R409)),V408,IF(AND(R408="",ISNUMBER(R409)),IFERROR(LARGE($V$176:$V408,1)+1,0),""))</f>
        <v/>
      </c>
      <c r="W409" s="23" t="str">
        <f t="shared" si="97"/>
        <v/>
      </c>
      <c r="X409" s="22" t="str">
        <f t="shared" si="98"/>
        <v/>
      </c>
      <c r="Y409" s="22"/>
      <c r="Z409" s="22"/>
      <c r="AA409" s="22"/>
      <c r="AB409" s="22" t="str" cm="1">
        <f t="array" ref="AB409">IF(IF(AND($P408="",$P409=1),($N$37*-1),0)+IF(AND($Q408="",$Q409=1),($N$38*-1),0)+IF(IF(($K409-$N$48)&lt;1,0,IF(IF(INDEX($AD$176:$AD$905,($K409-$N$48))="",0,INDEX($AD$176:$AD$905,($K409-$N$48)))&gt;0,IF(INDEX($AD$176:$AD$905,($K409-$N$48))="",0,INDEX($AD$176:$AD$905,($K409-$N$48))),0))="",0,IF(($K409-$N$48)&lt;1,0,IF(IF(INDEX($AD$176:$AD$905,($K409-$N$48))="",0,INDEX($AD$176:$AD$905,($K409-$N$48)))&gt;0,IF(INDEX($AD$176:$AD$905,($K409-$N$48))="",0,INDEX($AD$176:$AD$905,($K409-$N$48))),0)))=0,"",IF(AND($P408="",$P409=1),($N$37*-1),0)+IF(AND($Q408="",$Q409=1),($N$38*-1),0)+IF(IF(($K409-$N$48)&lt;1,0,IF(IF(INDEX($AD$176:$AD$905,($K409-$N$48))="",0,INDEX($AD$176:$AD$905,($K409-$N$48)))&gt;0,IF(INDEX($AD$176:$AD$905,($K409-$N$48))="",0,INDEX($AD$176:$AD$905,($K409-$N$48))),0))="",0,IF(($K409-$N$48)&lt;1,0,IF(IF(INDEX($AD$176:$AD$905,($K409-$N$48))="",0,INDEX($AD$176:$AD$905,($K409-$N$48)))&gt;0,IF(INDEX($AD$176:$AD$905,($K409-$N$48))="",0,INDEX($AD$176:$AD$905,($K409-$N$48))),0))))</f>
        <v/>
      </c>
      <c r="AC409" s="22" t="str">
        <f t="shared" si="99"/>
        <v/>
      </c>
      <c r="AD409" s="22" t="str">
        <f t="shared" si="111"/>
        <v/>
      </c>
      <c r="AE409" s="22" t="str" cm="1">
        <f t="array" ref="AE409">IF(($K409-$N$48)&lt;1,"",IF((IF(INDEX($AC$176:$AC$905,($K409-$N$48))="",0,INDEX($AC$176:$AC$905,($K409-$N$48))))=0,"",(IF(INDEX($AC$176:$AC$905,($K409-$N$48))="",0,INDEX($AC$176:$AC$905,($K409-$N$48))))))</f>
        <v/>
      </c>
      <c r="AF409" s="31" t="str">
        <f t="shared" si="100"/>
        <v/>
      </c>
      <c r="AG409" s="31" t="str">
        <f t="shared" si="101"/>
        <v/>
      </c>
      <c r="AH409" s="31" t="str">
        <f t="shared" si="102"/>
        <v/>
      </c>
      <c r="AI409" s="31" t="str">
        <f t="shared" si="103"/>
        <v/>
      </c>
      <c r="AJ409" s="303" t="str">
        <f t="shared" si="104"/>
        <v/>
      </c>
      <c r="AK409" s="139" t="str">
        <f t="shared" si="105"/>
        <v/>
      </c>
      <c r="AM409" s="319"/>
      <c r="AN409" s="40"/>
      <c r="AO409" s="1"/>
    </row>
    <row r="410" spans="7:41" x14ac:dyDescent="0.25">
      <c r="G410" s="235" t="str">
        <f t="shared" si="112"/>
        <v/>
      </c>
      <c r="H410" s="4" t="str">
        <f t="shared" si="113"/>
        <v/>
      </c>
      <c r="I410" s="11" t="str">
        <f t="shared" si="93"/>
        <v>09.00</v>
      </c>
      <c r="K410" s="30">
        <v>235</v>
      </c>
      <c r="L410" s="29">
        <f t="shared" si="106"/>
        <v>11371.908376190917</v>
      </c>
      <c r="M410" s="28" t="str">
        <f t="shared" si="94"/>
        <v/>
      </c>
      <c r="N410" s="27" t="str">
        <f t="shared" si="107"/>
        <v/>
      </c>
      <c r="O410" s="26" t="str">
        <f>IF(AND($Q409=$O$38,IFERROR(LARGE($V$176:$V409,1)&lt;$N$42,TRUE)),1,IF(AND(ISNUMBER($O409),$O409&lt;$N$32),$O409+1,""))</f>
        <v/>
      </c>
      <c r="P410" s="26" t="str">
        <f t="shared" si="108"/>
        <v/>
      </c>
      <c r="Q410" s="26" t="str">
        <f t="shared" si="95"/>
        <v/>
      </c>
      <c r="R410" s="24" t="str">
        <f t="shared" si="109"/>
        <v/>
      </c>
      <c r="S410" s="180">
        <f t="shared" si="110"/>
        <v>9</v>
      </c>
      <c r="T410" s="151"/>
      <c r="U410" s="25" t="str">
        <f t="shared" si="96"/>
        <v/>
      </c>
      <c r="V410" s="24" t="str">
        <f>IF(AND(ISNUMBER(R409),ISNUMBER(R410)),V409,IF(AND(R409="",ISNUMBER(R410)),IFERROR(LARGE($V$176:$V409,1)+1,0),""))</f>
        <v/>
      </c>
      <c r="W410" s="23" t="str">
        <f t="shared" si="97"/>
        <v/>
      </c>
      <c r="X410" s="22" t="str">
        <f t="shared" si="98"/>
        <v/>
      </c>
      <c r="Y410" s="22"/>
      <c r="Z410" s="22"/>
      <c r="AA410" s="22"/>
      <c r="AB410" s="22" t="str" cm="1">
        <f t="array" ref="AB410">IF(IF(AND($P409="",$P410=1),($N$37*-1),0)+IF(AND($Q409="",$Q410=1),($N$38*-1),0)+IF(IF(($K410-$N$48)&lt;1,0,IF(IF(INDEX($AD$176:$AD$905,($K410-$N$48))="",0,INDEX($AD$176:$AD$905,($K410-$N$48)))&gt;0,IF(INDEX($AD$176:$AD$905,($K410-$N$48))="",0,INDEX($AD$176:$AD$905,($K410-$N$48))),0))="",0,IF(($K410-$N$48)&lt;1,0,IF(IF(INDEX($AD$176:$AD$905,($K410-$N$48))="",0,INDEX($AD$176:$AD$905,($K410-$N$48)))&gt;0,IF(INDEX($AD$176:$AD$905,($K410-$N$48))="",0,INDEX($AD$176:$AD$905,($K410-$N$48))),0)))=0,"",IF(AND($P409="",$P410=1),($N$37*-1),0)+IF(AND($Q409="",$Q410=1),($N$38*-1),0)+IF(IF(($K410-$N$48)&lt;1,0,IF(IF(INDEX($AD$176:$AD$905,($K410-$N$48))="",0,INDEX($AD$176:$AD$905,($K410-$N$48)))&gt;0,IF(INDEX($AD$176:$AD$905,($K410-$N$48))="",0,INDEX($AD$176:$AD$905,($K410-$N$48))),0))="",0,IF(($K410-$N$48)&lt;1,0,IF(IF(INDEX($AD$176:$AD$905,($K410-$N$48))="",0,INDEX($AD$176:$AD$905,($K410-$N$48)))&gt;0,IF(INDEX($AD$176:$AD$905,($K410-$N$48))="",0,INDEX($AD$176:$AD$905,($K410-$N$48))),0))))</f>
        <v/>
      </c>
      <c r="AC410" s="22" t="str">
        <f t="shared" si="99"/>
        <v/>
      </c>
      <c r="AD410" s="22" t="str">
        <f t="shared" si="111"/>
        <v/>
      </c>
      <c r="AE410" s="22" t="str" cm="1">
        <f t="array" ref="AE410">IF(($K410-$N$48)&lt;1,"",IF((IF(INDEX($AC$176:$AC$905,($K410-$N$48))="",0,INDEX($AC$176:$AC$905,($K410-$N$48))))=0,"",(IF(INDEX($AC$176:$AC$905,($K410-$N$48))="",0,INDEX($AC$176:$AC$905,($K410-$N$48))))))</f>
        <v/>
      </c>
      <c r="AF410" s="31" t="str">
        <f t="shared" si="100"/>
        <v/>
      </c>
      <c r="AG410" s="31" t="str">
        <f t="shared" si="101"/>
        <v/>
      </c>
      <c r="AH410" s="31" t="str">
        <f t="shared" si="102"/>
        <v/>
      </c>
      <c r="AI410" s="31" t="str">
        <f t="shared" si="103"/>
        <v/>
      </c>
      <c r="AJ410" s="303" t="str">
        <f t="shared" si="104"/>
        <v/>
      </c>
      <c r="AK410" s="139" t="str">
        <f t="shared" si="105"/>
        <v/>
      </c>
      <c r="AM410" s="319"/>
      <c r="AN410" s="40"/>
      <c r="AO410" s="1"/>
    </row>
    <row r="411" spans="7:41" x14ac:dyDescent="0.25">
      <c r="G411" s="235" t="str">
        <f t="shared" si="112"/>
        <v/>
      </c>
      <c r="H411" s="4" t="str">
        <f t="shared" si="113"/>
        <v/>
      </c>
      <c r="I411" s="11" t="str">
        <f t="shared" si="93"/>
        <v>09.00</v>
      </c>
      <c r="K411" s="30">
        <v>236</v>
      </c>
      <c r="L411" s="29">
        <f t="shared" si="106"/>
        <v>11371.908376190917</v>
      </c>
      <c r="M411" s="28" t="str">
        <f t="shared" si="94"/>
        <v/>
      </c>
      <c r="N411" s="27" t="str">
        <f t="shared" si="107"/>
        <v/>
      </c>
      <c r="O411" s="26" t="str">
        <f>IF(AND($Q410=$O$38,IFERROR(LARGE($V$176:$V410,1)&lt;$N$42,TRUE)),1,IF(AND(ISNUMBER($O410),$O410&lt;$N$32),$O410+1,""))</f>
        <v/>
      </c>
      <c r="P411" s="26" t="str">
        <f t="shared" si="108"/>
        <v/>
      </c>
      <c r="Q411" s="26" t="str">
        <f t="shared" si="95"/>
        <v/>
      </c>
      <c r="R411" s="24" t="str">
        <f t="shared" si="109"/>
        <v/>
      </c>
      <c r="S411" s="180">
        <f t="shared" si="110"/>
        <v>9</v>
      </c>
      <c r="T411" s="151"/>
      <c r="U411" s="25" t="str">
        <f t="shared" si="96"/>
        <v/>
      </c>
      <c r="V411" s="24" t="str">
        <f>IF(AND(ISNUMBER(R410),ISNUMBER(R411)),V410,IF(AND(R410="",ISNUMBER(R411)),IFERROR(LARGE($V$176:$V410,1)+1,0),""))</f>
        <v/>
      </c>
      <c r="W411" s="23" t="str">
        <f t="shared" si="97"/>
        <v/>
      </c>
      <c r="X411" s="22" t="str">
        <f t="shared" si="98"/>
        <v/>
      </c>
      <c r="Y411" s="22"/>
      <c r="Z411" s="22"/>
      <c r="AA411" s="22"/>
      <c r="AB411" s="22" t="str" cm="1">
        <f t="array" ref="AB411">IF(IF(AND($P410="",$P411=1),($N$37*-1),0)+IF(AND($Q410="",$Q411=1),($N$38*-1),0)+IF(IF(($K411-$N$48)&lt;1,0,IF(IF(INDEX($AD$176:$AD$905,($K411-$N$48))="",0,INDEX($AD$176:$AD$905,($K411-$N$48)))&gt;0,IF(INDEX($AD$176:$AD$905,($K411-$N$48))="",0,INDEX($AD$176:$AD$905,($K411-$N$48))),0))="",0,IF(($K411-$N$48)&lt;1,0,IF(IF(INDEX($AD$176:$AD$905,($K411-$N$48))="",0,INDEX($AD$176:$AD$905,($K411-$N$48)))&gt;0,IF(INDEX($AD$176:$AD$905,($K411-$N$48))="",0,INDEX($AD$176:$AD$905,($K411-$N$48))),0)))=0,"",IF(AND($P410="",$P411=1),($N$37*-1),0)+IF(AND($Q410="",$Q411=1),($N$38*-1),0)+IF(IF(($K411-$N$48)&lt;1,0,IF(IF(INDEX($AD$176:$AD$905,($K411-$N$48))="",0,INDEX($AD$176:$AD$905,($K411-$N$48)))&gt;0,IF(INDEX($AD$176:$AD$905,($K411-$N$48))="",0,INDEX($AD$176:$AD$905,($K411-$N$48))),0))="",0,IF(($K411-$N$48)&lt;1,0,IF(IF(INDEX($AD$176:$AD$905,($K411-$N$48))="",0,INDEX($AD$176:$AD$905,($K411-$N$48)))&gt;0,IF(INDEX($AD$176:$AD$905,($K411-$N$48))="",0,INDEX($AD$176:$AD$905,($K411-$N$48))),0))))</f>
        <v/>
      </c>
      <c r="AC411" s="22" t="str">
        <f t="shared" si="99"/>
        <v/>
      </c>
      <c r="AD411" s="22" t="str">
        <f t="shared" si="111"/>
        <v/>
      </c>
      <c r="AE411" s="22" t="str" cm="1">
        <f t="array" ref="AE411">IF(($K411-$N$48)&lt;1,"",IF((IF(INDEX($AC$176:$AC$905,($K411-$N$48))="",0,INDEX($AC$176:$AC$905,($K411-$N$48))))=0,"",(IF(INDEX($AC$176:$AC$905,($K411-$N$48))="",0,INDEX($AC$176:$AC$905,($K411-$N$48))))))</f>
        <v/>
      </c>
      <c r="AF411" s="31" t="str">
        <f t="shared" si="100"/>
        <v/>
      </c>
      <c r="AG411" s="31" t="str">
        <f t="shared" si="101"/>
        <v/>
      </c>
      <c r="AH411" s="31" t="str">
        <f t="shared" si="102"/>
        <v/>
      </c>
      <c r="AI411" s="31" t="str">
        <f t="shared" si="103"/>
        <v/>
      </c>
      <c r="AJ411" s="303" t="str">
        <f t="shared" si="104"/>
        <v/>
      </c>
      <c r="AK411" s="139" t="str">
        <f t="shared" si="105"/>
        <v/>
      </c>
      <c r="AM411" s="319"/>
      <c r="AN411" s="40"/>
      <c r="AO411" s="1"/>
    </row>
    <row r="412" spans="7:41" x14ac:dyDescent="0.25">
      <c r="G412" s="235" t="str">
        <f t="shared" si="112"/>
        <v/>
      </c>
      <c r="H412" s="4" t="str">
        <f t="shared" si="113"/>
        <v/>
      </c>
      <c r="I412" s="11" t="str">
        <f t="shared" si="93"/>
        <v>09.00</v>
      </c>
      <c r="K412" s="30">
        <v>237</v>
      </c>
      <c r="L412" s="29">
        <f t="shared" si="106"/>
        <v>11371.908376190917</v>
      </c>
      <c r="M412" s="28" t="str">
        <f t="shared" si="94"/>
        <v/>
      </c>
      <c r="N412" s="27" t="str">
        <f t="shared" si="107"/>
        <v/>
      </c>
      <c r="O412" s="26" t="str">
        <f>IF(AND($Q411=$O$38,IFERROR(LARGE($V$176:$V411,1)&lt;$N$42,TRUE)),1,IF(AND(ISNUMBER($O411),$O411&lt;$N$32),$O411+1,""))</f>
        <v/>
      </c>
      <c r="P412" s="26" t="str">
        <f t="shared" si="108"/>
        <v/>
      </c>
      <c r="Q412" s="26" t="str">
        <f t="shared" si="95"/>
        <v/>
      </c>
      <c r="R412" s="24" t="str">
        <f t="shared" si="109"/>
        <v/>
      </c>
      <c r="S412" s="180">
        <f t="shared" si="110"/>
        <v>9</v>
      </c>
      <c r="T412" s="151"/>
      <c r="U412" s="25" t="str">
        <f t="shared" si="96"/>
        <v/>
      </c>
      <c r="V412" s="24" t="str">
        <f>IF(AND(ISNUMBER(R411),ISNUMBER(R412)),V411,IF(AND(R411="",ISNUMBER(R412)),IFERROR(LARGE($V$176:$V411,1)+1,0),""))</f>
        <v/>
      </c>
      <c r="W412" s="23" t="str">
        <f t="shared" si="97"/>
        <v/>
      </c>
      <c r="X412" s="22" t="str">
        <f t="shared" si="98"/>
        <v/>
      </c>
      <c r="Y412" s="22"/>
      <c r="Z412" s="22"/>
      <c r="AA412" s="22"/>
      <c r="AB412" s="22" t="str" cm="1">
        <f t="array" ref="AB412">IF(IF(AND($P411="",$P412=1),($N$37*-1),0)+IF(AND($Q411="",$Q412=1),($N$38*-1),0)+IF(IF(($K412-$N$48)&lt;1,0,IF(IF(INDEX($AD$176:$AD$905,($K412-$N$48))="",0,INDEX($AD$176:$AD$905,($K412-$N$48)))&gt;0,IF(INDEX($AD$176:$AD$905,($K412-$N$48))="",0,INDEX($AD$176:$AD$905,($K412-$N$48))),0))="",0,IF(($K412-$N$48)&lt;1,0,IF(IF(INDEX($AD$176:$AD$905,($K412-$N$48))="",0,INDEX($AD$176:$AD$905,($K412-$N$48)))&gt;0,IF(INDEX($AD$176:$AD$905,($K412-$N$48))="",0,INDEX($AD$176:$AD$905,($K412-$N$48))),0)))=0,"",IF(AND($P411="",$P412=1),($N$37*-1),0)+IF(AND($Q411="",$Q412=1),($N$38*-1),0)+IF(IF(($K412-$N$48)&lt;1,0,IF(IF(INDEX($AD$176:$AD$905,($K412-$N$48))="",0,INDEX($AD$176:$AD$905,($K412-$N$48)))&gt;0,IF(INDEX($AD$176:$AD$905,($K412-$N$48))="",0,INDEX($AD$176:$AD$905,($K412-$N$48))),0))="",0,IF(($K412-$N$48)&lt;1,0,IF(IF(INDEX($AD$176:$AD$905,($K412-$N$48))="",0,INDEX($AD$176:$AD$905,($K412-$N$48)))&gt;0,IF(INDEX($AD$176:$AD$905,($K412-$N$48))="",0,INDEX($AD$176:$AD$905,($K412-$N$48))),0))))</f>
        <v/>
      </c>
      <c r="AC412" s="22" t="str">
        <f t="shared" si="99"/>
        <v/>
      </c>
      <c r="AD412" s="22" t="str">
        <f t="shared" si="111"/>
        <v/>
      </c>
      <c r="AE412" s="22" t="str" cm="1">
        <f t="array" ref="AE412">IF(($K412-$N$48)&lt;1,"",IF((IF(INDEX($AC$176:$AC$905,($K412-$N$48))="",0,INDEX($AC$176:$AC$905,($K412-$N$48))))=0,"",(IF(INDEX($AC$176:$AC$905,($K412-$N$48))="",0,INDEX($AC$176:$AC$905,($K412-$N$48))))))</f>
        <v/>
      </c>
      <c r="AF412" s="31" t="str">
        <f t="shared" si="100"/>
        <v/>
      </c>
      <c r="AG412" s="31" t="str">
        <f t="shared" si="101"/>
        <v/>
      </c>
      <c r="AH412" s="31" t="str">
        <f t="shared" si="102"/>
        <v/>
      </c>
      <c r="AI412" s="31" t="str">
        <f t="shared" si="103"/>
        <v/>
      </c>
      <c r="AJ412" s="303" t="str">
        <f t="shared" si="104"/>
        <v/>
      </c>
      <c r="AK412" s="139" t="str">
        <f t="shared" si="105"/>
        <v/>
      </c>
      <c r="AM412" s="319"/>
      <c r="AN412" s="40"/>
      <c r="AO412" s="1"/>
    </row>
    <row r="413" spans="7:41" x14ac:dyDescent="0.25">
      <c r="G413" s="235" t="str">
        <f t="shared" si="112"/>
        <v/>
      </c>
      <c r="H413" s="4" t="str">
        <f t="shared" si="113"/>
        <v/>
      </c>
      <c r="I413" s="11" t="str">
        <f t="shared" si="93"/>
        <v>09.00</v>
      </c>
      <c r="K413" s="30">
        <v>238</v>
      </c>
      <c r="L413" s="29">
        <f t="shared" si="106"/>
        <v>11371.908376190917</v>
      </c>
      <c r="M413" s="28" t="str">
        <f t="shared" si="94"/>
        <v/>
      </c>
      <c r="N413" s="27" t="str">
        <f t="shared" si="107"/>
        <v/>
      </c>
      <c r="O413" s="26" t="str">
        <f>IF(AND($Q412=$O$38,IFERROR(LARGE($V$176:$V412,1)&lt;$N$42,TRUE)),1,IF(AND(ISNUMBER($O412),$O412&lt;$N$32),$O412+1,""))</f>
        <v/>
      </c>
      <c r="P413" s="26" t="str">
        <f t="shared" si="108"/>
        <v/>
      </c>
      <c r="Q413" s="26" t="str">
        <f t="shared" si="95"/>
        <v/>
      </c>
      <c r="R413" s="24" t="str">
        <f t="shared" si="109"/>
        <v/>
      </c>
      <c r="S413" s="180">
        <f t="shared" si="110"/>
        <v>9</v>
      </c>
      <c r="T413" s="151"/>
      <c r="U413" s="25" t="str">
        <f t="shared" si="96"/>
        <v/>
      </c>
      <c r="V413" s="24" t="str">
        <f>IF(AND(ISNUMBER(R412),ISNUMBER(R413)),V412,IF(AND(R412="",ISNUMBER(R413)),IFERROR(LARGE($V$176:$V412,1)+1,0),""))</f>
        <v/>
      </c>
      <c r="W413" s="23" t="str">
        <f t="shared" si="97"/>
        <v/>
      </c>
      <c r="X413" s="22" t="str">
        <f t="shared" si="98"/>
        <v/>
      </c>
      <c r="Y413" s="22"/>
      <c r="Z413" s="22"/>
      <c r="AA413" s="22"/>
      <c r="AB413" s="22" t="str" cm="1">
        <f t="array" ref="AB413">IF(IF(AND($P412="",$P413=1),($N$37*-1),0)+IF(AND($Q412="",$Q413=1),($N$38*-1),0)+IF(IF(($K413-$N$48)&lt;1,0,IF(IF(INDEX($AD$176:$AD$905,($K413-$N$48))="",0,INDEX($AD$176:$AD$905,($K413-$N$48)))&gt;0,IF(INDEX($AD$176:$AD$905,($K413-$N$48))="",0,INDEX($AD$176:$AD$905,($K413-$N$48))),0))="",0,IF(($K413-$N$48)&lt;1,0,IF(IF(INDEX($AD$176:$AD$905,($K413-$N$48))="",0,INDEX($AD$176:$AD$905,($K413-$N$48)))&gt;0,IF(INDEX($AD$176:$AD$905,($K413-$N$48))="",0,INDEX($AD$176:$AD$905,($K413-$N$48))),0)))=0,"",IF(AND($P412="",$P413=1),($N$37*-1),0)+IF(AND($Q412="",$Q413=1),($N$38*-1),0)+IF(IF(($K413-$N$48)&lt;1,0,IF(IF(INDEX($AD$176:$AD$905,($K413-$N$48))="",0,INDEX($AD$176:$AD$905,($K413-$N$48)))&gt;0,IF(INDEX($AD$176:$AD$905,($K413-$N$48))="",0,INDEX($AD$176:$AD$905,($K413-$N$48))),0))="",0,IF(($K413-$N$48)&lt;1,0,IF(IF(INDEX($AD$176:$AD$905,($K413-$N$48))="",0,INDEX($AD$176:$AD$905,($K413-$N$48)))&gt;0,IF(INDEX($AD$176:$AD$905,($K413-$N$48))="",0,INDEX($AD$176:$AD$905,($K413-$N$48))),0))))</f>
        <v/>
      </c>
      <c r="AC413" s="22" t="str">
        <f t="shared" si="99"/>
        <v/>
      </c>
      <c r="AD413" s="22" t="str">
        <f t="shared" si="111"/>
        <v/>
      </c>
      <c r="AE413" s="22" t="str" cm="1">
        <f t="array" ref="AE413">IF(($K413-$N$48)&lt;1,"",IF((IF(INDEX($AC$176:$AC$905,($K413-$N$48))="",0,INDEX($AC$176:$AC$905,($K413-$N$48))))=0,"",(IF(INDEX($AC$176:$AC$905,($K413-$N$48))="",0,INDEX($AC$176:$AC$905,($K413-$N$48))))))</f>
        <v/>
      </c>
      <c r="AF413" s="31" t="str">
        <f t="shared" si="100"/>
        <v/>
      </c>
      <c r="AG413" s="31" t="str">
        <f t="shared" si="101"/>
        <v/>
      </c>
      <c r="AH413" s="31" t="str">
        <f t="shared" si="102"/>
        <v/>
      </c>
      <c r="AI413" s="31" t="str">
        <f t="shared" si="103"/>
        <v/>
      </c>
      <c r="AJ413" s="303" t="str">
        <f t="shared" si="104"/>
        <v/>
      </c>
      <c r="AK413" s="139" t="str">
        <f t="shared" si="105"/>
        <v/>
      </c>
      <c r="AM413" s="319"/>
      <c r="AN413" s="40"/>
      <c r="AO413" s="1"/>
    </row>
    <row r="414" spans="7:41" x14ac:dyDescent="0.25">
      <c r="G414" s="235" t="str">
        <f t="shared" si="112"/>
        <v/>
      </c>
      <c r="H414" s="4" t="str">
        <f t="shared" si="113"/>
        <v/>
      </c>
      <c r="I414" s="11" t="str">
        <f t="shared" si="93"/>
        <v>09.00</v>
      </c>
      <c r="K414" s="30">
        <v>239</v>
      </c>
      <c r="L414" s="29">
        <f t="shared" si="106"/>
        <v>11371.908376190917</v>
      </c>
      <c r="M414" s="28" t="str">
        <f t="shared" si="94"/>
        <v/>
      </c>
      <c r="N414" s="27" t="str">
        <f t="shared" si="107"/>
        <v/>
      </c>
      <c r="O414" s="26" t="str">
        <f>IF(AND($Q413=$O$38,IFERROR(LARGE($V$176:$V413,1)&lt;$N$42,TRUE)),1,IF(AND(ISNUMBER($O413),$O413&lt;$N$32),$O413+1,""))</f>
        <v/>
      </c>
      <c r="P414" s="26" t="str">
        <f t="shared" si="108"/>
        <v/>
      </c>
      <c r="Q414" s="26" t="str">
        <f t="shared" si="95"/>
        <v/>
      </c>
      <c r="R414" s="24" t="str">
        <f t="shared" si="109"/>
        <v/>
      </c>
      <c r="S414" s="180">
        <f t="shared" si="110"/>
        <v>9</v>
      </c>
      <c r="T414" s="151"/>
      <c r="U414" s="25" t="str">
        <f t="shared" si="96"/>
        <v/>
      </c>
      <c r="V414" s="24" t="str">
        <f>IF(AND(ISNUMBER(R413),ISNUMBER(R414)),V413,IF(AND(R413="",ISNUMBER(R414)),IFERROR(LARGE($V$176:$V413,1)+1,0),""))</f>
        <v/>
      </c>
      <c r="W414" s="23" t="str">
        <f t="shared" si="97"/>
        <v/>
      </c>
      <c r="X414" s="22" t="str">
        <f t="shared" si="98"/>
        <v/>
      </c>
      <c r="Y414" s="22"/>
      <c r="Z414" s="22"/>
      <c r="AA414" s="22"/>
      <c r="AB414" s="22" t="str" cm="1">
        <f t="array" ref="AB414">IF(IF(AND($P413="",$P414=1),($N$37*-1),0)+IF(AND($Q413="",$Q414=1),($N$38*-1),0)+IF(IF(($K414-$N$48)&lt;1,0,IF(IF(INDEX($AD$176:$AD$905,($K414-$N$48))="",0,INDEX($AD$176:$AD$905,($K414-$N$48)))&gt;0,IF(INDEX($AD$176:$AD$905,($K414-$N$48))="",0,INDEX($AD$176:$AD$905,($K414-$N$48))),0))="",0,IF(($K414-$N$48)&lt;1,0,IF(IF(INDEX($AD$176:$AD$905,($K414-$N$48))="",0,INDEX($AD$176:$AD$905,($K414-$N$48)))&gt;0,IF(INDEX($AD$176:$AD$905,($K414-$N$48))="",0,INDEX($AD$176:$AD$905,($K414-$N$48))),0)))=0,"",IF(AND($P413="",$P414=1),($N$37*-1),0)+IF(AND($Q413="",$Q414=1),($N$38*-1),0)+IF(IF(($K414-$N$48)&lt;1,0,IF(IF(INDEX($AD$176:$AD$905,($K414-$N$48))="",0,INDEX($AD$176:$AD$905,($K414-$N$48)))&gt;0,IF(INDEX($AD$176:$AD$905,($K414-$N$48))="",0,INDEX($AD$176:$AD$905,($K414-$N$48))),0))="",0,IF(($K414-$N$48)&lt;1,0,IF(IF(INDEX($AD$176:$AD$905,($K414-$N$48))="",0,INDEX($AD$176:$AD$905,($K414-$N$48)))&gt;0,IF(INDEX($AD$176:$AD$905,($K414-$N$48))="",0,INDEX($AD$176:$AD$905,($K414-$N$48))),0))))</f>
        <v/>
      </c>
      <c r="AC414" s="22" t="str">
        <f t="shared" si="99"/>
        <v/>
      </c>
      <c r="AD414" s="22" t="str">
        <f t="shared" si="111"/>
        <v/>
      </c>
      <c r="AE414" s="22" t="str" cm="1">
        <f t="array" ref="AE414">IF(($K414-$N$48)&lt;1,"",IF((IF(INDEX($AC$176:$AC$905,($K414-$N$48))="",0,INDEX($AC$176:$AC$905,($K414-$N$48))))=0,"",(IF(INDEX($AC$176:$AC$905,($K414-$N$48))="",0,INDEX($AC$176:$AC$905,($K414-$N$48))))))</f>
        <v/>
      </c>
      <c r="AF414" s="31" t="str">
        <f t="shared" si="100"/>
        <v/>
      </c>
      <c r="AG414" s="31" t="str">
        <f t="shared" si="101"/>
        <v/>
      </c>
      <c r="AH414" s="31" t="str">
        <f t="shared" si="102"/>
        <v/>
      </c>
      <c r="AI414" s="31" t="str">
        <f t="shared" si="103"/>
        <v/>
      </c>
      <c r="AJ414" s="303" t="str">
        <f t="shared" si="104"/>
        <v/>
      </c>
      <c r="AK414" s="139" t="str">
        <f t="shared" si="105"/>
        <v/>
      </c>
      <c r="AM414" s="319"/>
      <c r="AN414" s="40"/>
      <c r="AO414" s="1"/>
    </row>
    <row r="415" spans="7:41" x14ac:dyDescent="0.25">
      <c r="G415" s="235" t="str">
        <f t="shared" si="112"/>
        <v/>
      </c>
      <c r="H415" s="4" t="str">
        <f t="shared" si="113"/>
        <v/>
      </c>
      <c r="I415" s="11" t="str">
        <f t="shared" si="93"/>
        <v>09.00</v>
      </c>
      <c r="K415" s="30">
        <v>240</v>
      </c>
      <c r="L415" s="29">
        <f t="shared" si="106"/>
        <v>11371.908376190917</v>
      </c>
      <c r="M415" s="28" t="str">
        <f t="shared" si="94"/>
        <v/>
      </c>
      <c r="N415" s="27" t="str">
        <f t="shared" si="107"/>
        <v/>
      </c>
      <c r="O415" s="26" t="str">
        <f>IF(AND($Q414=$O$38,IFERROR(LARGE($V$176:$V414,1)&lt;$N$42,TRUE)),1,IF(AND(ISNUMBER($O414),$O414&lt;$N$32),$O414+1,""))</f>
        <v/>
      </c>
      <c r="P415" s="26" t="str">
        <f t="shared" si="108"/>
        <v/>
      </c>
      <c r="Q415" s="26" t="str">
        <f t="shared" si="95"/>
        <v/>
      </c>
      <c r="R415" s="24" t="str">
        <f t="shared" si="109"/>
        <v/>
      </c>
      <c r="S415" s="180">
        <f t="shared" si="110"/>
        <v>9</v>
      </c>
      <c r="T415" s="151"/>
      <c r="U415" s="25" t="str">
        <f t="shared" si="96"/>
        <v/>
      </c>
      <c r="V415" s="24" t="str">
        <f>IF(AND(ISNUMBER(R414),ISNUMBER(R415)),V414,IF(AND(R414="",ISNUMBER(R415)),IFERROR(LARGE($V$176:$V414,1)+1,0),""))</f>
        <v/>
      </c>
      <c r="W415" s="23" t="str">
        <f t="shared" si="97"/>
        <v/>
      </c>
      <c r="X415" s="22" t="str">
        <f t="shared" si="98"/>
        <v/>
      </c>
      <c r="Y415" s="22"/>
      <c r="Z415" s="22"/>
      <c r="AA415" s="22"/>
      <c r="AB415" s="22" t="str" cm="1">
        <f t="array" ref="AB415">IF(IF(AND($P414="",$P415=1),($N$37*-1),0)+IF(AND($Q414="",$Q415=1),($N$38*-1),0)+IF(IF(($K415-$N$48)&lt;1,0,IF(IF(INDEX($AD$176:$AD$905,($K415-$N$48))="",0,INDEX($AD$176:$AD$905,($K415-$N$48)))&gt;0,IF(INDEX($AD$176:$AD$905,($K415-$N$48))="",0,INDEX($AD$176:$AD$905,($K415-$N$48))),0))="",0,IF(($K415-$N$48)&lt;1,0,IF(IF(INDEX($AD$176:$AD$905,($K415-$N$48))="",0,INDEX($AD$176:$AD$905,($K415-$N$48)))&gt;0,IF(INDEX($AD$176:$AD$905,($K415-$N$48))="",0,INDEX($AD$176:$AD$905,($K415-$N$48))),0)))=0,"",IF(AND($P414="",$P415=1),($N$37*-1),0)+IF(AND($Q414="",$Q415=1),($N$38*-1),0)+IF(IF(($K415-$N$48)&lt;1,0,IF(IF(INDEX($AD$176:$AD$905,($K415-$N$48))="",0,INDEX($AD$176:$AD$905,($K415-$N$48)))&gt;0,IF(INDEX($AD$176:$AD$905,($K415-$N$48))="",0,INDEX($AD$176:$AD$905,($K415-$N$48))),0))="",0,IF(($K415-$N$48)&lt;1,0,IF(IF(INDEX($AD$176:$AD$905,($K415-$N$48))="",0,INDEX($AD$176:$AD$905,($K415-$N$48)))&gt;0,IF(INDEX($AD$176:$AD$905,($K415-$N$48))="",0,INDEX($AD$176:$AD$905,($K415-$N$48))),0))))</f>
        <v/>
      </c>
      <c r="AC415" s="22" t="str">
        <f t="shared" si="99"/>
        <v/>
      </c>
      <c r="AD415" s="22" t="str">
        <f t="shared" si="111"/>
        <v/>
      </c>
      <c r="AE415" s="22" t="str" cm="1">
        <f t="array" ref="AE415">IF(($K415-$N$48)&lt;1,"",IF((IF(INDEX($AC$176:$AC$905,($K415-$N$48))="",0,INDEX($AC$176:$AC$905,($K415-$N$48))))=0,"",(IF(INDEX($AC$176:$AC$905,($K415-$N$48))="",0,INDEX($AC$176:$AC$905,($K415-$N$48))))))</f>
        <v/>
      </c>
      <c r="AF415" s="31" t="str">
        <f t="shared" si="100"/>
        <v/>
      </c>
      <c r="AG415" s="31" t="str">
        <f t="shared" si="101"/>
        <v/>
      </c>
      <c r="AH415" s="31" t="str">
        <f t="shared" si="102"/>
        <v/>
      </c>
      <c r="AI415" s="31" t="str">
        <f t="shared" si="103"/>
        <v/>
      </c>
      <c r="AJ415" s="303" t="str">
        <f t="shared" si="104"/>
        <v/>
      </c>
      <c r="AK415" s="139" t="str">
        <f t="shared" si="105"/>
        <v/>
      </c>
      <c r="AM415" s="319"/>
      <c r="AN415" s="40"/>
      <c r="AO415" s="1"/>
    </row>
    <row r="416" spans="7:41" x14ac:dyDescent="0.25">
      <c r="G416" s="235" t="str">
        <f t="shared" si="112"/>
        <v/>
      </c>
      <c r="H416" s="4" t="str">
        <f t="shared" si="113"/>
        <v/>
      </c>
      <c r="I416" s="11" t="str">
        <f t="shared" si="93"/>
        <v>09.00</v>
      </c>
      <c r="K416" s="30">
        <v>241</v>
      </c>
      <c r="L416" s="29">
        <f t="shared" si="106"/>
        <v>11371.908376190917</v>
      </c>
      <c r="M416" s="28" t="str">
        <f t="shared" si="94"/>
        <v/>
      </c>
      <c r="N416" s="27" t="str">
        <f t="shared" si="107"/>
        <v/>
      </c>
      <c r="O416" s="26" t="str">
        <f>IF(AND($Q415=$O$38,IFERROR(LARGE($V$176:$V415,1)&lt;$N$42,TRUE)),1,IF(AND(ISNUMBER($O415),$O415&lt;$N$32),$O415+1,""))</f>
        <v/>
      </c>
      <c r="P416" s="26" t="str">
        <f t="shared" si="108"/>
        <v/>
      </c>
      <c r="Q416" s="26" t="str">
        <f t="shared" si="95"/>
        <v/>
      </c>
      <c r="R416" s="24" t="str">
        <f t="shared" si="109"/>
        <v/>
      </c>
      <c r="S416" s="180">
        <f t="shared" si="110"/>
        <v>9</v>
      </c>
      <c r="T416" s="151"/>
      <c r="U416" s="25" t="str">
        <f t="shared" si="96"/>
        <v/>
      </c>
      <c r="V416" s="24" t="str">
        <f>IF(AND(ISNUMBER(R415),ISNUMBER(R416)),V415,IF(AND(R415="",ISNUMBER(R416)),IFERROR(LARGE($V$176:$V415,1)+1,0),""))</f>
        <v/>
      </c>
      <c r="W416" s="23" t="str">
        <f t="shared" si="97"/>
        <v/>
      </c>
      <c r="X416" s="22" t="str">
        <f t="shared" si="98"/>
        <v/>
      </c>
      <c r="Y416" s="22"/>
      <c r="Z416" s="22"/>
      <c r="AA416" s="22"/>
      <c r="AB416" s="22" t="str" cm="1">
        <f t="array" ref="AB416">IF(IF(AND($P415="",$P416=1),($N$37*-1),0)+IF(AND($Q415="",$Q416=1),($N$38*-1),0)+IF(IF(($K416-$N$48)&lt;1,0,IF(IF(INDEX($AD$176:$AD$905,($K416-$N$48))="",0,INDEX($AD$176:$AD$905,($K416-$N$48)))&gt;0,IF(INDEX($AD$176:$AD$905,($K416-$N$48))="",0,INDEX($AD$176:$AD$905,($K416-$N$48))),0))="",0,IF(($K416-$N$48)&lt;1,0,IF(IF(INDEX($AD$176:$AD$905,($K416-$N$48))="",0,INDEX($AD$176:$AD$905,($K416-$N$48)))&gt;0,IF(INDEX($AD$176:$AD$905,($K416-$N$48))="",0,INDEX($AD$176:$AD$905,($K416-$N$48))),0)))=0,"",IF(AND($P415="",$P416=1),($N$37*-1),0)+IF(AND($Q415="",$Q416=1),($N$38*-1),0)+IF(IF(($K416-$N$48)&lt;1,0,IF(IF(INDEX($AD$176:$AD$905,($K416-$N$48))="",0,INDEX($AD$176:$AD$905,($K416-$N$48)))&gt;0,IF(INDEX($AD$176:$AD$905,($K416-$N$48))="",0,INDEX($AD$176:$AD$905,($K416-$N$48))),0))="",0,IF(($K416-$N$48)&lt;1,0,IF(IF(INDEX($AD$176:$AD$905,($K416-$N$48))="",0,INDEX($AD$176:$AD$905,($K416-$N$48)))&gt;0,IF(INDEX($AD$176:$AD$905,($K416-$N$48))="",0,INDEX($AD$176:$AD$905,($K416-$N$48))),0))))</f>
        <v/>
      </c>
      <c r="AC416" s="22" t="str">
        <f t="shared" si="99"/>
        <v/>
      </c>
      <c r="AD416" s="22" t="str">
        <f t="shared" si="111"/>
        <v/>
      </c>
      <c r="AE416" s="22" t="str" cm="1">
        <f t="array" ref="AE416">IF(($K416-$N$48)&lt;1,"",IF((IF(INDEX($AC$176:$AC$905,($K416-$N$48))="",0,INDEX($AC$176:$AC$905,($K416-$N$48))))=0,"",(IF(INDEX($AC$176:$AC$905,($K416-$N$48))="",0,INDEX($AC$176:$AC$905,($K416-$N$48))))))</f>
        <v/>
      </c>
      <c r="AF416" s="31" t="str">
        <f t="shared" si="100"/>
        <v/>
      </c>
      <c r="AG416" s="31" t="str">
        <f t="shared" si="101"/>
        <v/>
      </c>
      <c r="AH416" s="31" t="str">
        <f t="shared" si="102"/>
        <v/>
      </c>
      <c r="AI416" s="31" t="str">
        <f t="shared" si="103"/>
        <v/>
      </c>
      <c r="AJ416" s="303" t="str">
        <f t="shared" si="104"/>
        <v/>
      </c>
      <c r="AK416" s="139" t="str">
        <f t="shared" si="105"/>
        <v/>
      </c>
      <c r="AM416" s="319"/>
      <c r="AN416" s="40"/>
      <c r="AO416" s="1"/>
    </row>
    <row r="417" spans="7:41" x14ac:dyDescent="0.25">
      <c r="G417" s="235" t="str">
        <f t="shared" si="112"/>
        <v/>
      </c>
      <c r="H417" s="4" t="str">
        <f t="shared" si="113"/>
        <v/>
      </c>
      <c r="I417" s="11" t="str">
        <f t="shared" si="93"/>
        <v>09.00</v>
      </c>
      <c r="K417" s="30">
        <v>242</v>
      </c>
      <c r="L417" s="29">
        <f t="shared" si="106"/>
        <v>11371.908376190917</v>
      </c>
      <c r="M417" s="28" t="str">
        <f t="shared" si="94"/>
        <v/>
      </c>
      <c r="N417" s="27" t="str">
        <f t="shared" si="107"/>
        <v/>
      </c>
      <c r="O417" s="26" t="str">
        <f>IF(AND($Q416=$O$38,IFERROR(LARGE($V$176:$V416,1)&lt;$N$42,TRUE)),1,IF(AND(ISNUMBER($O416),$O416&lt;$N$32),$O416+1,""))</f>
        <v/>
      </c>
      <c r="P417" s="26" t="str">
        <f t="shared" si="108"/>
        <v/>
      </c>
      <c r="Q417" s="26" t="str">
        <f t="shared" si="95"/>
        <v/>
      </c>
      <c r="R417" s="24" t="str">
        <f t="shared" si="109"/>
        <v/>
      </c>
      <c r="S417" s="180">
        <f t="shared" si="110"/>
        <v>9</v>
      </c>
      <c r="T417" s="151"/>
      <c r="U417" s="25" t="str">
        <f t="shared" si="96"/>
        <v/>
      </c>
      <c r="V417" s="24" t="str">
        <f>IF(AND(ISNUMBER(R416),ISNUMBER(R417)),V416,IF(AND(R416="",ISNUMBER(R417)),IFERROR(LARGE($V$176:$V416,1)+1,0),""))</f>
        <v/>
      </c>
      <c r="W417" s="23" t="str">
        <f t="shared" si="97"/>
        <v/>
      </c>
      <c r="X417" s="22" t="str">
        <f t="shared" si="98"/>
        <v/>
      </c>
      <c r="Y417" s="22"/>
      <c r="Z417" s="22"/>
      <c r="AA417" s="22"/>
      <c r="AB417" s="22" t="str" cm="1">
        <f t="array" ref="AB417">IF(IF(AND($P416="",$P417=1),($N$37*-1),0)+IF(AND($Q416="",$Q417=1),($N$38*-1),0)+IF(IF(($K417-$N$48)&lt;1,0,IF(IF(INDEX($AD$176:$AD$905,($K417-$N$48))="",0,INDEX($AD$176:$AD$905,($K417-$N$48)))&gt;0,IF(INDEX($AD$176:$AD$905,($K417-$N$48))="",0,INDEX($AD$176:$AD$905,($K417-$N$48))),0))="",0,IF(($K417-$N$48)&lt;1,0,IF(IF(INDEX($AD$176:$AD$905,($K417-$N$48))="",0,INDEX($AD$176:$AD$905,($K417-$N$48)))&gt;0,IF(INDEX($AD$176:$AD$905,($K417-$N$48))="",0,INDEX($AD$176:$AD$905,($K417-$N$48))),0)))=0,"",IF(AND($P416="",$P417=1),($N$37*-1),0)+IF(AND($Q416="",$Q417=1),($N$38*-1),0)+IF(IF(($K417-$N$48)&lt;1,0,IF(IF(INDEX($AD$176:$AD$905,($K417-$N$48))="",0,INDEX($AD$176:$AD$905,($K417-$N$48)))&gt;0,IF(INDEX($AD$176:$AD$905,($K417-$N$48))="",0,INDEX($AD$176:$AD$905,($K417-$N$48))),0))="",0,IF(($K417-$N$48)&lt;1,0,IF(IF(INDEX($AD$176:$AD$905,($K417-$N$48))="",0,INDEX($AD$176:$AD$905,($K417-$N$48)))&gt;0,IF(INDEX($AD$176:$AD$905,($K417-$N$48))="",0,INDEX($AD$176:$AD$905,($K417-$N$48))),0))))</f>
        <v/>
      </c>
      <c r="AC417" s="22" t="str">
        <f t="shared" si="99"/>
        <v/>
      </c>
      <c r="AD417" s="22" t="str">
        <f t="shared" si="111"/>
        <v/>
      </c>
      <c r="AE417" s="22" t="str" cm="1">
        <f t="array" ref="AE417">IF(($K417-$N$48)&lt;1,"",IF((IF(INDEX($AC$176:$AC$905,($K417-$N$48))="",0,INDEX($AC$176:$AC$905,($K417-$N$48))))=0,"",(IF(INDEX($AC$176:$AC$905,($K417-$N$48))="",0,INDEX($AC$176:$AC$905,($K417-$N$48))))))</f>
        <v/>
      </c>
      <c r="AF417" s="31" t="str">
        <f t="shared" si="100"/>
        <v/>
      </c>
      <c r="AG417" s="31" t="str">
        <f t="shared" si="101"/>
        <v/>
      </c>
      <c r="AH417" s="31" t="str">
        <f t="shared" si="102"/>
        <v/>
      </c>
      <c r="AI417" s="31" t="str">
        <f t="shared" si="103"/>
        <v/>
      </c>
      <c r="AJ417" s="303" t="str">
        <f t="shared" si="104"/>
        <v/>
      </c>
      <c r="AK417" s="139" t="str">
        <f t="shared" si="105"/>
        <v/>
      </c>
      <c r="AM417" s="319"/>
      <c r="AN417" s="40"/>
      <c r="AO417" s="1"/>
    </row>
    <row r="418" spans="7:41" x14ac:dyDescent="0.25">
      <c r="G418" s="235" t="str">
        <f t="shared" si="112"/>
        <v/>
      </c>
      <c r="H418" s="4" t="str">
        <f t="shared" si="113"/>
        <v/>
      </c>
      <c r="I418" s="11" t="str">
        <f t="shared" si="93"/>
        <v>09.00</v>
      </c>
      <c r="K418" s="30">
        <v>243</v>
      </c>
      <c r="L418" s="29">
        <f t="shared" si="106"/>
        <v>11371.908376190917</v>
      </c>
      <c r="M418" s="28" t="str">
        <f t="shared" si="94"/>
        <v/>
      </c>
      <c r="N418" s="27" t="str">
        <f t="shared" si="107"/>
        <v/>
      </c>
      <c r="O418" s="26" t="str">
        <f>IF(AND($Q417=$O$38,IFERROR(LARGE($V$176:$V417,1)&lt;$N$42,TRUE)),1,IF(AND(ISNUMBER($O417),$O417&lt;$N$32),$O417+1,""))</f>
        <v/>
      </c>
      <c r="P418" s="26" t="str">
        <f t="shared" si="108"/>
        <v/>
      </c>
      <c r="Q418" s="26" t="str">
        <f t="shared" si="95"/>
        <v/>
      </c>
      <c r="R418" s="24" t="str">
        <f t="shared" si="109"/>
        <v/>
      </c>
      <c r="S418" s="180">
        <f t="shared" si="110"/>
        <v>9</v>
      </c>
      <c r="T418" s="151"/>
      <c r="U418" s="25" t="str">
        <f t="shared" si="96"/>
        <v/>
      </c>
      <c r="V418" s="24" t="str">
        <f>IF(AND(ISNUMBER(R417),ISNUMBER(R418)),V417,IF(AND(R417="",ISNUMBER(R418)),IFERROR(LARGE($V$176:$V417,1)+1,0),""))</f>
        <v/>
      </c>
      <c r="W418" s="23" t="str">
        <f t="shared" si="97"/>
        <v/>
      </c>
      <c r="X418" s="22" t="str">
        <f t="shared" si="98"/>
        <v/>
      </c>
      <c r="Y418" s="22"/>
      <c r="Z418" s="22"/>
      <c r="AA418" s="22"/>
      <c r="AB418" s="22" t="str" cm="1">
        <f t="array" ref="AB418">IF(IF(AND($P417="",$P418=1),($N$37*-1),0)+IF(AND($Q417="",$Q418=1),($N$38*-1),0)+IF(IF(($K418-$N$48)&lt;1,0,IF(IF(INDEX($AD$176:$AD$905,($K418-$N$48))="",0,INDEX($AD$176:$AD$905,($K418-$N$48)))&gt;0,IF(INDEX($AD$176:$AD$905,($K418-$N$48))="",0,INDEX($AD$176:$AD$905,($K418-$N$48))),0))="",0,IF(($K418-$N$48)&lt;1,0,IF(IF(INDEX($AD$176:$AD$905,($K418-$N$48))="",0,INDEX($AD$176:$AD$905,($K418-$N$48)))&gt;0,IF(INDEX($AD$176:$AD$905,($K418-$N$48))="",0,INDEX($AD$176:$AD$905,($K418-$N$48))),0)))=0,"",IF(AND($P417="",$P418=1),($N$37*-1),0)+IF(AND($Q417="",$Q418=1),($N$38*-1),0)+IF(IF(($K418-$N$48)&lt;1,0,IF(IF(INDEX($AD$176:$AD$905,($K418-$N$48))="",0,INDEX($AD$176:$AD$905,($K418-$N$48)))&gt;0,IF(INDEX($AD$176:$AD$905,($K418-$N$48))="",0,INDEX($AD$176:$AD$905,($K418-$N$48))),0))="",0,IF(($K418-$N$48)&lt;1,0,IF(IF(INDEX($AD$176:$AD$905,($K418-$N$48))="",0,INDEX($AD$176:$AD$905,($K418-$N$48)))&gt;0,IF(INDEX($AD$176:$AD$905,($K418-$N$48))="",0,INDEX($AD$176:$AD$905,($K418-$N$48))),0))))</f>
        <v/>
      </c>
      <c r="AC418" s="22" t="str">
        <f t="shared" si="99"/>
        <v/>
      </c>
      <c r="AD418" s="22" t="str">
        <f t="shared" si="111"/>
        <v/>
      </c>
      <c r="AE418" s="22" t="str" cm="1">
        <f t="array" ref="AE418">IF(($K418-$N$48)&lt;1,"",IF((IF(INDEX($AC$176:$AC$905,($K418-$N$48))="",0,INDEX($AC$176:$AC$905,($K418-$N$48))))=0,"",(IF(INDEX($AC$176:$AC$905,($K418-$N$48))="",0,INDEX($AC$176:$AC$905,($K418-$N$48))))))</f>
        <v/>
      </c>
      <c r="AF418" s="31" t="str">
        <f t="shared" si="100"/>
        <v/>
      </c>
      <c r="AG418" s="31" t="str">
        <f t="shared" si="101"/>
        <v/>
      </c>
      <c r="AH418" s="31" t="str">
        <f t="shared" si="102"/>
        <v/>
      </c>
      <c r="AI418" s="31" t="str">
        <f t="shared" si="103"/>
        <v/>
      </c>
      <c r="AJ418" s="303" t="str">
        <f t="shared" si="104"/>
        <v/>
      </c>
      <c r="AK418" s="139" t="str">
        <f t="shared" si="105"/>
        <v/>
      </c>
      <c r="AM418" s="319"/>
      <c r="AN418" s="40"/>
      <c r="AO418" s="1"/>
    </row>
    <row r="419" spans="7:41" x14ac:dyDescent="0.25">
      <c r="G419" s="235" t="str">
        <f t="shared" si="112"/>
        <v/>
      </c>
      <c r="H419" s="4" t="str">
        <f t="shared" si="113"/>
        <v/>
      </c>
      <c r="I419" s="11" t="str">
        <f t="shared" si="93"/>
        <v>09.00</v>
      </c>
      <c r="K419" s="30">
        <v>244</v>
      </c>
      <c r="L419" s="29">
        <f t="shared" si="106"/>
        <v>11371.908376190917</v>
      </c>
      <c r="M419" s="28" t="str">
        <f t="shared" si="94"/>
        <v/>
      </c>
      <c r="N419" s="27" t="str">
        <f t="shared" si="107"/>
        <v/>
      </c>
      <c r="O419" s="26" t="str">
        <f>IF(AND($Q418=$O$38,IFERROR(LARGE($V$176:$V418,1)&lt;$N$42,TRUE)),1,IF(AND(ISNUMBER($O418),$O418&lt;$N$32),$O418+1,""))</f>
        <v/>
      </c>
      <c r="P419" s="26" t="str">
        <f t="shared" si="108"/>
        <v/>
      </c>
      <c r="Q419" s="26" t="str">
        <f t="shared" si="95"/>
        <v/>
      </c>
      <c r="R419" s="24" t="str">
        <f t="shared" si="109"/>
        <v/>
      </c>
      <c r="S419" s="180">
        <f t="shared" si="110"/>
        <v>9</v>
      </c>
      <c r="T419" s="151"/>
      <c r="U419" s="25" t="str">
        <f t="shared" si="96"/>
        <v/>
      </c>
      <c r="V419" s="24" t="str">
        <f>IF(AND(ISNUMBER(R418),ISNUMBER(R419)),V418,IF(AND(R418="",ISNUMBER(R419)),IFERROR(LARGE($V$176:$V418,1)+1,0),""))</f>
        <v/>
      </c>
      <c r="W419" s="23" t="str">
        <f t="shared" si="97"/>
        <v/>
      </c>
      <c r="X419" s="22" t="str">
        <f t="shared" si="98"/>
        <v/>
      </c>
      <c r="Y419" s="22"/>
      <c r="Z419" s="22"/>
      <c r="AA419" s="22"/>
      <c r="AB419" s="22" t="str" cm="1">
        <f t="array" ref="AB419">IF(IF(AND($P418="",$P419=1),($N$37*-1),0)+IF(AND($Q418="",$Q419=1),($N$38*-1),0)+IF(IF(($K419-$N$48)&lt;1,0,IF(IF(INDEX($AD$176:$AD$905,($K419-$N$48))="",0,INDEX($AD$176:$AD$905,($K419-$N$48)))&gt;0,IF(INDEX($AD$176:$AD$905,($K419-$N$48))="",0,INDEX($AD$176:$AD$905,($K419-$N$48))),0))="",0,IF(($K419-$N$48)&lt;1,0,IF(IF(INDEX($AD$176:$AD$905,($K419-$N$48))="",0,INDEX($AD$176:$AD$905,($K419-$N$48)))&gt;0,IF(INDEX($AD$176:$AD$905,($K419-$N$48))="",0,INDEX($AD$176:$AD$905,($K419-$N$48))),0)))=0,"",IF(AND($P418="",$P419=1),($N$37*-1),0)+IF(AND($Q418="",$Q419=1),($N$38*-1),0)+IF(IF(($K419-$N$48)&lt;1,0,IF(IF(INDEX($AD$176:$AD$905,($K419-$N$48))="",0,INDEX($AD$176:$AD$905,($K419-$N$48)))&gt;0,IF(INDEX($AD$176:$AD$905,($K419-$N$48))="",0,INDEX($AD$176:$AD$905,($K419-$N$48))),0))="",0,IF(($K419-$N$48)&lt;1,0,IF(IF(INDEX($AD$176:$AD$905,($K419-$N$48))="",0,INDEX($AD$176:$AD$905,($K419-$N$48)))&gt;0,IF(INDEX($AD$176:$AD$905,($K419-$N$48))="",0,INDEX($AD$176:$AD$905,($K419-$N$48))),0))))</f>
        <v/>
      </c>
      <c r="AC419" s="22" t="str">
        <f t="shared" si="99"/>
        <v/>
      </c>
      <c r="AD419" s="22" t="str">
        <f t="shared" si="111"/>
        <v/>
      </c>
      <c r="AE419" s="22" t="str" cm="1">
        <f t="array" ref="AE419">IF(($K419-$N$48)&lt;1,"",IF((IF(INDEX($AC$176:$AC$905,($K419-$N$48))="",0,INDEX($AC$176:$AC$905,($K419-$N$48))))=0,"",(IF(INDEX($AC$176:$AC$905,($K419-$N$48))="",0,INDEX($AC$176:$AC$905,($K419-$N$48))))))</f>
        <v/>
      </c>
      <c r="AF419" s="31" t="str">
        <f t="shared" si="100"/>
        <v/>
      </c>
      <c r="AG419" s="31" t="str">
        <f t="shared" si="101"/>
        <v/>
      </c>
      <c r="AH419" s="31" t="str">
        <f t="shared" si="102"/>
        <v/>
      </c>
      <c r="AI419" s="31" t="str">
        <f t="shared" si="103"/>
        <v/>
      </c>
      <c r="AJ419" s="303" t="str">
        <f t="shared" si="104"/>
        <v/>
      </c>
      <c r="AK419" s="139" t="str">
        <f t="shared" si="105"/>
        <v/>
      </c>
      <c r="AM419" s="319"/>
      <c r="AN419" s="40"/>
      <c r="AO419" s="1"/>
    </row>
    <row r="420" spans="7:41" x14ac:dyDescent="0.25">
      <c r="G420" s="235" t="str">
        <f t="shared" si="112"/>
        <v/>
      </c>
      <c r="H420" s="4" t="str">
        <f t="shared" si="113"/>
        <v/>
      </c>
      <c r="I420" s="11" t="str">
        <f t="shared" si="93"/>
        <v>09.00</v>
      </c>
      <c r="K420" s="30">
        <v>245</v>
      </c>
      <c r="L420" s="29">
        <f t="shared" si="106"/>
        <v>11371.908376190917</v>
      </c>
      <c r="M420" s="28" t="str">
        <f t="shared" si="94"/>
        <v/>
      </c>
      <c r="N420" s="27" t="str">
        <f t="shared" si="107"/>
        <v/>
      </c>
      <c r="O420" s="26" t="str">
        <f>IF(AND($Q419=$O$38,IFERROR(LARGE($V$176:$V419,1)&lt;$N$42,TRUE)),1,IF(AND(ISNUMBER($O419),$O419&lt;$N$32),$O419+1,""))</f>
        <v/>
      </c>
      <c r="P420" s="26" t="str">
        <f t="shared" si="108"/>
        <v/>
      </c>
      <c r="Q420" s="26" t="str">
        <f t="shared" si="95"/>
        <v/>
      </c>
      <c r="R420" s="24" t="str">
        <f t="shared" si="109"/>
        <v/>
      </c>
      <c r="S420" s="180">
        <f t="shared" si="110"/>
        <v>9</v>
      </c>
      <c r="T420" s="151"/>
      <c r="U420" s="25" t="str">
        <f t="shared" si="96"/>
        <v/>
      </c>
      <c r="V420" s="24" t="str">
        <f>IF(AND(ISNUMBER(R419),ISNUMBER(R420)),V419,IF(AND(R419="",ISNUMBER(R420)),IFERROR(LARGE($V$176:$V419,1)+1,0),""))</f>
        <v/>
      </c>
      <c r="W420" s="23" t="str">
        <f t="shared" si="97"/>
        <v/>
      </c>
      <c r="X420" s="22" t="str">
        <f t="shared" si="98"/>
        <v/>
      </c>
      <c r="Y420" s="22"/>
      <c r="Z420" s="22"/>
      <c r="AA420" s="22"/>
      <c r="AB420" s="22" t="str" cm="1">
        <f t="array" ref="AB420">IF(IF(AND($P419="",$P420=1),($N$37*-1),0)+IF(AND($Q419="",$Q420=1),($N$38*-1),0)+IF(IF(($K420-$N$48)&lt;1,0,IF(IF(INDEX($AD$176:$AD$905,($K420-$N$48))="",0,INDEX($AD$176:$AD$905,($K420-$N$48)))&gt;0,IF(INDEX($AD$176:$AD$905,($K420-$N$48))="",0,INDEX($AD$176:$AD$905,($K420-$N$48))),0))="",0,IF(($K420-$N$48)&lt;1,0,IF(IF(INDEX($AD$176:$AD$905,($K420-$N$48))="",0,INDEX($AD$176:$AD$905,($K420-$N$48)))&gt;0,IF(INDEX($AD$176:$AD$905,($K420-$N$48))="",0,INDEX($AD$176:$AD$905,($K420-$N$48))),0)))=0,"",IF(AND($P419="",$P420=1),($N$37*-1),0)+IF(AND($Q419="",$Q420=1),($N$38*-1),0)+IF(IF(($K420-$N$48)&lt;1,0,IF(IF(INDEX($AD$176:$AD$905,($K420-$N$48))="",0,INDEX($AD$176:$AD$905,($K420-$N$48)))&gt;0,IF(INDEX($AD$176:$AD$905,($K420-$N$48))="",0,INDEX($AD$176:$AD$905,($K420-$N$48))),0))="",0,IF(($K420-$N$48)&lt;1,0,IF(IF(INDEX($AD$176:$AD$905,($K420-$N$48))="",0,INDEX($AD$176:$AD$905,($K420-$N$48)))&gt;0,IF(INDEX($AD$176:$AD$905,($K420-$N$48))="",0,INDEX($AD$176:$AD$905,($K420-$N$48))),0))))</f>
        <v/>
      </c>
      <c r="AC420" s="22" t="str">
        <f t="shared" si="99"/>
        <v/>
      </c>
      <c r="AD420" s="22" t="str">
        <f t="shared" si="111"/>
        <v/>
      </c>
      <c r="AE420" s="22" t="str" cm="1">
        <f t="array" ref="AE420">IF(($K420-$N$48)&lt;1,"",IF((IF(INDEX($AC$176:$AC$905,($K420-$N$48))="",0,INDEX($AC$176:$AC$905,($K420-$N$48))))=0,"",(IF(INDEX($AC$176:$AC$905,($K420-$N$48))="",0,INDEX($AC$176:$AC$905,($K420-$N$48))))))</f>
        <v/>
      </c>
      <c r="AF420" s="31" t="str">
        <f t="shared" si="100"/>
        <v/>
      </c>
      <c r="AG420" s="31" t="str">
        <f t="shared" si="101"/>
        <v/>
      </c>
      <c r="AH420" s="31" t="str">
        <f t="shared" si="102"/>
        <v/>
      </c>
      <c r="AI420" s="31" t="str">
        <f t="shared" si="103"/>
        <v/>
      </c>
      <c r="AJ420" s="303" t="str">
        <f t="shared" si="104"/>
        <v/>
      </c>
      <c r="AK420" s="139" t="str">
        <f t="shared" si="105"/>
        <v/>
      </c>
      <c r="AM420" s="319"/>
      <c r="AN420" s="40"/>
      <c r="AO420" s="1"/>
    </row>
    <row r="421" spans="7:41" x14ac:dyDescent="0.25">
      <c r="G421" s="235" t="str">
        <f t="shared" si="112"/>
        <v/>
      </c>
      <c r="H421" s="4" t="str">
        <f t="shared" si="113"/>
        <v/>
      </c>
      <c r="I421" s="11" t="str">
        <f t="shared" si="93"/>
        <v>09.00</v>
      </c>
      <c r="K421" s="30">
        <v>246</v>
      </c>
      <c r="L421" s="29">
        <f t="shared" si="106"/>
        <v>11371.908376190917</v>
      </c>
      <c r="M421" s="28" t="str">
        <f t="shared" si="94"/>
        <v/>
      </c>
      <c r="N421" s="27" t="str">
        <f t="shared" si="107"/>
        <v/>
      </c>
      <c r="O421" s="26" t="str">
        <f>IF(AND($Q420=$O$38,IFERROR(LARGE($V$176:$V420,1)&lt;$N$42,TRUE)),1,IF(AND(ISNUMBER($O420),$O420&lt;$N$32),$O420+1,""))</f>
        <v/>
      </c>
      <c r="P421" s="26" t="str">
        <f t="shared" si="108"/>
        <v/>
      </c>
      <c r="Q421" s="26" t="str">
        <f t="shared" si="95"/>
        <v/>
      </c>
      <c r="R421" s="24" t="str">
        <f t="shared" si="109"/>
        <v/>
      </c>
      <c r="S421" s="180">
        <f t="shared" si="110"/>
        <v>9</v>
      </c>
      <c r="T421" s="151"/>
      <c r="U421" s="25" t="str">
        <f t="shared" si="96"/>
        <v/>
      </c>
      <c r="V421" s="24" t="str">
        <f>IF(AND(ISNUMBER(R420),ISNUMBER(R421)),V420,IF(AND(R420="",ISNUMBER(R421)),IFERROR(LARGE($V$176:$V420,1)+1,0),""))</f>
        <v/>
      </c>
      <c r="W421" s="23" t="str">
        <f t="shared" si="97"/>
        <v/>
      </c>
      <c r="X421" s="22" t="str">
        <f t="shared" si="98"/>
        <v/>
      </c>
      <c r="Y421" s="22"/>
      <c r="Z421" s="22"/>
      <c r="AA421" s="22"/>
      <c r="AB421" s="22" t="str" cm="1">
        <f t="array" ref="AB421">IF(IF(AND($P420="",$P421=1),($N$37*-1),0)+IF(AND($Q420="",$Q421=1),($N$38*-1),0)+IF(IF(($K421-$N$48)&lt;1,0,IF(IF(INDEX($AD$176:$AD$905,($K421-$N$48))="",0,INDEX($AD$176:$AD$905,($K421-$N$48)))&gt;0,IF(INDEX($AD$176:$AD$905,($K421-$N$48))="",0,INDEX($AD$176:$AD$905,($K421-$N$48))),0))="",0,IF(($K421-$N$48)&lt;1,0,IF(IF(INDEX($AD$176:$AD$905,($K421-$N$48))="",0,INDEX($AD$176:$AD$905,($K421-$N$48)))&gt;0,IF(INDEX($AD$176:$AD$905,($K421-$N$48))="",0,INDEX($AD$176:$AD$905,($K421-$N$48))),0)))=0,"",IF(AND($P420="",$P421=1),($N$37*-1),0)+IF(AND($Q420="",$Q421=1),($N$38*-1),0)+IF(IF(($K421-$N$48)&lt;1,0,IF(IF(INDEX($AD$176:$AD$905,($K421-$N$48))="",0,INDEX($AD$176:$AD$905,($K421-$N$48)))&gt;0,IF(INDEX($AD$176:$AD$905,($K421-$N$48))="",0,INDEX($AD$176:$AD$905,($K421-$N$48))),0))="",0,IF(($K421-$N$48)&lt;1,0,IF(IF(INDEX($AD$176:$AD$905,($K421-$N$48))="",0,INDEX($AD$176:$AD$905,($K421-$N$48)))&gt;0,IF(INDEX($AD$176:$AD$905,($K421-$N$48))="",0,INDEX($AD$176:$AD$905,($K421-$N$48))),0))))</f>
        <v/>
      </c>
      <c r="AC421" s="22" t="str">
        <f t="shared" si="99"/>
        <v/>
      </c>
      <c r="AD421" s="22" t="str">
        <f t="shared" si="111"/>
        <v/>
      </c>
      <c r="AE421" s="22" t="str" cm="1">
        <f t="array" ref="AE421">IF(($K421-$N$48)&lt;1,"",IF((IF(INDEX($AC$176:$AC$905,($K421-$N$48))="",0,INDEX($AC$176:$AC$905,($K421-$N$48))))=0,"",(IF(INDEX($AC$176:$AC$905,($K421-$N$48))="",0,INDEX($AC$176:$AC$905,($K421-$N$48))))))</f>
        <v/>
      </c>
      <c r="AF421" s="31" t="str">
        <f t="shared" si="100"/>
        <v/>
      </c>
      <c r="AG421" s="31" t="str">
        <f t="shared" si="101"/>
        <v/>
      </c>
      <c r="AH421" s="31" t="str">
        <f t="shared" si="102"/>
        <v/>
      </c>
      <c r="AI421" s="31" t="str">
        <f t="shared" si="103"/>
        <v/>
      </c>
      <c r="AJ421" s="303" t="str">
        <f t="shared" si="104"/>
        <v/>
      </c>
      <c r="AK421" s="139" t="str">
        <f t="shared" si="105"/>
        <v/>
      </c>
      <c r="AM421" s="319"/>
      <c r="AN421" s="40"/>
      <c r="AO421" s="1"/>
    </row>
    <row r="422" spans="7:41" x14ac:dyDescent="0.25">
      <c r="G422" s="235" t="str">
        <f t="shared" si="112"/>
        <v/>
      </c>
      <c r="H422" s="4" t="str">
        <f t="shared" si="113"/>
        <v/>
      </c>
      <c r="I422" s="11" t="str">
        <f t="shared" si="93"/>
        <v>09.00</v>
      </c>
      <c r="K422" s="30">
        <v>247</v>
      </c>
      <c r="L422" s="29">
        <f t="shared" si="106"/>
        <v>11371.908376190917</v>
      </c>
      <c r="M422" s="28" t="str">
        <f t="shared" si="94"/>
        <v/>
      </c>
      <c r="N422" s="27" t="str">
        <f t="shared" si="107"/>
        <v/>
      </c>
      <c r="O422" s="26" t="str">
        <f>IF(AND($Q421=$O$38,IFERROR(LARGE($V$176:$V421,1)&lt;$N$42,TRUE)),1,IF(AND(ISNUMBER($O421),$O421&lt;$N$32),$O421+1,""))</f>
        <v/>
      </c>
      <c r="P422" s="26" t="str">
        <f t="shared" si="108"/>
        <v/>
      </c>
      <c r="Q422" s="26" t="str">
        <f t="shared" si="95"/>
        <v/>
      </c>
      <c r="R422" s="24" t="str">
        <f t="shared" si="109"/>
        <v/>
      </c>
      <c r="S422" s="180">
        <f t="shared" si="110"/>
        <v>9</v>
      </c>
      <c r="T422" s="151"/>
      <c r="U422" s="25" t="str">
        <f t="shared" si="96"/>
        <v/>
      </c>
      <c r="V422" s="24" t="str">
        <f>IF(AND(ISNUMBER(R421),ISNUMBER(R422)),V421,IF(AND(R421="",ISNUMBER(R422)),IFERROR(LARGE($V$176:$V421,1)+1,0),""))</f>
        <v/>
      </c>
      <c r="W422" s="23" t="str">
        <f t="shared" si="97"/>
        <v/>
      </c>
      <c r="X422" s="22" t="str">
        <f t="shared" si="98"/>
        <v/>
      </c>
      <c r="Y422" s="22"/>
      <c r="Z422" s="22"/>
      <c r="AA422" s="22"/>
      <c r="AB422" s="22" t="str" cm="1">
        <f t="array" ref="AB422">IF(IF(AND($P421="",$P422=1),($N$37*-1),0)+IF(AND($Q421="",$Q422=1),($N$38*-1),0)+IF(IF(($K422-$N$48)&lt;1,0,IF(IF(INDEX($AD$176:$AD$905,($K422-$N$48))="",0,INDEX($AD$176:$AD$905,($K422-$N$48)))&gt;0,IF(INDEX($AD$176:$AD$905,($K422-$N$48))="",0,INDEX($AD$176:$AD$905,($K422-$N$48))),0))="",0,IF(($K422-$N$48)&lt;1,0,IF(IF(INDEX($AD$176:$AD$905,($K422-$N$48))="",0,INDEX($AD$176:$AD$905,($K422-$N$48)))&gt;0,IF(INDEX($AD$176:$AD$905,($K422-$N$48))="",0,INDEX($AD$176:$AD$905,($K422-$N$48))),0)))=0,"",IF(AND($P421="",$P422=1),($N$37*-1),0)+IF(AND($Q421="",$Q422=1),($N$38*-1),0)+IF(IF(($K422-$N$48)&lt;1,0,IF(IF(INDEX($AD$176:$AD$905,($K422-$N$48))="",0,INDEX($AD$176:$AD$905,($K422-$N$48)))&gt;0,IF(INDEX($AD$176:$AD$905,($K422-$N$48))="",0,INDEX($AD$176:$AD$905,($K422-$N$48))),0))="",0,IF(($K422-$N$48)&lt;1,0,IF(IF(INDEX($AD$176:$AD$905,($K422-$N$48))="",0,INDEX($AD$176:$AD$905,($K422-$N$48)))&gt;0,IF(INDEX($AD$176:$AD$905,($K422-$N$48))="",0,INDEX($AD$176:$AD$905,($K422-$N$48))),0))))</f>
        <v/>
      </c>
      <c r="AC422" s="22" t="str">
        <f t="shared" si="99"/>
        <v/>
      </c>
      <c r="AD422" s="22" t="str">
        <f t="shared" si="111"/>
        <v/>
      </c>
      <c r="AE422" s="22" t="str" cm="1">
        <f t="array" ref="AE422">IF(($K422-$N$48)&lt;1,"",IF((IF(INDEX($AC$176:$AC$905,($K422-$N$48))="",0,INDEX($AC$176:$AC$905,($K422-$N$48))))=0,"",(IF(INDEX($AC$176:$AC$905,($K422-$N$48))="",0,INDEX($AC$176:$AC$905,($K422-$N$48))))))</f>
        <v/>
      </c>
      <c r="AF422" s="31" t="str">
        <f t="shared" si="100"/>
        <v/>
      </c>
      <c r="AG422" s="31" t="str">
        <f t="shared" si="101"/>
        <v/>
      </c>
      <c r="AH422" s="31" t="str">
        <f t="shared" si="102"/>
        <v/>
      </c>
      <c r="AI422" s="31" t="str">
        <f t="shared" si="103"/>
        <v/>
      </c>
      <c r="AJ422" s="303" t="str">
        <f t="shared" si="104"/>
        <v/>
      </c>
      <c r="AK422" s="139" t="str">
        <f t="shared" si="105"/>
        <v/>
      </c>
      <c r="AM422" s="319"/>
      <c r="AN422" s="40"/>
      <c r="AO422" s="1"/>
    </row>
    <row r="423" spans="7:41" x14ac:dyDescent="0.25">
      <c r="G423" s="235" t="str">
        <f t="shared" si="112"/>
        <v/>
      </c>
      <c r="H423" s="4" t="str">
        <f t="shared" si="113"/>
        <v/>
      </c>
      <c r="I423" s="11" t="str">
        <f t="shared" si="93"/>
        <v>09.00</v>
      </c>
      <c r="K423" s="30">
        <v>248</v>
      </c>
      <c r="L423" s="29">
        <f t="shared" si="106"/>
        <v>11371.908376190917</v>
      </c>
      <c r="M423" s="28" t="str">
        <f t="shared" si="94"/>
        <v/>
      </c>
      <c r="N423" s="27" t="str">
        <f t="shared" si="107"/>
        <v/>
      </c>
      <c r="O423" s="26" t="str">
        <f>IF(AND($Q422=$O$38,IFERROR(LARGE($V$176:$V422,1)&lt;$N$42,TRUE)),1,IF(AND(ISNUMBER($O422),$O422&lt;$N$32),$O422+1,""))</f>
        <v/>
      </c>
      <c r="P423" s="26" t="str">
        <f t="shared" si="108"/>
        <v/>
      </c>
      <c r="Q423" s="26" t="str">
        <f t="shared" si="95"/>
        <v/>
      </c>
      <c r="R423" s="24" t="str">
        <f t="shared" si="109"/>
        <v/>
      </c>
      <c r="S423" s="180">
        <f t="shared" si="110"/>
        <v>9</v>
      </c>
      <c r="T423" s="151"/>
      <c r="U423" s="25" t="str">
        <f t="shared" si="96"/>
        <v/>
      </c>
      <c r="V423" s="24" t="str">
        <f>IF(AND(ISNUMBER(R422),ISNUMBER(R423)),V422,IF(AND(R422="",ISNUMBER(R423)),IFERROR(LARGE($V$176:$V422,1)+1,0),""))</f>
        <v/>
      </c>
      <c r="W423" s="23" t="str">
        <f t="shared" si="97"/>
        <v/>
      </c>
      <c r="X423" s="22" t="str">
        <f t="shared" si="98"/>
        <v/>
      </c>
      <c r="Y423" s="22"/>
      <c r="Z423" s="22"/>
      <c r="AA423" s="22"/>
      <c r="AB423" s="22" t="str" cm="1">
        <f t="array" ref="AB423">IF(IF(AND($P422="",$P423=1),($N$37*-1),0)+IF(AND($Q422="",$Q423=1),($N$38*-1),0)+IF(IF(($K423-$N$48)&lt;1,0,IF(IF(INDEX($AD$176:$AD$905,($K423-$N$48))="",0,INDEX($AD$176:$AD$905,($K423-$N$48)))&gt;0,IF(INDEX($AD$176:$AD$905,($K423-$N$48))="",0,INDEX($AD$176:$AD$905,($K423-$N$48))),0))="",0,IF(($K423-$N$48)&lt;1,0,IF(IF(INDEX($AD$176:$AD$905,($K423-$N$48))="",0,INDEX($AD$176:$AD$905,($K423-$N$48)))&gt;0,IF(INDEX($AD$176:$AD$905,($K423-$N$48))="",0,INDEX($AD$176:$AD$905,($K423-$N$48))),0)))=0,"",IF(AND($P422="",$P423=1),($N$37*-1),0)+IF(AND($Q422="",$Q423=1),($N$38*-1),0)+IF(IF(($K423-$N$48)&lt;1,0,IF(IF(INDEX($AD$176:$AD$905,($K423-$N$48))="",0,INDEX($AD$176:$AD$905,($K423-$N$48)))&gt;0,IF(INDEX($AD$176:$AD$905,($K423-$N$48))="",0,INDEX($AD$176:$AD$905,($K423-$N$48))),0))="",0,IF(($K423-$N$48)&lt;1,0,IF(IF(INDEX($AD$176:$AD$905,($K423-$N$48))="",0,INDEX($AD$176:$AD$905,($K423-$N$48)))&gt;0,IF(INDEX($AD$176:$AD$905,($K423-$N$48))="",0,INDEX($AD$176:$AD$905,($K423-$N$48))),0))))</f>
        <v/>
      </c>
      <c r="AC423" s="22" t="str">
        <f t="shared" si="99"/>
        <v/>
      </c>
      <c r="AD423" s="22" t="str">
        <f t="shared" si="111"/>
        <v/>
      </c>
      <c r="AE423" s="22" t="str" cm="1">
        <f t="array" ref="AE423">IF(($K423-$N$48)&lt;1,"",IF((IF(INDEX($AC$176:$AC$905,($K423-$N$48))="",0,INDEX($AC$176:$AC$905,($K423-$N$48))))=0,"",(IF(INDEX($AC$176:$AC$905,($K423-$N$48))="",0,INDEX($AC$176:$AC$905,($K423-$N$48))))))</f>
        <v/>
      </c>
      <c r="AF423" s="31" t="str">
        <f t="shared" si="100"/>
        <v/>
      </c>
      <c r="AG423" s="31" t="str">
        <f t="shared" si="101"/>
        <v/>
      </c>
      <c r="AH423" s="31" t="str">
        <f t="shared" si="102"/>
        <v/>
      </c>
      <c r="AI423" s="31" t="str">
        <f t="shared" si="103"/>
        <v/>
      </c>
      <c r="AJ423" s="303" t="str">
        <f t="shared" si="104"/>
        <v/>
      </c>
      <c r="AK423" s="139" t="str">
        <f t="shared" si="105"/>
        <v/>
      </c>
      <c r="AM423" s="319"/>
      <c r="AN423" s="40"/>
      <c r="AO423" s="1"/>
    </row>
    <row r="424" spans="7:41" x14ac:dyDescent="0.25">
      <c r="G424" s="235" t="str">
        <f t="shared" si="112"/>
        <v/>
      </c>
      <c r="H424" s="4" t="str">
        <f t="shared" si="113"/>
        <v/>
      </c>
      <c r="I424" s="11" t="str">
        <f t="shared" si="93"/>
        <v>09.00</v>
      </c>
      <c r="K424" s="30">
        <v>249</v>
      </c>
      <c r="L424" s="29">
        <f t="shared" si="106"/>
        <v>11371.908376190917</v>
      </c>
      <c r="M424" s="28" t="str">
        <f t="shared" si="94"/>
        <v/>
      </c>
      <c r="N424" s="27" t="str">
        <f t="shared" si="107"/>
        <v/>
      </c>
      <c r="O424" s="26" t="str">
        <f>IF(AND($Q423=$O$38,IFERROR(LARGE($V$176:$V423,1)&lt;$N$42,TRUE)),1,IF(AND(ISNUMBER($O423),$O423&lt;$N$32),$O423+1,""))</f>
        <v/>
      </c>
      <c r="P424" s="26" t="str">
        <f t="shared" si="108"/>
        <v/>
      </c>
      <c r="Q424" s="26" t="str">
        <f t="shared" si="95"/>
        <v/>
      </c>
      <c r="R424" s="24" t="str">
        <f t="shared" si="109"/>
        <v/>
      </c>
      <c r="S424" s="180">
        <f t="shared" si="110"/>
        <v>9</v>
      </c>
      <c r="T424" s="151"/>
      <c r="U424" s="25" t="str">
        <f t="shared" si="96"/>
        <v/>
      </c>
      <c r="V424" s="24" t="str">
        <f>IF(AND(ISNUMBER(R423),ISNUMBER(R424)),V423,IF(AND(R423="",ISNUMBER(R424)),IFERROR(LARGE($V$176:$V423,1)+1,0),""))</f>
        <v/>
      </c>
      <c r="W424" s="23" t="str">
        <f t="shared" si="97"/>
        <v/>
      </c>
      <c r="X424" s="22" t="str">
        <f t="shared" si="98"/>
        <v/>
      </c>
      <c r="Y424" s="22"/>
      <c r="Z424" s="22"/>
      <c r="AA424" s="22"/>
      <c r="AB424" s="22" t="str" cm="1">
        <f t="array" ref="AB424">IF(IF(AND($P423="",$P424=1),($N$37*-1),0)+IF(AND($Q423="",$Q424=1),($N$38*-1),0)+IF(IF(($K424-$N$48)&lt;1,0,IF(IF(INDEX($AD$176:$AD$905,($K424-$N$48))="",0,INDEX($AD$176:$AD$905,($K424-$N$48)))&gt;0,IF(INDEX($AD$176:$AD$905,($K424-$N$48))="",0,INDEX($AD$176:$AD$905,($K424-$N$48))),0))="",0,IF(($K424-$N$48)&lt;1,0,IF(IF(INDEX($AD$176:$AD$905,($K424-$N$48))="",0,INDEX($AD$176:$AD$905,($K424-$N$48)))&gt;0,IF(INDEX($AD$176:$AD$905,($K424-$N$48))="",0,INDEX($AD$176:$AD$905,($K424-$N$48))),0)))=0,"",IF(AND($P423="",$P424=1),($N$37*-1),0)+IF(AND($Q423="",$Q424=1),($N$38*-1),0)+IF(IF(($K424-$N$48)&lt;1,0,IF(IF(INDEX($AD$176:$AD$905,($K424-$N$48))="",0,INDEX($AD$176:$AD$905,($K424-$N$48)))&gt;0,IF(INDEX($AD$176:$AD$905,($K424-$N$48))="",0,INDEX($AD$176:$AD$905,($K424-$N$48))),0))="",0,IF(($K424-$N$48)&lt;1,0,IF(IF(INDEX($AD$176:$AD$905,($K424-$N$48))="",0,INDEX($AD$176:$AD$905,($K424-$N$48)))&gt;0,IF(INDEX($AD$176:$AD$905,($K424-$N$48))="",0,INDEX($AD$176:$AD$905,($K424-$N$48))),0))))</f>
        <v/>
      </c>
      <c r="AC424" s="22" t="str">
        <f t="shared" si="99"/>
        <v/>
      </c>
      <c r="AD424" s="22" t="str">
        <f t="shared" si="111"/>
        <v/>
      </c>
      <c r="AE424" s="22" t="str" cm="1">
        <f t="array" ref="AE424">IF(($K424-$N$48)&lt;1,"",IF((IF(INDEX($AC$176:$AC$905,($K424-$N$48))="",0,INDEX($AC$176:$AC$905,($K424-$N$48))))=0,"",(IF(INDEX($AC$176:$AC$905,($K424-$N$48))="",0,INDEX($AC$176:$AC$905,($K424-$N$48))))))</f>
        <v/>
      </c>
      <c r="AF424" s="31" t="str">
        <f t="shared" si="100"/>
        <v/>
      </c>
      <c r="AG424" s="31" t="str">
        <f t="shared" si="101"/>
        <v/>
      </c>
      <c r="AH424" s="31" t="str">
        <f t="shared" si="102"/>
        <v/>
      </c>
      <c r="AI424" s="31" t="str">
        <f t="shared" si="103"/>
        <v/>
      </c>
      <c r="AJ424" s="303" t="str">
        <f t="shared" si="104"/>
        <v/>
      </c>
      <c r="AK424" s="139" t="str">
        <f t="shared" si="105"/>
        <v/>
      </c>
      <c r="AM424" s="319"/>
      <c r="AN424" s="40"/>
      <c r="AO424" s="1"/>
    </row>
    <row r="425" spans="7:41" x14ac:dyDescent="0.25">
      <c r="G425" s="235" t="str">
        <f t="shared" si="112"/>
        <v/>
      </c>
      <c r="H425" s="4" t="str">
        <f t="shared" si="113"/>
        <v/>
      </c>
      <c r="I425" s="11" t="str">
        <f t="shared" si="93"/>
        <v>09.00</v>
      </c>
      <c r="K425" s="30">
        <v>250</v>
      </c>
      <c r="L425" s="29">
        <f t="shared" si="106"/>
        <v>11371.908376190917</v>
      </c>
      <c r="M425" s="28" t="str">
        <f t="shared" si="94"/>
        <v/>
      </c>
      <c r="N425" s="27" t="str">
        <f t="shared" si="107"/>
        <v/>
      </c>
      <c r="O425" s="26" t="str">
        <f>IF(AND($Q424=$O$38,IFERROR(LARGE($V$176:$V424,1)&lt;$N$42,TRUE)),1,IF(AND(ISNUMBER($O424),$O424&lt;$N$32),$O424+1,""))</f>
        <v/>
      </c>
      <c r="P425" s="26" t="str">
        <f t="shared" si="108"/>
        <v/>
      </c>
      <c r="Q425" s="26" t="str">
        <f t="shared" si="95"/>
        <v/>
      </c>
      <c r="R425" s="24" t="str">
        <f t="shared" si="109"/>
        <v/>
      </c>
      <c r="S425" s="180">
        <f t="shared" si="110"/>
        <v>9</v>
      </c>
      <c r="T425" s="151"/>
      <c r="U425" s="25" t="str">
        <f t="shared" si="96"/>
        <v/>
      </c>
      <c r="V425" s="24" t="str">
        <f>IF(AND(ISNUMBER(R424),ISNUMBER(R425)),V424,IF(AND(R424="",ISNUMBER(R425)),IFERROR(LARGE($V$176:$V424,1)+1,0),""))</f>
        <v/>
      </c>
      <c r="W425" s="23" t="str">
        <f t="shared" si="97"/>
        <v/>
      </c>
      <c r="X425" s="22" t="str">
        <f t="shared" si="98"/>
        <v/>
      </c>
      <c r="Y425" s="22"/>
      <c r="Z425" s="22"/>
      <c r="AA425" s="22"/>
      <c r="AB425" s="22" t="str" cm="1">
        <f t="array" ref="AB425">IF(IF(AND($P424="",$P425=1),($N$37*-1),0)+IF(AND($Q424="",$Q425=1),($N$38*-1),0)+IF(IF(($K425-$N$48)&lt;1,0,IF(IF(INDEX($AD$176:$AD$905,($K425-$N$48))="",0,INDEX($AD$176:$AD$905,($K425-$N$48)))&gt;0,IF(INDEX($AD$176:$AD$905,($K425-$N$48))="",0,INDEX($AD$176:$AD$905,($K425-$N$48))),0))="",0,IF(($K425-$N$48)&lt;1,0,IF(IF(INDEX($AD$176:$AD$905,($K425-$N$48))="",0,INDEX($AD$176:$AD$905,($K425-$N$48)))&gt;0,IF(INDEX($AD$176:$AD$905,($K425-$N$48))="",0,INDEX($AD$176:$AD$905,($K425-$N$48))),0)))=0,"",IF(AND($P424="",$P425=1),($N$37*-1),0)+IF(AND($Q424="",$Q425=1),($N$38*-1),0)+IF(IF(($K425-$N$48)&lt;1,0,IF(IF(INDEX($AD$176:$AD$905,($K425-$N$48))="",0,INDEX($AD$176:$AD$905,($K425-$N$48)))&gt;0,IF(INDEX($AD$176:$AD$905,($K425-$N$48))="",0,INDEX($AD$176:$AD$905,($K425-$N$48))),0))="",0,IF(($K425-$N$48)&lt;1,0,IF(IF(INDEX($AD$176:$AD$905,($K425-$N$48))="",0,INDEX($AD$176:$AD$905,($K425-$N$48)))&gt;0,IF(INDEX($AD$176:$AD$905,($K425-$N$48))="",0,INDEX($AD$176:$AD$905,($K425-$N$48))),0))))</f>
        <v/>
      </c>
      <c r="AC425" s="22" t="str">
        <f t="shared" si="99"/>
        <v/>
      </c>
      <c r="AD425" s="22" t="str">
        <f t="shared" si="111"/>
        <v/>
      </c>
      <c r="AE425" s="22" t="str" cm="1">
        <f t="array" ref="AE425">IF(($K425-$N$48)&lt;1,"",IF((IF(INDEX($AC$176:$AC$905,($K425-$N$48))="",0,INDEX($AC$176:$AC$905,($K425-$N$48))))=0,"",(IF(INDEX($AC$176:$AC$905,($K425-$N$48))="",0,INDEX($AC$176:$AC$905,($K425-$N$48))))))</f>
        <v/>
      </c>
      <c r="AF425" s="31" t="str">
        <f t="shared" si="100"/>
        <v/>
      </c>
      <c r="AG425" s="31" t="str">
        <f t="shared" si="101"/>
        <v/>
      </c>
      <c r="AH425" s="31" t="str">
        <f t="shared" si="102"/>
        <v/>
      </c>
      <c r="AI425" s="31" t="str">
        <f t="shared" si="103"/>
        <v/>
      </c>
      <c r="AJ425" s="303" t="str">
        <f t="shared" si="104"/>
        <v/>
      </c>
      <c r="AK425" s="139" t="str">
        <f t="shared" si="105"/>
        <v/>
      </c>
      <c r="AM425" s="319"/>
      <c r="AN425" s="40"/>
      <c r="AO425" s="1"/>
    </row>
    <row r="426" spans="7:41" x14ac:dyDescent="0.25">
      <c r="G426" s="235" t="str">
        <f t="shared" si="112"/>
        <v/>
      </c>
      <c r="H426" s="4" t="str">
        <f t="shared" si="113"/>
        <v/>
      </c>
      <c r="I426" s="11" t="str">
        <f t="shared" si="93"/>
        <v>09.00</v>
      </c>
      <c r="K426" s="30">
        <v>251</v>
      </c>
      <c r="L426" s="29">
        <f t="shared" si="106"/>
        <v>11371.908376190917</v>
      </c>
      <c r="M426" s="28" t="str">
        <f t="shared" si="94"/>
        <v/>
      </c>
      <c r="N426" s="27" t="str">
        <f t="shared" si="107"/>
        <v/>
      </c>
      <c r="O426" s="26" t="str">
        <f>IF(AND($Q425=$O$38,IFERROR(LARGE($V$176:$V425,1)&lt;$N$42,TRUE)),1,IF(AND(ISNUMBER($O425),$O425&lt;$N$32),$O425+1,""))</f>
        <v/>
      </c>
      <c r="P426" s="26" t="str">
        <f t="shared" si="108"/>
        <v/>
      </c>
      <c r="Q426" s="26" t="str">
        <f t="shared" si="95"/>
        <v/>
      </c>
      <c r="R426" s="24" t="str">
        <f t="shared" si="109"/>
        <v/>
      </c>
      <c r="S426" s="180">
        <f t="shared" si="110"/>
        <v>9</v>
      </c>
      <c r="T426" s="151"/>
      <c r="U426" s="25" t="str">
        <f t="shared" si="96"/>
        <v/>
      </c>
      <c r="V426" s="24" t="str">
        <f>IF(AND(ISNUMBER(R425),ISNUMBER(R426)),V425,IF(AND(R425="",ISNUMBER(R426)),IFERROR(LARGE($V$176:$V425,1)+1,0),""))</f>
        <v/>
      </c>
      <c r="W426" s="23" t="str">
        <f t="shared" si="97"/>
        <v/>
      </c>
      <c r="X426" s="22" t="str">
        <f t="shared" si="98"/>
        <v/>
      </c>
      <c r="Y426" s="22"/>
      <c r="Z426" s="22"/>
      <c r="AA426" s="22"/>
      <c r="AB426" s="22" t="str" cm="1">
        <f t="array" ref="AB426">IF(IF(AND($P425="",$P426=1),($N$37*-1),0)+IF(AND($Q425="",$Q426=1),($N$38*-1),0)+IF(IF(($K426-$N$48)&lt;1,0,IF(IF(INDEX($AD$176:$AD$905,($K426-$N$48))="",0,INDEX($AD$176:$AD$905,($K426-$N$48)))&gt;0,IF(INDEX($AD$176:$AD$905,($K426-$N$48))="",0,INDEX($AD$176:$AD$905,($K426-$N$48))),0))="",0,IF(($K426-$N$48)&lt;1,0,IF(IF(INDEX($AD$176:$AD$905,($K426-$N$48))="",0,INDEX($AD$176:$AD$905,($K426-$N$48)))&gt;0,IF(INDEX($AD$176:$AD$905,($K426-$N$48))="",0,INDEX($AD$176:$AD$905,($K426-$N$48))),0)))=0,"",IF(AND($P425="",$P426=1),($N$37*-1),0)+IF(AND($Q425="",$Q426=1),($N$38*-1),0)+IF(IF(($K426-$N$48)&lt;1,0,IF(IF(INDEX($AD$176:$AD$905,($K426-$N$48))="",0,INDEX($AD$176:$AD$905,($K426-$N$48)))&gt;0,IF(INDEX($AD$176:$AD$905,($K426-$N$48))="",0,INDEX($AD$176:$AD$905,($K426-$N$48))),0))="",0,IF(($K426-$N$48)&lt;1,0,IF(IF(INDEX($AD$176:$AD$905,($K426-$N$48))="",0,INDEX($AD$176:$AD$905,($K426-$N$48)))&gt;0,IF(INDEX($AD$176:$AD$905,($K426-$N$48))="",0,INDEX($AD$176:$AD$905,($K426-$N$48))),0))))</f>
        <v/>
      </c>
      <c r="AC426" s="22" t="str">
        <f t="shared" si="99"/>
        <v/>
      </c>
      <c r="AD426" s="22" t="str">
        <f t="shared" si="111"/>
        <v/>
      </c>
      <c r="AE426" s="22" t="str" cm="1">
        <f t="array" ref="AE426">IF(($K426-$N$48)&lt;1,"",IF((IF(INDEX($AC$176:$AC$905,($K426-$N$48))="",0,INDEX($AC$176:$AC$905,($K426-$N$48))))=0,"",(IF(INDEX($AC$176:$AC$905,($K426-$N$48))="",0,INDEX($AC$176:$AC$905,($K426-$N$48))))))</f>
        <v/>
      </c>
      <c r="AF426" s="31" t="str">
        <f t="shared" si="100"/>
        <v/>
      </c>
      <c r="AG426" s="31" t="str">
        <f t="shared" si="101"/>
        <v/>
      </c>
      <c r="AH426" s="31" t="str">
        <f t="shared" si="102"/>
        <v/>
      </c>
      <c r="AI426" s="31" t="str">
        <f t="shared" si="103"/>
        <v/>
      </c>
      <c r="AJ426" s="303" t="str">
        <f t="shared" si="104"/>
        <v/>
      </c>
      <c r="AK426" s="139" t="str">
        <f t="shared" si="105"/>
        <v/>
      </c>
      <c r="AM426" s="319"/>
      <c r="AN426" s="40"/>
      <c r="AO426" s="1"/>
    </row>
    <row r="427" spans="7:41" x14ac:dyDescent="0.25">
      <c r="G427" s="235" t="str">
        <f t="shared" si="112"/>
        <v/>
      </c>
      <c r="H427" s="4" t="str">
        <f t="shared" si="113"/>
        <v/>
      </c>
      <c r="I427" s="11" t="str">
        <f t="shared" si="93"/>
        <v>09.00</v>
      </c>
      <c r="K427" s="30">
        <v>252</v>
      </c>
      <c r="L427" s="29">
        <f t="shared" si="106"/>
        <v>11371.908376190917</v>
      </c>
      <c r="M427" s="28" t="str">
        <f t="shared" si="94"/>
        <v/>
      </c>
      <c r="N427" s="27" t="str">
        <f t="shared" si="107"/>
        <v/>
      </c>
      <c r="O427" s="26" t="str">
        <f>IF(AND($Q426=$O$38,IFERROR(LARGE($V$176:$V426,1)&lt;$N$42,TRUE)),1,IF(AND(ISNUMBER($O426),$O426&lt;$N$32),$O426+1,""))</f>
        <v/>
      </c>
      <c r="P427" s="26" t="str">
        <f t="shared" si="108"/>
        <v/>
      </c>
      <c r="Q427" s="26" t="str">
        <f t="shared" si="95"/>
        <v/>
      </c>
      <c r="R427" s="24" t="str">
        <f t="shared" si="109"/>
        <v/>
      </c>
      <c r="S427" s="180">
        <f t="shared" si="110"/>
        <v>9</v>
      </c>
      <c r="T427" s="151"/>
      <c r="U427" s="25" t="str">
        <f t="shared" si="96"/>
        <v/>
      </c>
      <c r="V427" s="24" t="str">
        <f>IF(AND(ISNUMBER(R426),ISNUMBER(R427)),V426,IF(AND(R426="",ISNUMBER(R427)),IFERROR(LARGE($V$176:$V426,1)+1,0),""))</f>
        <v/>
      </c>
      <c r="W427" s="23" t="str">
        <f t="shared" si="97"/>
        <v/>
      </c>
      <c r="X427" s="22" t="str">
        <f t="shared" si="98"/>
        <v/>
      </c>
      <c r="Y427" s="22"/>
      <c r="Z427" s="22"/>
      <c r="AA427" s="22"/>
      <c r="AB427" s="22" t="str" cm="1">
        <f t="array" ref="AB427">IF(IF(AND($P426="",$P427=1),($N$37*-1),0)+IF(AND($Q426="",$Q427=1),($N$38*-1),0)+IF(IF(($K427-$N$48)&lt;1,0,IF(IF(INDEX($AD$176:$AD$905,($K427-$N$48))="",0,INDEX($AD$176:$AD$905,($K427-$N$48)))&gt;0,IF(INDEX($AD$176:$AD$905,($K427-$N$48))="",0,INDEX($AD$176:$AD$905,($K427-$N$48))),0))="",0,IF(($K427-$N$48)&lt;1,0,IF(IF(INDEX($AD$176:$AD$905,($K427-$N$48))="",0,INDEX($AD$176:$AD$905,($K427-$N$48)))&gt;0,IF(INDEX($AD$176:$AD$905,($K427-$N$48))="",0,INDEX($AD$176:$AD$905,($K427-$N$48))),0)))=0,"",IF(AND($P426="",$P427=1),($N$37*-1),0)+IF(AND($Q426="",$Q427=1),($N$38*-1),0)+IF(IF(($K427-$N$48)&lt;1,0,IF(IF(INDEX($AD$176:$AD$905,($K427-$N$48))="",0,INDEX($AD$176:$AD$905,($K427-$N$48)))&gt;0,IF(INDEX($AD$176:$AD$905,($K427-$N$48))="",0,INDEX($AD$176:$AD$905,($K427-$N$48))),0))="",0,IF(($K427-$N$48)&lt;1,0,IF(IF(INDEX($AD$176:$AD$905,($K427-$N$48))="",0,INDEX($AD$176:$AD$905,($K427-$N$48)))&gt;0,IF(INDEX($AD$176:$AD$905,($K427-$N$48))="",0,INDEX($AD$176:$AD$905,($K427-$N$48))),0))))</f>
        <v/>
      </c>
      <c r="AC427" s="22" t="str">
        <f t="shared" si="99"/>
        <v/>
      </c>
      <c r="AD427" s="22" t="str">
        <f t="shared" si="111"/>
        <v/>
      </c>
      <c r="AE427" s="22" t="str" cm="1">
        <f t="array" ref="AE427">IF(($K427-$N$48)&lt;1,"",IF((IF(INDEX($AC$176:$AC$905,($K427-$N$48))="",0,INDEX($AC$176:$AC$905,($K427-$N$48))))=0,"",(IF(INDEX($AC$176:$AC$905,($K427-$N$48))="",0,INDEX($AC$176:$AC$905,($K427-$N$48))))))</f>
        <v/>
      </c>
      <c r="AF427" s="31" t="str">
        <f t="shared" si="100"/>
        <v/>
      </c>
      <c r="AG427" s="31" t="str">
        <f t="shared" si="101"/>
        <v/>
      </c>
      <c r="AH427" s="31" t="str">
        <f t="shared" si="102"/>
        <v/>
      </c>
      <c r="AI427" s="31" t="str">
        <f t="shared" si="103"/>
        <v/>
      </c>
      <c r="AJ427" s="303" t="str">
        <f t="shared" si="104"/>
        <v/>
      </c>
      <c r="AK427" s="139" t="str">
        <f t="shared" si="105"/>
        <v/>
      </c>
      <c r="AM427" s="319"/>
      <c r="AN427" s="40"/>
      <c r="AO427" s="1"/>
    </row>
    <row r="428" spans="7:41" x14ac:dyDescent="0.25">
      <c r="G428" s="235" t="str">
        <f t="shared" si="112"/>
        <v/>
      </c>
      <c r="H428" s="4" t="str">
        <f t="shared" si="113"/>
        <v/>
      </c>
      <c r="I428" s="11" t="str">
        <f t="shared" si="93"/>
        <v>09.00</v>
      </c>
      <c r="K428" s="30">
        <v>253</v>
      </c>
      <c r="L428" s="29">
        <f t="shared" si="106"/>
        <v>11371.908376190917</v>
      </c>
      <c r="M428" s="28" t="str">
        <f t="shared" si="94"/>
        <v/>
      </c>
      <c r="N428" s="27" t="str">
        <f t="shared" si="107"/>
        <v/>
      </c>
      <c r="O428" s="26" t="str">
        <f>IF(AND($Q427=$O$38,IFERROR(LARGE($V$176:$V427,1)&lt;$N$42,TRUE)),1,IF(AND(ISNUMBER($O427),$O427&lt;$N$32),$O427+1,""))</f>
        <v/>
      </c>
      <c r="P428" s="26" t="str">
        <f t="shared" si="108"/>
        <v/>
      </c>
      <c r="Q428" s="26" t="str">
        <f t="shared" si="95"/>
        <v/>
      </c>
      <c r="R428" s="24" t="str">
        <f t="shared" si="109"/>
        <v/>
      </c>
      <c r="S428" s="180">
        <f t="shared" si="110"/>
        <v>9</v>
      </c>
      <c r="T428" s="151"/>
      <c r="U428" s="25" t="str">
        <f t="shared" si="96"/>
        <v/>
      </c>
      <c r="V428" s="24" t="str">
        <f>IF(AND(ISNUMBER(R427),ISNUMBER(R428)),V427,IF(AND(R427="",ISNUMBER(R428)),IFERROR(LARGE($V$176:$V427,1)+1,0),""))</f>
        <v/>
      </c>
      <c r="W428" s="23" t="str">
        <f t="shared" si="97"/>
        <v/>
      </c>
      <c r="X428" s="22" t="str">
        <f t="shared" si="98"/>
        <v/>
      </c>
      <c r="Y428" s="22"/>
      <c r="Z428" s="22"/>
      <c r="AA428" s="22"/>
      <c r="AB428" s="22" t="str" cm="1">
        <f t="array" ref="AB428">IF(IF(AND($P427="",$P428=1),($N$37*-1),0)+IF(AND($Q427="",$Q428=1),($N$38*-1),0)+IF(IF(($K428-$N$48)&lt;1,0,IF(IF(INDEX($AD$176:$AD$905,($K428-$N$48))="",0,INDEX($AD$176:$AD$905,($K428-$N$48)))&gt;0,IF(INDEX($AD$176:$AD$905,($K428-$N$48))="",0,INDEX($AD$176:$AD$905,($K428-$N$48))),0))="",0,IF(($K428-$N$48)&lt;1,0,IF(IF(INDEX($AD$176:$AD$905,($K428-$N$48))="",0,INDEX($AD$176:$AD$905,($K428-$N$48)))&gt;0,IF(INDEX($AD$176:$AD$905,($K428-$N$48))="",0,INDEX($AD$176:$AD$905,($K428-$N$48))),0)))=0,"",IF(AND($P427="",$P428=1),($N$37*-1),0)+IF(AND($Q427="",$Q428=1),($N$38*-1),0)+IF(IF(($K428-$N$48)&lt;1,0,IF(IF(INDEX($AD$176:$AD$905,($K428-$N$48))="",0,INDEX($AD$176:$AD$905,($K428-$N$48)))&gt;0,IF(INDEX($AD$176:$AD$905,($K428-$N$48))="",0,INDEX($AD$176:$AD$905,($K428-$N$48))),0))="",0,IF(($K428-$N$48)&lt;1,0,IF(IF(INDEX($AD$176:$AD$905,($K428-$N$48))="",0,INDEX($AD$176:$AD$905,($K428-$N$48)))&gt;0,IF(INDEX($AD$176:$AD$905,($K428-$N$48))="",0,INDEX($AD$176:$AD$905,($K428-$N$48))),0))))</f>
        <v/>
      </c>
      <c r="AC428" s="22" t="str">
        <f t="shared" si="99"/>
        <v/>
      </c>
      <c r="AD428" s="22" t="str">
        <f t="shared" si="111"/>
        <v/>
      </c>
      <c r="AE428" s="22" t="str" cm="1">
        <f t="array" ref="AE428">IF(($K428-$N$48)&lt;1,"",IF((IF(INDEX($AC$176:$AC$905,($K428-$N$48))="",0,INDEX($AC$176:$AC$905,($K428-$N$48))))=0,"",(IF(INDEX($AC$176:$AC$905,($K428-$N$48))="",0,INDEX($AC$176:$AC$905,($K428-$N$48))))))</f>
        <v/>
      </c>
      <c r="AF428" s="31" t="str">
        <f t="shared" si="100"/>
        <v/>
      </c>
      <c r="AG428" s="31" t="str">
        <f t="shared" si="101"/>
        <v/>
      </c>
      <c r="AH428" s="31" t="str">
        <f t="shared" si="102"/>
        <v/>
      </c>
      <c r="AI428" s="31" t="str">
        <f t="shared" si="103"/>
        <v/>
      </c>
      <c r="AJ428" s="303" t="str">
        <f t="shared" si="104"/>
        <v/>
      </c>
      <c r="AK428" s="139" t="str">
        <f t="shared" si="105"/>
        <v/>
      </c>
      <c r="AM428" s="319"/>
      <c r="AN428" s="40"/>
      <c r="AO428" s="1"/>
    </row>
    <row r="429" spans="7:41" x14ac:dyDescent="0.25">
      <c r="G429" s="235" t="str">
        <f t="shared" si="112"/>
        <v/>
      </c>
      <c r="H429" s="4" t="str">
        <f t="shared" si="113"/>
        <v/>
      </c>
      <c r="I429" s="11" t="str">
        <f t="shared" si="93"/>
        <v>09.00</v>
      </c>
      <c r="K429" s="30">
        <v>254</v>
      </c>
      <c r="L429" s="29">
        <f t="shared" si="106"/>
        <v>11371.908376190917</v>
      </c>
      <c r="M429" s="28" t="str">
        <f t="shared" si="94"/>
        <v/>
      </c>
      <c r="N429" s="27" t="str">
        <f t="shared" si="107"/>
        <v/>
      </c>
      <c r="O429" s="26" t="str">
        <f>IF(AND($Q428=$O$38,IFERROR(LARGE($V$176:$V428,1)&lt;$N$42,TRUE)),1,IF(AND(ISNUMBER($O428),$O428&lt;$N$32),$O428+1,""))</f>
        <v/>
      </c>
      <c r="P429" s="26" t="str">
        <f t="shared" si="108"/>
        <v/>
      </c>
      <c r="Q429" s="26" t="str">
        <f t="shared" si="95"/>
        <v/>
      </c>
      <c r="R429" s="24" t="str">
        <f t="shared" si="109"/>
        <v/>
      </c>
      <c r="S429" s="180">
        <f t="shared" si="110"/>
        <v>9</v>
      </c>
      <c r="T429" s="151"/>
      <c r="U429" s="25" t="str">
        <f t="shared" si="96"/>
        <v/>
      </c>
      <c r="V429" s="24" t="str">
        <f>IF(AND(ISNUMBER(R428),ISNUMBER(R429)),V428,IF(AND(R428="",ISNUMBER(R429)),IFERROR(LARGE($V$176:$V428,1)+1,0),""))</f>
        <v/>
      </c>
      <c r="W429" s="23" t="str">
        <f t="shared" si="97"/>
        <v/>
      </c>
      <c r="X429" s="22" t="str">
        <f t="shared" si="98"/>
        <v/>
      </c>
      <c r="Y429" s="22"/>
      <c r="Z429" s="22"/>
      <c r="AA429" s="22"/>
      <c r="AB429" s="22" t="str" cm="1">
        <f t="array" ref="AB429">IF(IF(AND($P428="",$P429=1),($N$37*-1),0)+IF(AND($Q428="",$Q429=1),($N$38*-1),0)+IF(IF(($K429-$N$48)&lt;1,0,IF(IF(INDEX($AD$176:$AD$905,($K429-$N$48))="",0,INDEX($AD$176:$AD$905,($K429-$N$48)))&gt;0,IF(INDEX($AD$176:$AD$905,($K429-$N$48))="",0,INDEX($AD$176:$AD$905,($K429-$N$48))),0))="",0,IF(($K429-$N$48)&lt;1,0,IF(IF(INDEX($AD$176:$AD$905,($K429-$N$48))="",0,INDEX($AD$176:$AD$905,($K429-$N$48)))&gt;0,IF(INDEX($AD$176:$AD$905,($K429-$N$48))="",0,INDEX($AD$176:$AD$905,($K429-$N$48))),0)))=0,"",IF(AND($P428="",$P429=1),($N$37*-1),0)+IF(AND($Q428="",$Q429=1),($N$38*-1),0)+IF(IF(($K429-$N$48)&lt;1,0,IF(IF(INDEX($AD$176:$AD$905,($K429-$N$48))="",0,INDEX($AD$176:$AD$905,($K429-$N$48)))&gt;0,IF(INDEX($AD$176:$AD$905,($K429-$N$48))="",0,INDEX($AD$176:$AD$905,($K429-$N$48))),0))="",0,IF(($K429-$N$48)&lt;1,0,IF(IF(INDEX($AD$176:$AD$905,($K429-$N$48))="",0,INDEX($AD$176:$AD$905,($K429-$N$48)))&gt;0,IF(INDEX($AD$176:$AD$905,($K429-$N$48))="",0,INDEX($AD$176:$AD$905,($K429-$N$48))),0))))</f>
        <v/>
      </c>
      <c r="AC429" s="22" t="str">
        <f t="shared" si="99"/>
        <v/>
      </c>
      <c r="AD429" s="22" t="str">
        <f t="shared" si="111"/>
        <v/>
      </c>
      <c r="AE429" s="22" t="str" cm="1">
        <f t="array" ref="AE429">IF(($K429-$N$48)&lt;1,"",IF((IF(INDEX($AC$176:$AC$905,($K429-$N$48))="",0,INDEX($AC$176:$AC$905,($K429-$N$48))))=0,"",(IF(INDEX($AC$176:$AC$905,($K429-$N$48))="",0,INDEX($AC$176:$AC$905,($K429-$N$48))))))</f>
        <v/>
      </c>
      <c r="AF429" s="31" t="str">
        <f t="shared" si="100"/>
        <v/>
      </c>
      <c r="AG429" s="31" t="str">
        <f t="shared" si="101"/>
        <v/>
      </c>
      <c r="AH429" s="31" t="str">
        <f t="shared" si="102"/>
        <v/>
      </c>
      <c r="AI429" s="31" t="str">
        <f t="shared" si="103"/>
        <v/>
      </c>
      <c r="AJ429" s="303" t="str">
        <f t="shared" si="104"/>
        <v/>
      </c>
      <c r="AK429" s="139" t="str">
        <f t="shared" si="105"/>
        <v/>
      </c>
      <c r="AM429" s="319"/>
      <c r="AN429" s="40"/>
      <c r="AO429" s="1"/>
    </row>
    <row r="430" spans="7:41" x14ac:dyDescent="0.25">
      <c r="G430" s="235" t="str">
        <f t="shared" si="112"/>
        <v/>
      </c>
      <c r="H430" s="4" t="str">
        <f t="shared" si="113"/>
        <v/>
      </c>
      <c r="I430" s="11" t="str">
        <f t="shared" si="93"/>
        <v>09.00</v>
      </c>
      <c r="K430" s="30">
        <v>255</v>
      </c>
      <c r="L430" s="29">
        <f t="shared" si="106"/>
        <v>11371.908376190917</v>
      </c>
      <c r="M430" s="28" t="str">
        <f t="shared" si="94"/>
        <v/>
      </c>
      <c r="N430" s="27" t="str">
        <f t="shared" si="107"/>
        <v/>
      </c>
      <c r="O430" s="26" t="str">
        <f>IF(AND($Q429=$O$38,IFERROR(LARGE($V$176:$V429,1)&lt;$N$42,TRUE)),1,IF(AND(ISNUMBER($O429),$O429&lt;$N$32),$O429+1,""))</f>
        <v/>
      </c>
      <c r="P430" s="26" t="str">
        <f t="shared" si="108"/>
        <v/>
      </c>
      <c r="Q430" s="26" t="str">
        <f t="shared" si="95"/>
        <v/>
      </c>
      <c r="R430" s="24" t="str">
        <f t="shared" si="109"/>
        <v/>
      </c>
      <c r="S430" s="180">
        <f t="shared" si="110"/>
        <v>9</v>
      </c>
      <c r="T430" s="151"/>
      <c r="U430" s="25" t="str">
        <f t="shared" si="96"/>
        <v/>
      </c>
      <c r="V430" s="24" t="str">
        <f>IF(AND(ISNUMBER(R429),ISNUMBER(R430)),V429,IF(AND(R429="",ISNUMBER(R430)),IFERROR(LARGE($V$176:$V429,1)+1,0),""))</f>
        <v/>
      </c>
      <c r="W430" s="23" t="str">
        <f t="shared" si="97"/>
        <v/>
      </c>
      <c r="X430" s="22" t="str">
        <f t="shared" si="98"/>
        <v/>
      </c>
      <c r="Y430" s="22"/>
      <c r="Z430" s="22"/>
      <c r="AA430" s="22"/>
      <c r="AB430" s="22" t="str" cm="1">
        <f t="array" ref="AB430">IF(IF(AND($P429="",$P430=1),($N$37*-1),0)+IF(AND($Q429="",$Q430=1),($N$38*-1),0)+IF(IF(($K430-$N$48)&lt;1,0,IF(IF(INDEX($AD$176:$AD$905,($K430-$N$48))="",0,INDEX($AD$176:$AD$905,($K430-$N$48)))&gt;0,IF(INDEX($AD$176:$AD$905,($K430-$N$48))="",0,INDEX($AD$176:$AD$905,($K430-$N$48))),0))="",0,IF(($K430-$N$48)&lt;1,0,IF(IF(INDEX($AD$176:$AD$905,($K430-$N$48))="",0,INDEX($AD$176:$AD$905,($K430-$N$48)))&gt;0,IF(INDEX($AD$176:$AD$905,($K430-$N$48))="",0,INDEX($AD$176:$AD$905,($K430-$N$48))),0)))=0,"",IF(AND($P429="",$P430=1),($N$37*-1),0)+IF(AND($Q429="",$Q430=1),($N$38*-1),0)+IF(IF(($K430-$N$48)&lt;1,0,IF(IF(INDEX($AD$176:$AD$905,($K430-$N$48))="",0,INDEX($AD$176:$AD$905,($K430-$N$48)))&gt;0,IF(INDEX($AD$176:$AD$905,($K430-$N$48))="",0,INDEX($AD$176:$AD$905,($K430-$N$48))),0))="",0,IF(($K430-$N$48)&lt;1,0,IF(IF(INDEX($AD$176:$AD$905,($K430-$N$48))="",0,INDEX($AD$176:$AD$905,($K430-$N$48)))&gt;0,IF(INDEX($AD$176:$AD$905,($K430-$N$48))="",0,INDEX($AD$176:$AD$905,($K430-$N$48))),0))))</f>
        <v/>
      </c>
      <c r="AC430" s="22" t="str">
        <f t="shared" si="99"/>
        <v/>
      </c>
      <c r="AD430" s="22" t="str">
        <f t="shared" si="111"/>
        <v/>
      </c>
      <c r="AE430" s="22" t="str" cm="1">
        <f t="array" ref="AE430">IF(($K430-$N$48)&lt;1,"",IF((IF(INDEX($AC$176:$AC$905,($K430-$N$48))="",0,INDEX($AC$176:$AC$905,($K430-$N$48))))=0,"",(IF(INDEX($AC$176:$AC$905,($K430-$N$48))="",0,INDEX($AC$176:$AC$905,($K430-$N$48))))))</f>
        <v/>
      </c>
      <c r="AF430" s="31" t="str">
        <f t="shared" si="100"/>
        <v/>
      </c>
      <c r="AG430" s="31" t="str">
        <f t="shared" si="101"/>
        <v/>
      </c>
      <c r="AH430" s="31" t="str">
        <f t="shared" si="102"/>
        <v/>
      </c>
      <c r="AI430" s="31" t="str">
        <f t="shared" si="103"/>
        <v/>
      </c>
      <c r="AJ430" s="303" t="str">
        <f t="shared" si="104"/>
        <v/>
      </c>
      <c r="AK430" s="139" t="str">
        <f t="shared" si="105"/>
        <v/>
      </c>
      <c r="AM430" s="319"/>
      <c r="AN430" s="40"/>
      <c r="AO430" s="1"/>
    </row>
    <row r="431" spans="7:41" x14ac:dyDescent="0.25">
      <c r="G431" s="235" t="str">
        <f t="shared" si="112"/>
        <v/>
      </c>
      <c r="H431" s="4" t="str">
        <f t="shared" si="113"/>
        <v/>
      </c>
      <c r="I431" s="11" t="str">
        <f t="shared" si="93"/>
        <v>09.00</v>
      </c>
      <c r="K431" s="30">
        <v>256</v>
      </c>
      <c r="L431" s="29">
        <f t="shared" si="106"/>
        <v>11371.908376190917</v>
      </c>
      <c r="M431" s="28" t="str">
        <f t="shared" si="94"/>
        <v/>
      </c>
      <c r="N431" s="27" t="str">
        <f t="shared" si="107"/>
        <v/>
      </c>
      <c r="O431" s="26" t="str">
        <f>IF(AND($Q430=$O$38,IFERROR(LARGE($V$176:$V430,1)&lt;$N$42,TRUE)),1,IF(AND(ISNUMBER($O430),$O430&lt;$N$32),$O430+1,""))</f>
        <v/>
      </c>
      <c r="P431" s="26" t="str">
        <f t="shared" si="108"/>
        <v/>
      </c>
      <c r="Q431" s="26" t="str">
        <f t="shared" si="95"/>
        <v/>
      </c>
      <c r="R431" s="24" t="str">
        <f t="shared" si="109"/>
        <v/>
      </c>
      <c r="S431" s="180">
        <f t="shared" si="110"/>
        <v>9</v>
      </c>
      <c r="T431" s="151"/>
      <c r="U431" s="25" t="str">
        <f t="shared" si="96"/>
        <v/>
      </c>
      <c r="V431" s="24" t="str">
        <f>IF(AND(ISNUMBER(R430),ISNUMBER(R431)),V430,IF(AND(R430="",ISNUMBER(R431)),IFERROR(LARGE($V$176:$V430,1)+1,0),""))</f>
        <v/>
      </c>
      <c r="W431" s="23" t="str">
        <f t="shared" si="97"/>
        <v/>
      </c>
      <c r="X431" s="22" t="str">
        <f t="shared" si="98"/>
        <v/>
      </c>
      <c r="Y431" s="22"/>
      <c r="Z431" s="22"/>
      <c r="AA431" s="22"/>
      <c r="AB431" s="22" t="str" cm="1">
        <f t="array" ref="AB431">IF(IF(AND($P430="",$P431=1),($N$37*-1),0)+IF(AND($Q430="",$Q431=1),($N$38*-1),0)+IF(IF(($K431-$N$48)&lt;1,0,IF(IF(INDEX($AD$176:$AD$905,($K431-$N$48))="",0,INDEX($AD$176:$AD$905,($K431-$N$48)))&gt;0,IF(INDEX($AD$176:$AD$905,($K431-$N$48))="",0,INDEX($AD$176:$AD$905,($K431-$N$48))),0))="",0,IF(($K431-$N$48)&lt;1,0,IF(IF(INDEX($AD$176:$AD$905,($K431-$N$48))="",0,INDEX($AD$176:$AD$905,($K431-$N$48)))&gt;0,IF(INDEX($AD$176:$AD$905,($K431-$N$48))="",0,INDEX($AD$176:$AD$905,($K431-$N$48))),0)))=0,"",IF(AND($P430="",$P431=1),($N$37*-1),0)+IF(AND($Q430="",$Q431=1),($N$38*-1),0)+IF(IF(($K431-$N$48)&lt;1,0,IF(IF(INDEX($AD$176:$AD$905,($K431-$N$48))="",0,INDEX($AD$176:$AD$905,($K431-$N$48)))&gt;0,IF(INDEX($AD$176:$AD$905,($K431-$N$48))="",0,INDEX($AD$176:$AD$905,($K431-$N$48))),0))="",0,IF(($K431-$N$48)&lt;1,0,IF(IF(INDEX($AD$176:$AD$905,($K431-$N$48))="",0,INDEX($AD$176:$AD$905,($K431-$N$48)))&gt;0,IF(INDEX($AD$176:$AD$905,($K431-$N$48))="",0,INDEX($AD$176:$AD$905,($K431-$N$48))),0))))</f>
        <v/>
      </c>
      <c r="AC431" s="22" t="str">
        <f t="shared" si="99"/>
        <v/>
      </c>
      <c r="AD431" s="22" t="str">
        <f t="shared" si="111"/>
        <v/>
      </c>
      <c r="AE431" s="22" t="str" cm="1">
        <f t="array" ref="AE431">IF(($K431-$N$48)&lt;1,"",IF((IF(INDEX($AC$176:$AC$905,($K431-$N$48))="",0,INDEX($AC$176:$AC$905,($K431-$N$48))))=0,"",(IF(INDEX($AC$176:$AC$905,($K431-$N$48))="",0,INDEX($AC$176:$AC$905,($K431-$N$48))))))</f>
        <v/>
      </c>
      <c r="AF431" s="31" t="str">
        <f t="shared" si="100"/>
        <v/>
      </c>
      <c r="AG431" s="31" t="str">
        <f t="shared" si="101"/>
        <v/>
      </c>
      <c r="AH431" s="31" t="str">
        <f t="shared" si="102"/>
        <v/>
      </c>
      <c r="AI431" s="31" t="str">
        <f t="shared" si="103"/>
        <v/>
      </c>
      <c r="AJ431" s="303" t="str">
        <f t="shared" si="104"/>
        <v/>
      </c>
      <c r="AK431" s="139" t="str">
        <f t="shared" si="105"/>
        <v/>
      </c>
      <c r="AM431" s="319"/>
      <c r="AN431" s="40"/>
      <c r="AO431" s="1"/>
    </row>
    <row r="432" spans="7:41" x14ac:dyDescent="0.25">
      <c r="G432" s="235" t="str">
        <f t="shared" si="112"/>
        <v/>
      </c>
      <c r="H432" s="4" t="str">
        <f t="shared" si="113"/>
        <v/>
      </c>
      <c r="I432" s="11" t="str">
        <f t="shared" ref="I432:I495" si="114">CONCATENATE(IF(LEN(ROUNDDOWN(S432,0))=1,CONCATENATE("0",ROUNDDOWN(S432,0)),ROUNDDOWN(S432,0)),".",IF(LEN(ROUND(MOD(S432,1)*100,0))=1,CONCATENATE("0",ROUND(MOD(S432,1)*100,0)),ROUND(MOD(S432,1)*100,0)),IF(N432&lt;&gt;"",".N.",IF(O432&lt;&gt;"",".R.",IF(P432&lt;&gt;"",".O.",IF(Q432&lt;&gt;"",".I.",IF(R432&lt;&gt;"",".D.",""))))),IF(N432&lt;&gt;"",N432,IF(O432&lt;&gt;"",O432,IF(P432&lt;&gt;"",P432,IF(Q432&lt;&gt;"",Q432,IF(R432&lt;&gt;"",IF(MOD(R432,$N$44)=0,$N$44,MOD(R432,$N$44)),""))))))</f>
        <v>09.00</v>
      </c>
      <c r="K432" s="30">
        <v>257</v>
      </c>
      <c r="L432" s="29">
        <f t="shared" si="106"/>
        <v>11371.908376190917</v>
      </c>
      <c r="M432" s="28" t="str">
        <f t="shared" ref="M432:M495" si="115">IFERROR(IF(IF($K432=1,(($M$23*-1)+($M$24*-1)),IF(ISNUMBER(W432),W432,0)+IF(ISNUMBER(X432),X432,0)+IF(ISNUMBER(AB432),AB432,0)+IF(ISNUMBER(AE432),AE432,0)+IF(ISNUMBER(AF432),AF432,0)+IF(ISNUMBER(AG432),AG432,0)+IF(ISNUMBER(AH432),AH432,0)+IF(ISNUMBER(AI432),AI432,0)+IF(ISNUMBER(AK432),AK432,0))=0,"",IF($K432=1,(($M$23*-1)+($M$24*-1)),IF(ISNUMBER(W432),W432,0)+IF(ISNUMBER(X432),X432,0)+IF(ISNUMBER(AB432),AB432,0)+IF(ISNUMBER(AE432),AE432,0)+IF(ISNUMBER(AF432),AF432,0)+IF(ISNUMBER(AG432),AG432,0)+IF(ISNUMBER(AH432),AH432,0)+IF(ISNUMBER(AI432),AI432,0)+IF(ISNUMBER(AK432),AK432,0))),"")</f>
        <v/>
      </c>
      <c r="N432" s="27" t="str">
        <f t="shared" si="107"/>
        <v/>
      </c>
      <c r="O432" s="26" t="str">
        <f>IF(AND($Q431=$O$38,IFERROR(LARGE($V$176:$V431,1)&lt;$N$42,TRUE)),1,IF(AND(ISNUMBER($O431),$O431&lt;$N$32),$O431+1,""))</f>
        <v/>
      </c>
      <c r="P432" s="26" t="str">
        <f t="shared" si="108"/>
        <v/>
      </c>
      <c r="Q432" s="26" t="str">
        <f t="shared" ref="Q432:Q495" si="116">IF($R431=($N$43*$N$44),1,IF(AND(ISNUMBER($Q431),$Q431&lt;$O$38),$Q431+1,""))</f>
        <v/>
      </c>
      <c r="R432" s="24" t="str">
        <f t="shared" si="109"/>
        <v/>
      </c>
      <c r="S432" s="180">
        <f t="shared" si="110"/>
        <v>9</v>
      </c>
      <c r="T432" s="151"/>
      <c r="U432" s="25" t="str">
        <f t="shared" ref="U432:U495" si="117">IF(ISNUMBER($R432),ROUNDUP($R432/$N$44,0),"")</f>
        <v/>
      </c>
      <c r="V432" s="24" t="str">
        <f>IF(AND(ISNUMBER(R431),ISNUMBER(R432)),V431,IF(AND(R431="",ISNUMBER(R432)),IFERROR(LARGE($V$176:$V431,1)+1,0),""))</f>
        <v/>
      </c>
      <c r="W432" s="23" t="str">
        <f t="shared" ref="W432:W495" si="118">IF($O432=1,($M$30*-1),"")</f>
        <v/>
      </c>
      <c r="X432" s="22" t="str">
        <f t="shared" ref="X432:X495" si="119">IF($K432=1,($M$24*-1),IF($O432=1,($M$31*-1),""))</f>
        <v/>
      </c>
      <c r="Y432" s="22"/>
      <c r="Z432" s="22"/>
      <c r="AA432" s="22"/>
      <c r="AB432" s="22" t="str" cm="1">
        <f t="array" ref="AB432">IF(IF(AND($P431="",$P432=1),($N$37*-1),0)+IF(AND($Q431="",$Q432=1),($N$38*-1),0)+IF(IF(($K432-$N$48)&lt;1,0,IF(IF(INDEX($AD$176:$AD$905,($K432-$N$48))="",0,INDEX($AD$176:$AD$905,($K432-$N$48)))&gt;0,IF(INDEX($AD$176:$AD$905,($K432-$N$48))="",0,INDEX($AD$176:$AD$905,($K432-$N$48))),0))="",0,IF(($K432-$N$48)&lt;1,0,IF(IF(INDEX($AD$176:$AD$905,($K432-$N$48))="",0,INDEX($AD$176:$AD$905,($K432-$N$48)))&gt;0,IF(INDEX($AD$176:$AD$905,($K432-$N$48))="",0,INDEX($AD$176:$AD$905,($K432-$N$48))),0)))=0,"",IF(AND($P431="",$P432=1),($N$37*-1),0)+IF(AND($Q431="",$Q432=1),($N$38*-1),0)+IF(IF(($K432-$N$48)&lt;1,0,IF(IF(INDEX($AD$176:$AD$905,($K432-$N$48))="",0,INDEX($AD$176:$AD$905,($K432-$N$48)))&gt;0,IF(INDEX($AD$176:$AD$905,($K432-$N$48))="",0,INDEX($AD$176:$AD$905,($K432-$N$48))),0))="",0,IF(($K432-$N$48)&lt;1,0,IF(IF(INDEX($AD$176:$AD$905,($K432-$N$48))="",0,INDEX($AD$176:$AD$905,($K432-$N$48)))&gt;0,IF(INDEX($AD$176:$AD$905,($K432-$N$48))="",0,INDEX($AD$176:$AD$905,($K432-$N$48))),0))))</f>
        <v/>
      </c>
      <c r="AC432" s="22" t="str">
        <f t="shared" ref="AC432:AC495" si="120">IF(IF(OR(AND(ISNUMBER($U432),IF(ISNUMBER($U433),$U433,0)-IF(ISNUMBER($U432),$U432,0)=1),AND(ISNUMBER($U432),$U433="")),VLOOKUP(IF($U432&gt;$L$63,$L$63,$U432),$L$52:$N$63,COLUMNS($L$52:$N$52),FALSE),0)=0,"",IF(OR(AND(ISNUMBER($U432),IF(ISNUMBER($U433),$U433,0)-IF(ISNUMBER($U432),$U432,0)=1),AND(ISNUMBER($U432),$U433="")),VLOOKUP(IF($U432&gt;$L$63,$L$63,$U432),$L$52:$N$63,COLUMNS($L$52:$N$52),FALSE),0))</f>
        <v/>
      </c>
      <c r="AD432" s="22" t="str">
        <f t="shared" si="111"/>
        <v/>
      </c>
      <c r="AE432" s="22" t="str" cm="1">
        <f t="array" ref="AE432">IF(($K432-$N$48)&lt;1,"",IF((IF(INDEX($AC$176:$AC$905,($K432-$N$48))="",0,INDEX($AC$176:$AC$905,($K432-$N$48))))=0,"",(IF(INDEX($AC$176:$AC$905,($K432-$N$48))="",0,INDEX($AC$176:$AC$905,($K432-$N$48))))))</f>
        <v/>
      </c>
      <c r="AF432" s="31" t="str">
        <f t="shared" ref="AF432:AF495" si="121">IF($O$67="Invoice",IF(AND(ISNUMBER($AC432),ISNUMBER($O$68)),$AC432*$O$68*-1,""),IF($O$67="Payment",IF(AND(ISNUMBER($AE432),ISNUMBER($O$68)),$AE432*$O$68*-1,""),""))</f>
        <v/>
      </c>
      <c r="AG432" s="31" t="str">
        <f t="shared" ref="AG432:AG495" si="122">IF($O$67="Invoice",IF(AND(ISNUMBER($AC432),ISNUMBER($O$69)),$AC432*$O$69*-1,""),IF($O$67="Payment",IF(AND(ISNUMBER($AE432),ISNUMBER($O$69)),$AE432*$O$69*-1,""),""))</f>
        <v/>
      </c>
      <c r="AH432" s="31" t="str">
        <f t="shared" ref="AH432:AH495" si="123">IF($O$67="Invoice",IF(AND(ISNUMBER($AC432),ISNUMBER($O$70)),$AC432*$O$70*-1,""),IF($O$67="Payment",IF(AND(ISNUMBER($AE432),ISNUMBER($O$70)),$AE432*$O$70*-1,""),""))</f>
        <v/>
      </c>
      <c r="AI432" s="31" t="str">
        <f t="shared" ref="AI432:AI495" si="124">IF($O$67="Invoice",IF(AND(ISNUMBER($AC432),ISNUMBER($O$71)),$AC432*$O$71*-1,""),IF($O$67="Payment",IF(AND(ISNUMBER($AE432),ISNUMBER($O$71)),$AE432*$O$71*-1,""),""))</f>
        <v/>
      </c>
      <c r="AJ432" s="303" t="str">
        <f t="shared" ref="AJ432:AJ495" si="125">IF($O$67="Invoice",IF(AND(ISNUMBER($AC432),ISNUMBER($O$72)),$AC432*$O$72*-1,""),IF($O$67="Payment",IF(AND(ISNUMBER($AE432),ISNUMBER($O$72)),$AE432*$O$72*-1,""),""))</f>
        <v/>
      </c>
      <c r="AK432" s="139" t="str">
        <f t="shared" ref="AK432:AK495" si="126">IF($O$67="Invoice",IF(AND(ISNUMBER($AC432),ISNUMBER($O$73)),$AC432*$O$73*-1,""),IF($O$67="Payment",IF(AND(ISNUMBER($AE432),ISNUMBER($O$73)),$AE432*$O$73*-1,""),""))</f>
        <v/>
      </c>
      <c r="AM432" s="319"/>
      <c r="AN432" s="40"/>
      <c r="AO432" s="1"/>
    </row>
    <row r="433" spans="7:41" x14ac:dyDescent="0.25">
      <c r="G433" s="235" t="str">
        <f t="shared" si="112"/>
        <v/>
      </c>
      <c r="H433" s="4" t="str">
        <f t="shared" si="113"/>
        <v/>
      </c>
      <c r="I433" s="11" t="str">
        <f t="shared" si="114"/>
        <v>09.00</v>
      </c>
      <c r="K433" s="30">
        <v>258</v>
      </c>
      <c r="L433" s="29">
        <f t="shared" ref="L433:L496" si="127">IF(ISNUMBER($M433),$M433+$L432,$L432)</f>
        <v>11371.908376190917</v>
      </c>
      <c r="M433" s="28" t="str">
        <f t="shared" si="115"/>
        <v/>
      </c>
      <c r="N433" s="27" t="str">
        <f t="shared" ref="N433:N496" si="128">IF($K432&lt;$N$25,$N432+1,"")</f>
        <v/>
      </c>
      <c r="O433" s="26" t="str">
        <f>IF(AND($Q432=$O$38,IFERROR(LARGE($V$176:$V432,1)&lt;$N$42,TRUE)),1,IF(AND(ISNUMBER($O432),$O432&lt;$N$32),$O432+1,""))</f>
        <v/>
      </c>
      <c r="P433" s="26" t="str">
        <f t="shared" ref="P433:P496" si="129">IF(OR($N432=$N$25,O432=$N$32),1,IF(AND($P432&lt;$O$37,P432&gt;0),P432+1,""))</f>
        <v/>
      </c>
      <c r="Q433" s="26" t="str">
        <f t="shared" si="116"/>
        <v/>
      </c>
      <c r="R433" s="24" t="str">
        <f t="shared" ref="R433:R496" si="130">IF(AND($P432=$O$37,$R432=""),1,IF($R432&lt;($N$43*$N$44),$R432+1,""))</f>
        <v/>
      </c>
      <c r="S433" s="180">
        <f t="shared" si="110"/>
        <v>9</v>
      </c>
      <c r="T433" s="151"/>
      <c r="U433" s="25" t="str">
        <f t="shared" si="117"/>
        <v/>
      </c>
      <c r="V433" s="24" t="str">
        <f>IF(AND(ISNUMBER(R432),ISNUMBER(R433)),V432,IF(AND(R432="",ISNUMBER(R433)),IFERROR(LARGE($V$176:$V432,1)+1,0),""))</f>
        <v/>
      </c>
      <c r="W433" s="23" t="str">
        <f t="shared" si="118"/>
        <v/>
      </c>
      <c r="X433" s="22" t="str">
        <f t="shared" si="119"/>
        <v/>
      </c>
      <c r="Y433" s="22"/>
      <c r="Z433" s="22"/>
      <c r="AA433" s="22"/>
      <c r="AB433" s="22" t="str" cm="1">
        <f t="array" ref="AB433">IF(IF(AND($P432="",$P433=1),($N$37*-1),0)+IF(AND($Q432="",$Q433=1),($N$38*-1),0)+IF(IF(($K433-$N$48)&lt;1,0,IF(IF(INDEX($AD$176:$AD$905,($K433-$N$48))="",0,INDEX($AD$176:$AD$905,($K433-$N$48)))&gt;0,IF(INDEX($AD$176:$AD$905,($K433-$N$48))="",0,INDEX($AD$176:$AD$905,($K433-$N$48))),0))="",0,IF(($K433-$N$48)&lt;1,0,IF(IF(INDEX($AD$176:$AD$905,($K433-$N$48))="",0,INDEX($AD$176:$AD$905,($K433-$N$48)))&gt;0,IF(INDEX($AD$176:$AD$905,($K433-$N$48))="",0,INDEX($AD$176:$AD$905,($K433-$N$48))),0)))=0,"",IF(AND($P432="",$P433=1),($N$37*-1),0)+IF(AND($Q432="",$Q433=1),($N$38*-1),0)+IF(IF(($K433-$N$48)&lt;1,0,IF(IF(INDEX($AD$176:$AD$905,($K433-$N$48))="",0,INDEX($AD$176:$AD$905,($K433-$N$48)))&gt;0,IF(INDEX($AD$176:$AD$905,($K433-$N$48))="",0,INDEX($AD$176:$AD$905,($K433-$N$48))),0))="",0,IF(($K433-$N$48)&lt;1,0,IF(IF(INDEX($AD$176:$AD$905,($K433-$N$48))="",0,INDEX($AD$176:$AD$905,($K433-$N$48)))&gt;0,IF(INDEX($AD$176:$AD$905,($K433-$N$48))="",0,INDEX($AD$176:$AD$905,($K433-$N$48))),0))))</f>
        <v/>
      </c>
      <c r="AC433" s="22" t="str">
        <f t="shared" si="120"/>
        <v/>
      </c>
      <c r="AD433" s="22" t="str">
        <f t="shared" si="111"/>
        <v/>
      </c>
      <c r="AE433" s="22" t="str" cm="1">
        <f t="array" ref="AE433">IF(($K433-$N$48)&lt;1,"",IF((IF(INDEX($AC$176:$AC$905,($K433-$N$48))="",0,INDEX($AC$176:$AC$905,($K433-$N$48))))=0,"",(IF(INDEX($AC$176:$AC$905,($K433-$N$48))="",0,INDEX($AC$176:$AC$905,($K433-$N$48))))))</f>
        <v/>
      </c>
      <c r="AF433" s="31" t="str">
        <f t="shared" si="121"/>
        <v/>
      </c>
      <c r="AG433" s="31" t="str">
        <f t="shared" si="122"/>
        <v/>
      </c>
      <c r="AH433" s="31" t="str">
        <f t="shared" si="123"/>
        <v/>
      </c>
      <c r="AI433" s="31" t="str">
        <f t="shared" si="124"/>
        <v/>
      </c>
      <c r="AJ433" s="303" t="str">
        <f t="shared" si="125"/>
        <v/>
      </c>
      <c r="AK433" s="139" t="str">
        <f t="shared" si="126"/>
        <v/>
      </c>
      <c r="AM433" s="319"/>
      <c r="AN433" s="40"/>
      <c r="AO433" s="1"/>
    </row>
    <row r="434" spans="7:41" x14ac:dyDescent="0.25">
      <c r="G434" s="235" t="str">
        <f t="shared" si="112"/>
        <v/>
      </c>
      <c r="H434" s="4" t="str">
        <f t="shared" si="113"/>
        <v/>
      </c>
      <c r="I434" s="11" t="str">
        <f t="shared" si="114"/>
        <v>09.00</v>
      </c>
      <c r="K434" s="30">
        <v>259</v>
      </c>
      <c r="L434" s="29">
        <f t="shared" si="127"/>
        <v>11371.908376190917</v>
      </c>
      <c r="M434" s="28" t="str">
        <f t="shared" si="115"/>
        <v/>
      </c>
      <c r="N434" s="27" t="str">
        <f t="shared" si="128"/>
        <v/>
      </c>
      <c r="O434" s="26" t="str">
        <f>IF(AND($Q433=$O$38,IFERROR(LARGE($V$176:$V433,1)&lt;$N$42,TRUE)),1,IF(AND(ISNUMBER($O433),$O433&lt;$N$32),$O433+1,""))</f>
        <v/>
      </c>
      <c r="P434" s="26" t="str">
        <f t="shared" si="129"/>
        <v/>
      </c>
      <c r="Q434" s="26" t="str">
        <f t="shared" si="116"/>
        <v/>
      </c>
      <c r="R434" s="24" t="str">
        <f t="shared" si="130"/>
        <v/>
      </c>
      <c r="S434" s="180">
        <f t="shared" si="110"/>
        <v>9</v>
      </c>
      <c r="T434" s="151"/>
      <c r="U434" s="25" t="str">
        <f t="shared" si="117"/>
        <v/>
      </c>
      <c r="V434" s="24" t="str">
        <f>IF(AND(ISNUMBER(R433),ISNUMBER(R434)),V433,IF(AND(R433="",ISNUMBER(R434)),IFERROR(LARGE($V$176:$V433,1)+1,0),""))</f>
        <v/>
      </c>
      <c r="W434" s="23" t="str">
        <f t="shared" si="118"/>
        <v/>
      </c>
      <c r="X434" s="22" t="str">
        <f t="shared" si="119"/>
        <v/>
      </c>
      <c r="Y434" s="22"/>
      <c r="Z434" s="22"/>
      <c r="AA434" s="22"/>
      <c r="AB434" s="22" t="str" cm="1">
        <f t="array" ref="AB434">IF(IF(AND($P433="",$P434=1),($N$37*-1),0)+IF(AND($Q433="",$Q434=1),($N$38*-1),0)+IF(IF(($K434-$N$48)&lt;1,0,IF(IF(INDEX($AD$176:$AD$905,($K434-$N$48))="",0,INDEX($AD$176:$AD$905,($K434-$N$48)))&gt;0,IF(INDEX($AD$176:$AD$905,($K434-$N$48))="",0,INDEX($AD$176:$AD$905,($K434-$N$48))),0))="",0,IF(($K434-$N$48)&lt;1,0,IF(IF(INDEX($AD$176:$AD$905,($K434-$N$48))="",0,INDEX($AD$176:$AD$905,($K434-$N$48)))&gt;0,IF(INDEX($AD$176:$AD$905,($K434-$N$48))="",0,INDEX($AD$176:$AD$905,($K434-$N$48))),0)))=0,"",IF(AND($P433="",$P434=1),($N$37*-1),0)+IF(AND($Q433="",$Q434=1),($N$38*-1),0)+IF(IF(($K434-$N$48)&lt;1,0,IF(IF(INDEX($AD$176:$AD$905,($K434-$N$48))="",0,INDEX($AD$176:$AD$905,($K434-$N$48)))&gt;0,IF(INDEX($AD$176:$AD$905,($K434-$N$48))="",0,INDEX($AD$176:$AD$905,($K434-$N$48))),0))="",0,IF(($K434-$N$48)&lt;1,0,IF(IF(INDEX($AD$176:$AD$905,($K434-$N$48))="",0,INDEX($AD$176:$AD$905,($K434-$N$48)))&gt;0,IF(INDEX($AD$176:$AD$905,($K434-$N$48))="",0,INDEX($AD$176:$AD$905,($K434-$N$48))),0))))</f>
        <v/>
      </c>
      <c r="AC434" s="22" t="str">
        <f t="shared" si="120"/>
        <v/>
      </c>
      <c r="AD434" s="22" t="str">
        <f t="shared" si="111"/>
        <v/>
      </c>
      <c r="AE434" s="22" t="str" cm="1">
        <f t="array" ref="AE434">IF(($K434-$N$48)&lt;1,"",IF((IF(INDEX($AC$176:$AC$905,($K434-$N$48))="",0,INDEX($AC$176:$AC$905,($K434-$N$48))))=0,"",(IF(INDEX($AC$176:$AC$905,($K434-$N$48))="",0,INDEX($AC$176:$AC$905,($K434-$N$48))))))</f>
        <v/>
      </c>
      <c r="AF434" s="31" t="str">
        <f t="shared" si="121"/>
        <v/>
      </c>
      <c r="AG434" s="31" t="str">
        <f t="shared" si="122"/>
        <v/>
      </c>
      <c r="AH434" s="31" t="str">
        <f t="shared" si="123"/>
        <v/>
      </c>
      <c r="AI434" s="31" t="str">
        <f t="shared" si="124"/>
        <v/>
      </c>
      <c r="AJ434" s="303" t="str">
        <f t="shared" si="125"/>
        <v/>
      </c>
      <c r="AK434" s="139" t="str">
        <f t="shared" si="126"/>
        <v/>
      </c>
      <c r="AM434" s="319"/>
      <c r="AN434" s="40"/>
      <c r="AO434" s="1"/>
    </row>
    <row r="435" spans="7:41" x14ac:dyDescent="0.25">
      <c r="G435" s="235" t="str">
        <f t="shared" si="112"/>
        <v/>
      </c>
      <c r="H435" s="4" t="str">
        <f t="shared" si="113"/>
        <v/>
      </c>
      <c r="I435" s="11" t="str">
        <f t="shared" si="114"/>
        <v>09.00</v>
      </c>
      <c r="K435" s="30">
        <v>260</v>
      </c>
      <c r="L435" s="29">
        <f t="shared" si="127"/>
        <v>11371.908376190917</v>
      </c>
      <c r="M435" s="28" t="str">
        <f t="shared" si="115"/>
        <v/>
      </c>
      <c r="N435" s="27" t="str">
        <f t="shared" si="128"/>
        <v/>
      </c>
      <c r="O435" s="26" t="str">
        <f>IF(AND($Q434=$O$38,IFERROR(LARGE($V$176:$V434,1)&lt;$N$42,TRUE)),1,IF(AND(ISNUMBER($O434),$O434&lt;$N$32),$O434+1,""))</f>
        <v/>
      </c>
      <c r="P435" s="26" t="str">
        <f t="shared" si="129"/>
        <v/>
      </c>
      <c r="Q435" s="26" t="str">
        <f t="shared" si="116"/>
        <v/>
      </c>
      <c r="R435" s="24" t="str">
        <f t="shared" si="130"/>
        <v/>
      </c>
      <c r="S435" s="180">
        <f t="shared" si="110"/>
        <v>9</v>
      </c>
      <c r="T435" s="151"/>
      <c r="U435" s="25" t="str">
        <f t="shared" si="117"/>
        <v/>
      </c>
      <c r="V435" s="24" t="str">
        <f>IF(AND(ISNUMBER(R434),ISNUMBER(R435)),V434,IF(AND(R434="",ISNUMBER(R435)),IFERROR(LARGE($V$176:$V434,1)+1,0),""))</f>
        <v/>
      </c>
      <c r="W435" s="23" t="str">
        <f t="shared" si="118"/>
        <v/>
      </c>
      <c r="X435" s="22" t="str">
        <f t="shared" si="119"/>
        <v/>
      </c>
      <c r="Y435" s="22"/>
      <c r="Z435" s="22"/>
      <c r="AA435" s="22"/>
      <c r="AB435" s="22" t="str" cm="1">
        <f t="array" ref="AB435">IF(IF(AND($P434="",$P435=1),($N$37*-1),0)+IF(AND($Q434="",$Q435=1),($N$38*-1),0)+IF(IF(($K435-$N$48)&lt;1,0,IF(IF(INDEX($AD$176:$AD$905,($K435-$N$48))="",0,INDEX($AD$176:$AD$905,($K435-$N$48)))&gt;0,IF(INDEX($AD$176:$AD$905,($K435-$N$48))="",0,INDEX($AD$176:$AD$905,($K435-$N$48))),0))="",0,IF(($K435-$N$48)&lt;1,0,IF(IF(INDEX($AD$176:$AD$905,($K435-$N$48))="",0,INDEX($AD$176:$AD$905,($K435-$N$48)))&gt;0,IF(INDEX($AD$176:$AD$905,($K435-$N$48))="",0,INDEX($AD$176:$AD$905,($K435-$N$48))),0)))=0,"",IF(AND($P434="",$P435=1),($N$37*-1),0)+IF(AND($Q434="",$Q435=1),($N$38*-1),0)+IF(IF(($K435-$N$48)&lt;1,0,IF(IF(INDEX($AD$176:$AD$905,($K435-$N$48))="",0,INDEX($AD$176:$AD$905,($K435-$N$48)))&gt;0,IF(INDEX($AD$176:$AD$905,($K435-$N$48))="",0,INDEX($AD$176:$AD$905,($K435-$N$48))),0))="",0,IF(($K435-$N$48)&lt;1,0,IF(IF(INDEX($AD$176:$AD$905,($K435-$N$48))="",0,INDEX($AD$176:$AD$905,($K435-$N$48)))&gt;0,IF(INDEX($AD$176:$AD$905,($K435-$N$48))="",0,INDEX($AD$176:$AD$905,($K435-$N$48))),0))))</f>
        <v/>
      </c>
      <c r="AC435" s="22" t="str">
        <f t="shared" si="120"/>
        <v/>
      </c>
      <c r="AD435" s="22" t="str">
        <f t="shared" si="111"/>
        <v/>
      </c>
      <c r="AE435" s="22" t="str" cm="1">
        <f t="array" ref="AE435">IF(($K435-$N$48)&lt;1,"",IF((IF(INDEX($AC$176:$AC$905,($K435-$N$48))="",0,INDEX($AC$176:$AC$905,($K435-$N$48))))=0,"",(IF(INDEX($AC$176:$AC$905,($K435-$N$48))="",0,INDEX($AC$176:$AC$905,($K435-$N$48))))))</f>
        <v/>
      </c>
      <c r="AF435" s="31" t="str">
        <f t="shared" si="121"/>
        <v/>
      </c>
      <c r="AG435" s="31" t="str">
        <f t="shared" si="122"/>
        <v/>
      </c>
      <c r="AH435" s="31" t="str">
        <f t="shared" si="123"/>
        <v/>
      </c>
      <c r="AI435" s="31" t="str">
        <f t="shared" si="124"/>
        <v/>
      </c>
      <c r="AJ435" s="303" t="str">
        <f t="shared" si="125"/>
        <v/>
      </c>
      <c r="AK435" s="139" t="str">
        <f t="shared" si="126"/>
        <v/>
      </c>
      <c r="AM435" s="319"/>
      <c r="AN435" s="40"/>
      <c r="AO435" s="1"/>
    </row>
    <row r="436" spans="7:41" x14ac:dyDescent="0.25">
      <c r="G436" s="235" t="str">
        <f t="shared" si="112"/>
        <v/>
      </c>
      <c r="H436" s="4" t="str">
        <f t="shared" si="113"/>
        <v/>
      </c>
      <c r="I436" s="11" t="str">
        <f t="shared" si="114"/>
        <v>09.00</v>
      </c>
      <c r="K436" s="30">
        <v>261</v>
      </c>
      <c r="L436" s="29">
        <f t="shared" si="127"/>
        <v>11371.908376190917</v>
      </c>
      <c r="M436" s="28" t="str">
        <f t="shared" si="115"/>
        <v/>
      </c>
      <c r="N436" s="27" t="str">
        <f t="shared" si="128"/>
        <v/>
      </c>
      <c r="O436" s="26" t="str">
        <f>IF(AND($Q435=$O$38,IFERROR(LARGE($V$176:$V435,1)&lt;$N$42,TRUE)),1,IF(AND(ISNUMBER($O435),$O435&lt;$N$32),$O435+1,""))</f>
        <v/>
      </c>
      <c r="P436" s="26" t="str">
        <f t="shared" si="129"/>
        <v/>
      </c>
      <c r="Q436" s="26" t="str">
        <f t="shared" si="116"/>
        <v/>
      </c>
      <c r="R436" s="24" t="str">
        <f t="shared" si="130"/>
        <v/>
      </c>
      <c r="S436" s="180">
        <f t="shared" si="110"/>
        <v>9</v>
      </c>
      <c r="T436" s="151"/>
      <c r="U436" s="25" t="str">
        <f t="shared" si="117"/>
        <v/>
      </c>
      <c r="V436" s="24" t="str">
        <f>IF(AND(ISNUMBER(R435),ISNUMBER(R436)),V435,IF(AND(R435="",ISNUMBER(R436)),IFERROR(LARGE($V$176:$V435,1)+1,0),""))</f>
        <v/>
      </c>
      <c r="W436" s="23" t="str">
        <f t="shared" si="118"/>
        <v/>
      </c>
      <c r="X436" s="22" t="str">
        <f t="shared" si="119"/>
        <v/>
      </c>
      <c r="Y436" s="22"/>
      <c r="Z436" s="22"/>
      <c r="AA436" s="22"/>
      <c r="AB436" s="22" t="str" cm="1">
        <f t="array" ref="AB436">IF(IF(AND($P435="",$P436=1),($N$37*-1),0)+IF(AND($Q435="",$Q436=1),($N$38*-1),0)+IF(IF(($K436-$N$48)&lt;1,0,IF(IF(INDEX($AD$176:$AD$905,($K436-$N$48))="",0,INDEX($AD$176:$AD$905,($K436-$N$48)))&gt;0,IF(INDEX($AD$176:$AD$905,($K436-$N$48))="",0,INDEX($AD$176:$AD$905,($K436-$N$48))),0))="",0,IF(($K436-$N$48)&lt;1,0,IF(IF(INDEX($AD$176:$AD$905,($K436-$N$48))="",0,INDEX($AD$176:$AD$905,($K436-$N$48)))&gt;0,IF(INDEX($AD$176:$AD$905,($K436-$N$48))="",0,INDEX($AD$176:$AD$905,($K436-$N$48))),0)))=0,"",IF(AND($P435="",$P436=1),($N$37*-1),0)+IF(AND($Q435="",$Q436=1),($N$38*-1),0)+IF(IF(($K436-$N$48)&lt;1,0,IF(IF(INDEX($AD$176:$AD$905,($K436-$N$48))="",0,INDEX($AD$176:$AD$905,($K436-$N$48)))&gt;0,IF(INDEX($AD$176:$AD$905,($K436-$N$48))="",0,INDEX($AD$176:$AD$905,($K436-$N$48))),0))="",0,IF(($K436-$N$48)&lt;1,0,IF(IF(INDEX($AD$176:$AD$905,($K436-$N$48))="",0,INDEX($AD$176:$AD$905,($K436-$N$48)))&gt;0,IF(INDEX($AD$176:$AD$905,($K436-$N$48))="",0,INDEX($AD$176:$AD$905,($K436-$N$48))),0))))</f>
        <v/>
      </c>
      <c r="AC436" s="22" t="str">
        <f t="shared" si="120"/>
        <v/>
      </c>
      <c r="AD436" s="22" t="str">
        <f t="shared" si="111"/>
        <v/>
      </c>
      <c r="AE436" s="22" t="str" cm="1">
        <f t="array" ref="AE436">IF(($K436-$N$48)&lt;1,"",IF((IF(INDEX($AC$176:$AC$905,($K436-$N$48))="",0,INDEX($AC$176:$AC$905,($K436-$N$48))))=0,"",(IF(INDEX($AC$176:$AC$905,($K436-$N$48))="",0,INDEX($AC$176:$AC$905,($K436-$N$48))))))</f>
        <v/>
      </c>
      <c r="AF436" s="31" t="str">
        <f t="shared" si="121"/>
        <v/>
      </c>
      <c r="AG436" s="31" t="str">
        <f t="shared" si="122"/>
        <v/>
      </c>
      <c r="AH436" s="31" t="str">
        <f t="shared" si="123"/>
        <v/>
      </c>
      <c r="AI436" s="31" t="str">
        <f t="shared" si="124"/>
        <v/>
      </c>
      <c r="AJ436" s="303" t="str">
        <f t="shared" si="125"/>
        <v/>
      </c>
      <c r="AK436" s="139" t="str">
        <f t="shared" si="126"/>
        <v/>
      </c>
      <c r="AM436" s="319"/>
      <c r="AN436" s="40"/>
      <c r="AO436" s="1"/>
    </row>
    <row r="437" spans="7:41" x14ac:dyDescent="0.25">
      <c r="G437" s="235" t="str">
        <f t="shared" si="112"/>
        <v/>
      </c>
      <c r="H437" s="4" t="str">
        <f t="shared" si="113"/>
        <v/>
      </c>
      <c r="I437" s="11" t="str">
        <f t="shared" si="114"/>
        <v>09.00</v>
      </c>
      <c r="K437" s="30">
        <v>262</v>
      </c>
      <c r="L437" s="29">
        <f t="shared" si="127"/>
        <v>11371.908376190917</v>
      </c>
      <c r="M437" s="28" t="str">
        <f t="shared" si="115"/>
        <v/>
      </c>
      <c r="N437" s="27" t="str">
        <f t="shared" si="128"/>
        <v/>
      </c>
      <c r="O437" s="26" t="str">
        <f>IF(AND($Q436=$O$38,IFERROR(LARGE($V$176:$V436,1)&lt;$N$42,TRUE)),1,IF(AND(ISNUMBER($O436),$O436&lt;$N$32),$O436+1,""))</f>
        <v/>
      </c>
      <c r="P437" s="26" t="str">
        <f t="shared" si="129"/>
        <v/>
      </c>
      <c r="Q437" s="26" t="str">
        <f t="shared" si="116"/>
        <v/>
      </c>
      <c r="R437" s="24" t="str">
        <f t="shared" si="130"/>
        <v/>
      </c>
      <c r="S437" s="180">
        <f t="shared" si="110"/>
        <v>9</v>
      </c>
      <c r="T437" s="151"/>
      <c r="U437" s="25" t="str">
        <f t="shared" si="117"/>
        <v/>
      </c>
      <c r="V437" s="24" t="str">
        <f>IF(AND(ISNUMBER(R436),ISNUMBER(R437)),V436,IF(AND(R436="",ISNUMBER(R437)),IFERROR(LARGE($V$176:$V436,1)+1,0),""))</f>
        <v/>
      </c>
      <c r="W437" s="23" t="str">
        <f t="shared" si="118"/>
        <v/>
      </c>
      <c r="X437" s="22" t="str">
        <f t="shared" si="119"/>
        <v/>
      </c>
      <c r="Y437" s="22"/>
      <c r="Z437" s="22"/>
      <c r="AA437" s="22"/>
      <c r="AB437" s="22" t="str" cm="1">
        <f t="array" ref="AB437">IF(IF(AND($P436="",$P437=1),($N$37*-1),0)+IF(AND($Q436="",$Q437=1),($N$38*-1),0)+IF(IF(($K437-$N$48)&lt;1,0,IF(IF(INDEX($AD$176:$AD$905,($K437-$N$48))="",0,INDEX($AD$176:$AD$905,($K437-$N$48)))&gt;0,IF(INDEX($AD$176:$AD$905,($K437-$N$48))="",0,INDEX($AD$176:$AD$905,($K437-$N$48))),0))="",0,IF(($K437-$N$48)&lt;1,0,IF(IF(INDEX($AD$176:$AD$905,($K437-$N$48))="",0,INDEX($AD$176:$AD$905,($K437-$N$48)))&gt;0,IF(INDEX($AD$176:$AD$905,($K437-$N$48))="",0,INDEX($AD$176:$AD$905,($K437-$N$48))),0)))=0,"",IF(AND($P436="",$P437=1),($N$37*-1),0)+IF(AND($Q436="",$Q437=1),($N$38*-1),0)+IF(IF(($K437-$N$48)&lt;1,0,IF(IF(INDEX($AD$176:$AD$905,($K437-$N$48))="",0,INDEX($AD$176:$AD$905,($K437-$N$48)))&gt;0,IF(INDEX($AD$176:$AD$905,($K437-$N$48))="",0,INDEX($AD$176:$AD$905,($K437-$N$48))),0))="",0,IF(($K437-$N$48)&lt;1,0,IF(IF(INDEX($AD$176:$AD$905,($K437-$N$48))="",0,INDEX($AD$176:$AD$905,($K437-$N$48)))&gt;0,IF(INDEX($AD$176:$AD$905,($K437-$N$48))="",0,INDEX($AD$176:$AD$905,($K437-$N$48))),0))))</f>
        <v/>
      </c>
      <c r="AC437" s="22" t="str">
        <f t="shared" si="120"/>
        <v/>
      </c>
      <c r="AD437" s="22" t="str">
        <f t="shared" si="111"/>
        <v/>
      </c>
      <c r="AE437" s="22" t="str" cm="1">
        <f t="array" ref="AE437">IF(($K437-$N$48)&lt;1,"",IF((IF(INDEX($AC$176:$AC$905,($K437-$N$48))="",0,INDEX($AC$176:$AC$905,($K437-$N$48))))=0,"",(IF(INDEX($AC$176:$AC$905,($K437-$N$48))="",0,INDEX($AC$176:$AC$905,($K437-$N$48))))))</f>
        <v/>
      </c>
      <c r="AF437" s="31" t="str">
        <f t="shared" si="121"/>
        <v/>
      </c>
      <c r="AG437" s="31" t="str">
        <f t="shared" si="122"/>
        <v/>
      </c>
      <c r="AH437" s="31" t="str">
        <f t="shared" si="123"/>
        <v/>
      </c>
      <c r="AI437" s="31" t="str">
        <f t="shared" si="124"/>
        <v/>
      </c>
      <c r="AJ437" s="303" t="str">
        <f t="shared" si="125"/>
        <v/>
      </c>
      <c r="AK437" s="139" t="str">
        <f t="shared" si="126"/>
        <v/>
      </c>
      <c r="AM437" s="319"/>
      <c r="AN437" s="40"/>
      <c r="AO437" s="1"/>
    </row>
    <row r="438" spans="7:41" x14ac:dyDescent="0.25">
      <c r="G438" s="235" t="str">
        <f t="shared" si="112"/>
        <v/>
      </c>
      <c r="H438" s="4" t="str">
        <f t="shared" si="113"/>
        <v/>
      </c>
      <c r="I438" s="11" t="str">
        <f t="shared" si="114"/>
        <v>09.00</v>
      </c>
      <c r="K438" s="30">
        <v>263</v>
      </c>
      <c r="L438" s="29">
        <f t="shared" si="127"/>
        <v>11371.908376190917</v>
      </c>
      <c r="M438" s="28" t="str">
        <f t="shared" si="115"/>
        <v/>
      </c>
      <c r="N438" s="27" t="str">
        <f t="shared" si="128"/>
        <v/>
      </c>
      <c r="O438" s="26" t="str">
        <f>IF(AND($Q437=$O$38,IFERROR(LARGE($V$176:$V437,1)&lt;$N$42,TRUE)),1,IF(AND(ISNUMBER($O437),$O437&lt;$N$32),$O437+1,""))</f>
        <v/>
      </c>
      <c r="P438" s="26" t="str">
        <f t="shared" si="129"/>
        <v/>
      </c>
      <c r="Q438" s="26" t="str">
        <f t="shared" si="116"/>
        <v/>
      </c>
      <c r="R438" s="24" t="str">
        <f t="shared" si="130"/>
        <v/>
      </c>
      <c r="S438" s="180">
        <f t="shared" si="110"/>
        <v>9</v>
      </c>
      <c r="T438" s="151"/>
      <c r="U438" s="25" t="str">
        <f t="shared" si="117"/>
        <v/>
      </c>
      <c r="V438" s="24" t="str">
        <f>IF(AND(ISNUMBER(R437),ISNUMBER(R438)),V437,IF(AND(R437="",ISNUMBER(R438)),IFERROR(LARGE($V$176:$V437,1)+1,0),""))</f>
        <v/>
      </c>
      <c r="W438" s="23" t="str">
        <f t="shared" si="118"/>
        <v/>
      </c>
      <c r="X438" s="22" t="str">
        <f t="shared" si="119"/>
        <v/>
      </c>
      <c r="Y438" s="22"/>
      <c r="Z438" s="22"/>
      <c r="AA438" s="22"/>
      <c r="AB438" s="22" t="str" cm="1">
        <f t="array" ref="AB438">IF(IF(AND($P437="",$P438=1),($N$37*-1),0)+IF(AND($Q437="",$Q438=1),($N$38*-1),0)+IF(IF(($K438-$N$48)&lt;1,0,IF(IF(INDEX($AD$176:$AD$905,($K438-$N$48))="",0,INDEX($AD$176:$AD$905,($K438-$N$48)))&gt;0,IF(INDEX($AD$176:$AD$905,($K438-$N$48))="",0,INDEX($AD$176:$AD$905,($K438-$N$48))),0))="",0,IF(($K438-$N$48)&lt;1,0,IF(IF(INDEX($AD$176:$AD$905,($K438-$N$48))="",0,INDEX($AD$176:$AD$905,($K438-$N$48)))&gt;0,IF(INDEX($AD$176:$AD$905,($K438-$N$48))="",0,INDEX($AD$176:$AD$905,($K438-$N$48))),0)))=0,"",IF(AND($P437="",$P438=1),($N$37*-1),0)+IF(AND($Q437="",$Q438=1),($N$38*-1),0)+IF(IF(($K438-$N$48)&lt;1,0,IF(IF(INDEX($AD$176:$AD$905,($K438-$N$48))="",0,INDEX($AD$176:$AD$905,($K438-$N$48)))&gt;0,IF(INDEX($AD$176:$AD$905,($K438-$N$48))="",0,INDEX($AD$176:$AD$905,($K438-$N$48))),0))="",0,IF(($K438-$N$48)&lt;1,0,IF(IF(INDEX($AD$176:$AD$905,($K438-$N$48))="",0,INDEX($AD$176:$AD$905,($K438-$N$48)))&gt;0,IF(INDEX($AD$176:$AD$905,($K438-$N$48))="",0,INDEX($AD$176:$AD$905,($K438-$N$48))),0))))</f>
        <v/>
      </c>
      <c r="AC438" s="22" t="str">
        <f t="shared" si="120"/>
        <v/>
      </c>
      <c r="AD438" s="22" t="str">
        <f t="shared" si="111"/>
        <v/>
      </c>
      <c r="AE438" s="22" t="str" cm="1">
        <f t="array" ref="AE438">IF(($K438-$N$48)&lt;1,"",IF((IF(INDEX($AC$176:$AC$905,($K438-$N$48))="",0,INDEX($AC$176:$AC$905,($K438-$N$48))))=0,"",(IF(INDEX($AC$176:$AC$905,($K438-$N$48))="",0,INDEX($AC$176:$AC$905,($K438-$N$48))))))</f>
        <v/>
      </c>
      <c r="AF438" s="31" t="str">
        <f t="shared" si="121"/>
        <v/>
      </c>
      <c r="AG438" s="31" t="str">
        <f t="shared" si="122"/>
        <v/>
      </c>
      <c r="AH438" s="31" t="str">
        <f t="shared" si="123"/>
        <v/>
      </c>
      <c r="AI438" s="31" t="str">
        <f t="shared" si="124"/>
        <v/>
      </c>
      <c r="AJ438" s="303" t="str">
        <f t="shared" si="125"/>
        <v/>
      </c>
      <c r="AK438" s="139" t="str">
        <f t="shared" si="126"/>
        <v/>
      </c>
      <c r="AM438" s="319"/>
      <c r="AN438" s="40"/>
      <c r="AO438" s="1"/>
    </row>
    <row r="439" spans="7:41" x14ac:dyDescent="0.25">
      <c r="G439" s="235" t="str">
        <f t="shared" si="112"/>
        <v/>
      </c>
      <c r="H439" s="4" t="str">
        <f t="shared" si="113"/>
        <v/>
      </c>
      <c r="I439" s="11" t="str">
        <f t="shared" si="114"/>
        <v>09.00</v>
      </c>
      <c r="K439" s="30">
        <v>264</v>
      </c>
      <c r="L439" s="29">
        <f t="shared" si="127"/>
        <v>11371.908376190917</v>
      </c>
      <c r="M439" s="28" t="str">
        <f t="shared" si="115"/>
        <v/>
      </c>
      <c r="N439" s="27" t="str">
        <f t="shared" si="128"/>
        <v/>
      </c>
      <c r="O439" s="26" t="str">
        <f>IF(AND($Q438=$O$38,IFERROR(LARGE($V$176:$V438,1)&lt;$N$42,TRUE)),1,IF(AND(ISNUMBER($O438),$O438&lt;$N$32),$O438+1,""))</f>
        <v/>
      </c>
      <c r="P439" s="26" t="str">
        <f t="shared" si="129"/>
        <v/>
      </c>
      <c r="Q439" s="26" t="str">
        <f t="shared" si="116"/>
        <v/>
      </c>
      <c r="R439" s="24" t="str">
        <f t="shared" si="130"/>
        <v/>
      </c>
      <c r="S439" s="180">
        <f t="shared" si="110"/>
        <v>9</v>
      </c>
      <c r="T439" s="151"/>
      <c r="U439" s="25" t="str">
        <f t="shared" si="117"/>
        <v/>
      </c>
      <c r="V439" s="24" t="str">
        <f>IF(AND(ISNUMBER(R438),ISNUMBER(R439)),V438,IF(AND(R438="",ISNUMBER(R439)),IFERROR(LARGE($V$176:$V438,1)+1,0),""))</f>
        <v/>
      </c>
      <c r="W439" s="23" t="str">
        <f t="shared" si="118"/>
        <v/>
      </c>
      <c r="X439" s="22" t="str">
        <f t="shared" si="119"/>
        <v/>
      </c>
      <c r="Y439" s="22"/>
      <c r="Z439" s="22"/>
      <c r="AA439" s="22"/>
      <c r="AB439" s="22" t="str" cm="1">
        <f t="array" ref="AB439">IF(IF(AND($P438="",$P439=1),($N$37*-1),0)+IF(AND($Q438="",$Q439=1),($N$38*-1),0)+IF(IF(($K439-$N$48)&lt;1,0,IF(IF(INDEX($AD$176:$AD$905,($K439-$N$48))="",0,INDEX($AD$176:$AD$905,($K439-$N$48)))&gt;0,IF(INDEX($AD$176:$AD$905,($K439-$N$48))="",0,INDEX($AD$176:$AD$905,($K439-$N$48))),0))="",0,IF(($K439-$N$48)&lt;1,0,IF(IF(INDEX($AD$176:$AD$905,($K439-$N$48))="",0,INDEX($AD$176:$AD$905,($K439-$N$48)))&gt;0,IF(INDEX($AD$176:$AD$905,($K439-$N$48))="",0,INDEX($AD$176:$AD$905,($K439-$N$48))),0)))=0,"",IF(AND($P438="",$P439=1),($N$37*-1),0)+IF(AND($Q438="",$Q439=1),($N$38*-1),0)+IF(IF(($K439-$N$48)&lt;1,0,IF(IF(INDEX($AD$176:$AD$905,($K439-$N$48))="",0,INDEX($AD$176:$AD$905,($K439-$N$48)))&gt;0,IF(INDEX($AD$176:$AD$905,($K439-$N$48))="",0,INDEX($AD$176:$AD$905,($K439-$N$48))),0))="",0,IF(($K439-$N$48)&lt;1,0,IF(IF(INDEX($AD$176:$AD$905,($K439-$N$48))="",0,INDEX($AD$176:$AD$905,($K439-$N$48)))&gt;0,IF(INDEX($AD$176:$AD$905,($K439-$N$48))="",0,INDEX($AD$176:$AD$905,($K439-$N$48))),0))))</f>
        <v/>
      </c>
      <c r="AC439" s="22" t="str">
        <f t="shared" si="120"/>
        <v/>
      </c>
      <c r="AD439" s="22" t="str">
        <f t="shared" si="111"/>
        <v/>
      </c>
      <c r="AE439" s="22" t="str" cm="1">
        <f t="array" ref="AE439">IF(($K439-$N$48)&lt;1,"",IF((IF(INDEX($AC$176:$AC$905,($K439-$N$48))="",0,INDEX($AC$176:$AC$905,($K439-$N$48))))=0,"",(IF(INDEX($AC$176:$AC$905,($K439-$N$48))="",0,INDEX($AC$176:$AC$905,($K439-$N$48))))))</f>
        <v/>
      </c>
      <c r="AF439" s="31" t="str">
        <f t="shared" si="121"/>
        <v/>
      </c>
      <c r="AG439" s="31" t="str">
        <f t="shared" si="122"/>
        <v/>
      </c>
      <c r="AH439" s="31" t="str">
        <f t="shared" si="123"/>
        <v/>
      </c>
      <c r="AI439" s="31" t="str">
        <f t="shared" si="124"/>
        <v/>
      </c>
      <c r="AJ439" s="303" t="str">
        <f t="shared" si="125"/>
        <v/>
      </c>
      <c r="AK439" s="139" t="str">
        <f t="shared" si="126"/>
        <v/>
      </c>
      <c r="AM439" s="319"/>
      <c r="AN439" s="40"/>
      <c r="AO439" s="1"/>
    </row>
    <row r="440" spans="7:41" x14ac:dyDescent="0.25">
      <c r="G440" s="235" t="str">
        <f t="shared" si="112"/>
        <v/>
      </c>
      <c r="H440" s="4" t="str">
        <f t="shared" si="113"/>
        <v/>
      </c>
      <c r="I440" s="11" t="str">
        <f t="shared" si="114"/>
        <v>09.00</v>
      </c>
      <c r="K440" s="30">
        <v>265</v>
      </c>
      <c r="L440" s="29">
        <f t="shared" si="127"/>
        <v>11371.908376190917</v>
      </c>
      <c r="M440" s="28" t="str">
        <f t="shared" si="115"/>
        <v/>
      </c>
      <c r="N440" s="27" t="str">
        <f t="shared" si="128"/>
        <v/>
      </c>
      <c r="O440" s="26" t="str">
        <f>IF(AND($Q439=$O$38,IFERROR(LARGE($V$176:$V439,1)&lt;$N$42,TRUE)),1,IF(AND(ISNUMBER($O439),$O439&lt;$N$32),$O439+1,""))</f>
        <v/>
      </c>
      <c r="P440" s="26" t="str">
        <f t="shared" si="129"/>
        <v/>
      </c>
      <c r="Q440" s="26" t="str">
        <f t="shared" si="116"/>
        <v/>
      </c>
      <c r="R440" s="24" t="str">
        <f t="shared" si="130"/>
        <v/>
      </c>
      <c r="S440" s="180">
        <f t="shared" si="110"/>
        <v>9</v>
      </c>
      <c r="T440" s="151"/>
      <c r="U440" s="25" t="str">
        <f t="shared" si="117"/>
        <v/>
      </c>
      <c r="V440" s="24" t="str">
        <f>IF(AND(ISNUMBER(R439),ISNUMBER(R440)),V439,IF(AND(R439="",ISNUMBER(R440)),IFERROR(LARGE($V$176:$V439,1)+1,0),""))</f>
        <v/>
      </c>
      <c r="W440" s="23" t="str">
        <f t="shared" si="118"/>
        <v/>
      </c>
      <c r="X440" s="22" t="str">
        <f t="shared" si="119"/>
        <v/>
      </c>
      <c r="Y440" s="22"/>
      <c r="Z440" s="22"/>
      <c r="AA440" s="22"/>
      <c r="AB440" s="22" t="str" cm="1">
        <f t="array" ref="AB440">IF(IF(AND($P439="",$P440=1),($N$37*-1),0)+IF(AND($Q439="",$Q440=1),($N$38*-1),0)+IF(IF(($K440-$N$48)&lt;1,0,IF(IF(INDEX($AD$176:$AD$905,($K440-$N$48))="",0,INDEX($AD$176:$AD$905,($K440-$N$48)))&gt;0,IF(INDEX($AD$176:$AD$905,($K440-$N$48))="",0,INDEX($AD$176:$AD$905,($K440-$N$48))),0))="",0,IF(($K440-$N$48)&lt;1,0,IF(IF(INDEX($AD$176:$AD$905,($K440-$N$48))="",0,INDEX($AD$176:$AD$905,($K440-$N$48)))&gt;0,IF(INDEX($AD$176:$AD$905,($K440-$N$48))="",0,INDEX($AD$176:$AD$905,($K440-$N$48))),0)))=0,"",IF(AND($P439="",$P440=1),($N$37*-1),0)+IF(AND($Q439="",$Q440=1),($N$38*-1),0)+IF(IF(($K440-$N$48)&lt;1,0,IF(IF(INDEX($AD$176:$AD$905,($K440-$N$48))="",0,INDEX($AD$176:$AD$905,($K440-$N$48)))&gt;0,IF(INDEX($AD$176:$AD$905,($K440-$N$48))="",0,INDEX($AD$176:$AD$905,($K440-$N$48))),0))="",0,IF(($K440-$N$48)&lt;1,0,IF(IF(INDEX($AD$176:$AD$905,($K440-$N$48))="",0,INDEX($AD$176:$AD$905,($K440-$N$48)))&gt;0,IF(INDEX($AD$176:$AD$905,($K440-$N$48))="",0,INDEX($AD$176:$AD$905,($K440-$N$48))),0))))</f>
        <v/>
      </c>
      <c r="AC440" s="22" t="str">
        <f t="shared" si="120"/>
        <v/>
      </c>
      <c r="AD440" s="22" t="str">
        <f t="shared" si="111"/>
        <v/>
      </c>
      <c r="AE440" s="22" t="str" cm="1">
        <f t="array" ref="AE440">IF(($K440-$N$48)&lt;1,"",IF((IF(INDEX($AC$176:$AC$905,($K440-$N$48))="",0,INDEX($AC$176:$AC$905,($K440-$N$48))))=0,"",(IF(INDEX($AC$176:$AC$905,($K440-$N$48))="",0,INDEX($AC$176:$AC$905,($K440-$N$48))))))</f>
        <v/>
      </c>
      <c r="AF440" s="31" t="str">
        <f t="shared" si="121"/>
        <v/>
      </c>
      <c r="AG440" s="31" t="str">
        <f t="shared" si="122"/>
        <v/>
      </c>
      <c r="AH440" s="31" t="str">
        <f t="shared" si="123"/>
        <v/>
      </c>
      <c r="AI440" s="31" t="str">
        <f t="shared" si="124"/>
        <v/>
      </c>
      <c r="AJ440" s="303" t="str">
        <f t="shared" si="125"/>
        <v/>
      </c>
      <c r="AK440" s="139" t="str">
        <f t="shared" si="126"/>
        <v/>
      </c>
      <c r="AM440" s="319"/>
      <c r="AN440" s="40"/>
      <c r="AO440" s="1"/>
    </row>
    <row r="441" spans="7:41" x14ac:dyDescent="0.25">
      <c r="G441" s="235" t="str">
        <f t="shared" si="112"/>
        <v/>
      </c>
      <c r="H441" s="4" t="str">
        <f t="shared" si="113"/>
        <v/>
      </c>
      <c r="I441" s="11" t="str">
        <f t="shared" si="114"/>
        <v>09.00</v>
      </c>
      <c r="K441" s="30">
        <v>266</v>
      </c>
      <c r="L441" s="29">
        <f t="shared" si="127"/>
        <v>11371.908376190917</v>
      </c>
      <c r="M441" s="28" t="str">
        <f t="shared" si="115"/>
        <v/>
      </c>
      <c r="N441" s="27" t="str">
        <f t="shared" si="128"/>
        <v/>
      </c>
      <c r="O441" s="26" t="str">
        <f>IF(AND($Q440=$O$38,IFERROR(LARGE($V$176:$V440,1)&lt;$N$42,TRUE)),1,IF(AND(ISNUMBER($O440),$O440&lt;$N$32),$O440+1,""))</f>
        <v/>
      </c>
      <c r="P441" s="26" t="str">
        <f t="shared" si="129"/>
        <v/>
      </c>
      <c r="Q441" s="26" t="str">
        <f t="shared" si="116"/>
        <v/>
      </c>
      <c r="R441" s="24" t="str">
        <f t="shared" si="130"/>
        <v/>
      </c>
      <c r="S441" s="180">
        <f t="shared" si="110"/>
        <v>9</v>
      </c>
      <c r="T441" s="151"/>
      <c r="U441" s="25" t="str">
        <f t="shared" si="117"/>
        <v/>
      </c>
      <c r="V441" s="24" t="str">
        <f>IF(AND(ISNUMBER(R440),ISNUMBER(R441)),V440,IF(AND(R440="",ISNUMBER(R441)),IFERROR(LARGE($V$176:$V440,1)+1,0),""))</f>
        <v/>
      </c>
      <c r="W441" s="23" t="str">
        <f t="shared" si="118"/>
        <v/>
      </c>
      <c r="X441" s="22" t="str">
        <f t="shared" si="119"/>
        <v/>
      </c>
      <c r="Y441" s="22"/>
      <c r="Z441" s="22"/>
      <c r="AA441" s="22"/>
      <c r="AB441" s="22" t="str" cm="1">
        <f t="array" ref="AB441">IF(IF(AND($P440="",$P441=1),($N$37*-1),0)+IF(AND($Q440="",$Q441=1),($N$38*-1),0)+IF(IF(($K441-$N$48)&lt;1,0,IF(IF(INDEX($AD$176:$AD$905,($K441-$N$48))="",0,INDEX($AD$176:$AD$905,($K441-$N$48)))&gt;0,IF(INDEX($AD$176:$AD$905,($K441-$N$48))="",0,INDEX($AD$176:$AD$905,($K441-$N$48))),0))="",0,IF(($K441-$N$48)&lt;1,0,IF(IF(INDEX($AD$176:$AD$905,($K441-$N$48))="",0,INDEX($AD$176:$AD$905,($K441-$N$48)))&gt;0,IF(INDEX($AD$176:$AD$905,($K441-$N$48))="",0,INDEX($AD$176:$AD$905,($K441-$N$48))),0)))=0,"",IF(AND($P440="",$P441=1),($N$37*-1),0)+IF(AND($Q440="",$Q441=1),($N$38*-1),0)+IF(IF(($K441-$N$48)&lt;1,0,IF(IF(INDEX($AD$176:$AD$905,($K441-$N$48))="",0,INDEX($AD$176:$AD$905,($K441-$N$48)))&gt;0,IF(INDEX($AD$176:$AD$905,($K441-$N$48))="",0,INDEX($AD$176:$AD$905,($K441-$N$48))),0))="",0,IF(($K441-$N$48)&lt;1,0,IF(IF(INDEX($AD$176:$AD$905,($K441-$N$48))="",0,INDEX($AD$176:$AD$905,($K441-$N$48)))&gt;0,IF(INDEX($AD$176:$AD$905,($K441-$N$48))="",0,INDEX($AD$176:$AD$905,($K441-$N$48))),0))))</f>
        <v/>
      </c>
      <c r="AC441" s="22" t="str">
        <f t="shared" si="120"/>
        <v/>
      </c>
      <c r="AD441" s="22" t="str">
        <f t="shared" si="111"/>
        <v/>
      </c>
      <c r="AE441" s="22" t="str" cm="1">
        <f t="array" ref="AE441">IF(($K441-$N$48)&lt;1,"",IF((IF(INDEX($AC$176:$AC$905,($K441-$N$48))="",0,INDEX($AC$176:$AC$905,($K441-$N$48))))=0,"",(IF(INDEX($AC$176:$AC$905,($K441-$N$48))="",0,INDEX($AC$176:$AC$905,($K441-$N$48))))))</f>
        <v/>
      </c>
      <c r="AF441" s="31" t="str">
        <f t="shared" si="121"/>
        <v/>
      </c>
      <c r="AG441" s="31" t="str">
        <f t="shared" si="122"/>
        <v/>
      </c>
      <c r="AH441" s="31" t="str">
        <f t="shared" si="123"/>
        <v/>
      </c>
      <c r="AI441" s="31" t="str">
        <f t="shared" si="124"/>
        <v/>
      </c>
      <c r="AJ441" s="303" t="str">
        <f t="shared" si="125"/>
        <v/>
      </c>
      <c r="AK441" s="139" t="str">
        <f t="shared" si="126"/>
        <v/>
      </c>
      <c r="AM441" s="319"/>
      <c r="AN441" s="40"/>
      <c r="AO441" s="1"/>
    </row>
    <row r="442" spans="7:41" x14ac:dyDescent="0.25">
      <c r="G442" s="235" t="str">
        <f t="shared" si="112"/>
        <v/>
      </c>
      <c r="H442" s="4" t="str">
        <f t="shared" si="113"/>
        <v/>
      </c>
      <c r="I442" s="11" t="str">
        <f t="shared" si="114"/>
        <v>09.00</v>
      </c>
      <c r="K442" s="30">
        <v>267</v>
      </c>
      <c r="L442" s="29">
        <f t="shared" si="127"/>
        <v>11371.908376190917</v>
      </c>
      <c r="M442" s="28" t="str">
        <f t="shared" si="115"/>
        <v/>
      </c>
      <c r="N442" s="27" t="str">
        <f t="shared" si="128"/>
        <v/>
      </c>
      <c r="O442" s="26" t="str">
        <f>IF(AND($Q441=$O$38,IFERROR(LARGE($V$176:$V441,1)&lt;$N$42,TRUE)),1,IF(AND(ISNUMBER($O441),$O441&lt;$N$32),$O441+1,""))</f>
        <v/>
      </c>
      <c r="P442" s="26" t="str">
        <f t="shared" si="129"/>
        <v/>
      </c>
      <c r="Q442" s="26" t="str">
        <f t="shared" si="116"/>
        <v/>
      </c>
      <c r="R442" s="24" t="str">
        <f t="shared" si="130"/>
        <v/>
      </c>
      <c r="S442" s="180">
        <f t="shared" si="110"/>
        <v>9</v>
      </c>
      <c r="T442" s="151"/>
      <c r="U442" s="25" t="str">
        <f t="shared" si="117"/>
        <v/>
      </c>
      <c r="V442" s="24" t="str">
        <f>IF(AND(ISNUMBER(R441),ISNUMBER(R442)),V441,IF(AND(R441="",ISNUMBER(R442)),IFERROR(LARGE($V$176:$V441,1)+1,0),""))</f>
        <v/>
      </c>
      <c r="W442" s="23" t="str">
        <f t="shared" si="118"/>
        <v/>
      </c>
      <c r="X442" s="22" t="str">
        <f t="shared" si="119"/>
        <v/>
      </c>
      <c r="Y442" s="22"/>
      <c r="Z442" s="22"/>
      <c r="AA442" s="22"/>
      <c r="AB442" s="22" t="str" cm="1">
        <f t="array" ref="AB442">IF(IF(AND($P441="",$P442=1),($N$37*-1),0)+IF(AND($Q441="",$Q442=1),($N$38*-1),0)+IF(IF(($K442-$N$48)&lt;1,0,IF(IF(INDEX($AD$176:$AD$905,($K442-$N$48))="",0,INDEX($AD$176:$AD$905,($K442-$N$48)))&gt;0,IF(INDEX($AD$176:$AD$905,($K442-$N$48))="",0,INDEX($AD$176:$AD$905,($K442-$N$48))),0))="",0,IF(($K442-$N$48)&lt;1,0,IF(IF(INDEX($AD$176:$AD$905,($K442-$N$48))="",0,INDEX($AD$176:$AD$905,($K442-$N$48)))&gt;0,IF(INDEX($AD$176:$AD$905,($K442-$N$48))="",0,INDEX($AD$176:$AD$905,($K442-$N$48))),0)))=0,"",IF(AND($P441="",$P442=1),($N$37*-1),0)+IF(AND($Q441="",$Q442=1),($N$38*-1),0)+IF(IF(($K442-$N$48)&lt;1,0,IF(IF(INDEX($AD$176:$AD$905,($K442-$N$48))="",0,INDEX($AD$176:$AD$905,($K442-$N$48)))&gt;0,IF(INDEX($AD$176:$AD$905,($K442-$N$48))="",0,INDEX($AD$176:$AD$905,($K442-$N$48))),0))="",0,IF(($K442-$N$48)&lt;1,0,IF(IF(INDEX($AD$176:$AD$905,($K442-$N$48))="",0,INDEX($AD$176:$AD$905,($K442-$N$48)))&gt;0,IF(INDEX($AD$176:$AD$905,($K442-$N$48))="",0,INDEX($AD$176:$AD$905,($K442-$N$48))),0))))</f>
        <v/>
      </c>
      <c r="AC442" s="22" t="str">
        <f t="shared" si="120"/>
        <v/>
      </c>
      <c r="AD442" s="22" t="str">
        <f t="shared" si="111"/>
        <v/>
      </c>
      <c r="AE442" s="22" t="str" cm="1">
        <f t="array" ref="AE442">IF(($K442-$N$48)&lt;1,"",IF((IF(INDEX($AC$176:$AC$905,($K442-$N$48))="",0,INDEX($AC$176:$AC$905,($K442-$N$48))))=0,"",(IF(INDEX($AC$176:$AC$905,($K442-$N$48))="",0,INDEX($AC$176:$AC$905,($K442-$N$48))))))</f>
        <v/>
      </c>
      <c r="AF442" s="31" t="str">
        <f t="shared" si="121"/>
        <v/>
      </c>
      <c r="AG442" s="31" t="str">
        <f t="shared" si="122"/>
        <v/>
      </c>
      <c r="AH442" s="31" t="str">
        <f t="shared" si="123"/>
        <v/>
      </c>
      <c r="AI442" s="31" t="str">
        <f t="shared" si="124"/>
        <v/>
      </c>
      <c r="AJ442" s="303" t="str">
        <f t="shared" si="125"/>
        <v/>
      </c>
      <c r="AK442" s="139" t="str">
        <f t="shared" si="126"/>
        <v/>
      </c>
      <c r="AM442" s="319"/>
      <c r="AN442" s="40"/>
      <c r="AO442" s="1"/>
    </row>
    <row r="443" spans="7:41" x14ac:dyDescent="0.25">
      <c r="G443" s="235" t="str">
        <f t="shared" si="112"/>
        <v/>
      </c>
      <c r="H443" s="4" t="str">
        <f t="shared" si="113"/>
        <v/>
      </c>
      <c r="I443" s="11" t="str">
        <f t="shared" si="114"/>
        <v>09.00</v>
      </c>
      <c r="K443" s="30">
        <v>268</v>
      </c>
      <c r="L443" s="29">
        <f t="shared" si="127"/>
        <v>11371.908376190917</v>
      </c>
      <c r="M443" s="28" t="str">
        <f t="shared" si="115"/>
        <v/>
      </c>
      <c r="N443" s="27" t="str">
        <f t="shared" si="128"/>
        <v/>
      </c>
      <c r="O443" s="26" t="str">
        <f>IF(AND($Q442=$O$38,IFERROR(LARGE($V$176:$V442,1)&lt;$N$42,TRUE)),1,IF(AND(ISNUMBER($O442),$O442&lt;$N$32),$O442+1,""))</f>
        <v/>
      </c>
      <c r="P443" s="26" t="str">
        <f t="shared" si="129"/>
        <v/>
      </c>
      <c r="Q443" s="26" t="str">
        <f t="shared" si="116"/>
        <v/>
      </c>
      <c r="R443" s="24" t="str">
        <f t="shared" si="130"/>
        <v/>
      </c>
      <c r="S443" s="180">
        <f t="shared" si="110"/>
        <v>9</v>
      </c>
      <c r="T443" s="151"/>
      <c r="U443" s="25" t="str">
        <f t="shared" si="117"/>
        <v/>
      </c>
      <c r="V443" s="24" t="str">
        <f>IF(AND(ISNUMBER(R442),ISNUMBER(R443)),V442,IF(AND(R442="",ISNUMBER(R443)),IFERROR(LARGE($V$176:$V442,1)+1,0),""))</f>
        <v/>
      </c>
      <c r="W443" s="23" t="str">
        <f t="shared" si="118"/>
        <v/>
      </c>
      <c r="X443" s="22" t="str">
        <f t="shared" si="119"/>
        <v/>
      </c>
      <c r="Y443" s="22"/>
      <c r="Z443" s="22"/>
      <c r="AA443" s="22"/>
      <c r="AB443" s="22" t="str" cm="1">
        <f t="array" ref="AB443">IF(IF(AND($P442="",$P443=1),($N$37*-1),0)+IF(AND($Q442="",$Q443=1),($N$38*-1),0)+IF(IF(($K443-$N$48)&lt;1,0,IF(IF(INDEX($AD$176:$AD$905,($K443-$N$48))="",0,INDEX($AD$176:$AD$905,($K443-$N$48)))&gt;0,IF(INDEX($AD$176:$AD$905,($K443-$N$48))="",0,INDEX($AD$176:$AD$905,($K443-$N$48))),0))="",0,IF(($K443-$N$48)&lt;1,0,IF(IF(INDEX($AD$176:$AD$905,($K443-$N$48))="",0,INDEX($AD$176:$AD$905,($K443-$N$48)))&gt;0,IF(INDEX($AD$176:$AD$905,($K443-$N$48))="",0,INDEX($AD$176:$AD$905,($K443-$N$48))),0)))=0,"",IF(AND($P442="",$P443=1),($N$37*-1),0)+IF(AND($Q442="",$Q443=1),($N$38*-1),0)+IF(IF(($K443-$N$48)&lt;1,0,IF(IF(INDEX($AD$176:$AD$905,($K443-$N$48))="",0,INDEX($AD$176:$AD$905,($K443-$N$48)))&gt;0,IF(INDEX($AD$176:$AD$905,($K443-$N$48))="",0,INDEX($AD$176:$AD$905,($K443-$N$48))),0))="",0,IF(($K443-$N$48)&lt;1,0,IF(IF(INDEX($AD$176:$AD$905,($K443-$N$48))="",0,INDEX($AD$176:$AD$905,($K443-$N$48)))&gt;0,IF(INDEX($AD$176:$AD$905,($K443-$N$48))="",0,INDEX($AD$176:$AD$905,($K443-$N$48))),0))))</f>
        <v/>
      </c>
      <c r="AC443" s="22" t="str">
        <f t="shared" si="120"/>
        <v/>
      </c>
      <c r="AD443" s="22" t="str">
        <f t="shared" si="111"/>
        <v/>
      </c>
      <c r="AE443" s="22" t="str" cm="1">
        <f t="array" ref="AE443">IF(($K443-$N$48)&lt;1,"",IF((IF(INDEX($AC$176:$AC$905,($K443-$N$48))="",0,INDEX($AC$176:$AC$905,($K443-$N$48))))=0,"",(IF(INDEX($AC$176:$AC$905,($K443-$N$48))="",0,INDEX($AC$176:$AC$905,($K443-$N$48))))))</f>
        <v/>
      </c>
      <c r="AF443" s="31" t="str">
        <f t="shared" si="121"/>
        <v/>
      </c>
      <c r="AG443" s="31" t="str">
        <f t="shared" si="122"/>
        <v/>
      </c>
      <c r="AH443" s="31" t="str">
        <f t="shared" si="123"/>
        <v/>
      </c>
      <c r="AI443" s="31" t="str">
        <f t="shared" si="124"/>
        <v/>
      </c>
      <c r="AJ443" s="303" t="str">
        <f t="shared" si="125"/>
        <v/>
      </c>
      <c r="AK443" s="139" t="str">
        <f t="shared" si="126"/>
        <v/>
      </c>
      <c r="AM443" s="319"/>
      <c r="AN443" s="40"/>
      <c r="AO443" s="1"/>
    </row>
    <row r="444" spans="7:41" x14ac:dyDescent="0.25">
      <c r="G444" s="235" t="str">
        <f t="shared" si="112"/>
        <v/>
      </c>
      <c r="H444" s="4" t="str">
        <f t="shared" si="113"/>
        <v/>
      </c>
      <c r="I444" s="11" t="str">
        <f t="shared" si="114"/>
        <v>09.00</v>
      </c>
      <c r="K444" s="30">
        <v>269</v>
      </c>
      <c r="L444" s="29">
        <f t="shared" si="127"/>
        <v>11371.908376190917</v>
      </c>
      <c r="M444" s="28" t="str">
        <f t="shared" si="115"/>
        <v/>
      </c>
      <c r="N444" s="27" t="str">
        <f t="shared" si="128"/>
        <v/>
      </c>
      <c r="O444" s="26" t="str">
        <f>IF(AND($Q443=$O$38,IFERROR(LARGE($V$176:$V443,1)&lt;$N$42,TRUE)),1,IF(AND(ISNUMBER($O443),$O443&lt;$N$32),$O443+1,""))</f>
        <v/>
      </c>
      <c r="P444" s="26" t="str">
        <f t="shared" si="129"/>
        <v/>
      </c>
      <c r="Q444" s="26" t="str">
        <f t="shared" si="116"/>
        <v/>
      </c>
      <c r="R444" s="24" t="str">
        <f t="shared" si="130"/>
        <v/>
      </c>
      <c r="S444" s="180">
        <f t="shared" ref="S444:S507" si="131">IF($Q444=1,ROUNDDOWN($S443,0)+1,IF($R444=1,$S443+0.01,IF(ISNUMBER($U444),IF(AND($U444&gt;1,($U444-$U443)=1),$S443+0.01,$S443),$S443)))</f>
        <v>9</v>
      </c>
      <c r="T444" s="151"/>
      <c r="U444" s="25" t="str">
        <f t="shared" si="117"/>
        <v/>
      </c>
      <c r="V444" s="24" t="str">
        <f>IF(AND(ISNUMBER(R443),ISNUMBER(R444)),V443,IF(AND(R443="",ISNUMBER(R444)),IFERROR(LARGE($V$176:$V443,1)+1,0),""))</f>
        <v/>
      </c>
      <c r="W444" s="23" t="str">
        <f t="shared" si="118"/>
        <v/>
      </c>
      <c r="X444" s="22" t="str">
        <f t="shared" si="119"/>
        <v/>
      </c>
      <c r="Y444" s="22"/>
      <c r="Z444" s="22"/>
      <c r="AA444" s="22"/>
      <c r="AB444" s="22" t="str" cm="1">
        <f t="array" ref="AB444">IF(IF(AND($P443="",$P444=1),($N$37*-1),0)+IF(AND($Q443="",$Q444=1),($N$38*-1),0)+IF(IF(($K444-$N$48)&lt;1,0,IF(IF(INDEX($AD$176:$AD$905,($K444-$N$48))="",0,INDEX($AD$176:$AD$905,($K444-$N$48)))&gt;0,IF(INDEX($AD$176:$AD$905,($K444-$N$48))="",0,INDEX($AD$176:$AD$905,($K444-$N$48))),0))="",0,IF(($K444-$N$48)&lt;1,0,IF(IF(INDEX($AD$176:$AD$905,($K444-$N$48))="",0,INDEX($AD$176:$AD$905,($K444-$N$48)))&gt;0,IF(INDEX($AD$176:$AD$905,($K444-$N$48))="",0,INDEX($AD$176:$AD$905,($K444-$N$48))),0)))=0,"",IF(AND($P443="",$P444=1),($N$37*-1),0)+IF(AND($Q443="",$Q444=1),($N$38*-1),0)+IF(IF(($K444-$N$48)&lt;1,0,IF(IF(INDEX($AD$176:$AD$905,($K444-$N$48))="",0,INDEX($AD$176:$AD$905,($K444-$N$48)))&gt;0,IF(INDEX($AD$176:$AD$905,($K444-$N$48))="",0,INDEX($AD$176:$AD$905,($K444-$N$48))),0))="",0,IF(($K444-$N$48)&lt;1,0,IF(IF(INDEX($AD$176:$AD$905,($K444-$N$48))="",0,INDEX($AD$176:$AD$905,($K444-$N$48)))&gt;0,IF(INDEX($AD$176:$AD$905,($K444-$N$48))="",0,INDEX($AD$176:$AD$905,($K444-$N$48))),0))))</f>
        <v/>
      </c>
      <c r="AC444" s="22" t="str">
        <f t="shared" si="120"/>
        <v/>
      </c>
      <c r="AD444" s="22" t="str">
        <f t="shared" si="111"/>
        <v/>
      </c>
      <c r="AE444" s="22" t="str" cm="1">
        <f t="array" ref="AE444">IF(($K444-$N$48)&lt;1,"",IF((IF(INDEX($AC$176:$AC$905,($K444-$N$48))="",0,INDEX($AC$176:$AC$905,($K444-$N$48))))=0,"",(IF(INDEX($AC$176:$AC$905,($K444-$N$48))="",0,INDEX($AC$176:$AC$905,($K444-$N$48))))))</f>
        <v/>
      </c>
      <c r="AF444" s="31" t="str">
        <f t="shared" si="121"/>
        <v/>
      </c>
      <c r="AG444" s="31" t="str">
        <f t="shared" si="122"/>
        <v/>
      </c>
      <c r="AH444" s="31" t="str">
        <f t="shared" si="123"/>
        <v/>
      </c>
      <c r="AI444" s="31" t="str">
        <f t="shared" si="124"/>
        <v/>
      </c>
      <c r="AJ444" s="303" t="str">
        <f t="shared" si="125"/>
        <v/>
      </c>
      <c r="AK444" s="139" t="str">
        <f t="shared" si="126"/>
        <v/>
      </c>
      <c r="AM444" s="319"/>
      <c r="AN444" s="40"/>
      <c r="AO444" s="1"/>
    </row>
    <row r="445" spans="7:41" x14ac:dyDescent="0.25">
      <c r="G445" s="235" t="str">
        <f t="shared" si="112"/>
        <v/>
      </c>
      <c r="H445" s="4" t="str">
        <f t="shared" si="113"/>
        <v/>
      </c>
      <c r="I445" s="11" t="str">
        <f t="shared" si="114"/>
        <v>09.00</v>
      </c>
      <c r="K445" s="30">
        <v>270</v>
      </c>
      <c r="L445" s="29">
        <f t="shared" si="127"/>
        <v>11371.908376190917</v>
      </c>
      <c r="M445" s="28" t="str">
        <f t="shared" si="115"/>
        <v/>
      </c>
      <c r="N445" s="27" t="str">
        <f t="shared" si="128"/>
        <v/>
      </c>
      <c r="O445" s="26" t="str">
        <f>IF(AND($Q444=$O$38,IFERROR(LARGE($V$176:$V444,1)&lt;$N$42,TRUE)),1,IF(AND(ISNUMBER($O444),$O444&lt;$N$32),$O444+1,""))</f>
        <v/>
      </c>
      <c r="P445" s="26" t="str">
        <f t="shared" si="129"/>
        <v/>
      </c>
      <c r="Q445" s="26" t="str">
        <f t="shared" si="116"/>
        <v/>
      </c>
      <c r="R445" s="24" t="str">
        <f t="shared" si="130"/>
        <v/>
      </c>
      <c r="S445" s="180">
        <f t="shared" si="131"/>
        <v>9</v>
      </c>
      <c r="T445" s="151"/>
      <c r="U445" s="25" t="str">
        <f t="shared" si="117"/>
        <v/>
      </c>
      <c r="V445" s="24" t="str">
        <f>IF(AND(ISNUMBER(R444),ISNUMBER(R445)),V444,IF(AND(R444="",ISNUMBER(R445)),IFERROR(LARGE($V$176:$V444,1)+1,0),""))</f>
        <v/>
      </c>
      <c r="W445" s="23" t="str">
        <f t="shared" si="118"/>
        <v/>
      </c>
      <c r="X445" s="22" t="str">
        <f t="shared" si="119"/>
        <v/>
      </c>
      <c r="Y445" s="22"/>
      <c r="Z445" s="22"/>
      <c r="AA445" s="22"/>
      <c r="AB445" s="22" t="str" cm="1">
        <f t="array" ref="AB445">IF(IF(AND($P444="",$P445=1),($N$37*-1),0)+IF(AND($Q444="",$Q445=1),($N$38*-1),0)+IF(IF(($K445-$N$48)&lt;1,0,IF(IF(INDEX($AD$176:$AD$905,($K445-$N$48))="",0,INDEX($AD$176:$AD$905,($K445-$N$48)))&gt;0,IF(INDEX($AD$176:$AD$905,($K445-$N$48))="",0,INDEX($AD$176:$AD$905,($K445-$N$48))),0))="",0,IF(($K445-$N$48)&lt;1,0,IF(IF(INDEX($AD$176:$AD$905,($K445-$N$48))="",0,INDEX($AD$176:$AD$905,($K445-$N$48)))&gt;0,IF(INDEX($AD$176:$AD$905,($K445-$N$48))="",0,INDEX($AD$176:$AD$905,($K445-$N$48))),0)))=0,"",IF(AND($P444="",$P445=1),($N$37*-1),0)+IF(AND($Q444="",$Q445=1),($N$38*-1),0)+IF(IF(($K445-$N$48)&lt;1,0,IF(IF(INDEX($AD$176:$AD$905,($K445-$N$48))="",0,INDEX($AD$176:$AD$905,($K445-$N$48)))&gt;0,IF(INDEX($AD$176:$AD$905,($K445-$N$48))="",0,INDEX($AD$176:$AD$905,($K445-$N$48))),0))="",0,IF(($K445-$N$48)&lt;1,0,IF(IF(INDEX($AD$176:$AD$905,($K445-$N$48))="",0,INDEX($AD$176:$AD$905,($K445-$N$48)))&gt;0,IF(INDEX($AD$176:$AD$905,($K445-$N$48))="",0,INDEX($AD$176:$AD$905,($K445-$N$48))),0))))</f>
        <v/>
      </c>
      <c r="AC445" s="22" t="str">
        <f t="shared" si="120"/>
        <v/>
      </c>
      <c r="AD445" s="22" t="str">
        <f t="shared" si="111"/>
        <v/>
      </c>
      <c r="AE445" s="22" t="str" cm="1">
        <f t="array" ref="AE445">IF(($K445-$N$48)&lt;1,"",IF((IF(INDEX($AC$176:$AC$905,($K445-$N$48))="",0,INDEX($AC$176:$AC$905,($K445-$N$48))))=0,"",(IF(INDEX($AC$176:$AC$905,($K445-$N$48))="",0,INDEX($AC$176:$AC$905,($K445-$N$48))))))</f>
        <v/>
      </c>
      <c r="AF445" s="31" t="str">
        <f t="shared" si="121"/>
        <v/>
      </c>
      <c r="AG445" s="31" t="str">
        <f t="shared" si="122"/>
        <v/>
      </c>
      <c r="AH445" s="31" t="str">
        <f t="shared" si="123"/>
        <v/>
      </c>
      <c r="AI445" s="31" t="str">
        <f t="shared" si="124"/>
        <v/>
      </c>
      <c r="AJ445" s="303" t="str">
        <f t="shared" si="125"/>
        <v/>
      </c>
      <c r="AK445" s="139" t="str">
        <f t="shared" si="126"/>
        <v/>
      </c>
      <c r="AM445" s="319"/>
      <c r="AN445" s="40"/>
      <c r="AO445" s="1"/>
    </row>
    <row r="446" spans="7:41" x14ac:dyDescent="0.25">
      <c r="G446" s="235" t="str">
        <f t="shared" si="112"/>
        <v/>
      </c>
      <c r="H446" s="4" t="str">
        <f t="shared" si="113"/>
        <v/>
      </c>
      <c r="I446" s="11" t="str">
        <f t="shared" si="114"/>
        <v>09.00</v>
      </c>
      <c r="K446" s="30">
        <v>271</v>
      </c>
      <c r="L446" s="29">
        <f t="shared" si="127"/>
        <v>11371.908376190917</v>
      </c>
      <c r="M446" s="28" t="str">
        <f t="shared" si="115"/>
        <v/>
      </c>
      <c r="N446" s="27" t="str">
        <f t="shared" si="128"/>
        <v/>
      </c>
      <c r="O446" s="26" t="str">
        <f>IF(AND($Q445=$O$38,IFERROR(LARGE($V$176:$V445,1)&lt;$N$42,TRUE)),1,IF(AND(ISNUMBER($O445),$O445&lt;$N$32),$O445+1,""))</f>
        <v/>
      </c>
      <c r="P446" s="26" t="str">
        <f t="shared" si="129"/>
        <v/>
      </c>
      <c r="Q446" s="26" t="str">
        <f t="shared" si="116"/>
        <v/>
      </c>
      <c r="R446" s="24" t="str">
        <f t="shared" si="130"/>
        <v/>
      </c>
      <c r="S446" s="180">
        <f t="shared" si="131"/>
        <v>9</v>
      </c>
      <c r="T446" s="151"/>
      <c r="U446" s="25" t="str">
        <f t="shared" si="117"/>
        <v/>
      </c>
      <c r="V446" s="24" t="str">
        <f>IF(AND(ISNUMBER(R445),ISNUMBER(R446)),V445,IF(AND(R445="",ISNUMBER(R446)),IFERROR(LARGE($V$176:$V445,1)+1,0),""))</f>
        <v/>
      </c>
      <c r="W446" s="23" t="str">
        <f t="shared" si="118"/>
        <v/>
      </c>
      <c r="X446" s="22" t="str">
        <f t="shared" si="119"/>
        <v/>
      </c>
      <c r="Y446" s="22"/>
      <c r="Z446" s="22"/>
      <c r="AA446" s="22"/>
      <c r="AB446" s="22" t="str" cm="1">
        <f t="array" ref="AB446">IF(IF(AND($P445="",$P446=1),($N$37*-1),0)+IF(AND($Q445="",$Q446=1),($N$38*-1),0)+IF(IF(($K446-$N$48)&lt;1,0,IF(IF(INDEX($AD$176:$AD$905,($K446-$N$48))="",0,INDEX($AD$176:$AD$905,($K446-$N$48)))&gt;0,IF(INDEX($AD$176:$AD$905,($K446-$N$48))="",0,INDEX($AD$176:$AD$905,($K446-$N$48))),0))="",0,IF(($K446-$N$48)&lt;1,0,IF(IF(INDEX($AD$176:$AD$905,($K446-$N$48))="",0,INDEX($AD$176:$AD$905,($K446-$N$48)))&gt;0,IF(INDEX($AD$176:$AD$905,($K446-$N$48))="",0,INDEX($AD$176:$AD$905,($K446-$N$48))),0)))=0,"",IF(AND($P445="",$P446=1),($N$37*-1),0)+IF(AND($Q445="",$Q446=1),($N$38*-1),0)+IF(IF(($K446-$N$48)&lt;1,0,IF(IF(INDEX($AD$176:$AD$905,($K446-$N$48))="",0,INDEX($AD$176:$AD$905,($K446-$N$48)))&gt;0,IF(INDEX($AD$176:$AD$905,($K446-$N$48))="",0,INDEX($AD$176:$AD$905,($K446-$N$48))),0))="",0,IF(($K446-$N$48)&lt;1,0,IF(IF(INDEX($AD$176:$AD$905,($K446-$N$48))="",0,INDEX($AD$176:$AD$905,($K446-$N$48)))&gt;0,IF(INDEX($AD$176:$AD$905,($K446-$N$48))="",0,INDEX($AD$176:$AD$905,($K446-$N$48))),0))))</f>
        <v/>
      </c>
      <c r="AC446" s="22" t="str">
        <f t="shared" si="120"/>
        <v/>
      </c>
      <c r="AD446" s="22" t="str">
        <f t="shared" si="111"/>
        <v/>
      </c>
      <c r="AE446" s="22" t="str" cm="1">
        <f t="array" ref="AE446">IF(($K446-$N$48)&lt;1,"",IF((IF(INDEX($AC$176:$AC$905,($K446-$N$48))="",0,INDEX($AC$176:$AC$905,($K446-$N$48))))=0,"",(IF(INDEX($AC$176:$AC$905,($K446-$N$48))="",0,INDEX($AC$176:$AC$905,($K446-$N$48))))))</f>
        <v/>
      </c>
      <c r="AF446" s="31" t="str">
        <f t="shared" si="121"/>
        <v/>
      </c>
      <c r="AG446" s="31" t="str">
        <f t="shared" si="122"/>
        <v/>
      </c>
      <c r="AH446" s="31" t="str">
        <f t="shared" si="123"/>
        <v/>
      </c>
      <c r="AI446" s="31" t="str">
        <f t="shared" si="124"/>
        <v/>
      </c>
      <c r="AJ446" s="303" t="str">
        <f t="shared" si="125"/>
        <v/>
      </c>
      <c r="AK446" s="139" t="str">
        <f t="shared" si="126"/>
        <v/>
      </c>
      <c r="AM446" s="319"/>
      <c r="AN446" s="40"/>
      <c r="AO446" s="1"/>
    </row>
    <row r="447" spans="7:41" x14ac:dyDescent="0.25">
      <c r="G447" s="235" t="str">
        <f t="shared" si="112"/>
        <v/>
      </c>
      <c r="H447" s="4" t="str">
        <f t="shared" si="113"/>
        <v/>
      </c>
      <c r="I447" s="11" t="str">
        <f t="shared" si="114"/>
        <v>09.00</v>
      </c>
      <c r="K447" s="30">
        <v>272</v>
      </c>
      <c r="L447" s="29">
        <f t="shared" si="127"/>
        <v>11371.908376190917</v>
      </c>
      <c r="M447" s="28" t="str">
        <f t="shared" si="115"/>
        <v/>
      </c>
      <c r="N447" s="27" t="str">
        <f t="shared" si="128"/>
        <v/>
      </c>
      <c r="O447" s="26" t="str">
        <f>IF(AND($Q446=$O$38,IFERROR(LARGE($V$176:$V446,1)&lt;$N$42,TRUE)),1,IF(AND(ISNUMBER($O446),$O446&lt;$N$32),$O446+1,""))</f>
        <v/>
      </c>
      <c r="P447" s="26" t="str">
        <f t="shared" si="129"/>
        <v/>
      </c>
      <c r="Q447" s="26" t="str">
        <f t="shared" si="116"/>
        <v/>
      </c>
      <c r="R447" s="24" t="str">
        <f t="shared" si="130"/>
        <v/>
      </c>
      <c r="S447" s="180">
        <f t="shared" si="131"/>
        <v>9</v>
      </c>
      <c r="T447" s="151"/>
      <c r="U447" s="25" t="str">
        <f t="shared" si="117"/>
        <v/>
      </c>
      <c r="V447" s="24" t="str">
        <f>IF(AND(ISNUMBER(R446),ISNUMBER(R447)),V446,IF(AND(R446="",ISNUMBER(R447)),IFERROR(LARGE($V$176:$V446,1)+1,0),""))</f>
        <v/>
      </c>
      <c r="W447" s="23" t="str">
        <f t="shared" si="118"/>
        <v/>
      </c>
      <c r="X447" s="22" t="str">
        <f t="shared" si="119"/>
        <v/>
      </c>
      <c r="Y447" s="22"/>
      <c r="Z447" s="22"/>
      <c r="AA447" s="22"/>
      <c r="AB447" s="22" t="str" cm="1">
        <f t="array" ref="AB447">IF(IF(AND($P446="",$P447=1),($N$37*-1),0)+IF(AND($Q446="",$Q447=1),($N$38*-1),0)+IF(IF(($K447-$N$48)&lt;1,0,IF(IF(INDEX($AD$176:$AD$905,($K447-$N$48))="",0,INDEX($AD$176:$AD$905,($K447-$N$48)))&gt;0,IF(INDEX($AD$176:$AD$905,($K447-$N$48))="",0,INDEX($AD$176:$AD$905,($K447-$N$48))),0))="",0,IF(($K447-$N$48)&lt;1,0,IF(IF(INDEX($AD$176:$AD$905,($K447-$N$48))="",0,INDEX($AD$176:$AD$905,($K447-$N$48)))&gt;0,IF(INDEX($AD$176:$AD$905,($K447-$N$48))="",0,INDEX($AD$176:$AD$905,($K447-$N$48))),0)))=0,"",IF(AND($P446="",$P447=1),($N$37*-1),0)+IF(AND($Q446="",$Q447=1),($N$38*-1),0)+IF(IF(($K447-$N$48)&lt;1,0,IF(IF(INDEX($AD$176:$AD$905,($K447-$N$48))="",0,INDEX($AD$176:$AD$905,($K447-$N$48)))&gt;0,IF(INDEX($AD$176:$AD$905,($K447-$N$48))="",0,INDEX($AD$176:$AD$905,($K447-$N$48))),0))="",0,IF(($K447-$N$48)&lt;1,0,IF(IF(INDEX($AD$176:$AD$905,($K447-$N$48))="",0,INDEX($AD$176:$AD$905,($K447-$N$48)))&gt;0,IF(INDEX($AD$176:$AD$905,($K447-$N$48))="",0,INDEX($AD$176:$AD$905,($K447-$N$48))),0))))</f>
        <v/>
      </c>
      <c r="AC447" s="22" t="str">
        <f t="shared" si="120"/>
        <v/>
      </c>
      <c r="AD447" s="22" t="str">
        <f t="shared" si="111"/>
        <v/>
      </c>
      <c r="AE447" s="22" t="str" cm="1">
        <f t="array" ref="AE447">IF(($K447-$N$48)&lt;1,"",IF((IF(INDEX($AC$176:$AC$905,($K447-$N$48))="",0,INDEX($AC$176:$AC$905,($K447-$N$48))))=0,"",(IF(INDEX($AC$176:$AC$905,($K447-$N$48))="",0,INDEX($AC$176:$AC$905,($K447-$N$48))))))</f>
        <v/>
      </c>
      <c r="AF447" s="31" t="str">
        <f t="shared" si="121"/>
        <v/>
      </c>
      <c r="AG447" s="31" t="str">
        <f t="shared" si="122"/>
        <v/>
      </c>
      <c r="AH447" s="31" t="str">
        <f t="shared" si="123"/>
        <v/>
      </c>
      <c r="AI447" s="31" t="str">
        <f t="shared" si="124"/>
        <v/>
      </c>
      <c r="AJ447" s="303" t="str">
        <f t="shared" si="125"/>
        <v/>
      </c>
      <c r="AK447" s="139" t="str">
        <f t="shared" si="126"/>
        <v/>
      </c>
      <c r="AM447" s="319"/>
      <c r="AN447" s="40"/>
      <c r="AO447" s="1"/>
    </row>
    <row r="448" spans="7:41" x14ac:dyDescent="0.25">
      <c r="G448" s="235" t="str">
        <f t="shared" si="112"/>
        <v/>
      </c>
      <c r="H448" s="4" t="str">
        <f t="shared" si="113"/>
        <v/>
      </c>
      <c r="I448" s="11" t="str">
        <f t="shared" si="114"/>
        <v>09.00</v>
      </c>
      <c r="K448" s="30">
        <v>273</v>
      </c>
      <c r="L448" s="29">
        <f t="shared" si="127"/>
        <v>11371.908376190917</v>
      </c>
      <c r="M448" s="28" t="str">
        <f t="shared" si="115"/>
        <v/>
      </c>
      <c r="N448" s="27" t="str">
        <f t="shared" si="128"/>
        <v/>
      </c>
      <c r="O448" s="26" t="str">
        <f>IF(AND($Q447=$O$38,IFERROR(LARGE($V$176:$V447,1)&lt;$N$42,TRUE)),1,IF(AND(ISNUMBER($O447),$O447&lt;$N$32),$O447+1,""))</f>
        <v/>
      </c>
      <c r="P448" s="26" t="str">
        <f t="shared" si="129"/>
        <v/>
      </c>
      <c r="Q448" s="26" t="str">
        <f t="shared" si="116"/>
        <v/>
      </c>
      <c r="R448" s="24" t="str">
        <f t="shared" si="130"/>
        <v/>
      </c>
      <c r="S448" s="180">
        <f t="shared" si="131"/>
        <v>9</v>
      </c>
      <c r="T448" s="151"/>
      <c r="U448" s="25" t="str">
        <f t="shared" si="117"/>
        <v/>
      </c>
      <c r="V448" s="24" t="str">
        <f>IF(AND(ISNUMBER(R447),ISNUMBER(R448)),V447,IF(AND(R447="",ISNUMBER(R448)),IFERROR(LARGE($V$176:$V447,1)+1,0),""))</f>
        <v/>
      </c>
      <c r="W448" s="23" t="str">
        <f t="shared" si="118"/>
        <v/>
      </c>
      <c r="X448" s="22" t="str">
        <f t="shared" si="119"/>
        <v/>
      </c>
      <c r="Y448" s="22"/>
      <c r="Z448" s="22"/>
      <c r="AA448" s="22"/>
      <c r="AB448" s="22" t="str" cm="1">
        <f t="array" ref="AB448">IF(IF(AND($P447="",$P448=1),($N$37*-1),0)+IF(AND($Q447="",$Q448=1),($N$38*-1),0)+IF(IF(($K448-$N$48)&lt;1,0,IF(IF(INDEX($AD$176:$AD$905,($K448-$N$48))="",0,INDEX($AD$176:$AD$905,($K448-$N$48)))&gt;0,IF(INDEX($AD$176:$AD$905,($K448-$N$48))="",0,INDEX($AD$176:$AD$905,($K448-$N$48))),0))="",0,IF(($K448-$N$48)&lt;1,0,IF(IF(INDEX($AD$176:$AD$905,($K448-$N$48))="",0,INDEX($AD$176:$AD$905,($K448-$N$48)))&gt;0,IF(INDEX($AD$176:$AD$905,($K448-$N$48))="",0,INDEX($AD$176:$AD$905,($K448-$N$48))),0)))=0,"",IF(AND($P447="",$P448=1),($N$37*-1),0)+IF(AND($Q447="",$Q448=1),($N$38*-1),0)+IF(IF(($K448-$N$48)&lt;1,0,IF(IF(INDEX($AD$176:$AD$905,($K448-$N$48))="",0,INDEX($AD$176:$AD$905,($K448-$N$48)))&gt;0,IF(INDEX($AD$176:$AD$905,($K448-$N$48))="",0,INDEX($AD$176:$AD$905,($K448-$N$48))),0))="",0,IF(($K448-$N$48)&lt;1,0,IF(IF(INDEX($AD$176:$AD$905,($K448-$N$48))="",0,INDEX($AD$176:$AD$905,($K448-$N$48)))&gt;0,IF(INDEX($AD$176:$AD$905,($K448-$N$48))="",0,INDEX($AD$176:$AD$905,($K448-$N$48))),0))))</f>
        <v/>
      </c>
      <c r="AC448" s="22" t="str">
        <f t="shared" si="120"/>
        <v/>
      </c>
      <c r="AD448" s="22" t="str">
        <f t="shared" ref="AD448:AD511" si="132">IF(IF(OR(AND(ISNUMBER($U448),IF(ISNUMBER($U449),$U449,0)-IF(ISNUMBER($U448),$U448,0)=1),AND(ISNUMBER($U448),$U449="")),IF($U448=1,$P$37,0),0)=0,"",IF(OR(AND(ISNUMBER($U448),IF(ISNUMBER($U449),$U449,0)-IF(ISNUMBER($U448),$U448,0)=1),AND(ISNUMBER($U448),$U449="")),IF($U448=1,$P$37,0),0))</f>
        <v/>
      </c>
      <c r="AE448" s="22" t="str" cm="1">
        <f t="array" ref="AE448">IF(($K448-$N$48)&lt;1,"",IF((IF(INDEX($AC$176:$AC$905,($K448-$N$48))="",0,INDEX($AC$176:$AC$905,($K448-$N$48))))=0,"",(IF(INDEX($AC$176:$AC$905,($K448-$N$48))="",0,INDEX($AC$176:$AC$905,($K448-$N$48))))))</f>
        <v/>
      </c>
      <c r="AF448" s="31" t="str">
        <f t="shared" si="121"/>
        <v/>
      </c>
      <c r="AG448" s="31" t="str">
        <f t="shared" si="122"/>
        <v/>
      </c>
      <c r="AH448" s="31" t="str">
        <f t="shared" si="123"/>
        <v/>
      </c>
      <c r="AI448" s="31" t="str">
        <f t="shared" si="124"/>
        <v/>
      </c>
      <c r="AJ448" s="303" t="str">
        <f t="shared" si="125"/>
        <v/>
      </c>
      <c r="AK448" s="139" t="str">
        <f t="shared" si="126"/>
        <v/>
      </c>
      <c r="AM448" s="319"/>
      <c r="AN448" s="40"/>
      <c r="AO448" s="1"/>
    </row>
    <row r="449" spans="7:41" x14ac:dyDescent="0.25">
      <c r="G449" s="235" t="str">
        <f t="shared" si="112"/>
        <v/>
      </c>
      <c r="H449" s="4" t="str">
        <f t="shared" si="113"/>
        <v/>
      </c>
      <c r="I449" s="11" t="str">
        <f t="shared" si="114"/>
        <v>09.00</v>
      </c>
      <c r="K449" s="30">
        <v>274</v>
      </c>
      <c r="L449" s="29">
        <f t="shared" si="127"/>
        <v>11371.908376190917</v>
      </c>
      <c r="M449" s="28" t="str">
        <f t="shared" si="115"/>
        <v/>
      </c>
      <c r="N449" s="27" t="str">
        <f t="shared" si="128"/>
        <v/>
      </c>
      <c r="O449" s="26" t="str">
        <f>IF(AND($Q448=$O$38,IFERROR(LARGE($V$176:$V448,1)&lt;$N$42,TRUE)),1,IF(AND(ISNUMBER($O448),$O448&lt;$N$32),$O448+1,""))</f>
        <v/>
      </c>
      <c r="P449" s="26" t="str">
        <f t="shared" si="129"/>
        <v/>
      </c>
      <c r="Q449" s="26" t="str">
        <f t="shared" si="116"/>
        <v/>
      </c>
      <c r="R449" s="24" t="str">
        <f t="shared" si="130"/>
        <v/>
      </c>
      <c r="S449" s="180">
        <f t="shared" si="131"/>
        <v>9</v>
      </c>
      <c r="T449" s="151"/>
      <c r="U449" s="25" t="str">
        <f t="shared" si="117"/>
        <v/>
      </c>
      <c r="V449" s="24" t="str">
        <f>IF(AND(ISNUMBER(R448),ISNUMBER(R449)),V448,IF(AND(R448="",ISNUMBER(R449)),IFERROR(LARGE($V$176:$V448,1)+1,0),""))</f>
        <v/>
      </c>
      <c r="W449" s="23" t="str">
        <f t="shared" si="118"/>
        <v/>
      </c>
      <c r="X449" s="22" t="str">
        <f t="shared" si="119"/>
        <v/>
      </c>
      <c r="Y449" s="22"/>
      <c r="Z449" s="22"/>
      <c r="AA449" s="22"/>
      <c r="AB449" s="22" t="str" cm="1">
        <f t="array" ref="AB449">IF(IF(AND($P448="",$P449=1),($N$37*-1),0)+IF(AND($Q448="",$Q449=1),($N$38*-1),0)+IF(IF(($K449-$N$48)&lt;1,0,IF(IF(INDEX($AD$176:$AD$905,($K449-$N$48))="",0,INDEX($AD$176:$AD$905,($K449-$N$48)))&gt;0,IF(INDEX($AD$176:$AD$905,($K449-$N$48))="",0,INDEX($AD$176:$AD$905,($K449-$N$48))),0))="",0,IF(($K449-$N$48)&lt;1,0,IF(IF(INDEX($AD$176:$AD$905,($K449-$N$48))="",0,INDEX($AD$176:$AD$905,($K449-$N$48)))&gt;0,IF(INDEX($AD$176:$AD$905,($K449-$N$48))="",0,INDEX($AD$176:$AD$905,($K449-$N$48))),0)))=0,"",IF(AND($P448="",$P449=1),($N$37*-1),0)+IF(AND($Q448="",$Q449=1),($N$38*-1),0)+IF(IF(($K449-$N$48)&lt;1,0,IF(IF(INDEX($AD$176:$AD$905,($K449-$N$48))="",0,INDEX($AD$176:$AD$905,($K449-$N$48)))&gt;0,IF(INDEX($AD$176:$AD$905,($K449-$N$48))="",0,INDEX($AD$176:$AD$905,($K449-$N$48))),0))="",0,IF(($K449-$N$48)&lt;1,0,IF(IF(INDEX($AD$176:$AD$905,($K449-$N$48))="",0,INDEX($AD$176:$AD$905,($K449-$N$48)))&gt;0,IF(INDEX($AD$176:$AD$905,($K449-$N$48))="",0,INDEX($AD$176:$AD$905,($K449-$N$48))),0))))</f>
        <v/>
      </c>
      <c r="AC449" s="22" t="str">
        <f t="shared" si="120"/>
        <v/>
      </c>
      <c r="AD449" s="22" t="str">
        <f t="shared" si="132"/>
        <v/>
      </c>
      <c r="AE449" s="22" t="str" cm="1">
        <f t="array" ref="AE449">IF(($K449-$N$48)&lt;1,"",IF((IF(INDEX($AC$176:$AC$905,($K449-$N$48))="",0,INDEX($AC$176:$AC$905,($K449-$N$48))))=0,"",(IF(INDEX($AC$176:$AC$905,($K449-$N$48))="",0,INDEX($AC$176:$AC$905,($K449-$N$48))))))</f>
        <v/>
      </c>
      <c r="AF449" s="31" t="str">
        <f t="shared" si="121"/>
        <v/>
      </c>
      <c r="AG449" s="31" t="str">
        <f t="shared" si="122"/>
        <v/>
      </c>
      <c r="AH449" s="31" t="str">
        <f t="shared" si="123"/>
        <v/>
      </c>
      <c r="AI449" s="31" t="str">
        <f t="shared" si="124"/>
        <v/>
      </c>
      <c r="AJ449" s="303" t="str">
        <f t="shared" si="125"/>
        <v/>
      </c>
      <c r="AK449" s="139" t="str">
        <f t="shared" si="126"/>
        <v/>
      </c>
      <c r="AM449" s="319"/>
      <c r="AN449" s="40"/>
      <c r="AO449" s="1"/>
    </row>
    <row r="450" spans="7:41" x14ac:dyDescent="0.25">
      <c r="G450" s="235" t="str">
        <f t="shared" si="112"/>
        <v/>
      </c>
      <c r="H450" s="4" t="str">
        <f t="shared" si="113"/>
        <v/>
      </c>
      <c r="I450" s="11" t="str">
        <f t="shared" si="114"/>
        <v>09.00</v>
      </c>
      <c r="K450" s="30">
        <v>275</v>
      </c>
      <c r="L450" s="29">
        <f t="shared" si="127"/>
        <v>11371.908376190917</v>
      </c>
      <c r="M450" s="28" t="str">
        <f t="shared" si="115"/>
        <v/>
      </c>
      <c r="N450" s="27" t="str">
        <f t="shared" si="128"/>
        <v/>
      </c>
      <c r="O450" s="26" t="str">
        <f>IF(AND($Q449=$O$38,IFERROR(LARGE($V$176:$V449,1)&lt;$N$42,TRUE)),1,IF(AND(ISNUMBER($O449),$O449&lt;$N$32),$O449+1,""))</f>
        <v/>
      </c>
      <c r="P450" s="26" t="str">
        <f t="shared" si="129"/>
        <v/>
      </c>
      <c r="Q450" s="26" t="str">
        <f t="shared" si="116"/>
        <v/>
      </c>
      <c r="R450" s="24" t="str">
        <f t="shared" si="130"/>
        <v/>
      </c>
      <c r="S450" s="180">
        <f t="shared" si="131"/>
        <v>9</v>
      </c>
      <c r="T450" s="151"/>
      <c r="U450" s="25" t="str">
        <f t="shared" si="117"/>
        <v/>
      </c>
      <c r="V450" s="24" t="str">
        <f>IF(AND(ISNUMBER(R449),ISNUMBER(R450)),V449,IF(AND(R449="",ISNUMBER(R450)),IFERROR(LARGE($V$176:$V449,1)+1,0),""))</f>
        <v/>
      </c>
      <c r="W450" s="23" t="str">
        <f t="shared" si="118"/>
        <v/>
      </c>
      <c r="X450" s="22" t="str">
        <f t="shared" si="119"/>
        <v/>
      </c>
      <c r="Y450" s="22"/>
      <c r="Z450" s="22"/>
      <c r="AA450" s="22"/>
      <c r="AB450" s="22" t="str" cm="1">
        <f t="array" ref="AB450">IF(IF(AND($P449="",$P450=1),($N$37*-1),0)+IF(AND($Q449="",$Q450=1),($N$38*-1),0)+IF(IF(($K450-$N$48)&lt;1,0,IF(IF(INDEX($AD$176:$AD$905,($K450-$N$48))="",0,INDEX($AD$176:$AD$905,($K450-$N$48)))&gt;0,IF(INDEX($AD$176:$AD$905,($K450-$N$48))="",0,INDEX($AD$176:$AD$905,($K450-$N$48))),0))="",0,IF(($K450-$N$48)&lt;1,0,IF(IF(INDEX($AD$176:$AD$905,($K450-$N$48))="",0,INDEX($AD$176:$AD$905,($K450-$N$48)))&gt;0,IF(INDEX($AD$176:$AD$905,($K450-$N$48))="",0,INDEX($AD$176:$AD$905,($K450-$N$48))),0)))=0,"",IF(AND($P449="",$P450=1),($N$37*-1),0)+IF(AND($Q449="",$Q450=1),($N$38*-1),0)+IF(IF(($K450-$N$48)&lt;1,0,IF(IF(INDEX($AD$176:$AD$905,($K450-$N$48))="",0,INDEX($AD$176:$AD$905,($K450-$N$48)))&gt;0,IF(INDEX($AD$176:$AD$905,($K450-$N$48))="",0,INDEX($AD$176:$AD$905,($K450-$N$48))),0))="",0,IF(($K450-$N$48)&lt;1,0,IF(IF(INDEX($AD$176:$AD$905,($K450-$N$48))="",0,INDEX($AD$176:$AD$905,($K450-$N$48)))&gt;0,IF(INDEX($AD$176:$AD$905,($K450-$N$48))="",0,INDEX($AD$176:$AD$905,($K450-$N$48))),0))))</f>
        <v/>
      </c>
      <c r="AC450" s="22" t="str">
        <f t="shared" si="120"/>
        <v/>
      </c>
      <c r="AD450" s="22" t="str">
        <f t="shared" si="132"/>
        <v/>
      </c>
      <c r="AE450" s="22" t="str" cm="1">
        <f t="array" ref="AE450">IF(($K450-$N$48)&lt;1,"",IF((IF(INDEX($AC$176:$AC$905,($K450-$N$48))="",0,INDEX($AC$176:$AC$905,($K450-$N$48))))=0,"",(IF(INDEX($AC$176:$AC$905,($K450-$N$48))="",0,INDEX($AC$176:$AC$905,($K450-$N$48))))))</f>
        <v/>
      </c>
      <c r="AF450" s="31" t="str">
        <f t="shared" si="121"/>
        <v/>
      </c>
      <c r="AG450" s="31" t="str">
        <f t="shared" si="122"/>
        <v/>
      </c>
      <c r="AH450" s="31" t="str">
        <f t="shared" si="123"/>
        <v/>
      </c>
      <c r="AI450" s="31" t="str">
        <f t="shared" si="124"/>
        <v/>
      </c>
      <c r="AJ450" s="303" t="str">
        <f t="shared" si="125"/>
        <v/>
      </c>
      <c r="AK450" s="139" t="str">
        <f t="shared" si="126"/>
        <v/>
      </c>
      <c r="AM450" s="319"/>
      <c r="AN450" s="40"/>
      <c r="AO450" s="1"/>
    </row>
    <row r="451" spans="7:41" x14ac:dyDescent="0.25">
      <c r="G451" s="235" t="str">
        <f t="shared" si="112"/>
        <v/>
      </c>
      <c r="H451" s="4" t="str">
        <f t="shared" si="113"/>
        <v/>
      </c>
      <c r="I451" s="11" t="str">
        <f t="shared" si="114"/>
        <v>09.00</v>
      </c>
      <c r="K451" s="30">
        <v>276</v>
      </c>
      <c r="L451" s="29">
        <f t="shared" si="127"/>
        <v>11371.908376190917</v>
      </c>
      <c r="M451" s="28" t="str">
        <f t="shared" si="115"/>
        <v/>
      </c>
      <c r="N451" s="27" t="str">
        <f t="shared" si="128"/>
        <v/>
      </c>
      <c r="O451" s="26" t="str">
        <f>IF(AND($Q450=$O$38,IFERROR(LARGE($V$176:$V450,1)&lt;$N$42,TRUE)),1,IF(AND(ISNUMBER($O450),$O450&lt;$N$32),$O450+1,""))</f>
        <v/>
      </c>
      <c r="P451" s="26" t="str">
        <f t="shared" si="129"/>
        <v/>
      </c>
      <c r="Q451" s="26" t="str">
        <f t="shared" si="116"/>
        <v/>
      </c>
      <c r="R451" s="24" t="str">
        <f t="shared" si="130"/>
        <v/>
      </c>
      <c r="S451" s="180">
        <f t="shared" si="131"/>
        <v>9</v>
      </c>
      <c r="T451" s="151"/>
      <c r="U451" s="25" t="str">
        <f t="shared" si="117"/>
        <v/>
      </c>
      <c r="V451" s="24" t="str">
        <f>IF(AND(ISNUMBER(R450),ISNUMBER(R451)),V450,IF(AND(R450="",ISNUMBER(R451)),IFERROR(LARGE($V$176:$V450,1)+1,0),""))</f>
        <v/>
      </c>
      <c r="W451" s="23" t="str">
        <f t="shared" si="118"/>
        <v/>
      </c>
      <c r="X451" s="22" t="str">
        <f t="shared" si="119"/>
        <v/>
      </c>
      <c r="Y451" s="22"/>
      <c r="Z451" s="22"/>
      <c r="AA451" s="22"/>
      <c r="AB451" s="22" t="str" cm="1">
        <f t="array" ref="AB451">IF(IF(AND($P450="",$P451=1),($N$37*-1),0)+IF(AND($Q450="",$Q451=1),($N$38*-1),0)+IF(IF(($K451-$N$48)&lt;1,0,IF(IF(INDEX($AD$176:$AD$905,($K451-$N$48))="",0,INDEX($AD$176:$AD$905,($K451-$N$48)))&gt;0,IF(INDEX($AD$176:$AD$905,($K451-$N$48))="",0,INDEX($AD$176:$AD$905,($K451-$N$48))),0))="",0,IF(($K451-$N$48)&lt;1,0,IF(IF(INDEX($AD$176:$AD$905,($K451-$N$48))="",0,INDEX($AD$176:$AD$905,($K451-$N$48)))&gt;0,IF(INDEX($AD$176:$AD$905,($K451-$N$48))="",0,INDEX($AD$176:$AD$905,($K451-$N$48))),0)))=0,"",IF(AND($P450="",$P451=1),($N$37*-1),0)+IF(AND($Q450="",$Q451=1),($N$38*-1),0)+IF(IF(($K451-$N$48)&lt;1,0,IF(IF(INDEX($AD$176:$AD$905,($K451-$N$48))="",0,INDEX($AD$176:$AD$905,($K451-$N$48)))&gt;0,IF(INDEX($AD$176:$AD$905,($K451-$N$48))="",0,INDEX($AD$176:$AD$905,($K451-$N$48))),0))="",0,IF(($K451-$N$48)&lt;1,0,IF(IF(INDEX($AD$176:$AD$905,($K451-$N$48))="",0,INDEX($AD$176:$AD$905,($K451-$N$48)))&gt;0,IF(INDEX($AD$176:$AD$905,($K451-$N$48))="",0,INDEX($AD$176:$AD$905,($K451-$N$48))),0))))</f>
        <v/>
      </c>
      <c r="AC451" s="22" t="str">
        <f t="shared" si="120"/>
        <v/>
      </c>
      <c r="AD451" s="22" t="str">
        <f t="shared" si="132"/>
        <v/>
      </c>
      <c r="AE451" s="22" t="str" cm="1">
        <f t="array" ref="AE451">IF(($K451-$N$48)&lt;1,"",IF((IF(INDEX($AC$176:$AC$905,($K451-$N$48))="",0,INDEX($AC$176:$AC$905,($K451-$N$48))))=0,"",(IF(INDEX($AC$176:$AC$905,($K451-$N$48))="",0,INDEX($AC$176:$AC$905,($K451-$N$48))))))</f>
        <v/>
      </c>
      <c r="AF451" s="31" t="str">
        <f t="shared" si="121"/>
        <v/>
      </c>
      <c r="AG451" s="31" t="str">
        <f t="shared" si="122"/>
        <v/>
      </c>
      <c r="AH451" s="31" t="str">
        <f t="shared" si="123"/>
        <v/>
      </c>
      <c r="AI451" s="31" t="str">
        <f t="shared" si="124"/>
        <v/>
      </c>
      <c r="AJ451" s="303" t="str">
        <f t="shared" si="125"/>
        <v/>
      </c>
      <c r="AK451" s="139" t="str">
        <f t="shared" si="126"/>
        <v/>
      </c>
      <c r="AM451" s="319"/>
      <c r="AN451" s="40"/>
      <c r="AO451" s="1"/>
    </row>
    <row r="452" spans="7:41" x14ac:dyDescent="0.25">
      <c r="G452" s="235" t="str">
        <f t="shared" si="112"/>
        <v/>
      </c>
      <c r="H452" s="4" t="str">
        <f t="shared" si="113"/>
        <v/>
      </c>
      <c r="I452" s="11" t="str">
        <f t="shared" si="114"/>
        <v>09.00</v>
      </c>
      <c r="K452" s="30">
        <v>277</v>
      </c>
      <c r="L452" s="29">
        <f t="shared" si="127"/>
        <v>11371.908376190917</v>
      </c>
      <c r="M452" s="28" t="str">
        <f t="shared" si="115"/>
        <v/>
      </c>
      <c r="N452" s="27" t="str">
        <f t="shared" si="128"/>
        <v/>
      </c>
      <c r="O452" s="26" t="str">
        <f>IF(AND($Q451=$O$38,IFERROR(LARGE($V$176:$V451,1)&lt;$N$42,TRUE)),1,IF(AND(ISNUMBER($O451),$O451&lt;$N$32),$O451+1,""))</f>
        <v/>
      </c>
      <c r="P452" s="26" t="str">
        <f t="shared" si="129"/>
        <v/>
      </c>
      <c r="Q452" s="26" t="str">
        <f t="shared" si="116"/>
        <v/>
      </c>
      <c r="R452" s="24" t="str">
        <f t="shared" si="130"/>
        <v/>
      </c>
      <c r="S452" s="180">
        <f t="shared" si="131"/>
        <v>9</v>
      </c>
      <c r="T452" s="151"/>
      <c r="U452" s="25" t="str">
        <f t="shared" si="117"/>
        <v/>
      </c>
      <c r="V452" s="24" t="str">
        <f>IF(AND(ISNUMBER(R451),ISNUMBER(R452)),V451,IF(AND(R451="",ISNUMBER(R452)),IFERROR(LARGE($V$176:$V451,1)+1,0),""))</f>
        <v/>
      </c>
      <c r="W452" s="23" t="str">
        <f t="shared" si="118"/>
        <v/>
      </c>
      <c r="X452" s="22" t="str">
        <f t="shared" si="119"/>
        <v/>
      </c>
      <c r="Y452" s="22"/>
      <c r="Z452" s="22"/>
      <c r="AA452" s="22"/>
      <c r="AB452" s="22" t="str" cm="1">
        <f t="array" ref="AB452">IF(IF(AND($P451="",$P452=1),($N$37*-1),0)+IF(AND($Q451="",$Q452=1),($N$38*-1),0)+IF(IF(($K452-$N$48)&lt;1,0,IF(IF(INDEX($AD$176:$AD$905,($K452-$N$48))="",0,INDEX($AD$176:$AD$905,($K452-$N$48)))&gt;0,IF(INDEX($AD$176:$AD$905,($K452-$N$48))="",0,INDEX($AD$176:$AD$905,($K452-$N$48))),0))="",0,IF(($K452-$N$48)&lt;1,0,IF(IF(INDEX($AD$176:$AD$905,($K452-$N$48))="",0,INDEX($AD$176:$AD$905,($K452-$N$48)))&gt;0,IF(INDEX($AD$176:$AD$905,($K452-$N$48))="",0,INDEX($AD$176:$AD$905,($K452-$N$48))),0)))=0,"",IF(AND($P451="",$P452=1),($N$37*-1),0)+IF(AND($Q451="",$Q452=1),($N$38*-1),0)+IF(IF(($K452-$N$48)&lt;1,0,IF(IF(INDEX($AD$176:$AD$905,($K452-$N$48))="",0,INDEX($AD$176:$AD$905,($K452-$N$48)))&gt;0,IF(INDEX($AD$176:$AD$905,($K452-$N$48))="",0,INDEX($AD$176:$AD$905,($K452-$N$48))),0))="",0,IF(($K452-$N$48)&lt;1,0,IF(IF(INDEX($AD$176:$AD$905,($K452-$N$48))="",0,INDEX($AD$176:$AD$905,($K452-$N$48)))&gt;0,IF(INDEX($AD$176:$AD$905,($K452-$N$48))="",0,INDEX($AD$176:$AD$905,($K452-$N$48))),0))))</f>
        <v/>
      </c>
      <c r="AC452" s="22" t="str">
        <f t="shared" si="120"/>
        <v/>
      </c>
      <c r="AD452" s="22" t="str">
        <f t="shared" si="132"/>
        <v/>
      </c>
      <c r="AE452" s="22" t="str" cm="1">
        <f t="array" ref="AE452">IF(($K452-$N$48)&lt;1,"",IF((IF(INDEX($AC$176:$AC$905,($K452-$N$48))="",0,INDEX($AC$176:$AC$905,($K452-$N$48))))=0,"",(IF(INDEX($AC$176:$AC$905,($K452-$N$48))="",0,INDEX($AC$176:$AC$905,($K452-$N$48))))))</f>
        <v/>
      </c>
      <c r="AF452" s="31" t="str">
        <f t="shared" si="121"/>
        <v/>
      </c>
      <c r="AG452" s="31" t="str">
        <f t="shared" si="122"/>
        <v/>
      </c>
      <c r="AH452" s="31" t="str">
        <f t="shared" si="123"/>
        <v/>
      </c>
      <c r="AI452" s="31" t="str">
        <f t="shared" si="124"/>
        <v/>
      </c>
      <c r="AJ452" s="303" t="str">
        <f t="shared" si="125"/>
        <v/>
      </c>
      <c r="AK452" s="139" t="str">
        <f t="shared" si="126"/>
        <v/>
      </c>
      <c r="AM452" s="319"/>
      <c r="AN452" s="40"/>
      <c r="AO452" s="1"/>
    </row>
    <row r="453" spans="7:41" x14ac:dyDescent="0.25">
      <c r="G453" s="235" t="str">
        <f t="shared" si="112"/>
        <v/>
      </c>
      <c r="H453" s="4" t="str">
        <f t="shared" si="113"/>
        <v/>
      </c>
      <c r="I453" s="11" t="str">
        <f t="shared" si="114"/>
        <v>09.00</v>
      </c>
      <c r="K453" s="30">
        <v>278</v>
      </c>
      <c r="L453" s="29">
        <f t="shared" si="127"/>
        <v>11371.908376190917</v>
      </c>
      <c r="M453" s="28" t="str">
        <f t="shared" si="115"/>
        <v/>
      </c>
      <c r="N453" s="27" t="str">
        <f t="shared" si="128"/>
        <v/>
      </c>
      <c r="O453" s="26" t="str">
        <f>IF(AND($Q452=$O$38,IFERROR(LARGE($V$176:$V452,1)&lt;$N$42,TRUE)),1,IF(AND(ISNUMBER($O452),$O452&lt;$N$32),$O452+1,""))</f>
        <v/>
      </c>
      <c r="P453" s="26" t="str">
        <f t="shared" si="129"/>
        <v/>
      </c>
      <c r="Q453" s="26" t="str">
        <f t="shared" si="116"/>
        <v/>
      </c>
      <c r="R453" s="24" t="str">
        <f t="shared" si="130"/>
        <v/>
      </c>
      <c r="S453" s="180">
        <f t="shared" si="131"/>
        <v>9</v>
      </c>
      <c r="T453" s="151"/>
      <c r="U453" s="25" t="str">
        <f t="shared" si="117"/>
        <v/>
      </c>
      <c r="V453" s="24" t="str">
        <f>IF(AND(ISNUMBER(R452),ISNUMBER(R453)),V452,IF(AND(R452="",ISNUMBER(R453)),IFERROR(LARGE($V$176:$V452,1)+1,0),""))</f>
        <v/>
      </c>
      <c r="W453" s="23" t="str">
        <f t="shared" si="118"/>
        <v/>
      </c>
      <c r="X453" s="22" t="str">
        <f t="shared" si="119"/>
        <v/>
      </c>
      <c r="Y453" s="22"/>
      <c r="Z453" s="22"/>
      <c r="AA453" s="22"/>
      <c r="AB453" s="22" t="str" cm="1">
        <f t="array" ref="AB453">IF(IF(AND($P452="",$P453=1),($N$37*-1),0)+IF(AND($Q452="",$Q453=1),($N$38*-1),0)+IF(IF(($K453-$N$48)&lt;1,0,IF(IF(INDEX($AD$176:$AD$905,($K453-$N$48))="",0,INDEX($AD$176:$AD$905,($K453-$N$48)))&gt;0,IF(INDEX($AD$176:$AD$905,($K453-$N$48))="",0,INDEX($AD$176:$AD$905,($K453-$N$48))),0))="",0,IF(($K453-$N$48)&lt;1,0,IF(IF(INDEX($AD$176:$AD$905,($K453-$N$48))="",0,INDEX($AD$176:$AD$905,($K453-$N$48)))&gt;0,IF(INDEX($AD$176:$AD$905,($K453-$N$48))="",0,INDEX($AD$176:$AD$905,($K453-$N$48))),0)))=0,"",IF(AND($P452="",$P453=1),($N$37*-1),0)+IF(AND($Q452="",$Q453=1),($N$38*-1),0)+IF(IF(($K453-$N$48)&lt;1,0,IF(IF(INDEX($AD$176:$AD$905,($K453-$N$48))="",0,INDEX($AD$176:$AD$905,($K453-$N$48)))&gt;0,IF(INDEX($AD$176:$AD$905,($K453-$N$48))="",0,INDEX($AD$176:$AD$905,($K453-$N$48))),0))="",0,IF(($K453-$N$48)&lt;1,0,IF(IF(INDEX($AD$176:$AD$905,($K453-$N$48))="",0,INDEX($AD$176:$AD$905,($K453-$N$48)))&gt;0,IF(INDEX($AD$176:$AD$905,($K453-$N$48))="",0,INDEX($AD$176:$AD$905,($K453-$N$48))),0))))</f>
        <v/>
      </c>
      <c r="AC453" s="22" t="str">
        <f t="shared" si="120"/>
        <v/>
      </c>
      <c r="AD453" s="22" t="str">
        <f t="shared" si="132"/>
        <v/>
      </c>
      <c r="AE453" s="22" t="str" cm="1">
        <f t="array" ref="AE453">IF(($K453-$N$48)&lt;1,"",IF((IF(INDEX($AC$176:$AC$905,($K453-$N$48))="",0,INDEX($AC$176:$AC$905,($K453-$N$48))))=0,"",(IF(INDEX($AC$176:$AC$905,($K453-$N$48))="",0,INDEX($AC$176:$AC$905,($K453-$N$48))))))</f>
        <v/>
      </c>
      <c r="AF453" s="31" t="str">
        <f t="shared" si="121"/>
        <v/>
      </c>
      <c r="AG453" s="31" t="str">
        <f t="shared" si="122"/>
        <v/>
      </c>
      <c r="AH453" s="31" t="str">
        <f t="shared" si="123"/>
        <v/>
      </c>
      <c r="AI453" s="31" t="str">
        <f t="shared" si="124"/>
        <v/>
      </c>
      <c r="AJ453" s="303" t="str">
        <f t="shared" si="125"/>
        <v/>
      </c>
      <c r="AK453" s="139" t="str">
        <f t="shared" si="126"/>
        <v/>
      </c>
      <c r="AM453" s="319"/>
      <c r="AN453" s="40"/>
      <c r="AO453" s="1"/>
    </row>
    <row r="454" spans="7:41" x14ac:dyDescent="0.25">
      <c r="G454" s="235" t="str">
        <f t="shared" si="112"/>
        <v/>
      </c>
      <c r="H454" s="4" t="str">
        <f t="shared" si="113"/>
        <v/>
      </c>
      <c r="I454" s="11" t="str">
        <f t="shared" si="114"/>
        <v>09.00</v>
      </c>
      <c r="K454" s="30">
        <v>279</v>
      </c>
      <c r="L454" s="29">
        <f t="shared" si="127"/>
        <v>11371.908376190917</v>
      </c>
      <c r="M454" s="28" t="str">
        <f t="shared" si="115"/>
        <v/>
      </c>
      <c r="N454" s="27" t="str">
        <f t="shared" si="128"/>
        <v/>
      </c>
      <c r="O454" s="26" t="str">
        <f>IF(AND($Q453=$O$38,IFERROR(LARGE($V$176:$V453,1)&lt;$N$42,TRUE)),1,IF(AND(ISNUMBER($O453),$O453&lt;$N$32),$O453+1,""))</f>
        <v/>
      </c>
      <c r="P454" s="26" t="str">
        <f t="shared" si="129"/>
        <v/>
      </c>
      <c r="Q454" s="26" t="str">
        <f t="shared" si="116"/>
        <v/>
      </c>
      <c r="R454" s="24" t="str">
        <f t="shared" si="130"/>
        <v/>
      </c>
      <c r="S454" s="180">
        <f t="shared" si="131"/>
        <v>9</v>
      </c>
      <c r="T454" s="151"/>
      <c r="U454" s="25" t="str">
        <f t="shared" si="117"/>
        <v/>
      </c>
      <c r="V454" s="24" t="str">
        <f>IF(AND(ISNUMBER(R453),ISNUMBER(R454)),V453,IF(AND(R453="",ISNUMBER(R454)),IFERROR(LARGE($V$176:$V453,1)+1,0),""))</f>
        <v/>
      </c>
      <c r="W454" s="23" t="str">
        <f t="shared" si="118"/>
        <v/>
      </c>
      <c r="X454" s="22" t="str">
        <f t="shared" si="119"/>
        <v/>
      </c>
      <c r="Y454" s="22"/>
      <c r="Z454" s="22"/>
      <c r="AA454" s="22"/>
      <c r="AB454" s="22" t="str" cm="1">
        <f t="array" ref="AB454">IF(IF(AND($P453="",$P454=1),($N$37*-1),0)+IF(AND($Q453="",$Q454=1),($N$38*-1),0)+IF(IF(($K454-$N$48)&lt;1,0,IF(IF(INDEX($AD$176:$AD$905,($K454-$N$48))="",0,INDEX($AD$176:$AD$905,($K454-$N$48)))&gt;0,IF(INDEX($AD$176:$AD$905,($K454-$N$48))="",0,INDEX($AD$176:$AD$905,($K454-$N$48))),0))="",0,IF(($K454-$N$48)&lt;1,0,IF(IF(INDEX($AD$176:$AD$905,($K454-$N$48))="",0,INDEX($AD$176:$AD$905,($K454-$N$48)))&gt;0,IF(INDEX($AD$176:$AD$905,($K454-$N$48))="",0,INDEX($AD$176:$AD$905,($K454-$N$48))),0)))=0,"",IF(AND($P453="",$P454=1),($N$37*-1),0)+IF(AND($Q453="",$Q454=1),($N$38*-1),0)+IF(IF(($K454-$N$48)&lt;1,0,IF(IF(INDEX($AD$176:$AD$905,($K454-$N$48))="",0,INDEX($AD$176:$AD$905,($K454-$N$48)))&gt;0,IF(INDEX($AD$176:$AD$905,($K454-$N$48))="",0,INDEX($AD$176:$AD$905,($K454-$N$48))),0))="",0,IF(($K454-$N$48)&lt;1,0,IF(IF(INDEX($AD$176:$AD$905,($K454-$N$48))="",0,INDEX($AD$176:$AD$905,($K454-$N$48)))&gt;0,IF(INDEX($AD$176:$AD$905,($K454-$N$48))="",0,INDEX($AD$176:$AD$905,($K454-$N$48))),0))))</f>
        <v/>
      </c>
      <c r="AC454" s="22" t="str">
        <f t="shared" si="120"/>
        <v/>
      </c>
      <c r="AD454" s="22" t="str">
        <f t="shared" si="132"/>
        <v/>
      </c>
      <c r="AE454" s="22" t="str" cm="1">
        <f t="array" ref="AE454">IF(($K454-$N$48)&lt;1,"",IF((IF(INDEX($AC$176:$AC$905,($K454-$N$48))="",0,INDEX($AC$176:$AC$905,($K454-$N$48))))=0,"",(IF(INDEX($AC$176:$AC$905,($K454-$N$48))="",0,INDEX($AC$176:$AC$905,($K454-$N$48))))))</f>
        <v/>
      </c>
      <c r="AF454" s="31" t="str">
        <f t="shared" si="121"/>
        <v/>
      </c>
      <c r="AG454" s="31" t="str">
        <f t="shared" si="122"/>
        <v/>
      </c>
      <c r="AH454" s="31" t="str">
        <f t="shared" si="123"/>
        <v/>
      </c>
      <c r="AI454" s="31" t="str">
        <f t="shared" si="124"/>
        <v/>
      </c>
      <c r="AJ454" s="303" t="str">
        <f t="shared" si="125"/>
        <v/>
      </c>
      <c r="AK454" s="139" t="str">
        <f t="shared" si="126"/>
        <v/>
      </c>
      <c r="AM454" s="319"/>
      <c r="AN454" s="40"/>
      <c r="AO454" s="1"/>
    </row>
    <row r="455" spans="7:41" x14ac:dyDescent="0.25">
      <c r="G455" s="235" t="str">
        <f t="shared" si="112"/>
        <v/>
      </c>
      <c r="H455" s="4" t="str">
        <f t="shared" si="113"/>
        <v/>
      </c>
      <c r="I455" s="11" t="str">
        <f t="shared" si="114"/>
        <v>09.00</v>
      </c>
      <c r="K455" s="30">
        <v>280</v>
      </c>
      <c r="L455" s="29">
        <f t="shared" si="127"/>
        <v>11371.908376190917</v>
      </c>
      <c r="M455" s="28" t="str">
        <f t="shared" si="115"/>
        <v/>
      </c>
      <c r="N455" s="27" t="str">
        <f t="shared" si="128"/>
        <v/>
      </c>
      <c r="O455" s="26" t="str">
        <f>IF(AND($Q454=$O$38,IFERROR(LARGE($V$176:$V454,1)&lt;$N$42,TRUE)),1,IF(AND(ISNUMBER($O454),$O454&lt;$N$32),$O454+1,""))</f>
        <v/>
      </c>
      <c r="P455" s="26" t="str">
        <f t="shared" si="129"/>
        <v/>
      </c>
      <c r="Q455" s="26" t="str">
        <f t="shared" si="116"/>
        <v/>
      </c>
      <c r="R455" s="24" t="str">
        <f t="shared" si="130"/>
        <v/>
      </c>
      <c r="S455" s="180">
        <f t="shared" si="131"/>
        <v>9</v>
      </c>
      <c r="T455" s="151"/>
      <c r="U455" s="25" t="str">
        <f t="shared" si="117"/>
        <v/>
      </c>
      <c r="V455" s="24" t="str">
        <f>IF(AND(ISNUMBER(R454),ISNUMBER(R455)),V454,IF(AND(R454="",ISNUMBER(R455)),IFERROR(LARGE($V$176:$V454,1)+1,0),""))</f>
        <v/>
      </c>
      <c r="W455" s="23" t="str">
        <f t="shared" si="118"/>
        <v/>
      </c>
      <c r="X455" s="22" t="str">
        <f t="shared" si="119"/>
        <v/>
      </c>
      <c r="Y455" s="22"/>
      <c r="Z455" s="22"/>
      <c r="AA455" s="22"/>
      <c r="AB455" s="22" t="str" cm="1">
        <f t="array" ref="AB455">IF(IF(AND($P454="",$P455=1),($N$37*-1),0)+IF(AND($Q454="",$Q455=1),($N$38*-1),0)+IF(IF(($K455-$N$48)&lt;1,0,IF(IF(INDEX($AD$176:$AD$905,($K455-$N$48))="",0,INDEX($AD$176:$AD$905,($K455-$N$48)))&gt;0,IF(INDEX($AD$176:$AD$905,($K455-$N$48))="",0,INDEX($AD$176:$AD$905,($K455-$N$48))),0))="",0,IF(($K455-$N$48)&lt;1,0,IF(IF(INDEX($AD$176:$AD$905,($K455-$N$48))="",0,INDEX($AD$176:$AD$905,($K455-$N$48)))&gt;0,IF(INDEX($AD$176:$AD$905,($K455-$N$48))="",0,INDEX($AD$176:$AD$905,($K455-$N$48))),0)))=0,"",IF(AND($P454="",$P455=1),($N$37*-1),0)+IF(AND($Q454="",$Q455=1),($N$38*-1),0)+IF(IF(($K455-$N$48)&lt;1,0,IF(IF(INDEX($AD$176:$AD$905,($K455-$N$48))="",0,INDEX($AD$176:$AD$905,($K455-$N$48)))&gt;0,IF(INDEX($AD$176:$AD$905,($K455-$N$48))="",0,INDEX($AD$176:$AD$905,($K455-$N$48))),0))="",0,IF(($K455-$N$48)&lt;1,0,IF(IF(INDEX($AD$176:$AD$905,($K455-$N$48))="",0,INDEX($AD$176:$AD$905,($K455-$N$48)))&gt;0,IF(INDEX($AD$176:$AD$905,($K455-$N$48))="",0,INDEX($AD$176:$AD$905,($K455-$N$48))),0))))</f>
        <v/>
      </c>
      <c r="AC455" s="22" t="str">
        <f t="shared" si="120"/>
        <v/>
      </c>
      <c r="AD455" s="22" t="str">
        <f t="shared" si="132"/>
        <v/>
      </c>
      <c r="AE455" s="22" t="str" cm="1">
        <f t="array" ref="AE455">IF(($K455-$N$48)&lt;1,"",IF((IF(INDEX($AC$176:$AC$905,($K455-$N$48))="",0,INDEX($AC$176:$AC$905,($K455-$N$48))))=0,"",(IF(INDEX($AC$176:$AC$905,($K455-$N$48))="",0,INDEX($AC$176:$AC$905,($K455-$N$48))))))</f>
        <v/>
      </c>
      <c r="AF455" s="31" t="str">
        <f t="shared" si="121"/>
        <v/>
      </c>
      <c r="AG455" s="31" t="str">
        <f t="shared" si="122"/>
        <v/>
      </c>
      <c r="AH455" s="31" t="str">
        <f t="shared" si="123"/>
        <v/>
      </c>
      <c r="AI455" s="31" t="str">
        <f t="shared" si="124"/>
        <v/>
      </c>
      <c r="AJ455" s="303" t="str">
        <f t="shared" si="125"/>
        <v/>
      </c>
      <c r="AK455" s="139" t="str">
        <f t="shared" si="126"/>
        <v/>
      </c>
      <c r="AM455" s="319"/>
      <c r="AN455" s="40"/>
      <c r="AO455" s="1"/>
    </row>
    <row r="456" spans="7:41" x14ac:dyDescent="0.25">
      <c r="G456" s="235" t="str">
        <f t="shared" si="112"/>
        <v/>
      </c>
      <c r="H456" s="4" t="str">
        <f t="shared" si="113"/>
        <v/>
      </c>
      <c r="I456" s="11" t="str">
        <f t="shared" si="114"/>
        <v>09.00</v>
      </c>
      <c r="K456" s="30">
        <v>281</v>
      </c>
      <c r="L456" s="29">
        <f t="shared" si="127"/>
        <v>11371.908376190917</v>
      </c>
      <c r="M456" s="28" t="str">
        <f t="shared" si="115"/>
        <v/>
      </c>
      <c r="N456" s="27" t="str">
        <f t="shared" si="128"/>
        <v/>
      </c>
      <c r="O456" s="26" t="str">
        <f>IF(AND($Q455=$O$38,IFERROR(LARGE($V$176:$V455,1)&lt;$N$42,TRUE)),1,IF(AND(ISNUMBER($O455),$O455&lt;$N$32),$O455+1,""))</f>
        <v/>
      </c>
      <c r="P456" s="26" t="str">
        <f t="shared" si="129"/>
        <v/>
      </c>
      <c r="Q456" s="26" t="str">
        <f t="shared" si="116"/>
        <v/>
      </c>
      <c r="R456" s="24" t="str">
        <f t="shared" si="130"/>
        <v/>
      </c>
      <c r="S456" s="180">
        <f t="shared" si="131"/>
        <v>9</v>
      </c>
      <c r="T456" s="151"/>
      <c r="U456" s="25" t="str">
        <f t="shared" si="117"/>
        <v/>
      </c>
      <c r="V456" s="24" t="str">
        <f>IF(AND(ISNUMBER(R455),ISNUMBER(R456)),V455,IF(AND(R455="",ISNUMBER(R456)),IFERROR(LARGE($V$176:$V455,1)+1,0),""))</f>
        <v/>
      </c>
      <c r="W456" s="23" t="str">
        <f t="shared" si="118"/>
        <v/>
      </c>
      <c r="X456" s="22" t="str">
        <f t="shared" si="119"/>
        <v/>
      </c>
      <c r="Y456" s="22"/>
      <c r="Z456" s="22"/>
      <c r="AA456" s="22"/>
      <c r="AB456" s="22" t="str" cm="1">
        <f t="array" ref="AB456">IF(IF(AND($P455="",$P456=1),($N$37*-1),0)+IF(AND($Q455="",$Q456=1),($N$38*-1),0)+IF(IF(($K456-$N$48)&lt;1,0,IF(IF(INDEX($AD$176:$AD$905,($K456-$N$48))="",0,INDEX($AD$176:$AD$905,($K456-$N$48)))&gt;0,IF(INDEX($AD$176:$AD$905,($K456-$N$48))="",0,INDEX($AD$176:$AD$905,($K456-$N$48))),0))="",0,IF(($K456-$N$48)&lt;1,0,IF(IF(INDEX($AD$176:$AD$905,($K456-$N$48))="",0,INDEX($AD$176:$AD$905,($K456-$N$48)))&gt;0,IF(INDEX($AD$176:$AD$905,($K456-$N$48))="",0,INDEX($AD$176:$AD$905,($K456-$N$48))),0)))=0,"",IF(AND($P455="",$P456=1),($N$37*-1),0)+IF(AND($Q455="",$Q456=1),($N$38*-1),0)+IF(IF(($K456-$N$48)&lt;1,0,IF(IF(INDEX($AD$176:$AD$905,($K456-$N$48))="",0,INDEX($AD$176:$AD$905,($K456-$N$48)))&gt;0,IF(INDEX($AD$176:$AD$905,($K456-$N$48))="",0,INDEX($AD$176:$AD$905,($K456-$N$48))),0))="",0,IF(($K456-$N$48)&lt;1,0,IF(IF(INDEX($AD$176:$AD$905,($K456-$N$48))="",0,INDEX($AD$176:$AD$905,($K456-$N$48)))&gt;0,IF(INDEX($AD$176:$AD$905,($K456-$N$48))="",0,INDEX($AD$176:$AD$905,($K456-$N$48))),0))))</f>
        <v/>
      </c>
      <c r="AC456" s="22" t="str">
        <f t="shared" si="120"/>
        <v/>
      </c>
      <c r="AD456" s="22" t="str">
        <f t="shared" si="132"/>
        <v/>
      </c>
      <c r="AE456" s="22" t="str" cm="1">
        <f t="array" ref="AE456">IF(($K456-$N$48)&lt;1,"",IF((IF(INDEX($AC$176:$AC$905,($K456-$N$48))="",0,INDEX($AC$176:$AC$905,($K456-$N$48))))=0,"",(IF(INDEX($AC$176:$AC$905,($K456-$N$48))="",0,INDEX($AC$176:$AC$905,($K456-$N$48))))))</f>
        <v/>
      </c>
      <c r="AF456" s="31" t="str">
        <f t="shared" si="121"/>
        <v/>
      </c>
      <c r="AG456" s="31" t="str">
        <f t="shared" si="122"/>
        <v/>
      </c>
      <c r="AH456" s="31" t="str">
        <f t="shared" si="123"/>
        <v/>
      </c>
      <c r="AI456" s="31" t="str">
        <f t="shared" si="124"/>
        <v/>
      </c>
      <c r="AJ456" s="303" t="str">
        <f t="shared" si="125"/>
        <v/>
      </c>
      <c r="AK456" s="139" t="str">
        <f t="shared" si="126"/>
        <v/>
      </c>
      <c r="AM456" s="319"/>
      <c r="AN456" s="40"/>
      <c r="AO456" s="1"/>
    </row>
    <row r="457" spans="7:41" x14ac:dyDescent="0.25">
      <c r="G457" s="235" t="str">
        <f t="shared" si="112"/>
        <v/>
      </c>
      <c r="H457" s="4" t="str">
        <f t="shared" si="113"/>
        <v/>
      </c>
      <c r="I457" s="11" t="str">
        <f t="shared" si="114"/>
        <v>09.00</v>
      </c>
      <c r="K457" s="30">
        <v>282</v>
      </c>
      <c r="L457" s="29">
        <f t="shared" si="127"/>
        <v>11371.908376190917</v>
      </c>
      <c r="M457" s="28" t="str">
        <f t="shared" si="115"/>
        <v/>
      </c>
      <c r="N457" s="27" t="str">
        <f t="shared" si="128"/>
        <v/>
      </c>
      <c r="O457" s="26" t="str">
        <f>IF(AND($Q456=$O$38,IFERROR(LARGE($V$176:$V456,1)&lt;$N$42,TRUE)),1,IF(AND(ISNUMBER($O456),$O456&lt;$N$32),$O456+1,""))</f>
        <v/>
      </c>
      <c r="P457" s="26" t="str">
        <f t="shared" si="129"/>
        <v/>
      </c>
      <c r="Q457" s="26" t="str">
        <f t="shared" si="116"/>
        <v/>
      </c>
      <c r="R457" s="24" t="str">
        <f t="shared" si="130"/>
        <v/>
      </c>
      <c r="S457" s="180">
        <f t="shared" si="131"/>
        <v>9</v>
      </c>
      <c r="T457" s="151"/>
      <c r="U457" s="25" t="str">
        <f t="shared" si="117"/>
        <v/>
      </c>
      <c r="V457" s="24" t="str">
        <f>IF(AND(ISNUMBER(R456),ISNUMBER(R457)),V456,IF(AND(R456="",ISNUMBER(R457)),IFERROR(LARGE($V$176:$V456,1)+1,0),""))</f>
        <v/>
      </c>
      <c r="W457" s="23" t="str">
        <f t="shared" si="118"/>
        <v/>
      </c>
      <c r="X457" s="22" t="str">
        <f t="shared" si="119"/>
        <v/>
      </c>
      <c r="Y457" s="22"/>
      <c r="Z457" s="22"/>
      <c r="AA457" s="22"/>
      <c r="AB457" s="22" t="str" cm="1">
        <f t="array" ref="AB457">IF(IF(AND($P456="",$P457=1),($N$37*-1),0)+IF(AND($Q456="",$Q457=1),($N$38*-1),0)+IF(IF(($K457-$N$48)&lt;1,0,IF(IF(INDEX($AD$176:$AD$905,($K457-$N$48))="",0,INDEX($AD$176:$AD$905,($K457-$N$48)))&gt;0,IF(INDEX($AD$176:$AD$905,($K457-$N$48))="",0,INDEX($AD$176:$AD$905,($K457-$N$48))),0))="",0,IF(($K457-$N$48)&lt;1,0,IF(IF(INDEX($AD$176:$AD$905,($K457-$N$48))="",0,INDEX($AD$176:$AD$905,($K457-$N$48)))&gt;0,IF(INDEX($AD$176:$AD$905,($K457-$N$48))="",0,INDEX($AD$176:$AD$905,($K457-$N$48))),0)))=0,"",IF(AND($P456="",$P457=1),($N$37*-1),0)+IF(AND($Q456="",$Q457=1),($N$38*-1),0)+IF(IF(($K457-$N$48)&lt;1,0,IF(IF(INDEX($AD$176:$AD$905,($K457-$N$48))="",0,INDEX($AD$176:$AD$905,($K457-$N$48)))&gt;0,IF(INDEX($AD$176:$AD$905,($K457-$N$48))="",0,INDEX($AD$176:$AD$905,($K457-$N$48))),0))="",0,IF(($K457-$N$48)&lt;1,0,IF(IF(INDEX($AD$176:$AD$905,($K457-$N$48))="",0,INDEX($AD$176:$AD$905,($K457-$N$48)))&gt;0,IF(INDEX($AD$176:$AD$905,($K457-$N$48))="",0,INDEX($AD$176:$AD$905,($K457-$N$48))),0))))</f>
        <v/>
      </c>
      <c r="AC457" s="22" t="str">
        <f t="shared" si="120"/>
        <v/>
      </c>
      <c r="AD457" s="22" t="str">
        <f t="shared" si="132"/>
        <v/>
      </c>
      <c r="AE457" s="22" t="str" cm="1">
        <f t="array" ref="AE457">IF(($K457-$N$48)&lt;1,"",IF((IF(INDEX($AC$176:$AC$905,($K457-$N$48))="",0,INDEX($AC$176:$AC$905,($K457-$N$48))))=0,"",(IF(INDEX($AC$176:$AC$905,($K457-$N$48))="",0,INDEX($AC$176:$AC$905,($K457-$N$48))))))</f>
        <v/>
      </c>
      <c r="AF457" s="31" t="str">
        <f t="shared" si="121"/>
        <v/>
      </c>
      <c r="AG457" s="31" t="str">
        <f t="shared" si="122"/>
        <v/>
      </c>
      <c r="AH457" s="31" t="str">
        <f t="shared" si="123"/>
        <v/>
      </c>
      <c r="AI457" s="31" t="str">
        <f t="shared" si="124"/>
        <v/>
      </c>
      <c r="AJ457" s="303" t="str">
        <f t="shared" si="125"/>
        <v/>
      </c>
      <c r="AK457" s="139" t="str">
        <f t="shared" si="126"/>
        <v/>
      </c>
      <c r="AM457" s="319"/>
      <c r="AN457" s="40"/>
      <c r="AO457" s="1"/>
    </row>
    <row r="458" spans="7:41" x14ac:dyDescent="0.25">
      <c r="G458" s="235" t="str">
        <f t="shared" si="112"/>
        <v/>
      </c>
      <c r="H458" s="4" t="str">
        <f t="shared" si="113"/>
        <v/>
      </c>
      <c r="I458" s="11" t="str">
        <f t="shared" si="114"/>
        <v>09.00</v>
      </c>
      <c r="K458" s="30">
        <v>283</v>
      </c>
      <c r="L458" s="29">
        <f t="shared" si="127"/>
        <v>11371.908376190917</v>
      </c>
      <c r="M458" s="28" t="str">
        <f t="shared" si="115"/>
        <v/>
      </c>
      <c r="N458" s="27" t="str">
        <f t="shared" si="128"/>
        <v/>
      </c>
      <c r="O458" s="26" t="str">
        <f>IF(AND($Q457=$O$38,IFERROR(LARGE($V$176:$V457,1)&lt;$N$42,TRUE)),1,IF(AND(ISNUMBER($O457),$O457&lt;$N$32),$O457+1,""))</f>
        <v/>
      </c>
      <c r="P458" s="26" t="str">
        <f t="shared" si="129"/>
        <v/>
      </c>
      <c r="Q458" s="26" t="str">
        <f t="shared" si="116"/>
        <v/>
      </c>
      <c r="R458" s="24" t="str">
        <f t="shared" si="130"/>
        <v/>
      </c>
      <c r="S458" s="180">
        <f t="shared" si="131"/>
        <v>9</v>
      </c>
      <c r="T458" s="151"/>
      <c r="U458" s="25" t="str">
        <f t="shared" si="117"/>
        <v/>
      </c>
      <c r="V458" s="24" t="str">
        <f>IF(AND(ISNUMBER(R457),ISNUMBER(R458)),V457,IF(AND(R457="",ISNUMBER(R458)),IFERROR(LARGE($V$176:$V457,1)+1,0),""))</f>
        <v/>
      </c>
      <c r="W458" s="23" t="str">
        <f t="shared" si="118"/>
        <v/>
      </c>
      <c r="X458" s="22" t="str">
        <f t="shared" si="119"/>
        <v/>
      </c>
      <c r="Y458" s="22"/>
      <c r="Z458" s="22"/>
      <c r="AA458" s="22"/>
      <c r="AB458" s="22" t="str" cm="1">
        <f t="array" ref="AB458">IF(IF(AND($P457="",$P458=1),($N$37*-1),0)+IF(AND($Q457="",$Q458=1),($N$38*-1),0)+IF(IF(($K458-$N$48)&lt;1,0,IF(IF(INDEX($AD$176:$AD$905,($K458-$N$48))="",0,INDEX($AD$176:$AD$905,($K458-$N$48)))&gt;0,IF(INDEX($AD$176:$AD$905,($K458-$N$48))="",0,INDEX($AD$176:$AD$905,($K458-$N$48))),0))="",0,IF(($K458-$N$48)&lt;1,0,IF(IF(INDEX($AD$176:$AD$905,($K458-$N$48))="",0,INDEX($AD$176:$AD$905,($K458-$N$48)))&gt;0,IF(INDEX($AD$176:$AD$905,($K458-$N$48))="",0,INDEX($AD$176:$AD$905,($K458-$N$48))),0)))=0,"",IF(AND($P457="",$P458=1),($N$37*-1),0)+IF(AND($Q457="",$Q458=1),($N$38*-1),0)+IF(IF(($K458-$N$48)&lt;1,0,IF(IF(INDEX($AD$176:$AD$905,($K458-$N$48))="",0,INDEX($AD$176:$AD$905,($K458-$N$48)))&gt;0,IF(INDEX($AD$176:$AD$905,($K458-$N$48))="",0,INDEX($AD$176:$AD$905,($K458-$N$48))),0))="",0,IF(($K458-$N$48)&lt;1,0,IF(IF(INDEX($AD$176:$AD$905,($K458-$N$48))="",0,INDEX($AD$176:$AD$905,($K458-$N$48)))&gt;0,IF(INDEX($AD$176:$AD$905,($K458-$N$48))="",0,INDEX($AD$176:$AD$905,($K458-$N$48))),0))))</f>
        <v/>
      </c>
      <c r="AC458" s="22" t="str">
        <f t="shared" si="120"/>
        <v/>
      </c>
      <c r="AD458" s="22" t="str">
        <f t="shared" si="132"/>
        <v/>
      </c>
      <c r="AE458" s="22" t="str" cm="1">
        <f t="array" ref="AE458">IF(($K458-$N$48)&lt;1,"",IF((IF(INDEX($AC$176:$AC$905,($K458-$N$48))="",0,INDEX($AC$176:$AC$905,($K458-$N$48))))=0,"",(IF(INDEX($AC$176:$AC$905,($K458-$N$48))="",0,INDEX($AC$176:$AC$905,($K458-$N$48))))))</f>
        <v/>
      </c>
      <c r="AF458" s="31" t="str">
        <f t="shared" si="121"/>
        <v/>
      </c>
      <c r="AG458" s="31" t="str">
        <f t="shared" si="122"/>
        <v/>
      </c>
      <c r="AH458" s="31" t="str">
        <f t="shared" si="123"/>
        <v/>
      </c>
      <c r="AI458" s="31" t="str">
        <f t="shared" si="124"/>
        <v/>
      </c>
      <c r="AJ458" s="303" t="str">
        <f t="shared" si="125"/>
        <v/>
      </c>
      <c r="AK458" s="139" t="str">
        <f t="shared" si="126"/>
        <v/>
      </c>
      <c r="AM458" s="319"/>
      <c r="AN458" s="40"/>
      <c r="AO458" s="1"/>
    </row>
    <row r="459" spans="7:41" x14ac:dyDescent="0.25">
      <c r="G459" s="235" t="str">
        <f t="shared" si="112"/>
        <v/>
      </c>
      <c r="H459" s="4" t="str">
        <f t="shared" si="113"/>
        <v/>
      </c>
      <c r="I459" s="11" t="str">
        <f t="shared" si="114"/>
        <v>09.00</v>
      </c>
      <c r="K459" s="30">
        <v>284</v>
      </c>
      <c r="L459" s="29">
        <f t="shared" si="127"/>
        <v>11371.908376190917</v>
      </c>
      <c r="M459" s="28" t="str">
        <f t="shared" si="115"/>
        <v/>
      </c>
      <c r="N459" s="27" t="str">
        <f t="shared" si="128"/>
        <v/>
      </c>
      <c r="O459" s="26" t="str">
        <f>IF(AND($Q458=$O$38,IFERROR(LARGE($V$176:$V458,1)&lt;$N$42,TRUE)),1,IF(AND(ISNUMBER($O458),$O458&lt;$N$32),$O458+1,""))</f>
        <v/>
      </c>
      <c r="P459" s="26" t="str">
        <f t="shared" si="129"/>
        <v/>
      </c>
      <c r="Q459" s="26" t="str">
        <f t="shared" si="116"/>
        <v/>
      </c>
      <c r="R459" s="24" t="str">
        <f t="shared" si="130"/>
        <v/>
      </c>
      <c r="S459" s="180">
        <f t="shared" si="131"/>
        <v>9</v>
      </c>
      <c r="T459" s="151"/>
      <c r="U459" s="25" t="str">
        <f t="shared" si="117"/>
        <v/>
      </c>
      <c r="V459" s="24" t="str">
        <f>IF(AND(ISNUMBER(R458),ISNUMBER(R459)),V458,IF(AND(R458="",ISNUMBER(R459)),IFERROR(LARGE($V$176:$V458,1)+1,0),""))</f>
        <v/>
      </c>
      <c r="W459" s="23" t="str">
        <f t="shared" si="118"/>
        <v/>
      </c>
      <c r="X459" s="22" t="str">
        <f t="shared" si="119"/>
        <v/>
      </c>
      <c r="Y459" s="22"/>
      <c r="Z459" s="22"/>
      <c r="AA459" s="22"/>
      <c r="AB459" s="22" t="str" cm="1">
        <f t="array" ref="AB459">IF(IF(AND($P458="",$P459=1),($N$37*-1),0)+IF(AND($Q458="",$Q459=1),($N$38*-1),0)+IF(IF(($K459-$N$48)&lt;1,0,IF(IF(INDEX($AD$176:$AD$905,($K459-$N$48))="",0,INDEX($AD$176:$AD$905,($K459-$N$48)))&gt;0,IF(INDEX($AD$176:$AD$905,($K459-$N$48))="",0,INDEX($AD$176:$AD$905,($K459-$N$48))),0))="",0,IF(($K459-$N$48)&lt;1,0,IF(IF(INDEX($AD$176:$AD$905,($K459-$N$48))="",0,INDEX($AD$176:$AD$905,($K459-$N$48)))&gt;0,IF(INDEX($AD$176:$AD$905,($K459-$N$48))="",0,INDEX($AD$176:$AD$905,($K459-$N$48))),0)))=0,"",IF(AND($P458="",$P459=1),($N$37*-1),0)+IF(AND($Q458="",$Q459=1),($N$38*-1),0)+IF(IF(($K459-$N$48)&lt;1,0,IF(IF(INDEX($AD$176:$AD$905,($K459-$N$48))="",0,INDEX($AD$176:$AD$905,($K459-$N$48)))&gt;0,IF(INDEX($AD$176:$AD$905,($K459-$N$48))="",0,INDEX($AD$176:$AD$905,($K459-$N$48))),0))="",0,IF(($K459-$N$48)&lt;1,0,IF(IF(INDEX($AD$176:$AD$905,($K459-$N$48))="",0,INDEX($AD$176:$AD$905,($K459-$N$48)))&gt;0,IF(INDEX($AD$176:$AD$905,($K459-$N$48))="",0,INDEX($AD$176:$AD$905,($K459-$N$48))),0))))</f>
        <v/>
      </c>
      <c r="AC459" s="22" t="str">
        <f t="shared" si="120"/>
        <v/>
      </c>
      <c r="AD459" s="22" t="str">
        <f t="shared" si="132"/>
        <v/>
      </c>
      <c r="AE459" s="22" t="str" cm="1">
        <f t="array" ref="AE459">IF(($K459-$N$48)&lt;1,"",IF((IF(INDEX($AC$176:$AC$905,($K459-$N$48))="",0,INDEX($AC$176:$AC$905,($K459-$N$48))))=0,"",(IF(INDEX($AC$176:$AC$905,($K459-$N$48))="",0,INDEX($AC$176:$AC$905,($K459-$N$48))))))</f>
        <v/>
      </c>
      <c r="AF459" s="31" t="str">
        <f t="shared" si="121"/>
        <v/>
      </c>
      <c r="AG459" s="31" t="str">
        <f t="shared" si="122"/>
        <v/>
      </c>
      <c r="AH459" s="31" t="str">
        <f t="shared" si="123"/>
        <v/>
      </c>
      <c r="AI459" s="31" t="str">
        <f t="shared" si="124"/>
        <v/>
      </c>
      <c r="AJ459" s="303" t="str">
        <f t="shared" si="125"/>
        <v/>
      </c>
      <c r="AK459" s="139" t="str">
        <f t="shared" si="126"/>
        <v/>
      </c>
      <c r="AM459" s="319"/>
      <c r="AN459" s="40"/>
      <c r="AO459" s="1"/>
    </row>
    <row r="460" spans="7:41" x14ac:dyDescent="0.25">
      <c r="G460" s="235" t="str">
        <f t="shared" si="112"/>
        <v/>
      </c>
      <c r="H460" s="4" t="str">
        <f t="shared" si="113"/>
        <v/>
      </c>
      <c r="I460" s="11" t="str">
        <f t="shared" si="114"/>
        <v>09.00</v>
      </c>
      <c r="K460" s="30">
        <v>285</v>
      </c>
      <c r="L460" s="29">
        <f t="shared" si="127"/>
        <v>11371.908376190917</v>
      </c>
      <c r="M460" s="28" t="str">
        <f t="shared" si="115"/>
        <v/>
      </c>
      <c r="N460" s="27" t="str">
        <f t="shared" si="128"/>
        <v/>
      </c>
      <c r="O460" s="26" t="str">
        <f>IF(AND($Q459=$O$38,IFERROR(LARGE($V$176:$V459,1)&lt;$N$42,TRUE)),1,IF(AND(ISNUMBER($O459),$O459&lt;$N$32),$O459+1,""))</f>
        <v/>
      </c>
      <c r="P460" s="26" t="str">
        <f t="shared" si="129"/>
        <v/>
      </c>
      <c r="Q460" s="26" t="str">
        <f t="shared" si="116"/>
        <v/>
      </c>
      <c r="R460" s="24" t="str">
        <f t="shared" si="130"/>
        <v/>
      </c>
      <c r="S460" s="180">
        <f t="shared" si="131"/>
        <v>9</v>
      </c>
      <c r="T460" s="151"/>
      <c r="U460" s="25" t="str">
        <f t="shared" si="117"/>
        <v/>
      </c>
      <c r="V460" s="24" t="str">
        <f>IF(AND(ISNUMBER(R459),ISNUMBER(R460)),V459,IF(AND(R459="",ISNUMBER(R460)),IFERROR(LARGE($V$176:$V459,1)+1,0),""))</f>
        <v/>
      </c>
      <c r="W460" s="23" t="str">
        <f t="shared" si="118"/>
        <v/>
      </c>
      <c r="X460" s="22" t="str">
        <f t="shared" si="119"/>
        <v/>
      </c>
      <c r="Y460" s="22"/>
      <c r="Z460" s="22"/>
      <c r="AA460" s="22"/>
      <c r="AB460" s="22" t="str" cm="1">
        <f t="array" ref="AB460">IF(IF(AND($P459="",$P460=1),($N$37*-1),0)+IF(AND($Q459="",$Q460=1),($N$38*-1),0)+IF(IF(($K460-$N$48)&lt;1,0,IF(IF(INDEX($AD$176:$AD$905,($K460-$N$48))="",0,INDEX($AD$176:$AD$905,($K460-$N$48)))&gt;0,IF(INDEX($AD$176:$AD$905,($K460-$N$48))="",0,INDEX($AD$176:$AD$905,($K460-$N$48))),0))="",0,IF(($K460-$N$48)&lt;1,0,IF(IF(INDEX($AD$176:$AD$905,($K460-$N$48))="",0,INDEX($AD$176:$AD$905,($K460-$N$48)))&gt;0,IF(INDEX($AD$176:$AD$905,($K460-$N$48))="",0,INDEX($AD$176:$AD$905,($K460-$N$48))),0)))=0,"",IF(AND($P459="",$P460=1),($N$37*-1),0)+IF(AND($Q459="",$Q460=1),($N$38*-1),0)+IF(IF(($K460-$N$48)&lt;1,0,IF(IF(INDEX($AD$176:$AD$905,($K460-$N$48))="",0,INDEX($AD$176:$AD$905,($K460-$N$48)))&gt;0,IF(INDEX($AD$176:$AD$905,($K460-$N$48))="",0,INDEX($AD$176:$AD$905,($K460-$N$48))),0))="",0,IF(($K460-$N$48)&lt;1,0,IF(IF(INDEX($AD$176:$AD$905,($K460-$N$48))="",0,INDEX($AD$176:$AD$905,($K460-$N$48)))&gt;0,IF(INDEX($AD$176:$AD$905,($K460-$N$48))="",0,INDEX($AD$176:$AD$905,($K460-$N$48))),0))))</f>
        <v/>
      </c>
      <c r="AC460" s="22" t="str">
        <f t="shared" si="120"/>
        <v/>
      </c>
      <c r="AD460" s="22" t="str">
        <f t="shared" si="132"/>
        <v/>
      </c>
      <c r="AE460" s="22" t="str" cm="1">
        <f t="array" ref="AE460">IF(($K460-$N$48)&lt;1,"",IF((IF(INDEX($AC$176:$AC$905,($K460-$N$48))="",0,INDEX($AC$176:$AC$905,($K460-$N$48))))=0,"",(IF(INDEX($AC$176:$AC$905,($K460-$N$48))="",0,INDEX($AC$176:$AC$905,($K460-$N$48))))))</f>
        <v/>
      </c>
      <c r="AF460" s="31" t="str">
        <f t="shared" si="121"/>
        <v/>
      </c>
      <c r="AG460" s="31" t="str">
        <f t="shared" si="122"/>
        <v/>
      </c>
      <c r="AH460" s="31" t="str">
        <f t="shared" si="123"/>
        <v/>
      </c>
      <c r="AI460" s="31" t="str">
        <f t="shared" si="124"/>
        <v/>
      </c>
      <c r="AJ460" s="303" t="str">
        <f t="shared" si="125"/>
        <v/>
      </c>
      <c r="AK460" s="139" t="str">
        <f t="shared" si="126"/>
        <v/>
      </c>
      <c r="AM460" s="319"/>
      <c r="AN460" s="40"/>
      <c r="AO460" s="1"/>
    </row>
    <row r="461" spans="7:41" x14ac:dyDescent="0.25">
      <c r="G461" s="235" t="str">
        <f t="shared" si="112"/>
        <v/>
      </c>
      <c r="H461" s="4" t="str">
        <f t="shared" si="113"/>
        <v/>
      </c>
      <c r="I461" s="11" t="str">
        <f t="shared" si="114"/>
        <v>09.00</v>
      </c>
      <c r="K461" s="30">
        <v>286</v>
      </c>
      <c r="L461" s="29">
        <f t="shared" si="127"/>
        <v>11371.908376190917</v>
      </c>
      <c r="M461" s="28" t="str">
        <f t="shared" si="115"/>
        <v/>
      </c>
      <c r="N461" s="27" t="str">
        <f t="shared" si="128"/>
        <v/>
      </c>
      <c r="O461" s="26" t="str">
        <f>IF(AND($Q460=$O$38,IFERROR(LARGE($V$176:$V460,1)&lt;$N$42,TRUE)),1,IF(AND(ISNUMBER($O460),$O460&lt;$N$32),$O460+1,""))</f>
        <v/>
      </c>
      <c r="P461" s="26" t="str">
        <f t="shared" si="129"/>
        <v/>
      </c>
      <c r="Q461" s="26" t="str">
        <f t="shared" si="116"/>
        <v/>
      </c>
      <c r="R461" s="24" t="str">
        <f t="shared" si="130"/>
        <v/>
      </c>
      <c r="S461" s="180">
        <f t="shared" si="131"/>
        <v>9</v>
      </c>
      <c r="T461" s="151"/>
      <c r="U461" s="25" t="str">
        <f t="shared" si="117"/>
        <v/>
      </c>
      <c r="V461" s="24" t="str">
        <f>IF(AND(ISNUMBER(R460),ISNUMBER(R461)),V460,IF(AND(R460="",ISNUMBER(R461)),IFERROR(LARGE($V$176:$V460,1)+1,0),""))</f>
        <v/>
      </c>
      <c r="W461" s="23" t="str">
        <f t="shared" si="118"/>
        <v/>
      </c>
      <c r="X461" s="22" t="str">
        <f t="shared" si="119"/>
        <v/>
      </c>
      <c r="Y461" s="22"/>
      <c r="Z461" s="22"/>
      <c r="AA461" s="22"/>
      <c r="AB461" s="22" t="str" cm="1">
        <f t="array" ref="AB461">IF(IF(AND($P460="",$P461=1),($N$37*-1),0)+IF(AND($Q460="",$Q461=1),($N$38*-1),0)+IF(IF(($K461-$N$48)&lt;1,0,IF(IF(INDEX($AD$176:$AD$905,($K461-$N$48))="",0,INDEX($AD$176:$AD$905,($K461-$N$48)))&gt;0,IF(INDEX($AD$176:$AD$905,($K461-$N$48))="",0,INDEX($AD$176:$AD$905,($K461-$N$48))),0))="",0,IF(($K461-$N$48)&lt;1,0,IF(IF(INDEX($AD$176:$AD$905,($K461-$N$48))="",0,INDEX($AD$176:$AD$905,($K461-$N$48)))&gt;0,IF(INDEX($AD$176:$AD$905,($K461-$N$48))="",0,INDEX($AD$176:$AD$905,($K461-$N$48))),0)))=0,"",IF(AND($P460="",$P461=1),($N$37*-1),0)+IF(AND($Q460="",$Q461=1),($N$38*-1),0)+IF(IF(($K461-$N$48)&lt;1,0,IF(IF(INDEX($AD$176:$AD$905,($K461-$N$48))="",0,INDEX($AD$176:$AD$905,($K461-$N$48)))&gt;0,IF(INDEX($AD$176:$AD$905,($K461-$N$48))="",0,INDEX($AD$176:$AD$905,($K461-$N$48))),0))="",0,IF(($K461-$N$48)&lt;1,0,IF(IF(INDEX($AD$176:$AD$905,($K461-$N$48))="",0,INDEX($AD$176:$AD$905,($K461-$N$48)))&gt;0,IF(INDEX($AD$176:$AD$905,($K461-$N$48))="",0,INDEX($AD$176:$AD$905,($K461-$N$48))),0))))</f>
        <v/>
      </c>
      <c r="AC461" s="22" t="str">
        <f t="shared" si="120"/>
        <v/>
      </c>
      <c r="AD461" s="22" t="str">
        <f t="shared" si="132"/>
        <v/>
      </c>
      <c r="AE461" s="22" t="str" cm="1">
        <f t="array" ref="AE461">IF(($K461-$N$48)&lt;1,"",IF((IF(INDEX($AC$176:$AC$905,($K461-$N$48))="",0,INDEX($AC$176:$AC$905,($K461-$N$48))))=0,"",(IF(INDEX($AC$176:$AC$905,($K461-$N$48))="",0,INDEX($AC$176:$AC$905,($K461-$N$48))))))</f>
        <v/>
      </c>
      <c r="AF461" s="31" t="str">
        <f t="shared" si="121"/>
        <v/>
      </c>
      <c r="AG461" s="31" t="str">
        <f t="shared" si="122"/>
        <v/>
      </c>
      <c r="AH461" s="31" t="str">
        <f t="shared" si="123"/>
        <v/>
      </c>
      <c r="AI461" s="31" t="str">
        <f t="shared" si="124"/>
        <v/>
      </c>
      <c r="AJ461" s="303" t="str">
        <f t="shared" si="125"/>
        <v/>
      </c>
      <c r="AK461" s="139" t="str">
        <f t="shared" si="126"/>
        <v/>
      </c>
      <c r="AM461" s="319"/>
      <c r="AN461" s="40"/>
      <c r="AO461" s="1"/>
    </row>
    <row r="462" spans="7:41" x14ac:dyDescent="0.25">
      <c r="G462" s="235" t="str">
        <f t="shared" ref="G462:G525" si="133">IF(RIGHT(H462,2)=".N","NEW",IF(SUM(N462:R462)=0,"",LEFT(H462,5)))</f>
        <v/>
      </c>
      <c r="H462" s="4" t="str">
        <f t="shared" si="113"/>
        <v/>
      </c>
      <c r="I462" s="11" t="str">
        <f t="shared" si="114"/>
        <v>09.00</v>
      </c>
      <c r="K462" s="30">
        <v>287</v>
      </c>
      <c r="L462" s="29">
        <f t="shared" si="127"/>
        <v>11371.908376190917</v>
      </c>
      <c r="M462" s="28" t="str">
        <f t="shared" si="115"/>
        <v/>
      </c>
      <c r="N462" s="27" t="str">
        <f t="shared" si="128"/>
        <v/>
      </c>
      <c r="O462" s="26" t="str">
        <f>IF(AND($Q461=$O$38,IFERROR(LARGE($V$176:$V461,1)&lt;$N$42,TRUE)),1,IF(AND(ISNUMBER($O461),$O461&lt;$N$32),$O461+1,""))</f>
        <v/>
      </c>
      <c r="P462" s="26" t="str">
        <f t="shared" si="129"/>
        <v/>
      </c>
      <c r="Q462" s="26" t="str">
        <f t="shared" si="116"/>
        <v/>
      </c>
      <c r="R462" s="24" t="str">
        <f t="shared" si="130"/>
        <v/>
      </c>
      <c r="S462" s="180">
        <f t="shared" si="131"/>
        <v>9</v>
      </c>
      <c r="T462" s="151"/>
      <c r="U462" s="25" t="str">
        <f t="shared" si="117"/>
        <v/>
      </c>
      <c r="V462" s="24" t="str">
        <f>IF(AND(ISNUMBER(R461),ISNUMBER(R462)),V461,IF(AND(R461="",ISNUMBER(R462)),IFERROR(LARGE($V$176:$V461,1)+1,0),""))</f>
        <v/>
      </c>
      <c r="W462" s="23" t="str">
        <f t="shared" si="118"/>
        <v/>
      </c>
      <c r="X462" s="22" t="str">
        <f t="shared" si="119"/>
        <v/>
      </c>
      <c r="Y462" s="22"/>
      <c r="Z462" s="22"/>
      <c r="AA462" s="22"/>
      <c r="AB462" s="22" t="str" cm="1">
        <f t="array" ref="AB462">IF(IF(AND($P461="",$P462=1),($N$37*-1),0)+IF(AND($Q461="",$Q462=1),($N$38*-1),0)+IF(IF(($K462-$N$48)&lt;1,0,IF(IF(INDEX($AD$176:$AD$905,($K462-$N$48))="",0,INDEX($AD$176:$AD$905,($K462-$N$48)))&gt;0,IF(INDEX($AD$176:$AD$905,($K462-$N$48))="",0,INDEX($AD$176:$AD$905,($K462-$N$48))),0))="",0,IF(($K462-$N$48)&lt;1,0,IF(IF(INDEX($AD$176:$AD$905,($K462-$N$48))="",0,INDEX($AD$176:$AD$905,($K462-$N$48)))&gt;0,IF(INDEX($AD$176:$AD$905,($K462-$N$48))="",0,INDEX($AD$176:$AD$905,($K462-$N$48))),0)))=0,"",IF(AND($P461="",$P462=1),($N$37*-1),0)+IF(AND($Q461="",$Q462=1),($N$38*-1),0)+IF(IF(($K462-$N$48)&lt;1,0,IF(IF(INDEX($AD$176:$AD$905,($K462-$N$48))="",0,INDEX($AD$176:$AD$905,($K462-$N$48)))&gt;0,IF(INDEX($AD$176:$AD$905,($K462-$N$48))="",0,INDEX($AD$176:$AD$905,($K462-$N$48))),0))="",0,IF(($K462-$N$48)&lt;1,0,IF(IF(INDEX($AD$176:$AD$905,($K462-$N$48))="",0,INDEX($AD$176:$AD$905,($K462-$N$48)))&gt;0,IF(INDEX($AD$176:$AD$905,($K462-$N$48))="",0,INDEX($AD$176:$AD$905,($K462-$N$48))),0))))</f>
        <v/>
      </c>
      <c r="AC462" s="22" t="str">
        <f t="shared" si="120"/>
        <v/>
      </c>
      <c r="AD462" s="22" t="str">
        <f t="shared" si="132"/>
        <v/>
      </c>
      <c r="AE462" s="22" t="str" cm="1">
        <f t="array" ref="AE462">IF(($K462-$N$48)&lt;1,"",IF((IF(INDEX($AC$176:$AC$905,($K462-$N$48))="",0,INDEX($AC$176:$AC$905,($K462-$N$48))))=0,"",(IF(INDEX($AC$176:$AC$905,($K462-$N$48))="",0,INDEX($AC$176:$AC$905,($K462-$N$48))))))</f>
        <v/>
      </c>
      <c r="AF462" s="31" t="str">
        <f t="shared" si="121"/>
        <v/>
      </c>
      <c r="AG462" s="31" t="str">
        <f t="shared" si="122"/>
        <v/>
      </c>
      <c r="AH462" s="31" t="str">
        <f t="shared" si="123"/>
        <v/>
      </c>
      <c r="AI462" s="31" t="str">
        <f t="shared" si="124"/>
        <v/>
      </c>
      <c r="AJ462" s="303" t="str">
        <f t="shared" si="125"/>
        <v/>
      </c>
      <c r="AK462" s="139" t="str">
        <f t="shared" si="126"/>
        <v/>
      </c>
      <c r="AM462" s="319"/>
      <c r="AN462" s="40"/>
      <c r="AO462" s="1"/>
    </row>
    <row r="463" spans="7:41" x14ac:dyDescent="0.25">
      <c r="G463" s="235" t="str">
        <f t="shared" si="133"/>
        <v/>
      </c>
      <c r="H463" s="4" t="str">
        <f t="shared" ref="H463:H526" si="134">IF(SUM(N463:R463)&gt;0,CONCATENATE(IF(LEN(ROUNDDOWN(S463,0))=1,CONCATENATE("0",ROUNDDOWN(S463,0)),ROUNDDOWN(S463,0)),".",IF(LEN(ROUND(MOD(S463,1)*100,0))=1,CONCATENATE("0",ROUND(MOD(S463,1)*100,0)),ROUND(MOD(S463,1)*100,0)),IF(N463&lt;&gt;"",".N",IF(O463&lt;&gt;"",".R",IF(P463&lt;&gt;"",".O",IF(Q463&lt;&gt;"",".I",IF(R463&lt;&gt;"",".D","")))))),"")</f>
        <v/>
      </c>
      <c r="I463" s="11" t="str">
        <f t="shared" si="114"/>
        <v>09.00</v>
      </c>
      <c r="K463" s="30">
        <v>288</v>
      </c>
      <c r="L463" s="29">
        <f t="shared" si="127"/>
        <v>11371.908376190917</v>
      </c>
      <c r="M463" s="28" t="str">
        <f t="shared" si="115"/>
        <v/>
      </c>
      <c r="N463" s="27" t="str">
        <f t="shared" si="128"/>
        <v/>
      </c>
      <c r="O463" s="26" t="str">
        <f>IF(AND($Q462=$O$38,IFERROR(LARGE($V$176:$V462,1)&lt;$N$42,TRUE)),1,IF(AND(ISNUMBER($O462),$O462&lt;$N$32),$O462+1,""))</f>
        <v/>
      </c>
      <c r="P463" s="26" t="str">
        <f t="shared" si="129"/>
        <v/>
      </c>
      <c r="Q463" s="26" t="str">
        <f t="shared" si="116"/>
        <v/>
      </c>
      <c r="R463" s="24" t="str">
        <f t="shared" si="130"/>
        <v/>
      </c>
      <c r="S463" s="180">
        <f t="shared" si="131"/>
        <v>9</v>
      </c>
      <c r="T463" s="151"/>
      <c r="U463" s="25" t="str">
        <f t="shared" si="117"/>
        <v/>
      </c>
      <c r="V463" s="24" t="str">
        <f>IF(AND(ISNUMBER(R462),ISNUMBER(R463)),V462,IF(AND(R462="",ISNUMBER(R463)),IFERROR(LARGE($V$176:$V462,1)+1,0),""))</f>
        <v/>
      </c>
      <c r="W463" s="23" t="str">
        <f t="shared" si="118"/>
        <v/>
      </c>
      <c r="X463" s="22" t="str">
        <f t="shared" si="119"/>
        <v/>
      </c>
      <c r="Y463" s="22"/>
      <c r="Z463" s="22"/>
      <c r="AA463" s="22"/>
      <c r="AB463" s="22" t="str" cm="1">
        <f t="array" ref="AB463">IF(IF(AND($P462="",$P463=1),($N$37*-1),0)+IF(AND($Q462="",$Q463=1),($N$38*-1),0)+IF(IF(($K463-$N$48)&lt;1,0,IF(IF(INDEX($AD$176:$AD$905,($K463-$N$48))="",0,INDEX($AD$176:$AD$905,($K463-$N$48)))&gt;0,IF(INDEX($AD$176:$AD$905,($K463-$N$48))="",0,INDEX($AD$176:$AD$905,($K463-$N$48))),0))="",0,IF(($K463-$N$48)&lt;1,0,IF(IF(INDEX($AD$176:$AD$905,($K463-$N$48))="",0,INDEX($AD$176:$AD$905,($K463-$N$48)))&gt;0,IF(INDEX($AD$176:$AD$905,($K463-$N$48))="",0,INDEX($AD$176:$AD$905,($K463-$N$48))),0)))=0,"",IF(AND($P462="",$P463=1),($N$37*-1),0)+IF(AND($Q462="",$Q463=1),($N$38*-1),0)+IF(IF(($K463-$N$48)&lt;1,0,IF(IF(INDEX($AD$176:$AD$905,($K463-$N$48))="",0,INDEX($AD$176:$AD$905,($K463-$N$48)))&gt;0,IF(INDEX($AD$176:$AD$905,($K463-$N$48))="",0,INDEX($AD$176:$AD$905,($K463-$N$48))),0))="",0,IF(($K463-$N$48)&lt;1,0,IF(IF(INDEX($AD$176:$AD$905,($K463-$N$48))="",0,INDEX($AD$176:$AD$905,($K463-$N$48)))&gt;0,IF(INDEX($AD$176:$AD$905,($K463-$N$48))="",0,INDEX($AD$176:$AD$905,($K463-$N$48))),0))))</f>
        <v/>
      </c>
      <c r="AC463" s="22" t="str">
        <f t="shared" si="120"/>
        <v/>
      </c>
      <c r="AD463" s="22" t="str">
        <f t="shared" si="132"/>
        <v/>
      </c>
      <c r="AE463" s="22" t="str" cm="1">
        <f t="array" ref="AE463">IF(($K463-$N$48)&lt;1,"",IF((IF(INDEX($AC$176:$AC$905,($K463-$N$48))="",0,INDEX($AC$176:$AC$905,($K463-$N$48))))=0,"",(IF(INDEX($AC$176:$AC$905,($K463-$N$48))="",0,INDEX($AC$176:$AC$905,($K463-$N$48))))))</f>
        <v/>
      </c>
      <c r="AF463" s="31" t="str">
        <f t="shared" si="121"/>
        <v/>
      </c>
      <c r="AG463" s="31" t="str">
        <f t="shared" si="122"/>
        <v/>
      </c>
      <c r="AH463" s="31" t="str">
        <f t="shared" si="123"/>
        <v/>
      </c>
      <c r="AI463" s="31" t="str">
        <f t="shared" si="124"/>
        <v/>
      </c>
      <c r="AJ463" s="303" t="str">
        <f t="shared" si="125"/>
        <v/>
      </c>
      <c r="AK463" s="139" t="str">
        <f t="shared" si="126"/>
        <v/>
      </c>
      <c r="AM463" s="319"/>
      <c r="AN463" s="40"/>
      <c r="AO463" s="1"/>
    </row>
    <row r="464" spans="7:41" x14ac:dyDescent="0.25">
      <c r="G464" s="235" t="str">
        <f t="shared" si="133"/>
        <v/>
      </c>
      <c r="H464" s="4" t="str">
        <f t="shared" si="134"/>
        <v/>
      </c>
      <c r="I464" s="11" t="str">
        <f t="shared" si="114"/>
        <v>09.00</v>
      </c>
      <c r="K464" s="30">
        <v>289</v>
      </c>
      <c r="L464" s="29">
        <f t="shared" si="127"/>
        <v>11371.908376190917</v>
      </c>
      <c r="M464" s="28" t="str">
        <f t="shared" si="115"/>
        <v/>
      </c>
      <c r="N464" s="27" t="str">
        <f t="shared" si="128"/>
        <v/>
      </c>
      <c r="O464" s="26" t="str">
        <f>IF(AND($Q463=$O$38,IFERROR(LARGE($V$176:$V463,1)&lt;$N$42,TRUE)),1,IF(AND(ISNUMBER($O463),$O463&lt;$N$32),$O463+1,""))</f>
        <v/>
      </c>
      <c r="P464" s="26" t="str">
        <f t="shared" si="129"/>
        <v/>
      </c>
      <c r="Q464" s="26" t="str">
        <f t="shared" si="116"/>
        <v/>
      </c>
      <c r="R464" s="24" t="str">
        <f t="shared" si="130"/>
        <v/>
      </c>
      <c r="S464" s="180">
        <f t="shared" si="131"/>
        <v>9</v>
      </c>
      <c r="T464" s="151"/>
      <c r="U464" s="25" t="str">
        <f t="shared" si="117"/>
        <v/>
      </c>
      <c r="V464" s="24" t="str">
        <f>IF(AND(ISNUMBER(R463),ISNUMBER(R464)),V463,IF(AND(R463="",ISNUMBER(R464)),IFERROR(LARGE($V$176:$V463,1)+1,0),""))</f>
        <v/>
      </c>
      <c r="W464" s="23" t="str">
        <f t="shared" si="118"/>
        <v/>
      </c>
      <c r="X464" s="22" t="str">
        <f t="shared" si="119"/>
        <v/>
      </c>
      <c r="Y464" s="22"/>
      <c r="Z464" s="22"/>
      <c r="AA464" s="22"/>
      <c r="AB464" s="22" t="str" cm="1">
        <f t="array" ref="AB464">IF(IF(AND($P463="",$P464=1),($N$37*-1),0)+IF(AND($Q463="",$Q464=1),($N$38*-1),0)+IF(IF(($K464-$N$48)&lt;1,0,IF(IF(INDEX($AD$176:$AD$905,($K464-$N$48))="",0,INDEX($AD$176:$AD$905,($K464-$N$48)))&gt;0,IF(INDEX($AD$176:$AD$905,($K464-$N$48))="",0,INDEX($AD$176:$AD$905,($K464-$N$48))),0))="",0,IF(($K464-$N$48)&lt;1,0,IF(IF(INDEX($AD$176:$AD$905,($K464-$N$48))="",0,INDEX($AD$176:$AD$905,($K464-$N$48)))&gt;0,IF(INDEX($AD$176:$AD$905,($K464-$N$48))="",0,INDEX($AD$176:$AD$905,($K464-$N$48))),0)))=0,"",IF(AND($P463="",$P464=1),($N$37*-1),0)+IF(AND($Q463="",$Q464=1),($N$38*-1),0)+IF(IF(($K464-$N$48)&lt;1,0,IF(IF(INDEX($AD$176:$AD$905,($K464-$N$48))="",0,INDEX($AD$176:$AD$905,($K464-$N$48)))&gt;0,IF(INDEX($AD$176:$AD$905,($K464-$N$48))="",0,INDEX($AD$176:$AD$905,($K464-$N$48))),0))="",0,IF(($K464-$N$48)&lt;1,0,IF(IF(INDEX($AD$176:$AD$905,($K464-$N$48))="",0,INDEX($AD$176:$AD$905,($K464-$N$48)))&gt;0,IF(INDEX($AD$176:$AD$905,($K464-$N$48))="",0,INDEX($AD$176:$AD$905,($K464-$N$48))),0))))</f>
        <v/>
      </c>
      <c r="AC464" s="22" t="str">
        <f t="shared" si="120"/>
        <v/>
      </c>
      <c r="AD464" s="22" t="str">
        <f t="shared" si="132"/>
        <v/>
      </c>
      <c r="AE464" s="22" t="str" cm="1">
        <f t="array" ref="AE464">IF(($K464-$N$48)&lt;1,"",IF((IF(INDEX($AC$176:$AC$905,($K464-$N$48))="",0,INDEX($AC$176:$AC$905,($K464-$N$48))))=0,"",(IF(INDEX($AC$176:$AC$905,($K464-$N$48))="",0,INDEX($AC$176:$AC$905,($K464-$N$48))))))</f>
        <v/>
      </c>
      <c r="AF464" s="31" t="str">
        <f t="shared" si="121"/>
        <v/>
      </c>
      <c r="AG464" s="31" t="str">
        <f t="shared" si="122"/>
        <v/>
      </c>
      <c r="AH464" s="31" t="str">
        <f t="shared" si="123"/>
        <v/>
      </c>
      <c r="AI464" s="31" t="str">
        <f t="shared" si="124"/>
        <v/>
      </c>
      <c r="AJ464" s="303" t="str">
        <f t="shared" si="125"/>
        <v/>
      </c>
      <c r="AK464" s="139" t="str">
        <f t="shared" si="126"/>
        <v/>
      </c>
      <c r="AM464" s="319"/>
      <c r="AN464" s="40"/>
      <c r="AO464" s="1"/>
    </row>
    <row r="465" spans="7:41" x14ac:dyDescent="0.25">
      <c r="G465" s="235" t="str">
        <f t="shared" si="133"/>
        <v/>
      </c>
      <c r="H465" s="4" t="str">
        <f t="shared" si="134"/>
        <v/>
      </c>
      <c r="I465" s="11" t="str">
        <f t="shared" si="114"/>
        <v>09.00</v>
      </c>
      <c r="K465" s="30">
        <v>290</v>
      </c>
      <c r="L465" s="29">
        <f t="shared" si="127"/>
        <v>11371.908376190917</v>
      </c>
      <c r="M465" s="28" t="str">
        <f t="shared" si="115"/>
        <v/>
      </c>
      <c r="N465" s="27" t="str">
        <f t="shared" si="128"/>
        <v/>
      </c>
      <c r="O465" s="26" t="str">
        <f>IF(AND($Q464=$O$38,IFERROR(LARGE($V$176:$V464,1)&lt;$N$42,TRUE)),1,IF(AND(ISNUMBER($O464),$O464&lt;$N$32),$O464+1,""))</f>
        <v/>
      </c>
      <c r="P465" s="26" t="str">
        <f t="shared" si="129"/>
        <v/>
      </c>
      <c r="Q465" s="26" t="str">
        <f t="shared" si="116"/>
        <v/>
      </c>
      <c r="R465" s="24" t="str">
        <f t="shared" si="130"/>
        <v/>
      </c>
      <c r="S465" s="180">
        <f t="shared" si="131"/>
        <v>9</v>
      </c>
      <c r="T465" s="151"/>
      <c r="U465" s="25" t="str">
        <f t="shared" si="117"/>
        <v/>
      </c>
      <c r="V465" s="24" t="str">
        <f>IF(AND(ISNUMBER(R464),ISNUMBER(R465)),V464,IF(AND(R464="",ISNUMBER(R465)),IFERROR(LARGE($V$176:$V464,1)+1,0),""))</f>
        <v/>
      </c>
      <c r="W465" s="23" t="str">
        <f t="shared" si="118"/>
        <v/>
      </c>
      <c r="X465" s="22" t="str">
        <f t="shared" si="119"/>
        <v/>
      </c>
      <c r="Y465" s="22"/>
      <c r="Z465" s="22"/>
      <c r="AA465" s="22"/>
      <c r="AB465" s="22" t="str" cm="1">
        <f t="array" ref="AB465">IF(IF(AND($P464="",$P465=1),($N$37*-1),0)+IF(AND($Q464="",$Q465=1),($N$38*-1),0)+IF(IF(($K465-$N$48)&lt;1,0,IF(IF(INDEX($AD$176:$AD$905,($K465-$N$48))="",0,INDEX($AD$176:$AD$905,($K465-$N$48)))&gt;0,IF(INDEX($AD$176:$AD$905,($K465-$N$48))="",0,INDEX($AD$176:$AD$905,($K465-$N$48))),0))="",0,IF(($K465-$N$48)&lt;1,0,IF(IF(INDEX($AD$176:$AD$905,($K465-$N$48))="",0,INDEX($AD$176:$AD$905,($K465-$N$48)))&gt;0,IF(INDEX($AD$176:$AD$905,($K465-$N$48))="",0,INDEX($AD$176:$AD$905,($K465-$N$48))),0)))=0,"",IF(AND($P464="",$P465=1),($N$37*-1),0)+IF(AND($Q464="",$Q465=1),($N$38*-1),0)+IF(IF(($K465-$N$48)&lt;1,0,IF(IF(INDEX($AD$176:$AD$905,($K465-$N$48))="",0,INDEX($AD$176:$AD$905,($K465-$N$48)))&gt;0,IF(INDEX($AD$176:$AD$905,($K465-$N$48))="",0,INDEX($AD$176:$AD$905,($K465-$N$48))),0))="",0,IF(($K465-$N$48)&lt;1,0,IF(IF(INDEX($AD$176:$AD$905,($K465-$N$48))="",0,INDEX($AD$176:$AD$905,($K465-$N$48)))&gt;0,IF(INDEX($AD$176:$AD$905,($K465-$N$48))="",0,INDEX($AD$176:$AD$905,($K465-$N$48))),0))))</f>
        <v/>
      </c>
      <c r="AC465" s="22" t="str">
        <f t="shared" si="120"/>
        <v/>
      </c>
      <c r="AD465" s="22" t="str">
        <f t="shared" si="132"/>
        <v/>
      </c>
      <c r="AE465" s="22" t="str" cm="1">
        <f t="array" ref="AE465">IF(($K465-$N$48)&lt;1,"",IF((IF(INDEX($AC$176:$AC$905,($K465-$N$48))="",0,INDEX($AC$176:$AC$905,($K465-$N$48))))=0,"",(IF(INDEX($AC$176:$AC$905,($K465-$N$48))="",0,INDEX($AC$176:$AC$905,($K465-$N$48))))))</f>
        <v/>
      </c>
      <c r="AF465" s="31" t="str">
        <f t="shared" si="121"/>
        <v/>
      </c>
      <c r="AG465" s="31" t="str">
        <f t="shared" si="122"/>
        <v/>
      </c>
      <c r="AH465" s="31" t="str">
        <f t="shared" si="123"/>
        <v/>
      </c>
      <c r="AI465" s="31" t="str">
        <f t="shared" si="124"/>
        <v/>
      </c>
      <c r="AJ465" s="303" t="str">
        <f t="shared" si="125"/>
        <v/>
      </c>
      <c r="AK465" s="139" t="str">
        <f t="shared" si="126"/>
        <v/>
      </c>
      <c r="AM465" s="319"/>
      <c r="AN465" s="40"/>
      <c r="AO465" s="1"/>
    </row>
    <row r="466" spans="7:41" x14ac:dyDescent="0.25">
      <c r="G466" s="235" t="str">
        <f t="shared" si="133"/>
        <v/>
      </c>
      <c r="H466" s="4" t="str">
        <f t="shared" si="134"/>
        <v/>
      </c>
      <c r="I466" s="11" t="str">
        <f t="shared" si="114"/>
        <v>09.00</v>
      </c>
      <c r="K466" s="30">
        <v>291</v>
      </c>
      <c r="L466" s="29">
        <f t="shared" si="127"/>
        <v>11371.908376190917</v>
      </c>
      <c r="M466" s="28" t="str">
        <f t="shared" si="115"/>
        <v/>
      </c>
      <c r="N466" s="27" t="str">
        <f t="shared" si="128"/>
        <v/>
      </c>
      <c r="O466" s="26" t="str">
        <f>IF(AND($Q465=$O$38,IFERROR(LARGE($V$176:$V465,1)&lt;$N$42,TRUE)),1,IF(AND(ISNUMBER($O465),$O465&lt;$N$32),$O465+1,""))</f>
        <v/>
      </c>
      <c r="P466" s="26" t="str">
        <f t="shared" si="129"/>
        <v/>
      </c>
      <c r="Q466" s="26" t="str">
        <f t="shared" si="116"/>
        <v/>
      </c>
      <c r="R466" s="24" t="str">
        <f t="shared" si="130"/>
        <v/>
      </c>
      <c r="S466" s="180">
        <f t="shared" si="131"/>
        <v>9</v>
      </c>
      <c r="T466" s="151"/>
      <c r="U466" s="25" t="str">
        <f t="shared" si="117"/>
        <v/>
      </c>
      <c r="V466" s="24" t="str">
        <f>IF(AND(ISNUMBER(R465),ISNUMBER(R466)),V465,IF(AND(R465="",ISNUMBER(R466)),IFERROR(LARGE($V$176:$V465,1)+1,0),""))</f>
        <v/>
      </c>
      <c r="W466" s="23" t="str">
        <f t="shared" si="118"/>
        <v/>
      </c>
      <c r="X466" s="22" t="str">
        <f t="shared" si="119"/>
        <v/>
      </c>
      <c r="Y466" s="22"/>
      <c r="Z466" s="22"/>
      <c r="AA466" s="22"/>
      <c r="AB466" s="22" t="str" cm="1">
        <f t="array" ref="AB466">IF(IF(AND($P465="",$P466=1),($N$37*-1),0)+IF(AND($Q465="",$Q466=1),($N$38*-1),0)+IF(IF(($K466-$N$48)&lt;1,0,IF(IF(INDEX($AD$176:$AD$905,($K466-$N$48))="",0,INDEX($AD$176:$AD$905,($K466-$N$48)))&gt;0,IF(INDEX($AD$176:$AD$905,($K466-$N$48))="",0,INDEX($AD$176:$AD$905,($K466-$N$48))),0))="",0,IF(($K466-$N$48)&lt;1,0,IF(IF(INDEX($AD$176:$AD$905,($K466-$N$48))="",0,INDEX($AD$176:$AD$905,($K466-$N$48)))&gt;0,IF(INDEX($AD$176:$AD$905,($K466-$N$48))="",0,INDEX($AD$176:$AD$905,($K466-$N$48))),0)))=0,"",IF(AND($P465="",$P466=1),($N$37*-1),0)+IF(AND($Q465="",$Q466=1),($N$38*-1),0)+IF(IF(($K466-$N$48)&lt;1,0,IF(IF(INDEX($AD$176:$AD$905,($K466-$N$48))="",0,INDEX($AD$176:$AD$905,($K466-$N$48)))&gt;0,IF(INDEX($AD$176:$AD$905,($K466-$N$48))="",0,INDEX($AD$176:$AD$905,($K466-$N$48))),0))="",0,IF(($K466-$N$48)&lt;1,0,IF(IF(INDEX($AD$176:$AD$905,($K466-$N$48))="",0,INDEX($AD$176:$AD$905,($K466-$N$48)))&gt;0,IF(INDEX($AD$176:$AD$905,($K466-$N$48))="",0,INDEX($AD$176:$AD$905,($K466-$N$48))),0))))</f>
        <v/>
      </c>
      <c r="AC466" s="22" t="str">
        <f t="shared" si="120"/>
        <v/>
      </c>
      <c r="AD466" s="22" t="str">
        <f t="shared" si="132"/>
        <v/>
      </c>
      <c r="AE466" s="22" t="str" cm="1">
        <f t="array" ref="AE466">IF(($K466-$N$48)&lt;1,"",IF((IF(INDEX($AC$176:$AC$905,($K466-$N$48))="",0,INDEX($AC$176:$AC$905,($K466-$N$48))))=0,"",(IF(INDEX($AC$176:$AC$905,($K466-$N$48))="",0,INDEX($AC$176:$AC$905,($K466-$N$48))))))</f>
        <v/>
      </c>
      <c r="AF466" s="31" t="str">
        <f t="shared" si="121"/>
        <v/>
      </c>
      <c r="AG466" s="31" t="str">
        <f t="shared" si="122"/>
        <v/>
      </c>
      <c r="AH466" s="31" t="str">
        <f t="shared" si="123"/>
        <v/>
      </c>
      <c r="AI466" s="31" t="str">
        <f t="shared" si="124"/>
        <v/>
      </c>
      <c r="AJ466" s="303" t="str">
        <f t="shared" si="125"/>
        <v/>
      </c>
      <c r="AK466" s="139" t="str">
        <f t="shared" si="126"/>
        <v/>
      </c>
      <c r="AM466" s="319"/>
      <c r="AN466" s="40"/>
      <c r="AO466" s="1"/>
    </row>
    <row r="467" spans="7:41" x14ac:dyDescent="0.25">
      <c r="G467" s="235" t="str">
        <f t="shared" si="133"/>
        <v/>
      </c>
      <c r="H467" s="4" t="str">
        <f t="shared" si="134"/>
        <v/>
      </c>
      <c r="I467" s="11" t="str">
        <f t="shared" si="114"/>
        <v>09.00</v>
      </c>
      <c r="K467" s="30">
        <v>292</v>
      </c>
      <c r="L467" s="29">
        <f t="shared" si="127"/>
        <v>11371.908376190917</v>
      </c>
      <c r="M467" s="28" t="str">
        <f t="shared" si="115"/>
        <v/>
      </c>
      <c r="N467" s="27" t="str">
        <f t="shared" si="128"/>
        <v/>
      </c>
      <c r="O467" s="26" t="str">
        <f>IF(AND($Q466=$O$38,IFERROR(LARGE($V$176:$V466,1)&lt;$N$42,TRUE)),1,IF(AND(ISNUMBER($O466),$O466&lt;$N$32),$O466+1,""))</f>
        <v/>
      </c>
      <c r="P467" s="26" t="str">
        <f t="shared" si="129"/>
        <v/>
      </c>
      <c r="Q467" s="26" t="str">
        <f t="shared" si="116"/>
        <v/>
      </c>
      <c r="R467" s="24" t="str">
        <f t="shared" si="130"/>
        <v/>
      </c>
      <c r="S467" s="180">
        <f t="shared" si="131"/>
        <v>9</v>
      </c>
      <c r="T467" s="151"/>
      <c r="U467" s="25" t="str">
        <f t="shared" si="117"/>
        <v/>
      </c>
      <c r="V467" s="24" t="str">
        <f>IF(AND(ISNUMBER(R466),ISNUMBER(R467)),V466,IF(AND(R466="",ISNUMBER(R467)),IFERROR(LARGE($V$176:$V466,1)+1,0),""))</f>
        <v/>
      </c>
      <c r="W467" s="23" t="str">
        <f t="shared" si="118"/>
        <v/>
      </c>
      <c r="X467" s="22" t="str">
        <f t="shared" si="119"/>
        <v/>
      </c>
      <c r="Y467" s="22"/>
      <c r="Z467" s="22"/>
      <c r="AA467" s="22"/>
      <c r="AB467" s="22" t="str" cm="1">
        <f t="array" ref="AB467">IF(IF(AND($P466="",$P467=1),($N$37*-1),0)+IF(AND($Q466="",$Q467=1),($N$38*-1),0)+IF(IF(($K467-$N$48)&lt;1,0,IF(IF(INDEX($AD$176:$AD$905,($K467-$N$48))="",0,INDEX($AD$176:$AD$905,($K467-$N$48)))&gt;0,IF(INDEX($AD$176:$AD$905,($K467-$N$48))="",0,INDEX($AD$176:$AD$905,($K467-$N$48))),0))="",0,IF(($K467-$N$48)&lt;1,0,IF(IF(INDEX($AD$176:$AD$905,($K467-$N$48))="",0,INDEX($AD$176:$AD$905,($K467-$N$48)))&gt;0,IF(INDEX($AD$176:$AD$905,($K467-$N$48))="",0,INDEX($AD$176:$AD$905,($K467-$N$48))),0)))=0,"",IF(AND($P466="",$P467=1),($N$37*-1),0)+IF(AND($Q466="",$Q467=1),($N$38*-1),0)+IF(IF(($K467-$N$48)&lt;1,0,IF(IF(INDEX($AD$176:$AD$905,($K467-$N$48))="",0,INDEX($AD$176:$AD$905,($K467-$N$48)))&gt;0,IF(INDEX($AD$176:$AD$905,($K467-$N$48))="",0,INDEX($AD$176:$AD$905,($K467-$N$48))),0))="",0,IF(($K467-$N$48)&lt;1,0,IF(IF(INDEX($AD$176:$AD$905,($K467-$N$48))="",0,INDEX($AD$176:$AD$905,($K467-$N$48)))&gt;0,IF(INDEX($AD$176:$AD$905,($K467-$N$48))="",0,INDEX($AD$176:$AD$905,($K467-$N$48))),0))))</f>
        <v/>
      </c>
      <c r="AC467" s="22" t="str">
        <f t="shared" si="120"/>
        <v/>
      </c>
      <c r="AD467" s="22" t="str">
        <f t="shared" si="132"/>
        <v/>
      </c>
      <c r="AE467" s="22" t="str" cm="1">
        <f t="array" ref="AE467">IF(($K467-$N$48)&lt;1,"",IF((IF(INDEX($AC$176:$AC$905,($K467-$N$48))="",0,INDEX($AC$176:$AC$905,($K467-$N$48))))=0,"",(IF(INDEX($AC$176:$AC$905,($K467-$N$48))="",0,INDEX($AC$176:$AC$905,($K467-$N$48))))))</f>
        <v/>
      </c>
      <c r="AF467" s="31" t="str">
        <f t="shared" si="121"/>
        <v/>
      </c>
      <c r="AG467" s="31" t="str">
        <f t="shared" si="122"/>
        <v/>
      </c>
      <c r="AH467" s="31" t="str">
        <f t="shared" si="123"/>
        <v/>
      </c>
      <c r="AI467" s="31" t="str">
        <f t="shared" si="124"/>
        <v/>
      </c>
      <c r="AJ467" s="303" t="str">
        <f t="shared" si="125"/>
        <v/>
      </c>
      <c r="AK467" s="139" t="str">
        <f t="shared" si="126"/>
        <v/>
      </c>
      <c r="AM467" s="319"/>
      <c r="AN467" s="40"/>
      <c r="AO467" s="1"/>
    </row>
    <row r="468" spans="7:41" x14ac:dyDescent="0.25">
      <c r="G468" s="235" t="str">
        <f t="shared" si="133"/>
        <v/>
      </c>
      <c r="H468" s="4" t="str">
        <f t="shared" si="134"/>
        <v/>
      </c>
      <c r="I468" s="11" t="str">
        <f t="shared" si="114"/>
        <v>09.00</v>
      </c>
      <c r="K468" s="30">
        <v>293</v>
      </c>
      <c r="L468" s="29">
        <f t="shared" si="127"/>
        <v>11371.908376190917</v>
      </c>
      <c r="M468" s="28" t="str">
        <f t="shared" si="115"/>
        <v/>
      </c>
      <c r="N468" s="27" t="str">
        <f t="shared" si="128"/>
        <v/>
      </c>
      <c r="O468" s="26" t="str">
        <f>IF(AND($Q467=$O$38,IFERROR(LARGE($V$176:$V467,1)&lt;$N$42,TRUE)),1,IF(AND(ISNUMBER($O467),$O467&lt;$N$32),$O467+1,""))</f>
        <v/>
      </c>
      <c r="P468" s="26" t="str">
        <f t="shared" si="129"/>
        <v/>
      </c>
      <c r="Q468" s="26" t="str">
        <f t="shared" si="116"/>
        <v/>
      </c>
      <c r="R468" s="24" t="str">
        <f t="shared" si="130"/>
        <v/>
      </c>
      <c r="S468" s="180">
        <f t="shared" si="131"/>
        <v>9</v>
      </c>
      <c r="T468" s="151"/>
      <c r="U468" s="25" t="str">
        <f t="shared" si="117"/>
        <v/>
      </c>
      <c r="V468" s="24" t="str">
        <f>IF(AND(ISNUMBER(R467),ISNUMBER(R468)),V467,IF(AND(R467="",ISNUMBER(R468)),IFERROR(LARGE($V$176:$V467,1)+1,0),""))</f>
        <v/>
      </c>
      <c r="W468" s="23" t="str">
        <f t="shared" si="118"/>
        <v/>
      </c>
      <c r="X468" s="22" t="str">
        <f t="shared" si="119"/>
        <v/>
      </c>
      <c r="Y468" s="22"/>
      <c r="Z468" s="22"/>
      <c r="AA468" s="22"/>
      <c r="AB468" s="22" t="str" cm="1">
        <f t="array" ref="AB468">IF(IF(AND($P467="",$P468=1),($N$37*-1),0)+IF(AND($Q467="",$Q468=1),($N$38*-1),0)+IF(IF(($K468-$N$48)&lt;1,0,IF(IF(INDEX($AD$176:$AD$905,($K468-$N$48))="",0,INDEX($AD$176:$AD$905,($K468-$N$48)))&gt;0,IF(INDEX($AD$176:$AD$905,($K468-$N$48))="",0,INDEX($AD$176:$AD$905,($K468-$N$48))),0))="",0,IF(($K468-$N$48)&lt;1,0,IF(IF(INDEX($AD$176:$AD$905,($K468-$N$48))="",0,INDEX($AD$176:$AD$905,($K468-$N$48)))&gt;0,IF(INDEX($AD$176:$AD$905,($K468-$N$48))="",0,INDEX($AD$176:$AD$905,($K468-$N$48))),0)))=0,"",IF(AND($P467="",$P468=1),($N$37*-1),0)+IF(AND($Q467="",$Q468=1),($N$38*-1),0)+IF(IF(($K468-$N$48)&lt;1,0,IF(IF(INDEX($AD$176:$AD$905,($K468-$N$48))="",0,INDEX($AD$176:$AD$905,($K468-$N$48)))&gt;0,IF(INDEX($AD$176:$AD$905,($K468-$N$48))="",0,INDEX($AD$176:$AD$905,($K468-$N$48))),0))="",0,IF(($K468-$N$48)&lt;1,0,IF(IF(INDEX($AD$176:$AD$905,($K468-$N$48))="",0,INDEX($AD$176:$AD$905,($K468-$N$48)))&gt;0,IF(INDEX($AD$176:$AD$905,($K468-$N$48))="",0,INDEX($AD$176:$AD$905,($K468-$N$48))),0))))</f>
        <v/>
      </c>
      <c r="AC468" s="22" t="str">
        <f t="shared" si="120"/>
        <v/>
      </c>
      <c r="AD468" s="22" t="str">
        <f t="shared" si="132"/>
        <v/>
      </c>
      <c r="AE468" s="22" t="str" cm="1">
        <f t="array" ref="AE468">IF(($K468-$N$48)&lt;1,"",IF((IF(INDEX($AC$176:$AC$905,($K468-$N$48))="",0,INDEX($AC$176:$AC$905,($K468-$N$48))))=0,"",(IF(INDEX($AC$176:$AC$905,($K468-$N$48))="",0,INDEX($AC$176:$AC$905,($K468-$N$48))))))</f>
        <v/>
      </c>
      <c r="AF468" s="31" t="str">
        <f t="shared" si="121"/>
        <v/>
      </c>
      <c r="AG468" s="31" t="str">
        <f t="shared" si="122"/>
        <v/>
      </c>
      <c r="AH468" s="31" t="str">
        <f t="shared" si="123"/>
        <v/>
      </c>
      <c r="AI468" s="31" t="str">
        <f t="shared" si="124"/>
        <v/>
      </c>
      <c r="AJ468" s="303" t="str">
        <f t="shared" si="125"/>
        <v/>
      </c>
      <c r="AK468" s="139" t="str">
        <f t="shared" si="126"/>
        <v/>
      </c>
      <c r="AM468" s="319"/>
      <c r="AN468" s="40"/>
      <c r="AO468" s="1"/>
    </row>
    <row r="469" spans="7:41" x14ac:dyDescent="0.25">
      <c r="G469" s="235" t="str">
        <f t="shared" si="133"/>
        <v/>
      </c>
      <c r="H469" s="4" t="str">
        <f t="shared" si="134"/>
        <v/>
      </c>
      <c r="I469" s="11" t="str">
        <f t="shared" si="114"/>
        <v>09.00</v>
      </c>
      <c r="K469" s="30">
        <v>294</v>
      </c>
      <c r="L469" s="29">
        <f t="shared" si="127"/>
        <v>11371.908376190917</v>
      </c>
      <c r="M469" s="28" t="str">
        <f t="shared" si="115"/>
        <v/>
      </c>
      <c r="N469" s="27" t="str">
        <f t="shared" si="128"/>
        <v/>
      </c>
      <c r="O469" s="26" t="str">
        <f>IF(AND($Q468=$O$38,IFERROR(LARGE($V$176:$V468,1)&lt;$N$42,TRUE)),1,IF(AND(ISNUMBER($O468),$O468&lt;$N$32),$O468+1,""))</f>
        <v/>
      </c>
      <c r="P469" s="26" t="str">
        <f t="shared" si="129"/>
        <v/>
      </c>
      <c r="Q469" s="26" t="str">
        <f t="shared" si="116"/>
        <v/>
      </c>
      <c r="R469" s="24" t="str">
        <f t="shared" si="130"/>
        <v/>
      </c>
      <c r="S469" s="180">
        <f t="shared" si="131"/>
        <v>9</v>
      </c>
      <c r="T469" s="151"/>
      <c r="U469" s="25" t="str">
        <f t="shared" si="117"/>
        <v/>
      </c>
      <c r="V469" s="24" t="str">
        <f>IF(AND(ISNUMBER(R468),ISNUMBER(R469)),V468,IF(AND(R468="",ISNUMBER(R469)),IFERROR(LARGE($V$176:$V468,1)+1,0),""))</f>
        <v/>
      </c>
      <c r="W469" s="23" t="str">
        <f t="shared" si="118"/>
        <v/>
      </c>
      <c r="X469" s="22" t="str">
        <f t="shared" si="119"/>
        <v/>
      </c>
      <c r="Y469" s="22"/>
      <c r="Z469" s="22"/>
      <c r="AA469" s="22"/>
      <c r="AB469" s="22" t="str" cm="1">
        <f t="array" ref="AB469">IF(IF(AND($P468="",$P469=1),($N$37*-1),0)+IF(AND($Q468="",$Q469=1),($N$38*-1),0)+IF(IF(($K469-$N$48)&lt;1,0,IF(IF(INDEX($AD$176:$AD$905,($K469-$N$48))="",0,INDEX($AD$176:$AD$905,($K469-$N$48)))&gt;0,IF(INDEX($AD$176:$AD$905,($K469-$N$48))="",0,INDEX($AD$176:$AD$905,($K469-$N$48))),0))="",0,IF(($K469-$N$48)&lt;1,0,IF(IF(INDEX($AD$176:$AD$905,($K469-$N$48))="",0,INDEX($AD$176:$AD$905,($K469-$N$48)))&gt;0,IF(INDEX($AD$176:$AD$905,($K469-$N$48))="",0,INDEX($AD$176:$AD$905,($K469-$N$48))),0)))=0,"",IF(AND($P468="",$P469=1),($N$37*-1),0)+IF(AND($Q468="",$Q469=1),($N$38*-1),0)+IF(IF(($K469-$N$48)&lt;1,0,IF(IF(INDEX($AD$176:$AD$905,($K469-$N$48))="",0,INDEX($AD$176:$AD$905,($K469-$N$48)))&gt;0,IF(INDEX($AD$176:$AD$905,($K469-$N$48))="",0,INDEX($AD$176:$AD$905,($K469-$N$48))),0))="",0,IF(($K469-$N$48)&lt;1,0,IF(IF(INDEX($AD$176:$AD$905,($K469-$N$48))="",0,INDEX($AD$176:$AD$905,($K469-$N$48)))&gt;0,IF(INDEX($AD$176:$AD$905,($K469-$N$48))="",0,INDEX($AD$176:$AD$905,($K469-$N$48))),0))))</f>
        <v/>
      </c>
      <c r="AC469" s="22" t="str">
        <f t="shared" si="120"/>
        <v/>
      </c>
      <c r="AD469" s="22" t="str">
        <f t="shared" si="132"/>
        <v/>
      </c>
      <c r="AE469" s="22" t="str" cm="1">
        <f t="array" ref="AE469">IF(($K469-$N$48)&lt;1,"",IF((IF(INDEX($AC$176:$AC$905,($K469-$N$48))="",0,INDEX($AC$176:$AC$905,($K469-$N$48))))=0,"",(IF(INDEX($AC$176:$AC$905,($K469-$N$48))="",0,INDEX($AC$176:$AC$905,($K469-$N$48))))))</f>
        <v/>
      </c>
      <c r="AF469" s="31" t="str">
        <f t="shared" si="121"/>
        <v/>
      </c>
      <c r="AG469" s="31" t="str">
        <f t="shared" si="122"/>
        <v/>
      </c>
      <c r="AH469" s="31" t="str">
        <f t="shared" si="123"/>
        <v/>
      </c>
      <c r="AI469" s="31" t="str">
        <f t="shared" si="124"/>
        <v/>
      </c>
      <c r="AJ469" s="303" t="str">
        <f t="shared" si="125"/>
        <v/>
      </c>
      <c r="AK469" s="139" t="str">
        <f t="shared" si="126"/>
        <v/>
      </c>
      <c r="AM469" s="319"/>
      <c r="AN469" s="40"/>
      <c r="AO469" s="1"/>
    </row>
    <row r="470" spans="7:41" x14ac:dyDescent="0.25">
      <c r="G470" s="235" t="str">
        <f t="shared" si="133"/>
        <v/>
      </c>
      <c r="H470" s="4" t="str">
        <f t="shared" si="134"/>
        <v/>
      </c>
      <c r="I470" s="11" t="str">
        <f t="shared" si="114"/>
        <v>09.00</v>
      </c>
      <c r="K470" s="30">
        <v>295</v>
      </c>
      <c r="L470" s="29">
        <f t="shared" si="127"/>
        <v>11371.908376190917</v>
      </c>
      <c r="M470" s="28" t="str">
        <f t="shared" si="115"/>
        <v/>
      </c>
      <c r="N470" s="27" t="str">
        <f t="shared" si="128"/>
        <v/>
      </c>
      <c r="O470" s="26" t="str">
        <f>IF(AND($Q469=$O$38,IFERROR(LARGE($V$176:$V469,1)&lt;$N$42,TRUE)),1,IF(AND(ISNUMBER($O469),$O469&lt;$N$32),$O469+1,""))</f>
        <v/>
      </c>
      <c r="P470" s="26" t="str">
        <f t="shared" si="129"/>
        <v/>
      </c>
      <c r="Q470" s="26" t="str">
        <f t="shared" si="116"/>
        <v/>
      </c>
      <c r="R470" s="24" t="str">
        <f t="shared" si="130"/>
        <v/>
      </c>
      <c r="S470" s="180">
        <f t="shared" si="131"/>
        <v>9</v>
      </c>
      <c r="T470" s="151"/>
      <c r="U470" s="25" t="str">
        <f t="shared" si="117"/>
        <v/>
      </c>
      <c r="V470" s="24" t="str">
        <f>IF(AND(ISNUMBER(R469),ISNUMBER(R470)),V469,IF(AND(R469="",ISNUMBER(R470)),IFERROR(LARGE($V$176:$V469,1)+1,0),""))</f>
        <v/>
      </c>
      <c r="W470" s="23" t="str">
        <f t="shared" si="118"/>
        <v/>
      </c>
      <c r="X470" s="22" t="str">
        <f t="shared" si="119"/>
        <v/>
      </c>
      <c r="Y470" s="22"/>
      <c r="Z470" s="22"/>
      <c r="AA470" s="22"/>
      <c r="AB470" s="22" t="str" cm="1">
        <f t="array" ref="AB470">IF(IF(AND($P469="",$P470=1),($N$37*-1),0)+IF(AND($Q469="",$Q470=1),($N$38*-1),0)+IF(IF(($K470-$N$48)&lt;1,0,IF(IF(INDEX($AD$176:$AD$905,($K470-$N$48))="",0,INDEX($AD$176:$AD$905,($K470-$N$48)))&gt;0,IF(INDEX($AD$176:$AD$905,($K470-$N$48))="",0,INDEX($AD$176:$AD$905,($K470-$N$48))),0))="",0,IF(($K470-$N$48)&lt;1,0,IF(IF(INDEX($AD$176:$AD$905,($K470-$N$48))="",0,INDEX($AD$176:$AD$905,($K470-$N$48)))&gt;0,IF(INDEX($AD$176:$AD$905,($K470-$N$48))="",0,INDEX($AD$176:$AD$905,($K470-$N$48))),0)))=0,"",IF(AND($P469="",$P470=1),($N$37*-1),0)+IF(AND($Q469="",$Q470=1),($N$38*-1),0)+IF(IF(($K470-$N$48)&lt;1,0,IF(IF(INDEX($AD$176:$AD$905,($K470-$N$48))="",0,INDEX($AD$176:$AD$905,($K470-$N$48)))&gt;0,IF(INDEX($AD$176:$AD$905,($K470-$N$48))="",0,INDEX($AD$176:$AD$905,($K470-$N$48))),0))="",0,IF(($K470-$N$48)&lt;1,0,IF(IF(INDEX($AD$176:$AD$905,($K470-$N$48))="",0,INDEX($AD$176:$AD$905,($K470-$N$48)))&gt;0,IF(INDEX($AD$176:$AD$905,($K470-$N$48))="",0,INDEX($AD$176:$AD$905,($K470-$N$48))),0))))</f>
        <v/>
      </c>
      <c r="AC470" s="22" t="str">
        <f t="shared" si="120"/>
        <v/>
      </c>
      <c r="AD470" s="22" t="str">
        <f t="shared" si="132"/>
        <v/>
      </c>
      <c r="AE470" s="22" t="str" cm="1">
        <f t="array" ref="AE470">IF(($K470-$N$48)&lt;1,"",IF((IF(INDEX($AC$176:$AC$905,($K470-$N$48))="",0,INDEX($AC$176:$AC$905,($K470-$N$48))))=0,"",(IF(INDEX($AC$176:$AC$905,($K470-$N$48))="",0,INDEX($AC$176:$AC$905,($K470-$N$48))))))</f>
        <v/>
      </c>
      <c r="AF470" s="31" t="str">
        <f t="shared" si="121"/>
        <v/>
      </c>
      <c r="AG470" s="31" t="str">
        <f t="shared" si="122"/>
        <v/>
      </c>
      <c r="AH470" s="31" t="str">
        <f t="shared" si="123"/>
        <v/>
      </c>
      <c r="AI470" s="31" t="str">
        <f t="shared" si="124"/>
        <v/>
      </c>
      <c r="AJ470" s="303" t="str">
        <f t="shared" si="125"/>
        <v/>
      </c>
      <c r="AK470" s="139" t="str">
        <f t="shared" si="126"/>
        <v/>
      </c>
      <c r="AM470" s="319"/>
      <c r="AN470" s="40"/>
      <c r="AO470" s="1"/>
    </row>
    <row r="471" spans="7:41" x14ac:dyDescent="0.25">
      <c r="G471" s="235" t="str">
        <f t="shared" si="133"/>
        <v/>
      </c>
      <c r="H471" s="4" t="str">
        <f t="shared" si="134"/>
        <v/>
      </c>
      <c r="I471" s="11" t="str">
        <f t="shared" si="114"/>
        <v>09.00</v>
      </c>
      <c r="K471" s="30">
        <v>296</v>
      </c>
      <c r="L471" s="29">
        <f t="shared" si="127"/>
        <v>11371.908376190917</v>
      </c>
      <c r="M471" s="28" t="str">
        <f t="shared" si="115"/>
        <v/>
      </c>
      <c r="N471" s="27" t="str">
        <f t="shared" si="128"/>
        <v/>
      </c>
      <c r="O471" s="26" t="str">
        <f>IF(AND($Q470=$O$38,IFERROR(LARGE($V$176:$V470,1)&lt;$N$42,TRUE)),1,IF(AND(ISNUMBER($O470),$O470&lt;$N$32),$O470+1,""))</f>
        <v/>
      </c>
      <c r="P471" s="26" t="str">
        <f t="shared" si="129"/>
        <v/>
      </c>
      <c r="Q471" s="26" t="str">
        <f t="shared" si="116"/>
        <v/>
      </c>
      <c r="R471" s="24" t="str">
        <f t="shared" si="130"/>
        <v/>
      </c>
      <c r="S471" s="180">
        <f t="shared" si="131"/>
        <v>9</v>
      </c>
      <c r="T471" s="151"/>
      <c r="U471" s="25" t="str">
        <f t="shared" si="117"/>
        <v/>
      </c>
      <c r="V471" s="24" t="str">
        <f>IF(AND(ISNUMBER(R470),ISNUMBER(R471)),V470,IF(AND(R470="",ISNUMBER(R471)),IFERROR(LARGE($V$176:$V470,1)+1,0),""))</f>
        <v/>
      </c>
      <c r="W471" s="23" t="str">
        <f t="shared" si="118"/>
        <v/>
      </c>
      <c r="X471" s="22" t="str">
        <f t="shared" si="119"/>
        <v/>
      </c>
      <c r="Y471" s="22"/>
      <c r="Z471" s="22"/>
      <c r="AA471" s="22"/>
      <c r="AB471" s="22" t="str" cm="1">
        <f t="array" ref="AB471">IF(IF(AND($P470="",$P471=1),($N$37*-1),0)+IF(AND($Q470="",$Q471=1),($N$38*-1),0)+IF(IF(($K471-$N$48)&lt;1,0,IF(IF(INDEX($AD$176:$AD$905,($K471-$N$48))="",0,INDEX($AD$176:$AD$905,($K471-$N$48)))&gt;0,IF(INDEX($AD$176:$AD$905,($K471-$N$48))="",0,INDEX($AD$176:$AD$905,($K471-$N$48))),0))="",0,IF(($K471-$N$48)&lt;1,0,IF(IF(INDEX($AD$176:$AD$905,($K471-$N$48))="",0,INDEX($AD$176:$AD$905,($K471-$N$48)))&gt;0,IF(INDEX($AD$176:$AD$905,($K471-$N$48))="",0,INDEX($AD$176:$AD$905,($K471-$N$48))),0)))=0,"",IF(AND($P470="",$P471=1),($N$37*-1),0)+IF(AND($Q470="",$Q471=1),($N$38*-1),0)+IF(IF(($K471-$N$48)&lt;1,0,IF(IF(INDEX($AD$176:$AD$905,($K471-$N$48))="",0,INDEX($AD$176:$AD$905,($K471-$N$48)))&gt;0,IF(INDEX($AD$176:$AD$905,($K471-$N$48))="",0,INDEX($AD$176:$AD$905,($K471-$N$48))),0))="",0,IF(($K471-$N$48)&lt;1,0,IF(IF(INDEX($AD$176:$AD$905,($K471-$N$48))="",0,INDEX($AD$176:$AD$905,($K471-$N$48)))&gt;0,IF(INDEX($AD$176:$AD$905,($K471-$N$48))="",0,INDEX($AD$176:$AD$905,($K471-$N$48))),0))))</f>
        <v/>
      </c>
      <c r="AC471" s="22" t="str">
        <f t="shared" si="120"/>
        <v/>
      </c>
      <c r="AD471" s="22" t="str">
        <f t="shared" si="132"/>
        <v/>
      </c>
      <c r="AE471" s="22" t="str" cm="1">
        <f t="array" ref="AE471">IF(($K471-$N$48)&lt;1,"",IF((IF(INDEX($AC$176:$AC$905,($K471-$N$48))="",0,INDEX($AC$176:$AC$905,($K471-$N$48))))=0,"",(IF(INDEX($AC$176:$AC$905,($K471-$N$48))="",0,INDEX($AC$176:$AC$905,($K471-$N$48))))))</f>
        <v/>
      </c>
      <c r="AF471" s="31" t="str">
        <f t="shared" si="121"/>
        <v/>
      </c>
      <c r="AG471" s="31" t="str">
        <f t="shared" si="122"/>
        <v/>
      </c>
      <c r="AH471" s="31" t="str">
        <f t="shared" si="123"/>
        <v/>
      </c>
      <c r="AI471" s="31" t="str">
        <f t="shared" si="124"/>
        <v/>
      </c>
      <c r="AJ471" s="303" t="str">
        <f t="shared" si="125"/>
        <v/>
      </c>
      <c r="AK471" s="139" t="str">
        <f t="shared" si="126"/>
        <v/>
      </c>
      <c r="AM471" s="319"/>
      <c r="AN471" s="40"/>
      <c r="AO471" s="1"/>
    </row>
    <row r="472" spans="7:41" x14ac:dyDescent="0.25">
      <c r="G472" s="235" t="str">
        <f t="shared" si="133"/>
        <v/>
      </c>
      <c r="H472" s="4" t="str">
        <f t="shared" si="134"/>
        <v/>
      </c>
      <c r="I472" s="11" t="str">
        <f t="shared" si="114"/>
        <v>09.00</v>
      </c>
      <c r="K472" s="30">
        <v>297</v>
      </c>
      <c r="L472" s="29">
        <f t="shared" si="127"/>
        <v>11371.908376190917</v>
      </c>
      <c r="M472" s="28" t="str">
        <f t="shared" si="115"/>
        <v/>
      </c>
      <c r="N472" s="27" t="str">
        <f t="shared" si="128"/>
        <v/>
      </c>
      <c r="O472" s="26" t="str">
        <f>IF(AND($Q471=$O$38,IFERROR(LARGE($V$176:$V471,1)&lt;$N$42,TRUE)),1,IF(AND(ISNUMBER($O471),$O471&lt;$N$32),$O471+1,""))</f>
        <v/>
      </c>
      <c r="P472" s="26" t="str">
        <f t="shared" si="129"/>
        <v/>
      </c>
      <c r="Q472" s="26" t="str">
        <f t="shared" si="116"/>
        <v/>
      </c>
      <c r="R472" s="24" t="str">
        <f t="shared" si="130"/>
        <v/>
      </c>
      <c r="S472" s="180">
        <f t="shared" si="131"/>
        <v>9</v>
      </c>
      <c r="T472" s="151"/>
      <c r="U472" s="25" t="str">
        <f t="shared" si="117"/>
        <v/>
      </c>
      <c r="V472" s="24" t="str">
        <f>IF(AND(ISNUMBER(R471),ISNUMBER(R472)),V471,IF(AND(R471="",ISNUMBER(R472)),IFERROR(LARGE($V$176:$V471,1)+1,0),""))</f>
        <v/>
      </c>
      <c r="W472" s="23" t="str">
        <f t="shared" si="118"/>
        <v/>
      </c>
      <c r="X472" s="22" t="str">
        <f t="shared" si="119"/>
        <v/>
      </c>
      <c r="Y472" s="22"/>
      <c r="Z472" s="22"/>
      <c r="AA472" s="22"/>
      <c r="AB472" s="22" t="str" cm="1">
        <f t="array" ref="AB472">IF(IF(AND($P471="",$P472=1),($N$37*-1),0)+IF(AND($Q471="",$Q472=1),($N$38*-1),0)+IF(IF(($K472-$N$48)&lt;1,0,IF(IF(INDEX($AD$176:$AD$905,($K472-$N$48))="",0,INDEX($AD$176:$AD$905,($K472-$N$48)))&gt;0,IF(INDEX($AD$176:$AD$905,($K472-$N$48))="",0,INDEX($AD$176:$AD$905,($K472-$N$48))),0))="",0,IF(($K472-$N$48)&lt;1,0,IF(IF(INDEX($AD$176:$AD$905,($K472-$N$48))="",0,INDEX($AD$176:$AD$905,($K472-$N$48)))&gt;0,IF(INDEX($AD$176:$AD$905,($K472-$N$48))="",0,INDEX($AD$176:$AD$905,($K472-$N$48))),0)))=0,"",IF(AND($P471="",$P472=1),($N$37*-1),0)+IF(AND($Q471="",$Q472=1),($N$38*-1),0)+IF(IF(($K472-$N$48)&lt;1,0,IF(IF(INDEX($AD$176:$AD$905,($K472-$N$48))="",0,INDEX($AD$176:$AD$905,($K472-$N$48)))&gt;0,IF(INDEX($AD$176:$AD$905,($K472-$N$48))="",0,INDEX($AD$176:$AD$905,($K472-$N$48))),0))="",0,IF(($K472-$N$48)&lt;1,0,IF(IF(INDEX($AD$176:$AD$905,($K472-$N$48))="",0,INDEX($AD$176:$AD$905,($K472-$N$48)))&gt;0,IF(INDEX($AD$176:$AD$905,($K472-$N$48))="",0,INDEX($AD$176:$AD$905,($K472-$N$48))),0))))</f>
        <v/>
      </c>
      <c r="AC472" s="22" t="str">
        <f t="shared" si="120"/>
        <v/>
      </c>
      <c r="AD472" s="22" t="str">
        <f t="shared" si="132"/>
        <v/>
      </c>
      <c r="AE472" s="22" t="str" cm="1">
        <f t="array" ref="AE472">IF(($K472-$N$48)&lt;1,"",IF((IF(INDEX($AC$176:$AC$905,($K472-$N$48))="",0,INDEX($AC$176:$AC$905,($K472-$N$48))))=0,"",(IF(INDEX($AC$176:$AC$905,($K472-$N$48))="",0,INDEX($AC$176:$AC$905,($K472-$N$48))))))</f>
        <v/>
      </c>
      <c r="AF472" s="31" t="str">
        <f t="shared" si="121"/>
        <v/>
      </c>
      <c r="AG472" s="31" t="str">
        <f t="shared" si="122"/>
        <v/>
      </c>
      <c r="AH472" s="31" t="str">
        <f t="shared" si="123"/>
        <v/>
      </c>
      <c r="AI472" s="31" t="str">
        <f t="shared" si="124"/>
        <v/>
      </c>
      <c r="AJ472" s="303" t="str">
        <f t="shared" si="125"/>
        <v/>
      </c>
      <c r="AK472" s="139" t="str">
        <f t="shared" si="126"/>
        <v/>
      </c>
      <c r="AM472" s="319"/>
      <c r="AN472" s="40"/>
      <c r="AO472" s="1"/>
    </row>
    <row r="473" spans="7:41" x14ac:dyDescent="0.25">
      <c r="G473" s="235" t="str">
        <f t="shared" si="133"/>
        <v/>
      </c>
      <c r="H473" s="4" t="str">
        <f t="shared" si="134"/>
        <v/>
      </c>
      <c r="I473" s="11" t="str">
        <f t="shared" si="114"/>
        <v>09.00</v>
      </c>
      <c r="K473" s="30">
        <v>298</v>
      </c>
      <c r="L473" s="29">
        <f t="shared" si="127"/>
        <v>11371.908376190917</v>
      </c>
      <c r="M473" s="28" t="str">
        <f t="shared" si="115"/>
        <v/>
      </c>
      <c r="N473" s="27" t="str">
        <f t="shared" si="128"/>
        <v/>
      </c>
      <c r="O473" s="26" t="str">
        <f>IF(AND($Q472=$O$38,IFERROR(LARGE($V$176:$V472,1)&lt;$N$42,TRUE)),1,IF(AND(ISNUMBER($O472),$O472&lt;$N$32),$O472+1,""))</f>
        <v/>
      </c>
      <c r="P473" s="26" t="str">
        <f t="shared" si="129"/>
        <v/>
      </c>
      <c r="Q473" s="26" t="str">
        <f t="shared" si="116"/>
        <v/>
      </c>
      <c r="R473" s="24" t="str">
        <f t="shared" si="130"/>
        <v/>
      </c>
      <c r="S473" s="180">
        <f t="shared" si="131"/>
        <v>9</v>
      </c>
      <c r="T473" s="151"/>
      <c r="U473" s="25" t="str">
        <f t="shared" si="117"/>
        <v/>
      </c>
      <c r="V473" s="24" t="str">
        <f>IF(AND(ISNUMBER(R472),ISNUMBER(R473)),V472,IF(AND(R472="",ISNUMBER(R473)),IFERROR(LARGE($V$176:$V472,1)+1,0),""))</f>
        <v/>
      </c>
      <c r="W473" s="23" t="str">
        <f t="shared" si="118"/>
        <v/>
      </c>
      <c r="X473" s="22" t="str">
        <f t="shared" si="119"/>
        <v/>
      </c>
      <c r="Y473" s="22"/>
      <c r="Z473" s="22"/>
      <c r="AA473" s="22"/>
      <c r="AB473" s="22" t="str" cm="1">
        <f t="array" ref="AB473">IF(IF(AND($P472="",$P473=1),($N$37*-1),0)+IF(AND($Q472="",$Q473=1),($N$38*-1),0)+IF(IF(($K473-$N$48)&lt;1,0,IF(IF(INDEX($AD$176:$AD$905,($K473-$N$48))="",0,INDEX($AD$176:$AD$905,($K473-$N$48)))&gt;0,IF(INDEX($AD$176:$AD$905,($K473-$N$48))="",0,INDEX($AD$176:$AD$905,($K473-$N$48))),0))="",0,IF(($K473-$N$48)&lt;1,0,IF(IF(INDEX($AD$176:$AD$905,($K473-$N$48))="",0,INDEX($AD$176:$AD$905,($K473-$N$48)))&gt;0,IF(INDEX($AD$176:$AD$905,($K473-$N$48))="",0,INDEX($AD$176:$AD$905,($K473-$N$48))),0)))=0,"",IF(AND($P472="",$P473=1),($N$37*-1),0)+IF(AND($Q472="",$Q473=1),($N$38*-1),0)+IF(IF(($K473-$N$48)&lt;1,0,IF(IF(INDEX($AD$176:$AD$905,($K473-$N$48))="",0,INDEX($AD$176:$AD$905,($K473-$N$48)))&gt;0,IF(INDEX($AD$176:$AD$905,($K473-$N$48))="",0,INDEX($AD$176:$AD$905,($K473-$N$48))),0))="",0,IF(($K473-$N$48)&lt;1,0,IF(IF(INDEX($AD$176:$AD$905,($K473-$N$48))="",0,INDEX($AD$176:$AD$905,($K473-$N$48)))&gt;0,IF(INDEX($AD$176:$AD$905,($K473-$N$48))="",0,INDEX($AD$176:$AD$905,($K473-$N$48))),0))))</f>
        <v/>
      </c>
      <c r="AC473" s="22" t="str">
        <f t="shared" si="120"/>
        <v/>
      </c>
      <c r="AD473" s="22" t="str">
        <f t="shared" si="132"/>
        <v/>
      </c>
      <c r="AE473" s="22" t="str" cm="1">
        <f t="array" ref="AE473">IF(($K473-$N$48)&lt;1,"",IF((IF(INDEX($AC$176:$AC$905,($K473-$N$48))="",0,INDEX($AC$176:$AC$905,($K473-$N$48))))=0,"",(IF(INDEX($AC$176:$AC$905,($K473-$N$48))="",0,INDEX($AC$176:$AC$905,($K473-$N$48))))))</f>
        <v/>
      </c>
      <c r="AF473" s="31" t="str">
        <f t="shared" si="121"/>
        <v/>
      </c>
      <c r="AG473" s="31" t="str">
        <f t="shared" si="122"/>
        <v/>
      </c>
      <c r="AH473" s="31" t="str">
        <f t="shared" si="123"/>
        <v/>
      </c>
      <c r="AI473" s="31" t="str">
        <f t="shared" si="124"/>
        <v/>
      </c>
      <c r="AJ473" s="303" t="str">
        <f t="shared" si="125"/>
        <v/>
      </c>
      <c r="AK473" s="139" t="str">
        <f t="shared" si="126"/>
        <v/>
      </c>
      <c r="AM473" s="319"/>
      <c r="AN473" s="40"/>
      <c r="AO473" s="1"/>
    </row>
    <row r="474" spans="7:41" x14ac:dyDescent="0.25">
      <c r="G474" s="235" t="str">
        <f t="shared" si="133"/>
        <v/>
      </c>
      <c r="H474" s="4" t="str">
        <f t="shared" si="134"/>
        <v/>
      </c>
      <c r="I474" s="11" t="str">
        <f t="shared" si="114"/>
        <v>09.00</v>
      </c>
      <c r="K474" s="30">
        <v>299</v>
      </c>
      <c r="L474" s="29">
        <f t="shared" si="127"/>
        <v>11371.908376190917</v>
      </c>
      <c r="M474" s="28" t="str">
        <f t="shared" si="115"/>
        <v/>
      </c>
      <c r="N474" s="27" t="str">
        <f t="shared" si="128"/>
        <v/>
      </c>
      <c r="O474" s="26" t="str">
        <f>IF(AND($Q473=$O$38,IFERROR(LARGE($V$176:$V473,1)&lt;$N$42,TRUE)),1,IF(AND(ISNUMBER($O473),$O473&lt;$N$32),$O473+1,""))</f>
        <v/>
      </c>
      <c r="P474" s="26" t="str">
        <f t="shared" si="129"/>
        <v/>
      </c>
      <c r="Q474" s="26" t="str">
        <f t="shared" si="116"/>
        <v/>
      </c>
      <c r="R474" s="24" t="str">
        <f t="shared" si="130"/>
        <v/>
      </c>
      <c r="S474" s="180">
        <f t="shared" si="131"/>
        <v>9</v>
      </c>
      <c r="T474" s="151"/>
      <c r="U474" s="25" t="str">
        <f t="shared" si="117"/>
        <v/>
      </c>
      <c r="V474" s="24" t="str">
        <f>IF(AND(ISNUMBER(R473),ISNUMBER(R474)),V473,IF(AND(R473="",ISNUMBER(R474)),IFERROR(LARGE($V$176:$V473,1)+1,0),""))</f>
        <v/>
      </c>
      <c r="W474" s="23" t="str">
        <f t="shared" si="118"/>
        <v/>
      </c>
      <c r="X474" s="22" t="str">
        <f t="shared" si="119"/>
        <v/>
      </c>
      <c r="Y474" s="22"/>
      <c r="Z474" s="22"/>
      <c r="AA474" s="22"/>
      <c r="AB474" s="22" t="str" cm="1">
        <f t="array" ref="AB474">IF(IF(AND($P473="",$P474=1),($N$37*-1),0)+IF(AND($Q473="",$Q474=1),($N$38*-1),0)+IF(IF(($K474-$N$48)&lt;1,0,IF(IF(INDEX($AD$176:$AD$905,($K474-$N$48))="",0,INDEX($AD$176:$AD$905,($K474-$N$48)))&gt;0,IF(INDEX($AD$176:$AD$905,($K474-$N$48))="",0,INDEX($AD$176:$AD$905,($K474-$N$48))),0))="",0,IF(($K474-$N$48)&lt;1,0,IF(IF(INDEX($AD$176:$AD$905,($K474-$N$48))="",0,INDEX($AD$176:$AD$905,($K474-$N$48)))&gt;0,IF(INDEX($AD$176:$AD$905,($K474-$N$48))="",0,INDEX($AD$176:$AD$905,($K474-$N$48))),0)))=0,"",IF(AND($P473="",$P474=1),($N$37*-1),0)+IF(AND($Q473="",$Q474=1),($N$38*-1),0)+IF(IF(($K474-$N$48)&lt;1,0,IF(IF(INDEX($AD$176:$AD$905,($K474-$N$48))="",0,INDEX($AD$176:$AD$905,($K474-$N$48)))&gt;0,IF(INDEX($AD$176:$AD$905,($K474-$N$48))="",0,INDEX($AD$176:$AD$905,($K474-$N$48))),0))="",0,IF(($K474-$N$48)&lt;1,0,IF(IF(INDEX($AD$176:$AD$905,($K474-$N$48))="",0,INDEX($AD$176:$AD$905,($K474-$N$48)))&gt;0,IF(INDEX($AD$176:$AD$905,($K474-$N$48))="",0,INDEX($AD$176:$AD$905,($K474-$N$48))),0))))</f>
        <v/>
      </c>
      <c r="AC474" s="22" t="str">
        <f t="shared" si="120"/>
        <v/>
      </c>
      <c r="AD474" s="22" t="str">
        <f t="shared" si="132"/>
        <v/>
      </c>
      <c r="AE474" s="22" t="str" cm="1">
        <f t="array" ref="AE474">IF(($K474-$N$48)&lt;1,"",IF((IF(INDEX($AC$176:$AC$905,($K474-$N$48))="",0,INDEX($AC$176:$AC$905,($K474-$N$48))))=0,"",(IF(INDEX($AC$176:$AC$905,($K474-$N$48))="",0,INDEX($AC$176:$AC$905,($K474-$N$48))))))</f>
        <v/>
      </c>
      <c r="AF474" s="31" t="str">
        <f t="shared" si="121"/>
        <v/>
      </c>
      <c r="AG474" s="31" t="str">
        <f t="shared" si="122"/>
        <v/>
      </c>
      <c r="AH474" s="31" t="str">
        <f t="shared" si="123"/>
        <v/>
      </c>
      <c r="AI474" s="31" t="str">
        <f t="shared" si="124"/>
        <v/>
      </c>
      <c r="AJ474" s="303" t="str">
        <f t="shared" si="125"/>
        <v/>
      </c>
      <c r="AK474" s="139" t="str">
        <f t="shared" si="126"/>
        <v/>
      </c>
      <c r="AM474" s="319"/>
      <c r="AN474" s="40"/>
      <c r="AO474" s="1"/>
    </row>
    <row r="475" spans="7:41" x14ac:dyDescent="0.25">
      <c r="G475" s="235" t="str">
        <f t="shared" si="133"/>
        <v/>
      </c>
      <c r="H475" s="4" t="str">
        <f t="shared" si="134"/>
        <v/>
      </c>
      <c r="I475" s="11" t="str">
        <f t="shared" si="114"/>
        <v>09.00</v>
      </c>
      <c r="K475" s="30">
        <v>300</v>
      </c>
      <c r="L475" s="29">
        <f t="shared" si="127"/>
        <v>11371.908376190917</v>
      </c>
      <c r="M475" s="28" t="str">
        <f t="shared" si="115"/>
        <v/>
      </c>
      <c r="N475" s="27" t="str">
        <f t="shared" si="128"/>
        <v/>
      </c>
      <c r="O475" s="26" t="str">
        <f>IF(AND($Q474=$O$38,IFERROR(LARGE($V$176:$V474,1)&lt;$N$42,TRUE)),1,IF(AND(ISNUMBER($O474),$O474&lt;$N$32),$O474+1,""))</f>
        <v/>
      </c>
      <c r="P475" s="26" t="str">
        <f t="shared" si="129"/>
        <v/>
      </c>
      <c r="Q475" s="26" t="str">
        <f t="shared" si="116"/>
        <v/>
      </c>
      <c r="R475" s="24" t="str">
        <f t="shared" si="130"/>
        <v/>
      </c>
      <c r="S475" s="180">
        <f t="shared" si="131"/>
        <v>9</v>
      </c>
      <c r="T475" s="151"/>
      <c r="U475" s="25" t="str">
        <f t="shared" si="117"/>
        <v/>
      </c>
      <c r="V475" s="24" t="str">
        <f>IF(AND(ISNUMBER(R474),ISNUMBER(R475)),V474,IF(AND(R474="",ISNUMBER(R475)),IFERROR(LARGE($V$176:$V474,1)+1,0),""))</f>
        <v/>
      </c>
      <c r="W475" s="23" t="str">
        <f t="shared" si="118"/>
        <v/>
      </c>
      <c r="X475" s="22" t="str">
        <f t="shared" si="119"/>
        <v/>
      </c>
      <c r="Y475" s="22"/>
      <c r="Z475" s="22"/>
      <c r="AA475" s="22"/>
      <c r="AB475" s="22" t="str" cm="1">
        <f t="array" ref="AB475">IF(IF(AND($P474="",$P475=1),($N$37*-1),0)+IF(AND($Q474="",$Q475=1),($N$38*-1),0)+IF(IF(($K475-$N$48)&lt;1,0,IF(IF(INDEX($AD$176:$AD$905,($K475-$N$48))="",0,INDEX($AD$176:$AD$905,($K475-$N$48)))&gt;0,IF(INDEX($AD$176:$AD$905,($K475-$N$48))="",0,INDEX($AD$176:$AD$905,($K475-$N$48))),0))="",0,IF(($K475-$N$48)&lt;1,0,IF(IF(INDEX($AD$176:$AD$905,($K475-$N$48))="",0,INDEX($AD$176:$AD$905,($K475-$N$48)))&gt;0,IF(INDEX($AD$176:$AD$905,($K475-$N$48))="",0,INDEX($AD$176:$AD$905,($K475-$N$48))),0)))=0,"",IF(AND($P474="",$P475=1),($N$37*-1),0)+IF(AND($Q474="",$Q475=1),($N$38*-1),0)+IF(IF(($K475-$N$48)&lt;1,0,IF(IF(INDEX($AD$176:$AD$905,($K475-$N$48))="",0,INDEX($AD$176:$AD$905,($K475-$N$48)))&gt;0,IF(INDEX($AD$176:$AD$905,($K475-$N$48))="",0,INDEX($AD$176:$AD$905,($K475-$N$48))),0))="",0,IF(($K475-$N$48)&lt;1,0,IF(IF(INDEX($AD$176:$AD$905,($K475-$N$48))="",0,INDEX($AD$176:$AD$905,($K475-$N$48)))&gt;0,IF(INDEX($AD$176:$AD$905,($K475-$N$48))="",0,INDEX($AD$176:$AD$905,($K475-$N$48))),0))))</f>
        <v/>
      </c>
      <c r="AC475" s="22" t="str">
        <f t="shared" si="120"/>
        <v/>
      </c>
      <c r="AD475" s="22" t="str">
        <f t="shared" si="132"/>
        <v/>
      </c>
      <c r="AE475" s="22" t="str" cm="1">
        <f t="array" ref="AE475">IF(($K475-$N$48)&lt;1,"",IF((IF(INDEX($AC$176:$AC$905,($K475-$N$48))="",0,INDEX($AC$176:$AC$905,($K475-$N$48))))=0,"",(IF(INDEX($AC$176:$AC$905,($K475-$N$48))="",0,INDEX($AC$176:$AC$905,($K475-$N$48))))))</f>
        <v/>
      </c>
      <c r="AF475" s="31" t="str">
        <f t="shared" si="121"/>
        <v/>
      </c>
      <c r="AG475" s="31" t="str">
        <f t="shared" si="122"/>
        <v/>
      </c>
      <c r="AH475" s="31" t="str">
        <f t="shared" si="123"/>
        <v/>
      </c>
      <c r="AI475" s="31" t="str">
        <f t="shared" si="124"/>
        <v/>
      </c>
      <c r="AJ475" s="303" t="str">
        <f t="shared" si="125"/>
        <v/>
      </c>
      <c r="AK475" s="139" t="str">
        <f t="shared" si="126"/>
        <v/>
      </c>
      <c r="AM475" s="319"/>
      <c r="AN475" s="40"/>
      <c r="AO475" s="1"/>
    </row>
    <row r="476" spans="7:41" x14ac:dyDescent="0.25">
      <c r="G476" s="235" t="str">
        <f t="shared" si="133"/>
        <v/>
      </c>
      <c r="H476" s="4" t="str">
        <f t="shared" si="134"/>
        <v/>
      </c>
      <c r="I476" s="11" t="str">
        <f t="shared" si="114"/>
        <v>09.00</v>
      </c>
      <c r="K476" s="30">
        <v>301</v>
      </c>
      <c r="L476" s="29">
        <f t="shared" si="127"/>
        <v>11371.908376190917</v>
      </c>
      <c r="M476" s="28" t="str">
        <f t="shared" si="115"/>
        <v/>
      </c>
      <c r="N476" s="27" t="str">
        <f t="shared" si="128"/>
        <v/>
      </c>
      <c r="O476" s="26" t="str">
        <f>IF(AND($Q475=$O$38,IFERROR(LARGE($V$176:$V475,1)&lt;$N$42,TRUE)),1,IF(AND(ISNUMBER($O475),$O475&lt;$N$32),$O475+1,""))</f>
        <v/>
      </c>
      <c r="P476" s="26" t="str">
        <f t="shared" si="129"/>
        <v/>
      </c>
      <c r="Q476" s="26" t="str">
        <f t="shared" si="116"/>
        <v/>
      </c>
      <c r="R476" s="24" t="str">
        <f t="shared" si="130"/>
        <v/>
      </c>
      <c r="S476" s="180">
        <f t="shared" si="131"/>
        <v>9</v>
      </c>
      <c r="T476" s="151"/>
      <c r="U476" s="25" t="str">
        <f t="shared" si="117"/>
        <v/>
      </c>
      <c r="V476" s="24" t="str">
        <f>IF(AND(ISNUMBER(R475),ISNUMBER(R476)),V475,IF(AND(R475="",ISNUMBER(R476)),IFERROR(LARGE($V$176:$V475,1)+1,0),""))</f>
        <v/>
      </c>
      <c r="W476" s="23" t="str">
        <f t="shared" si="118"/>
        <v/>
      </c>
      <c r="X476" s="22" t="str">
        <f t="shared" si="119"/>
        <v/>
      </c>
      <c r="Y476" s="22"/>
      <c r="Z476" s="22"/>
      <c r="AA476" s="22"/>
      <c r="AB476" s="22" t="str" cm="1">
        <f t="array" ref="AB476">IF(IF(AND($P475="",$P476=1),($N$37*-1),0)+IF(AND($Q475="",$Q476=1),($N$38*-1),0)+IF(IF(($K476-$N$48)&lt;1,0,IF(IF(INDEX($AD$176:$AD$905,($K476-$N$48))="",0,INDEX($AD$176:$AD$905,($K476-$N$48)))&gt;0,IF(INDEX($AD$176:$AD$905,($K476-$N$48))="",0,INDEX($AD$176:$AD$905,($K476-$N$48))),0))="",0,IF(($K476-$N$48)&lt;1,0,IF(IF(INDEX($AD$176:$AD$905,($K476-$N$48))="",0,INDEX($AD$176:$AD$905,($K476-$N$48)))&gt;0,IF(INDEX($AD$176:$AD$905,($K476-$N$48))="",0,INDEX($AD$176:$AD$905,($K476-$N$48))),0)))=0,"",IF(AND($P475="",$P476=1),($N$37*-1),0)+IF(AND($Q475="",$Q476=1),($N$38*-1),0)+IF(IF(($K476-$N$48)&lt;1,0,IF(IF(INDEX($AD$176:$AD$905,($K476-$N$48))="",0,INDEX($AD$176:$AD$905,($K476-$N$48)))&gt;0,IF(INDEX($AD$176:$AD$905,($K476-$N$48))="",0,INDEX($AD$176:$AD$905,($K476-$N$48))),0))="",0,IF(($K476-$N$48)&lt;1,0,IF(IF(INDEX($AD$176:$AD$905,($K476-$N$48))="",0,INDEX($AD$176:$AD$905,($K476-$N$48)))&gt;0,IF(INDEX($AD$176:$AD$905,($K476-$N$48))="",0,INDEX($AD$176:$AD$905,($K476-$N$48))),0))))</f>
        <v/>
      </c>
      <c r="AC476" s="22" t="str">
        <f t="shared" si="120"/>
        <v/>
      </c>
      <c r="AD476" s="22" t="str">
        <f t="shared" si="132"/>
        <v/>
      </c>
      <c r="AE476" s="22" t="str" cm="1">
        <f t="array" ref="AE476">IF(($K476-$N$48)&lt;1,"",IF((IF(INDEX($AC$176:$AC$905,($K476-$N$48))="",0,INDEX($AC$176:$AC$905,($K476-$N$48))))=0,"",(IF(INDEX($AC$176:$AC$905,($K476-$N$48))="",0,INDEX($AC$176:$AC$905,($K476-$N$48))))))</f>
        <v/>
      </c>
      <c r="AF476" s="31" t="str">
        <f t="shared" si="121"/>
        <v/>
      </c>
      <c r="AG476" s="31" t="str">
        <f t="shared" si="122"/>
        <v/>
      </c>
      <c r="AH476" s="31" t="str">
        <f t="shared" si="123"/>
        <v/>
      </c>
      <c r="AI476" s="31" t="str">
        <f t="shared" si="124"/>
        <v/>
      </c>
      <c r="AJ476" s="303" t="str">
        <f t="shared" si="125"/>
        <v/>
      </c>
      <c r="AK476" s="139" t="str">
        <f t="shared" si="126"/>
        <v/>
      </c>
      <c r="AM476" s="319"/>
      <c r="AN476" s="40"/>
      <c r="AO476" s="1"/>
    </row>
    <row r="477" spans="7:41" x14ac:dyDescent="0.25">
      <c r="G477" s="235" t="str">
        <f t="shared" si="133"/>
        <v/>
      </c>
      <c r="H477" s="4" t="str">
        <f t="shared" si="134"/>
        <v/>
      </c>
      <c r="I477" s="11" t="str">
        <f t="shared" si="114"/>
        <v>09.00</v>
      </c>
      <c r="K477" s="30">
        <v>302</v>
      </c>
      <c r="L477" s="29">
        <f t="shared" si="127"/>
        <v>11371.908376190917</v>
      </c>
      <c r="M477" s="28" t="str">
        <f t="shared" si="115"/>
        <v/>
      </c>
      <c r="N477" s="27" t="str">
        <f t="shared" si="128"/>
        <v/>
      </c>
      <c r="O477" s="26" t="str">
        <f>IF(AND($Q476=$O$38,IFERROR(LARGE($V$176:$V476,1)&lt;$N$42,TRUE)),1,IF(AND(ISNUMBER($O476),$O476&lt;$N$32),$O476+1,""))</f>
        <v/>
      </c>
      <c r="P477" s="26" t="str">
        <f t="shared" si="129"/>
        <v/>
      </c>
      <c r="Q477" s="26" t="str">
        <f t="shared" si="116"/>
        <v/>
      </c>
      <c r="R477" s="24" t="str">
        <f t="shared" si="130"/>
        <v/>
      </c>
      <c r="S477" s="180">
        <f t="shared" si="131"/>
        <v>9</v>
      </c>
      <c r="T477" s="151"/>
      <c r="U477" s="25" t="str">
        <f t="shared" si="117"/>
        <v/>
      </c>
      <c r="V477" s="24" t="str">
        <f>IF(AND(ISNUMBER(R476),ISNUMBER(R477)),V476,IF(AND(R476="",ISNUMBER(R477)),IFERROR(LARGE($V$176:$V476,1)+1,0),""))</f>
        <v/>
      </c>
      <c r="W477" s="23" t="str">
        <f t="shared" si="118"/>
        <v/>
      </c>
      <c r="X477" s="22" t="str">
        <f t="shared" si="119"/>
        <v/>
      </c>
      <c r="Y477" s="22"/>
      <c r="Z477" s="22"/>
      <c r="AA477" s="22"/>
      <c r="AB477" s="22" t="str" cm="1">
        <f t="array" ref="AB477">IF(IF(AND($P476="",$P477=1),($N$37*-1),0)+IF(AND($Q476="",$Q477=1),($N$38*-1),0)+IF(IF(($K477-$N$48)&lt;1,0,IF(IF(INDEX($AD$176:$AD$905,($K477-$N$48))="",0,INDEX($AD$176:$AD$905,($K477-$N$48)))&gt;0,IF(INDEX($AD$176:$AD$905,($K477-$N$48))="",0,INDEX($AD$176:$AD$905,($K477-$N$48))),0))="",0,IF(($K477-$N$48)&lt;1,0,IF(IF(INDEX($AD$176:$AD$905,($K477-$N$48))="",0,INDEX($AD$176:$AD$905,($K477-$N$48)))&gt;0,IF(INDEX($AD$176:$AD$905,($K477-$N$48))="",0,INDEX($AD$176:$AD$905,($K477-$N$48))),0)))=0,"",IF(AND($P476="",$P477=1),($N$37*-1),0)+IF(AND($Q476="",$Q477=1),($N$38*-1),0)+IF(IF(($K477-$N$48)&lt;1,0,IF(IF(INDEX($AD$176:$AD$905,($K477-$N$48))="",0,INDEX($AD$176:$AD$905,($K477-$N$48)))&gt;0,IF(INDEX($AD$176:$AD$905,($K477-$N$48))="",0,INDEX($AD$176:$AD$905,($K477-$N$48))),0))="",0,IF(($K477-$N$48)&lt;1,0,IF(IF(INDEX($AD$176:$AD$905,($K477-$N$48))="",0,INDEX($AD$176:$AD$905,($K477-$N$48)))&gt;0,IF(INDEX($AD$176:$AD$905,($K477-$N$48))="",0,INDEX($AD$176:$AD$905,($K477-$N$48))),0))))</f>
        <v/>
      </c>
      <c r="AC477" s="22" t="str">
        <f t="shared" si="120"/>
        <v/>
      </c>
      <c r="AD477" s="22" t="str">
        <f t="shared" si="132"/>
        <v/>
      </c>
      <c r="AE477" s="22" t="str" cm="1">
        <f t="array" ref="AE477">IF(($K477-$N$48)&lt;1,"",IF((IF(INDEX($AC$176:$AC$905,($K477-$N$48))="",0,INDEX($AC$176:$AC$905,($K477-$N$48))))=0,"",(IF(INDEX($AC$176:$AC$905,($K477-$N$48))="",0,INDEX($AC$176:$AC$905,($K477-$N$48))))))</f>
        <v/>
      </c>
      <c r="AF477" s="31" t="str">
        <f t="shared" si="121"/>
        <v/>
      </c>
      <c r="AG477" s="31" t="str">
        <f t="shared" si="122"/>
        <v/>
      </c>
      <c r="AH477" s="31" t="str">
        <f t="shared" si="123"/>
        <v/>
      </c>
      <c r="AI477" s="31" t="str">
        <f t="shared" si="124"/>
        <v/>
      </c>
      <c r="AJ477" s="303" t="str">
        <f t="shared" si="125"/>
        <v/>
      </c>
      <c r="AK477" s="139" t="str">
        <f t="shared" si="126"/>
        <v/>
      </c>
      <c r="AM477" s="319"/>
      <c r="AN477" s="40"/>
      <c r="AO477" s="1"/>
    </row>
    <row r="478" spans="7:41" x14ac:dyDescent="0.25">
      <c r="G478" s="235" t="str">
        <f t="shared" si="133"/>
        <v/>
      </c>
      <c r="H478" s="4" t="str">
        <f t="shared" si="134"/>
        <v/>
      </c>
      <c r="I478" s="11" t="str">
        <f t="shared" si="114"/>
        <v>09.00</v>
      </c>
      <c r="K478" s="30">
        <v>303</v>
      </c>
      <c r="L478" s="29">
        <f t="shared" si="127"/>
        <v>11371.908376190917</v>
      </c>
      <c r="M478" s="28" t="str">
        <f t="shared" si="115"/>
        <v/>
      </c>
      <c r="N478" s="27" t="str">
        <f t="shared" si="128"/>
        <v/>
      </c>
      <c r="O478" s="26" t="str">
        <f>IF(AND($Q477=$O$38,IFERROR(LARGE($V$176:$V477,1)&lt;$N$42,TRUE)),1,IF(AND(ISNUMBER($O477),$O477&lt;$N$32),$O477+1,""))</f>
        <v/>
      </c>
      <c r="P478" s="26" t="str">
        <f t="shared" si="129"/>
        <v/>
      </c>
      <c r="Q478" s="26" t="str">
        <f t="shared" si="116"/>
        <v/>
      </c>
      <c r="R478" s="24" t="str">
        <f t="shared" si="130"/>
        <v/>
      </c>
      <c r="S478" s="180">
        <f t="shared" si="131"/>
        <v>9</v>
      </c>
      <c r="T478" s="151"/>
      <c r="U478" s="25" t="str">
        <f t="shared" si="117"/>
        <v/>
      </c>
      <c r="V478" s="24" t="str">
        <f>IF(AND(ISNUMBER(R477),ISNUMBER(R478)),V477,IF(AND(R477="",ISNUMBER(R478)),IFERROR(LARGE($V$176:$V477,1)+1,0),""))</f>
        <v/>
      </c>
      <c r="W478" s="23" t="str">
        <f t="shared" si="118"/>
        <v/>
      </c>
      <c r="X478" s="22" t="str">
        <f t="shared" si="119"/>
        <v/>
      </c>
      <c r="Y478" s="22"/>
      <c r="Z478" s="22"/>
      <c r="AA478" s="22"/>
      <c r="AB478" s="22" t="str" cm="1">
        <f t="array" ref="AB478">IF(IF(AND($P477="",$P478=1),($N$37*-1),0)+IF(AND($Q477="",$Q478=1),($N$38*-1),0)+IF(IF(($K478-$N$48)&lt;1,0,IF(IF(INDEX($AD$176:$AD$905,($K478-$N$48))="",0,INDEX($AD$176:$AD$905,($K478-$N$48)))&gt;0,IF(INDEX($AD$176:$AD$905,($K478-$N$48))="",0,INDEX($AD$176:$AD$905,($K478-$N$48))),0))="",0,IF(($K478-$N$48)&lt;1,0,IF(IF(INDEX($AD$176:$AD$905,($K478-$N$48))="",0,INDEX($AD$176:$AD$905,($K478-$N$48)))&gt;0,IF(INDEX($AD$176:$AD$905,($K478-$N$48))="",0,INDEX($AD$176:$AD$905,($K478-$N$48))),0)))=0,"",IF(AND($P477="",$P478=1),($N$37*-1),0)+IF(AND($Q477="",$Q478=1),($N$38*-1),0)+IF(IF(($K478-$N$48)&lt;1,0,IF(IF(INDEX($AD$176:$AD$905,($K478-$N$48))="",0,INDEX($AD$176:$AD$905,($K478-$N$48)))&gt;0,IF(INDEX($AD$176:$AD$905,($K478-$N$48))="",0,INDEX($AD$176:$AD$905,($K478-$N$48))),0))="",0,IF(($K478-$N$48)&lt;1,0,IF(IF(INDEX($AD$176:$AD$905,($K478-$N$48))="",0,INDEX($AD$176:$AD$905,($K478-$N$48)))&gt;0,IF(INDEX($AD$176:$AD$905,($K478-$N$48))="",0,INDEX($AD$176:$AD$905,($K478-$N$48))),0))))</f>
        <v/>
      </c>
      <c r="AC478" s="22" t="str">
        <f t="shared" si="120"/>
        <v/>
      </c>
      <c r="AD478" s="22" t="str">
        <f t="shared" si="132"/>
        <v/>
      </c>
      <c r="AE478" s="22" t="str" cm="1">
        <f t="array" ref="AE478">IF(($K478-$N$48)&lt;1,"",IF((IF(INDEX($AC$176:$AC$905,($K478-$N$48))="",0,INDEX($AC$176:$AC$905,($K478-$N$48))))=0,"",(IF(INDEX($AC$176:$AC$905,($K478-$N$48))="",0,INDEX($AC$176:$AC$905,($K478-$N$48))))))</f>
        <v/>
      </c>
      <c r="AF478" s="31" t="str">
        <f t="shared" si="121"/>
        <v/>
      </c>
      <c r="AG478" s="31" t="str">
        <f t="shared" si="122"/>
        <v/>
      </c>
      <c r="AH478" s="31" t="str">
        <f t="shared" si="123"/>
        <v/>
      </c>
      <c r="AI478" s="31" t="str">
        <f t="shared" si="124"/>
        <v/>
      </c>
      <c r="AJ478" s="303" t="str">
        <f t="shared" si="125"/>
        <v/>
      </c>
      <c r="AK478" s="139" t="str">
        <f t="shared" si="126"/>
        <v/>
      </c>
      <c r="AM478" s="319"/>
      <c r="AN478" s="40"/>
      <c r="AO478" s="1"/>
    </row>
    <row r="479" spans="7:41" x14ac:dyDescent="0.25">
      <c r="G479" s="235" t="str">
        <f t="shared" si="133"/>
        <v/>
      </c>
      <c r="H479" s="4" t="str">
        <f t="shared" si="134"/>
        <v/>
      </c>
      <c r="I479" s="11" t="str">
        <f t="shared" si="114"/>
        <v>09.00</v>
      </c>
      <c r="K479" s="30">
        <v>304</v>
      </c>
      <c r="L479" s="29">
        <f t="shared" si="127"/>
        <v>11371.908376190917</v>
      </c>
      <c r="M479" s="28" t="str">
        <f t="shared" si="115"/>
        <v/>
      </c>
      <c r="N479" s="27" t="str">
        <f t="shared" si="128"/>
        <v/>
      </c>
      <c r="O479" s="26" t="str">
        <f>IF(AND($Q478=$O$38,IFERROR(LARGE($V$176:$V478,1)&lt;$N$42,TRUE)),1,IF(AND(ISNUMBER($O478),$O478&lt;$N$32),$O478+1,""))</f>
        <v/>
      </c>
      <c r="P479" s="26" t="str">
        <f t="shared" si="129"/>
        <v/>
      </c>
      <c r="Q479" s="26" t="str">
        <f t="shared" si="116"/>
        <v/>
      </c>
      <c r="R479" s="24" t="str">
        <f t="shared" si="130"/>
        <v/>
      </c>
      <c r="S479" s="180">
        <f t="shared" si="131"/>
        <v>9</v>
      </c>
      <c r="T479" s="151"/>
      <c r="U479" s="25" t="str">
        <f t="shared" si="117"/>
        <v/>
      </c>
      <c r="V479" s="24" t="str">
        <f>IF(AND(ISNUMBER(R478),ISNUMBER(R479)),V478,IF(AND(R478="",ISNUMBER(R479)),IFERROR(LARGE($V$176:$V478,1)+1,0),""))</f>
        <v/>
      </c>
      <c r="W479" s="23" t="str">
        <f t="shared" si="118"/>
        <v/>
      </c>
      <c r="X479" s="22" t="str">
        <f t="shared" si="119"/>
        <v/>
      </c>
      <c r="Y479" s="22"/>
      <c r="Z479" s="22"/>
      <c r="AA479" s="22"/>
      <c r="AB479" s="22" t="str" cm="1">
        <f t="array" ref="AB479">IF(IF(AND($P478="",$P479=1),($N$37*-1),0)+IF(AND($Q478="",$Q479=1),($N$38*-1),0)+IF(IF(($K479-$N$48)&lt;1,0,IF(IF(INDEX($AD$176:$AD$905,($K479-$N$48))="",0,INDEX($AD$176:$AD$905,($K479-$N$48)))&gt;0,IF(INDEX($AD$176:$AD$905,($K479-$N$48))="",0,INDEX($AD$176:$AD$905,($K479-$N$48))),0))="",0,IF(($K479-$N$48)&lt;1,0,IF(IF(INDEX($AD$176:$AD$905,($K479-$N$48))="",0,INDEX($AD$176:$AD$905,($K479-$N$48)))&gt;0,IF(INDEX($AD$176:$AD$905,($K479-$N$48))="",0,INDEX($AD$176:$AD$905,($K479-$N$48))),0)))=0,"",IF(AND($P478="",$P479=1),($N$37*-1),0)+IF(AND($Q478="",$Q479=1),($N$38*-1),0)+IF(IF(($K479-$N$48)&lt;1,0,IF(IF(INDEX($AD$176:$AD$905,($K479-$N$48))="",0,INDEX($AD$176:$AD$905,($K479-$N$48)))&gt;0,IF(INDEX($AD$176:$AD$905,($K479-$N$48))="",0,INDEX($AD$176:$AD$905,($K479-$N$48))),0))="",0,IF(($K479-$N$48)&lt;1,0,IF(IF(INDEX($AD$176:$AD$905,($K479-$N$48))="",0,INDEX($AD$176:$AD$905,($K479-$N$48)))&gt;0,IF(INDEX($AD$176:$AD$905,($K479-$N$48))="",0,INDEX($AD$176:$AD$905,($K479-$N$48))),0))))</f>
        <v/>
      </c>
      <c r="AC479" s="22" t="str">
        <f t="shared" si="120"/>
        <v/>
      </c>
      <c r="AD479" s="22" t="str">
        <f t="shared" si="132"/>
        <v/>
      </c>
      <c r="AE479" s="22" t="str" cm="1">
        <f t="array" ref="AE479">IF(($K479-$N$48)&lt;1,"",IF((IF(INDEX($AC$176:$AC$905,($K479-$N$48))="",0,INDEX($AC$176:$AC$905,($K479-$N$48))))=0,"",(IF(INDEX($AC$176:$AC$905,($K479-$N$48))="",0,INDEX($AC$176:$AC$905,($K479-$N$48))))))</f>
        <v/>
      </c>
      <c r="AF479" s="31" t="str">
        <f t="shared" si="121"/>
        <v/>
      </c>
      <c r="AG479" s="31" t="str">
        <f t="shared" si="122"/>
        <v/>
      </c>
      <c r="AH479" s="31" t="str">
        <f t="shared" si="123"/>
        <v/>
      </c>
      <c r="AI479" s="31" t="str">
        <f t="shared" si="124"/>
        <v/>
      </c>
      <c r="AJ479" s="303" t="str">
        <f t="shared" si="125"/>
        <v/>
      </c>
      <c r="AK479" s="139" t="str">
        <f t="shared" si="126"/>
        <v/>
      </c>
      <c r="AM479" s="319"/>
      <c r="AN479" s="40"/>
      <c r="AO479" s="1"/>
    </row>
    <row r="480" spans="7:41" x14ac:dyDescent="0.25">
      <c r="G480" s="235" t="str">
        <f t="shared" si="133"/>
        <v/>
      </c>
      <c r="H480" s="4" t="str">
        <f t="shared" si="134"/>
        <v/>
      </c>
      <c r="I480" s="11" t="str">
        <f t="shared" si="114"/>
        <v>09.00</v>
      </c>
      <c r="K480" s="30">
        <v>305</v>
      </c>
      <c r="L480" s="29">
        <f t="shared" si="127"/>
        <v>11371.908376190917</v>
      </c>
      <c r="M480" s="28" t="str">
        <f t="shared" si="115"/>
        <v/>
      </c>
      <c r="N480" s="27" t="str">
        <f t="shared" si="128"/>
        <v/>
      </c>
      <c r="O480" s="26" t="str">
        <f>IF(AND($Q479=$O$38,IFERROR(LARGE($V$176:$V479,1)&lt;$N$42,TRUE)),1,IF(AND(ISNUMBER($O479),$O479&lt;$N$32),$O479+1,""))</f>
        <v/>
      </c>
      <c r="P480" s="26" t="str">
        <f t="shared" si="129"/>
        <v/>
      </c>
      <c r="Q480" s="26" t="str">
        <f t="shared" si="116"/>
        <v/>
      </c>
      <c r="R480" s="24" t="str">
        <f t="shared" si="130"/>
        <v/>
      </c>
      <c r="S480" s="180">
        <f t="shared" si="131"/>
        <v>9</v>
      </c>
      <c r="T480" s="151"/>
      <c r="U480" s="25" t="str">
        <f t="shared" si="117"/>
        <v/>
      </c>
      <c r="V480" s="24" t="str">
        <f>IF(AND(ISNUMBER(R479),ISNUMBER(R480)),V479,IF(AND(R479="",ISNUMBER(R480)),IFERROR(LARGE($V$176:$V479,1)+1,0),""))</f>
        <v/>
      </c>
      <c r="W480" s="23" t="str">
        <f t="shared" si="118"/>
        <v/>
      </c>
      <c r="X480" s="22" t="str">
        <f t="shared" si="119"/>
        <v/>
      </c>
      <c r="Y480" s="22"/>
      <c r="Z480" s="22"/>
      <c r="AA480" s="22"/>
      <c r="AB480" s="22" t="str" cm="1">
        <f t="array" ref="AB480">IF(IF(AND($P479="",$P480=1),($N$37*-1),0)+IF(AND($Q479="",$Q480=1),($N$38*-1),0)+IF(IF(($K480-$N$48)&lt;1,0,IF(IF(INDEX($AD$176:$AD$905,($K480-$N$48))="",0,INDEX($AD$176:$AD$905,($K480-$N$48)))&gt;0,IF(INDEX($AD$176:$AD$905,($K480-$N$48))="",0,INDEX($AD$176:$AD$905,($K480-$N$48))),0))="",0,IF(($K480-$N$48)&lt;1,0,IF(IF(INDEX($AD$176:$AD$905,($K480-$N$48))="",0,INDEX($AD$176:$AD$905,($K480-$N$48)))&gt;0,IF(INDEX($AD$176:$AD$905,($K480-$N$48))="",0,INDEX($AD$176:$AD$905,($K480-$N$48))),0)))=0,"",IF(AND($P479="",$P480=1),($N$37*-1),0)+IF(AND($Q479="",$Q480=1),($N$38*-1),0)+IF(IF(($K480-$N$48)&lt;1,0,IF(IF(INDEX($AD$176:$AD$905,($K480-$N$48))="",0,INDEX($AD$176:$AD$905,($K480-$N$48)))&gt;0,IF(INDEX($AD$176:$AD$905,($K480-$N$48))="",0,INDEX($AD$176:$AD$905,($K480-$N$48))),0))="",0,IF(($K480-$N$48)&lt;1,0,IF(IF(INDEX($AD$176:$AD$905,($K480-$N$48))="",0,INDEX($AD$176:$AD$905,($K480-$N$48)))&gt;0,IF(INDEX($AD$176:$AD$905,($K480-$N$48))="",0,INDEX($AD$176:$AD$905,($K480-$N$48))),0))))</f>
        <v/>
      </c>
      <c r="AC480" s="22" t="str">
        <f t="shared" si="120"/>
        <v/>
      </c>
      <c r="AD480" s="22" t="str">
        <f t="shared" si="132"/>
        <v/>
      </c>
      <c r="AE480" s="22" t="str" cm="1">
        <f t="array" ref="AE480">IF(($K480-$N$48)&lt;1,"",IF((IF(INDEX($AC$176:$AC$905,($K480-$N$48))="",0,INDEX($AC$176:$AC$905,($K480-$N$48))))=0,"",(IF(INDEX($AC$176:$AC$905,($K480-$N$48))="",0,INDEX($AC$176:$AC$905,($K480-$N$48))))))</f>
        <v/>
      </c>
      <c r="AF480" s="31" t="str">
        <f t="shared" si="121"/>
        <v/>
      </c>
      <c r="AG480" s="31" t="str">
        <f t="shared" si="122"/>
        <v/>
      </c>
      <c r="AH480" s="31" t="str">
        <f t="shared" si="123"/>
        <v/>
      </c>
      <c r="AI480" s="31" t="str">
        <f t="shared" si="124"/>
        <v/>
      </c>
      <c r="AJ480" s="303" t="str">
        <f t="shared" si="125"/>
        <v/>
      </c>
      <c r="AK480" s="139" t="str">
        <f t="shared" si="126"/>
        <v/>
      </c>
      <c r="AM480" s="319"/>
      <c r="AN480" s="40"/>
      <c r="AO480" s="1"/>
    </row>
    <row r="481" spans="7:41" x14ac:dyDescent="0.25">
      <c r="G481" s="235" t="str">
        <f t="shared" si="133"/>
        <v/>
      </c>
      <c r="H481" s="4" t="str">
        <f t="shared" si="134"/>
        <v/>
      </c>
      <c r="I481" s="11" t="str">
        <f t="shared" si="114"/>
        <v>09.00</v>
      </c>
      <c r="K481" s="30">
        <v>306</v>
      </c>
      <c r="L481" s="29">
        <f t="shared" si="127"/>
        <v>11371.908376190917</v>
      </c>
      <c r="M481" s="28" t="str">
        <f t="shared" si="115"/>
        <v/>
      </c>
      <c r="N481" s="27" t="str">
        <f t="shared" si="128"/>
        <v/>
      </c>
      <c r="O481" s="26" t="str">
        <f>IF(AND($Q480=$O$38,IFERROR(LARGE($V$176:$V480,1)&lt;$N$42,TRUE)),1,IF(AND(ISNUMBER($O480),$O480&lt;$N$32),$O480+1,""))</f>
        <v/>
      </c>
      <c r="P481" s="26" t="str">
        <f t="shared" si="129"/>
        <v/>
      </c>
      <c r="Q481" s="26" t="str">
        <f t="shared" si="116"/>
        <v/>
      </c>
      <c r="R481" s="24" t="str">
        <f t="shared" si="130"/>
        <v/>
      </c>
      <c r="S481" s="180">
        <f t="shared" si="131"/>
        <v>9</v>
      </c>
      <c r="T481" s="151"/>
      <c r="U481" s="25" t="str">
        <f t="shared" si="117"/>
        <v/>
      </c>
      <c r="V481" s="24" t="str">
        <f>IF(AND(ISNUMBER(R480),ISNUMBER(R481)),V480,IF(AND(R480="",ISNUMBER(R481)),IFERROR(LARGE($V$176:$V480,1)+1,0),""))</f>
        <v/>
      </c>
      <c r="W481" s="23" t="str">
        <f t="shared" si="118"/>
        <v/>
      </c>
      <c r="X481" s="22" t="str">
        <f t="shared" si="119"/>
        <v/>
      </c>
      <c r="Y481" s="22"/>
      <c r="Z481" s="22"/>
      <c r="AA481" s="22"/>
      <c r="AB481" s="22" t="str" cm="1">
        <f t="array" ref="AB481">IF(IF(AND($P480="",$P481=1),($N$37*-1),0)+IF(AND($Q480="",$Q481=1),($N$38*-1),0)+IF(IF(($K481-$N$48)&lt;1,0,IF(IF(INDEX($AD$176:$AD$905,($K481-$N$48))="",0,INDEX($AD$176:$AD$905,($K481-$N$48)))&gt;0,IF(INDEX($AD$176:$AD$905,($K481-$N$48))="",0,INDEX($AD$176:$AD$905,($K481-$N$48))),0))="",0,IF(($K481-$N$48)&lt;1,0,IF(IF(INDEX($AD$176:$AD$905,($K481-$N$48))="",0,INDEX($AD$176:$AD$905,($K481-$N$48)))&gt;0,IF(INDEX($AD$176:$AD$905,($K481-$N$48))="",0,INDEX($AD$176:$AD$905,($K481-$N$48))),0)))=0,"",IF(AND($P480="",$P481=1),($N$37*-1),0)+IF(AND($Q480="",$Q481=1),($N$38*-1),0)+IF(IF(($K481-$N$48)&lt;1,0,IF(IF(INDEX($AD$176:$AD$905,($K481-$N$48))="",0,INDEX($AD$176:$AD$905,($K481-$N$48)))&gt;0,IF(INDEX($AD$176:$AD$905,($K481-$N$48))="",0,INDEX($AD$176:$AD$905,($K481-$N$48))),0))="",0,IF(($K481-$N$48)&lt;1,0,IF(IF(INDEX($AD$176:$AD$905,($K481-$N$48))="",0,INDEX($AD$176:$AD$905,($K481-$N$48)))&gt;0,IF(INDEX($AD$176:$AD$905,($K481-$N$48))="",0,INDEX($AD$176:$AD$905,($K481-$N$48))),0))))</f>
        <v/>
      </c>
      <c r="AC481" s="22" t="str">
        <f t="shared" si="120"/>
        <v/>
      </c>
      <c r="AD481" s="22" t="str">
        <f t="shared" si="132"/>
        <v/>
      </c>
      <c r="AE481" s="22" t="str" cm="1">
        <f t="array" ref="AE481">IF(($K481-$N$48)&lt;1,"",IF((IF(INDEX($AC$176:$AC$905,($K481-$N$48))="",0,INDEX($AC$176:$AC$905,($K481-$N$48))))=0,"",(IF(INDEX($AC$176:$AC$905,($K481-$N$48))="",0,INDEX($AC$176:$AC$905,($K481-$N$48))))))</f>
        <v/>
      </c>
      <c r="AF481" s="31" t="str">
        <f t="shared" si="121"/>
        <v/>
      </c>
      <c r="AG481" s="31" t="str">
        <f t="shared" si="122"/>
        <v/>
      </c>
      <c r="AH481" s="31" t="str">
        <f t="shared" si="123"/>
        <v/>
      </c>
      <c r="AI481" s="31" t="str">
        <f t="shared" si="124"/>
        <v/>
      </c>
      <c r="AJ481" s="303" t="str">
        <f t="shared" si="125"/>
        <v/>
      </c>
      <c r="AK481" s="139" t="str">
        <f t="shared" si="126"/>
        <v/>
      </c>
      <c r="AM481" s="319"/>
      <c r="AN481" s="40"/>
      <c r="AO481" s="1"/>
    </row>
    <row r="482" spans="7:41" x14ac:dyDescent="0.25">
      <c r="G482" s="235" t="str">
        <f t="shared" si="133"/>
        <v/>
      </c>
      <c r="H482" s="4" t="str">
        <f t="shared" si="134"/>
        <v/>
      </c>
      <c r="I482" s="11" t="str">
        <f t="shared" si="114"/>
        <v>09.00</v>
      </c>
      <c r="K482" s="30">
        <v>307</v>
      </c>
      <c r="L482" s="29">
        <f t="shared" si="127"/>
        <v>11371.908376190917</v>
      </c>
      <c r="M482" s="28" t="str">
        <f t="shared" si="115"/>
        <v/>
      </c>
      <c r="N482" s="27" t="str">
        <f t="shared" si="128"/>
        <v/>
      </c>
      <c r="O482" s="26" t="str">
        <f>IF(AND($Q481=$O$38,IFERROR(LARGE($V$176:$V481,1)&lt;$N$42,TRUE)),1,IF(AND(ISNUMBER($O481),$O481&lt;$N$32),$O481+1,""))</f>
        <v/>
      </c>
      <c r="P482" s="26" t="str">
        <f t="shared" si="129"/>
        <v/>
      </c>
      <c r="Q482" s="26" t="str">
        <f t="shared" si="116"/>
        <v/>
      </c>
      <c r="R482" s="24" t="str">
        <f t="shared" si="130"/>
        <v/>
      </c>
      <c r="S482" s="180">
        <f t="shared" si="131"/>
        <v>9</v>
      </c>
      <c r="T482" s="151"/>
      <c r="U482" s="25" t="str">
        <f t="shared" si="117"/>
        <v/>
      </c>
      <c r="V482" s="24" t="str">
        <f>IF(AND(ISNUMBER(R481),ISNUMBER(R482)),V481,IF(AND(R481="",ISNUMBER(R482)),IFERROR(LARGE($V$176:$V481,1)+1,0),""))</f>
        <v/>
      </c>
      <c r="W482" s="23" t="str">
        <f t="shared" si="118"/>
        <v/>
      </c>
      <c r="X482" s="22" t="str">
        <f t="shared" si="119"/>
        <v/>
      </c>
      <c r="Y482" s="22"/>
      <c r="Z482" s="22"/>
      <c r="AA482" s="22"/>
      <c r="AB482" s="22" t="str" cm="1">
        <f t="array" ref="AB482">IF(IF(AND($P481="",$P482=1),($N$37*-1),0)+IF(AND($Q481="",$Q482=1),($N$38*-1),0)+IF(IF(($K482-$N$48)&lt;1,0,IF(IF(INDEX($AD$176:$AD$905,($K482-$N$48))="",0,INDEX($AD$176:$AD$905,($K482-$N$48)))&gt;0,IF(INDEX($AD$176:$AD$905,($K482-$N$48))="",0,INDEX($AD$176:$AD$905,($K482-$N$48))),0))="",0,IF(($K482-$N$48)&lt;1,0,IF(IF(INDEX($AD$176:$AD$905,($K482-$N$48))="",0,INDEX($AD$176:$AD$905,($K482-$N$48)))&gt;0,IF(INDEX($AD$176:$AD$905,($K482-$N$48))="",0,INDEX($AD$176:$AD$905,($K482-$N$48))),0)))=0,"",IF(AND($P481="",$P482=1),($N$37*-1),0)+IF(AND($Q481="",$Q482=1),($N$38*-1),0)+IF(IF(($K482-$N$48)&lt;1,0,IF(IF(INDEX($AD$176:$AD$905,($K482-$N$48))="",0,INDEX($AD$176:$AD$905,($K482-$N$48)))&gt;0,IF(INDEX($AD$176:$AD$905,($K482-$N$48))="",0,INDEX($AD$176:$AD$905,($K482-$N$48))),0))="",0,IF(($K482-$N$48)&lt;1,0,IF(IF(INDEX($AD$176:$AD$905,($K482-$N$48))="",0,INDEX($AD$176:$AD$905,($K482-$N$48)))&gt;0,IF(INDEX($AD$176:$AD$905,($K482-$N$48))="",0,INDEX($AD$176:$AD$905,($K482-$N$48))),0))))</f>
        <v/>
      </c>
      <c r="AC482" s="22" t="str">
        <f t="shared" si="120"/>
        <v/>
      </c>
      <c r="AD482" s="22" t="str">
        <f t="shared" si="132"/>
        <v/>
      </c>
      <c r="AE482" s="22" t="str" cm="1">
        <f t="array" ref="AE482">IF(($K482-$N$48)&lt;1,"",IF((IF(INDEX($AC$176:$AC$905,($K482-$N$48))="",0,INDEX($AC$176:$AC$905,($K482-$N$48))))=0,"",(IF(INDEX($AC$176:$AC$905,($K482-$N$48))="",0,INDEX($AC$176:$AC$905,($K482-$N$48))))))</f>
        <v/>
      </c>
      <c r="AF482" s="31" t="str">
        <f t="shared" si="121"/>
        <v/>
      </c>
      <c r="AG482" s="31" t="str">
        <f t="shared" si="122"/>
        <v/>
      </c>
      <c r="AH482" s="31" t="str">
        <f t="shared" si="123"/>
        <v/>
      </c>
      <c r="AI482" s="31" t="str">
        <f t="shared" si="124"/>
        <v/>
      </c>
      <c r="AJ482" s="303" t="str">
        <f t="shared" si="125"/>
        <v/>
      </c>
      <c r="AK482" s="139" t="str">
        <f t="shared" si="126"/>
        <v/>
      </c>
      <c r="AM482" s="319"/>
      <c r="AN482" s="40"/>
      <c r="AO482" s="1"/>
    </row>
    <row r="483" spans="7:41" x14ac:dyDescent="0.25">
      <c r="G483" s="235" t="str">
        <f t="shared" si="133"/>
        <v/>
      </c>
      <c r="H483" s="4" t="str">
        <f t="shared" si="134"/>
        <v/>
      </c>
      <c r="I483" s="11" t="str">
        <f t="shared" si="114"/>
        <v>09.00</v>
      </c>
      <c r="K483" s="30">
        <v>308</v>
      </c>
      <c r="L483" s="29">
        <f t="shared" si="127"/>
        <v>11371.908376190917</v>
      </c>
      <c r="M483" s="28" t="str">
        <f t="shared" si="115"/>
        <v/>
      </c>
      <c r="N483" s="27" t="str">
        <f t="shared" si="128"/>
        <v/>
      </c>
      <c r="O483" s="26" t="str">
        <f>IF(AND($Q482=$O$38,IFERROR(LARGE($V$176:$V482,1)&lt;$N$42,TRUE)),1,IF(AND(ISNUMBER($O482),$O482&lt;$N$32),$O482+1,""))</f>
        <v/>
      </c>
      <c r="P483" s="26" t="str">
        <f t="shared" si="129"/>
        <v/>
      </c>
      <c r="Q483" s="26" t="str">
        <f t="shared" si="116"/>
        <v/>
      </c>
      <c r="R483" s="24" t="str">
        <f t="shared" si="130"/>
        <v/>
      </c>
      <c r="S483" s="180">
        <f t="shared" si="131"/>
        <v>9</v>
      </c>
      <c r="T483" s="151"/>
      <c r="U483" s="25" t="str">
        <f t="shared" si="117"/>
        <v/>
      </c>
      <c r="V483" s="24" t="str">
        <f>IF(AND(ISNUMBER(R482),ISNUMBER(R483)),V482,IF(AND(R482="",ISNUMBER(R483)),IFERROR(LARGE($V$176:$V482,1)+1,0),""))</f>
        <v/>
      </c>
      <c r="W483" s="23" t="str">
        <f t="shared" si="118"/>
        <v/>
      </c>
      <c r="X483" s="22" t="str">
        <f t="shared" si="119"/>
        <v/>
      </c>
      <c r="Y483" s="22"/>
      <c r="Z483" s="22"/>
      <c r="AA483" s="22"/>
      <c r="AB483" s="22" t="str" cm="1">
        <f t="array" ref="AB483">IF(IF(AND($P482="",$P483=1),($N$37*-1),0)+IF(AND($Q482="",$Q483=1),($N$38*-1),0)+IF(IF(($K483-$N$48)&lt;1,0,IF(IF(INDEX($AD$176:$AD$905,($K483-$N$48))="",0,INDEX($AD$176:$AD$905,($K483-$N$48)))&gt;0,IF(INDEX($AD$176:$AD$905,($K483-$N$48))="",0,INDEX($AD$176:$AD$905,($K483-$N$48))),0))="",0,IF(($K483-$N$48)&lt;1,0,IF(IF(INDEX($AD$176:$AD$905,($K483-$N$48))="",0,INDEX($AD$176:$AD$905,($K483-$N$48)))&gt;0,IF(INDEX($AD$176:$AD$905,($K483-$N$48))="",0,INDEX($AD$176:$AD$905,($K483-$N$48))),0)))=0,"",IF(AND($P482="",$P483=1),($N$37*-1),0)+IF(AND($Q482="",$Q483=1),($N$38*-1),0)+IF(IF(($K483-$N$48)&lt;1,0,IF(IF(INDEX($AD$176:$AD$905,($K483-$N$48))="",0,INDEX($AD$176:$AD$905,($K483-$N$48)))&gt;0,IF(INDEX($AD$176:$AD$905,($K483-$N$48))="",0,INDEX($AD$176:$AD$905,($K483-$N$48))),0))="",0,IF(($K483-$N$48)&lt;1,0,IF(IF(INDEX($AD$176:$AD$905,($K483-$N$48))="",0,INDEX($AD$176:$AD$905,($K483-$N$48)))&gt;0,IF(INDEX($AD$176:$AD$905,($K483-$N$48))="",0,INDEX($AD$176:$AD$905,($K483-$N$48))),0))))</f>
        <v/>
      </c>
      <c r="AC483" s="22" t="str">
        <f t="shared" si="120"/>
        <v/>
      </c>
      <c r="AD483" s="22" t="str">
        <f t="shared" si="132"/>
        <v/>
      </c>
      <c r="AE483" s="22" t="str" cm="1">
        <f t="array" ref="AE483">IF(($K483-$N$48)&lt;1,"",IF((IF(INDEX($AC$176:$AC$905,($K483-$N$48))="",0,INDEX($AC$176:$AC$905,($K483-$N$48))))=0,"",(IF(INDEX($AC$176:$AC$905,($K483-$N$48))="",0,INDEX($AC$176:$AC$905,($K483-$N$48))))))</f>
        <v/>
      </c>
      <c r="AF483" s="31" t="str">
        <f t="shared" si="121"/>
        <v/>
      </c>
      <c r="AG483" s="31" t="str">
        <f t="shared" si="122"/>
        <v/>
      </c>
      <c r="AH483" s="31" t="str">
        <f t="shared" si="123"/>
        <v/>
      </c>
      <c r="AI483" s="31" t="str">
        <f t="shared" si="124"/>
        <v/>
      </c>
      <c r="AJ483" s="303" t="str">
        <f t="shared" si="125"/>
        <v/>
      </c>
      <c r="AK483" s="139" t="str">
        <f t="shared" si="126"/>
        <v/>
      </c>
      <c r="AM483" s="319"/>
      <c r="AN483" s="40"/>
      <c r="AO483" s="1"/>
    </row>
    <row r="484" spans="7:41" x14ac:dyDescent="0.25">
      <c r="G484" s="235" t="str">
        <f t="shared" si="133"/>
        <v/>
      </c>
      <c r="H484" s="4" t="str">
        <f t="shared" si="134"/>
        <v/>
      </c>
      <c r="I484" s="11" t="str">
        <f t="shared" si="114"/>
        <v>09.00</v>
      </c>
      <c r="K484" s="30">
        <v>309</v>
      </c>
      <c r="L484" s="29">
        <f t="shared" si="127"/>
        <v>11371.908376190917</v>
      </c>
      <c r="M484" s="28" t="str">
        <f t="shared" si="115"/>
        <v/>
      </c>
      <c r="N484" s="27" t="str">
        <f t="shared" si="128"/>
        <v/>
      </c>
      <c r="O484" s="26" t="str">
        <f>IF(AND($Q483=$O$38,IFERROR(LARGE($V$176:$V483,1)&lt;$N$42,TRUE)),1,IF(AND(ISNUMBER($O483),$O483&lt;$N$32),$O483+1,""))</f>
        <v/>
      </c>
      <c r="P484" s="26" t="str">
        <f t="shared" si="129"/>
        <v/>
      </c>
      <c r="Q484" s="26" t="str">
        <f t="shared" si="116"/>
        <v/>
      </c>
      <c r="R484" s="24" t="str">
        <f t="shared" si="130"/>
        <v/>
      </c>
      <c r="S484" s="180">
        <f t="shared" si="131"/>
        <v>9</v>
      </c>
      <c r="T484" s="151"/>
      <c r="U484" s="25" t="str">
        <f t="shared" si="117"/>
        <v/>
      </c>
      <c r="V484" s="24" t="str">
        <f>IF(AND(ISNUMBER(R483),ISNUMBER(R484)),V483,IF(AND(R483="",ISNUMBER(R484)),IFERROR(LARGE($V$176:$V483,1)+1,0),""))</f>
        <v/>
      </c>
      <c r="W484" s="23" t="str">
        <f t="shared" si="118"/>
        <v/>
      </c>
      <c r="X484" s="22" t="str">
        <f t="shared" si="119"/>
        <v/>
      </c>
      <c r="Y484" s="22"/>
      <c r="Z484" s="22"/>
      <c r="AA484" s="22"/>
      <c r="AB484" s="22" t="str" cm="1">
        <f t="array" ref="AB484">IF(IF(AND($P483="",$P484=1),($N$37*-1),0)+IF(AND($Q483="",$Q484=1),($N$38*-1),0)+IF(IF(($K484-$N$48)&lt;1,0,IF(IF(INDEX($AD$176:$AD$905,($K484-$N$48))="",0,INDEX($AD$176:$AD$905,($K484-$N$48)))&gt;0,IF(INDEX($AD$176:$AD$905,($K484-$N$48))="",0,INDEX($AD$176:$AD$905,($K484-$N$48))),0))="",0,IF(($K484-$N$48)&lt;1,0,IF(IF(INDEX($AD$176:$AD$905,($K484-$N$48))="",0,INDEX($AD$176:$AD$905,($K484-$N$48)))&gt;0,IF(INDEX($AD$176:$AD$905,($K484-$N$48))="",0,INDEX($AD$176:$AD$905,($K484-$N$48))),0)))=0,"",IF(AND($P483="",$P484=1),($N$37*-1),0)+IF(AND($Q483="",$Q484=1),($N$38*-1),0)+IF(IF(($K484-$N$48)&lt;1,0,IF(IF(INDEX($AD$176:$AD$905,($K484-$N$48))="",0,INDEX($AD$176:$AD$905,($K484-$N$48)))&gt;0,IF(INDEX($AD$176:$AD$905,($K484-$N$48))="",0,INDEX($AD$176:$AD$905,($K484-$N$48))),0))="",0,IF(($K484-$N$48)&lt;1,0,IF(IF(INDEX($AD$176:$AD$905,($K484-$N$48))="",0,INDEX($AD$176:$AD$905,($K484-$N$48)))&gt;0,IF(INDEX($AD$176:$AD$905,($K484-$N$48))="",0,INDEX($AD$176:$AD$905,($K484-$N$48))),0))))</f>
        <v/>
      </c>
      <c r="AC484" s="22" t="str">
        <f t="shared" si="120"/>
        <v/>
      </c>
      <c r="AD484" s="22" t="str">
        <f t="shared" si="132"/>
        <v/>
      </c>
      <c r="AE484" s="22" t="str" cm="1">
        <f t="array" ref="AE484">IF(($K484-$N$48)&lt;1,"",IF((IF(INDEX($AC$176:$AC$905,($K484-$N$48))="",0,INDEX($AC$176:$AC$905,($K484-$N$48))))=0,"",(IF(INDEX($AC$176:$AC$905,($K484-$N$48))="",0,INDEX($AC$176:$AC$905,($K484-$N$48))))))</f>
        <v/>
      </c>
      <c r="AF484" s="31" t="str">
        <f t="shared" si="121"/>
        <v/>
      </c>
      <c r="AG484" s="31" t="str">
        <f t="shared" si="122"/>
        <v/>
      </c>
      <c r="AH484" s="31" t="str">
        <f t="shared" si="123"/>
        <v/>
      </c>
      <c r="AI484" s="31" t="str">
        <f t="shared" si="124"/>
        <v/>
      </c>
      <c r="AJ484" s="303" t="str">
        <f t="shared" si="125"/>
        <v/>
      </c>
      <c r="AK484" s="139" t="str">
        <f t="shared" si="126"/>
        <v/>
      </c>
      <c r="AM484" s="319"/>
      <c r="AN484" s="40"/>
      <c r="AO484" s="1"/>
    </row>
    <row r="485" spans="7:41" x14ac:dyDescent="0.25">
      <c r="G485" s="235" t="str">
        <f t="shared" si="133"/>
        <v/>
      </c>
      <c r="H485" s="4" t="str">
        <f t="shared" si="134"/>
        <v/>
      </c>
      <c r="I485" s="11" t="str">
        <f t="shared" si="114"/>
        <v>09.00</v>
      </c>
      <c r="K485" s="30">
        <v>310</v>
      </c>
      <c r="L485" s="29">
        <f t="shared" si="127"/>
        <v>11371.908376190917</v>
      </c>
      <c r="M485" s="28" t="str">
        <f t="shared" si="115"/>
        <v/>
      </c>
      <c r="N485" s="27" t="str">
        <f t="shared" si="128"/>
        <v/>
      </c>
      <c r="O485" s="26" t="str">
        <f>IF(AND($Q484=$O$38,IFERROR(LARGE($V$176:$V484,1)&lt;$N$42,TRUE)),1,IF(AND(ISNUMBER($O484),$O484&lt;$N$32),$O484+1,""))</f>
        <v/>
      </c>
      <c r="P485" s="26" t="str">
        <f t="shared" si="129"/>
        <v/>
      </c>
      <c r="Q485" s="26" t="str">
        <f t="shared" si="116"/>
        <v/>
      </c>
      <c r="R485" s="24" t="str">
        <f t="shared" si="130"/>
        <v/>
      </c>
      <c r="S485" s="180">
        <f t="shared" si="131"/>
        <v>9</v>
      </c>
      <c r="T485" s="151"/>
      <c r="U485" s="25" t="str">
        <f t="shared" si="117"/>
        <v/>
      </c>
      <c r="V485" s="24" t="str">
        <f>IF(AND(ISNUMBER(R484),ISNUMBER(R485)),V484,IF(AND(R484="",ISNUMBER(R485)),IFERROR(LARGE($V$176:$V484,1)+1,0),""))</f>
        <v/>
      </c>
      <c r="W485" s="23" t="str">
        <f t="shared" si="118"/>
        <v/>
      </c>
      <c r="X485" s="22" t="str">
        <f t="shared" si="119"/>
        <v/>
      </c>
      <c r="Y485" s="22"/>
      <c r="Z485" s="22"/>
      <c r="AA485" s="22"/>
      <c r="AB485" s="22" t="str" cm="1">
        <f t="array" ref="AB485">IF(IF(AND($P484="",$P485=1),($N$37*-1),0)+IF(AND($Q484="",$Q485=1),($N$38*-1),0)+IF(IF(($K485-$N$48)&lt;1,0,IF(IF(INDEX($AD$176:$AD$905,($K485-$N$48))="",0,INDEX($AD$176:$AD$905,($K485-$N$48)))&gt;0,IF(INDEX($AD$176:$AD$905,($K485-$N$48))="",0,INDEX($AD$176:$AD$905,($K485-$N$48))),0))="",0,IF(($K485-$N$48)&lt;1,0,IF(IF(INDEX($AD$176:$AD$905,($K485-$N$48))="",0,INDEX($AD$176:$AD$905,($K485-$N$48)))&gt;0,IF(INDEX($AD$176:$AD$905,($K485-$N$48))="",0,INDEX($AD$176:$AD$905,($K485-$N$48))),0)))=0,"",IF(AND($P484="",$P485=1),($N$37*-1),0)+IF(AND($Q484="",$Q485=1),($N$38*-1),0)+IF(IF(($K485-$N$48)&lt;1,0,IF(IF(INDEX($AD$176:$AD$905,($K485-$N$48))="",0,INDEX($AD$176:$AD$905,($K485-$N$48)))&gt;0,IF(INDEX($AD$176:$AD$905,($K485-$N$48))="",0,INDEX($AD$176:$AD$905,($K485-$N$48))),0))="",0,IF(($K485-$N$48)&lt;1,0,IF(IF(INDEX($AD$176:$AD$905,($K485-$N$48))="",0,INDEX($AD$176:$AD$905,($K485-$N$48)))&gt;0,IF(INDEX($AD$176:$AD$905,($K485-$N$48))="",0,INDEX($AD$176:$AD$905,($K485-$N$48))),0))))</f>
        <v/>
      </c>
      <c r="AC485" s="22" t="str">
        <f t="shared" si="120"/>
        <v/>
      </c>
      <c r="AD485" s="22" t="str">
        <f t="shared" si="132"/>
        <v/>
      </c>
      <c r="AE485" s="22" t="str" cm="1">
        <f t="array" ref="AE485">IF(($K485-$N$48)&lt;1,"",IF((IF(INDEX($AC$176:$AC$905,($K485-$N$48))="",0,INDEX($AC$176:$AC$905,($K485-$N$48))))=0,"",(IF(INDEX($AC$176:$AC$905,($K485-$N$48))="",0,INDEX($AC$176:$AC$905,($K485-$N$48))))))</f>
        <v/>
      </c>
      <c r="AF485" s="31" t="str">
        <f t="shared" si="121"/>
        <v/>
      </c>
      <c r="AG485" s="31" t="str">
        <f t="shared" si="122"/>
        <v/>
      </c>
      <c r="AH485" s="31" t="str">
        <f t="shared" si="123"/>
        <v/>
      </c>
      <c r="AI485" s="31" t="str">
        <f t="shared" si="124"/>
        <v/>
      </c>
      <c r="AJ485" s="303" t="str">
        <f t="shared" si="125"/>
        <v/>
      </c>
      <c r="AK485" s="139" t="str">
        <f t="shared" si="126"/>
        <v/>
      </c>
      <c r="AM485" s="319"/>
      <c r="AN485" s="40"/>
      <c r="AO485" s="1"/>
    </row>
    <row r="486" spans="7:41" x14ac:dyDescent="0.25">
      <c r="G486" s="235" t="str">
        <f t="shared" si="133"/>
        <v/>
      </c>
      <c r="H486" s="4" t="str">
        <f t="shared" si="134"/>
        <v/>
      </c>
      <c r="I486" s="11" t="str">
        <f t="shared" si="114"/>
        <v>09.00</v>
      </c>
      <c r="K486" s="30">
        <v>311</v>
      </c>
      <c r="L486" s="29">
        <f t="shared" si="127"/>
        <v>11371.908376190917</v>
      </c>
      <c r="M486" s="28" t="str">
        <f t="shared" si="115"/>
        <v/>
      </c>
      <c r="N486" s="27" t="str">
        <f t="shared" si="128"/>
        <v/>
      </c>
      <c r="O486" s="26" t="str">
        <f>IF(AND($Q485=$O$38,IFERROR(LARGE($V$176:$V485,1)&lt;$N$42,TRUE)),1,IF(AND(ISNUMBER($O485),$O485&lt;$N$32),$O485+1,""))</f>
        <v/>
      </c>
      <c r="P486" s="26" t="str">
        <f t="shared" si="129"/>
        <v/>
      </c>
      <c r="Q486" s="26" t="str">
        <f t="shared" si="116"/>
        <v/>
      </c>
      <c r="R486" s="24" t="str">
        <f t="shared" si="130"/>
        <v/>
      </c>
      <c r="S486" s="180">
        <f t="shared" si="131"/>
        <v>9</v>
      </c>
      <c r="T486" s="151"/>
      <c r="U486" s="25" t="str">
        <f t="shared" si="117"/>
        <v/>
      </c>
      <c r="V486" s="24" t="str">
        <f>IF(AND(ISNUMBER(R485),ISNUMBER(R486)),V485,IF(AND(R485="",ISNUMBER(R486)),IFERROR(LARGE($V$176:$V485,1)+1,0),""))</f>
        <v/>
      </c>
      <c r="W486" s="23" t="str">
        <f t="shared" si="118"/>
        <v/>
      </c>
      <c r="X486" s="22" t="str">
        <f t="shared" si="119"/>
        <v/>
      </c>
      <c r="Y486" s="22"/>
      <c r="Z486" s="22"/>
      <c r="AA486" s="22"/>
      <c r="AB486" s="22" t="str" cm="1">
        <f t="array" ref="AB486">IF(IF(AND($P485="",$P486=1),($N$37*-1),0)+IF(AND($Q485="",$Q486=1),($N$38*-1),0)+IF(IF(($K486-$N$48)&lt;1,0,IF(IF(INDEX($AD$176:$AD$905,($K486-$N$48))="",0,INDEX($AD$176:$AD$905,($K486-$N$48)))&gt;0,IF(INDEX($AD$176:$AD$905,($K486-$N$48))="",0,INDEX($AD$176:$AD$905,($K486-$N$48))),0))="",0,IF(($K486-$N$48)&lt;1,0,IF(IF(INDEX($AD$176:$AD$905,($K486-$N$48))="",0,INDEX($AD$176:$AD$905,($K486-$N$48)))&gt;0,IF(INDEX($AD$176:$AD$905,($K486-$N$48))="",0,INDEX($AD$176:$AD$905,($K486-$N$48))),0)))=0,"",IF(AND($P485="",$P486=1),($N$37*-1),0)+IF(AND($Q485="",$Q486=1),($N$38*-1),0)+IF(IF(($K486-$N$48)&lt;1,0,IF(IF(INDEX($AD$176:$AD$905,($K486-$N$48))="",0,INDEX($AD$176:$AD$905,($K486-$N$48)))&gt;0,IF(INDEX($AD$176:$AD$905,($K486-$N$48))="",0,INDEX($AD$176:$AD$905,($K486-$N$48))),0))="",0,IF(($K486-$N$48)&lt;1,0,IF(IF(INDEX($AD$176:$AD$905,($K486-$N$48))="",0,INDEX($AD$176:$AD$905,($K486-$N$48)))&gt;0,IF(INDEX($AD$176:$AD$905,($K486-$N$48))="",0,INDEX($AD$176:$AD$905,($K486-$N$48))),0))))</f>
        <v/>
      </c>
      <c r="AC486" s="22" t="str">
        <f t="shared" si="120"/>
        <v/>
      </c>
      <c r="AD486" s="22" t="str">
        <f t="shared" si="132"/>
        <v/>
      </c>
      <c r="AE486" s="22" t="str" cm="1">
        <f t="array" ref="AE486">IF(($K486-$N$48)&lt;1,"",IF((IF(INDEX($AC$176:$AC$905,($K486-$N$48))="",0,INDEX($AC$176:$AC$905,($K486-$N$48))))=0,"",(IF(INDEX($AC$176:$AC$905,($K486-$N$48))="",0,INDEX($AC$176:$AC$905,($K486-$N$48))))))</f>
        <v/>
      </c>
      <c r="AF486" s="31" t="str">
        <f t="shared" si="121"/>
        <v/>
      </c>
      <c r="AG486" s="31" t="str">
        <f t="shared" si="122"/>
        <v/>
      </c>
      <c r="AH486" s="31" t="str">
        <f t="shared" si="123"/>
        <v/>
      </c>
      <c r="AI486" s="31" t="str">
        <f t="shared" si="124"/>
        <v/>
      </c>
      <c r="AJ486" s="303" t="str">
        <f t="shared" si="125"/>
        <v/>
      </c>
      <c r="AK486" s="139" t="str">
        <f t="shared" si="126"/>
        <v/>
      </c>
      <c r="AM486" s="319"/>
      <c r="AN486" s="40"/>
      <c r="AO486" s="1"/>
    </row>
    <row r="487" spans="7:41" x14ac:dyDescent="0.25">
      <c r="G487" s="235" t="str">
        <f t="shared" si="133"/>
        <v/>
      </c>
      <c r="H487" s="4" t="str">
        <f t="shared" si="134"/>
        <v/>
      </c>
      <c r="I487" s="11" t="str">
        <f t="shared" si="114"/>
        <v>09.00</v>
      </c>
      <c r="K487" s="30">
        <v>312</v>
      </c>
      <c r="L487" s="29">
        <f t="shared" si="127"/>
        <v>11371.908376190917</v>
      </c>
      <c r="M487" s="28" t="str">
        <f t="shared" si="115"/>
        <v/>
      </c>
      <c r="N487" s="27" t="str">
        <f t="shared" si="128"/>
        <v/>
      </c>
      <c r="O487" s="26" t="str">
        <f>IF(AND($Q486=$O$38,IFERROR(LARGE($V$176:$V486,1)&lt;$N$42,TRUE)),1,IF(AND(ISNUMBER($O486),$O486&lt;$N$32),$O486+1,""))</f>
        <v/>
      </c>
      <c r="P487" s="26" t="str">
        <f t="shared" si="129"/>
        <v/>
      </c>
      <c r="Q487" s="26" t="str">
        <f t="shared" si="116"/>
        <v/>
      </c>
      <c r="R487" s="24" t="str">
        <f t="shared" si="130"/>
        <v/>
      </c>
      <c r="S487" s="180">
        <f t="shared" si="131"/>
        <v>9</v>
      </c>
      <c r="T487" s="151"/>
      <c r="U487" s="25" t="str">
        <f t="shared" si="117"/>
        <v/>
      </c>
      <c r="V487" s="24" t="str">
        <f>IF(AND(ISNUMBER(R486),ISNUMBER(R487)),V486,IF(AND(R486="",ISNUMBER(R487)),IFERROR(LARGE($V$176:$V486,1)+1,0),""))</f>
        <v/>
      </c>
      <c r="W487" s="23" t="str">
        <f t="shared" si="118"/>
        <v/>
      </c>
      <c r="X487" s="22" t="str">
        <f t="shared" si="119"/>
        <v/>
      </c>
      <c r="Y487" s="22"/>
      <c r="Z487" s="22"/>
      <c r="AA487" s="22"/>
      <c r="AB487" s="22" t="str" cm="1">
        <f t="array" ref="AB487">IF(IF(AND($P486="",$P487=1),($N$37*-1),0)+IF(AND($Q486="",$Q487=1),($N$38*-1),0)+IF(IF(($K487-$N$48)&lt;1,0,IF(IF(INDEX($AD$176:$AD$905,($K487-$N$48))="",0,INDEX($AD$176:$AD$905,($K487-$N$48)))&gt;0,IF(INDEX($AD$176:$AD$905,($K487-$N$48))="",0,INDEX($AD$176:$AD$905,($K487-$N$48))),0))="",0,IF(($K487-$N$48)&lt;1,0,IF(IF(INDEX($AD$176:$AD$905,($K487-$N$48))="",0,INDEX($AD$176:$AD$905,($K487-$N$48)))&gt;0,IF(INDEX($AD$176:$AD$905,($K487-$N$48))="",0,INDEX($AD$176:$AD$905,($K487-$N$48))),0)))=0,"",IF(AND($P486="",$P487=1),($N$37*-1),0)+IF(AND($Q486="",$Q487=1),($N$38*-1),0)+IF(IF(($K487-$N$48)&lt;1,0,IF(IF(INDEX($AD$176:$AD$905,($K487-$N$48))="",0,INDEX($AD$176:$AD$905,($K487-$N$48)))&gt;0,IF(INDEX($AD$176:$AD$905,($K487-$N$48))="",0,INDEX($AD$176:$AD$905,($K487-$N$48))),0))="",0,IF(($K487-$N$48)&lt;1,0,IF(IF(INDEX($AD$176:$AD$905,($K487-$N$48))="",0,INDEX($AD$176:$AD$905,($K487-$N$48)))&gt;0,IF(INDEX($AD$176:$AD$905,($K487-$N$48))="",0,INDEX($AD$176:$AD$905,($K487-$N$48))),0))))</f>
        <v/>
      </c>
      <c r="AC487" s="22" t="str">
        <f t="shared" si="120"/>
        <v/>
      </c>
      <c r="AD487" s="22" t="str">
        <f t="shared" si="132"/>
        <v/>
      </c>
      <c r="AE487" s="22" t="str" cm="1">
        <f t="array" ref="AE487">IF(($K487-$N$48)&lt;1,"",IF((IF(INDEX($AC$176:$AC$905,($K487-$N$48))="",0,INDEX($AC$176:$AC$905,($K487-$N$48))))=0,"",(IF(INDEX($AC$176:$AC$905,($K487-$N$48))="",0,INDEX($AC$176:$AC$905,($K487-$N$48))))))</f>
        <v/>
      </c>
      <c r="AF487" s="31" t="str">
        <f t="shared" si="121"/>
        <v/>
      </c>
      <c r="AG487" s="31" t="str">
        <f t="shared" si="122"/>
        <v/>
      </c>
      <c r="AH487" s="31" t="str">
        <f t="shared" si="123"/>
        <v/>
      </c>
      <c r="AI487" s="31" t="str">
        <f t="shared" si="124"/>
        <v/>
      </c>
      <c r="AJ487" s="303" t="str">
        <f t="shared" si="125"/>
        <v/>
      </c>
      <c r="AK487" s="139" t="str">
        <f t="shared" si="126"/>
        <v/>
      </c>
      <c r="AM487" s="319"/>
      <c r="AN487" s="40"/>
      <c r="AO487" s="1"/>
    </row>
    <row r="488" spans="7:41" x14ac:dyDescent="0.25">
      <c r="G488" s="235" t="str">
        <f t="shared" si="133"/>
        <v/>
      </c>
      <c r="H488" s="4" t="str">
        <f t="shared" si="134"/>
        <v/>
      </c>
      <c r="I488" s="11" t="str">
        <f t="shared" si="114"/>
        <v>09.00</v>
      </c>
      <c r="K488" s="30">
        <v>313</v>
      </c>
      <c r="L488" s="29">
        <f t="shared" si="127"/>
        <v>11371.908376190917</v>
      </c>
      <c r="M488" s="28" t="str">
        <f t="shared" si="115"/>
        <v/>
      </c>
      <c r="N488" s="27" t="str">
        <f t="shared" si="128"/>
        <v/>
      </c>
      <c r="O488" s="26" t="str">
        <f>IF(AND($Q487=$O$38,IFERROR(LARGE($V$176:$V487,1)&lt;$N$42,TRUE)),1,IF(AND(ISNUMBER($O487),$O487&lt;$N$32),$O487+1,""))</f>
        <v/>
      </c>
      <c r="P488" s="26" t="str">
        <f t="shared" si="129"/>
        <v/>
      </c>
      <c r="Q488" s="26" t="str">
        <f t="shared" si="116"/>
        <v/>
      </c>
      <c r="R488" s="24" t="str">
        <f t="shared" si="130"/>
        <v/>
      </c>
      <c r="S488" s="180">
        <f t="shared" si="131"/>
        <v>9</v>
      </c>
      <c r="T488" s="151"/>
      <c r="U488" s="25" t="str">
        <f t="shared" si="117"/>
        <v/>
      </c>
      <c r="V488" s="24" t="str">
        <f>IF(AND(ISNUMBER(R487),ISNUMBER(R488)),V487,IF(AND(R487="",ISNUMBER(R488)),IFERROR(LARGE($V$176:$V487,1)+1,0),""))</f>
        <v/>
      </c>
      <c r="W488" s="23" t="str">
        <f t="shared" si="118"/>
        <v/>
      </c>
      <c r="X488" s="22" t="str">
        <f t="shared" si="119"/>
        <v/>
      </c>
      <c r="Y488" s="22"/>
      <c r="Z488" s="22"/>
      <c r="AA488" s="22"/>
      <c r="AB488" s="22" t="str" cm="1">
        <f t="array" ref="AB488">IF(IF(AND($P487="",$P488=1),($N$37*-1),0)+IF(AND($Q487="",$Q488=1),($N$38*-1),0)+IF(IF(($K488-$N$48)&lt;1,0,IF(IF(INDEX($AD$176:$AD$905,($K488-$N$48))="",0,INDEX($AD$176:$AD$905,($K488-$N$48)))&gt;0,IF(INDEX($AD$176:$AD$905,($K488-$N$48))="",0,INDEX($AD$176:$AD$905,($K488-$N$48))),0))="",0,IF(($K488-$N$48)&lt;1,0,IF(IF(INDEX($AD$176:$AD$905,($K488-$N$48))="",0,INDEX($AD$176:$AD$905,($K488-$N$48)))&gt;0,IF(INDEX($AD$176:$AD$905,($K488-$N$48))="",0,INDEX($AD$176:$AD$905,($K488-$N$48))),0)))=0,"",IF(AND($P487="",$P488=1),($N$37*-1),0)+IF(AND($Q487="",$Q488=1),($N$38*-1),0)+IF(IF(($K488-$N$48)&lt;1,0,IF(IF(INDEX($AD$176:$AD$905,($K488-$N$48))="",0,INDEX($AD$176:$AD$905,($K488-$N$48)))&gt;0,IF(INDEX($AD$176:$AD$905,($K488-$N$48))="",0,INDEX($AD$176:$AD$905,($K488-$N$48))),0))="",0,IF(($K488-$N$48)&lt;1,0,IF(IF(INDEX($AD$176:$AD$905,($K488-$N$48))="",0,INDEX($AD$176:$AD$905,($K488-$N$48)))&gt;0,IF(INDEX($AD$176:$AD$905,($K488-$N$48))="",0,INDEX($AD$176:$AD$905,($K488-$N$48))),0))))</f>
        <v/>
      </c>
      <c r="AC488" s="22" t="str">
        <f t="shared" si="120"/>
        <v/>
      </c>
      <c r="AD488" s="22" t="str">
        <f t="shared" si="132"/>
        <v/>
      </c>
      <c r="AE488" s="22" t="str" cm="1">
        <f t="array" ref="AE488">IF(($K488-$N$48)&lt;1,"",IF((IF(INDEX($AC$176:$AC$905,($K488-$N$48))="",0,INDEX($AC$176:$AC$905,($K488-$N$48))))=0,"",(IF(INDEX($AC$176:$AC$905,($K488-$N$48))="",0,INDEX($AC$176:$AC$905,($K488-$N$48))))))</f>
        <v/>
      </c>
      <c r="AF488" s="31" t="str">
        <f t="shared" si="121"/>
        <v/>
      </c>
      <c r="AG488" s="31" t="str">
        <f t="shared" si="122"/>
        <v/>
      </c>
      <c r="AH488" s="31" t="str">
        <f t="shared" si="123"/>
        <v/>
      </c>
      <c r="AI488" s="31" t="str">
        <f t="shared" si="124"/>
        <v/>
      </c>
      <c r="AJ488" s="303" t="str">
        <f t="shared" si="125"/>
        <v/>
      </c>
      <c r="AK488" s="139" t="str">
        <f t="shared" si="126"/>
        <v/>
      </c>
      <c r="AM488" s="319"/>
      <c r="AN488" s="40"/>
      <c r="AO488" s="1"/>
    </row>
    <row r="489" spans="7:41" x14ac:dyDescent="0.25">
      <c r="G489" s="235" t="str">
        <f t="shared" si="133"/>
        <v/>
      </c>
      <c r="H489" s="4" t="str">
        <f t="shared" si="134"/>
        <v/>
      </c>
      <c r="I489" s="11" t="str">
        <f t="shared" si="114"/>
        <v>09.00</v>
      </c>
      <c r="K489" s="30">
        <v>314</v>
      </c>
      <c r="L489" s="29">
        <f t="shared" si="127"/>
        <v>11371.908376190917</v>
      </c>
      <c r="M489" s="28" t="str">
        <f t="shared" si="115"/>
        <v/>
      </c>
      <c r="N489" s="27" t="str">
        <f t="shared" si="128"/>
        <v/>
      </c>
      <c r="O489" s="26" t="str">
        <f>IF(AND($Q488=$O$38,IFERROR(LARGE($V$176:$V488,1)&lt;$N$42,TRUE)),1,IF(AND(ISNUMBER($O488),$O488&lt;$N$32),$O488+1,""))</f>
        <v/>
      </c>
      <c r="P489" s="26" t="str">
        <f t="shared" si="129"/>
        <v/>
      </c>
      <c r="Q489" s="26" t="str">
        <f t="shared" si="116"/>
        <v/>
      </c>
      <c r="R489" s="24" t="str">
        <f t="shared" si="130"/>
        <v/>
      </c>
      <c r="S489" s="180">
        <f t="shared" si="131"/>
        <v>9</v>
      </c>
      <c r="T489" s="151"/>
      <c r="U489" s="25" t="str">
        <f t="shared" si="117"/>
        <v/>
      </c>
      <c r="V489" s="24" t="str">
        <f>IF(AND(ISNUMBER(R488),ISNUMBER(R489)),V488,IF(AND(R488="",ISNUMBER(R489)),IFERROR(LARGE($V$176:$V488,1)+1,0),""))</f>
        <v/>
      </c>
      <c r="W489" s="23" t="str">
        <f t="shared" si="118"/>
        <v/>
      </c>
      <c r="X489" s="22" t="str">
        <f t="shared" si="119"/>
        <v/>
      </c>
      <c r="Y489" s="22"/>
      <c r="Z489" s="22"/>
      <c r="AA489" s="22"/>
      <c r="AB489" s="22" t="str" cm="1">
        <f t="array" ref="AB489">IF(IF(AND($P488="",$P489=1),($N$37*-1),0)+IF(AND($Q488="",$Q489=1),($N$38*-1),0)+IF(IF(($K489-$N$48)&lt;1,0,IF(IF(INDEX($AD$176:$AD$905,($K489-$N$48))="",0,INDEX($AD$176:$AD$905,($K489-$N$48)))&gt;0,IF(INDEX($AD$176:$AD$905,($K489-$N$48))="",0,INDEX($AD$176:$AD$905,($K489-$N$48))),0))="",0,IF(($K489-$N$48)&lt;1,0,IF(IF(INDEX($AD$176:$AD$905,($K489-$N$48))="",0,INDEX($AD$176:$AD$905,($K489-$N$48)))&gt;0,IF(INDEX($AD$176:$AD$905,($K489-$N$48))="",0,INDEX($AD$176:$AD$905,($K489-$N$48))),0)))=0,"",IF(AND($P488="",$P489=1),($N$37*-1),0)+IF(AND($Q488="",$Q489=1),($N$38*-1),0)+IF(IF(($K489-$N$48)&lt;1,0,IF(IF(INDEX($AD$176:$AD$905,($K489-$N$48))="",0,INDEX($AD$176:$AD$905,($K489-$N$48)))&gt;0,IF(INDEX($AD$176:$AD$905,($K489-$N$48))="",0,INDEX($AD$176:$AD$905,($K489-$N$48))),0))="",0,IF(($K489-$N$48)&lt;1,0,IF(IF(INDEX($AD$176:$AD$905,($K489-$N$48))="",0,INDEX($AD$176:$AD$905,($K489-$N$48)))&gt;0,IF(INDEX($AD$176:$AD$905,($K489-$N$48))="",0,INDEX($AD$176:$AD$905,($K489-$N$48))),0))))</f>
        <v/>
      </c>
      <c r="AC489" s="22" t="str">
        <f t="shared" si="120"/>
        <v/>
      </c>
      <c r="AD489" s="22" t="str">
        <f t="shared" si="132"/>
        <v/>
      </c>
      <c r="AE489" s="22" t="str" cm="1">
        <f t="array" ref="AE489">IF(($K489-$N$48)&lt;1,"",IF((IF(INDEX($AC$176:$AC$905,($K489-$N$48))="",0,INDEX($AC$176:$AC$905,($K489-$N$48))))=0,"",(IF(INDEX($AC$176:$AC$905,($K489-$N$48))="",0,INDEX($AC$176:$AC$905,($K489-$N$48))))))</f>
        <v/>
      </c>
      <c r="AF489" s="31" t="str">
        <f t="shared" si="121"/>
        <v/>
      </c>
      <c r="AG489" s="31" t="str">
        <f t="shared" si="122"/>
        <v/>
      </c>
      <c r="AH489" s="31" t="str">
        <f t="shared" si="123"/>
        <v/>
      </c>
      <c r="AI489" s="31" t="str">
        <f t="shared" si="124"/>
        <v/>
      </c>
      <c r="AJ489" s="303" t="str">
        <f t="shared" si="125"/>
        <v/>
      </c>
      <c r="AK489" s="139" t="str">
        <f t="shared" si="126"/>
        <v/>
      </c>
      <c r="AM489" s="319"/>
      <c r="AN489" s="40"/>
      <c r="AO489" s="1"/>
    </row>
    <row r="490" spans="7:41" x14ac:dyDescent="0.25">
      <c r="G490" s="235" t="str">
        <f t="shared" si="133"/>
        <v/>
      </c>
      <c r="H490" s="4" t="str">
        <f t="shared" si="134"/>
        <v/>
      </c>
      <c r="I490" s="11" t="str">
        <f t="shared" si="114"/>
        <v>09.00</v>
      </c>
      <c r="K490" s="30">
        <v>315</v>
      </c>
      <c r="L490" s="29">
        <f t="shared" si="127"/>
        <v>11371.908376190917</v>
      </c>
      <c r="M490" s="28" t="str">
        <f t="shared" si="115"/>
        <v/>
      </c>
      <c r="N490" s="27" t="str">
        <f t="shared" si="128"/>
        <v/>
      </c>
      <c r="O490" s="26" t="str">
        <f>IF(AND($Q489=$O$38,IFERROR(LARGE($V$176:$V489,1)&lt;$N$42,TRUE)),1,IF(AND(ISNUMBER($O489),$O489&lt;$N$32),$O489+1,""))</f>
        <v/>
      </c>
      <c r="P490" s="26" t="str">
        <f t="shared" si="129"/>
        <v/>
      </c>
      <c r="Q490" s="26" t="str">
        <f t="shared" si="116"/>
        <v/>
      </c>
      <c r="R490" s="24" t="str">
        <f t="shared" si="130"/>
        <v/>
      </c>
      <c r="S490" s="180">
        <f t="shared" si="131"/>
        <v>9</v>
      </c>
      <c r="T490" s="151"/>
      <c r="U490" s="25" t="str">
        <f t="shared" si="117"/>
        <v/>
      </c>
      <c r="V490" s="24" t="str">
        <f>IF(AND(ISNUMBER(R489),ISNUMBER(R490)),V489,IF(AND(R489="",ISNUMBER(R490)),IFERROR(LARGE($V$176:$V489,1)+1,0),""))</f>
        <v/>
      </c>
      <c r="W490" s="23" t="str">
        <f t="shared" si="118"/>
        <v/>
      </c>
      <c r="X490" s="22" t="str">
        <f t="shared" si="119"/>
        <v/>
      </c>
      <c r="Y490" s="22"/>
      <c r="Z490" s="22"/>
      <c r="AA490" s="22"/>
      <c r="AB490" s="22" t="str" cm="1">
        <f t="array" ref="AB490">IF(IF(AND($P489="",$P490=1),($N$37*-1),0)+IF(AND($Q489="",$Q490=1),($N$38*-1),0)+IF(IF(($K490-$N$48)&lt;1,0,IF(IF(INDEX($AD$176:$AD$905,($K490-$N$48))="",0,INDEX($AD$176:$AD$905,($K490-$N$48)))&gt;0,IF(INDEX($AD$176:$AD$905,($K490-$N$48))="",0,INDEX($AD$176:$AD$905,($K490-$N$48))),0))="",0,IF(($K490-$N$48)&lt;1,0,IF(IF(INDEX($AD$176:$AD$905,($K490-$N$48))="",0,INDEX($AD$176:$AD$905,($K490-$N$48)))&gt;0,IF(INDEX($AD$176:$AD$905,($K490-$N$48))="",0,INDEX($AD$176:$AD$905,($K490-$N$48))),0)))=0,"",IF(AND($P489="",$P490=1),($N$37*-1),0)+IF(AND($Q489="",$Q490=1),($N$38*-1),0)+IF(IF(($K490-$N$48)&lt;1,0,IF(IF(INDEX($AD$176:$AD$905,($K490-$N$48))="",0,INDEX($AD$176:$AD$905,($K490-$N$48)))&gt;0,IF(INDEX($AD$176:$AD$905,($K490-$N$48))="",0,INDEX($AD$176:$AD$905,($K490-$N$48))),0))="",0,IF(($K490-$N$48)&lt;1,0,IF(IF(INDEX($AD$176:$AD$905,($K490-$N$48))="",0,INDEX($AD$176:$AD$905,($K490-$N$48)))&gt;0,IF(INDEX($AD$176:$AD$905,($K490-$N$48))="",0,INDEX($AD$176:$AD$905,($K490-$N$48))),0))))</f>
        <v/>
      </c>
      <c r="AC490" s="22" t="str">
        <f t="shared" si="120"/>
        <v/>
      </c>
      <c r="AD490" s="22" t="str">
        <f t="shared" si="132"/>
        <v/>
      </c>
      <c r="AE490" s="22" t="str" cm="1">
        <f t="array" ref="AE490">IF(($K490-$N$48)&lt;1,"",IF((IF(INDEX($AC$176:$AC$905,($K490-$N$48))="",0,INDEX($AC$176:$AC$905,($K490-$N$48))))=0,"",(IF(INDEX($AC$176:$AC$905,($K490-$N$48))="",0,INDEX($AC$176:$AC$905,($K490-$N$48))))))</f>
        <v/>
      </c>
      <c r="AF490" s="31" t="str">
        <f t="shared" si="121"/>
        <v/>
      </c>
      <c r="AG490" s="31" t="str">
        <f t="shared" si="122"/>
        <v/>
      </c>
      <c r="AH490" s="31" t="str">
        <f t="shared" si="123"/>
        <v/>
      </c>
      <c r="AI490" s="31" t="str">
        <f t="shared" si="124"/>
        <v/>
      </c>
      <c r="AJ490" s="303" t="str">
        <f t="shared" si="125"/>
        <v/>
      </c>
      <c r="AK490" s="139" t="str">
        <f t="shared" si="126"/>
        <v/>
      </c>
      <c r="AM490" s="319"/>
      <c r="AN490" s="40"/>
      <c r="AO490" s="1"/>
    </row>
    <row r="491" spans="7:41" x14ac:dyDescent="0.25">
      <c r="G491" s="235" t="str">
        <f t="shared" si="133"/>
        <v/>
      </c>
      <c r="H491" s="4" t="str">
        <f t="shared" si="134"/>
        <v/>
      </c>
      <c r="I491" s="11" t="str">
        <f t="shared" si="114"/>
        <v>09.00</v>
      </c>
      <c r="K491" s="30">
        <v>316</v>
      </c>
      <c r="L491" s="29">
        <f t="shared" si="127"/>
        <v>11371.908376190917</v>
      </c>
      <c r="M491" s="28" t="str">
        <f t="shared" si="115"/>
        <v/>
      </c>
      <c r="N491" s="27" t="str">
        <f t="shared" si="128"/>
        <v/>
      </c>
      <c r="O491" s="26" t="str">
        <f>IF(AND($Q490=$O$38,IFERROR(LARGE($V$176:$V490,1)&lt;$N$42,TRUE)),1,IF(AND(ISNUMBER($O490),$O490&lt;$N$32),$O490+1,""))</f>
        <v/>
      </c>
      <c r="P491" s="26" t="str">
        <f t="shared" si="129"/>
        <v/>
      </c>
      <c r="Q491" s="26" t="str">
        <f t="shared" si="116"/>
        <v/>
      </c>
      <c r="R491" s="24" t="str">
        <f t="shared" si="130"/>
        <v/>
      </c>
      <c r="S491" s="180">
        <f t="shared" si="131"/>
        <v>9</v>
      </c>
      <c r="T491" s="151"/>
      <c r="U491" s="25" t="str">
        <f t="shared" si="117"/>
        <v/>
      </c>
      <c r="V491" s="24" t="str">
        <f>IF(AND(ISNUMBER(R490),ISNUMBER(R491)),V490,IF(AND(R490="",ISNUMBER(R491)),IFERROR(LARGE($V$176:$V490,1)+1,0),""))</f>
        <v/>
      </c>
      <c r="W491" s="23" t="str">
        <f t="shared" si="118"/>
        <v/>
      </c>
      <c r="X491" s="22" t="str">
        <f t="shared" si="119"/>
        <v/>
      </c>
      <c r="Y491" s="22"/>
      <c r="Z491" s="22"/>
      <c r="AA491" s="22"/>
      <c r="AB491" s="22" t="str" cm="1">
        <f t="array" ref="AB491">IF(IF(AND($P490="",$P491=1),($N$37*-1),0)+IF(AND($Q490="",$Q491=1),($N$38*-1),0)+IF(IF(($K491-$N$48)&lt;1,0,IF(IF(INDEX($AD$176:$AD$905,($K491-$N$48))="",0,INDEX($AD$176:$AD$905,($K491-$N$48)))&gt;0,IF(INDEX($AD$176:$AD$905,($K491-$N$48))="",0,INDEX($AD$176:$AD$905,($K491-$N$48))),0))="",0,IF(($K491-$N$48)&lt;1,0,IF(IF(INDEX($AD$176:$AD$905,($K491-$N$48))="",0,INDEX($AD$176:$AD$905,($K491-$N$48)))&gt;0,IF(INDEX($AD$176:$AD$905,($K491-$N$48))="",0,INDEX($AD$176:$AD$905,($K491-$N$48))),0)))=0,"",IF(AND($P490="",$P491=1),($N$37*-1),0)+IF(AND($Q490="",$Q491=1),($N$38*-1),0)+IF(IF(($K491-$N$48)&lt;1,0,IF(IF(INDEX($AD$176:$AD$905,($K491-$N$48))="",0,INDEX($AD$176:$AD$905,($K491-$N$48)))&gt;0,IF(INDEX($AD$176:$AD$905,($K491-$N$48))="",0,INDEX($AD$176:$AD$905,($K491-$N$48))),0))="",0,IF(($K491-$N$48)&lt;1,0,IF(IF(INDEX($AD$176:$AD$905,($K491-$N$48))="",0,INDEX($AD$176:$AD$905,($K491-$N$48)))&gt;0,IF(INDEX($AD$176:$AD$905,($K491-$N$48))="",0,INDEX($AD$176:$AD$905,($K491-$N$48))),0))))</f>
        <v/>
      </c>
      <c r="AC491" s="22" t="str">
        <f t="shared" si="120"/>
        <v/>
      </c>
      <c r="AD491" s="22" t="str">
        <f t="shared" si="132"/>
        <v/>
      </c>
      <c r="AE491" s="22" t="str" cm="1">
        <f t="array" ref="AE491">IF(($K491-$N$48)&lt;1,"",IF((IF(INDEX($AC$176:$AC$905,($K491-$N$48))="",0,INDEX($AC$176:$AC$905,($K491-$N$48))))=0,"",(IF(INDEX($AC$176:$AC$905,($K491-$N$48))="",0,INDEX($AC$176:$AC$905,($K491-$N$48))))))</f>
        <v/>
      </c>
      <c r="AF491" s="31" t="str">
        <f t="shared" si="121"/>
        <v/>
      </c>
      <c r="AG491" s="31" t="str">
        <f t="shared" si="122"/>
        <v/>
      </c>
      <c r="AH491" s="31" t="str">
        <f t="shared" si="123"/>
        <v/>
      </c>
      <c r="AI491" s="31" t="str">
        <f t="shared" si="124"/>
        <v/>
      </c>
      <c r="AJ491" s="303" t="str">
        <f t="shared" si="125"/>
        <v/>
      </c>
      <c r="AK491" s="139" t="str">
        <f t="shared" si="126"/>
        <v/>
      </c>
      <c r="AM491" s="319"/>
      <c r="AN491" s="40"/>
      <c r="AO491" s="1"/>
    </row>
    <row r="492" spans="7:41" x14ac:dyDescent="0.25">
      <c r="G492" s="235" t="str">
        <f t="shared" si="133"/>
        <v/>
      </c>
      <c r="H492" s="4" t="str">
        <f t="shared" si="134"/>
        <v/>
      </c>
      <c r="I492" s="11" t="str">
        <f t="shared" si="114"/>
        <v>09.00</v>
      </c>
      <c r="K492" s="30">
        <v>317</v>
      </c>
      <c r="L492" s="29">
        <f t="shared" si="127"/>
        <v>11371.908376190917</v>
      </c>
      <c r="M492" s="28" t="str">
        <f t="shared" si="115"/>
        <v/>
      </c>
      <c r="N492" s="27" t="str">
        <f t="shared" si="128"/>
        <v/>
      </c>
      <c r="O492" s="26" t="str">
        <f>IF(AND($Q491=$O$38,IFERROR(LARGE($V$176:$V491,1)&lt;$N$42,TRUE)),1,IF(AND(ISNUMBER($O491),$O491&lt;$N$32),$O491+1,""))</f>
        <v/>
      </c>
      <c r="P492" s="26" t="str">
        <f t="shared" si="129"/>
        <v/>
      </c>
      <c r="Q492" s="26" t="str">
        <f t="shared" si="116"/>
        <v/>
      </c>
      <c r="R492" s="24" t="str">
        <f t="shared" si="130"/>
        <v/>
      </c>
      <c r="S492" s="180">
        <f t="shared" si="131"/>
        <v>9</v>
      </c>
      <c r="T492" s="151"/>
      <c r="U492" s="25" t="str">
        <f t="shared" si="117"/>
        <v/>
      </c>
      <c r="V492" s="24" t="str">
        <f>IF(AND(ISNUMBER(R491),ISNUMBER(R492)),V491,IF(AND(R491="",ISNUMBER(R492)),IFERROR(LARGE($V$176:$V491,1)+1,0),""))</f>
        <v/>
      </c>
      <c r="W492" s="23" t="str">
        <f t="shared" si="118"/>
        <v/>
      </c>
      <c r="X492" s="22" t="str">
        <f t="shared" si="119"/>
        <v/>
      </c>
      <c r="Y492" s="22"/>
      <c r="Z492" s="22"/>
      <c r="AA492" s="22"/>
      <c r="AB492" s="22" t="str" cm="1">
        <f t="array" ref="AB492">IF(IF(AND($P491="",$P492=1),($N$37*-1),0)+IF(AND($Q491="",$Q492=1),($N$38*-1),0)+IF(IF(($K492-$N$48)&lt;1,0,IF(IF(INDEX($AD$176:$AD$905,($K492-$N$48))="",0,INDEX($AD$176:$AD$905,($K492-$N$48)))&gt;0,IF(INDEX($AD$176:$AD$905,($K492-$N$48))="",0,INDEX($AD$176:$AD$905,($K492-$N$48))),0))="",0,IF(($K492-$N$48)&lt;1,0,IF(IF(INDEX($AD$176:$AD$905,($K492-$N$48))="",0,INDEX($AD$176:$AD$905,($K492-$N$48)))&gt;0,IF(INDEX($AD$176:$AD$905,($K492-$N$48))="",0,INDEX($AD$176:$AD$905,($K492-$N$48))),0)))=0,"",IF(AND($P491="",$P492=1),($N$37*-1),0)+IF(AND($Q491="",$Q492=1),($N$38*-1),0)+IF(IF(($K492-$N$48)&lt;1,0,IF(IF(INDEX($AD$176:$AD$905,($K492-$N$48))="",0,INDEX($AD$176:$AD$905,($K492-$N$48)))&gt;0,IF(INDEX($AD$176:$AD$905,($K492-$N$48))="",0,INDEX($AD$176:$AD$905,($K492-$N$48))),0))="",0,IF(($K492-$N$48)&lt;1,0,IF(IF(INDEX($AD$176:$AD$905,($K492-$N$48))="",0,INDEX($AD$176:$AD$905,($K492-$N$48)))&gt;0,IF(INDEX($AD$176:$AD$905,($K492-$N$48))="",0,INDEX($AD$176:$AD$905,($K492-$N$48))),0))))</f>
        <v/>
      </c>
      <c r="AC492" s="22" t="str">
        <f t="shared" si="120"/>
        <v/>
      </c>
      <c r="AD492" s="22" t="str">
        <f t="shared" si="132"/>
        <v/>
      </c>
      <c r="AE492" s="22" t="str" cm="1">
        <f t="array" ref="AE492">IF(($K492-$N$48)&lt;1,"",IF((IF(INDEX($AC$176:$AC$905,($K492-$N$48))="",0,INDEX($AC$176:$AC$905,($K492-$N$48))))=0,"",(IF(INDEX($AC$176:$AC$905,($K492-$N$48))="",0,INDEX($AC$176:$AC$905,($K492-$N$48))))))</f>
        <v/>
      </c>
      <c r="AF492" s="31" t="str">
        <f t="shared" si="121"/>
        <v/>
      </c>
      <c r="AG492" s="31" t="str">
        <f t="shared" si="122"/>
        <v/>
      </c>
      <c r="AH492" s="31" t="str">
        <f t="shared" si="123"/>
        <v/>
      </c>
      <c r="AI492" s="31" t="str">
        <f t="shared" si="124"/>
        <v/>
      </c>
      <c r="AJ492" s="303" t="str">
        <f t="shared" si="125"/>
        <v/>
      </c>
      <c r="AK492" s="139" t="str">
        <f t="shared" si="126"/>
        <v/>
      </c>
      <c r="AM492" s="319"/>
      <c r="AN492" s="40"/>
      <c r="AO492" s="1"/>
    </row>
    <row r="493" spans="7:41" x14ac:dyDescent="0.25">
      <c r="G493" s="235" t="str">
        <f t="shared" si="133"/>
        <v/>
      </c>
      <c r="H493" s="4" t="str">
        <f t="shared" si="134"/>
        <v/>
      </c>
      <c r="I493" s="11" t="str">
        <f t="shared" si="114"/>
        <v>09.00</v>
      </c>
      <c r="K493" s="30">
        <v>318</v>
      </c>
      <c r="L493" s="29">
        <f t="shared" si="127"/>
        <v>11371.908376190917</v>
      </c>
      <c r="M493" s="28" t="str">
        <f t="shared" si="115"/>
        <v/>
      </c>
      <c r="N493" s="27" t="str">
        <f t="shared" si="128"/>
        <v/>
      </c>
      <c r="O493" s="26" t="str">
        <f>IF(AND($Q492=$O$38,IFERROR(LARGE($V$176:$V492,1)&lt;$N$42,TRUE)),1,IF(AND(ISNUMBER($O492),$O492&lt;$N$32),$O492+1,""))</f>
        <v/>
      </c>
      <c r="P493" s="26" t="str">
        <f t="shared" si="129"/>
        <v/>
      </c>
      <c r="Q493" s="26" t="str">
        <f t="shared" si="116"/>
        <v/>
      </c>
      <c r="R493" s="24" t="str">
        <f t="shared" si="130"/>
        <v/>
      </c>
      <c r="S493" s="180">
        <f t="shared" si="131"/>
        <v>9</v>
      </c>
      <c r="T493" s="151"/>
      <c r="U493" s="25" t="str">
        <f t="shared" si="117"/>
        <v/>
      </c>
      <c r="V493" s="24" t="str">
        <f>IF(AND(ISNUMBER(R492),ISNUMBER(R493)),V492,IF(AND(R492="",ISNUMBER(R493)),IFERROR(LARGE($V$176:$V492,1)+1,0),""))</f>
        <v/>
      </c>
      <c r="W493" s="23" t="str">
        <f t="shared" si="118"/>
        <v/>
      </c>
      <c r="X493" s="22" t="str">
        <f t="shared" si="119"/>
        <v/>
      </c>
      <c r="Y493" s="22"/>
      <c r="Z493" s="22"/>
      <c r="AA493" s="22"/>
      <c r="AB493" s="22" t="str" cm="1">
        <f t="array" ref="AB493">IF(IF(AND($P492="",$P493=1),($N$37*-1),0)+IF(AND($Q492="",$Q493=1),($N$38*-1),0)+IF(IF(($K493-$N$48)&lt;1,0,IF(IF(INDEX($AD$176:$AD$905,($K493-$N$48))="",0,INDEX($AD$176:$AD$905,($K493-$N$48)))&gt;0,IF(INDEX($AD$176:$AD$905,($K493-$N$48))="",0,INDEX($AD$176:$AD$905,($K493-$N$48))),0))="",0,IF(($K493-$N$48)&lt;1,0,IF(IF(INDEX($AD$176:$AD$905,($K493-$N$48))="",0,INDEX($AD$176:$AD$905,($K493-$N$48)))&gt;0,IF(INDEX($AD$176:$AD$905,($K493-$N$48))="",0,INDEX($AD$176:$AD$905,($K493-$N$48))),0)))=0,"",IF(AND($P492="",$P493=1),($N$37*-1),0)+IF(AND($Q492="",$Q493=1),($N$38*-1),0)+IF(IF(($K493-$N$48)&lt;1,0,IF(IF(INDEX($AD$176:$AD$905,($K493-$N$48))="",0,INDEX($AD$176:$AD$905,($K493-$N$48)))&gt;0,IF(INDEX($AD$176:$AD$905,($K493-$N$48))="",0,INDEX($AD$176:$AD$905,($K493-$N$48))),0))="",0,IF(($K493-$N$48)&lt;1,0,IF(IF(INDEX($AD$176:$AD$905,($K493-$N$48))="",0,INDEX($AD$176:$AD$905,($K493-$N$48)))&gt;0,IF(INDEX($AD$176:$AD$905,($K493-$N$48))="",0,INDEX($AD$176:$AD$905,($K493-$N$48))),0))))</f>
        <v/>
      </c>
      <c r="AC493" s="22" t="str">
        <f t="shared" si="120"/>
        <v/>
      </c>
      <c r="AD493" s="22" t="str">
        <f t="shared" si="132"/>
        <v/>
      </c>
      <c r="AE493" s="22" t="str" cm="1">
        <f t="array" ref="AE493">IF(($K493-$N$48)&lt;1,"",IF((IF(INDEX($AC$176:$AC$905,($K493-$N$48))="",0,INDEX($AC$176:$AC$905,($K493-$N$48))))=0,"",(IF(INDEX($AC$176:$AC$905,($K493-$N$48))="",0,INDEX($AC$176:$AC$905,($K493-$N$48))))))</f>
        <v/>
      </c>
      <c r="AF493" s="31" t="str">
        <f t="shared" si="121"/>
        <v/>
      </c>
      <c r="AG493" s="31" t="str">
        <f t="shared" si="122"/>
        <v/>
      </c>
      <c r="AH493" s="31" t="str">
        <f t="shared" si="123"/>
        <v/>
      </c>
      <c r="AI493" s="31" t="str">
        <f t="shared" si="124"/>
        <v/>
      </c>
      <c r="AJ493" s="303" t="str">
        <f t="shared" si="125"/>
        <v/>
      </c>
      <c r="AK493" s="139" t="str">
        <f t="shared" si="126"/>
        <v/>
      </c>
      <c r="AM493" s="319"/>
      <c r="AN493" s="40"/>
      <c r="AO493" s="1"/>
    </row>
    <row r="494" spans="7:41" x14ac:dyDescent="0.25">
      <c r="G494" s="235" t="str">
        <f t="shared" si="133"/>
        <v/>
      </c>
      <c r="H494" s="4" t="str">
        <f t="shared" si="134"/>
        <v/>
      </c>
      <c r="I494" s="11" t="str">
        <f t="shared" si="114"/>
        <v>09.00</v>
      </c>
      <c r="K494" s="30">
        <v>319</v>
      </c>
      <c r="L494" s="29">
        <f t="shared" si="127"/>
        <v>11371.908376190917</v>
      </c>
      <c r="M494" s="28" t="str">
        <f t="shared" si="115"/>
        <v/>
      </c>
      <c r="N494" s="27" t="str">
        <f t="shared" si="128"/>
        <v/>
      </c>
      <c r="O494" s="26" t="str">
        <f>IF(AND($Q493=$O$38,IFERROR(LARGE($V$176:$V493,1)&lt;$N$42,TRUE)),1,IF(AND(ISNUMBER($O493),$O493&lt;$N$32),$O493+1,""))</f>
        <v/>
      </c>
      <c r="P494" s="26" t="str">
        <f t="shared" si="129"/>
        <v/>
      </c>
      <c r="Q494" s="26" t="str">
        <f t="shared" si="116"/>
        <v/>
      </c>
      <c r="R494" s="24" t="str">
        <f t="shared" si="130"/>
        <v/>
      </c>
      <c r="S494" s="180">
        <f t="shared" si="131"/>
        <v>9</v>
      </c>
      <c r="T494" s="151"/>
      <c r="U494" s="25" t="str">
        <f t="shared" si="117"/>
        <v/>
      </c>
      <c r="V494" s="24" t="str">
        <f>IF(AND(ISNUMBER(R493),ISNUMBER(R494)),V493,IF(AND(R493="",ISNUMBER(R494)),IFERROR(LARGE($V$176:$V493,1)+1,0),""))</f>
        <v/>
      </c>
      <c r="W494" s="23" t="str">
        <f t="shared" si="118"/>
        <v/>
      </c>
      <c r="X494" s="22" t="str">
        <f t="shared" si="119"/>
        <v/>
      </c>
      <c r="Y494" s="22"/>
      <c r="Z494" s="22"/>
      <c r="AA494" s="22"/>
      <c r="AB494" s="22" t="str" cm="1">
        <f t="array" ref="AB494">IF(IF(AND($P493="",$P494=1),($N$37*-1),0)+IF(AND($Q493="",$Q494=1),($N$38*-1),0)+IF(IF(($K494-$N$48)&lt;1,0,IF(IF(INDEX($AD$176:$AD$905,($K494-$N$48))="",0,INDEX($AD$176:$AD$905,($K494-$N$48)))&gt;0,IF(INDEX($AD$176:$AD$905,($K494-$N$48))="",0,INDEX($AD$176:$AD$905,($K494-$N$48))),0))="",0,IF(($K494-$N$48)&lt;1,0,IF(IF(INDEX($AD$176:$AD$905,($K494-$N$48))="",0,INDEX($AD$176:$AD$905,($K494-$N$48)))&gt;0,IF(INDEX($AD$176:$AD$905,($K494-$N$48))="",0,INDEX($AD$176:$AD$905,($K494-$N$48))),0)))=0,"",IF(AND($P493="",$P494=1),($N$37*-1),0)+IF(AND($Q493="",$Q494=1),($N$38*-1),0)+IF(IF(($K494-$N$48)&lt;1,0,IF(IF(INDEX($AD$176:$AD$905,($K494-$N$48))="",0,INDEX($AD$176:$AD$905,($K494-$N$48)))&gt;0,IF(INDEX($AD$176:$AD$905,($K494-$N$48))="",0,INDEX($AD$176:$AD$905,($K494-$N$48))),0))="",0,IF(($K494-$N$48)&lt;1,0,IF(IF(INDEX($AD$176:$AD$905,($K494-$N$48))="",0,INDEX($AD$176:$AD$905,($K494-$N$48)))&gt;0,IF(INDEX($AD$176:$AD$905,($K494-$N$48))="",0,INDEX($AD$176:$AD$905,($K494-$N$48))),0))))</f>
        <v/>
      </c>
      <c r="AC494" s="22" t="str">
        <f t="shared" si="120"/>
        <v/>
      </c>
      <c r="AD494" s="22" t="str">
        <f t="shared" si="132"/>
        <v/>
      </c>
      <c r="AE494" s="22" t="str" cm="1">
        <f t="array" ref="AE494">IF(($K494-$N$48)&lt;1,"",IF((IF(INDEX($AC$176:$AC$905,($K494-$N$48))="",0,INDEX($AC$176:$AC$905,($K494-$N$48))))=0,"",(IF(INDEX($AC$176:$AC$905,($K494-$N$48))="",0,INDEX($AC$176:$AC$905,($K494-$N$48))))))</f>
        <v/>
      </c>
      <c r="AF494" s="31" t="str">
        <f t="shared" si="121"/>
        <v/>
      </c>
      <c r="AG494" s="31" t="str">
        <f t="shared" si="122"/>
        <v/>
      </c>
      <c r="AH494" s="31" t="str">
        <f t="shared" si="123"/>
        <v/>
      </c>
      <c r="AI494" s="31" t="str">
        <f t="shared" si="124"/>
        <v/>
      </c>
      <c r="AJ494" s="303" t="str">
        <f t="shared" si="125"/>
        <v/>
      </c>
      <c r="AK494" s="139" t="str">
        <f t="shared" si="126"/>
        <v/>
      </c>
      <c r="AM494" s="319"/>
      <c r="AN494" s="40"/>
      <c r="AO494" s="1"/>
    </row>
    <row r="495" spans="7:41" x14ac:dyDescent="0.25">
      <c r="G495" s="235" t="str">
        <f t="shared" si="133"/>
        <v/>
      </c>
      <c r="H495" s="4" t="str">
        <f t="shared" si="134"/>
        <v/>
      </c>
      <c r="I495" s="11" t="str">
        <f t="shared" si="114"/>
        <v>09.00</v>
      </c>
      <c r="K495" s="30">
        <v>320</v>
      </c>
      <c r="L495" s="29">
        <f t="shared" si="127"/>
        <v>11371.908376190917</v>
      </c>
      <c r="M495" s="28" t="str">
        <f t="shared" si="115"/>
        <v/>
      </c>
      <c r="N495" s="27" t="str">
        <f t="shared" si="128"/>
        <v/>
      </c>
      <c r="O495" s="26" t="str">
        <f>IF(AND($Q494=$O$38,IFERROR(LARGE($V$176:$V494,1)&lt;$N$42,TRUE)),1,IF(AND(ISNUMBER($O494),$O494&lt;$N$32),$O494+1,""))</f>
        <v/>
      </c>
      <c r="P495" s="26" t="str">
        <f t="shared" si="129"/>
        <v/>
      </c>
      <c r="Q495" s="26" t="str">
        <f t="shared" si="116"/>
        <v/>
      </c>
      <c r="R495" s="24" t="str">
        <f t="shared" si="130"/>
        <v/>
      </c>
      <c r="S495" s="180">
        <f t="shared" si="131"/>
        <v>9</v>
      </c>
      <c r="T495" s="151"/>
      <c r="U495" s="25" t="str">
        <f t="shared" si="117"/>
        <v/>
      </c>
      <c r="V495" s="24" t="str">
        <f>IF(AND(ISNUMBER(R494),ISNUMBER(R495)),V494,IF(AND(R494="",ISNUMBER(R495)),IFERROR(LARGE($V$176:$V494,1)+1,0),""))</f>
        <v/>
      </c>
      <c r="W495" s="23" t="str">
        <f t="shared" si="118"/>
        <v/>
      </c>
      <c r="X495" s="22" t="str">
        <f t="shared" si="119"/>
        <v/>
      </c>
      <c r="Y495" s="22"/>
      <c r="Z495" s="22"/>
      <c r="AA495" s="22"/>
      <c r="AB495" s="22" t="str" cm="1">
        <f t="array" ref="AB495">IF(IF(AND($P494="",$P495=1),($N$37*-1),0)+IF(AND($Q494="",$Q495=1),($N$38*-1),0)+IF(IF(($K495-$N$48)&lt;1,0,IF(IF(INDEX($AD$176:$AD$905,($K495-$N$48))="",0,INDEX($AD$176:$AD$905,($K495-$N$48)))&gt;0,IF(INDEX($AD$176:$AD$905,($K495-$N$48))="",0,INDEX($AD$176:$AD$905,($K495-$N$48))),0))="",0,IF(($K495-$N$48)&lt;1,0,IF(IF(INDEX($AD$176:$AD$905,($K495-$N$48))="",0,INDEX($AD$176:$AD$905,($K495-$N$48)))&gt;0,IF(INDEX($AD$176:$AD$905,($K495-$N$48))="",0,INDEX($AD$176:$AD$905,($K495-$N$48))),0)))=0,"",IF(AND($P494="",$P495=1),($N$37*-1),0)+IF(AND($Q494="",$Q495=1),($N$38*-1),0)+IF(IF(($K495-$N$48)&lt;1,0,IF(IF(INDEX($AD$176:$AD$905,($K495-$N$48))="",0,INDEX($AD$176:$AD$905,($K495-$N$48)))&gt;0,IF(INDEX($AD$176:$AD$905,($K495-$N$48))="",0,INDEX($AD$176:$AD$905,($K495-$N$48))),0))="",0,IF(($K495-$N$48)&lt;1,0,IF(IF(INDEX($AD$176:$AD$905,($K495-$N$48))="",0,INDEX($AD$176:$AD$905,($K495-$N$48)))&gt;0,IF(INDEX($AD$176:$AD$905,($K495-$N$48))="",0,INDEX($AD$176:$AD$905,($K495-$N$48))),0))))</f>
        <v/>
      </c>
      <c r="AC495" s="22" t="str">
        <f t="shared" si="120"/>
        <v/>
      </c>
      <c r="AD495" s="22" t="str">
        <f t="shared" si="132"/>
        <v/>
      </c>
      <c r="AE495" s="22" t="str" cm="1">
        <f t="array" ref="AE495">IF(($K495-$N$48)&lt;1,"",IF((IF(INDEX($AC$176:$AC$905,($K495-$N$48))="",0,INDEX($AC$176:$AC$905,($K495-$N$48))))=0,"",(IF(INDEX($AC$176:$AC$905,($K495-$N$48))="",0,INDEX($AC$176:$AC$905,($K495-$N$48))))))</f>
        <v/>
      </c>
      <c r="AF495" s="31" t="str">
        <f t="shared" si="121"/>
        <v/>
      </c>
      <c r="AG495" s="31" t="str">
        <f t="shared" si="122"/>
        <v/>
      </c>
      <c r="AH495" s="31" t="str">
        <f t="shared" si="123"/>
        <v/>
      </c>
      <c r="AI495" s="31" t="str">
        <f t="shared" si="124"/>
        <v/>
      </c>
      <c r="AJ495" s="303" t="str">
        <f t="shared" si="125"/>
        <v/>
      </c>
      <c r="AK495" s="139" t="str">
        <f t="shared" si="126"/>
        <v/>
      </c>
      <c r="AM495" s="319"/>
      <c r="AN495" s="40"/>
      <c r="AO495" s="1"/>
    </row>
    <row r="496" spans="7:41" x14ac:dyDescent="0.25">
      <c r="G496" s="235" t="str">
        <f t="shared" si="133"/>
        <v/>
      </c>
      <c r="H496" s="4" t="str">
        <f t="shared" si="134"/>
        <v/>
      </c>
      <c r="I496" s="11" t="str">
        <f t="shared" ref="I496:I559" si="135">CONCATENATE(IF(LEN(ROUNDDOWN(S496,0))=1,CONCATENATE("0",ROUNDDOWN(S496,0)),ROUNDDOWN(S496,0)),".",IF(LEN(ROUND(MOD(S496,1)*100,0))=1,CONCATENATE("0",ROUND(MOD(S496,1)*100,0)),ROUND(MOD(S496,1)*100,0)),IF(N496&lt;&gt;"",".N.",IF(O496&lt;&gt;"",".R.",IF(P496&lt;&gt;"",".O.",IF(Q496&lt;&gt;"",".I.",IF(R496&lt;&gt;"",".D.",""))))),IF(N496&lt;&gt;"",N496,IF(O496&lt;&gt;"",O496,IF(P496&lt;&gt;"",P496,IF(Q496&lt;&gt;"",Q496,IF(R496&lt;&gt;"",IF(MOD(R496,$N$44)=0,$N$44,MOD(R496,$N$44)),""))))))</f>
        <v>09.00</v>
      </c>
      <c r="K496" s="30">
        <v>321</v>
      </c>
      <c r="L496" s="29">
        <f t="shared" si="127"/>
        <v>11371.908376190917</v>
      </c>
      <c r="M496" s="28" t="str">
        <f t="shared" ref="M496:M559" si="136">IFERROR(IF(IF($K496=1,(($M$23*-1)+($M$24*-1)),IF(ISNUMBER(W496),W496,0)+IF(ISNUMBER(X496),X496,0)+IF(ISNUMBER(AB496),AB496,0)+IF(ISNUMBER(AE496),AE496,0)+IF(ISNUMBER(AF496),AF496,0)+IF(ISNUMBER(AG496),AG496,0)+IF(ISNUMBER(AH496),AH496,0)+IF(ISNUMBER(AI496),AI496,0)+IF(ISNUMBER(AK496),AK496,0))=0,"",IF($K496=1,(($M$23*-1)+($M$24*-1)),IF(ISNUMBER(W496),W496,0)+IF(ISNUMBER(X496),X496,0)+IF(ISNUMBER(AB496),AB496,0)+IF(ISNUMBER(AE496),AE496,0)+IF(ISNUMBER(AF496),AF496,0)+IF(ISNUMBER(AG496),AG496,0)+IF(ISNUMBER(AH496),AH496,0)+IF(ISNUMBER(AI496),AI496,0)+IF(ISNUMBER(AK496),AK496,0))),"")</f>
        <v/>
      </c>
      <c r="N496" s="27" t="str">
        <f t="shared" si="128"/>
        <v/>
      </c>
      <c r="O496" s="26" t="str">
        <f>IF(AND($Q495=$O$38,IFERROR(LARGE($V$176:$V495,1)&lt;$N$42,TRUE)),1,IF(AND(ISNUMBER($O495),$O495&lt;$N$32),$O495+1,""))</f>
        <v/>
      </c>
      <c r="P496" s="26" t="str">
        <f t="shared" si="129"/>
        <v/>
      </c>
      <c r="Q496" s="26" t="str">
        <f t="shared" ref="Q496:Q559" si="137">IF($R495=($N$43*$N$44),1,IF(AND(ISNUMBER($Q495),$Q495&lt;$O$38),$Q495+1,""))</f>
        <v/>
      </c>
      <c r="R496" s="24" t="str">
        <f t="shared" si="130"/>
        <v/>
      </c>
      <c r="S496" s="180">
        <f t="shared" si="131"/>
        <v>9</v>
      </c>
      <c r="T496" s="151"/>
      <c r="U496" s="25" t="str">
        <f t="shared" ref="U496:U559" si="138">IF(ISNUMBER($R496),ROUNDUP($R496/$N$44,0),"")</f>
        <v/>
      </c>
      <c r="V496" s="24" t="str">
        <f>IF(AND(ISNUMBER(R495),ISNUMBER(R496)),V495,IF(AND(R495="",ISNUMBER(R496)),IFERROR(LARGE($V$176:$V495,1)+1,0),""))</f>
        <v/>
      </c>
      <c r="W496" s="23" t="str">
        <f t="shared" ref="W496:W559" si="139">IF($O496=1,($M$30*-1),"")</f>
        <v/>
      </c>
      <c r="X496" s="22" t="str">
        <f t="shared" ref="X496:X559" si="140">IF($K496=1,($M$24*-1),IF($O496=1,($M$31*-1),""))</f>
        <v/>
      </c>
      <c r="Y496" s="22"/>
      <c r="Z496" s="22"/>
      <c r="AA496" s="22"/>
      <c r="AB496" s="22" t="str" cm="1">
        <f t="array" ref="AB496">IF(IF(AND($P495="",$P496=1),($N$37*-1),0)+IF(AND($Q495="",$Q496=1),($N$38*-1),0)+IF(IF(($K496-$N$48)&lt;1,0,IF(IF(INDEX($AD$176:$AD$905,($K496-$N$48))="",0,INDEX($AD$176:$AD$905,($K496-$N$48)))&gt;0,IF(INDEX($AD$176:$AD$905,($K496-$N$48))="",0,INDEX($AD$176:$AD$905,($K496-$N$48))),0))="",0,IF(($K496-$N$48)&lt;1,0,IF(IF(INDEX($AD$176:$AD$905,($K496-$N$48))="",0,INDEX($AD$176:$AD$905,($K496-$N$48)))&gt;0,IF(INDEX($AD$176:$AD$905,($K496-$N$48))="",0,INDEX($AD$176:$AD$905,($K496-$N$48))),0)))=0,"",IF(AND($P495="",$P496=1),($N$37*-1),0)+IF(AND($Q495="",$Q496=1),($N$38*-1),0)+IF(IF(($K496-$N$48)&lt;1,0,IF(IF(INDEX($AD$176:$AD$905,($K496-$N$48))="",0,INDEX($AD$176:$AD$905,($K496-$N$48)))&gt;0,IF(INDEX($AD$176:$AD$905,($K496-$N$48))="",0,INDEX($AD$176:$AD$905,($K496-$N$48))),0))="",0,IF(($K496-$N$48)&lt;1,0,IF(IF(INDEX($AD$176:$AD$905,($K496-$N$48))="",0,INDEX($AD$176:$AD$905,($K496-$N$48)))&gt;0,IF(INDEX($AD$176:$AD$905,($K496-$N$48))="",0,INDEX($AD$176:$AD$905,($K496-$N$48))),0))))</f>
        <v/>
      </c>
      <c r="AC496" s="22" t="str">
        <f t="shared" ref="AC496:AC559" si="141">IF(IF(OR(AND(ISNUMBER($U496),IF(ISNUMBER($U497),$U497,0)-IF(ISNUMBER($U496),$U496,0)=1),AND(ISNUMBER($U496),$U497="")),VLOOKUP(IF($U496&gt;$L$63,$L$63,$U496),$L$52:$N$63,COLUMNS($L$52:$N$52),FALSE),0)=0,"",IF(OR(AND(ISNUMBER($U496),IF(ISNUMBER($U497),$U497,0)-IF(ISNUMBER($U496),$U496,0)=1),AND(ISNUMBER($U496),$U497="")),VLOOKUP(IF($U496&gt;$L$63,$L$63,$U496),$L$52:$N$63,COLUMNS($L$52:$N$52),FALSE),0))</f>
        <v/>
      </c>
      <c r="AD496" s="22" t="str">
        <f t="shared" si="132"/>
        <v/>
      </c>
      <c r="AE496" s="22" t="str" cm="1">
        <f t="array" ref="AE496">IF(($K496-$N$48)&lt;1,"",IF((IF(INDEX($AC$176:$AC$905,($K496-$N$48))="",0,INDEX($AC$176:$AC$905,($K496-$N$48))))=0,"",(IF(INDEX($AC$176:$AC$905,($K496-$N$48))="",0,INDEX($AC$176:$AC$905,($K496-$N$48))))))</f>
        <v/>
      </c>
      <c r="AF496" s="31" t="str">
        <f t="shared" ref="AF496:AF559" si="142">IF($O$67="Invoice",IF(AND(ISNUMBER($AC496),ISNUMBER($O$68)),$AC496*$O$68*-1,""),IF($O$67="Payment",IF(AND(ISNUMBER($AE496),ISNUMBER($O$68)),$AE496*$O$68*-1,""),""))</f>
        <v/>
      </c>
      <c r="AG496" s="31" t="str">
        <f t="shared" ref="AG496:AG559" si="143">IF($O$67="Invoice",IF(AND(ISNUMBER($AC496),ISNUMBER($O$69)),$AC496*$O$69*-1,""),IF($O$67="Payment",IF(AND(ISNUMBER($AE496),ISNUMBER($O$69)),$AE496*$O$69*-1,""),""))</f>
        <v/>
      </c>
      <c r="AH496" s="31" t="str">
        <f t="shared" ref="AH496:AH559" si="144">IF($O$67="Invoice",IF(AND(ISNUMBER($AC496),ISNUMBER($O$70)),$AC496*$O$70*-1,""),IF($O$67="Payment",IF(AND(ISNUMBER($AE496),ISNUMBER($O$70)),$AE496*$O$70*-1,""),""))</f>
        <v/>
      </c>
      <c r="AI496" s="31" t="str">
        <f t="shared" ref="AI496:AI559" si="145">IF($O$67="Invoice",IF(AND(ISNUMBER($AC496),ISNUMBER($O$71)),$AC496*$O$71*-1,""),IF($O$67="Payment",IF(AND(ISNUMBER($AE496),ISNUMBER($O$71)),$AE496*$O$71*-1,""),""))</f>
        <v/>
      </c>
      <c r="AJ496" s="303" t="str">
        <f t="shared" ref="AJ496:AJ559" si="146">IF($O$67="Invoice",IF(AND(ISNUMBER($AC496),ISNUMBER($O$72)),$AC496*$O$72*-1,""),IF($O$67="Payment",IF(AND(ISNUMBER($AE496),ISNUMBER($O$72)),$AE496*$O$72*-1,""),""))</f>
        <v/>
      </c>
      <c r="AK496" s="139" t="str">
        <f t="shared" ref="AK496:AK559" si="147">IF($O$67="Invoice",IF(AND(ISNUMBER($AC496),ISNUMBER($O$73)),$AC496*$O$73*-1,""),IF($O$67="Payment",IF(AND(ISNUMBER($AE496),ISNUMBER($O$73)),$AE496*$O$73*-1,""),""))</f>
        <v/>
      </c>
      <c r="AM496" s="319"/>
      <c r="AN496" s="40"/>
      <c r="AO496" s="1"/>
    </row>
    <row r="497" spans="7:41" x14ac:dyDescent="0.25">
      <c r="G497" s="235" t="str">
        <f t="shared" si="133"/>
        <v/>
      </c>
      <c r="H497" s="4" t="str">
        <f t="shared" si="134"/>
        <v/>
      </c>
      <c r="I497" s="11" t="str">
        <f t="shared" si="135"/>
        <v>09.00</v>
      </c>
      <c r="K497" s="30">
        <v>322</v>
      </c>
      <c r="L497" s="29">
        <f t="shared" ref="L497:L560" si="148">IF(ISNUMBER($M497),$M497+$L496,$L496)</f>
        <v>11371.908376190917</v>
      </c>
      <c r="M497" s="28" t="str">
        <f t="shared" si="136"/>
        <v/>
      </c>
      <c r="N497" s="27" t="str">
        <f t="shared" ref="N497:N560" si="149">IF($K496&lt;$N$25,$N496+1,"")</f>
        <v/>
      </c>
      <c r="O497" s="26" t="str">
        <f>IF(AND($Q496=$O$38,IFERROR(LARGE($V$176:$V496,1)&lt;$N$42,TRUE)),1,IF(AND(ISNUMBER($O496),$O496&lt;$N$32),$O496+1,""))</f>
        <v/>
      </c>
      <c r="P497" s="26" t="str">
        <f t="shared" ref="P497:P560" si="150">IF(OR($N496=$N$25,O496=$N$32),1,IF(AND($P496&lt;$O$37,P496&gt;0),P496+1,""))</f>
        <v/>
      </c>
      <c r="Q497" s="26" t="str">
        <f t="shared" si="137"/>
        <v/>
      </c>
      <c r="R497" s="24" t="str">
        <f t="shared" ref="R497:R560" si="151">IF(AND($P496=$O$37,$R496=""),1,IF($R496&lt;($N$43*$N$44),$R496+1,""))</f>
        <v/>
      </c>
      <c r="S497" s="180">
        <f t="shared" si="131"/>
        <v>9</v>
      </c>
      <c r="T497" s="151"/>
      <c r="U497" s="25" t="str">
        <f t="shared" si="138"/>
        <v/>
      </c>
      <c r="V497" s="24" t="str">
        <f>IF(AND(ISNUMBER(R496),ISNUMBER(R497)),V496,IF(AND(R496="",ISNUMBER(R497)),IFERROR(LARGE($V$176:$V496,1)+1,0),""))</f>
        <v/>
      </c>
      <c r="W497" s="23" t="str">
        <f t="shared" si="139"/>
        <v/>
      </c>
      <c r="X497" s="22" t="str">
        <f t="shared" si="140"/>
        <v/>
      </c>
      <c r="Y497" s="22"/>
      <c r="Z497" s="22"/>
      <c r="AA497" s="22"/>
      <c r="AB497" s="22" t="str" cm="1">
        <f t="array" ref="AB497">IF(IF(AND($P496="",$P497=1),($N$37*-1),0)+IF(AND($Q496="",$Q497=1),($N$38*-1),0)+IF(IF(($K497-$N$48)&lt;1,0,IF(IF(INDEX($AD$176:$AD$905,($K497-$N$48))="",0,INDEX($AD$176:$AD$905,($K497-$N$48)))&gt;0,IF(INDEX($AD$176:$AD$905,($K497-$N$48))="",0,INDEX($AD$176:$AD$905,($K497-$N$48))),0))="",0,IF(($K497-$N$48)&lt;1,0,IF(IF(INDEX($AD$176:$AD$905,($K497-$N$48))="",0,INDEX($AD$176:$AD$905,($K497-$N$48)))&gt;0,IF(INDEX($AD$176:$AD$905,($K497-$N$48))="",0,INDEX($AD$176:$AD$905,($K497-$N$48))),0)))=0,"",IF(AND($P496="",$P497=1),($N$37*-1),0)+IF(AND($Q496="",$Q497=1),($N$38*-1),0)+IF(IF(($K497-$N$48)&lt;1,0,IF(IF(INDEX($AD$176:$AD$905,($K497-$N$48))="",0,INDEX($AD$176:$AD$905,($K497-$N$48)))&gt;0,IF(INDEX($AD$176:$AD$905,($K497-$N$48))="",0,INDEX($AD$176:$AD$905,($K497-$N$48))),0))="",0,IF(($K497-$N$48)&lt;1,0,IF(IF(INDEX($AD$176:$AD$905,($K497-$N$48))="",0,INDEX($AD$176:$AD$905,($K497-$N$48)))&gt;0,IF(INDEX($AD$176:$AD$905,($K497-$N$48))="",0,INDEX($AD$176:$AD$905,($K497-$N$48))),0))))</f>
        <v/>
      </c>
      <c r="AC497" s="22" t="str">
        <f t="shared" si="141"/>
        <v/>
      </c>
      <c r="AD497" s="22" t="str">
        <f t="shared" si="132"/>
        <v/>
      </c>
      <c r="AE497" s="22" t="str" cm="1">
        <f t="array" ref="AE497">IF(($K497-$N$48)&lt;1,"",IF((IF(INDEX($AC$176:$AC$905,($K497-$N$48))="",0,INDEX($AC$176:$AC$905,($K497-$N$48))))=0,"",(IF(INDEX($AC$176:$AC$905,($K497-$N$48))="",0,INDEX($AC$176:$AC$905,($K497-$N$48))))))</f>
        <v/>
      </c>
      <c r="AF497" s="31" t="str">
        <f t="shared" si="142"/>
        <v/>
      </c>
      <c r="AG497" s="31" t="str">
        <f t="shared" si="143"/>
        <v/>
      </c>
      <c r="AH497" s="31" t="str">
        <f t="shared" si="144"/>
        <v/>
      </c>
      <c r="AI497" s="31" t="str">
        <f t="shared" si="145"/>
        <v/>
      </c>
      <c r="AJ497" s="303" t="str">
        <f t="shared" si="146"/>
        <v/>
      </c>
      <c r="AK497" s="139" t="str">
        <f t="shared" si="147"/>
        <v/>
      </c>
      <c r="AM497" s="319"/>
      <c r="AN497" s="40"/>
      <c r="AO497" s="1"/>
    </row>
    <row r="498" spans="7:41" x14ac:dyDescent="0.25">
      <c r="G498" s="235" t="str">
        <f t="shared" si="133"/>
        <v/>
      </c>
      <c r="H498" s="4" t="str">
        <f t="shared" si="134"/>
        <v/>
      </c>
      <c r="I498" s="11" t="str">
        <f t="shared" si="135"/>
        <v>09.00</v>
      </c>
      <c r="K498" s="30">
        <v>323</v>
      </c>
      <c r="L498" s="29">
        <f t="shared" si="148"/>
        <v>11371.908376190917</v>
      </c>
      <c r="M498" s="28" t="str">
        <f t="shared" si="136"/>
        <v/>
      </c>
      <c r="N498" s="27" t="str">
        <f t="shared" si="149"/>
        <v/>
      </c>
      <c r="O498" s="26" t="str">
        <f>IF(AND($Q497=$O$38,IFERROR(LARGE($V$176:$V497,1)&lt;$N$42,TRUE)),1,IF(AND(ISNUMBER($O497),$O497&lt;$N$32),$O497+1,""))</f>
        <v/>
      </c>
      <c r="P498" s="26" t="str">
        <f t="shared" si="150"/>
        <v/>
      </c>
      <c r="Q498" s="26" t="str">
        <f t="shared" si="137"/>
        <v/>
      </c>
      <c r="R498" s="24" t="str">
        <f t="shared" si="151"/>
        <v/>
      </c>
      <c r="S498" s="180">
        <f t="shared" si="131"/>
        <v>9</v>
      </c>
      <c r="T498" s="151"/>
      <c r="U498" s="25" t="str">
        <f t="shared" si="138"/>
        <v/>
      </c>
      <c r="V498" s="24" t="str">
        <f>IF(AND(ISNUMBER(R497),ISNUMBER(R498)),V497,IF(AND(R497="",ISNUMBER(R498)),IFERROR(LARGE($V$176:$V497,1)+1,0),""))</f>
        <v/>
      </c>
      <c r="W498" s="23" t="str">
        <f t="shared" si="139"/>
        <v/>
      </c>
      <c r="X498" s="22" t="str">
        <f t="shared" si="140"/>
        <v/>
      </c>
      <c r="Y498" s="22"/>
      <c r="Z498" s="22"/>
      <c r="AA498" s="22"/>
      <c r="AB498" s="22" t="str" cm="1">
        <f t="array" ref="AB498">IF(IF(AND($P497="",$P498=1),($N$37*-1),0)+IF(AND($Q497="",$Q498=1),($N$38*-1),0)+IF(IF(($K498-$N$48)&lt;1,0,IF(IF(INDEX($AD$176:$AD$905,($K498-$N$48))="",0,INDEX($AD$176:$AD$905,($K498-$N$48)))&gt;0,IF(INDEX($AD$176:$AD$905,($K498-$N$48))="",0,INDEX($AD$176:$AD$905,($K498-$N$48))),0))="",0,IF(($K498-$N$48)&lt;1,0,IF(IF(INDEX($AD$176:$AD$905,($K498-$N$48))="",0,INDEX($AD$176:$AD$905,($K498-$N$48)))&gt;0,IF(INDEX($AD$176:$AD$905,($K498-$N$48))="",0,INDEX($AD$176:$AD$905,($K498-$N$48))),0)))=0,"",IF(AND($P497="",$P498=1),($N$37*-1),0)+IF(AND($Q497="",$Q498=1),($N$38*-1),0)+IF(IF(($K498-$N$48)&lt;1,0,IF(IF(INDEX($AD$176:$AD$905,($K498-$N$48))="",0,INDEX($AD$176:$AD$905,($K498-$N$48)))&gt;0,IF(INDEX($AD$176:$AD$905,($K498-$N$48))="",0,INDEX($AD$176:$AD$905,($K498-$N$48))),0))="",0,IF(($K498-$N$48)&lt;1,0,IF(IF(INDEX($AD$176:$AD$905,($K498-$N$48))="",0,INDEX($AD$176:$AD$905,($K498-$N$48)))&gt;0,IF(INDEX($AD$176:$AD$905,($K498-$N$48))="",0,INDEX($AD$176:$AD$905,($K498-$N$48))),0))))</f>
        <v/>
      </c>
      <c r="AC498" s="22" t="str">
        <f t="shared" si="141"/>
        <v/>
      </c>
      <c r="AD498" s="22" t="str">
        <f t="shared" si="132"/>
        <v/>
      </c>
      <c r="AE498" s="22" t="str" cm="1">
        <f t="array" ref="AE498">IF(($K498-$N$48)&lt;1,"",IF((IF(INDEX($AC$176:$AC$905,($K498-$N$48))="",0,INDEX($AC$176:$AC$905,($K498-$N$48))))=0,"",(IF(INDEX($AC$176:$AC$905,($K498-$N$48))="",0,INDEX($AC$176:$AC$905,($K498-$N$48))))))</f>
        <v/>
      </c>
      <c r="AF498" s="31" t="str">
        <f t="shared" si="142"/>
        <v/>
      </c>
      <c r="AG498" s="31" t="str">
        <f t="shared" si="143"/>
        <v/>
      </c>
      <c r="AH498" s="31" t="str">
        <f t="shared" si="144"/>
        <v/>
      </c>
      <c r="AI498" s="31" t="str">
        <f t="shared" si="145"/>
        <v/>
      </c>
      <c r="AJ498" s="303" t="str">
        <f t="shared" si="146"/>
        <v/>
      </c>
      <c r="AK498" s="139" t="str">
        <f t="shared" si="147"/>
        <v/>
      </c>
      <c r="AM498" s="319"/>
      <c r="AN498" s="40"/>
      <c r="AO498" s="1"/>
    </row>
    <row r="499" spans="7:41" x14ac:dyDescent="0.25">
      <c r="G499" s="235" t="str">
        <f t="shared" si="133"/>
        <v/>
      </c>
      <c r="H499" s="4" t="str">
        <f t="shared" si="134"/>
        <v/>
      </c>
      <c r="I499" s="11" t="str">
        <f t="shared" si="135"/>
        <v>09.00</v>
      </c>
      <c r="K499" s="30">
        <v>324</v>
      </c>
      <c r="L499" s="29">
        <f t="shared" si="148"/>
        <v>11371.908376190917</v>
      </c>
      <c r="M499" s="28" t="str">
        <f t="shared" si="136"/>
        <v/>
      </c>
      <c r="N499" s="27" t="str">
        <f t="shared" si="149"/>
        <v/>
      </c>
      <c r="O499" s="26" t="str">
        <f>IF(AND($Q498=$O$38,IFERROR(LARGE($V$176:$V498,1)&lt;$N$42,TRUE)),1,IF(AND(ISNUMBER($O498),$O498&lt;$N$32),$O498+1,""))</f>
        <v/>
      </c>
      <c r="P499" s="26" t="str">
        <f t="shared" si="150"/>
        <v/>
      </c>
      <c r="Q499" s="26" t="str">
        <f t="shared" si="137"/>
        <v/>
      </c>
      <c r="R499" s="24" t="str">
        <f t="shared" si="151"/>
        <v/>
      </c>
      <c r="S499" s="180">
        <f t="shared" si="131"/>
        <v>9</v>
      </c>
      <c r="T499" s="151"/>
      <c r="U499" s="25" t="str">
        <f t="shared" si="138"/>
        <v/>
      </c>
      <c r="V499" s="24" t="str">
        <f>IF(AND(ISNUMBER(R498),ISNUMBER(R499)),V498,IF(AND(R498="",ISNUMBER(R499)),IFERROR(LARGE($V$176:$V498,1)+1,0),""))</f>
        <v/>
      </c>
      <c r="W499" s="23" t="str">
        <f t="shared" si="139"/>
        <v/>
      </c>
      <c r="X499" s="22" t="str">
        <f t="shared" si="140"/>
        <v/>
      </c>
      <c r="Y499" s="22"/>
      <c r="Z499" s="22"/>
      <c r="AA499" s="22"/>
      <c r="AB499" s="22" t="str" cm="1">
        <f t="array" ref="AB499">IF(IF(AND($P498="",$P499=1),($N$37*-1),0)+IF(AND($Q498="",$Q499=1),($N$38*-1),0)+IF(IF(($K499-$N$48)&lt;1,0,IF(IF(INDEX($AD$176:$AD$905,($K499-$N$48))="",0,INDEX($AD$176:$AD$905,($K499-$N$48)))&gt;0,IF(INDEX($AD$176:$AD$905,($K499-$N$48))="",0,INDEX($AD$176:$AD$905,($K499-$N$48))),0))="",0,IF(($K499-$N$48)&lt;1,0,IF(IF(INDEX($AD$176:$AD$905,($K499-$N$48))="",0,INDEX($AD$176:$AD$905,($K499-$N$48)))&gt;0,IF(INDEX($AD$176:$AD$905,($K499-$N$48))="",0,INDEX($AD$176:$AD$905,($K499-$N$48))),0)))=0,"",IF(AND($P498="",$P499=1),($N$37*-1),0)+IF(AND($Q498="",$Q499=1),($N$38*-1),0)+IF(IF(($K499-$N$48)&lt;1,0,IF(IF(INDEX($AD$176:$AD$905,($K499-$N$48))="",0,INDEX($AD$176:$AD$905,($K499-$N$48)))&gt;0,IF(INDEX($AD$176:$AD$905,($K499-$N$48))="",0,INDEX($AD$176:$AD$905,($K499-$N$48))),0))="",0,IF(($K499-$N$48)&lt;1,0,IF(IF(INDEX($AD$176:$AD$905,($K499-$N$48))="",0,INDEX($AD$176:$AD$905,($K499-$N$48)))&gt;0,IF(INDEX($AD$176:$AD$905,($K499-$N$48))="",0,INDEX($AD$176:$AD$905,($K499-$N$48))),0))))</f>
        <v/>
      </c>
      <c r="AC499" s="22" t="str">
        <f t="shared" si="141"/>
        <v/>
      </c>
      <c r="AD499" s="22" t="str">
        <f t="shared" si="132"/>
        <v/>
      </c>
      <c r="AE499" s="22" t="str" cm="1">
        <f t="array" ref="AE499">IF(($K499-$N$48)&lt;1,"",IF((IF(INDEX($AC$176:$AC$905,($K499-$N$48))="",0,INDEX($AC$176:$AC$905,($K499-$N$48))))=0,"",(IF(INDEX($AC$176:$AC$905,($K499-$N$48))="",0,INDEX($AC$176:$AC$905,($K499-$N$48))))))</f>
        <v/>
      </c>
      <c r="AF499" s="31" t="str">
        <f t="shared" si="142"/>
        <v/>
      </c>
      <c r="AG499" s="31" t="str">
        <f t="shared" si="143"/>
        <v/>
      </c>
      <c r="AH499" s="31" t="str">
        <f t="shared" si="144"/>
        <v/>
      </c>
      <c r="AI499" s="31" t="str">
        <f t="shared" si="145"/>
        <v/>
      </c>
      <c r="AJ499" s="303" t="str">
        <f t="shared" si="146"/>
        <v/>
      </c>
      <c r="AK499" s="139" t="str">
        <f t="shared" si="147"/>
        <v/>
      </c>
      <c r="AM499" s="319"/>
      <c r="AN499" s="40"/>
      <c r="AO499" s="1"/>
    </row>
    <row r="500" spans="7:41" x14ac:dyDescent="0.25">
      <c r="G500" s="235" t="str">
        <f t="shared" si="133"/>
        <v/>
      </c>
      <c r="H500" s="4" t="str">
        <f t="shared" si="134"/>
        <v/>
      </c>
      <c r="I500" s="11" t="str">
        <f t="shared" si="135"/>
        <v>09.00</v>
      </c>
      <c r="K500" s="30">
        <v>325</v>
      </c>
      <c r="L500" s="29">
        <f t="shared" si="148"/>
        <v>11371.908376190917</v>
      </c>
      <c r="M500" s="28" t="str">
        <f t="shared" si="136"/>
        <v/>
      </c>
      <c r="N500" s="27" t="str">
        <f t="shared" si="149"/>
        <v/>
      </c>
      <c r="O500" s="26" t="str">
        <f>IF(AND($Q499=$O$38,IFERROR(LARGE($V$176:$V499,1)&lt;$N$42,TRUE)),1,IF(AND(ISNUMBER($O499),$O499&lt;$N$32),$O499+1,""))</f>
        <v/>
      </c>
      <c r="P500" s="26" t="str">
        <f t="shared" si="150"/>
        <v/>
      </c>
      <c r="Q500" s="26" t="str">
        <f t="shared" si="137"/>
        <v/>
      </c>
      <c r="R500" s="24" t="str">
        <f t="shared" si="151"/>
        <v/>
      </c>
      <c r="S500" s="180">
        <f t="shared" si="131"/>
        <v>9</v>
      </c>
      <c r="T500" s="151"/>
      <c r="U500" s="25" t="str">
        <f t="shared" si="138"/>
        <v/>
      </c>
      <c r="V500" s="24" t="str">
        <f>IF(AND(ISNUMBER(R499),ISNUMBER(R500)),V499,IF(AND(R499="",ISNUMBER(R500)),IFERROR(LARGE($V$176:$V499,1)+1,0),""))</f>
        <v/>
      </c>
      <c r="W500" s="23" t="str">
        <f t="shared" si="139"/>
        <v/>
      </c>
      <c r="X500" s="22" t="str">
        <f t="shared" si="140"/>
        <v/>
      </c>
      <c r="Y500" s="22"/>
      <c r="Z500" s="22"/>
      <c r="AA500" s="22"/>
      <c r="AB500" s="22" t="str" cm="1">
        <f t="array" ref="AB500">IF(IF(AND($P499="",$P500=1),($N$37*-1),0)+IF(AND($Q499="",$Q500=1),($N$38*-1),0)+IF(IF(($K500-$N$48)&lt;1,0,IF(IF(INDEX($AD$176:$AD$905,($K500-$N$48))="",0,INDEX($AD$176:$AD$905,($K500-$N$48)))&gt;0,IF(INDEX($AD$176:$AD$905,($K500-$N$48))="",0,INDEX($AD$176:$AD$905,($K500-$N$48))),0))="",0,IF(($K500-$N$48)&lt;1,0,IF(IF(INDEX($AD$176:$AD$905,($K500-$N$48))="",0,INDEX($AD$176:$AD$905,($K500-$N$48)))&gt;0,IF(INDEX($AD$176:$AD$905,($K500-$N$48))="",0,INDEX($AD$176:$AD$905,($K500-$N$48))),0)))=0,"",IF(AND($P499="",$P500=1),($N$37*-1),0)+IF(AND($Q499="",$Q500=1),($N$38*-1),0)+IF(IF(($K500-$N$48)&lt;1,0,IF(IF(INDEX($AD$176:$AD$905,($K500-$N$48))="",0,INDEX($AD$176:$AD$905,($K500-$N$48)))&gt;0,IF(INDEX($AD$176:$AD$905,($K500-$N$48))="",0,INDEX($AD$176:$AD$905,($K500-$N$48))),0))="",0,IF(($K500-$N$48)&lt;1,0,IF(IF(INDEX($AD$176:$AD$905,($K500-$N$48))="",0,INDEX($AD$176:$AD$905,($K500-$N$48)))&gt;0,IF(INDEX($AD$176:$AD$905,($K500-$N$48))="",0,INDEX($AD$176:$AD$905,($K500-$N$48))),0))))</f>
        <v/>
      </c>
      <c r="AC500" s="22" t="str">
        <f t="shared" si="141"/>
        <v/>
      </c>
      <c r="AD500" s="22" t="str">
        <f t="shared" si="132"/>
        <v/>
      </c>
      <c r="AE500" s="22" t="str" cm="1">
        <f t="array" ref="AE500">IF(($K500-$N$48)&lt;1,"",IF((IF(INDEX($AC$176:$AC$905,($K500-$N$48))="",0,INDEX($AC$176:$AC$905,($K500-$N$48))))=0,"",(IF(INDEX($AC$176:$AC$905,($K500-$N$48))="",0,INDEX($AC$176:$AC$905,($K500-$N$48))))))</f>
        <v/>
      </c>
      <c r="AF500" s="31" t="str">
        <f t="shared" si="142"/>
        <v/>
      </c>
      <c r="AG500" s="31" t="str">
        <f t="shared" si="143"/>
        <v/>
      </c>
      <c r="AH500" s="31" t="str">
        <f t="shared" si="144"/>
        <v/>
      </c>
      <c r="AI500" s="31" t="str">
        <f t="shared" si="145"/>
        <v/>
      </c>
      <c r="AJ500" s="303" t="str">
        <f t="shared" si="146"/>
        <v/>
      </c>
      <c r="AK500" s="139" t="str">
        <f t="shared" si="147"/>
        <v/>
      </c>
      <c r="AM500" s="319"/>
      <c r="AN500" s="40"/>
      <c r="AO500" s="1"/>
    </row>
    <row r="501" spans="7:41" x14ac:dyDescent="0.25">
      <c r="G501" s="235" t="str">
        <f t="shared" si="133"/>
        <v/>
      </c>
      <c r="H501" s="4" t="str">
        <f t="shared" si="134"/>
        <v/>
      </c>
      <c r="I501" s="11" t="str">
        <f t="shared" si="135"/>
        <v>09.00</v>
      </c>
      <c r="K501" s="30">
        <v>326</v>
      </c>
      <c r="L501" s="29">
        <f t="shared" si="148"/>
        <v>11371.908376190917</v>
      </c>
      <c r="M501" s="28" t="str">
        <f t="shared" si="136"/>
        <v/>
      </c>
      <c r="N501" s="27" t="str">
        <f t="shared" si="149"/>
        <v/>
      </c>
      <c r="O501" s="26" t="str">
        <f>IF(AND($Q500=$O$38,IFERROR(LARGE($V$176:$V500,1)&lt;$N$42,TRUE)),1,IF(AND(ISNUMBER($O500),$O500&lt;$N$32),$O500+1,""))</f>
        <v/>
      </c>
      <c r="P501" s="26" t="str">
        <f t="shared" si="150"/>
        <v/>
      </c>
      <c r="Q501" s="26" t="str">
        <f t="shared" si="137"/>
        <v/>
      </c>
      <c r="R501" s="24" t="str">
        <f t="shared" si="151"/>
        <v/>
      </c>
      <c r="S501" s="180">
        <f t="shared" si="131"/>
        <v>9</v>
      </c>
      <c r="T501" s="151"/>
      <c r="U501" s="25" t="str">
        <f t="shared" si="138"/>
        <v/>
      </c>
      <c r="V501" s="24" t="str">
        <f>IF(AND(ISNUMBER(R500),ISNUMBER(R501)),V500,IF(AND(R500="",ISNUMBER(R501)),IFERROR(LARGE($V$176:$V500,1)+1,0),""))</f>
        <v/>
      </c>
      <c r="W501" s="23" t="str">
        <f t="shared" si="139"/>
        <v/>
      </c>
      <c r="X501" s="22" t="str">
        <f t="shared" si="140"/>
        <v/>
      </c>
      <c r="Y501" s="22"/>
      <c r="Z501" s="22"/>
      <c r="AA501" s="22"/>
      <c r="AB501" s="22" t="str" cm="1">
        <f t="array" ref="AB501">IF(IF(AND($P500="",$P501=1),($N$37*-1),0)+IF(AND($Q500="",$Q501=1),($N$38*-1),0)+IF(IF(($K501-$N$48)&lt;1,0,IF(IF(INDEX($AD$176:$AD$905,($K501-$N$48))="",0,INDEX($AD$176:$AD$905,($K501-$N$48)))&gt;0,IF(INDEX($AD$176:$AD$905,($K501-$N$48))="",0,INDEX($AD$176:$AD$905,($K501-$N$48))),0))="",0,IF(($K501-$N$48)&lt;1,0,IF(IF(INDEX($AD$176:$AD$905,($K501-$N$48))="",0,INDEX($AD$176:$AD$905,($K501-$N$48)))&gt;0,IF(INDEX($AD$176:$AD$905,($K501-$N$48))="",0,INDEX($AD$176:$AD$905,($K501-$N$48))),0)))=0,"",IF(AND($P500="",$P501=1),($N$37*-1),0)+IF(AND($Q500="",$Q501=1),($N$38*-1),0)+IF(IF(($K501-$N$48)&lt;1,0,IF(IF(INDEX($AD$176:$AD$905,($K501-$N$48))="",0,INDEX($AD$176:$AD$905,($K501-$N$48)))&gt;0,IF(INDEX($AD$176:$AD$905,($K501-$N$48))="",0,INDEX($AD$176:$AD$905,($K501-$N$48))),0))="",0,IF(($K501-$N$48)&lt;1,0,IF(IF(INDEX($AD$176:$AD$905,($K501-$N$48))="",0,INDEX($AD$176:$AD$905,($K501-$N$48)))&gt;0,IF(INDEX($AD$176:$AD$905,($K501-$N$48))="",0,INDEX($AD$176:$AD$905,($K501-$N$48))),0))))</f>
        <v/>
      </c>
      <c r="AC501" s="22" t="str">
        <f t="shared" si="141"/>
        <v/>
      </c>
      <c r="AD501" s="22" t="str">
        <f t="shared" si="132"/>
        <v/>
      </c>
      <c r="AE501" s="22" t="str" cm="1">
        <f t="array" ref="AE501">IF(($K501-$N$48)&lt;1,"",IF((IF(INDEX($AC$176:$AC$905,($K501-$N$48))="",0,INDEX($AC$176:$AC$905,($K501-$N$48))))=0,"",(IF(INDEX($AC$176:$AC$905,($K501-$N$48))="",0,INDEX($AC$176:$AC$905,($K501-$N$48))))))</f>
        <v/>
      </c>
      <c r="AF501" s="31" t="str">
        <f t="shared" si="142"/>
        <v/>
      </c>
      <c r="AG501" s="31" t="str">
        <f t="shared" si="143"/>
        <v/>
      </c>
      <c r="AH501" s="31" t="str">
        <f t="shared" si="144"/>
        <v/>
      </c>
      <c r="AI501" s="31" t="str">
        <f t="shared" si="145"/>
        <v/>
      </c>
      <c r="AJ501" s="303" t="str">
        <f t="shared" si="146"/>
        <v/>
      </c>
      <c r="AK501" s="139" t="str">
        <f t="shared" si="147"/>
        <v/>
      </c>
      <c r="AM501" s="319"/>
      <c r="AN501" s="40"/>
      <c r="AO501" s="1"/>
    </row>
    <row r="502" spans="7:41" x14ac:dyDescent="0.25">
      <c r="G502" s="235" t="str">
        <f t="shared" si="133"/>
        <v/>
      </c>
      <c r="H502" s="4" t="str">
        <f t="shared" si="134"/>
        <v/>
      </c>
      <c r="I502" s="11" t="str">
        <f t="shared" si="135"/>
        <v>09.00</v>
      </c>
      <c r="K502" s="30">
        <v>327</v>
      </c>
      <c r="L502" s="29">
        <f t="shared" si="148"/>
        <v>11371.908376190917</v>
      </c>
      <c r="M502" s="28" t="str">
        <f t="shared" si="136"/>
        <v/>
      </c>
      <c r="N502" s="27" t="str">
        <f t="shared" si="149"/>
        <v/>
      </c>
      <c r="O502" s="26" t="str">
        <f>IF(AND($Q501=$O$38,IFERROR(LARGE($V$176:$V501,1)&lt;$N$42,TRUE)),1,IF(AND(ISNUMBER($O501),$O501&lt;$N$32),$O501+1,""))</f>
        <v/>
      </c>
      <c r="P502" s="26" t="str">
        <f t="shared" si="150"/>
        <v/>
      </c>
      <c r="Q502" s="26" t="str">
        <f t="shared" si="137"/>
        <v/>
      </c>
      <c r="R502" s="24" t="str">
        <f t="shared" si="151"/>
        <v/>
      </c>
      <c r="S502" s="180">
        <f t="shared" si="131"/>
        <v>9</v>
      </c>
      <c r="T502" s="151"/>
      <c r="U502" s="25" t="str">
        <f t="shared" si="138"/>
        <v/>
      </c>
      <c r="V502" s="24" t="str">
        <f>IF(AND(ISNUMBER(R501),ISNUMBER(R502)),V501,IF(AND(R501="",ISNUMBER(R502)),IFERROR(LARGE($V$176:$V501,1)+1,0),""))</f>
        <v/>
      </c>
      <c r="W502" s="23" t="str">
        <f t="shared" si="139"/>
        <v/>
      </c>
      <c r="X502" s="22" t="str">
        <f t="shared" si="140"/>
        <v/>
      </c>
      <c r="Y502" s="22"/>
      <c r="Z502" s="22"/>
      <c r="AA502" s="22"/>
      <c r="AB502" s="22" t="str" cm="1">
        <f t="array" ref="AB502">IF(IF(AND($P501="",$P502=1),($N$37*-1),0)+IF(AND($Q501="",$Q502=1),($N$38*-1),0)+IF(IF(($K502-$N$48)&lt;1,0,IF(IF(INDEX($AD$176:$AD$905,($K502-$N$48))="",0,INDEX($AD$176:$AD$905,($K502-$N$48)))&gt;0,IF(INDEX($AD$176:$AD$905,($K502-$N$48))="",0,INDEX($AD$176:$AD$905,($K502-$N$48))),0))="",0,IF(($K502-$N$48)&lt;1,0,IF(IF(INDEX($AD$176:$AD$905,($K502-$N$48))="",0,INDEX($AD$176:$AD$905,($K502-$N$48)))&gt;0,IF(INDEX($AD$176:$AD$905,($K502-$N$48))="",0,INDEX($AD$176:$AD$905,($K502-$N$48))),0)))=0,"",IF(AND($P501="",$P502=1),($N$37*-1),0)+IF(AND($Q501="",$Q502=1),($N$38*-1),0)+IF(IF(($K502-$N$48)&lt;1,0,IF(IF(INDEX($AD$176:$AD$905,($K502-$N$48))="",0,INDEX($AD$176:$AD$905,($K502-$N$48)))&gt;0,IF(INDEX($AD$176:$AD$905,($K502-$N$48))="",0,INDEX($AD$176:$AD$905,($K502-$N$48))),0))="",0,IF(($K502-$N$48)&lt;1,0,IF(IF(INDEX($AD$176:$AD$905,($K502-$N$48))="",0,INDEX($AD$176:$AD$905,($K502-$N$48)))&gt;0,IF(INDEX($AD$176:$AD$905,($K502-$N$48))="",0,INDEX($AD$176:$AD$905,($K502-$N$48))),0))))</f>
        <v/>
      </c>
      <c r="AC502" s="22" t="str">
        <f t="shared" si="141"/>
        <v/>
      </c>
      <c r="AD502" s="22" t="str">
        <f t="shared" si="132"/>
        <v/>
      </c>
      <c r="AE502" s="22" t="str" cm="1">
        <f t="array" ref="AE502">IF(($K502-$N$48)&lt;1,"",IF((IF(INDEX($AC$176:$AC$905,($K502-$N$48))="",0,INDEX($AC$176:$AC$905,($K502-$N$48))))=0,"",(IF(INDEX($AC$176:$AC$905,($K502-$N$48))="",0,INDEX($AC$176:$AC$905,($K502-$N$48))))))</f>
        <v/>
      </c>
      <c r="AF502" s="31" t="str">
        <f t="shared" si="142"/>
        <v/>
      </c>
      <c r="AG502" s="31" t="str">
        <f t="shared" si="143"/>
        <v/>
      </c>
      <c r="AH502" s="31" t="str">
        <f t="shared" si="144"/>
        <v/>
      </c>
      <c r="AI502" s="31" t="str">
        <f t="shared" si="145"/>
        <v/>
      </c>
      <c r="AJ502" s="303" t="str">
        <f t="shared" si="146"/>
        <v/>
      </c>
      <c r="AK502" s="139" t="str">
        <f t="shared" si="147"/>
        <v/>
      </c>
      <c r="AM502" s="319"/>
      <c r="AN502" s="40"/>
      <c r="AO502" s="1"/>
    </row>
    <row r="503" spans="7:41" x14ac:dyDescent="0.25">
      <c r="G503" s="235" t="str">
        <f t="shared" si="133"/>
        <v/>
      </c>
      <c r="H503" s="4" t="str">
        <f t="shared" si="134"/>
        <v/>
      </c>
      <c r="I503" s="11" t="str">
        <f t="shared" si="135"/>
        <v>09.00</v>
      </c>
      <c r="K503" s="30">
        <v>328</v>
      </c>
      <c r="L503" s="29">
        <f t="shared" si="148"/>
        <v>11371.908376190917</v>
      </c>
      <c r="M503" s="28" t="str">
        <f t="shared" si="136"/>
        <v/>
      </c>
      <c r="N503" s="27" t="str">
        <f t="shared" si="149"/>
        <v/>
      </c>
      <c r="O503" s="26" t="str">
        <f>IF(AND($Q502=$O$38,IFERROR(LARGE($V$176:$V502,1)&lt;$N$42,TRUE)),1,IF(AND(ISNUMBER($O502),$O502&lt;$N$32),$O502+1,""))</f>
        <v/>
      </c>
      <c r="P503" s="26" t="str">
        <f t="shared" si="150"/>
        <v/>
      </c>
      <c r="Q503" s="26" t="str">
        <f t="shared" si="137"/>
        <v/>
      </c>
      <c r="R503" s="24" t="str">
        <f t="shared" si="151"/>
        <v/>
      </c>
      <c r="S503" s="180">
        <f t="shared" si="131"/>
        <v>9</v>
      </c>
      <c r="T503" s="151"/>
      <c r="U503" s="25" t="str">
        <f t="shared" si="138"/>
        <v/>
      </c>
      <c r="V503" s="24" t="str">
        <f>IF(AND(ISNUMBER(R502),ISNUMBER(R503)),V502,IF(AND(R502="",ISNUMBER(R503)),IFERROR(LARGE($V$176:$V502,1)+1,0),""))</f>
        <v/>
      </c>
      <c r="W503" s="23" t="str">
        <f t="shared" si="139"/>
        <v/>
      </c>
      <c r="X503" s="22" t="str">
        <f t="shared" si="140"/>
        <v/>
      </c>
      <c r="Y503" s="22"/>
      <c r="Z503" s="22"/>
      <c r="AA503" s="22"/>
      <c r="AB503" s="22" t="str" cm="1">
        <f t="array" ref="AB503">IF(IF(AND($P502="",$P503=1),($N$37*-1),0)+IF(AND($Q502="",$Q503=1),($N$38*-1),0)+IF(IF(($K503-$N$48)&lt;1,0,IF(IF(INDEX($AD$176:$AD$905,($K503-$N$48))="",0,INDEX($AD$176:$AD$905,($K503-$N$48)))&gt;0,IF(INDEX($AD$176:$AD$905,($K503-$N$48))="",0,INDEX($AD$176:$AD$905,($K503-$N$48))),0))="",0,IF(($K503-$N$48)&lt;1,0,IF(IF(INDEX($AD$176:$AD$905,($K503-$N$48))="",0,INDEX($AD$176:$AD$905,($K503-$N$48)))&gt;0,IF(INDEX($AD$176:$AD$905,($K503-$N$48))="",0,INDEX($AD$176:$AD$905,($K503-$N$48))),0)))=0,"",IF(AND($P502="",$P503=1),($N$37*-1),0)+IF(AND($Q502="",$Q503=1),($N$38*-1),0)+IF(IF(($K503-$N$48)&lt;1,0,IF(IF(INDEX($AD$176:$AD$905,($K503-$N$48))="",0,INDEX($AD$176:$AD$905,($K503-$N$48)))&gt;0,IF(INDEX($AD$176:$AD$905,($K503-$N$48))="",0,INDEX($AD$176:$AD$905,($K503-$N$48))),0))="",0,IF(($K503-$N$48)&lt;1,0,IF(IF(INDEX($AD$176:$AD$905,($K503-$N$48))="",0,INDEX($AD$176:$AD$905,($K503-$N$48)))&gt;0,IF(INDEX($AD$176:$AD$905,($K503-$N$48))="",0,INDEX($AD$176:$AD$905,($K503-$N$48))),0))))</f>
        <v/>
      </c>
      <c r="AC503" s="22" t="str">
        <f t="shared" si="141"/>
        <v/>
      </c>
      <c r="AD503" s="22" t="str">
        <f t="shared" si="132"/>
        <v/>
      </c>
      <c r="AE503" s="22" t="str" cm="1">
        <f t="array" ref="AE503">IF(($K503-$N$48)&lt;1,"",IF((IF(INDEX($AC$176:$AC$905,($K503-$N$48))="",0,INDEX($AC$176:$AC$905,($K503-$N$48))))=0,"",(IF(INDEX($AC$176:$AC$905,($K503-$N$48))="",0,INDEX($AC$176:$AC$905,($K503-$N$48))))))</f>
        <v/>
      </c>
      <c r="AF503" s="31" t="str">
        <f t="shared" si="142"/>
        <v/>
      </c>
      <c r="AG503" s="31" t="str">
        <f t="shared" si="143"/>
        <v/>
      </c>
      <c r="AH503" s="31" t="str">
        <f t="shared" si="144"/>
        <v/>
      </c>
      <c r="AI503" s="31" t="str">
        <f t="shared" si="145"/>
        <v/>
      </c>
      <c r="AJ503" s="303" t="str">
        <f t="shared" si="146"/>
        <v/>
      </c>
      <c r="AK503" s="139" t="str">
        <f t="shared" si="147"/>
        <v/>
      </c>
      <c r="AM503" s="319"/>
      <c r="AN503" s="40"/>
      <c r="AO503" s="1"/>
    </row>
    <row r="504" spans="7:41" x14ac:dyDescent="0.25">
      <c r="G504" s="235" t="str">
        <f t="shared" si="133"/>
        <v/>
      </c>
      <c r="H504" s="4" t="str">
        <f t="shared" si="134"/>
        <v/>
      </c>
      <c r="I504" s="11" t="str">
        <f t="shared" si="135"/>
        <v>09.00</v>
      </c>
      <c r="K504" s="30">
        <v>329</v>
      </c>
      <c r="L504" s="29">
        <f t="shared" si="148"/>
        <v>11371.908376190917</v>
      </c>
      <c r="M504" s="28" t="str">
        <f t="shared" si="136"/>
        <v/>
      </c>
      <c r="N504" s="27" t="str">
        <f t="shared" si="149"/>
        <v/>
      </c>
      <c r="O504" s="26" t="str">
        <f>IF(AND($Q503=$O$38,IFERROR(LARGE($V$176:$V503,1)&lt;$N$42,TRUE)),1,IF(AND(ISNUMBER($O503),$O503&lt;$N$32),$O503+1,""))</f>
        <v/>
      </c>
      <c r="P504" s="26" t="str">
        <f t="shared" si="150"/>
        <v/>
      </c>
      <c r="Q504" s="26" t="str">
        <f t="shared" si="137"/>
        <v/>
      </c>
      <c r="R504" s="24" t="str">
        <f t="shared" si="151"/>
        <v/>
      </c>
      <c r="S504" s="180">
        <f t="shared" si="131"/>
        <v>9</v>
      </c>
      <c r="T504" s="151"/>
      <c r="U504" s="25" t="str">
        <f t="shared" si="138"/>
        <v/>
      </c>
      <c r="V504" s="24" t="str">
        <f>IF(AND(ISNUMBER(R503),ISNUMBER(R504)),V503,IF(AND(R503="",ISNUMBER(R504)),IFERROR(LARGE($V$176:$V503,1)+1,0),""))</f>
        <v/>
      </c>
      <c r="W504" s="23" t="str">
        <f t="shared" si="139"/>
        <v/>
      </c>
      <c r="X504" s="22" t="str">
        <f t="shared" si="140"/>
        <v/>
      </c>
      <c r="Y504" s="22"/>
      <c r="Z504" s="22"/>
      <c r="AA504" s="22"/>
      <c r="AB504" s="22" t="str" cm="1">
        <f t="array" ref="AB504">IF(IF(AND($P503="",$P504=1),($N$37*-1),0)+IF(AND($Q503="",$Q504=1),($N$38*-1),0)+IF(IF(($K504-$N$48)&lt;1,0,IF(IF(INDEX($AD$176:$AD$905,($K504-$N$48))="",0,INDEX($AD$176:$AD$905,($K504-$N$48)))&gt;0,IF(INDEX($AD$176:$AD$905,($K504-$N$48))="",0,INDEX($AD$176:$AD$905,($K504-$N$48))),0))="",0,IF(($K504-$N$48)&lt;1,0,IF(IF(INDEX($AD$176:$AD$905,($K504-$N$48))="",0,INDEX($AD$176:$AD$905,($K504-$N$48)))&gt;0,IF(INDEX($AD$176:$AD$905,($K504-$N$48))="",0,INDEX($AD$176:$AD$905,($K504-$N$48))),0)))=0,"",IF(AND($P503="",$P504=1),($N$37*-1),0)+IF(AND($Q503="",$Q504=1),($N$38*-1),0)+IF(IF(($K504-$N$48)&lt;1,0,IF(IF(INDEX($AD$176:$AD$905,($K504-$N$48))="",0,INDEX($AD$176:$AD$905,($K504-$N$48)))&gt;0,IF(INDEX($AD$176:$AD$905,($K504-$N$48))="",0,INDEX($AD$176:$AD$905,($K504-$N$48))),0))="",0,IF(($K504-$N$48)&lt;1,0,IF(IF(INDEX($AD$176:$AD$905,($K504-$N$48))="",0,INDEX($AD$176:$AD$905,($K504-$N$48)))&gt;0,IF(INDEX($AD$176:$AD$905,($K504-$N$48))="",0,INDEX($AD$176:$AD$905,($K504-$N$48))),0))))</f>
        <v/>
      </c>
      <c r="AC504" s="22" t="str">
        <f t="shared" si="141"/>
        <v/>
      </c>
      <c r="AD504" s="22" t="str">
        <f t="shared" si="132"/>
        <v/>
      </c>
      <c r="AE504" s="22" t="str" cm="1">
        <f t="array" ref="AE504">IF(($K504-$N$48)&lt;1,"",IF((IF(INDEX($AC$176:$AC$905,($K504-$N$48))="",0,INDEX($AC$176:$AC$905,($K504-$N$48))))=0,"",(IF(INDEX($AC$176:$AC$905,($K504-$N$48))="",0,INDEX($AC$176:$AC$905,($K504-$N$48))))))</f>
        <v/>
      </c>
      <c r="AF504" s="31" t="str">
        <f t="shared" si="142"/>
        <v/>
      </c>
      <c r="AG504" s="31" t="str">
        <f t="shared" si="143"/>
        <v/>
      </c>
      <c r="AH504" s="31" t="str">
        <f t="shared" si="144"/>
        <v/>
      </c>
      <c r="AI504" s="31" t="str">
        <f t="shared" si="145"/>
        <v/>
      </c>
      <c r="AJ504" s="303" t="str">
        <f t="shared" si="146"/>
        <v/>
      </c>
      <c r="AK504" s="139" t="str">
        <f t="shared" si="147"/>
        <v/>
      </c>
      <c r="AM504" s="319"/>
      <c r="AN504" s="40"/>
      <c r="AO504" s="1"/>
    </row>
    <row r="505" spans="7:41" x14ac:dyDescent="0.25">
      <c r="G505" s="235" t="str">
        <f t="shared" si="133"/>
        <v/>
      </c>
      <c r="H505" s="4" t="str">
        <f t="shared" si="134"/>
        <v/>
      </c>
      <c r="I505" s="11" t="str">
        <f t="shared" si="135"/>
        <v>09.00</v>
      </c>
      <c r="K505" s="30">
        <v>330</v>
      </c>
      <c r="L505" s="29">
        <f t="shared" si="148"/>
        <v>11371.908376190917</v>
      </c>
      <c r="M505" s="28" t="str">
        <f t="shared" si="136"/>
        <v/>
      </c>
      <c r="N505" s="27" t="str">
        <f t="shared" si="149"/>
        <v/>
      </c>
      <c r="O505" s="26" t="str">
        <f>IF(AND($Q504=$O$38,IFERROR(LARGE($V$176:$V504,1)&lt;$N$42,TRUE)),1,IF(AND(ISNUMBER($O504),$O504&lt;$N$32),$O504+1,""))</f>
        <v/>
      </c>
      <c r="P505" s="26" t="str">
        <f t="shared" si="150"/>
        <v/>
      </c>
      <c r="Q505" s="26" t="str">
        <f t="shared" si="137"/>
        <v/>
      </c>
      <c r="R505" s="24" t="str">
        <f t="shared" si="151"/>
        <v/>
      </c>
      <c r="S505" s="180">
        <f t="shared" si="131"/>
        <v>9</v>
      </c>
      <c r="T505" s="151"/>
      <c r="U505" s="25" t="str">
        <f t="shared" si="138"/>
        <v/>
      </c>
      <c r="V505" s="24" t="str">
        <f>IF(AND(ISNUMBER(R504),ISNUMBER(R505)),V504,IF(AND(R504="",ISNUMBER(R505)),IFERROR(LARGE($V$176:$V504,1)+1,0),""))</f>
        <v/>
      </c>
      <c r="W505" s="23" t="str">
        <f t="shared" si="139"/>
        <v/>
      </c>
      <c r="X505" s="22" t="str">
        <f t="shared" si="140"/>
        <v/>
      </c>
      <c r="Y505" s="22"/>
      <c r="Z505" s="22"/>
      <c r="AA505" s="22"/>
      <c r="AB505" s="22" t="str" cm="1">
        <f t="array" ref="AB505">IF(IF(AND($P504="",$P505=1),($N$37*-1),0)+IF(AND($Q504="",$Q505=1),($N$38*-1),0)+IF(IF(($K505-$N$48)&lt;1,0,IF(IF(INDEX($AD$176:$AD$905,($K505-$N$48))="",0,INDEX($AD$176:$AD$905,($K505-$N$48)))&gt;0,IF(INDEX($AD$176:$AD$905,($K505-$N$48))="",0,INDEX($AD$176:$AD$905,($K505-$N$48))),0))="",0,IF(($K505-$N$48)&lt;1,0,IF(IF(INDEX($AD$176:$AD$905,($K505-$N$48))="",0,INDEX($AD$176:$AD$905,($K505-$N$48)))&gt;0,IF(INDEX($AD$176:$AD$905,($K505-$N$48))="",0,INDEX($AD$176:$AD$905,($K505-$N$48))),0)))=0,"",IF(AND($P504="",$P505=1),($N$37*-1),0)+IF(AND($Q504="",$Q505=1),($N$38*-1),0)+IF(IF(($K505-$N$48)&lt;1,0,IF(IF(INDEX($AD$176:$AD$905,($K505-$N$48))="",0,INDEX($AD$176:$AD$905,($K505-$N$48)))&gt;0,IF(INDEX($AD$176:$AD$905,($K505-$N$48))="",0,INDEX($AD$176:$AD$905,($K505-$N$48))),0))="",0,IF(($K505-$N$48)&lt;1,0,IF(IF(INDEX($AD$176:$AD$905,($K505-$N$48))="",0,INDEX($AD$176:$AD$905,($K505-$N$48)))&gt;0,IF(INDEX($AD$176:$AD$905,($K505-$N$48))="",0,INDEX($AD$176:$AD$905,($K505-$N$48))),0))))</f>
        <v/>
      </c>
      <c r="AC505" s="22" t="str">
        <f t="shared" si="141"/>
        <v/>
      </c>
      <c r="AD505" s="22" t="str">
        <f t="shared" si="132"/>
        <v/>
      </c>
      <c r="AE505" s="22" t="str" cm="1">
        <f t="array" ref="AE505">IF(($K505-$N$48)&lt;1,"",IF((IF(INDEX($AC$176:$AC$905,($K505-$N$48))="",0,INDEX($AC$176:$AC$905,($K505-$N$48))))=0,"",(IF(INDEX($AC$176:$AC$905,($K505-$N$48))="",0,INDEX($AC$176:$AC$905,($K505-$N$48))))))</f>
        <v/>
      </c>
      <c r="AF505" s="31" t="str">
        <f t="shared" si="142"/>
        <v/>
      </c>
      <c r="AG505" s="31" t="str">
        <f t="shared" si="143"/>
        <v/>
      </c>
      <c r="AH505" s="31" t="str">
        <f t="shared" si="144"/>
        <v/>
      </c>
      <c r="AI505" s="31" t="str">
        <f t="shared" si="145"/>
        <v/>
      </c>
      <c r="AJ505" s="303" t="str">
        <f t="shared" si="146"/>
        <v/>
      </c>
      <c r="AK505" s="139" t="str">
        <f t="shared" si="147"/>
        <v/>
      </c>
      <c r="AM505" s="319"/>
      <c r="AN505" s="40"/>
      <c r="AO505" s="1"/>
    </row>
    <row r="506" spans="7:41" x14ac:dyDescent="0.25">
      <c r="G506" s="235" t="str">
        <f t="shared" si="133"/>
        <v/>
      </c>
      <c r="H506" s="4" t="str">
        <f t="shared" si="134"/>
        <v/>
      </c>
      <c r="I506" s="11" t="str">
        <f t="shared" si="135"/>
        <v>09.00</v>
      </c>
      <c r="K506" s="30">
        <v>331</v>
      </c>
      <c r="L506" s="29">
        <f t="shared" si="148"/>
        <v>11371.908376190917</v>
      </c>
      <c r="M506" s="28" t="str">
        <f t="shared" si="136"/>
        <v/>
      </c>
      <c r="N506" s="27" t="str">
        <f t="shared" si="149"/>
        <v/>
      </c>
      <c r="O506" s="26" t="str">
        <f>IF(AND($Q505=$O$38,IFERROR(LARGE($V$176:$V505,1)&lt;$N$42,TRUE)),1,IF(AND(ISNUMBER($O505),$O505&lt;$N$32),$O505+1,""))</f>
        <v/>
      </c>
      <c r="P506" s="26" t="str">
        <f t="shared" si="150"/>
        <v/>
      </c>
      <c r="Q506" s="26" t="str">
        <f t="shared" si="137"/>
        <v/>
      </c>
      <c r="R506" s="24" t="str">
        <f t="shared" si="151"/>
        <v/>
      </c>
      <c r="S506" s="180">
        <f t="shared" si="131"/>
        <v>9</v>
      </c>
      <c r="T506" s="151"/>
      <c r="U506" s="25" t="str">
        <f t="shared" si="138"/>
        <v/>
      </c>
      <c r="V506" s="24" t="str">
        <f>IF(AND(ISNUMBER(R505),ISNUMBER(R506)),V505,IF(AND(R505="",ISNUMBER(R506)),IFERROR(LARGE($V$176:$V505,1)+1,0),""))</f>
        <v/>
      </c>
      <c r="W506" s="23" t="str">
        <f t="shared" si="139"/>
        <v/>
      </c>
      <c r="X506" s="22" t="str">
        <f t="shared" si="140"/>
        <v/>
      </c>
      <c r="Y506" s="22"/>
      <c r="Z506" s="22"/>
      <c r="AA506" s="22"/>
      <c r="AB506" s="22" t="str" cm="1">
        <f t="array" ref="AB506">IF(IF(AND($P505="",$P506=1),($N$37*-1),0)+IF(AND($Q505="",$Q506=1),($N$38*-1),0)+IF(IF(($K506-$N$48)&lt;1,0,IF(IF(INDEX($AD$176:$AD$905,($K506-$N$48))="",0,INDEX($AD$176:$AD$905,($K506-$N$48)))&gt;0,IF(INDEX($AD$176:$AD$905,($K506-$N$48))="",0,INDEX($AD$176:$AD$905,($K506-$N$48))),0))="",0,IF(($K506-$N$48)&lt;1,0,IF(IF(INDEX($AD$176:$AD$905,($K506-$N$48))="",0,INDEX($AD$176:$AD$905,($K506-$N$48)))&gt;0,IF(INDEX($AD$176:$AD$905,($K506-$N$48))="",0,INDEX($AD$176:$AD$905,($K506-$N$48))),0)))=0,"",IF(AND($P505="",$P506=1),($N$37*-1),0)+IF(AND($Q505="",$Q506=1),($N$38*-1),0)+IF(IF(($K506-$N$48)&lt;1,0,IF(IF(INDEX($AD$176:$AD$905,($K506-$N$48))="",0,INDEX($AD$176:$AD$905,($K506-$N$48)))&gt;0,IF(INDEX($AD$176:$AD$905,($K506-$N$48))="",0,INDEX($AD$176:$AD$905,($K506-$N$48))),0))="",0,IF(($K506-$N$48)&lt;1,0,IF(IF(INDEX($AD$176:$AD$905,($K506-$N$48))="",0,INDEX($AD$176:$AD$905,($K506-$N$48)))&gt;0,IF(INDEX($AD$176:$AD$905,($K506-$N$48))="",0,INDEX($AD$176:$AD$905,($K506-$N$48))),0))))</f>
        <v/>
      </c>
      <c r="AC506" s="22" t="str">
        <f t="shared" si="141"/>
        <v/>
      </c>
      <c r="AD506" s="22" t="str">
        <f t="shared" si="132"/>
        <v/>
      </c>
      <c r="AE506" s="22" t="str" cm="1">
        <f t="array" ref="AE506">IF(($K506-$N$48)&lt;1,"",IF((IF(INDEX($AC$176:$AC$905,($K506-$N$48))="",0,INDEX($AC$176:$AC$905,($K506-$N$48))))=0,"",(IF(INDEX($AC$176:$AC$905,($K506-$N$48))="",0,INDEX($AC$176:$AC$905,($K506-$N$48))))))</f>
        <v/>
      </c>
      <c r="AF506" s="31" t="str">
        <f t="shared" si="142"/>
        <v/>
      </c>
      <c r="AG506" s="31" t="str">
        <f t="shared" si="143"/>
        <v/>
      </c>
      <c r="AH506" s="31" t="str">
        <f t="shared" si="144"/>
        <v/>
      </c>
      <c r="AI506" s="31" t="str">
        <f t="shared" si="145"/>
        <v/>
      </c>
      <c r="AJ506" s="303" t="str">
        <f t="shared" si="146"/>
        <v/>
      </c>
      <c r="AK506" s="139" t="str">
        <f t="shared" si="147"/>
        <v/>
      </c>
      <c r="AM506" s="319"/>
      <c r="AN506" s="40"/>
      <c r="AO506" s="1"/>
    </row>
    <row r="507" spans="7:41" x14ac:dyDescent="0.25">
      <c r="G507" s="235" t="str">
        <f t="shared" si="133"/>
        <v/>
      </c>
      <c r="H507" s="4" t="str">
        <f t="shared" si="134"/>
        <v/>
      </c>
      <c r="I507" s="11" t="str">
        <f t="shared" si="135"/>
        <v>09.00</v>
      </c>
      <c r="K507" s="30">
        <v>332</v>
      </c>
      <c r="L507" s="29">
        <f t="shared" si="148"/>
        <v>11371.908376190917</v>
      </c>
      <c r="M507" s="28" t="str">
        <f t="shared" si="136"/>
        <v/>
      </c>
      <c r="N507" s="27" t="str">
        <f t="shared" si="149"/>
        <v/>
      </c>
      <c r="O507" s="26" t="str">
        <f>IF(AND($Q506=$O$38,IFERROR(LARGE($V$176:$V506,1)&lt;$N$42,TRUE)),1,IF(AND(ISNUMBER($O506),$O506&lt;$N$32),$O506+1,""))</f>
        <v/>
      </c>
      <c r="P507" s="26" t="str">
        <f t="shared" si="150"/>
        <v/>
      </c>
      <c r="Q507" s="26" t="str">
        <f t="shared" si="137"/>
        <v/>
      </c>
      <c r="R507" s="24" t="str">
        <f t="shared" si="151"/>
        <v/>
      </c>
      <c r="S507" s="180">
        <f t="shared" si="131"/>
        <v>9</v>
      </c>
      <c r="T507" s="151"/>
      <c r="U507" s="25" t="str">
        <f t="shared" si="138"/>
        <v/>
      </c>
      <c r="V507" s="24" t="str">
        <f>IF(AND(ISNUMBER(R506),ISNUMBER(R507)),V506,IF(AND(R506="",ISNUMBER(R507)),IFERROR(LARGE($V$176:$V506,1)+1,0),""))</f>
        <v/>
      </c>
      <c r="W507" s="23" t="str">
        <f t="shared" si="139"/>
        <v/>
      </c>
      <c r="X507" s="22" t="str">
        <f t="shared" si="140"/>
        <v/>
      </c>
      <c r="Y507" s="22"/>
      <c r="Z507" s="22"/>
      <c r="AA507" s="22"/>
      <c r="AB507" s="22" t="str" cm="1">
        <f t="array" ref="AB507">IF(IF(AND($P506="",$P507=1),($N$37*-1),0)+IF(AND($Q506="",$Q507=1),($N$38*-1),0)+IF(IF(($K507-$N$48)&lt;1,0,IF(IF(INDEX($AD$176:$AD$905,($K507-$N$48))="",0,INDEX($AD$176:$AD$905,($K507-$N$48)))&gt;0,IF(INDEX($AD$176:$AD$905,($K507-$N$48))="",0,INDEX($AD$176:$AD$905,($K507-$N$48))),0))="",0,IF(($K507-$N$48)&lt;1,0,IF(IF(INDEX($AD$176:$AD$905,($K507-$N$48))="",0,INDEX($AD$176:$AD$905,($K507-$N$48)))&gt;0,IF(INDEX($AD$176:$AD$905,($K507-$N$48))="",0,INDEX($AD$176:$AD$905,($K507-$N$48))),0)))=0,"",IF(AND($P506="",$P507=1),($N$37*-1),0)+IF(AND($Q506="",$Q507=1),($N$38*-1),0)+IF(IF(($K507-$N$48)&lt;1,0,IF(IF(INDEX($AD$176:$AD$905,($K507-$N$48))="",0,INDEX($AD$176:$AD$905,($K507-$N$48)))&gt;0,IF(INDEX($AD$176:$AD$905,($K507-$N$48))="",0,INDEX($AD$176:$AD$905,($K507-$N$48))),0))="",0,IF(($K507-$N$48)&lt;1,0,IF(IF(INDEX($AD$176:$AD$905,($K507-$N$48))="",0,INDEX($AD$176:$AD$905,($K507-$N$48)))&gt;0,IF(INDEX($AD$176:$AD$905,($K507-$N$48))="",0,INDEX($AD$176:$AD$905,($K507-$N$48))),0))))</f>
        <v/>
      </c>
      <c r="AC507" s="22" t="str">
        <f t="shared" si="141"/>
        <v/>
      </c>
      <c r="AD507" s="22" t="str">
        <f t="shared" si="132"/>
        <v/>
      </c>
      <c r="AE507" s="22" t="str" cm="1">
        <f t="array" ref="AE507">IF(($K507-$N$48)&lt;1,"",IF((IF(INDEX($AC$176:$AC$905,($K507-$N$48))="",0,INDEX($AC$176:$AC$905,($K507-$N$48))))=0,"",(IF(INDEX($AC$176:$AC$905,($K507-$N$48))="",0,INDEX($AC$176:$AC$905,($K507-$N$48))))))</f>
        <v/>
      </c>
      <c r="AF507" s="31" t="str">
        <f t="shared" si="142"/>
        <v/>
      </c>
      <c r="AG507" s="31" t="str">
        <f t="shared" si="143"/>
        <v/>
      </c>
      <c r="AH507" s="31" t="str">
        <f t="shared" si="144"/>
        <v/>
      </c>
      <c r="AI507" s="31" t="str">
        <f t="shared" si="145"/>
        <v/>
      </c>
      <c r="AJ507" s="303" t="str">
        <f t="shared" si="146"/>
        <v/>
      </c>
      <c r="AK507" s="139" t="str">
        <f t="shared" si="147"/>
        <v/>
      </c>
      <c r="AM507" s="319"/>
      <c r="AN507" s="40"/>
      <c r="AO507" s="1"/>
    </row>
    <row r="508" spans="7:41" x14ac:dyDescent="0.25">
      <c r="G508" s="235" t="str">
        <f t="shared" si="133"/>
        <v/>
      </c>
      <c r="H508" s="4" t="str">
        <f t="shared" si="134"/>
        <v/>
      </c>
      <c r="I508" s="11" t="str">
        <f t="shared" si="135"/>
        <v>09.00</v>
      </c>
      <c r="K508" s="30">
        <v>333</v>
      </c>
      <c r="L508" s="29">
        <f t="shared" si="148"/>
        <v>11371.908376190917</v>
      </c>
      <c r="M508" s="28" t="str">
        <f t="shared" si="136"/>
        <v/>
      </c>
      <c r="N508" s="27" t="str">
        <f t="shared" si="149"/>
        <v/>
      </c>
      <c r="O508" s="26" t="str">
        <f>IF(AND($Q507=$O$38,IFERROR(LARGE($V$176:$V507,1)&lt;$N$42,TRUE)),1,IF(AND(ISNUMBER($O507),$O507&lt;$N$32),$O507+1,""))</f>
        <v/>
      </c>
      <c r="P508" s="26" t="str">
        <f t="shared" si="150"/>
        <v/>
      </c>
      <c r="Q508" s="26" t="str">
        <f t="shared" si="137"/>
        <v/>
      </c>
      <c r="R508" s="24" t="str">
        <f t="shared" si="151"/>
        <v/>
      </c>
      <c r="S508" s="180">
        <f t="shared" ref="S508:S571" si="152">IF($Q508=1,ROUNDDOWN($S507,0)+1,IF($R508=1,$S507+0.01,IF(ISNUMBER($U508),IF(AND($U508&gt;1,($U508-$U507)=1),$S507+0.01,$S507),$S507)))</f>
        <v>9</v>
      </c>
      <c r="T508" s="151"/>
      <c r="U508" s="25" t="str">
        <f t="shared" si="138"/>
        <v/>
      </c>
      <c r="V508" s="24" t="str">
        <f>IF(AND(ISNUMBER(R507),ISNUMBER(R508)),V507,IF(AND(R507="",ISNUMBER(R508)),IFERROR(LARGE($V$176:$V507,1)+1,0),""))</f>
        <v/>
      </c>
      <c r="W508" s="23" t="str">
        <f t="shared" si="139"/>
        <v/>
      </c>
      <c r="X508" s="22" t="str">
        <f t="shared" si="140"/>
        <v/>
      </c>
      <c r="Y508" s="22"/>
      <c r="Z508" s="22"/>
      <c r="AA508" s="22"/>
      <c r="AB508" s="22" t="str" cm="1">
        <f t="array" ref="AB508">IF(IF(AND($P507="",$P508=1),($N$37*-1),0)+IF(AND($Q507="",$Q508=1),($N$38*-1),0)+IF(IF(($K508-$N$48)&lt;1,0,IF(IF(INDEX($AD$176:$AD$905,($K508-$N$48))="",0,INDEX($AD$176:$AD$905,($K508-$N$48)))&gt;0,IF(INDEX($AD$176:$AD$905,($K508-$N$48))="",0,INDEX($AD$176:$AD$905,($K508-$N$48))),0))="",0,IF(($K508-$N$48)&lt;1,0,IF(IF(INDEX($AD$176:$AD$905,($K508-$N$48))="",0,INDEX($AD$176:$AD$905,($K508-$N$48)))&gt;0,IF(INDEX($AD$176:$AD$905,($K508-$N$48))="",0,INDEX($AD$176:$AD$905,($K508-$N$48))),0)))=0,"",IF(AND($P507="",$P508=1),($N$37*-1),0)+IF(AND($Q507="",$Q508=1),($N$38*-1),0)+IF(IF(($K508-$N$48)&lt;1,0,IF(IF(INDEX($AD$176:$AD$905,($K508-$N$48))="",0,INDEX($AD$176:$AD$905,($K508-$N$48)))&gt;0,IF(INDEX($AD$176:$AD$905,($K508-$N$48))="",0,INDEX($AD$176:$AD$905,($K508-$N$48))),0))="",0,IF(($K508-$N$48)&lt;1,0,IF(IF(INDEX($AD$176:$AD$905,($K508-$N$48))="",0,INDEX($AD$176:$AD$905,($K508-$N$48)))&gt;0,IF(INDEX($AD$176:$AD$905,($K508-$N$48))="",0,INDEX($AD$176:$AD$905,($K508-$N$48))),0))))</f>
        <v/>
      </c>
      <c r="AC508" s="22" t="str">
        <f t="shared" si="141"/>
        <v/>
      </c>
      <c r="AD508" s="22" t="str">
        <f t="shared" si="132"/>
        <v/>
      </c>
      <c r="AE508" s="22" t="str" cm="1">
        <f t="array" ref="AE508">IF(($K508-$N$48)&lt;1,"",IF((IF(INDEX($AC$176:$AC$905,($K508-$N$48))="",0,INDEX($AC$176:$AC$905,($K508-$N$48))))=0,"",(IF(INDEX($AC$176:$AC$905,($K508-$N$48))="",0,INDEX($AC$176:$AC$905,($K508-$N$48))))))</f>
        <v/>
      </c>
      <c r="AF508" s="31" t="str">
        <f t="shared" si="142"/>
        <v/>
      </c>
      <c r="AG508" s="31" t="str">
        <f t="shared" si="143"/>
        <v/>
      </c>
      <c r="AH508" s="31" t="str">
        <f t="shared" si="144"/>
        <v/>
      </c>
      <c r="AI508" s="31" t="str">
        <f t="shared" si="145"/>
        <v/>
      </c>
      <c r="AJ508" s="303" t="str">
        <f t="shared" si="146"/>
        <v/>
      </c>
      <c r="AK508" s="139" t="str">
        <f t="shared" si="147"/>
        <v/>
      </c>
      <c r="AM508" s="319"/>
      <c r="AN508" s="40"/>
      <c r="AO508" s="1"/>
    </row>
    <row r="509" spans="7:41" x14ac:dyDescent="0.25">
      <c r="G509" s="235" t="str">
        <f t="shared" si="133"/>
        <v/>
      </c>
      <c r="H509" s="4" t="str">
        <f t="shared" si="134"/>
        <v/>
      </c>
      <c r="I509" s="11" t="str">
        <f t="shared" si="135"/>
        <v>09.00</v>
      </c>
      <c r="K509" s="30">
        <v>334</v>
      </c>
      <c r="L509" s="29">
        <f t="shared" si="148"/>
        <v>11371.908376190917</v>
      </c>
      <c r="M509" s="28" t="str">
        <f t="shared" si="136"/>
        <v/>
      </c>
      <c r="N509" s="27" t="str">
        <f t="shared" si="149"/>
        <v/>
      </c>
      <c r="O509" s="26" t="str">
        <f>IF(AND($Q508=$O$38,IFERROR(LARGE($V$176:$V508,1)&lt;$N$42,TRUE)),1,IF(AND(ISNUMBER($O508),$O508&lt;$N$32),$O508+1,""))</f>
        <v/>
      </c>
      <c r="P509" s="26" t="str">
        <f t="shared" si="150"/>
        <v/>
      </c>
      <c r="Q509" s="26" t="str">
        <f t="shared" si="137"/>
        <v/>
      </c>
      <c r="R509" s="24" t="str">
        <f t="shared" si="151"/>
        <v/>
      </c>
      <c r="S509" s="180">
        <f t="shared" si="152"/>
        <v>9</v>
      </c>
      <c r="T509" s="151"/>
      <c r="U509" s="25" t="str">
        <f t="shared" si="138"/>
        <v/>
      </c>
      <c r="V509" s="24" t="str">
        <f>IF(AND(ISNUMBER(R508),ISNUMBER(R509)),V508,IF(AND(R508="",ISNUMBER(R509)),IFERROR(LARGE($V$176:$V508,1)+1,0),""))</f>
        <v/>
      </c>
      <c r="W509" s="23" t="str">
        <f t="shared" si="139"/>
        <v/>
      </c>
      <c r="X509" s="22" t="str">
        <f t="shared" si="140"/>
        <v/>
      </c>
      <c r="Y509" s="22"/>
      <c r="Z509" s="22"/>
      <c r="AA509" s="22"/>
      <c r="AB509" s="22" t="str" cm="1">
        <f t="array" ref="AB509">IF(IF(AND($P508="",$P509=1),($N$37*-1),0)+IF(AND($Q508="",$Q509=1),($N$38*-1),0)+IF(IF(($K509-$N$48)&lt;1,0,IF(IF(INDEX($AD$176:$AD$905,($K509-$N$48))="",0,INDEX($AD$176:$AD$905,($K509-$N$48)))&gt;0,IF(INDEX($AD$176:$AD$905,($K509-$N$48))="",0,INDEX($AD$176:$AD$905,($K509-$N$48))),0))="",0,IF(($K509-$N$48)&lt;1,0,IF(IF(INDEX($AD$176:$AD$905,($K509-$N$48))="",0,INDEX($AD$176:$AD$905,($K509-$N$48)))&gt;0,IF(INDEX($AD$176:$AD$905,($K509-$N$48))="",0,INDEX($AD$176:$AD$905,($K509-$N$48))),0)))=0,"",IF(AND($P508="",$P509=1),($N$37*-1),0)+IF(AND($Q508="",$Q509=1),($N$38*-1),0)+IF(IF(($K509-$N$48)&lt;1,0,IF(IF(INDEX($AD$176:$AD$905,($K509-$N$48))="",0,INDEX($AD$176:$AD$905,($K509-$N$48)))&gt;0,IF(INDEX($AD$176:$AD$905,($K509-$N$48))="",0,INDEX($AD$176:$AD$905,($K509-$N$48))),0))="",0,IF(($K509-$N$48)&lt;1,0,IF(IF(INDEX($AD$176:$AD$905,($K509-$N$48))="",0,INDEX($AD$176:$AD$905,($K509-$N$48)))&gt;0,IF(INDEX($AD$176:$AD$905,($K509-$N$48))="",0,INDEX($AD$176:$AD$905,($K509-$N$48))),0))))</f>
        <v/>
      </c>
      <c r="AC509" s="22" t="str">
        <f t="shared" si="141"/>
        <v/>
      </c>
      <c r="AD509" s="22" t="str">
        <f t="shared" si="132"/>
        <v/>
      </c>
      <c r="AE509" s="22" t="str" cm="1">
        <f t="array" ref="AE509">IF(($K509-$N$48)&lt;1,"",IF((IF(INDEX($AC$176:$AC$905,($K509-$N$48))="",0,INDEX($AC$176:$AC$905,($K509-$N$48))))=0,"",(IF(INDEX($AC$176:$AC$905,($K509-$N$48))="",0,INDEX($AC$176:$AC$905,($K509-$N$48))))))</f>
        <v/>
      </c>
      <c r="AF509" s="31" t="str">
        <f t="shared" si="142"/>
        <v/>
      </c>
      <c r="AG509" s="31" t="str">
        <f t="shared" si="143"/>
        <v/>
      </c>
      <c r="AH509" s="31" t="str">
        <f t="shared" si="144"/>
        <v/>
      </c>
      <c r="AI509" s="31" t="str">
        <f t="shared" si="145"/>
        <v/>
      </c>
      <c r="AJ509" s="303" t="str">
        <f t="shared" si="146"/>
        <v/>
      </c>
      <c r="AK509" s="139" t="str">
        <f t="shared" si="147"/>
        <v/>
      </c>
      <c r="AM509" s="319"/>
      <c r="AN509" s="40"/>
      <c r="AO509" s="1"/>
    </row>
    <row r="510" spans="7:41" x14ac:dyDescent="0.25">
      <c r="G510" s="235" t="str">
        <f t="shared" si="133"/>
        <v/>
      </c>
      <c r="H510" s="4" t="str">
        <f t="shared" si="134"/>
        <v/>
      </c>
      <c r="I510" s="11" t="str">
        <f t="shared" si="135"/>
        <v>09.00</v>
      </c>
      <c r="K510" s="30">
        <v>335</v>
      </c>
      <c r="L510" s="29">
        <f t="shared" si="148"/>
        <v>11371.908376190917</v>
      </c>
      <c r="M510" s="28" t="str">
        <f t="shared" si="136"/>
        <v/>
      </c>
      <c r="N510" s="27" t="str">
        <f t="shared" si="149"/>
        <v/>
      </c>
      <c r="O510" s="26" t="str">
        <f>IF(AND($Q509=$O$38,IFERROR(LARGE($V$176:$V509,1)&lt;$N$42,TRUE)),1,IF(AND(ISNUMBER($O509),$O509&lt;$N$32),$O509+1,""))</f>
        <v/>
      </c>
      <c r="P510" s="26" t="str">
        <f t="shared" si="150"/>
        <v/>
      </c>
      <c r="Q510" s="26" t="str">
        <f t="shared" si="137"/>
        <v/>
      </c>
      <c r="R510" s="24" t="str">
        <f t="shared" si="151"/>
        <v/>
      </c>
      <c r="S510" s="180">
        <f t="shared" si="152"/>
        <v>9</v>
      </c>
      <c r="T510" s="151"/>
      <c r="U510" s="25" t="str">
        <f t="shared" si="138"/>
        <v/>
      </c>
      <c r="V510" s="24" t="str">
        <f>IF(AND(ISNUMBER(R509),ISNUMBER(R510)),V509,IF(AND(R509="",ISNUMBER(R510)),IFERROR(LARGE($V$176:$V509,1)+1,0),""))</f>
        <v/>
      </c>
      <c r="W510" s="23" t="str">
        <f t="shared" si="139"/>
        <v/>
      </c>
      <c r="X510" s="22" t="str">
        <f t="shared" si="140"/>
        <v/>
      </c>
      <c r="Y510" s="22"/>
      <c r="Z510" s="22"/>
      <c r="AA510" s="22"/>
      <c r="AB510" s="22" t="str" cm="1">
        <f t="array" ref="AB510">IF(IF(AND($P509="",$P510=1),($N$37*-1),0)+IF(AND($Q509="",$Q510=1),($N$38*-1),0)+IF(IF(($K510-$N$48)&lt;1,0,IF(IF(INDEX($AD$176:$AD$905,($K510-$N$48))="",0,INDEX($AD$176:$AD$905,($K510-$N$48)))&gt;0,IF(INDEX($AD$176:$AD$905,($K510-$N$48))="",0,INDEX($AD$176:$AD$905,($K510-$N$48))),0))="",0,IF(($K510-$N$48)&lt;1,0,IF(IF(INDEX($AD$176:$AD$905,($K510-$N$48))="",0,INDEX($AD$176:$AD$905,($K510-$N$48)))&gt;0,IF(INDEX($AD$176:$AD$905,($K510-$N$48))="",0,INDEX($AD$176:$AD$905,($K510-$N$48))),0)))=0,"",IF(AND($P509="",$P510=1),($N$37*-1),0)+IF(AND($Q509="",$Q510=1),($N$38*-1),0)+IF(IF(($K510-$N$48)&lt;1,0,IF(IF(INDEX($AD$176:$AD$905,($K510-$N$48))="",0,INDEX($AD$176:$AD$905,($K510-$N$48)))&gt;0,IF(INDEX($AD$176:$AD$905,($K510-$N$48))="",0,INDEX($AD$176:$AD$905,($K510-$N$48))),0))="",0,IF(($K510-$N$48)&lt;1,0,IF(IF(INDEX($AD$176:$AD$905,($K510-$N$48))="",0,INDEX($AD$176:$AD$905,($K510-$N$48)))&gt;0,IF(INDEX($AD$176:$AD$905,($K510-$N$48))="",0,INDEX($AD$176:$AD$905,($K510-$N$48))),0))))</f>
        <v/>
      </c>
      <c r="AC510" s="22" t="str">
        <f t="shared" si="141"/>
        <v/>
      </c>
      <c r="AD510" s="22" t="str">
        <f t="shared" si="132"/>
        <v/>
      </c>
      <c r="AE510" s="22" t="str" cm="1">
        <f t="array" ref="AE510">IF(($K510-$N$48)&lt;1,"",IF((IF(INDEX($AC$176:$AC$905,($K510-$N$48))="",0,INDEX($AC$176:$AC$905,($K510-$N$48))))=0,"",(IF(INDEX($AC$176:$AC$905,($K510-$N$48))="",0,INDEX($AC$176:$AC$905,($K510-$N$48))))))</f>
        <v/>
      </c>
      <c r="AF510" s="31" t="str">
        <f t="shared" si="142"/>
        <v/>
      </c>
      <c r="AG510" s="31" t="str">
        <f t="shared" si="143"/>
        <v/>
      </c>
      <c r="AH510" s="31" t="str">
        <f t="shared" si="144"/>
        <v/>
      </c>
      <c r="AI510" s="31" t="str">
        <f t="shared" si="145"/>
        <v/>
      </c>
      <c r="AJ510" s="303" t="str">
        <f t="shared" si="146"/>
        <v/>
      </c>
      <c r="AK510" s="139" t="str">
        <f t="shared" si="147"/>
        <v/>
      </c>
      <c r="AM510" s="319"/>
      <c r="AN510" s="40"/>
      <c r="AO510" s="1"/>
    </row>
    <row r="511" spans="7:41" x14ac:dyDescent="0.25">
      <c r="G511" s="235" t="str">
        <f t="shared" si="133"/>
        <v/>
      </c>
      <c r="H511" s="4" t="str">
        <f t="shared" si="134"/>
        <v/>
      </c>
      <c r="I511" s="11" t="str">
        <f t="shared" si="135"/>
        <v>09.00</v>
      </c>
      <c r="K511" s="30">
        <v>336</v>
      </c>
      <c r="L511" s="29">
        <f t="shared" si="148"/>
        <v>11371.908376190917</v>
      </c>
      <c r="M511" s="28" t="str">
        <f t="shared" si="136"/>
        <v/>
      </c>
      <c r="N511" s="27" t="str">
        <f t="shared" si="149"/>
        <v/>
      </c>
      <c r="O511" s="26" t="str">
        <f>IF(AND($Q510=$O$38,IFERROR(LARGE($V$176:$V510,1)&lt;$N$42,TRUE)),1,IF(AND(ISNUMBER($O510),$O510&lt;$N$32),$O510+1,""))</f>
        <v/>
      </c>
      <c r="P511" s="26" t="str">
        <f t="shared" si="150"/>
        <v/>
      </c>
      <c r="Q511" s="26" t="str">
        <f t="shared" si="137"/>
        <v/>
      </c>
      <c r="R511" s="24" t="str">
        <f t="shared" si="151"/>
        <v/>
      </c>
      <c r="S511" s="180">
        <f t="shared" si="152"/>
        <v>9</v>
      </c>
      <c r="T511" s="151"/>
      <c r="U511" s="25" t="str">
        <f t="shared" si="138"/>
        <v/>
      </c>
      <c r="V511" s="24" t="str">
        <f>IF(AND(ISNUMBER(R510),ISNUMBER(R511)),V510,IF(AND(R510="",ISNUMBER(R511)),IFERROR(LARGE($V$176:$V510,1)+1,0),""))</f>
        <v/>
      </c>
      <c r="W511" s="23" t="str">
        <f t="shared" si="139"/>
        <v/>
      </c>
      <c r="X511" s="22" t="str">
        <f t="shared" si="140"/>
        <v/>
      </c>
      <c r="Y511" s="22"/>
      <c r="Z511" s="22"/>
      <c r="AA511" s="22"/>
      <c r="AB511" s="22" t="str" cm="1">
        <f t="array" ref="AB511">IF(IF(AND($P510="",$P511=1),($N$37*-1),0)+IF(AND($Q510="",$Q511=1),($N$38*-1),0)+IF(IF(($K511-$N$48)&lt;1,0,IF(IF(INDEX($AD$176:$AD$905,($K511-$N$48))="",0,INDEX($AD$176:$AD$905,($K511-$N$48)))&gt;0,IF(INDEX($AD$176:$AD$905,($K511-$N$48))="",0,INDEX($AD$176:$AD$905,($K511-$N$48))),0))="",0,IF(($K511-$N$48)&lt;1,0,IF(IF(INDEX($AD$176:$AD$905,($K511-$N$48))="",0,INDEX($AD$176:$AD$905,($K511-$N$48)))&gt;0,IF(INDEX($AD$176:$AD$905,($K511-$N$48))="",0,INDEX($AD$176:$AD$905,($K511-$N$48))),0)))=0,"",IF(AND($P510="",$P511=1),($N$37*-1),0)+IF(AND($Q510="",$Q511=1),($N$38*-1),0)+IF(IF(($K511-$N$48)&lt;1,0,IF(IF(INDEX($AD$176:$AD$905,($K511-$N$48))="",0,INDEX($AD$176:$AD$905,($K511-$N$48)))&gt;0,IF(INDEX($AD$176:$AD$905,($K511-$N$48))="",0,INDEX($AD$176:$AD$905,($K511-$N$48))),0))="",0,IF(($K511-$N$48)&lt;1,0,IF(IF(INDEX($AD$176:$AD$905,($K511-$N$48))="",0,INDEX($AD$176:$AD$905,($K511-$N$48)))&gt;0,IF(INDEX($AD$176:$AD$905,($K511-$N$48))="",0,INDEX($AD$176:$AD$905,($K511-$N$48))),0))))</f>
        <v/>
      </c>
      <c r="AC511" s="22" t="str">
        <f t="shared" si="141"/>
        <v/>
      </c>
      <c r="AD511" s="22" t="str">
        <f t="shared" si="132"/>
        <v/>
      </c>
      <c r="AE511" s="22" t="str" cm="1">
        <f t="array" ref="AE511">IF(($K511-$N$48)&lt;1,"",IF((IF(INDEX($AC$176:$AC$905,($K511-$N$48))="",0,INDEX($AC$176:$AC$905,($K511-$N$48))))=0,"",(IF(INDEX($AC$176:$AC$905,($K511-$N$48))="",0,INDEX($AC$176:$AC$905,($K511-$N$48))))))</f>
        <v/>
      </c>
      <c r="AF511" s="31" t="str">
        <f t="shared" si="142"/>
        <v/>
      </c>
      <c r="AG511" s="31" t="str">
        <f t="shared" si="143"/>
        <v/>
      </c>
      <c r="AH511" s="31" t="str">
        <f t="shared" si="144"/>
        <v/>
      </c>
      <c r="AI511" s="31" t="str">
        <f t="shared" si="145"/>
        <v/>
      </c>
      <c r="AJ511" s="303" t="str">
        <f t="shared" si="146"/>
        <v/>
      </c>
      <c r="AK511" s="139" t="str">
        <f t="shared" si="147"/>
        <v/>
      </c>
      <c r="AM511" s="319"/>
      <c r="AN511" s="40"/>
      <c r="AO511" s="1"/>
    </row>
    <row r="512" spans="7:41" x14ac:dyDescent="0.25">
      <c r="G512" s="235" t="str">
        <f t="shared" si="133"/>
        <v/>
      </c>
      <c r="H512" s="4" t="str">
        <f t="shared" si="134"/>
        <v/>
      </c>
      <c r="I512" s="11" t="str">
        <f t="shared" si="135"/>
        <v>09.00</v>
      </c>
      <c r="K512" s="30">
        <v>337</v>
      </c>
      <c r="L512" s="29">
        <f t="shared" si="148"/>
        <v>11371.908376190917</v>
      </c>
      <c r="M512" s="28" t="str">
        <f t="shared" si="136"/>
        <v/>
      </c>
      <c r="N512" s="27" t="str">
        <f t="shared" si="149"/>
        <v/>
      </c>
      <c r="O512" s="26" t="str">
        <f>IF(AND($Q511=$O$38,IFERROR(LARGE($V$176:$V511,1)&lt;$N$42,TRUE)),1,IF(AND(ISNUMBER($O511),$O511&lt;$N$32),$O511+1,""))</f>
        <v/>
      </c>
      <c r="P512" s="26" t="str">
        <f t="shared" si="150"/>
        <v/>
      </c>
      <c r="Q512" s="26" t="str">
        <f t="shared" si="137"/>
        <v/>
      </c>
      <c r="R512" s="24" t="str">
        <f t="shared" si="151"/>
        <v/>
      </c>
      <c r="S512" s="180">
        <f t="shared" si="152"/>
        <v>9</v>
      </c>
      <c r="T512" s="151"/>
      <c r="U512" s="25" t="str">
        <f t="shared" si="138"/>
        <v/>
      </c>
      <c r="V512" s="24" t="str">
        <f>IF(AND(ISNUMBER(R511),ISNUMBER(R512)),V511,IF(AND(R511="",ISNUMBER(R512)),IFERROR(LARGE($V$176:$V511,1)+1,0),""))</f>
        <v/>
      </c>
      <c r="W512" s="23" t="str">
        <f t="shared" si="139"/>
        <v/>
      </c>
      <c r="X512" s="22" t="str">
        <f t="shared" si="140"/>
        <v/>
      </c>
      <c r="Y512" s="22"/>
      <c r="Z512" s="22"/>
      <c r="AA512" s="22"/>
      <c r="AB512" s="22" t="str" cm="1">
        <f t="array" ref="AB512">IF(IF(AND($P511="",$P512=1),($N$37*-1),0)+IF(AND($Q511="",$Q512=1),($N$38*-1),0)+IF(IF(($K512-$N$48)&lt;1,0,IF(IF(INDEX($AD$176:$AD$905,($K512-$N$48))="",0,INDEX($AD$176:$AD$905,($K512-$N$48)))&gt;0,IF(INDEX($AD$176:$AD$905,($K512-$N$48))="",0,INDEX($AD$176:$AD$905,($K512-$N$48))),0))="",0,IF(($K512-$N$48)&lt;1,0,IF(IF(INDEX($AD$176:$AD$905,($K512-$N$48))="",0,INDEX($AD$176:$AD$905,($K512-$N$48)))&gt;0,IF(INDEX($AD$176:$AD$905,($K512-$N$48))="",0,INDEX($AD$176:$AD$905,($K512-$N$48))),0)))=0,"",IF(AND($P511="",$P512=1),($N$37*-1),0)+IF(AND($Q511="",$Q512=1),($N$38*-1),0)+IF(IF(($K512-$N$48)&lt;1,0,IF(IF(INDEX($AD$176:$AD$905,($K512-$N$48))="",0,INDEX($AD$176:$AD$905,($K512-$N$48)))&gt;0,IF(INDEX($AD$176:$AD$905,($K512-$N$48))="",0,INDEX($AD$176:$AD$905,($K512-$N$48))),0))="",0,IF(($K512-$N$48)&lt;1,0,IF(IF(INDEX($AD$176:$AD$905,($K512-$N$48))="",0,INDEX($AD$176:$AD$905,($K512-$N$48)))&gt;0,IF(INDEX($AD$176:$AD$905,($K512-$N$48))="",0,INDEX($AD$176:$AD$905,($K512-$N$48))),0))))</f>
        <v/>
      </c>
      <c r="AC512" s="22" t="str">
        <f t="shared" si="141"/>
        <v/>
      </c>
      <c r="AD512" s="22" t="str">
        <f t="shared" ref="AD512:AD575" si="153">IF(IF(OR(AND(ISNUMBER($U512),IF(ISNUMBER($U513),$U513,0)-IF(ISNUMBER($U512),$U512,0)=1),AND(ISNUMBER($U512),$U513="")),IF($U512=1,$P$37,0),0)=0,"",IF(OR(AND(ISNUMBER($U512),IF(ISNUMBER($U513),$U513,0)-IF(ISNUMBER($U512),$U512,0)=1),AND(ISNUMBER($U512),$U513="")),IF($U512=1,$P$37,0),0))</f>
        <v/>
      </c>
      <c r="AE512" s="22" t="str" cm="1">
        <f t="array" ref="AE512">IF(($K512-$N$48)&lt;1,"",IF((IF(INDEX($AC$176:$AC$905,($K512-$N$48))="",0,INDEX($AC$176:$AC$905,($K512-$N$48))))=0,"",(IF(INDEX($AC$176:$AC$905,($K512-$N$48))="",0,INDEX($AC$176:$AC$905,($K512-$N$48))))))</f>
        <v/>
      </c>
      <c r="AF512" s="31" t="str">
        <f t="shared" si="142"/>
        <v/>
      </c>
      <c r="AG512" s="31" t="str">
        <f t="shared" si="143"/>
        <v/>
      </c>
      <c r="AH512" s="31" t="str">
        <f t="shared" si="144"/>
        <v/>
      </c>
      <c r="AI512" s="31" t="str">
        <f t="shared" si="145"/>
        <v/>
      </c>
      <c r="AJ512" s="303" t="str">
        <f t="shared" si="146"/>
        <v/>
      </c>
      <c r="AK512" s="139" t="str">
        <f t="shared" si="147"/>
        <v/>
      </c>
      <c r="AM512" s="319"/>
      <c r="AN512" s="40"/>
      <c r="AO512" s="1"/>
    </row>
    <row r="513" spans="7:41" x14ac:dyDescent="0.25">
      <c r="G513" s="235" t="str">
        <f t="shared" si="133"/>
        <v/>
      </c>
      <c r="H513" s="4" t="str">
        <f t="shared" si="134"/>
        <v/>
      </c>
      <c r="I513" s="11" t="str">
        <f t="shared" si="135"/>
        <v>09.00</v>
      </c>
      <c r="K513" s="30">
        <v>338</v>
      </c>
      <c r="L513" s="29">
        <f t="shared" si="148"/>
        <v>11371.908376190917</v>
      </c>
      <c r="M513" s="28" t="str">
        <f t="shared" si="136"/>
        <v/>
      </c>
      <c r="N513" s="27" t="str">
        <f t="shared" si="149"/>
        <v/>
      </c>
      <c r="O513" s="26" t="str">
        <f>IF(AND($Q512=$O$38,IFERROR(LARGE($V$176:$V512,1)&lt;$N$42,TRUE)),1,IF(AND(ISNUMBER($O512),$O512&lt;$N$32),$O512+1,""))</f>
        <v/>
      </c>
      <c r="P513" s="26" t="str">
        <f t="shared" si="150"/>
        <v/>
      </c>
      <c r="Q513" s="26" t="str">
        <f t="shared" si="137"/>
        <v/>
      </c>
      <c r="R513" s="24" t="str">
        <f t="shared" si="151"/>
        <v/>
      </c>
      <c r="S513" s="180">
        <f t="shared" si="152"/>
        <v>9</v>
      </c>
      <c r="T513" s="151"/>
      <c r="U513" s="25" t="str">
        <f t="shared" si="138"/>
        <v/>
      </c>
      <c r="V513" s="24" t="str">
        <f>IF(AND(ISNUMBER(R512),ISNUMBER(R513)),V512,IF(AND(R512="",ISNUMBER(R513)),IFERROR(LARGE($V$176:$V512,1)+1,0),""))</f>
        <v/>
      </c>
      <c r="W513" s="23" t="str">
        <f t="shared" si="139"/>
        <v/>
      </c>
      <c r="X513" s="22" t="str">
        <f t="shared" si="140"/>
        <v/>
      </c>
      <c r="Y513" s="22"/>
      <c r="Z513" s="22"/>
      <c r="AA513" s="22"/>
      <c r="AB513" s="22" t="str" cm="1">
        <f t="array" ref="AB513">IF(IF(AND($P512="",$P513=1),($N$37*-1),0)+IF(AND($Q512="",$Q513=1),($N$38*-1),0)+IF(IF(($K513-$N$48)&lt;1,0,IF(IF(INDEX($AD$176:$AD$905,($K513-$N$48))="",0,INDEX($AD$176:$AD$905,($K513-$N$48)))&gt;0,IF(INDEX($AD$176:$AD$905,($K513-$N$48))="",0,INDEX($AD$176:$AD$905,($K513-$N$48))),0))="",0,IF(($K513-$N$48)&lt;1,0,IF(IF(INDEX($AD$176:$AD$905,($K513-$N$48))="",0,INDEX($AD$176:$AD$905,($K513-$N$48)))&gt;0,IF(INDEX($AD$176:$AD$905,($K513-$N$48))="",0,INDEX($AD$176:$AD$905,($K513-$N$48))),0)))=0,"",IF(AND($P512="",$P513=1),($N$37*-1),0)+IF(AND($Q512="",$Q513=1),($N$38*-1),0)+IF(IF(($K513-$N$48)&lt;1,0,IF(IF(INDEX($AD$176:$AD$905,($K513-$N$48))="",0,INDEX($AD$176:$AD$905,($K513-$N$48)))&gt;0,IF(INDEX($AD$176:$AD$905,($K513-$N$48))="",0,INDEX($AD$176:$AD$905,($K513-$N$48))),0))="",0,IF(($K513-$N$48)&lt;1,0,IF(IF(INDEX($AD$176:$AD$905,($K513-$N$48))="",0,INDEX($AD$176:$AD$905,($K513-$N$48)))&gt;0,IF(INDEX($AD$176:$AD$905,($K513-$N$48))="",0,INDEX($AD$176:$AD$905,($K513-$N$48))),0))))</f>
        <v/>
      </c>
      <c r="AC513" s="22" t="str">
        <f t="shared" si="141"/>
        <v/>
      </c>
      <c r="AD513" s="22" t="str">
        <f t="shared" si="153"/>
        <v/>
      </c>
      <c r="AE513" s="22" t="str" cm="1">
        <f t="array" ref="AE513">IF(($K513-$N$48)&lt;1,"",IF((IF(INDEX($AC$176:$AC$905,($K513-$N$48))="",0,INDEX($AC$176:$AC$905,($K513-$N$48))))=0,"",(IF(INDEX($AC$176:$AC$905,($K513-$N$48))="",0,INDEX($AC$176:$AC$905,($K513-$N$48))))))</f>
        <v/>
      </c>
      <c r="AF513" s="31" t="str">
        <f t="shared" si="142"/>
        <v/>
      </c>
      <c r="AG513" s="31" t="str">
        <f t="shared" si="143"/>
        <v/>
      </c>
      <c r="AH513" s="31" t="str">
        <f t="shared" si="144"/>
        <v/>
      </c>
      <c r="AI513" s="31" t="str">
        <f t="shared" si="145"/>
        <v/>
      </c>
      <c r="AJ513" s="303" t="str">
        <f t="shared" si="146"/>
        <v/>
      </c>
      <c r="AK513" s="139" t="str">
        <f t="shared" si="147"/>
        <v/>
      </c>
      <c r="AM513" s="319"/>
      <c r="AN513" s="40"/>
      <c r="AO513" s="1"/>
    </row>
    <row r="514" spans="7:41" x14ac:dyDescent="0.25">
      <c r="G514" s="235" t="str">
        <f t="shared" si="133"/>
        <v/>
      </c>
      <c r="H514" s="4" t="str">
        <f t="shared" si="134"/>
        <v/>
      </c>
      <c r="I514" s="11" t="str">
        <f t="shared" si="135"/>
        <v>09.00</v>
      </c>
      <c r="K514" s="30">
        <v>339</v>
      </c>
      <c r="L514" s="29">
        <f t="shared" si="148"/>
        <v>11371.908376190917</v>
      </c>
      <c r="M514" s="28" t="str">
        <f t="shared" si="136"/>
        <v/>
      </c>
      <c r="N514" s="27" t="str">
        <f t="shared" si="149"/>
        <v/>
      </c>
      <c r="O514" s="26" t="str">
        <f>IF(AND($Q513=$O$38,IFERROR(LARGE($V$176:$V513,1)&lt;$N$42,TRUE)),1,IF(AND(ISNUMBER($O513),$O513&lt;$N$32),$O513+1,""))</f>
        <v/>
      </c>
      <c r="P514" s="26" t="str">
        <f t="shared" si="150"/>
        <v/>
      </c>
      <c r="Q514" s="26" t="str">
        <f t="shared" si="137"/>
        <v/>
      </c>
      <c r="R514" s="24" t="str">
        <f t="shared" si="151"/>
        <v/>
      </c>
      <c r="S514" s="180">
        <f t="shared" si="152"/>
        <v>9</v>
      </c>
      <c r="T514" s="151"/>
      <c r="U514" s="25" t="str">
        <f t="shared" si="138"/>
        <v/>
      </c>
      <c r="V514" s="24" t="str">
        <f>IF(AND(ISNUMBER(R513),ISNUMBER(R514)),V513,IF(AND(R513="",ISNUMBER(R514)),IFERROR(LARGE($V$176:$V513,1)+1,0),""))</f>
        <v/>
      </c>
      <c r="W514" s="23" t="str">
        <f t="shared" si="139"/>
        <v/>
      </c>
      <c r="X514" s="22" t="str">
        <f t="shared" si="140"/>
        <v/>
      </c>
      <c r="Y514" s="22"/>
      <c r="Z514" s="22"/>
      <c r="AA514" s="22"/>
      <c r="AB514" s="22" t="str" cm="1">
        <f t="array" ref="AB514">IF(IF(AND($P513="",$P514=1),($N$37*-1),0)+IF(AND($Q513="",$Q514=1),($N$38*-1),0)+IF(IF(($K514-$N$48)&lt;1,0,IF(IF(INDEX($AD$176:$AD$905,($K514-$N$48))="",0,INDEX($AD$176:$AD$905,($K514-$N$48)))&gt;0,IF(INDEX($AD$176:$AD$905,($K514-$N$48))="",0,INDEX($AD$176:$AD$905,($K514-$N$48))),0))="",0,IF(($K514-$N$48)&lt;1,0,IF(IF(INDEX($AD$176:$AD$905,($K514-$N$48))="",0,INDEX($AD$176:$AD$905,($K514-$N$48)))&gt;0,IF(INDEX($AD$176:$AD$905,($K514-$N$48))="",0,INDEX($AD$176:$AD$905,($K514-$N$48))),0)))=0,"",IF(AND($P513="",$P514=1),($N$37*-1),0)+IF(AND($Q513="",$Q514=1),($N$38*-1),0)+IF(IF(($K514-$N$48)&lt;1,0,IF(IF(INDEX($AD$176:$AD$905,($K514-$N$48))="",0,INDEX($AD$176:$AD$905,($K514-$N$48)))&gt;0,IF(INDEX($AD$176:$AD$905,($K514-$N$48))="",0,INDEX($AD$176:$AD$905,($K514-$N$48))),0))="",0,IF(($K514-$N$48)&lt;1,0,IF(IF(INDEX($AD$176:$AD$905,($K514-$N$48))="",0,INDEX($AD$176:$AD$905,($K514-$N$48)))&gt;0,IF(INDEX($AD$176:$AD$905,($K514-$N$48))="",0,INDEX($AD$176:$AD$905,($K514-$N$48))),0))))</f>
        <v/>
      </c>
      <c r="AC514" s="22" t="str">
        <f t="shared" si="141"/>
        <v/>
      </c>
      <c r="AD514" s="22" t="str">
        <f t="shared" si="153"/>
        <v/>
      </c>
      <c r="AE514" s="22" t="str" cm="1">
        <f t="array" ref="AE514">IF(($K514-$N$48)&lt;1,"",IF((IF(INDEX($AC$176:$AC$905,($K514-$N$48))="",0,INDEX($AC$176:$AC$905,($K514-$N$48))))=0,"",(IF(INDEX($AC$176:$AC$905,($K514-$N$48))="",0,INDEX($AC$176:$AC$905,($K514-$N$48))))))</f>
        <v/>
      </c>
      <c r="AF514" s="31" t="str">
        <f t="shared" si="142"/>
        <v/>
      </c>
      <c r="AG514" s="31" t="str">
        <f t="shared" si="143"/>
        <v/>
      </c>
      <c r="AH514" s="31" t="str">
        <f t="shared" si="144"/>
        <v/>
      </c>
      <c r="AI514" s="31" t="str">
        <f t="shared" si="145"/>
        <v/>
      </c>
      <c r="AJ514" s="303" t="str">
        <f t="shared" si="146"/>
        <v/>
      </c>
      <c r="AK514" s="139" t="str">
        <f t="shared" si="147"/>
        <v/>
      </c>
      <c r="AM514" s="319"/>
      <c r="AN514" s="40"/>
      <c r="AO514" s="1"/>
    </row>
    <row r="515" spans="7:41" x14ac:dyDescent="0.25">
      <c r="G515" s="235" t="str">
        <f t="shared" si="133"/>
        <v/>
      </c>
      <c r="H515" s="4" t="str">
        <f t="shared" si="134"/>
        <v/>
      </c>
      <c r="I515" s="11" t="str">
        <f t="shared" si="135"/>
        <v>09.00</v>
      </c>
      <c r="K515" s="30">
        <v>340</v>
      </c>
      <c r="L515" s="29">
        <f t="shared" si="148"/>
        <v>11371.908376190917</v>
      </c>
      <c r="M515" s="28" t="str">
        <f t="shared" si="136"/>
        <v/>
      </c>
      <c r="N515" s="27" t="str">
        <f t="shared" si="149"/>
        <v/>
      </c>
      <c r="O515" s="26" t="str">
        <f>IF(AND($Q514=$O$38,IFERROR(LARGE($V$176:$V514,1)&lt;$N$42,TRUE)),1,IF(AND(ISNUMBER($O514),$O514&lt;$N$32),$O514+1,""))</f>
        <v/>
      </c>
      <c r="P515" s="26" t="str">
        <f t="shared" si="150"/>
        <v/>
      </c>
      <c r="Q515" s="26" t="str">
        <f t="shared" si="137"/>
        <v/>
      </c>
      <c r="R515" s="24" t="str">
        <f t="shared" si="151"/>
        <v/>
      </c>
      <c r="S515" s="180">
        <f t="shared" si="152"/>
        <v>9</v>
      </c>
      <c r="T515" s="151"/>
      <c r="U515" s="25" t="str">
        <f t="shared" si="138"/>
        <v/>
      </c>
      <c r="V515" s="24" t="str">
        <f>IF(AND(ISNUMBER(R514),ISNUMBER(R515)),V514,IF(AND(R514="",ISNUMBER(R515)),IFERROR(LARGE($V$176:$V514,1)+1,0),""))</f>
        <v/>
      </c>
      <c r="W515" s="23" t="str">
        <f t="shared" si="139"/>
        <v/>
      </c>
      <c r="X515" s="22" t="str">
        <f t="shared" si="140"/>
        <v/>
      </c>
      <c r="Y515" s="22"/>
      <c r="Z515" s="22"/>
      <c r="AA515" s="22"/>
      <c r="AB515" s="22" t="str" cm="1">
        <f t="array" ref="AB515">IF(IF(AND($P514="",$P515=1),($N$37*-1),0)+IF(AND($Q514="",$Q515=1),($N$38*-1),0)+IF(IF(($K515-$N$48)&lt;1,0,IF(IF(INDEX($AD$176:$AD$905,($K515-$N$48))="",0,INDEX($AD$176:$AD$905,($K515-$N$48)))&gt;0,IF(INDEX($AD$176:$AD$905,($K515-$N$48))="",0,INDEX($AD$176:$AD$905,($K515-$N$48))),0))="",0,IF(($K515-$N$48)&lt;1,0,IF(IF(INDEX($AD$176:$AD$905,($K515-$N$48))="",0,INDEX($AD$176:$AD$905,($K515-$N$48)))&gt;0,IF(INDEX($AD$176:$AD$905,($K515-$N$48))="",0,INDEX($AD$176:$AD$905,($K515-$N$48))),0)))=0,"",IF(AND($P514="",$P515=1),($N$37*-1),0)+IF(AND($Q514="",$Q515=1),($N$38*-1),0)+IF(IF(($K515-$N$48)&lt;1,0,IF(IF(INDEX($AD$176:$AD$905,($K515-$N$48))="",0,INDEX($AD$176:$AD$905,($K515-$N$48)))&gt;0,IF(INDEX($AD$176:$AD$905,($K515-$N$48))="",0,INDEX($AD$176:$AD$905,($K515-$N$48))),0))="",0,IF(($K515-$N$48)&lt;1,0,IF(IF(INDEX($AD$176:$AD$905,($K515-$N$48))="",0,INDEX($AD$176:$AD$905,($K515-$N$48)))&gt;0,IF(INDEX($AD$176:$AD$905,($K515-$N$48))="",0,INDEX($AD$176:$AD$905,($K515-$N$48))),0))))</f>
        <v/>
      </c>
      <c r="AC515" s="22" t="str">
        <f t="shared" si="141"/>
        <v/>
      </c>
      <c r="AD515" s="22" t="str">
        <f t="shared" si="153"/>
        <v/>
      </c>
      <c r="AE515" s="22" t="str" cm="1">
        <f t="array" ref="AE515">IF(($K515-$N$48)&lt;1,"",IF((IF(INDEX($AC$176:$AC$905,($K515-$N$48))="",0,INDEX($AC$176:$AC$905,($K515-$N$48))))=0,"",(IF(INDEX($AC$176:$AC$905,($K515-$N$48))="",0,INDEX($AC$176:$AC$905,($K515-$N$48))))))</f>
        <v/>
      </c>
      <c r="AF515" s="31" t="str">
        <f t="shared" si="142"/>
        <v/>
      </c>
      <c r="AG515" s="31" t="str">
        <f t="shared" si="143"/>
        <v/>
      </c>
      <c r="AH515" s="31" t="str">
        <f t="shared" si="144"/>
        <v/>
      </c>
      <c r="AI515" s="31" t="str">
        <f t="shared" si="145"/>
        <v/>
      </c>
      <c r="AJ515" s="303" t="str">
        <f t="shared" si="146"/>
        <v/>
      </c>
      <c r="AK515" s="139" t="str">
        <f t="shared" si="147"/>
        <v/>
      </c>
      <c r="AM515" s="319"/>
      <c r="AN515" s="40"/>
      <c r="AO515" s="1"/>
    </row>
    <row r="516" spans="7:41" x14ac:dyDescent="0.25">
      <c r="G516" s="235" t="str">
        <f t="shared" si="133"/>
        <v/>
      </c>
      <c r="H516" s="4" t="str">
        <f t="shared" si="134"/>
        <v/>
      </c>
      <c r="I516" s="11" t="str">
        <f t="shared" si="135"/>
        <v>09.00</v>
      </c>
      <c r="K516" s="30">
        <v>341</v>
      </c>
      <c r="L516" s="29">
        <f t="shared" si="148"/>
        <v>11371.908376190917</v>
      </c>
      <c r="M516" s="28" t="str">
        <f t="shared" si="136"/>
        <v/>
      </c>
      <c r="N516" s="27" t="str">
        <f t="shared" si="149"/>
        <v/>
      </c>
      <c r="O516" s="26" t="str">
        <f>IF(AND($Q515=$O$38,IFERROR(LARGE($V$176:$V515,1)&lt;$N$42,TRUE)),1,IF(AND(ISNUMBER($O515),$O515&lt;$N$32),$O515+1,""))</f>
        <v/>
      </c>
      <c r="P516" s="26" t="str">
        <f t="shared" si="150"/>
        <v/>
      </c>
      <c r="Q516" s="26" t="str">
        <f t="shared" si="137"/>
        <v/>
      </c>
      <c r="R516" s="24" t="str">
        <f t="shared" si="151"/>
        <v/>
      </c>
      <c r="S516" s="180">
        <f t="shared" si="152"/>
        <v>9</v>
      </c>
      <c r="T516" s="151"/>
      <c r="U516" s="25" t="str">
        <f t="shared" si="138"/>
        <v/>
      </c>
      <c r="V516" s="24" t="str">
        <f>IF(AND(ISNUMBER(R515),ISNUMBER(R516)),V515,IF(AND(R515="",ISNUMBER(R516)),IFERROR(LARGE($V$176:$V515,1)+1,0),""))</f>
        <v/>
      </c>
      <c r="W516" s="23" t="str">
        <f t="shared" si="139"/>
        <v/>
      </c>
      <c r="X516" s="22" t="str">
        <f t="shared" si="140"/>
        <v/>
      </c>
      <c r="Y516" s="22"/>
      <c r="Z516" s="22"/>
      <c r="AA516" s="22"/>
      <c r="AB516" s="22" t="str" cm="1">
        <f t="array" ref="AB516">IF(IF(AND($P515="",$P516=1),($N$37*-1),0)+IF(AND($Q515="",$Q516=1),($N$38*-1),0)+IF(IF(($K516-$N$48)&lt;1,0,IF(IF(INDEX($AD$176:$AD$905,($K516-$N$48))="",0,INDEX($AD$176:$AD$905,($K516-$N$48)))&gt;0,IF(INDEX($AD$176:$AD$905,($K516-$N$48))="",0,INDEX($AD$176:$AD$905,($K516-$N$48))),0))="",0,IF(($K516-$N$48)&lt;1,0,IF(IF(INDEX($AD$176:$AD$905,($K516-$N$48))="",0,INDEX($AD$176:$AD$905,($K516-$N$48)))&gt;0,IF(INDEX($AD$176:$AD$905,($K516-$N$48))="",0,INDEX($AD$176:$AD$905,($K516-$N$48))),0)))=0,"",IF(AND($P515="",$P516=1),($N$37*-1),0)+IF(AND($Q515="",$Q516=1),($N$38*-1),0)+IF(IF(($K516-$N$48)&lt;1,0,IF(IF(INDEX($AD$176:$AD$905,($K516-$N$48))="",0,INDEX($AD$176:$AD$905,($K516-$N$48)))&gt;0,IF(INDEX($AD$176:$AD$905,($K516-$N$48))="",0,INDEX($AD$176:$AD$905,($K516-$N$48))),0))="",0,IF(($K516-$N$48)&lt;1,0,IF(IF(INDEX($AD$176:$AD$905,($K516-$N$48))="",0,INDEX($AD$176:$AD$905,($K516-$N$48)))&gt;0,IF(INDEX($AD$176:$AD$905,($K516-$N$48))="",0,INDEX($AD$176:$AD$905,($K516-$N$48))),0))))</f>
        <v/>
      </c>
      <c r="AC516" s="22" t="str">
        <f t="shared" si="141"/>
        <v/>
      </c>
      <c r="AD516" s="22" t="str">
        <f t="shared" si="153"/>
        <v/>
      </c>
      <c r="AE516" s="22" t="str" cm="1">
        <f t="array" ref="AE516">IF(($K516-$N$48)&lt;1,"",IF((IF(INDEX($AC$176:$AC$905,($K516-$N$48))="",0,INDEX($AC$176:$AC$905,($K516-$N$48))))=0,"",(IF(INDEX($AC$176:$AC$905,($K516-$N$48))="",0,INDEX($AC$176:$AC$905,($K516-$N$48))))))</f>
        <v/>
      </c>
      <c r="AF516" s="31" t="str">
        <f t="shared" si="142"/>
        <v/>
      </c>
      <c r="AG516" s="31" t="str">
        <f t="shared" si="143"/>
        <v/>
      </c>
      <c r="AH516" s="31" t="str">
        <f t="shared" si="144"/>
        <v/>
      </c>
      <c r="AI516" s="31" t="str">
        <f t="shared" si="145"/>
        <v/>
      </c>
      <c r="AJ516" s="303" t="str">
        <f t="shared" si="146"/>
        <v/>
      </c>
      <c r="AK516" s="139" t="str">
        <f t="shared" si="147"/>
        <v/>
      </c>
      <c r="AM516" s="319"/>
      <c r="AN516" s="40"/>
      <c r="AO516" s="1"/>
    </row>
    <row r="517" spans="7:41" x14ac:dyDescent="0.25">
      <c r="G517" s="235" t="str">
        <f t="shared" si="133"/>
        <v/>
      </c>
      <c r="H517" s="4" t="str">
        <f t="shared" si="134"/>
        <v/>
      </c>
      <c r="I517" s="11" t="str">
        <f t="shared" si="135"/>
        <v>09.00</v>
      </c>
      <c r="K517" s="30">
        <v>342</v>
      </c>
      <c r="L517" s="29">
        <f t="shared" si="148"/>
        <v>11371.908376190917</v>
      </c>
      <c r="M517" s="28" t="str">
        <f t="shared" si="136"/>
        <v/>
      </c>
      <c r="N517" s="27" t="str">
        <f t="shared" si="149"/>
        <v/>
      </c>
      <c r="O517" s="26" t="str">
        <f>IF(AND($Q516=$O$38,IFERROR(LARGE($V$176:$V516,1)&lt;$N$42,TRUE)),1,IF(AND(ISNUMBER($O516),$O516&lt;$N$32),$O516+1,""))</f>
        <v/>
      </c>
      <c r="P517" s="26" t="str">
        <f t="shared" si="150"/>
        <v/>
      </c>
      <c r="Q517" s="26" t="str">
        <f t="shared" si="137"/>
        <v/>
      </c>
      <c r="R517" s="24" t="str">
        <f t="shared" si="151"/>
        <v/>
      </c>
      <c r="S517" s="180">
        <f t="shared" si="152"/>
        <v>9</v>
      </c>
      <c r="T517" s="151"/>
      <c r="U517" s="25" t="str">
        <f t="shared" si="138"/>
        <v/>
      </c>
      <c r="V517" s="24" t="str">
        <f>IF(AND(ISNUMBER(R516),ISNUMBER(R517)),V516,IF(AND(R516="",ISNUMBER(R517)),IFERROR(LARGE($V$176:$V516,1)+1,0),""))</f>
        <v/>
      </c>
      <c r="W517" s="23" t="str">
        <f t="shared" si="139"/>
        <v/>
      </c>
      <c r="X517" s="22" t="str">
        <f t="shared" si="140"/>
        <v/>
      </c>
      <c r="Y517" s="22"/>
      <c r="Z517" s="22"/>
      <c r="AA517" s="22"/>
      <c r="AB517" s="22" t="str" cm="1">
        <f t="array" ref="AB517">IF(IF(AND($P516="",$P517=1),($N$37*-1),0)+IF(AND($Q516="",$Q517=1),($N$38*-1),0)+IF(IF(($K517-$N$48)&lt;1,0,IF(IF(INDEX($AD$176:$AD$905,($K517-$N$48))="",0,INDEX($AD$176:$AD$905,($K517-$N$48)))&gt;0,IF(INDEX($AD$176:$AD$905,($K517-$N$48))="",0,INDEX($AD$176:$AD$905,($K517-$N$48))),0))="",0,IF(($K517-$N$48)&lt;1,0,IF(IF(INDEX($AD$176:$AD$905,($K517-$N$48))="",0,INDEX($AD$176:$AD$905,($K517-$N$48)))&gt;0,IF(INDEX($AD$176:$AD$905,($K517-$N$48))="",0,INDEX($AD$176:$AD$905,($K517-$N$48))),0)))=0,"",IF(AND($P516="",$P517=1),($N$37*-1),0)+IF(AND($Q516="",$Q517=1),($N$38*-1),0)+IF(IF(($K517-$N$48)&lt;1,0,IF(IF(INDEX($AD$176:$AD$905,($K517-$N$48))="",0,INDEX($AD$176:$AD$905,($K517-$N$48)))&gt;0,IF(INDEX($AD$176:$AD$905,($K517-$N$48))="",0,INDEX($AD$176:$AD$905,($K517-$N$48))),0))="",0,IF(($K517-$N$48)&lt;1,0,IF(IF(INDEX($AD$176:$AD$905,($K517-$N$48))="",0,INDEX($AD$176:$AD$905,($K517-$N$48)))&gt;0,IF(INDEX($AD$176:$AD$905,($K517-$N$48))="",0,INDEX($AD$176:$AD$905,($K517-$N$48))),0))))</f>
        <v/>
      </c>
      <c r="AC517" s="22" t="str">
        <f t="shared" si="141"/>
        <v/>
      </c>
      <c r="AD517" s="22" t="str">
        <f t="shared" si="153"/>
        <v/>
      </c>
      <c r="AE517" s="22" t="str" cm="1">
        <f t="array" ref="AE517">IF(($K517-$N$48)&lt;1,"",IF((IF(INDEX($AC$176:$AC$905,($K517-$N$48))="",0,INDEX($AC$176:$AC$905,($K517-$N$48))))=0,"",(IF(INDEX($AC$176:$AC$905,($K517-$N$48))="",0,INDEX($AC$176:$AC$905,($K517-$N$48))))))</f>
        <v/>
      </c>
      <c r="AF517" s="31" t="str">
        <f t="shared" si="142"/>
        <v/>
      </c>
      <c r="AG517" s="31" t="str">
        <f t="shared" si="143"/>
        <v/>
      </c>
      <c r="AH517" s="31" t="str">
        <f t="shared" si="144"/>
        <v/>
      </c>
      <c r="AI517" s="31" t="str">
        <f t="shared" si="145"/>
        <v/>
      </c>
      <c r="AJ517" s="303" t="str">
        <f t="shared" si="146"/>
        <v/>
      </c>
      <c r="AK517" s="139" t="str">
        <f t="shared" si="147"/>
        <v/>
      </c>
      <c r="AM517" s="319"/>
      <c r="AN517" s="40"/>
      <c r="AO517" s="1"/>
    </row>
    <row r="518" spans="7:41" x14ac:dyDescent="0.25">
      <c r="G518" s="235" t="str">
        <f t="shared" si="133"/>
        <v/>
      </c>
      <c r="H518" s="4" t="str">
        <f t="shared" si="134"/>
        <v/>
      </c>
      <c r="I518" s="11" t="str">
        <f t="shared" si="135"/>
        <v>09.00</v>
      </c>
      <c r="K518" s="30">
        <v>343</v>
      </c>
      <c r="L518" s="29">
        <f t="shared" si="148"/>
        <v>11371.908376190917</v>
      </c>
      <c r="M518" s="28" t="str">
        <f t="shared" si="136"/>
        <v/>
      </c>
      <c r="N518" s="27" t="str">
        <f t="shared" si="149"/>
        <v/>
      </c>
      <c r="O518" s="26" t="str">
        <f>IF(AND($Q517=$O$38,IFERROR(LARGE($V$176:$V517,1)&lt;$N$42,TRUE)),1,IF(AND(ISNUMBER($O517),$O517&lt;$N$32),$O517+1,""))</f>
        <v/>
      </c>
      <c r="P518" s="26" t="str">
        <f t="shared" si="150"/>
        <v/>
      </c>
      <c r="Q518" s="26" t="str">
        <f t="shared" si="137"/>
        <v/>
      </c>
      <c r="R518" s="24" t="str">
        <f t="shared" si="151"/>
        <v/>
      </c>
      <c r="S518" s="180">
        <f t="shared" si="152"/>
        <v>9</v>
      </c>
      <c r="T518" s="151"/>
      <c r="U518" s="25" t="str">
        <f t="shared" si="138"/>
        <v/>
      </c>
      <c r="V518" s="24" t="str">
        <f>IF(AND(ISNUMBER(R517),ISNUMBER(R518)),V517,IF(AND(R517="",ISNUMBER(R518)),IFERROR(LARGE($V$176:$V517,1)+1,0),""))</f>
        <v/>
      </c>
      <c r="W518" s="23" t="str">
        <f t="shared" si="139"/>
        <v/>
      </c>
      <c r="X518" s="22" t="str">
        <f t="shared" si="140"/>
        <v/>
      </c>
      <c r="Y518" s="22"/>
      <c r="Z518" s="22"/>
      <c r="AA518" s="22"/>
      <c r="AB518" s="22" t="str" cm="1">
        <f t="array" ref="AB518">IF(IF(AND($P517="",$P518=1),($N$37*-1),0)+IF(AND($Q517="",$Q518=1),($N$38*-1),0)+IF(IF(($K518-$N$48)&lt;1,0,IF(IF(INDEX($AD$176:$AD$905,($K518-$N$48))="",0,INDEX($AD$176:$AD$905,($K518-$N$48)))&gt;0,IF(INDEX($AD$176:$AD$905,($K518-$N$48))="",0,INDEX($AD$176:$AD$905,($K518-$N$48))),0))="",0,IF(($K518-$N$48)&lt;1,0,IF(IF(INDEX($AD$176:$AD$905,($K518-$N$48))="",0,INDEX($AD$176:$AD$905,($K518-$N$48)))&gt;0,IF(INDEX($AD$176:$AD$905,($K518-$N$48))="",0,INDEX($AD$176:$AD$905,($K518-$N$48))),0)))=0,"",IF(AND($P517="",$P518=1),($N$37*-1),0)+IF(AND($Q517="",$Q518=1),($N$38*-1),0)+IF(IF(($K518-$N$48)&lt;1,0,IF(IF(INDEX($AD$176:$AD$905,($K518-$N$48))="",0,INDEX($AD$176:$AD$905,($K518-$N$48)))&gt;0,IF(INDEX($AD$176:$AD$905,($K518-$N$48))="",0,INDEX($AD$176:$AD$905,($K518-$N$48))),0))="",0,IF(($K518-$N$48)&lt;1,0,IF(IF(INDEX($AD$176:$AD$905,($K518-$N$48))="",0,INDEX($AD$176:$AD$905,($K518-$N$48)))&gt;0,IF(INDEX($AD$176:$AD$905,($K518-$N$48))="",0,INDEX($AD$176:$AD$905,($K518-$N$48))),0))))</f>
        <v/>
      </c>
      <c r="AC518" s="22" t="str">
        <f t="shared" si="141"/>
        <v/>
      </c>
      <c r="AD518" s="22" t="str">
        <f t="shared" si="153"/>
        <v/>
      </c>
      <c r="AE518" s="22" t="str" cm="1">
        <f t="array" ref="AE518">IF(($K518-$N$48)&lt;1,"",IF((IF(INDEX($AC$176:$AC$905,($K518-$N$48))="",0,INDEX($AC$176:$AC$905,($K518-$N$48))))=0,"",(IF(INDEX($AC$176:$AC$905,($K518-$N$48))="",0,INDEX($AC$176:$AC$905,($K518-$N$48))))))</f>
        <v/>
      </c>
      <c r="AF518" s="31" t="str">
        <f t="shared" si="142"/>
        <v/>
      </c>
      <c r="AG518" s="31" t="str">
        <f t="shared" si="143"/>
        <v/>
      </c>
      <c r="AH518" s="31" t="str">
        <f t="shared" si="144"/>
        <v/>
      </c>
      <c r="AI518" s="31" t="str">
        <f t="shared" si="145"/>
        <v/>
      </c>
      <c r="AJ518" s="303" t="str">
        <f t="shared" si="146"/>
        <v/>
      </c>
      <c r="AK518" s="139" t="str">
        <f t="shared" si="147"/>
        <v/>
      </c>
      <c r="AM518" s="319"/>
      <c r="AN518" s="40"/>
      <c r="AO518" s="1"/>
    </row>
    <row r="519" spans="7:41" x14ac:dyDescent="0.25">
      <c r="G519" s="235" t="str">
        <f t="shared" si="133"/>
        <v/>
      </c>
      <c r="H519" s="4" t="str">
        <f t="shared" si="134"/>
        <v/>
      </c>
      <c r="I519" s="11" t="str">
        <f t="shared" si="135"/>
        <v>09.00</v>
      </c>
      <c r="K519" s="30">
        <v>344</v>
      </c>
      <c r="L519" s="29">
        <f t="shared" si="148"/>
        <v>11371.908376190917</v>
      </c>
      <c r="M519" s="28" t="str">
        <f t="shared" si="136"/>
        <v/>
      </c>
      <c r="N519" s="27" t="str">
        <f t="shared" si="149"/>
        <v/>
      </c>
      <c r="O519" s="26" t="str">
        <f>IF(AND($Q518=$O$38,IFERROR(LARGE($V$176:$V518,1)&lt;$N$42,TRUE)),1,IF(AND(ISNUMBER($O518),$O518&lt;$N$32),$O518+1,""))</f>
        <v/>
      </c>
      <c r="P519" s="26" t="str">
        <f t="shared" si="150"/>
        <v/>
      </c>
      <c r="Q519" s="26" t="str">
        <f t="shared" si="137"/>
        <v/>
      </c>
      <c r="R519" s="24" t="str">
        <f t="shared" si="151"/>
        <v/>
      </c>
      <c r="S519" s="180">
        <f t="shared" si="152"/>
        <v>9</v>
      </c>
      <c r="T519" s="151"/>
      <c r="U519" s="25" t="str">
        <f t="shared" si="138"/>
        <v/>
      </c>
      <c r="V519" s="24" t="str">
        <f>IF(AND(ISNUMBER(R518),ISNUMBER(R519)),V518,IF(AND(R518="",ISNUMBER(R519)),IFERROR(LARGE($V$176:$V518,1)+1,0),""))</f>
        <v/>
      </c>
      <c r="W519" s="23" t="str">
        <f t="shared" si="139"/>
        <v/>
      </c>
      <c r="X519" s="22" t="str">
        <f t="shared" si="140"/>
        <v/>
      </c>
      <c r="Y519" s="22"/>
      <c r="Z519" s="22"/>
      <c r="AA519" s="22"/>
      <c r="AB519" s="22" t="str" cm="1">
        <f t="array" ref="AB519">IF(IF(AND($P518="",$P519=1),($N$37*-1),0)+IF(AND($Q518="",$Q519=1),($N$38*-1),0)+IF(IF(($K519-$N$48)&lt;1,0,IF(IF(INDEX($AD$176:$AD$905,($K519-$N$48))="",0,INDEX($AD$176:$AD$905,($K519-$N$48)))&gt;0,IF(INDEX($AD$176:$AD$905,($K519-$N$48))="",0,INDEX($AD$176:$AD$905,($K519-$N$48))),0))="",0,IF(($K519-$N$48)&lt;1,0,IF(IF(INDEX($AD$176:$AD$905,($K519-$N$48))="",0,INDEX($AD$176:$AD$905,($K519-$N$48)))&gt;0,IF(INDEX($AD$176:$AD$905,($K519-$N$48))="",0,INDEX($AD$176:$AD$905,($K519-$N$48))),0)))=0,"",IF(AND($P518="",$P519=1),($N$37*-1),0)+IF(AND($Q518="",$Q519=1),($N$38*-1),0)+IF(IF(($K519-$N$48)&lt;1,0,IF(IF(INDEX($AD$176:$AD$905,($K519-$N$48))="",0,INDEX($AD$176:$AD$905,($K519-$N$48)))&gt;0,IF(INDEX($AD$176:$AD$905,($K519-$N$48))="",0,INDEX($AD$176:$AD$905,($K519-$N$48))),0))="",0,IF(($K519-$N$48)&lt;1,0,IF(IF(INDEX($AD$176:$AD$905,($K519-$N$48))="",0,INDEX($AD$176:$AD$905,($K519-$N$48)))&gt;0,IF(INDEX($AD$176:$AD$905,($K519-$N$48))="",0,INDEX($AD$176:$AD$905,($K519-$N$48))),0))))</f>
        <v/>
      </c>
      <c r="AC519" s="22" t="str">
        <f t="shared" si="141"/>
        <v/>
      </c>
      <c r="AD519" s="22" t="str">
        <f t="shared" si="153"/>
        <v/>
      </c>
      <c r="AE519" s="22" t="str" cm="1">
        <f t="array" ref="AE519">IF(($K519-$N$48)&lt;1,"",IF((IF(INDEX($AC$176:$AC$905,($K519-$N$48))="",0,INDEX($AC$176:$AC$905,($K519-$N$48))))=0,"",(IF(INDEX($AC$176:$AC$905,($K519-$N$48))="",0,INDEX($AC$176:$AC$905,($K519-$N$48))))))</f>
        <v/>
      </c>
      <c r="AF519" s="31" t="str">
        <f t="shared" si="142"/>
        <v/>
      </c>
      <c r="AG519" s="31" t="str">
        <f t="shared" si="143"/>
        <v/>
      </c>
      <c r="AH519" s="31" t="str">
        <f t="shared" si="144"/>
        <v/>
      </c>
      <c r="AI519" s="31" t="str">
        <f t="shared" si="145"/>
        <v/>
      </c>
      <c r="AJ519" s="303" t="str">
        <f t="shared" si="146"/>
        <v/>
      </c>
      <c r="AK519" s="139" t="str">
        <f t="shared" si="147"/>
        <v/>
      </c>
      <c r="AM519" s="319"/>
      <c r="AN519" s="40"/>
      <c r="AO519" s="1"/>
    </row>
    <row r="520" spans="7:41" x14ac:dyDescent="0.25">
      <c r="G520" s="235" t="str">
        <f t="shared" si="133"/>
        <v/>
      </c>
      <c r="H520" s="4" t="str">
        <f t="shared" si="134"/>
        <v/>
      </c>
      <c r="I520" s="11" t="str">
        <f t="shared" si="135"/>
        <v>09.00</v>
      </c>
      <c r="K520" s="30">
        <v>345</v>
      </c>
      <c r="L520" s="29">
        <f t="shared" si="148"/>
        <v>11371.908376190917</v>
      </c>
      <c r="M520" s="28" t="str">
        <f t="shared" si="136"/>
        <v/>
      </c>
      <c r="N520" s="27" t="str">
        <f t="shared" si="149"/>
        <v/>
      </c>
      <c r="O520" s="26" t="str">
        <f>IF(AND($Q519=$O$38,IFERROR(LARGE($V$176:$V519,1)&lt;$N$42,TRUE)),1,IF(AND(ISNUMBER($O519),$O519&lt;$N$32),$O519+1,""))</f>
        <v/>
      </c>
      <c r="P520" s="26" t="str">
        <f t="shared" si="150"/>
        <v/>
      </c>
      <c r="Q520" s="26" t="str">
        <f t="shared" si="137"/>
        <v/>
      </c>
      <c r="R520" s="24" t="str">
        <f t="shared" si="151"/>
        <v/>
      </c>
      <c r="S520" s="180">
        <f t="shared" si="152"/>
        <v>9</v>
      </c>
      <c r="T520" s="151"/>
      <c r="U520" s="25" t="str">
        <f t="shared" si="138"/>
        <v/>
      </c>
      <c r="V520" s="24" t="str">
        <f>IF(AND(ISNUMBER(R519),ISNUMBER(R520)),V519,IF(AND(R519="",ISNUMBER(R520)),IFERROR(LARGE($V$176:$V519,1)+1,0),""))</f>
        <v/>
      </c>
      <c r="W520" s="23" t="str">
        <f t="shared" si="139"/>
        <v/>
      </c>
      <c r="X520" s="22" t="str">
        <f t="shared" si="140"/>
        <v/>
      </c>
      <c r="Y520" s="22"/>
      <c r="Z520" s="22"/>
      <c r="AA520" s="22"/>
      <c r="AB520" s="22" t="str" cm="1">
        <f t="array" ref="AB520">IF(IF(AND($P519="",$P520=1),($N$37*-1),0)+IF(AND($Q519="",$Q520=1),($N$38*-1),0)+IF(IF(($K520-$N$48)&lt;1,0,IF(IF(INDEX($AD$176:$AD$905,($K520-$N$48))="",0,INDEX($AD$176:$AD$905,($K520-$N$48)))&gt;0,IF(INDEX($AD$176:$AD$905,($K520-$N$48))="",0,INDEX($AD$176:$AD$905,($K520-$N$48))),0))="",0,IF(($K520-$N$48)&lt;1,0,IF(IF(INDEX($AD$176:$AD$905,($K520-$N$48))="",0,INDEX($AD$176:$AD$905,($K520-$N$48)))&gt;0,IF(INDEX($AD$176:$AD$905,($K520-$N$48))="",0,INDEX($AD$176:$AD$905,($K520-$N$48))),0)))=0,"",IF(AND($P519="",$P520=1),($N$37*-1),0)+IF(AND($Q519="",$Q520=1),($N$38*-1),0)+IF(IF(($K520-$N$48)&lt;1,0,IF(IF(INDEX($AD$176:$AD$905,($K520-$N$48))="",0,INDEX($AD$176:$AD$905,($K520-$N$48)))&gt;0,IF(INDEX($AD$176:$AD$905,($K520-$N$48))="",0,INDEX($AD$176:$AD$905,($K520-$N$48))),0))="",0,IF(($K520-$N$48)&lt;1,0,IF(IF(INDEX($AD$176:$AD$905,($K520-$N$48))="",0,INDEX($AD$176:$AD$905,($K520-$N$48)))&gt;0,IF(INDEX($AD$176:$AD$905,($K520-$N$48))="",0,INDEX($AD$176:$AD$905,($K520-$N$48))),0))))</f>
        <v/>
      </c>
      <c r="AC520" s="22" t="str">
        <f t="shared" si="141"/>
        <v/>
      </c>
      <c r="AD520" s="22" t="str">
        <f t="shared" si="153"/>
        <v/>
      </c>
      <c r="AE520" s="22" t="str" cm="1">
        <f t="array" ref="AE520">IF(($K520-$N$48)&lt;1,"",IF((IF(INDEX($AC$176:$AC$905,($K520-$N$48))="",0,INDEX($AC$176:$AC$905,($K520-$N$48))))=0,"",(IF(INDEX($AC$176:$AC$905,($K520-$N$48))="",0,INDEX($AC$176:$AC$905,($K520-$N$48))))))</f>
        <v/>
      </c>
      <c r="AF520" s="31" t="str">
        <f t="shared" si="142"/>
        <v/>
      </c>
      <c r="AG520" s="31" t="str">
        <f t="shared" si="143"/>
        <v/>
      </c>
      <c r="AH520" s="31" t="str">
        <f t="shared" si="144"/>
        <v/>
      </c>
      <c r="AI520" s="31" t="str">
        <f t="shared" si="145"/>
        <v/>
      </c>
      <c r="AJ520" s="303" t="str">
        <f t="shared" si="146"/>
        <v/>
      </c>
      <c r="AK520" s="139" t="str">
        <f t="shared" si="147"/>
        <v/>
      </c>
      <c r="AM520" s="319"/>
      <c r="AN520" s="40"/>
      <c r="AO520" s="1"/>
    </row>
    <row r="521" spans="7:41" x14ac:dyDescent="0.25">
      <c r="G521" s="235" t="str">
        <f t="shared" si="133"/>
        <v/>
      </c>
      <c r="H521" s="4" t="str">
        <f t="shared" si="134"/>
        <v/>
      </c>
      <c r="I521" s="11" t="str">
        <f t="shared" si="135"/>
        <v>09.00</v>
      </c>
      <c r="K521" s="30">
        <v>346</v>
      </c>
      <c r="L521" s="29">
        <f t="shared" si="148"/>
        <v>11371.908376190917</v>
      </c>
      <c r="M521" s="28" t="str">
        <f t="shared" si="136"/>
        <v/>
      </c>
      <c r="N521" s="27" t="str">
        <f t="shared" si="149"/>
        <v/>
      </c>
      <c r="O521" s="26" t="str">
        <f>IF(AND($Q520=$O$38,IFERROR(LARGE($V$176:$V520,1)&lt;$N$42,TRUE)),1,IF(AND(ISNUMBER($O520),$O520&lt;$N$32),$O520+1,""))</f>
        <v/>
      </c>
      <c r="P521" s="26" t="str">
        <f t="shared" si="150"/>
        <v/>
      </c>
      <c r="Q521" s="26" t="str">
        <f t="shared" si="137"/>
        <v/>
      </c>
      <c r="R521" s="24" t="str">
        <f t="shared" si="151"/>
        <v/>
      </c>
      <c r="S521" s="180">
        <f t="shared" si="152"/>
        <v>9</v>
      </c>
      <c r="T521" s="151"/>
      <c r="U521" s="25" t="str">
        <f t="shared" si="138"/>
        <v/>
      </c>
      <c r="V521" s="24" t="str">
        <f>IF(AND(ISNUMBER(R520),ISNUMBER(R521)),V520,IF(AND(R520="",ISNUMBER(R521)),IFERROR(LARGE($V$176:$V520,1)+1,0),""))</f>
        <v/>
      </c>
      <c r="W521" s="23" t="str">
        <f t="shared" si="139"/>
        <v/>
      </c>
      <c r="X521" s="22" t="str">
        <f t="shared" si="140"/>
        <v/>
      </c>
      <c r="Y521" s="22"/>
      <c r="Z521" s="22"/>
      <c r="AA521" s="22"/>
      <c r="AB521" s="22" t="str" cm="1">
        <f t="array" ref="AB521">IF(IF(AND($P520="",$P521=1),($N$37*-1),0)+IF(AND($Q520="",$Q521=1),($N$38*-1),0)+IF(IF(($K521-$N$48)&lt;1,0,IF(IF(INDEX($AD$176:$AD$905,($K521-$N$48))="",0,INDEX($AD$176:$AD$905,($K521-$N$48)))&gt;0,IF(INDEX($AD$176:$AD$905,($K521-$N$48))="",0,INDEX($AD$176:$AD$905,($K521-$N$48))),0))="",0,IF(($K521-$N$48)&lt;1,0,IF(IF(INDEX($AD$176:$AD$905,($K521-$N$48))="",0,INDEX($AD$176:$AD$905,($K521-$N$48)))&gt;0,IF(INDEX($AD$176:$AD$905,($K521-$N$48))="",0,INDEX($AD$176:$AD$905,($K521-$N$48))),0)))=0,"",IF(AND($P520="",$P521=1),($N$37*-1),0)+IF(AND($Q520="",$Q521=1),($N$38*-1),0)+IF(IF(($K521-$N$48)&lt;1,0,IF(IF(INDEX($AD$176:$AD$905,($K521-$N$48))="",0,INDEX($AD$176:$AD$905,($K521-$N$48)))&gt;0,IF(INDEX($AD$176:$AD$905,($K521-$N$48))="",0,INDEX($AD$176:$AD$905,($K521-$N$48))),0))="",0,IF(($K521-$N$48)&lt;1,0,IF(IF(INDEX($AD$176:$AD$905,($K521-$N$48))="",0,INDEX($AD$176:$AD$905,($K521-$N$48)))&gt;0,IF(INDEX($AD$176:$AD$905,($K521-$N$48))="",0,INDEX($AD$176:$AD$905,($K521-$N$48))),0))))</f>
        <v/>
      </c>
      <c r="AC521" s="22" t="str">
        <f t="shared" si="141"/>
        <v/>
      </c>
      <c r="AD521" s="22" t="str">
        <f t="shared" si="153"/>
        <v/>
      </c>
      <c r="AE521" s="22" t="str" cm="1">
        <f t="array" ref="AE521">IF(($K521-$N$48)&lt;1,"",IF((IF(INDEX($AC$176:$AC$905,($K521-$N$48))="",0,INDEX($AC$176:$AC$905,($K521-$N$48))))=0,"",(IF(INDEX($AC$176:$AC$905,($K521-$N$48))="",0,INDEX($AC$176:$AC$905,($K521-$N$48))))))</f>
        <v/>
      </c>
      <c r="AF521" s="31" t="str">
        <f t="shared" si="142"/>
        <v/>
      </c>
      <c r="AG521" s="31" t="str">
        <f t="shared" si="143"/>
        <v/>
      </c>
      <c r="AH521" s="31" t="str">
        <f t="shared" si="144"/>
        <v/>
      </c>
      <c r="AI521" s="31" t="str">
        <f t="shared" si="145"/>
        <v/>
      </c>
      <c r="AJ521" s="303" t="str">
        <f t="shared" si="146"/>
        <v/>
      </c>
      <c r="AK521" s="139" t="str">
        <f t="shared" si="147"/>
        <v/>
      </c>
      <c r="AM521" s="319"/>
      <c r="AN521" s="40"/>
      <c r="AO521" s="1"/>
    </row>
    <row r="522" spans="7:41" x14ac:dyDescent="0.25">
      <c r="G522" s="235" t="str">
        <f t="shared" si="133"/>
        <v/>
      </c>
      <c r="H522" s="4" t="str">
        <f t="shared" si="134"/>
        <v/>
      </c>
      <c r="I522" s="11" t="str">
        <f t="shared" si="135"/>
        <v>09.00</v>
      </c>
      <c r="K522" s="30">
        <v>347</v>
      </c>
      <c r="L522" s="29">
        <f t="shared" si="148"/>
        <v>11371.908376190917</v>
      </c>
      <c r="M522" s="28" t="str">
        <f t="shared" si="136"/>
        <v/>
      </c>
      <c r="N522" s="27" t="str">
        <f t="shared" si="149"/>
        <v/>
      </c>
      <c r="O522" s="26" t="str">
        <f>IF(AND($Q521=$O$38,IFERROR(LARGE($V$176:$V521,1)&lt;$N$42,TRUE)),1,IF(AND(ISNUMBER($O521),$O521&lt;$N$32),$O521+1,""))</f>
        <v/>
      </c>
      <c r="P522" s="26" t="str">
        <f t="shared" si="150"/>
        <v/>
      </c>
      <c r="Q522" s="26" t="str">
        <f t="shared" si="137"/>
        <v/>
      </c>
      <c r="R522" s="24" t="str">
        <f t="shared" si="151"/>
        <v/>
      </c>
      <c r="S522" s="180">
        <f t="shared" si="152"/>
        <v>9</v>
      </c>
      <c r="T522" s="151"/>
      <c r="U522" s="25" t="str">
        <f t="shared" si="138"/>
        <v/>
      </c>
      <c r="V522" s="24" t="str">
        <f>IF(AND(ISNUMBER(R521),ISNUMBER(R522)),V521,IF(AND(R521="",ISNUMBER(R522)),IFERROR(LARGE($V$176:$V521,1)+1,0),""))</f>
        <v/>
      </c>
      <c r="W522" s="23" t="str">
        <f t="shared" si="139"/>
        <v/>
      </c>
      <c r="X522" s="22" t="str">
        <f t="shared" si="140"/>
        <v/>
      </c>
      <c r="Y522" s="22"/>
      <c r="Z522" s="22"/>
      <c r="AA522" s="22"/>
      <c r="AB522" s="22" t="str" cm="1">
        <f t="array" ref="AB522">IF(IF(AND($P521="",$P522=1),($N$37*-1),0)+IF(AND($Q521="",$Q522=1),($N$38*-1),0)+IF(IF(($K522-$N$48)&lt;1,0,IF(IF(INDEX($AD$176:$AD$905,($K522-$N$48))="",0,INDEX($AD$176:$AD$905,($K522-$N$48)))&gt;0,IF(INDEX($AD$176:$AD$905,($K522-$N$48))="",0,INDEX($AD$176:$AD$905,($K522-$N$48))),0))="",0,IF(($K522-$N$48)&lt;1,0,IF(IF(INDEX($AD$176:$AD$905,($K522-$N$48))="",0,INDEX($AD$176:$AD$905,($K522-$N$48)))&gt;0,IF(INDEX($AD$176:$AD$905,($K522-$N$48))="",0,INDEX($AD$176:$AD$905,($K522-$N$48))),0)))=0,"",IF(AND($P521="",$P522=1),($N$37*-1),0)+IF(AND($Q521="",$Q522=1),($N$38*-1),0)+IF(IF(($K522-$N$48)&lt;1,0,IF(IF(INDEX($AD$176:$AD$905,($K522-$N$48))="",0,INDEX($AD$176:$AD$905,($K522-$N$48)))&gt;0,IF(INDEX($AD$176:$AD$905,($K522-$N$48))="",0,INDEX($AD$176:$AD$905,($K522-$N$48))),0))="",0,IF(($K522-$N$48)&lt;1,0,IF(IF(INDEX($AD$176:$AD$905,($K522-$N$48))="",0,INDEX($AD$176:$AD$905,($K522-$N$48)))&gt;0,IF(INDEX($AD$176:$AD$905,($K522-$N$48))="",0,INDEX($AD$176:$AD$905,($K522-$N$48))),0))))</f>
        <v/>
      </c>
      <c r="AC522" s="22" t="str">
        <f t="shared" si="141"/>
        <v/>
      </c>
      <c r="AD522" s="22" t="str">
        <f t="shared" si="153"/>
        <v/>
      </c>
      <c r="AE522" s="22" t="str" cm="1">
        <f t="array" ref="AE522">IF(($K522-$N$48)&lt;1,"",IF((IF(INDEX($AC$176:$AC$905,($K522-$N$48))="",0,INDEX($AC$176:$AC$905,($K522-$N$48))))=0,"",(IF(INDEX($AC$176:$AC$905,($K522-$N$48))="",0,INDEX($AC$176:$AC$905,($K522-$N$48))))))</f>
        <v/>
      </c>
      <c r="AF522" s="31" t="str">
        <f t="shared" si="142"/>
        <v/>
      </c>
      <c r="AG522" s="31" t="str">
        <f t="shared" si="143"/>
        <v/>
      </c>
      <c r="AH522" s="31" t="str">
        <f t="shared" si="144"/>
        <v/>
      </c>
      <c r="AI522" s="31" t="str">
        <f t="shared" si="145"/>
        <v/>
      </c>
      <c r="AJ522" s="303" t="str">
        <f t="shared" si="146"/>
        <v/>
      </c>
      <c r="AK522" s="139" t="str">
        <f t="shared" si="147"/>
        <v/>
      </c>
      <c r="AM522" s="319"/>
      <c r="AN522" s="40"/>
      <c r="AO522" s="1"/>
    </row>
    <row r="523" spans="7:41" x14ac:dyDescent="0.25">
      <c r="G523" s="235" t="str">
        <f t="shared" si="133"/>
        <v/>
      </c>
      <c r="H523" s="4" t="str">
        <f t="shared" si="134"/>
        <v/>
      </c>
      <c r="I523" s="11" t="str">
        <f t="shared" si="135"/>
        <v>09.00</v>
      </c>
      <c r="K523" s="30">
        <v>348</v>
      </c>
      <c r="L523" s="29">
        <f t="shared" si="148"/>
        <v>11371.908376190917</v>
      </c>
      <c r="M523" s="28" t="str">
        <f t="shared" si="136"/>
        <v/>
      </c>
      <c r="N523" s="27" t="str">
        <f t="shared" si="149"/>
        <v/>
      </c>
      <c r="O523" s="26" t="str">
        <f>IF(AND($Q522=$O$38,IFERROR(LARGE($V$176:$V522,1)&lt;$N$42,TRUE)),1,IF(AND(ISNUMBER($O522),$O522&lt;$N$32),$O522+1,""))</f>
        <v/>
      </c>
      <c r="P523" s="26" t="str">
        <f t="shared" si="150"/>
        <v/>
      </c>
      <c r="Q523" s="26" t="str">
        <f t="shared" si="137"/>
        <v/>
      </c>
      <c r="R523" s="24" t="str">
        <f t="shared" si="151"/>
        <v/>
      </c>
      <c r="S523" s="180">
        <f t="shared" si="152"/>
        <v>9</v>
      </c>
      <c r="T523" s="151"/>
      <c r="U523" s="25" t="str">
        <f t="shared" si="138"/>
        <v/>
      </c>
      <c r="V523" s="24" t="str">
        <f>IF(AND(ISNUMBER(R522),ISNUMBER(R523)),V522,IF(AND(R522="",ISNUMBER(R523)),IFERROR(LARGE($V$176:$V522,1)+1,0),""))</f>
        <v/>
      </c>
      <c r="W523" s="23" t="str">
        <f t="shared" si="139"/>
        <v/>
      </c>
      <c r="X523" s="22" t="str">
        <f t="shared" si="140"/>
        <v/>
      </c>
      <c r="Y523" s="22"/>
      <c r="Z523" s="22"/>
      <c r="AA523" s="22"/>
      <c r="AB523" s="22" t="str" cm="1">
        <f t="array" ref="AB523">IF(IF(AND($P522="",$P523=1),($N$37*-1),0)+IF(AND($Q522="",$Q523=1),($N$38*-1),0)+IF(IF(($K523-$N$48)&lt;1,0,IF(IF(INDEX($AD$176:$AD$905,($K523-$N$48))="",0,INDEX($AD$176:$AD$905,($K523-$N$48)))&gt;0,IF(INDEX($AD$176:$AD$905,($K523-$N$48))="",0,INDEX($AD$176:$AD$905,($K523-$N$48))),0))="",0,IF(($K523-$N$48)&lt;1,0,IF(IF(INDEX($AD$176:$AD$905,($K523-$N$48))="",0,INDEX($AD$176:$AD$905,($K523-$N$48)))&gt;0,IF(INDEX($AD$176:$AD$905,($K523-$N$48))="",0,INDEX($AD$176:$AD$905,($K523-$N$48))),0)))=0,"",IF(AND($P522="",$P523=1),($N$37*-1),0)+IF(AND($Q522="",$Q523=1),($N$38*-1),0)+IF(IF(($K523-$N$48)&lt;1,0,IF(IF(INDEX($AD$176:$AD$905,($K523-$N$48))="",0,INDEX($AD$176:$AD$905,($K523-$N$48)))&gt;0,IF(INDEX($AD$176:$AD$905,($K523-$N$48))="",0,INDEX($AD$176:$AD$905,($K523-$N$48))),0))="",0,IF(($K523-$N$48)&lt;1,0,IF(IF(INDEX($AD$176:$AD$905,($K523-$N$48))="",0,INDEX($AD$176:$AD$905,($K523-$N$48)))&gt;0,IF(INDEX($AD$176:$AD$905,($K523-$N$48))="",0,INDEX($AD$176:$AD$905,($K523-$N$48))),0))))</f>
        <v/>
      </c>
      <c r="AC523" s="22" t="str">
        <f t="shared" si="141"/>
        <v/>
      </c>
      <c r="AD523" s="22" t="str">
        <f t="shared" si="153"/>
        <v/>
      </c>
      <c r="AE523" s="22" t="str" cm="1">
        <f t="array" ref="AE523">IF(($K523-$N$48)&lt;1,"",IF((IF(INDEX($AC$176:$AC$905,($K523-$N$48))="",0,INDEX($AC$176:$AC$905,($K523-$N$48))))=0,"",(IF(INDEX($AC$176:$AC$905,($K523-$N$48))="",0,INDEX($AC$176:$AC$905,($K523-$N$48))))))</f>
        <v/>
      </c>
      <c r="AF523" s="31" t="str">
        <f t="shared" si="142"/>
        <v/>
      </c>
      <c r="AG523" s="31" t="str">
        <f t="shared" si="143"/>
        <v/>
      </c>
      <c r="AH523" s="31" t="str">
        <f t="shared" si="144"/>
        <v/>
      </c>
      <c r="AI523" s="31" t="str">
        <f t="shared" si="145"/>
        <v/>
      </c>
      <c r="AJ523" s="303" t="str">
        <f t="shared" si="146"/>
        <v/>
      </c>
      <c r="AK523" s="139" t="str">
        <f t="shared" si="147"/>
        <v/>
      </c>
      <c r="AM523" s="319"/>
      <c r="AN523" s="40"/>
      <c r="AO523" s="1"/>
    </row>
    <row r="524" spans="7:41" x14ac:dyDescent="0.25">
      <c r="G524" s="235" t="str">
        <f t="shared" si="133"/>
        <v/>
      </c>
      <c r="H524" s="4" t="str">
        <f t="shared" si="134"/>
        <v/>
      </c>
      <c r="I524" s="11" t="str">
        <f t="shared" si="135"/>
        <v>09.00</v>
      </c>
      <c r="K524" s="30">
        <v>349</v>
      </c>
      <c r="L524" s="29">
        <f t="shared" si="148"/>
        <v>11371.908376190917</v>
      </c>
      <c r="M524" s="28" t="str">
        <f t="shared" si="136"/>
        <v/>
      </c>
      <c r="N524" s="27" t="str">
        <f t="shared" si="149"/>
        <v/>
      </c>
      <c r="O524" s="26" t="str">
        <f>IF(AND($Q523=$O$38,IFERROR(LARGE($V$176:$V523,1)&lt;$N$42,TRUE)),1,IF(AND(ISNUMBER($O523),$O523&lt;$N$32),$O523+1,""))</f>
        <v/>
      </c>
      <c r="P524" s="26" t="str">
        <f t="shared" si="150"/>
        <v/>
      </c>
      <c r="Q524" s="26" t="str">
        <f t="shared" si="137"/>
        <v/>
      </c>
      <c r="R524" s="24" t="str">
        <f t="shared" si="151"/>
        <v/>
      </c>
      <c r="S524" s="180">
        <f t="shared" si="152"/>
        <v>9</v>
      </c>
      <c r="T524" s="151"/>
      <c r="U524" s="25" t="str">
        <f t="shared" si="138"/>
        <v/>
      </c>
      <c r="V524" s="24" t="str">
        <f>IF(AND(ISNUMBER(R523),ISNUMBER(R524)),V523,IF(AND(R523="",ISNUMBER(R524)),IFERROR(LARGE($V$176:$V523,1)+1,0),""))</f>
        <v/>
      </c>
      <c r="W524" s="23" t="str">
        <f t="shared" si="139"/>
        <v/>
      </c>
      <c r="X524" s="22" t="str">
        <f t="shared" si="140"/>
        <v/>
      </c>
      <c r="Y524" s="22"/>
      <c r="Z524" s="22"/>
      <c r="AA524" s="22"/>
      <c r="AB524" s="22" t="str" cm="1">
        <f t="array" ref="AB524">IF(IF(AND($P523="",$P524=1),($N$37*-1),0)+IF(AND($Q523="",$Q524=1),($N$38*-1),0)+IF(IF(($K524-$N$48)&lt;1,0,IF(IF(INDEX($AD$176:$AD$905,($K524-$N$48))="",0,INDEX($AD$176:$AD$905,($K524-$N$48)))&gt;0,IF(INDEX($AD$176:$AD$905,($K524-$N$48))="",0,INDEX($AD$176:$AD$905,($K524-$N$48))),0))="",0,IF(($K524-$N$48)&lt;1,0,IF(IF(INDEX($AD$176:$AD$905,($K524-$N$48))="",0,INDEX($AD$176:$AD$905,($K524-$N$48)))&gt;0,IF(INDEX($AD$176:$AD$905,($K524-$N$48))="",0,INDEX($AD$176:$AD$905,($K524-$N$48))),0)))=0,"",IF(AND($P523="",$P524=1),($N$37*-1),0)+IF(AND($Q523="",$Q524=1),($N$38*-1),0)+IF(IF(($K524-$N$48)&lt;1,0,IF(IF(INDEX($AD$176:$AD$905,($K524-$N$48))="",0,INDEX($AD$176:$AD$905,($K524-$N$48)))&gt;0,IF(INDEX($AD$176:$AD$905,($K524-$N$48))="",0,INDEX($AD$176:$AD$905,($K524-$N$48))),0))="",0,IF(($K524-$N$48)&lt;1,0,IF(IF(INDEX($AD$176:$AD$905,($K524-$N$48))="",0,INDEX($AD$176:$AD$905,($K524-$N$48)))&gt;0,IF(INDEX($AD$176:$AD$905,($K524-$N$48))="",0,INDEX($AD$176:$AD$905,($K524-$N$48))),0))))</f>
        <v/>
      </c>
      <c r="AC524" s="22" t="str">
        <f t="shared" si="141"/>
        <v/>
      </c>
      <c r="AD524" s="22" t="str">
        <f t="shared" si="153"/>
        <v/>
      </c>
      <c r="AE524" s="22" t="str" cm="1">
        <f t="array" ref="AE524">IF(($K524-$N$48)&lt;1,"",IF((IF(INDEX($AC$176:$AC$905,($K524-$N$48))="",0,INDEX($AC$176:$AC$905,($K524-$N$48))))=0,"",(IF(INDEX($AC$176:$AC$905,($K524-$N$48))="",0,INDEX($AC$176:$AC$905,($K524-$N$48))))))</f>
        <v/>
      </c>
      <c r="AF524" s="31" t="str">
        <f t="shared" si="142"/>
        <v/>
      </c>
      <c r="AG524" s="31" t="str">
        <f t="shared" si="143"/>
        <v/>
      </c>
      <c r="AH524" s="31" t="str">
        <f t="shared" si="144"/>
        <v/>
      </c>
      <c r="AI524" s="31" t="str">
        <f t="shared" si="145"/>
        <v/>
      </c>
      <c r="AJ524" s="303" t="str">
        <f t="shared" si="146"/>
        <v/>
      </c>
      <c r="AK524" s="139" t="str">
        <f t="shared" si="147"/>
        <v/>
      </c>
      <c r="AM524" s="319"/>
      <c r="AN524" s="40"/>
      <c r="AO524" s="1"/>
    </row>
    <row r="525" spans="7:41" x14ac:dyDescent="0.25">
      <c r="G525" s="235" t="str">
        <f t="shared" si="133"/>
        <v/>
      </c>
      <c r="H525" s="4" t="str">
        <f t="shared" si="134"/>
        <v/>
      </c>
      <c r="I525" s="11" t="str">
        <f t="shared" si="135"/>
        <v>09.00</v>
      </c>
      <c r="K525" s="30">
        <v>350</v>
      </c>
      <c r="L525" s="29">
        <f t="shared" si="148"/>
        <v>11371.908376190917</v>
      </c>
      <c r="M525" s="28" t="str">
        <f t="shared" si="136"/>
        <v/>
      </c>
      <c r="N525" s="27" t="str">
        <f t="shared" si="149"/>
        <v/>
      </c>
      <c r="O525" s="26" t="str">
        <f>IF(AND($Q524=$O$38,IFERROR(LARGE($V$176:$V524,1)&lt;$N$42,TRUE)),1,IF(AND(ISNUMBER($O524),$O524&lt;$N$32),$O524+1,""))</f>
        <v/>
      </c>
      <c r="P525" s="26" t="str">
        <f t="shared" si="150"/>
        <v/>
      </c>
      <c r="Q525" s="26" t="str">
        <f t="shared" si="137"/>
        <v/>
      </c>
      <c r="R525" s="24" t="str">
        <f t="shared" si="151"/>
        <v/>
      </c>
      <c r="S525" s="180">
        <f t="shared" si="152"/>
        <v>9</v>
      </c>
      <c r="T525" s="151"/>
      <c r="U525" s="25" t="str">
        <f t="shared" si="138"/>
        <v/>
      </c>
      <c r="V525" s="24" t="str">
        <f>IF(AND(ISNUMBER(R524),ISNUMBER(R525)),V524,IF(AND(R524="",ISNUMBER(R525)),IFERROR(LARGE($V$176:$V524,1)+1,0),""))</f>
        <v/>
      </c>
      <c r="W525" s="23" t="str">
        <f t="shared" si="139"/>
        <v/>
      </c>
      <c r="X525" s="22" t="str">
        <f t="shared" si="140"/>
        <v/>
      </c>
      <c r="Y525" s="22"/>
      <c r="Z525" s="22"/>
      <c r="AA525" s="22"/>
      <c r="AB525" s="22" t="str" cm="1">
        <f t="array" ref="AB525">IF(IF(AND($P524="",$P525=1),($N$37*-1),0)+IF(AND($Q524="",$Q525=1),($N$38*-1),0)+IF(IF(($K525-$N$48)&lt;1,0,IF(IF(INDEX($AD$176:$AD$905,($K525-$N$48))="",0,INDEX($AD$176:$AD$905,($K525-$N$48)))&gt;0,IF(INDEX($AD$176:$AD$905,($K525-$N$48))="",0,INDEX($AD$176:$AD$905,($K525-$N$48))),0))="",0,IF(($K525-$N$48)&lt;1,0,IF(IF(INDEX($AD$176:$AD$905,($K525-$N$48))="",0,INDEX($AD$176:$AD$905,($K525-$N$48)))&gt;0,IF(INDEX($AD$176:$AD$905,($K525-$N$48))="",0,INDEX($AD$176:$AD$905,($K525-$N$48))),0)))=0,"",IF(AND($P524="",$P525=1),($N$37*-1),0)+IF(AND($Q524="",$Q525=1),($N$38*-1),0)+IF(IF(($K525-$N$48)&lt;1,0,IF(IF(INDEX($AD$176:$AD$905,($K525-$N$48))="",0,INDEX($AD$176:$AD$905,($K525-$N$48)))&gt;0,IF(INDEX($AD$176:$AD$905,($K525-$N$48))="",0,INDEX($AD$176:$AD$905,($K525-$N$48))),0))="",0,IF(($K525-$N$48)&lt;1,0,IF(IF(INDEX($AD$176:$AD$905,($K525-$N$48))="",0,INDEX($AD$176:$AD$905,($K525-$N$48)))&gt;0,IF(INDEX($AD$176:$AD$905,($K525-$N$48))="",0,INDEX($AD$176:$AD$905,($K525-$N$48))),0))))</f>
        <v/>
      </c>
      <c r="AC525" s="22" t="str">
        <f t="shared" si="141"/>
        <v/>
      </c>
      <c r="AD525" s="22" t="str">
        <f t="shared" si="153"/>
        <v/>
      </c>
      <c r="AE525" s="22" t="str" cm="1">
        <f t="array" ref="AE525">IF(($K525-$N$48)&lt;1,"",IF((IF(INDEX($AC$176:$AC$905,($K525-$N$48))="",0,INDEX($AC$176:$AC$905,($K525-$N$48))))=0,"",(IF(INDEX($AC$176:$AC$905,($K525-$N$48))="",0,INDEX($AC$176:$AC$905,($K525-$N$48))))))</f>
        <v/>
      </c>
      <c r="AF525" s="31" t="str">
        <f t="shared" si="142"/>
        <v/>
      </c>
      <c r="AG525" s="31" t="str">
        <f t="shared" si="143"/>
        <v/>
      </c>
      <c r="AH525" s="31" t="str">
        <f t="shared" si="144"/>
        <v/>
      </c>
      <c r="AI525" s="31" t="str">
        <f t="shared" si="145"/>
        <v/>
      </c>
      <c r="AJ525" s="303" t="str">
        <f t="shared" si="146"/>
        <v/>
      </c>
      <c r="AK525" s="139" t="str">
        <f t="shared" si="147"/>
        <v/>
      </c>
      <c r="AM525" s="319"/>
      <c r="AN525" s="40"/>
      <c r="AO525" s="1"/>
    </row>
    <row r="526" spans="7:41" x14ac:dyDescent="0.25">
      <c r="G526" s="235" t="str">
        <f t="shared" ref="G526:G589" si="154">IF(RIGHT(H526,2)=".N","NEW",IF(SUM(N526:R526)=0,"",LEFT(H526,5)))</f>
        <v/>
      </c>
      <c r="H526" s="4" t="str">
        <f t="shared" si="134"/>
        <v/>
      </c>
      <c r="I526" s="11" t="str">
        <f t="shared" si="135"/>
        <v>09.00</v>
      </c>
      <c r="K526" s="30">
        <v>351</v>
      </c>
      <c r="L526" s="29">
        <f t="shared" si="148"/>
        <v>11371.908376190917</v>
      </c>
      <c r="M526" s="28" t="str">
        <f t="shared" si="136"/>
        <v/>
      </c>
      <c r="N526" s="27" t="str">
        <f t="shared" si="149"/>
        <v/>
      </c>
      <c r="O526" s="26" t="str">
        <f>IF(AND($Q525=$O$38,IFERROR(LARGE($V$176:$V525,1)&lt;$N$42,TRUE)),1,IF(AND(ISNUMBER($O525),$O525&lt;$N$32),$O525+1,""))</f>
        <v/>
      </c>
      <c r="P526" s="26" t="str">
        <f t="shared" si="150"/>
        <v/>
      </c>
      <c r="Q526" s="26" t="str">
        <f t="shared" si="137"/>
        <v/>
      </c>
      <c r="R526" s="24" t="str">
        <f t="shared" si="151"/>
        <v/>
      </c>
      <c r="S526" s="180">
        <f t="shared" si="152"/>
        <v>9</v>
      </c>
      <c r="T526" s="151"/>
      <c r="U526" s="25" t="str">
        <f t="shared" si="138"/>
        <v/>
      </c>
      <c r="V526" s="24" t="str">
        <f>IF(AND(ISNUMBER(R525),ISNUMBER(R526)),V525,IF(AND(R525="",ISNUMBER(R526)),IFERROR(LARGE($V$176:$V525,1)+1,0),""))</f>
        <v/>
      </c>
      <c r="W526" s="23" t="str">
        <f t="shared" si="139"/>
        <v/>
      </c>
      <c r="X526" s="22" t="str">
        <f t="shared" si="140"/>
        <v/>
      </c>
      <c r="Y526" s="22"/>
      <c r="Z526" s="22"/>
      <c r="AA526" s="22"/>
      <c r="AB526" s="22" t="str" cm="1">
        <f t="array" ref="AB526">IF(IF(AND($P525="",$P526=1),($N$37*-1),0)+IF(AND($Q525="",$Q526=1),($N$38*-1),0)+IF(IF(($K526-$N$48)&lt;1,0,IF(IF(INDEX($AD$176:$AD$905,($K526-$N$48))="",0,INDEX($AD$176:$AD$905,($K526-$N$48)))&gt;0,IF(INDEX($AD$176:$AD$905,($K526-$N$48))="",0,INDEX($AD$176:$AD$905,($K526-$N$48))),0))="",0,IF(($K526-$N$48)&lt;1,0,IF(IF(INDEX($AD$176:$AD$905,($K526-$N$48))="",0,INDEX($AD$176:$AD$905,($K526-$N$48)))&gt;0,IF(INDEX($AD$176:$AD$905,($K526-$N$48))="",0,INDEX($AD$176:$AD$905,($K526-$N$48))),0)))=0,"",IF(AND($P525="",$P526=1),($N$37*-1),0)+IF(AND($Q525="",$Q526=1),($N$38*-1),0)+IF(IF(($K526-$N$48)&lt;1,0,IF(IF(INDEX($AD$176:$AD$905,($K526-$N$48))="",0,INDEX($AD$176:$AD$905,($K526-$N$48)))&gt;0,IF(INDEX($AD$176:$AD$905,($K526-$N$48))="",0,INDEX($AD$176:$AD$905,($K526-$N$48))),0))="",0,IF(($K526-$N$48)&lt;1,0,IF(IF(INDEX($AD$176:$AD$905,($K526-$N$48))="",0,INDEX($AD$176:$AD$905,($K526-$N$48)))&gt;0,IF(INDEX($AD$176:$AD$905,($K526-$N$48))="",0,INDEX($AD$176:$AD$905,($K526-$N$48))),0))))</f>
        <v/>
      </c>
      <c r="AC526" s="22" t="str">
        <f t="shared" si="141"/>
        <v/>
      </c>
      <c r="AD526" s="22" t="str">
        <f t="shared" si="153"/>
        <v/>
      </c>
      <c r="AE526" s="22" t="str" cm="1">
        <f t="array" ref="AE526">IF(($K526-$N$48)&lt;1,"",IF((IF(INDEX($AC$176:$AC$905,($K526-$N$48))="",0,INDEX($AC$176:$AC$905,($K526-$N$48))))=0,"",(IF(INDEX($AC$176:$AC$905,($K526-$N$48))="",0,INDEX($AC$176:$AC$905,($K526-$N$48))))))</f>
        <v/>
      </c>
      <c r="AF526" s="31" t="str">
        <f t="shared" si="142"/>
        <v/>
      </c>
      <c r="AG526" s="31" t="str">
        <f t="shared" si="143"/>
        <v/>
      </c>
      <c r="AH526" s="31" t="str">
        <f t="shared" si="144"/>
        <v/>
      </c>
      <c r="AI526" s="31" t="str">
        <f t="shared" si="145"/>
        <v/>
      </c>
      <c r="AJ526" s="303" t="str">
        <f t="shared" si="146"/>
        <v/>
      </c>
      <c r="AK526" s="139" t="str">
        <f t="shared" si="147"/>
        <v/>
      </c>
      <c r="AM526" s="319"/>
      <c r="AN526" s="40"/>
      <c r="AO526" s="1"/>
    </row>
    <row r="527" spans="7:41" x14ac:dyDescent="0.25">
      <c r="G527" s="235" t="str">
        <f t="shared" si="154"/>
        <v/>
      </c>
      <c r="H527" s="4" t="str">
        <f t="shared" ref="H527:H590" si="155">IF(SUM(N527:R527)&gt;0,CONCATENATE(IF(LEN(ROUNDDOWN(S527,0))=1,CONCATENATE("0",ROUNDDOWN(S527,0)),ROUNDDOWN(S527,0)),".",IF(LEN(ROUND(MOD(S527,1)*100,0))=1,CONCATENATE("0",ROUND(MOD(S527,1)*100,0)),ROUND(MOD(S527,1)*100,0)),IF(N527&lt;&gt;"",".N",IF(O527&lt;&gt;"",".R",IF(P527&lt;&gt;"",".O",IF(Q527&lt;&gt;"",".I",IF(R527&lt;&gt;"",".D","")))))),"")</f>
        <v/>
      </c>
      <c r="I527" s="11" t="str">
        <f t="shared" si="135"/>
        <v>09.00</v>
      </c>
      <c r="K527" s="30">
        <v>352</v>
      </c>
      <c r="L527" s="29">
        <f t="shared" si="148"/>
        <v>11371.908376190917</v>
      </c>
      <c r="M527" s="28" t="str">
        <f t="shared" si="136"/>
        <v/>
      </c>
      <c r="N527" s="27" t="str">
        <f t="shared" si="149"/>
        <v/>
      </c>
      <c r="O527" s="26" t="str">
        <f>IF(AND($Q526=$O$38,IFERROR(LARGE($V$176:$V526,1)&lt;$N$42,TRUE)),1,IF(AND(ISNUMBER($O526),$O526&lt;$N$32),$O526+1,""))</f>
        <v/>
      </c>
      <c r="P527" s="26" t="str">
        <f t="shared" si="150"/>
        <v/>
      </c>
      <c r="Q527" s="26" t="str">
        <f t="shared" si="137"/>
        <v/>
      </c>
      <c r="R527" s="24" t="str">
        <f t="shared" si="151"/>
        <v/>
      </c>
      <c r="S527" s="180">
        <f t="shared" si="152"/>
        <v>9</v>
      </c>
      <c r="T527" s="151"/>
      <c r="U527" s="25" t="str">
        <f t="shared" si="138"/>
        <v/>
      </c>
      <c r="V527" s="24" t="str">
        <f>IF(AND(ISNUMBER(R526),ISNUMBER(R527)),V526,IF(AND(R526="",ISNUMBER(R527)),IFERROR(LARGE($V$176:$V526,1)+1,0),""))</f>
        <v/>
      </c>
      <c r="W527" s="23" t="str">
        <f t="shared" si="139"/>
        <v/>
      </c>
      <c r="X527" s="22" t="str">
        <f t="shared" si="140"/>
        <v/>
      </c>
      <c r="Y527" s="22"/>
      <c r="Z527" s="22"/>
      <c r="AA527" s="22"/>
      <c r="AB527" s="22" t="str" cm="1">
        <f t="array" ref="AB527">IF(IF(AND($P526="",$P527=1),($N$37*-1),0)+IF(AND($Q526="",$Q527=1),($N$38*-1),0)+IF(IF(($K527-$N$48)&lt;1,0,IF(IF(INDEX($AD$176:$AD$905,($K527-$N$48))="",0,INDEX($AD$176:$AD$905,($K527-$N$48)))&gt;0,IF(INDEX($AD$176:$AD$905,($K527-$N$48))="",0,INDEX($AD$176:$AD$905,($K527-$N$48))),0))="",0,IF(($K527-$N$48)&lt;1,0,IF(IF(INDEX($AD$176:$AD$905,($K527-$N$48))="",0,INDEX($AD$176:$AD$905,($K527-$N$48)))&gt;0,IF(INDEX($AD$176:$AD$905,($K527-$N$48))="",0,INDEX($AD$176:$AD$905,($K527-$N$48))),0)))=0,"",IF(AND($P526="",$P527=1),($N$37*-1),0)+IF(AND($Q526="",$Q527=1),($N$38*-1),0)+IF(IF(($K527-$N$48)&lt;1,0,IF(IF(INDEX($AD$176:$AD$905,($K527-$N$48))="",0,INDEX($AD$176:$AD$905,($K527-$N$48)))&gt;0,IF(INDEX($AD$176:$AD$905,($K527-$N$48))="",0,INDEX($AD$176:$AD$905,($K527-$N$48))),0))="",0,IF(($K527-$N$48)&lt;1,0,IF(IF(INDEX($AD$176:$AD$905,($K527-$N$48))="",0,INDEX($AD$176:$AD$905,($K527-$N$48)))&gt;0,IF(INDEX($AD$176:$AD$905,($K527-$N$48))="",0,INDEX($AD$176:$AD$905,($K527-$N$48))),0))))</f>
        <v/>
      </c>
      <c r="AC527" s="22" t="str">
        <f t="shared" si="141"/>
        <v/>
      </c>
      <c r="AD527" s="22" t="str">
        <f t="shared" si="153"/>
        <v/>
      </c>
      <c r="AE527" s="22" t="str" cm="1">
        <f t="array" ref="AE527">IF(($K527-$N$48)&lt;1,"",IF((IF(INDEX($AC$176:$AC$905,($K527-$N$48))="",0,INDEX($AC$176:$AC$905,($K527-$N$48))))=0,"",(IF(INDEX($AC$176:$AC$905,($K527-$N$48))="",0,INDEX($AC$176:$AC$905,($K527-$N$48))))))</f>
        <v/>
      </c>
      <c r="AF527" s="31" t="str">
        <f t="shared" si="142"/>
        <v/>
      </c>
      <c r="AG527" s="31" t="str">
        <f t="shared" si="143"/>
        <v/>
      </c>
      <c r="AH527" s="31" t="str">
        <f t="shared" si="144"/>
        <v/>
      </c>
      <c r="AI527" s="31" t="str">
        <f t="shared" si="145"/>
        <v/>
      </c>
      <c r="AJ527" s="303" t="str">
        <f t="shared" si="146"/>
        <v/>
      </c>
      <c r="AK527" s="139" t="str">
        <f t="shared" si="147"/>
        <v/>
      </c>
      <c r="AM527" s="319"/>
      <c r="AN527" s="40"/>
      <c r="AO527" s="1"/>
    </row>
    <row r="528" spans="7:41" x14ac:dyDescent="0.25">
      <c r="G528" s="235" t="str">
        <f t="shared" si="154"/>
        <v/>
      </c>
      <c r="H528" s="4" t="str">
        <f t="shared" si="155"/>
        <v/>
      </c>
      <c r="I528" s="11" t="str">
        <f t="shared" si="135"/>
        <v>09.00</v>
      </c>
      <c r="K528" s="30">
        <v>353</v>
      </c>
      <c r="L528" s="29">
        <f t="shared" si="148"/>
        <v>11371.908376190917</v>
      </c>
      <c r="M528" s="28" t="str">
        <f t="shared" si="136"/>
        <v/>
      </c>
      <c r="N528" s="27" t="str">
        <f t="shared" si="149"/>
        <v/>
      </c>
      <c r="O528" s="26" t="str">
        <f>IF(AND($Q527=$O$38,IFERROR(LARGE($V$176:$V527,1)&lt;$N$42,TRUE)),1,IF(AND(ISNUMBER($O527),$O527&lt;$N$32),$O527+1,""))</f>
        <v/>
      </c>
      <c r="P528" s="26" t="str">
        <f t="shared" si="150"/>
        <v/>
      </c>
      <c r="Q528" s="26" t="str">
        <f t="shared" si="137"/>
        <v/>
      </c>
      <c r="R528" s="24" t="str">
        <f t="shared" si="151"/>
        <v/>
      </c>
      <c r="S528" s="180">
        <f t="shared" si="152"/>
        <v>9</v>
      </c>
      <c r="T528" s="151"/>
      <c r="U528" s="25" t="str">
        <f t="shared" si="138"/>
        <v/>
      </c>
      <c r="V528" s="24" t="str">
        <f>IF(AND(ISNUMBER(R527),ISNUMBER(R528)),V527,IF(AND(R527="",ISNUMBER(R528)),IFERROR(LARGE($V$176:$V527,1)+1,0),""))</f>
        <v/>
      </c>
      <c r="W528" s="23" t="str">
        <f t="shared" si="139"/>
        <v/>
      </c>
      <c r="X528" s="22" t="str">
        <f t="shared" si="140"/>
        <v/>
      </c>
      <c r="Y528" s="22"/>
      <c r="Z528" s="22"/>
      <c r="AA528" s="22"/>
      <c r="AB528" s="22" t="str" cm="1">
        <f t="array" ref="AB528">IF(IF(AND($P527="",$P528=1),($N$37*-1),0)+IF(AND($Q527="",$Q528=1),($N$38*-1),0)+IF(IF(($K528-$N$48)&lt;1,0,IF(IF(INDEX($AD$176:$AD$905,($K528-$N$48))="",0,INDEX($AD$176:$AD$905,($K528-$N$48)))&gt;0,IF(INDEX($AD$176:$AD$905,($K528-$N$48))="",0,INDEX($AD$176:$AD$905,($K528-$N$48))),0))="",0,IF(($K528-$N$48)&lt;1,0,IF(IF(INDEX($AD$176:$AD$905,($K528-$N$48))="",0,INDEX($AD$176:$AD$905,($K528-$N$48)))&gt;0,IF(INDEX($AD$176:$AD$905,($K528-$N$48))="",0,INDEX($AD$176:$AD$905,($K528-$N$48))),0)))=0,"",IF(AND($P527="",$P528=1),($N$37*-1),0)+IF(AND($Q527="",$Q528=1),($N$38*-1),0)+IF(IF(($K528-$N$48)&lt;1,0,IF(IF(INDEX($AD$176:$AD$905,($K528-$N$48))="",0,INDEX($AD$176:$AD$905,($K528-$N$48)))&gt;0,IF(INDEX($AD$176:$AD$905,($K528-$N$48))="",0,INDEX($AD$176:$AD$905,($K528-$N$48))),0))="",0,IF(($K528-$N$48)&lt;1,0,IF(IF(INDEX($AD$176:$AD$905,($K528-$N$48))="",0,INDEX($AD$176:$AD$905,($K528-$N$48)))&gt;0,IF(INDEX($AD$176:$AD$905,($K528-$N$48))="",0,INDEX($AD$176:$AD$905,($K528-$N$48))),0))))</f>
        <v/>
      </c>
      <c r="AC528" s="22" t="str">
        <f t="shared" si="141"/>
        <v/>
      </c>
      <c r="AD528" s="22" t="str">
        <f t="shared" si="153"/>
        <v/>
      </c>
      <c r="AE528" s="22" t="str" cm="1">
        <f t="array" ref="AE528">IF(($K528-$N$48)&lt;1,"",IF((IF(INDEX($AC$176:$AC$905,($K528-$N$48))="",0,INDEX($AC$176:$AC$905,($K528-$N$48))))=0,"",(IF(INDEX($AC$176:$AC$905,($K528-$N$48))="",0,INDEX($AC$176:$AC$905,($K528-$N$48))))))</f>
        <v/>
      </c>
      <c r="AF528" s="31" t="str">
        <f t="shared" si="142"/>
        <v/>
      </c>
      <c r="AG528" s="31" t="str">
        <f t="shared" si="143"/>
        <v/>
      </c>
      <c r="AH528" s="31" t="str">
        <f t="shared" si="144"/>
        <v/>
      </c>
      <c r="AI528" s="31" t="str">
        <f t="shared" si="145"/>
        <v/>
      </c>
      <c r="AJ528" s="303" t="str">
        <f t="shared" si="146"/>
        <v/>
      </c>
      <c r="AK528" s="139" t="str">
        <f t="shared" si="147"/>
        <v/>
      </c>
      <c r="AM528" s="319"/>
      <c r="AN528" s="40"/>
      <c r="AO528" s="1"/>
    </row>
    <row r="529" spans="7:41" x14ac:dyDescent="0.25">
      <c r="G529" s="235" t="str">
        <f t="shared" si="154"/>
        <v/>
      </c>
      <c r="H529" s="4" t="str">
        <f t="shared" si="155"/>
        <v/>
      </c>
      <c r="I529" s="11" t="str">
        <f t="shared" si="135"/>
        <v>09.00</v>
      </c>
      <c r="K529" s="30">
        <v>354</v>
      </c>
      <c r="L529" s="29">
        <f t="shared" si="148"/>
        <v>11371.908376190917</v>
      </c>
      <c r="M529" s="28" t="str">
        <f t="shared" si="136"/>
        <v/>
      </c>
      <c r="N529" s="27" t="str">
        <f t="shared" si="149"/>
        <v/>
      </c>
      <c r="O529" s="26" t="str">
        <f>IF(AND($Q528=$O$38,IFERROR(LARGE($V$176:$V528,1)&lt;$N$42,TRUE)),1,IF(AND(ISNUMBER($O528),$O528&lt;$N$32),$O528+1,""))</f>
        <v/>
      </c>
      <c r="P529" s="26" t="str">
        <f t="shared" si="150"/>
        <v/>
      </c>
      <c r="Q529" s="26" t="str">
        <f t="shared" si="137"/>
        <v/>
      </c>
      <c r="R529" s="24" t="str">
        <f t="shared" si="151"/>
        <v/>
      </c>
      <c r="S529" s="180">
        <f t="shared" si="152"/>
        <v>9</v>
      </c>
      <c r="T529" s="151"/>
      <c r="U529" s="25" t="str">
        <f t="shared" si="138"/>
        <v/>
      </c>
      <c r="V529" s="24" t="str">
        <f>IF(AND(ISNUMBER(R528),ISNUMBER(R529)),V528,IF(AND(R528="",ISNUMBER(R529)),IFERROR(LARGE($V$176:$V528,1)+1,0),""))</f>
        <v/>
      </c>
      <c r="W529" s="23" t="str">
        <f t="shared" si="139"/>
        <v/>
      </c>
      <c r="X529" s="22" t="str">
        <f t="shared" si="140"/>
        <v/>
      </c>
      <c r="Y529" s="22"/>
      <c r="Z529" s="22"/>
      <c r="AA529" s="22"/>
      <c r="AB529" s="22" t="str" cm="1">
        <f t="array" ref="AB529">IF(IF(AND($P528="",$P529=1),($N$37*-1),0)+IF(AND($Q528="",$Q529=1),($N$38*-1),0)+IF(IF(($K529-$N$48)&lt;1,0,IF(IF(INDEX($AD$176:$AD$905,($K529-$N$48))="",0,INDEX($AD$176:$AD$905,($K529-$N$48)))&gt;0,IF(INDEX($AD$176:$AD$905,($K529-$N$48))="",0,INDEX($AD$176:$AD$905,($K529-$N$48))),0))="",0,IF(($K529-$N$48)&lt;1,0,IF(IF(INDEX($AD$176:$AD$905,($K529-$N$48))="",0,INDEX($AD$176:$AD$905,($K529-$N$48)))&gt;0,IF(INDEX($AD$176:$AD$905,($K529-$N$48))="",0,INDEX($AD$176:$AD$905,($K529-$N$48))),0)))=0,"",IF(AND($P528="",$P529=1),($N$37*-1),0)+IF(AND($Q528="",$Q529=1),($N$38*-1),0)+IF(IF(($K529-$N$48)&lt;1,0,IF(IF(INDEX($AD$176:$AD$905,($K529-$N$48))="",0,INDEX($AD$176:$AD$905,($K529-$N$48)))&gt;0,IF(INDEX($AD$176:$AD$905,($K529-$N$48))="",0,INDEX($AD$176:$AD$905,($K529-$N$48))),0))="",0,IF(($K529-$N$48)&lt;1,0,IF(IF(INDEX($AD$176:$AD$905,($K529-$N$48))="",0,INDEX($AD$176:$AD$905,($K529-$N$48)))&gt;0,IF(INDEX($AD$176:$AD$905,($K529-$N$48))="",0,INDEX($AD$176:$AD$905,($K529-$N$48))),0))))</f>
        <v/>
      </c>
      <c r="AC529" s="22" t="str">
        <f t="shared" si="141"/>
        <v/>
      </c>
      <c r="AD529" s="22" t="str">
        <f t="shared" si="153"/>
        <v/>
      </c>
      <c r="AE529" s="22" t="str" cm="1">
        <f t="array" ref="AE529">IF(($K529-$N$48)&lt;1,"",IF((IF(INDEX($AC$176:$AC$905,($K529-$N$48))="",0,INDEX($AC$176:$AC$905,($K529-$N$48))))=0,"",(IF(INDEX($AC$176:$AC$905,($K529-$N$48))="",0,INDEX($AC$176:$AC$905,($K529-$N$48))))))</f>
        <v/>
      </c>
      <c r="AF529" s="31" t="str">
        <f t="shared" si="142"/>
        <v/>
      </c>
      <c r="AG529" s="31" t="str">
        <f t="shared" si="143"/>
        <v/>
      </c>
      <c r="AH529" s="31" t="str">
        <f t="shared" si="144"/>
        <v/>
      </c>
      <c r="AI529" s="31" t="str">
        <f t="shared" si="145"/>
        <v/>
      </c>
      <c r="AJ529" s="303" t="str">
        <f t="shared" si="146"/>
        <v/>
      </c>
      <c r="AK529" s="139" t="str">
        <f t="shared" si="147"/>
        <v/>
      </c>
      <c r="AM529" s="319"/>
      <c r="AN529" s="40"/>
      <c r="AO529" s="1"/>
    </row>
    <row r="530" spans="7:41" x14ac:dyDescent="0.25">
      <c r="G530" s="235" t="str">
        <f t="shared" si="154"/>
        <v/>
      </c>
      <c r="H530" s="4" t="str">
        <f t="shared" si="155"/>
        <v/>
      </c>
      <c r="I530" s="11" t="str">
        <f t="shared" si="135"/>
        <v>09.00</v>
      </c>
      <c r="K530" s="30">
        <v>355</v>
      </c>
      <c r="L530" s="29">
        <f t="shared" si="148"/>
        <v>11371.908376190917</v>
      </c>
      <c r="M530" s="28" t="str">
        <f t="shared" si="136"/>
        <v/>
      </c>
      <c r="N530" s="27" t="str">
        <f t="shared" si="149"/>
        <v/>
      </c>
      <c r="O530" s="26" t="str">
        <f>IF(AND($Q529=$O$38,IFERROR(LARGE($V$176:$V529,1)&lt;$N$42,TRUE)),1,IF(AND(ISNUMBER($O529),$O529&lt;$N$32),$O529+1,""))</f>
        <v/>
      </c>
      <c r="P530" s="26" t="str">
        <f t="shared" si="150"/>
        <v/>
      </c>
      <c r="Q530" s="26" t="str">
        <f t="shared" si="137"/>
        <v/>
      </c>
      <c r="R530" s="24" t="str">
        <f t="shared" si="151"/>
        <v/>
      </c>
      <c r="S530" s="180">
        <f t="shared" si="152"/>
        <v>9</v>
      </c>
      <c r="T530" s="151"/>
      <c r="U530" s="25" t="str">
        <f t="shared" si="138"/>
        <v/>
      </c>
      <c r="V530" s="24" t="str">
        <f>IF(AND(ISNUMBER(R529),ISNUMBER(R530)),V529,IF(AND(R529="",ISNUMBER(R530)),IFERROR(LARGE($V$176:$V529,1)+1,0),""))</f>
        <v/>
      </c>
      <c r="W530" s="23" t="str">
        <f t="shared" si="139"/>
        <v/>
      </c>
      <c r="X530" s="22" t="str">
        <f t="shared" si="140"/>
        <v/>
      </c>
      <c r="Y530" s="22"/>
      <c r="Z530" s="22"/>
      <c r="AA530" s="22"/>
      <c r="AB530" s="22" t="str" cm="1">
        <f t="array" ref="AB530">IF(IF(AND($P529="",$P530=1),($N$37*-1),0)+IF(AND($Q529="",$Q530=1),($N$38*-1),0)+IF(IF(($K530-$N$48)&lt;1,0,IF(IF(INDEX($AD$176:$AD$905,($K530-$N$48))="",0,INDEX($AD$176:$AD$905,($K530-$N$48)))&gt;0,IF(INDEX($AD$176:$AD$905,($K530-$N$48))="",0,INDEX($AD$176:$AD$905,($K530-$N$48))),0))="",0,IF(($K530-$N$48)&lt;1,0,IF(IF(INDEX($AD$176:$AD$905,($K530-$N$48))="",0,INDEX($AD$176:$AD$905,($K530-$N$48)))&gt;0,IF(INDEX($AD$176:$AD$905,($K530-$N$48))="",0,INDEX($AD$176:$AD$905,($K530-$N$48))),0)))=0,"",IF(AND($P529="",$P530=1),($N$37*-1),0)+IF(AND($Q529="",$Q530=1),($N$38*-1),0)+IF(IF(($K530-$N$48)&lt;1,0,IF(IF(INDEX($AD$176:$AD$905,($K530-$N$48))="",0,INDEX($AD$176:$AD$905,($K530-$N$48)))&gt;0,IF(INDEX($AD$176:$AD$905,($K530-$N$48))="",0,INDEX($AD$176:$AD$905,($K530-$N$48))),0))="",0,IF(($K530-$N$48)&lt;1,0,IF(IF(INDEX($AD$176:$AD$905,($K530-$N$48))="",0,INDEX($AD$176:$AD$905,($K530-$N$48)))&gt;0,IF(INDEX($AD$176:$AD$905,($K530-$N$48))="",0,INDEX($AD$176:$AD$905,($K530-$N$48))),0))))</f>
        <v/>
      </c>
      <c r="AC530" s="22" t="str">
        <f t="shared" si="141"/>
        <v/>
      </c>
      <c r="AD530" s="22" t="str">
        <f t="shared" si="153"/>
        <v/>
      </c>
      <c r="AE530" s="22" t="str" cm="1">
        <f t="array" ref="AE530">IF(($K530-$N$48)&lt;1,"",IF((IF(INDEX($AC$176:$AC$905,($K530-$N$48))="",0,INDEX($AC$176:$AC$905,($K530-$N$48))))=0,"",(IF(INDEX($AC$176:$AC$905,($K530-$N$48))="",0,INDEX($AC$176:$AC$905,($K530-$N$48))))))</f>
        <v/>
      </c>
      <c r="AF530" s="31" t="str">
        <f t="shared" si="142"/>
        <v/>
      </c>
      <c r="AG530" s="31" t="str">
        <f t="shared" si="143"/>
        <v/>
      </c>
      <c r="AH530" s="31" t="str">
        <f t="shared" si="144"/>
        <v/>
      </c>
      <c r="AI530" s="31" t="str">
        <f t="shared" si="145"/>
        <v/>
      </c>
      <c r="AJ530" s="303" t="str">
        <f t="shared" si="146"/>
        <v/>
      </c>
      <c r="AK530" s="139" t="str">
        <f t="shared" si="147"/>
        <v/>
      </c>
      <c r="AM530" s="319"/>
      <c r="AN530" s="40"/>
      <c r="AO530" s="1"/>
    </row>
    <row r="531" spans="7:41" x14ac:dyDescent="0.25">
      <c r="G531" s="235" t="str">
        <f t="shared" si="154"/>
        <v/>
      </c>
      <c r="H531" s="4" t="str">
        <f t="shared" si="155"/>
        <v/>
      </c>
      <c r="I531" s="11" t="str">
        <f t="shared" si="135"/>
        <v>09.00</v>
      </c>
      <c r="K531" s="30">
        <v>356</v>
      </c>
      <c r="L531" s="29">
        <f t="shared" si="148"/>
        <v>11371.908376190917</v>
      </c>
      <c r="M531" s="28" t="str">
        <f t="shared" si="136"/>
        <v/>
      </c>
      <c r="N531" s="27" t="str">
        <f t="shared" si="149"/>
        <v/>
      </c>
      <c r="O531" s="26" t="str">
        <f>IF(AND($Q530=$O$38,IFERROR(LARGE($V$176:$V530,1)&lt;$N$42,TRUE)),1,IF(AND(ISNUMBER($O530),$O530&lt;$N$32),$O530+1,""))</f>
        <v/>
      </c>
      <c r="P531" s="26" t="str">
        <f t="shared" si="150"/>
        <v/>
      </c>
      <c r="Q531" s="26" t="str">
        <f t="shared" si="137"/>
        <v/>
      </c>
      <c r="R531" s="24" t="str">
        <f t="shared" si="151"/>
        <v/>
      </c>
      <c r="S531" s="180">
        <f t="shared" si="152"/>
        <v>9</v>
      </c>
      <c r="T531" s="151"/>
      <c r="U531" s="25" t="str">
        <f t="shared" si="138"/>
        <v/>
      </c>
      <c r="V531" s="24" t="str">
        <f>IF(AND(ISNUMBER(R530),ISNUMBER(R531)),V530,IF(AND(R530="",ISNUMBER(R531)),IFERROR(LARGE($V$176:$V530,1)+1,0),""))</f>
        <v/>
      </c>
      <c r="W531" s="23" t="str">
        <f t="shared" si="139"/>
        <v/>
      </c>
      <c r="X531" s="22" t="str">
        <f t="shared" si="140"/>
        <v/>
      </c>
      <c r="Y531" s="22"/>
      <c r="Z531" s="22"/>
      <c r="AA531" s="22"/>
      <c r="AB531" s="22" t="str" cm="1">
        <f t="array" ref="AB531">IF(IF(AND($P530="",$P531=1),($N$37*-1),0)+IF(AND($Q530="",$Q531=1),($N$38*-1),0)+IF(IF(($K531-$N$48)&lt;1,0,IF(IF(INDEX($AD$176:$AD$905,($K531-$N$48))="",0,INDEX($AD$176:$AD$905,($K531-$N$48)))&gt;0,IF(INDEX($AD$176:$AD$905,($K531-$N$48))="",0,INDEX($AD$176:$AD$905,($K531-$N$48))),0))="",0,IF(($K531-$N$48)&lt;1,0,IF(IF(INDEX($AD$176:$AD$905,($K531-$N$48))="",0,INDEX($AD$176:$AD$905,($K531-$N$48)))&gt;0,IF(INDEX($AD$176:$AD$905,($K531-$N$48))="",0,INDEX($AD$176:$AD$905,($K531-$N$48))),0)))=0,"",IF(AND($P530="",$P531=1),($N$37*-1),0)+IF(AND($Q530="",$Q531=1),($N$38*-1),0)+IF(IF(($K531-$N$48)&lt;1,0,IF(IF(INDEX($AD$176:$AD$905,($K531-$N$48))="",0,INDEX($AD$176:$AD$905,($K531-$N$48)))&gt;0,IF(INDEX($AD$176:$AD$905,($K531-$N$48))="",0,INDEX($AD$176:$AD$905,($K531-$N$48))),0))="",0,IF(($K531-$N$48)&lt;1,0,IF(IF(INDEX($AD$176:$AD$905,($K531-$N$48))="",0,INDEX($AD$176:$AD$905,($K531-$N$48)))&gt;0,IF(INDEX($AD$176:$AD$905,($K531-$N$48))="",0,INDEX($AD$176:$AD$905,($K531-$N$48))),0))))</f>
        <v/>
      </c>
      <c r="AC531" s="22" t="str">
        <f t="shared" si="141"/>
        <v/>
      </c>
      <c r="AD531" s="22" t="str">
        <f t="shared" si="153"/>
        <v/>
      </c>
      <c r="AE531" s="22" t="str" cm="1">
        <f t="array" ref="AE531">IF(($K531-$N$48)&lt;1,"",IF((IF(INDEX($AC$176:$AC$905,($K531-$N$48))="",0,INDEX($AC$176:$AC$905,($K531-$N$48))))=0,"",(IF(INDEX($AC$176:$AC$905,($K531-$N$48))="",0,INDEX($AC$176:$AC$905,($K531-$N$48))))))</f>
        <v/>
      </c>
      <c r="AF531" s="31" t="str">
        <f t="shared" si="142"/>
        <v/>
      </c>
      <c r="AG531" s="31" t="str">
        <f t="shared" si="143"/>
        <v/>
      </c>
      <c r="AH531" s="31" t="str">
        <f t="shared" si="144"/>
        <v/>
      </c>
      <c r="AI531" s="31" t="str">
        <f t="shared" si="145"/>
        <v/>
      </c>
      <c r="AJ531" s="303" t="str">
        <f t="shared" si="146"/>
        <v/>
      </c>
      <c r="AK531" s="139" t="str">
        <f t="shared" si="147"/>
        <v/>
      </c>
      <c r="AM531" s="319"/>
      <c r="AN531" s="40"/>
      <c r="AO531" s="1"/>
    </row>
    <row r="532" spans="7:41" x14ac:dyDescent="0.25">
      <c r="G532" s="235" t="str">
        <f t="shared" si="154"/>
        <v/>
      </c>
      <c r="H532" s="4" t="str">
        <f t="shared" si="155"/>
        <v/>
      </c>
      <c r="I532" s="11" t="str">
        <f t="shared" si="135"/>
        <v>09.00</v>
      </c>
      <c r="K532" s="30">
        <v>357</v>
      </c>
      <c r="L532" s="29">
        <f t="shared" si="148"/>
        <v>11371.908376190917</v>
      </c>
      <c r="M532" s="28" t="str">
        <f t="shared" si="136"/>
        <v/>
      </c>
      <c r="N532" s="27" t="str">
        <f t="shared" si="149"/>
        <v/>
      </c>
      <c r="O532" s="26" t="str">
        <f>IF(AND($Q531=$O$38,IFERROR(LARGE($V$176:$V531,1)&lt;$N$42,TRUE)),1,IF(AND(ISNUMBER($O531),$O531&lt;$N$32),$O531+1,""))</f>
        <v/>
      </c>
      <c r="P532" s="26" t="str">
        <f t="shared" si="150"/>
        <v/>
      </c>
      <c r="Q532" s="26" t="str">
        <f t="shared" si="137"/>
        <v/>
      </c>
      <c r="R532" s="24" t="str">
        <f t="shared" si="151"/>
        <v/>
      </c>
      <c r="S532" s="180">
        <f t="shared" si="152"/>
        <v>9</v>
      </c>
      <c r="T532" s="151"/>
      <c r="U532" s="25" t="str">
        <f t="shared" si="138"/>
        <v/>
      </c>
      <c r="V532" s="24" t="str">
        <f>IF(AND(ISNUMBER(R531),ISNUMBER(R532)),V531,IF(AND(R531="",ISNUMBER(R532)),IFERROR(LARGE($V$176:$V531,1)+1,0),""))</f>
        <v/>
      </c>
      <c r="W532" s="23" t="str">
        <f t="shared" si="139"/>
        <v/>
      </c>
      <c r="X532" s="22" t="str">
        <f t="shared" si="140"/>
        <v/>
      </c>
      <c r="Y532" s="22"/>
      <c r="Z532" s="22"/>
      <c r="AA532" s="22"/>
      <c r="AB532" s="22" t="str" cm="1">
        <f t="array" ref="AB532">IF(IF(AND($P531="",$P532=1),($N$37*-1),0)+IF(AND($Q531="",$Q532=1),($N$38*-1),0)+IF(IF(($K532-$N$48)&lt;1,0,IF(IF(INDEX($AD$176:$AD$905,($K532-$N$48))="",0,INDEX($AD$176:$AD$905,($K532-$N$48)))&gt;0,IF(INDEX($AD$176:$AD$905,($K532-$N$48))="",0,INDEX($AD$176:$AD$905,($K532-$N$48))),0))="",0,IF(($K532-$N$48)&lt;1,0,IF(IF(INDEX($AD$176:$AD$905,($K532-$N$48))="",0,INDEX($AD$176:$AD$905,($K532-$N$48)))&gt;0,IF(INDEX($AD$176:$AD$905,($K532-$N$48))="",0,INDEX($AD$176:$AD$905,($K532-$N$48))),0)))=0,"",IF(AND($P531="",$P532=1),($N$37*-1),0)+IF(AND($Q531="",$Q532=1),($N$38*-1),0)+IF(IF(($K532-$N$48)&lt;1,0,IF(IF(INDEX($AD$176:$AD$905,($K532-$N$48))="",0,INDEX($AD$176:$AD$905,($K532-$N$48)))&gt;0,IF(INDEX($AD$176:$AD$905,($K532-$N$48))="",0,INDEX($AD$176:$AD$905,($K532-$N$48))),0))="",0,IF(($K532-$N$48)&lt;1,0,IF(IF(INDEX($AD$176:$AD$905,($K532-$N$48))="",0,INDEX($AD$176:$AD$905,($K532-$N$48)))&gt;0,IF(INDEX($AD$176:$AD$905,($K532-$N$48))="",0,INDEX($AD$176:$AD$905,($K532-$N$48))),0))))</f>
        <v/>
      </c>
      <c r="AC532" s="22" t="str">
        <f t="shared" si="141"/>
        <v/>
      </c>
      <c r="AD532" s="22" t="str">
        <f t="shared" si="153"/>
        <v/>
      </c>
      <c r="AE532" s="22" t="str" cm="1">
        <f t="array" ref="AE532">IF(($K532-$N$48)&lt;1,"",IF((IF(INDEX($AC$176:$AC$905,($K532-$N$48))="",0,INDEX($AC$176:$AC$905,($K532-$N$48))))=0,"",(IF(INDEX($AC$176:$AC$905,($K532-$N$48))="",0,INDEX($AC$176:$AC$905,($K532-$N$48))))))</f>
        <v/>
      </c>
      <c r="AF532" s="31" t="str">
        <f t="shared" si="142"/>
        <v/>
      </c>
      <c r="AG532" s="31" t="str">
        <f t="shared" si="143"/>
        <v/>
      </c>
      <c r="AH532" s="31" t="str">
        <f t="shared" si="144"/>
        <v/>
      </c>
      <c r="AI532" s="31" t="str">
        <f t="shared" si="145"/>
        <v/>
      </c>
      <c r="AJ532" s="303" t="str">
        <f t="shared" si="146"/>
        <v/>
      </c>
      <c r="AK532" s="139" t="str">
        <f t="shared" si="147"/>
        <v/>
      </c>
      <c r="AM532" s="319"/>
      <c r="AN532" s="40"/>
      <c r="AO532" s="1"/>
    </row>
    <row r="533" spans="7:41" x14ac:dyDescent="0.25">
      <c r="G533" s="235" t="str">
        <f t="shared" si="154"/>
        <v/>
      </c>
      <c r="H533" s="4" t="str">
        <f t="shared" si="155"/>
        <v/>
      </c>
      <c r="I533" s="11" t="str">
        <f t="shared" si="135"/>
        <v>09.00</v>
      </c>
      <c r="K533" s="30">
        <v>358</v>
      </c>
      <c r="L533" s="29">
        <f t="shared" si="148"/>
        <v>11371.908376190917</v>
      </c>
      <c r="M533" s="28" t="str">
        <f t="shared" si="136"/>
        <v/>
      </c>
      <c r="N533" s="27" t="str">
        <f t="shared" si="149"/>
        <v/>
      </c>
      <c r="O533" s="26" t="str">
        <f>IF(AND($Q532=$O$38,IFERROR(LARGE($V$176:$V532,1)&lt;$N$42,TRUE)),1,IF(AND(ISNUMBER($O532),$O532&lt;$N$32),$O532+1,""))</f>
        <v/>
      </c>
      <c r="P533" s="26" t="str">
        <f t="shared" si="150"/>
        <v/>
      </c>
      <c r="Q533" s="26" t="str">
        <f t="shared" si="137"/>
        <v/>
      </c>
      <c r="R533" s="24" t="str">
        <f t="shared" si="151"/>
        <v/>
      </c>
      <c r="S533" s="180">
        <f t="shared" si="152"/>
        <v>9</v>
      </c>
      <c r="T533" s="151"/>
      <c r="U533" s="25" t="str">
        <f t="shared" si="138"/>
        <v/>
      </c>
      <c r="V533" s="24" t="str">
        <f>IF(AND(ISNUMBER(R532),ISNUMBER(R533)),V532,IF(AND(R532="",ISNUMBER(R533)),IFERROR(LARGE($V$176:$V532,1)+1,0),""))</f>
        <v/>
      </c>
      <c r="W533" s="23" t="str">
        <f t="shared" si="139"/>
        <v/>
      </c>
      <c r="X533" s="22" t="str">
        <f t="shared" si="140"/>
        <v/>
      </c>
      <c r="Y533" s="22"/>
      <c r="Z533" s="22"/>
      <c r="AA533" s="22"/>
      <c r="AB533" s="22" t="str" cm="1">
        <f t="array" ref="AB533">IF(IF(AND($P532="",$P533=1),($N$37*-1),0)+IF(AND($Q532="",$Q533=1),($N$38*-1),0)+IF(IF(($K533-$N$48)&lt;1,0,IF(IF(INDEX($AD$176:$AD$905,($K533-$N$48))="",0,INDEX($AD$176:$AD$905,($K533-$N$48)))&gt;0,IF(INDEX($AD$176:$AD$905,($K533-$N$48))="",0,INDEX($AD$176:$AD$905,($K533-$N$48))),0))="",0,IF(($K533-$N$48)&lt;1,0,IF(IF(INDEX($AD$176:$AD$905,($K533-$N$48))="",0,INDEX($AD$176:$AD$905,($K533-$N$48)))&gt;0,IF(INDEX($AD$176:$AD$905,($K533-$N$48))="",0,INDEX($AD$176:$AD$905,($K533-$N$48))),0)))=0,"",IF(AND($P532="",$P533=1),($N$37*-1),0)+IF(AND($Q532="",$Q533=1),($N$38*-1),0)+IF(IF(($K533-$N$48)&lt;1,0,IF(IF(INDEX($AD$176:$AD$905,($K533-$N$48))="",0,INDEX($AD$176:$AD$905,($K533-$N$48)))&gt;0,IF(INDEX($AD$176:$AD$905,($K533-$N$48))="",0,INDEX($AD$176:$AD$905,($K533-$N$48))),0))="",0,IF(($K533-$N$48)&lt;1,0,IF(IF(INDEX($AD$176:$AD$905,($K533-$N$48))="",0,INDEX($AD$176:$AD$905,($K533-$N$48)))&gt;0,IF(INDEX($AD$176:$AD$905,($K533-$N$48))="",0,INDEX($AD$176:$AD$905,($K533-$N$48))),0))))</f>
        <v/>
      </c>
      <c r="AC533" s="22" t="str">
        <f t="shared" si="141"/>
        <v/>
      </c>
      <c r="AD533" s="22" t="str">
        <f t="shared" si="153"/>
        <v/>
      </c>
      <c r="AE533" s="22" t="str" cm="1">
        <f t="array" ref="AE533">IF(($K533-$N$48)&lt;1,"",IF((IF(INDEX($AC$176:$AC$905,($K533-$N$48))="",0,INDEX($AC$176:$AC$905,($K533-$N$48))))=0,"",(IF(INDEX($AC$176:$AC$905,($K533-$N$48))="",0,INDEX($AC$176:$AC$905,($K533-$N$48))))))</f>
        <v/>
      </c>
      <c r="AF533" s="31" t="str">
        <f t="shared" si="142"/>
        <v/>
      </c>
      <c r="AG533" s="31" t="str">
        <f t="shared" si="143"/>
        <v/>
      </c>
      <c r="AH533" s="31" t="str">
        <f t="shared" si="144"/>
        <v/>
      </c>
      <c r="AI533" s="31" t="str">
        <f t="shared" si="145"/>
        <v/>
      </c>
      <c r="AJ533" s="303" t="str">
        <f t="shared" si="146"/>
        <v/>
      </c>
      <c r="AK533" s="139" t="str">
        <f t="shared" si="147"/>
        <v/>
      </c>
      <c r="AM533" s="319"/>
      <c r="AN533" s="40"/>
      <c r="AO533" s="1"/>
    </row>
    <row r="534" spans="7:41" x14ac:dyDescent="0.25">
      <c r="G534" s="235" t="str">
        <f t="shared" si="154"/>
        <v/>
      </c>
      <c r="H534" s="4" t="str">
        <f t="shared" si="155"/>
        <v/>
      </c>
      <c r="I534" s="11" t="str">
        <f t="shared" si="135"/>
        <v>09.00</v>
      </c>
      <c r="K534" s="30">
        <v>359</v>
      </c>
      <c r="L534" s="29">
        <f t="shared" si="148"/>
        <v>11371.908376190917</v>
      </c>
      <c r="M534" s="28" t="str">
        <f t="shared" si="136"/>
        <v/>
      </c>
      <c r="N534" s="27" t="str">
        <f t="shared" si="149"/>
        <v/>
      </c>
      <c r="O534" s="26" t="str">
        <f>IF(AND($Q533=$O$38,IFERROR(LARGE($V$176:$V533,1)&lt;$N$42,TRUE)),1,IF(AND(ISNUMBER($O533),$O533&lt;$N$32),$O533+1,""))</f>
        <v/>
      </c>
      <c r="P534" s="26" t="str">
        <f t="shared" si="150"/>
        <v/>
      </c>
      <c r="Q534" s="26" t="str">
        <f t="shared" si="137"/>
        <v/>
      </c>
      <c r="R534" s="24" t="str">
        <f t="shared" si="151"/>
        <v/>
      </c>
      <c r="S534" s="180">
        <f t="shared" si="152"/>
        <v>9</v>
      </c>
      <c r="T534" s="151"/>
      <c r="U534" s="25" t="str">
        <f t="shared" si="138"/>
        <v/>
      </c>
      <c r="V534" s="24" t="str">
        <f>IF(AND(ISNUMBER(R533),ISNUMBER(R534)),V533,IF(AND(R533="",ISNUMBER(R534)),IFERROR(LARGE($V$176:$V533,1)+1,0),""))</f>
        <v/>
      </c>
      <c r="W534" s="23" t="str">
        <f t="shared" si="139"/>
        <v/>
      </c>
      <c r="X534" s="22" t="str">
        <f t="shared" si="140"/>
        <v/>
      </c>
      <c r="Y534" s="22"/>
      <c r="Z534" s="22"/>
      <c r="AA534" s="22"/>
      <c r="AB534" s="22" t="str" cm="1">
        <f t="array" ref="AB534">IF(IF(AND($P533="",$P534=1),($N$37*-1),0)+IF(AND($Q533="",$Q534=1),($N$38*-1),0)+IF(IF(($K534-$N$48)&lt;1,0,IF(IF(INDEX($AD$176:$AD$905,($K534-$N$48))="",0,INDEX($AD$176:$AD$905,($K534-$N$48)))&gt;0,IF(INDEX($AD$176:$AD$905,($K534-$N$48))="",0,INDEX($AD$176:$AD$905,($K534-$N$48))),0))="",0,IF(($K534-$N$48)&lt;1,0,IF(IF(INDEX($AD$176:$AD$905,($K534-$N$48))="",0,INDEX($AD$176:$AD$905,($K534-$N$48)))&gt;0,IF(INDEX($AD$176:$AD$905,($K534-$N$48))="",0,INDEX($AD$176:$AD$905,($K534-$N$48))),0)))=0,"",IF(AND($P533="",$P534=1),($N$37*-1),0)+IF(AND($Q533="",$Q534=1),($N$38*-1),0)+IF(IF(($K534-$N$48)&lt;1,0,IF(IF(INDEX($AD$176:$AD$905,($K534-$N$48))="",0,INDEX($AD$176:$AD$905,($K534-$N$48)))&gt;0,IF(INDEX($AD$176:$AD$905,($K534-$N$48))="",0,INDEX($AD$176:$AD$905,($K534-$N$48))),0))="",0,IF(($K534-$N$48)&lt;1,0,IF(IF(INDEX($AD$176:$AD$905,($K534-$N$48))="",0,INDEX($AD$176:$AD$905,($K534-$N$48)))&gt;0,IF(INDEX($AD$176:$AD$905,($K534-$N$48))="",0,INDEX($AD$176:$AD$905,($K534-$N$48))),0))))</f>
        <v/>
      </c>
      <c r="AC534" s="22" t="str">
        <f t="shared" si="141"/>
        <v/>
      </c>
      <c r="AD534" s="22" t="str">
        <f t="shared" si="153"/>
        <v/>
      </c>
      <c r="AE534" s="22" t="str" cm="1">
        <f t="array" ref="AE534">IF(($K534-$N$48)&lt;1,"",IF((IF(INDEX($AC$176:$AC$905,($K534-$N$48))="",0,INDEX($AC$176:$AC$905,($K534-$N$48))))=0,"",(IF(INDEX($AC$176:$AC$905,($K534-$N$48))="",0,INDEX($AC$176:$AC$905,($K534-$N$48))))))</f>
        <v/>
      </c>
      <c r="AF534" s="31" t="str">
        <f t="shared" si="142"/>
        <v/>
      </c>
      <c r="AG534" s="31" t="str">
        <f t="shared" si="143"/>
        <v/>
      </c>
      <c r="AH534" s="31" t="str">
        <f t="shared" si="144"/>
        <v/>
      </c>
      <c r="AI534" s="31" t="str">
        <f t="shared" si="145"/>
        <v/>
      </c>
      <c r="AJ534" s="303" t="str">
        <f t="shared" si="146"/>
        <v/>
      </c>
      <c r="AK534" s="139" t="str">
        <f t="shared" si="147"/>
        <v/>
      </c>
      <c r="AM534" s="319"/>
      <c r="AN534" s="40"/>
      <c r="AO534" s="1"/>
    </row>
    <row r="535" spans="7:41" x14ac:dyDescent="0.25">
      <c r="G535" s="235" t="str">
        <f t="shared" si="154"/>
        <v/>
      </c>
      <c r="H535" s="4" t="str">
        <f t="shared" si="155"/>
        <v/>
      </c>
      <c r="I535" s="11" t="str">
        <f t="shared" si="135"/>
        <v>09.00</v>
      </c>
      <c r="K535" s="30">
        <v>360</v>
      </c>
      <c r="L535" s="29">
        <f t="shared" si="148"/>
        <v>11371.908376190917</v>
      </c>
      <c r="M535" s="28" t="str">
        <f t="shared" si="136"/>
        <v/>
      </c>
      <c r="N535" s="27" t="str">
        <f t="shared" si="149"/>
        <v/>
      </c>
      <c r="O535" s="26" t="str">
        <f>IF(AND($Q534=$O$38,IFERROR(LARGE($V$176:$V534,1)&lt;$N$42,TRUE)),1,IF(AND(ISNUMBER($O534),$O534&lt;$N$32),$O534+1,""))</f>
        <v/>
      </c>
      <c r="P535" s="26" t="str">
        <f t="shared" si="150"/>
        <v/>
      </c>
      <c r="Q535" s="26" t="str">
        <f t="shared" si="137"/>
        <v/>
      </c>
      <c r="R535" s="24" t="str">
        <f t="shared" si="151"/>
        <v/>
      </c>
      <c r="S535" s="180">
        <f t="shared" si="152"/>
        <v>9</v>
      </c>
      <c r="T535" s="151"/>
      <c r="U535" s="25" t="str">
        <f t="shared" si="138"/>
        <v/>
      </c>
      <c r="V535" s="24" t="str">
        <f>IF(AND(ISNUMBER(R534),ISNUMBER(R535)),V534,IF(AND(R534="",ISNUMBER(R535)),IFERROR(LARGE($V$176:$V534,1)+1,0),""))</f>
        <v/>
      </c>
      <c r="W535" s="23" t="str">
        <f t="shared" si="139"/>
        <v/>
      </c>
      <c r="X535" s="22" t="str">
        <f t="shared" si="140"/>
        <v/>
      </c>
      <c r="Y535" s="22"/>
      <c r="Z535" s="22"/>
      <c r="AA535" s="22"/>
      <c r="AB535" s="22" t="str" cm="1">
        <f t="array" ref="AB535">IF(IF(AND($P534="",$P535=1),($N$37*-1),0)+IF(AND($Q534="",$Q535=1),($N$38*-1),0)+IF(IF(($K535-$N$48)&lt;1,0,IF(IF(INDEX($AD$176:$AD$905,($K535-$N$48))="",0,INDEX($AD$176:$AD$905,($K535-$N$48)))&gt;0,IF(INDEX($AD$176:$AD$905,($K535-$N$48))="",0,INDEX($AD$176:$AD$905,($K535-$N$48))),0))="",0,IF(($K535-$N$48)&lt;1,0,IF(IF(INDEX($AD$176:$AD$905,($K535-$N$48))="",0,INDEX($AD$176:$AD$905,($K535-$N$48)))&gt;0,IF(INDEX($AD$176:$AD$905,($K535-$N$48))="",0,INDEX($AD$176:$AD$905,($K535-$N$48))),0)))=0,"",IF(AND($P534="",$P535=1),($N$37*-1),0)+IF(AND($Q534="",$Q535=1),($N$38*-1),0)+IF(IF(($K535-$N$48)&lt;1,0,IF(IF(INDEX($AD$176:$AD$905,($K535-$N$48))="",0,INDEX($AD$176:$AD$905,($K535-$N$48)))&gt;0,IF(INDEX($AD$176:$AD$905,($K535-$N$48))="",0,INDEX($AD$176:$AD$905,($K535-$N$48))),0))="",0,IF(($K535-$N$48)&lt;1,0,IF(IF(INDEX($AD$176:$AD$905,($K535-$N$48))="",0,INDEX($AD$176:$AD$905,($K535-$N$48)))&gt;0,IF(INDEX($AD$176:$AD$905,($K535-$N$48))="",0,INDEX($AD$176:$AD$905,($K535-$N$48))),0))))</f>
        <v/>
      </c>
      <c r="AC535" s="22" t="str">
        <f t="shared" si="141"/>
        <v/>
      </c>
      <c r="AD535" s="22" t="str">
        <f t="shared" si="153"/>
        <v/>
      </c>
      <c r="AE535" s="22" t="str" cm="1">
        <f t="array" ref="AE535">IF(($K535-$N$48)&lt;1,"",IF((IF(INDEX($AC$176:$AC$905,($K535-$N$48))="",0,INDEX($AC$176:$AC$905,($K535-$N$48))))=0,"",(IF(INDEX($AC$176:$AC$905,($K535-$N$48))="",0,INDEX($AC$176:$AC$905,($K535-$N$48))))))</f>
        <v/>
      </c>
      <c r="AF535" s="31" t="str">
        <f t="shared" si="142"/>
        <v/>
      </c>
      <c r="AG535" s="31" t="str">
        <f t="shared" si="143"/>
        <v/>
      </c>
      <c r="AH535" s="31" t="str">
        <f t="shared" si="144"/>
        <v/>
      </c>
      <c r="AI535" s="31" t="str">
        <f t="shared" si="145"/>
        <v/>
      </c>
      <c r="AJ535" s="303" t="str">
        <f t="shared" si="146"/>
        <v/>
      </c>
      <c r="AK535" s="139" t="str">
        <f t="shared" si="147"/>
        <v/>
      </c>
      <c r="AM535" s="319"/>
      <c r="AN535" s="40"/>
      <c r="AO535" s="1"/>
    </row>
    <row r="536" spans="7:41" x14ac:dyDescent="0.25">
      <c r="G536" s="235" t="str">
        <f t="shared" si="154"/>
        <v/>
      </c>
      <c r="H536" s="4" t="str">
        <f t="shared" si="155"/>
        <v/>
      </c>
      <c r="I536" s="11" t="str">
        <f t="shared" si="135"/>
        <v>09.00</v>
      </c>
      <c r="K536" s="30">
        <v>361</v>
      </c>
      <c r="L536" s="29">
        <f t="shared" si="148"/>
        <v>11371.908376190917</v>
      </c>
      <c r="M536" s="28" t="str">
        <f t="shared" si="136"/>
        <v/>
      </c>
      <c r="N536" s="27" t="str">
        <f t="shared" si="149"/>
        <v/>
      </c>
      <c r="O536" s="26" t="str">
        <f>IF(AND($Q535=$O$38,IFERROR(LARGE($V$176:$V535,1)&lt;$N$42,TRUE)),1,IF(AND(ISNUMBER($O535),$O535&lt;$N$32),$O535+1,""))</f>
        <v/>
      </c>
      <c r="P536" s="26" t="str">
        <f t="shared" si="150"/>
        <v/>
      </c>
      <c r="Q536" s="26" t="str">
        <f t="shared" si="137"/>
        <v/>
      </c>
      <c r="R536" s="24" t="str">
        <f t="shared" si="151"/>
        <v/>
      </c>
      <c r="S536" s="180">
        <f t="shared" si="152"/>
        <v>9</v>
      </c>
      <c r="T536" s="151"/>
      <c r="U536" s="25" t="str">
        <f t="shared" si="138"/>
        <v/>
      </c>
      <c r="V536" s="24" t="str">
        <f>IF(AND(ISNUMBER(R535),ISNUMBER(R536)),V535,IF(AND(R535="",ISNUMBER(R536)),IFERROR(LARGE($V$176:$V535,1)+1,0),""))</f>
        <v/>
      </c>
      <c r="W536" s="23" t="str">
        <f t="shared" si="139"/>
        <v/>
      </c>
      <c r="X536" s="22" t="str">
        <f t="shared" si="140"/>
        <v/>
      </c>
      <c r="Y536" s="22"/>
      <c r="Z536" s="22"/>
      <c r="AA536" s="22"/>
      <c r="AB536" s="22" t="str" cm="1">
        <f t="array" ref="AB536">IF(IF(AND($P535="",$P536=1),($N$37*-1),0)+IF(AND($Q535="",$Q536=1),($N$38*-1),0)+IF(IF(($K536-$N$48)&lt;1,0,IF(IF(INDEX($AD$176:$AD$905,($K536-$N$48))="",0,INDEX($AD$176:$AD$905,($K536-$N$48)))&gt;0,IF(INDEX($AD$176:$AD$905,($K536-$N$48))="",0,INDEX($AD$176:$AD$905,($K536-$N$48))),0))="",0,IF(($K536-$N$48)&lt;1,0,IF(IF(INDEX($AD$176:$AD$905,($K536-$N$48))="",0,INDEX($AD$176:$AD$905,($K536-$N$48)))&gt;0,IF(INDEX($AD$176:$AD$905,($K536-$N$48))="",0,INDEX($AD$176:$AD$905,($K536-$N$48))),0)))=0,"",IF(AND($P535="",$P536=1),($N$37*-1),0)+IF(AND($Q535="",$Q536=1),($N$38*-1),0)+IF(IF(($K536-$N$48)&lt;1,0,IF(IF(INDEX($AD$176:$AD$905,($K536-$N$48))="",0,INDEX($AD$176:$AD$905,($K536-$N$48)))&gt;0,IF(INDEX($AD$176:$AD$905,($K536-$N$48))="",0,INDEX($AD$176:$AD$905,($K536-$N$48))),0))="",0,IF(($K536-$N$48)&lt;1,0,IF(IF(INDEX($AD$176:$AD$905,($K536-$N$48))="",0,INDEX($AD$176:$AD$905,($K536-$N$48)))&gt;0,IF(INDEX($AD$176:$AD$905,($K536-$N$48))="",0,INDEX($AD$176:$AD$905,($K536-$N$48))),0))))</f>
        <v/>
      </c>
      <c r="AC536" s="22" t="str">
        <f t="shared" si="141"/>
        <v/>
      </c>
      <c r="AD536" s="22" t="str">
        <f t="shared" si="153"/>
        <v/>
      </c>
      <c r="AE536" s="22" t="str" cm="1">
        <f t="array" ref="AE536">IF(($K536-$N$48)&lt;1,"",IF((IF(INDEX($AC$176:$AC$905,($K536-$N$48))="",0,INDEX($AC$176:$AC$905,($K536-$N$48))))=0,"",(IF(INDEX($AC$176:$AC$905,($K536-$N$48))="",0,INDEX($AC$176:$AC$905,($K536-$N$48))))))</f>
        <v/>
      </c>
      <c r="AF536" s="31" t="str">
        <f t="shared" si="142"/>
        <v/>
      </c>
      <c r="AG536" s="31" t="str">
        <f t="shared" si="143"/>
        <v/>
      </c>
      <c r="AH536" s="31" t="str">
        <f t="shared" si="144"/>
        <v/>
      </c>
      <c r="AI536" s="31" t="str">
        <f t="shared" si="145"/>
        <v/>
      </c>
      <c r="AJ536" s="303" t="str">
        <f t="shared" si="146"/>
        <v/>
      </c>
      <c r="AK536" s="139" t="str">
        <f t="shared" si="147"/>
        <v/>
      </c>
      <c r="AM536" s="319"/>
      <c r="AN536" s="40"/>
      <c r="AO536" s="1"/>
    </row>
    <row r="537" spans="7:41" x14ac:dyDescent="0.25">
      <c r="G537" s="235" t="str">
        <f t="shared" si="154"/>
        <v/>
      </c>
      <c r="H537" s="4" t="str">
        <f t="shared" si="155"/>
        <v/>
      </c>
      <c r="I537" s="11" t="str">
        <f t="shared" si="135"/>
        <v>09.00</v>
      </c>
      <c r="K537" s="30">
        <v>362</v>
      </c>
      <c r="L537" s="29">
        <f t="shared" si="148"/>
        <v>11371.908376190917</v>
      </c>
      <c r="M537" s="28" t="str">
        <f t="shared" si="136"/>
        <v/>
      </c>
      <c r="N537" s="27" t="str">
        <f t="shared" si="149"/>
        <v/>
      </c>
      <c r="O537" s="26" t="str">
        <f>IF(AND($Q536=$O$38,IFERROR(LARGE($V$176:$V536,1)&lt;$N$42,TRUE)),1,IF(AND(ISNUMBER($O536),$O536&lt;$N$32),$O536+1,""))</f>
        <v/>
      </c>
      <c r="P537" s="26" t="str">
        <f t="shared" si="150"/>
        <v/>
      </c>
      <c r="Q537" s="26" t="str">
        <f t="shared" si="137"/>
        <v/>
      </c>
      <c r="R537" s="24" t="str">
        <f t="shared" si="151"/>
        <v/>
      </c>
      <c r="S537" s="180">
        <f t="shared" si="152"/>
        <v>9</v>
      </c>
      <c r="T537" s="151"/>
      <c r="U537" s="25" t="str">
        <f t="shared" si="138"/>
        <v/>
      </c>
      <c r="V537" s="24" t="str">
        <f>IF(AND(ISNUMBER(R536),ISNUMBER(R537)),V536,IF(AND(R536="",ISNUMBER(R537)),IFERROR(LARGE($V$176:$V536,1)+1,0),""))</f>
        <v/>
      </c>
      <c r="W537" s="23" t="str">
        <f t="shared" si="139"/>
        <v/>
      </c>
      <c r="X537" s="22" t="str">
        <f t="shared" si="140"/>
        <v/>
      </c>
      <c r="Y537" s="22"/>
      <c r="Z537" s="22"/>
      <c r="AA537" s="22"/>
      <c r="AB537" s="22" t="str" cm="1">
        <f t="array" ref="AB537">IF(IF(AND($P536="",$P537=1),($N$37*-1),0)+IF(AND($Q536="",$Q537=1),($N$38*-1),0)+IF(IF(($K537-$N$48)&lt;1,0,IF(IF(INDEX($AD$176:$AD$905,($K537-$N$48))="",0,INDEX($AD$176:$AD$905,($K537-$N$48)))&gt;0,IF(INDEX($AD$176:$AD$905,($K537-$N$48))="",0,INDEX($AD$176:$AD$905,($K537-$N$48))),0))="",0,IF(($K537-$N$48)&lt;1,0,IF(IF(INDEX($AD$176:$AD$905,($K537-$N$48))="",0,INDEX($AD$176:$AD$905,($K537-$N$48)))&gt;0,IF(INDEX($AD$176:$AD$905,($K537-$N$48))="",0,INDEX($AD$176:$AD$905,($K537-$N$48))),0)))=0,"",IF(AND($P536="",$P537=1),($N$37*-1),0)+IF(AND($Q536="",$Q537=1),($N$38*-1),0)+IF(IF(($K537-$N$48)&lt;1,0,IF(IF(INDEX($AD$176:$AD$905,($K537-$N$48))="",0,INDEX($AD$176:$AD$905,($K537-$N$48)))&gt;0,IF(INDEX($AD$176:$AD$905,($K537-$N$48))="",0,INDEX($AD$176:$AD$905,($K537-$N$48))),0))="",0,IF(($K537-$N$48)&lt;1,0,IF(IF(INDEX($AD$176:$AD$905,($K537-$N$48))="",0,INDEX($AD$176:$AD$905,($K537-$N$48)))&gt;0,IF(INDEX($AD$176:$AD$905,($K537-$N$48))="",0,INDEX($AD$176:$AD$905,($K537-$N$48))),0))))</f>
        <v/>
      </c>
      <c r="AC537" s="22" t="str">
        <f t="shared" si="141"/>
        <v/>
      </c>
      <c r="AD537" s="22" t="str">
        <f t="shared" si="153"/>
        <v/>
      </c>
      <c r="AE537" s="22" t="str" cm="1">
        <f t="array" ref="AE537">IF(($K537-$N$48)&lt;1,"",IF((IF(INDEX($AC$176:$AC$905,($K537-$N$48))="",0,INDEX($AC$176:$AC$905,($K537-$N$48))))=0,"",(IF(INDEX($AC$176:$AC$905,($K537-$N$48))="",0,INDEX($AC$176:$AC$905,($K537-$N$48))))))</f>
        <v/>
      </c>
      <c r="AF537" s="31" t="str">
        <f t="shared" si="142"/>
        <v/>
      </c>
      <c r="AG537" s="31" t="str">
        <f t="shared" si="143"/>
        <v/>
      </c>
      <c r="AH537" s="31" t="str">
        <f t="shared" si="144"/>
        <v/>
      </c>
      <c r="AI537" s="31" t="str">
        <f t="shared" si="145"/>
        <v/>
      </c>
      <c r="AJ537" s="303" t="str">
        <f t="shared" si="146"/>
        <v/>
      </c>
      <c r="AK537" s="139" t="str">
        <f t="shared" si="147"/>
        <v/>
      </c>
      <c r="AM537" s="319"/>
      <c r="AN537" s="40"/>
      <c r="AO537" s="1"/>
    </row>
    <row r="538" spans="7:41" x14ac:dyDescent="0.25">
      <c r="G538" s="235" t="str">
        <f t="shared" si="154"/>
        <v/>
      </c>
      <c r="H538" s="4" t="str">
        <f t="shared" si="155"/>
        <v/>
      </c>
      <c r="I538" s="11" t="str">
        <f t="shared" si="135"/>
        <v>09.00</v>
      </c>
      <c r="K538" s="30">
        <v>363</v>
      </c>
      <c r="L538" s="29">
        <f t="shared" si="148"/>
        <v>11371.908376190917</v>
      </c>
      <c r="M538" s="28" t="str">
        <f t="shared" si="136"/>
        <v/>
      </c>
      <c r="N538" s="27" t="str">
        <f t="shared" si="149"/>
        <v/>
      </c>
      <c r="O538" s="26" t="str">
        <f>IF(AND($Q537=$O$38,IFERROR(LARGE($V$176:$V537,1)&lt;$N$42,TRUE)),1,IF(AND(ISNUMBER($O537),$O537&lt;$N$32),$O537+1,""))</f>
        <v/>
      </c>
      <c r="P538" s="26" t="str">
        <f t="shared" si="150"/>
        <v/>
      </c>
      <c r="Q538" s="26" t="str">
        <f t="shared" si="137"/>
        <v/>
      </c>
      <c r="R538" s="24" t="str">
        <f t="shared" si="151"/>
        <v/>
      </c>
      <c r="S538" s="180">
        <f t="shared" si="152"/>
        <v>9</v>
      </c>
      <c r="T538" s="151"/>
      <c r="U538" s="25" t="str">
        <f t="shared" si="138"/>
        <v/>
      </c>
      <c r="V538" s="24" t="str">
        <f>IF(AND(ISNUMBER(R537),ISNUMBER(R538)),V537,IF(AND(R537="",ISNUMBER(R538)),IFERROR(LARGE($V$176:$V537,1)+1,0),""))</f>
        <v/>
      </c>
      <c r="W538" s="23" t="str">
        <f t="shared" si="139"/>
        <v/>
      </c>
      <c r="X538" s="22" t="str">
        <f t="shared" si="140"/>
        <v/>
      </c>
      <c r="Y538" s="22"/>
      <c r="Z538" s="22"/>
      <c r="AA538" s="22"/>
      <c r="AB538" s="22" t="str" cm="1">
        <f t="array" ref="AB538">IF(IF(AND($P537="",$P538=1),($N$37*-1),0)+IF(AND($Q537="",$Q538=1),($N$38*-1),0)+IF(IF(($K538-$N$48)&lt;1,0,IF(IF(INDEX($AD$176:$AD$905,($K538-$N$48))="",0,INDEX($AD$176:$AD$905,($K538-$N$48)))&gt;0,IF(INDEX($AD$176:$AD$905,($K538-$N$48))="",0,INDEX($AD$176:$AD$905,($K538-$N$48))),0))="",0,IF(($K538-$N$48)&lt;1,0,IF(IF(INDEX($AD$176:$AD$905,($K538-$N$48))="",0,INDEX($AD$176:$AD$905,($K538-$N$48)))&gt;0,IF(INDEX($AD$176:$AD$905,($K538-$N$48))="",0,INDEX($AD$176:$AD$905,($K538-$N$48))),0)))=0,"",IF(AND($P537="",$P538=1),($N$37*-1),0)+IF(AND($Q537="",$Q538=1),($N$38*-1),0)+IF(IF(($K538-$N$48)&lt;1,0,IF(IF(INDEX($AD$176:$AD$905,($K538-$N$48))="",0,INDEX($AD$176:$AD$905,($K538-$N$48)))&gt;0,IF(INDEX($AD$176:$AD$905,($K538-$N$48))="",0,INDEX($AD$176:$AD$905,($K538-$N$48))),0))="",0,IF(($K538-$N$48)&lt;1,0,IF(IF(INDEX($AD$176:$AD$905,($K538-$N$48))="",0,INDEX($AD$176:$AD$905,($K538-$N$48)))&gt;0,IF(INDEX($AD$176:$AD$905,($K538-$N$48))="",0,INDEX($AD$176:$AD$905,($K538-$N$48))),0))))</f>
        <v/>
      </c>
      <c r="AC538" s="22" t="str">
        <f t="shared" si="141"/>
        <v/>
      </c>
      <c r="AD538" s="22" t="str">
        <f t="shared" si="153"/>
        <v/>
      </c>
      <c r="AE538" s="22" t="str" cm="1">
        <f t="array" ref="AE538">IF(($K538-$N$48)&lt;1,"",IF((IF(INDEX($AC$176:$AC$905,($K538-$N$48))="",0,INDEX($AC$176:$AC$905,($K538-$N$48))))=0,"",(IF(INDEX($AC$176:$AC$905,($K538-$N$48))="",0,INDEX($AC$176:$AC$905,($K538-$N$48))))))</f>
        <v/>
      </c>
      <c r="AF538" s="31" t="str">
        <f t="shared" si="142"/>
        <v/>
      </c>
      <c r="AG538" s="31" t="str">
        <f t="shared" si="143"/>
        <v/>
      </c>
      <c r="AH538" s="31" t="str">
        <f t="shared" si="144"/>
        <v/>
      </c>
      <c r="AI538" s="31" t="str">
        <f t="shared" si="145"/>
        <v/>
      </c>
      <c r="AJ538" s="303" t="str">
        <f t="shared" si="146"/>
        <v/>
      </c>
      <c r="AK538" s="139" t="str">
        <f t="shared" si="147"/>
        <v/>
      </c>
      <c r="AM538" s="319"/>
      <c r="AN538" s="40"/>
      <c r="AO538" s="1"/>
    </row>
    <row r="539" spans="7:41" x14ac:dyDescent="0.25">
      <c r="G539" s="235" t="str">
        <f t="shared" si="154"/>
        <v/>
      </c>
      <c r="H539" s="4" t="str">
        <f t="shared" si="155"/>
        <v/>
      </c>
      <c r="I539" s="11" t="str">
        <f t="shared" si="135"/>
        <v>09.00</v>
      </c>
      <c r="K539" s="30">
        <v>364</v>
      </c>
      <c r="L539" s="29">
        <f t="shared" si="148"/>
        <v>11371.908376190917</v>
      </c>
      <c r="M539" s="28" t="str">
        <f t="shared" si="136"/>
        <v/>
      </c>
      <c r="N539" s="27" t="str">
        <f t="shared" si="149"/>
        <v/>
      </c>
      <c r="O539" s="26" t="str">
        <f>IF(AND($Q538=$O$38,IFERROR(LARGE($V$176:$V538,1)&lt;$N$42,TRUE)),1,IF(AND(ISNUMBER($O538),$O538&lt;$N$32),$O538+1,""))</f>
        <v/>
      </c>
      <c r="P539" s="26" t="str">
        <f t="shared" si="150"/>
        <v/>
      </c>
      <c r="Q539" s="26" t="str">
        <f t="shared" si="137"/>
        <v/>
      </c>
      <c r="R539" s="24" t="str">
        <f t="shared" si="151"/>
        <v/>
      </c>
      <c r="S539" s="180">
        <f t="shared" si="152"/>
        <v>9</v>
      </c>
      <c r="T539" s="151"/>
      <c r="U539" s="25" t="str">
        <f t="shared" si="138"/>
        <v/>
      </c>
      <c r="V539" s="24" t="str">
        <f>IF(AND(ISNUMBER(R538),ISNUMBER(R539)),V538,IF(AND(R538="",ISNUMBER(R539)),IFERROR(LARGE($V$176:$V538,1)+1,0),""))</f>
        <v/>
      </c>
      <c r="W539" s="23" t="str">
        <f t="shared" si="139"/>
        <v/>
      </c>
      <c r="X539" s="22" t="str">
        <f t="shared" si="140"/>
        <v/>
      </c>
      <c r="Y539" s="22"/>
      <c r="Z539" s="22"/>
      <c r="AA539" s="22"/>
      <c r="AB539" s="22" t="str" cm="1">
        <f t="array" ref="AB539">IF(IF(AND($P538="",$P539=1),($N$37*-1),0)+IF(AND($Q538="",$Q539=1),($N$38*-1),0)+IF(IF(($K539-$N$48)&lt;1,0,IF(IF(INDEX($AD$176:$AD$905,($K539-$N$48))="",0,INDEX($AD$176:$AD$905,($K539-$N$48)))&gt;0,IF(INDEX($AD$176:$AD$905,($K539-$N$48))="",0,INDEX($AD$176:$AD$905,($K539-$N$48))),0))="",0,IF(($K539-$N$48)&lt;1,0,IF(IF(INDEX($AD$176:$AD$905,($K539-$N$48))="",0,INDEX($AD$176:$AD$905,($K539-$N$48)))&gt;0,IF(INDEX($AD$176:$AD$905,($K539-$N$48))="",0,INDEX($AD$176:$AD$905,($K539-$N$48))),0)))=0,"",IF(AND($P538="",$P539=1),($N$37*-1),0)+IF(AND($Q538="",$Q539=1),($N$38*-1),0)+IF(IF(($K539-$N$48)&lt;1,0,IF(IF(INDEX($AD$176:$AD$905,($K539-$N$48))="",0,INDEX($AD$176:$AD$905,($K539-$N$48)))&gt;0,IF(INDEX($AD$176:$AD$905,($K539-$N$48))="",0,INDEX($AD$176:$AD$905,($K539-$N$48))),0))="",0,IF(($K539-$N$48)&lt;1,0,IF(IF(INDEX($AD$176:$AD$905,($K539-$N$48))="",0,INDEX($AD$176:$AD$905,($K539-$N$48)))&gt;0,IF(INDEX($AD$176:$AD$905,($K539-$N$48))="",0,INDEX($AD$176:$AD$905,($K539-$N$48))),0))))</f>
        <v/>
      </c>
      <c r="AC539" s="22" t="str">
        <f t="shared" si="141"/>
        <v/>
      </c>
      <c r="AD539" s="22" t="str">
        <f t="shared" si="153"/>
        <v/>
      </c>
      <c r="AE539" s="22" t="str" cm="1">
        <f t="array" ref="AE539">IF(($K539-$N$48)&lt;1,"",IF((IF(INDEX($AC$176:$AC$905,($K539-$N$48))="",0,INDEX($AC$176:$AC$905,($K539-$N$48))))=0,"",(IF(INDEX($AC$176:$AC$905,($K539-$N$48))="",0,INDEX($AC$176:$AC$905,($K539-$N$48))))))</f>
        <v/>
      </c>
      <c r="AF539" s="31" t="str">
        <f t="shared" si="142"/>
        <v/>
      </c>
      <c r="AG539" s="31" t="str">
        <f t="shared" si="143"/>
        <v/>
      </c>
      <c r="AH539" s="31" t="str">
        <f t="shared" si="144"/>
        <v/>
      </c>
      <c r="AI539" s="31" t="str">
        <f t="shared" si="145"/>
        <v/>
      </c>
      <c r="AJ539" s="303" t="str">
        <f t="shared" si="146"/>
        <v/>
      </c>
      <c r="AK539" s="139" t="str">
        <f t="shared" si="147"/>
        <v/>
      </c>
      <c r="AM539" s="319"/>
      <c r="AN539" s="40"/>
      <c r="AO539" s="1"/>
    </row>
    <row r="540" spans="7:41" x14ac:dyDescent="0.25">
      <c r="G540" s="235" t="str">
        <f t="shared" si="154"/>
        <v/>
      </c>
      <c r="H540" s="4" t="str">
        <f t="shared" si="155"/>
        <v/>
      </c>
      <c r="I540" s="11" t="str">
        <f t="shared" si="135"/>
        <v>09.00</v>
      </c>
      <c r="K540" s="30">
        <v>365</v>
      </c>
      <c r="L540" s="29">
        <f t="shared" si="148"/>
        <v>11371.908376190917</v>
      </c>
      <c r="M540" s="28" t="str">
        <f t="shared" si="136"/>
        <v/>
      </c>
      <c r="N540" s="27" t="str">
        <f t="shared" si="149"/>
        <v/>
      </c>
      <c r="O540" s="26" t="str">
        <f>IF(AND($Q539=$O$38,IFERROR(LARGE($V$176:$V539,1)&lt;$N$42,TRUE)),1,IF(AND(ISNUMBER($O539),$O539&lt;$N$32),$O539+1,""))</f>
        <v/>
      </c>
      <c r="P540" s="26" t="str">
        <f t="shared" si="150"/>
        <v/>
      </c>
      <c r="Q540" s="26" t="str">
        <f t="shared" si="137"/>
        <v/>
      </c>
      <c r="R540" s="24" t="str">
        <f t="shared" si="151"/>
        <v/>
      </c>
      <c r="S540" s="180">
        <f t="shared" si="152"/>
        <v>9</v>
      </c>
      <c r="T540" s="151"/>
      <c r="U540" s="25" t="str">
        <f t="shared" si="138"/>
        <v/>
      </c>
      <c r="V540" s="24" t="str">
        <f>IF(AND(ISNUMBER(R539),ISNUMBER(R540)),V539,IF(AND(R539="",ISNUMBER(R540)),IFERROR(LARGE($V$176:$V539,1)+1,0),""))</f>
        <v/>
      </c>
      <c r="W540" s="23" t="str">
        <f t="shared" si="139"/>
        <v/>
      </c>
      <c r="X540" s="22" t="str">
        <f t="shared" si="140"/>
        <v/>
      </c>
      <c r="Y540" s="22"/>
      <c r="Z540" s="22"/>
      <c r="AA540" s="22"/>
      <c r="AB540" s="22" t="str" cm="1">
        <f t="array" ref="AB540">IF(IF(AND($P539="",$P540=1),($N$37*-1),0)+IF(AND($Q539="",$Q540=1),($N$38*-1),0)+IF(IF(($K540-$N$48)&lt;1,0,IF(IF(INDEX($AD$176:$AD$905,($K540-$N$48))="",0,INDEX($AD$176:$AD$905,($K540-$N$48)))&gt;0,IF(INDEX($AD$176:$AD$905,($K540-$N$48))="",0,INDEX($AD$176:$AD$905,($K540-$N$48))),0))="",0,IF(($K540-$N$48)&lt;1,0,IF(IF(INDEX($AD$176:$AD$905,($K540-$N$48))="",0,INDEX($AD$176:$AD$905,($K540-$N$48)))&gt;0,IF(INDEX($AD$176:$AD$905,($K540-$N$48))="",0,INDEX($AD$176:$AD$905,($K540-$N$48))),0)))=0,"",IF(AND($P539="",$P540=1),($N$37*-1),0)+IF(AND($Q539="",$Q540=1),($N$38*-1),0)+IF(IF(($K540-$N$48)&lt;1,0,IF(IF(INDEX($AD$176:$AD$905,($K540-$N$48))="",0,INDEX($AD$176:$AD$905,($K540-$N$48)))&gt;0,IF(INDEX($AD$176:$AD$905,($K540-$N$48))="",0,INDEX($AD$176:$AD$905,($K540-$N$48))),0))="",0,IF(($K540-$N$48)&lt;1,0,IF(IF(INDEX($AD$176:$AD$905,($K540-$N$48))="",0,INDEX($AD$176:$AD$905,($K540-$N$48)))&gt;0,IF(INDEX($AD$176:$AD$905,($K540-$N$48))="",0,INDEX($AD$176:$AD$905,($K540-$N$48))),0))))</f>
        <v/>
      </c>
      <c r="AC540" s="22" t="str">
        <f t="shared" si="141"/>
        <v/>
      </c>
      <c r="AD540" s="22" t="str">
        <f t="shared" si="153"/>
        <v/>
      </c>
      <c r="AE540" s="22" t="str" cm="1">
        <f t="array" ref="AE540">IF(($K540-$N$48)&lt;1,"",IF((IF(INDEX($AC$176:$AC$905,($K540-$N$48))="",0,INDEX($AC$176:$AC$905,($K540-$N$48))))=0,"",(IF(INDEX($AC$176:$AC$905,($K540-$N$48))="",0,INDEX($AC$176:$AC$905,($K540-$N$48))))))</f>
        <v/>
      </c>
      <c r="AF540" s="31" t="str">
        <f t="shared" si="142"/>
        <v/>
      </c>
      <c r="AG540" s="31" t="str">
        <f t="shared" si="143"/>
        <v/>
      </c>
      <c r="AH540" s="31" t="str">
        <f t="shared" si="144"/>
        <v/>
      </c>
      <c r="AI540" s="31" t="str">
        <f t="shared" si="145"/>
        <v/>
      </c>
      <c r="AJ540" s="303" t="str">
        <f t="shared" si="146"/>
        <v/>
      </c>
      <c r="AK540" s="139" t="str">
        <f t="shared" si="147"/>
        <v/>
      </c>
      <c r="AM540" s="319"/>
      <c r="AN540" s="40"/>
      <c r="AO540" s="1"/>
    </row>
    <row r="541" spans="7:41" x14ac:dyDescent="0.25">
      <c r="G541" s="235" t="str">
        <f t="shared" si="154"/>
        <v/>
      </c>
      <c r="H541" s="4" t="str">
        <f t="shared" si="155"/>
        <v/>
      </c>
      <c r="I541" s="11" t="str">
        <f t="shared" si="135"/>
        <v>09.00</v>
      </c>
      <c r="K541" s="30">
        <v>366</v>
      </c>
      <c r="L541" s="29">
        <f t="shared" si="148"/>
        <v>11371.908376190917</v>
      </c>
      <c r="M541" s="28" t="str">
        <f t="shared" si="136"/>
        <v/>
      </c>
      <c r="N541" s="27" t="str">
        <f t="shared" si="149"/>
        <v/>
      </c>
      <c r="O541" s="26" t="str">
        <f>IF(AND($Q540=$O$38,IFERROR(LARGE($V$176:$V540,1)&lt;$N$42,TRUE)),1,IF(AND(ISNUMBER($O540),$O540&lt;$N$32),$O540+1,""))</f>
        <v/>
      </c>
      <c r="P541" s="26" t="str">
        <f t="shared" si="150"/>
        <v/>
      </c>
      <c r="Q541" s="26" t="str">
        <f t="shared" si="137"/>
        <v/>
      </c>
      <c r="R541" s="24" t="str">
        <f t="shared" si="151"/>
        <v/>
      </c>
      <c r="S541" s="180">
        <f t="shared" si="152"/>
        <v>9</v>
      </c>
      <c r="T541" s="151"/>
      <c r="U541" s="25" t="str">
        <f t="shared" si="138"/>
        <v/>
      </c>
      <c r="V541" s="24" t="str">
        <f>IF(AND(ISNUMBER(R540),ISNUMBER(R541)),V540,IF(AND(R540="",ISNUMBER(R541)),IFERROR(LARGE($V$176:$V540,1)+1,0),""))</f>
        <v/>
      </c>
      <c r="W541" s="23" t="str">
        <f t="shared" si="139"/>
        <v/>
      </c>
      <c r="X541" s="22" t="str">
        <f t="shared" si="140"/>
        <v/>
      </c>
      <c r="Y541" s="22"/>
      <c r="Z541" s="22"/>
      <c r="AA541" s="22"/>
      <c r="AB541" s="22" t="str" cm="1">
        <f t="array" ref="AB541">IF(IF(AND($P540="",$P541=1),($N$37*-1),0)+IF(AND($Q540="",$Q541=1),($N$38*-1),0)+IF(IF(($K541-$N$48)&lt;1,0,IF(IF(INDEX($AD$176:$AD$905,($K541-$N$48))="",0,INDEX($AD$176:$AD$905,($K541-$N$48)))&gt;0,IF(INDEX($AD$176:$AD$905,($K541-$N$48))="",0,INDEX($AD$176:$AD$905,($K541-$N$48))),0))="",0,IF(($K541-$N$48)&lt;1,0,IF(IF(INDEX($AD$176:$AD$905,($K541-$N$48))="",0,INDEX($AD$176:$AD$905,($K541-$N$48)))&gt;0,IF(INDEX($AD$176:$AD$905,($K541-$N$48))="",0,INDEX($AD$176:$AD$905,($K541-$N$48))),0)))=0,"",IF(AND($P540="",$P541=1),($N$37*-1),0)+IF(AND($Q540="",$Q541=1),($N$38*-1),0)+IF(IF(($K541-$N$48)&lt;1,0,IF(IF(INDEX($AD$176:$AD$905,($K541-$N$48))="",0,INDEX($AD$176:$AD$905,($K541-$N$48)))&gt;0,IF(INDEX($AD$176:$AD$905,($K541-$N$48))="",0,INDEX($AD$176:$AD$905,($K541-$N$48))),0))="",0,IF(($K541-$N$48)&lt;1,0,IF(IF(INDEX($AD$176:$AD$905,($K541-$N$48))="",0,INDEX($AD$176:$AD$905,($K541-$N$48)))&gt;0,IF(INDEX($AD$176:$AD$905,($K541-$N$48))="",0,INDEX($AD$176:$AD$905,($K541-$N$48))),0))))</f>
        <v/>
      </c>
      <c r="AC541" s="22" t="str">
        <f t="shared" si="141"/>
        <v/>
      </c>
      <c r="AD541" s="22" t="str">
        <f t="shared" si="153"/>
        <v/>
      </c>
      <c r="AE541" s="22" t="str" cm="1">
        <f t="array" ref="AE541">IF(($K541-$N$48)&lt;1,"",IF((IF(INDEX($AC$176:$AC$905,($K541-$N$48))="",0,INDEX($AC$176:$AC$905,($K541-$N$48))))=0,"",(IF(INDEX($AC$176:$AC$905,($K541-$N$48))="",0,INDEX($AC$176:$AC$905,($K541-$N$48))))))</f>
        <v/>
      </c>
      <c r="AF541" s="31" t="str">
        <f t="shared" si="142"/>
        <v/>
      </c>
      <c r="AG541" s="31" t="str">
        <f t="shared" si="143"/>
        <v/>
      </c>
      <c r="AH541" s="31" t="str">
        <f t="shared" si="144"/>
        <v/>
      </c>
      <c r="AI541" s="31" t="str">
        <f t="shared" si="145"/>
        <v/>
      </c>
      <c r="AJ541" s="303" t="str">
        <f t="shared" si="146"/>
        <v/>
      </c>
      <c r="AK541" s="139" t="str">
        <f t="shared" si="147"/>
        <v/>
      </c>
      <c r="AM541" s="319"/>
      <c r="AN541" s="40"/>
      <c r="AO541" s="1"/>
    </row>
    <row r="542" spans="7:41" x14ac:dyDescent="0.25">
      <c r="G542" s="235" t="str">
        <f t="shared" si="154"/>
        <v/>
      </c>
      <c r="H542" s="4" t="str">
        <f t="shared" si="155"/>
        <v/>
      </c>
      <c r="I542" s="11" t="str">
        <f t="shared" si="135"/>
        <v>09.00</v>
      </c>
      <c r="K542" s="30">
        <v>367</v>
      </c>
      <c r="L542" s="29">
        <f t="shared" si="148"/>
        <v>11371.908376190917</v>
      </c>
      <c r="M542" s="28" t="str">
        <f t="shared" si="136"/>
        <v/>
      </c>
      <c r="N542" s="27" t="str">
        <f t="shared" si="149"/>
        <v/>
      </c>
      <c r="O542" s="26" t="str">
        <f>IF(AND($Q541=$O$38,IFERROR(LARGE($V$176:$V541,1)&lt;$N$42,TRUE)),1,IF(AND(ISNUMBER($O541),$O541&lt;$N$32),$O541+1,""))</f>
        <v/>
      </c>
      <c r="P542" s="26" t="str">
        <f t="shared" si="150"/>
        <v/>
      </c>
      <c r="Q542" s="26" t="str">
        <f t="shared" si="137"/>
        <v/>
      </c>
      <c r="R542" s="24" t="str">
        <f t="shared" si="151"/>
        <v/>
      </c>
      <c r="S542" s="180">
        <f t="shared" si="152"/>
        <v>9</v>
      </c>
      <c r="T542" s="151"/>
      <c r="U542" s="25" t="str">
        <f t="shared" si="138"/>
        <v/>
      </c>
      <c r="V542" s="24" t="str">
        <f>IF(AND(ISNUMBER(R541),ISNUMBER(R542)),V541,IF(AND(R541="",ISNUMBER(R542)),IFERROR(LARGE($V$176:$V541,1)+1,0),""))</f>
        <v/>
      </c>
      <c r="W542" s="23" t="str">
        <f t="shared" si="139"/>
        <v/>
      </c>
      <c r="X542" s="22" t="str">
        <f t="shared" si="140"/>
        <v/>
      </c>
      <c r="Y542" s="22"/>
      <c r="Z542" s="22"/>
      <c r="AA542" s="22"/>
      <c r="AB542" s="22" t="str" cm="1">
        <f t="array" ref="AB542">IF(IF(AND($P541="",$P542=1),($N$37*-1),0)+IF(AND($Q541="",$Q542=1),($N$38*-1),0)+IF(IF(($K542-$N$48)&lt;1,0,IF(IF(INDEX($AD$176:$AD$905,($K542-$N$48))="",0,INDEX($AD$176:$AD$905,($K542-$N$48)))&gt;0,IF(INDEX($AD$176:$AD$905,($K542-$N$48))="",0,INDEX($AD$176:$AD$905,($K542-$N$48))),0))="",0,IF(($K542-$N$48)&lt;1,0,IF(IF(INDEX($AD$176:$AD$905,($K542-$N$48))="",0,INDEX($AD$176:$AD$905,($K542-$N$48)))&gt;0,IF(INDEX($AD$176:$AD$905,($K542-$N$48))="",0,INDEX($AD$176:$AD$905,($K542-$N$48))),0)))=0,"",IF(AND($P541="",$P542=1),($N$37*-1),0)+IF(AND($Q541="",$Q542=1),($N$38*-1),0)+IF(IF(($K542-$N$48)&lt;1,0,IF(IF(INDEX($AD$176:$AD$905,($K542-$N$48))="",0,INDEX($AD$176:$AD$905,($K542-$N$48)))&gt;0,IF(INDEX($AD$176:$AD$905,($K542-$N$48))="",0,INDEX($AD$176:$AD$905,($K542-$N$48))),0))="",0,IF(($K542-$N$48)&lt;1,0,IF(IF(INDEX($AD$176:$AD$905,($K542-$N$48))="",0,INDEX($AD$176:$AD$905,($K542-$N$48)))&gt;0,IF(INDEX($AD$176:$AD$905,($K542-$N$48))="",0,INDEX($AD$176:$AD$905,($K542-$N$48))),0))))</f>
        <v/>
      </c>
      <c r="AC542" s="22" t="str">
        <f t="shared" si="141"/>
        <v/>
      </c>
      <c r="AD542" s="22" t="str">
        <f t="shared" si="153"/>
        <v/>
      </c>
      <c r="AE542" s="22" t="str" cm="1">
        <f t="array" ref="AE542">IF(($K542-$N$48)&lt;1,"",IF((IF(INDEX($AC$176:$AC$905,($K542-$N$48))="",0,INDEX($AC$176:$AC$905,($K542-$N$48))))=0,"",(IF(INDEX($AC$176:$AC$905,($K542-$N$48))="",0,INDEX($AC$176:$AC$905,($K542-$N$48))))))</f>
        <v/>
      </c>
      <c r="AF542" s="31" t="str">
        <f t="shared" si="142"/>
        <v/>
      </c>
      <c r="AG542" s="31" t="str">
        <f t="shared" si="143"/>
        <v/>
      </c>
      <c r="AH542" s="31" t="str">
        <f t="shared" si="144"/>
        <v/>
      </c>
      <c r="AI542" s="31" t="str">
        <f t="shared" si="145"/>
        <v/>
      </c>
      <c r="AJ542" s="303" t="str">
        <f t="shared" si="146"/>
        <v/>
      </c>
      <c r="AK542" s="139" t="str">
        <f t="shared" si="147"/>
        <v/>
      </c>
      <c r="AM542" s="319"/>
      <c r="AN542" s="40"/>
      <c r="AO542" s="1"/>
    </row>
    <row r="543" spans="7:41" x14ac:dyDescent="0.25">
      <c r="G543" s="235" t="str">
        <f t="shared" si="154"/>
        <v/>
      </c>
      <c r="H543" s="4" t="str">
        <f t="shared" si="155"/>
        <v/>
      </c>
      <c r="I543" s="11" t="str">
        <f t="shared" si="135"/>
        <v>09.00</v>
      </c>
      <c r="K543" s="30">
        <v>368</v>
      </c>
      <c r="L543" s="29">
        <f t="shared" si="148"/>
        <v>11371.908376190917</v>
      </c>
      <c r="M543" s="28" t="str">
        <f t="shared" si="136"/>
        <v/>
      </c>
      <c r="N543" s="27" t="str">
        <f t="shared" si="149"/>
        <v/>
      </c>
      <c r="O543" s="26" t="str">
        <f>IF(AND($Q542=$O$38,IFERROR(LARGE($V$176:$V542,1)&lt;$N$42,TRUE)),1,IF(AND(ISNUMBER($O542),$O542&lt;$N$32),$O542+1,""))</f>
        <v/>
      </c>
      <c r="P543" s="26" t="str">
        <f t="shared" si="150"/>
        <v/>
      </c>
      <c r="Q543" s="26" t="str">
        <f t="shared" si="137"/>
        <v/>
      </c>
      <c r="R543" s="24" t="str">
        <f t="shared" si="151"/>
        <v/>
      </c>
      <c r="S543" s="180">
        <f t="shared" si="152"/>
        <v>9</v>
      </c>
      <c r="T543" s="151"/>
      <c r="U543" s="25" t="str">
        <f t="shared" si="138"/>
        <v/>
      </c>
      <c r="V543" s="24" t="str">
        <f>IF(AND(ISNUMBER(R542),ISNUMBER(R543)),V542,IF(AND(R542="",ISNUMBER(R543)),IFERROR(LARGE($V$176:$V542,1)+1,0),""))</f>
        <v/>
      </c>
      <c r="W543" s="23" t="str">
        <f t="shared" si="139"/>
        <v/>
      </c>
      <c r="X543" s="22" t="str">
        <f t="shared" si="140"/>
        <v/>
      </c>
      <c r="Y543" s="22"/>
      <c r="Z543" s="22"/>
      <c r="AA543" s="22"/>
      <c r="AB543" s="22" t="str" cm="1">
        <f t="array" ref="AB543">IF(IF(AND($P542="",$P543=1),($N$37*-1),0)+IF(AND($Q542="",$Q543=1),($N$38*-1),0)+IF(IF(($K543-$N$48)&lt;1,0,IF(IF(INDEX($AD$176:$AD$905,($K543-$N$48))="",0,INDEX($AD$176:$AD$905,($K543-$N$48)))&gt;0,IF(INDEX($AD$176:$AD$905,($K543-$N$48))="",0,INDEX($AD$176:$AD$905,($K543-$N$48))),0))="",0,IF(($K543-$N$48)&lt;1,0,IF(IF(INDEX($AD$176:$AD$905,($K543-$N$48))="",0,INDEX($AD$176:$AD$905,($K543-$N$48)))&gt;0,IF(INDEX($AD$176:$AD$905,($K543-$N$48))="",0,INDEX($AD$176:$AD$905,($K543-$N$48))),0)))=0,"",IF(AND($P542="",$P543=1),($N$37*-1),0)+IF(AND($Q542="",$Q543=1),($N$38*-1),0)+IF(IF(($K543-$N$48)&lt;1,0,IF(IF(INDEX($AD$176:$AD$905,($K543-$N$48))="",0,INDEX($AD$176:$AD$905,($K543-$N$48)))&gt;0,IF(INDEX($AD$176:$AD$905,($K543-$N$48))="",0,INDEX($AD$176:$AD$905,($K543-$N$48))),0))="",0,IF(($K543-$N$48)&lt;1,0,IF(IF(INDEX($AD$176:$AD$905,($K543-$N$48))="",0,INDEX($AD$176:$AD$905,($K543-$N$48)))&gt;0,IF(INDEX($AD$176:$AD$905,($K543-$N$48))="",0,INDEX($AD$176:$AD$905,($K543-$N$48))),0))))</f>
        <v/>
      </c>
      <c r="AC543" s="22" t="str">
        <f t="shared" si="141"/>
        <v/>
      </c>
      <c r="AD543" s="22" t="str">
        <f t="shared" si="153"/>
        <v/>
      </c>
      <c r="AE543" s="22" t="str" cm="1">
        <f t="array" ref="AE543">IF(($K543-$N$48)&lt;1,"",IF((IF(INDEX($AC$176:$AC$905,($K543-$N$48))="",0,INDEX($AC$176:$AC$905,($K543-$N$48))))=0,"",(IF(INDEX($AC$176:$AC$905,($K543-$N$48))="",0,INDEX($AC$176:$AC$905,($K543-$N$48))))))</f>
        <v/>
      </c>
      <c r="AF543" s="31" t="str">
        <f t="shared" si="142"/>
        <v/>
      </c>
      <c r="AG543" s="31" t="str">
        <f t="shared" si="143"/>
        <v/>
      </c>
      <c r="AH543" s="31" t="str">
        <f t="shared" si="144"/>
        <v/>
      </c>
      <c r="AI543" s="31" t="str">
        <f t="shared" si="145"/>
        <v/>
      </c>
      <c r="AJ543" s="303" t="str">
        <f t="shared" si="146"/>
        <v/>
      </c>
      <c r="AK543" s="139" t="str">
        <f t="shared" si="147"/>
        <v/>
      </c>
      <c r="AM543" s="319"/>
      <c r="AN543" s="40"/>
      <c r="AO543" s="1"/>
    </row>
    <row r="544" spans="7:41" x14ac:dyDescent="0.25">
      <c r="G544" s="235" t="str">
        <f t="shared" si="154"/>
        <v/>
      </c>
      <c r="H544" s="4" t="str">
        <f t="shared" si="155"/>
        <v/>
      </c>
      <c r="I544" s="11" t="str">
        <f t="shared" si="135"/>
        <v>09.00</v>
      </c>
      <c r="K544" s="30">
        <v>369</v>
      </c>
      <c r="L544" s="29">
        <f t="shared" si="148"/>
        <v>11371.908376190917</v>
      </c>
      <c r="M544" s="28" t="str">
        <f t="shared" si="136"/>
        <v/>
      </c>
      <c r="N544" s="27" t="str">
        <f t="shared" si="149"/>
        <v/>
      </c>
      <c r="O544" s="26" t="str">
        <f>IF(AND($Q543=$O$38,IFERROR(LARGE($V$176:$V543,1)&lt;$N$42,TRUE)),1,IF(AND(ISNUMBER($O543),$O543&lt;$N$32),$O543+1,""))</f>
        <v/>
      </c>
      <c r="P544" s="26" t="str">
        <f t="shared" si="150"/>
        <v/>
      </c>
      <c r="Q544" s="26" t="str">
        <f t="shared" si="137"/>
        <v/>
      </c>
      <c r="R544" s="24" t="str">
        <f t="shared" si="151"/>
        <v/>
      </c>
      <c r="S544" s="180">
        <f t="shared" si="152"/>
        <v>9</v>
      </c>
      <c r="T544" s="151"/>
      <c r="U544" s="25" t="str">
        <f t="shared" si="138"/>
        <v/>
      </c>
      <c r="V544" s="24" t="str">
        <f>IF(AND(ISNUMBER(R543),ISNUMBER(R544)),V543,IF(AND(R543="",ISNUMBER(R544)),IFERROR(LARGE($V$176:$V543,1)+1,0),""))</f>
        <v/>
      </c>
      <c r="W544" s="23" t="str">
        <f t="shared" si="139"/>
        <v/>
      </c>
      <c r="X544" s="22" t="str">
        <f t="shared" si="140"/>
        <v/>
      </c>
      <c r="Y544" s="22"/>
      <c r="Z544" s="22"/>
      <c r="AA544" s="22"/>
      <c r="AB544" s="22" t="str" cm="1">
        <f t="array" ref="AB544">IF(IF(AND($P543="",$P544=1),($N$37*-1),0)+IF(AND($Q543="",$Q544=1),($N$38*-1),0)+IF(IF(($K544-$N$48)&lt;1,0,IF(IF(INDEX($AD$176:$AD$905,($K544-$N$48))="",0,INDEX($AD$176:$AD$905,($K544-$N$48)))&gt;0,IF(INDEX($AD$176:$AD$905,($K544-$N$48))="",0,INDEX($AD$176:$AD$905,($K544-$N$48))),0))="",0,IF(($K544-$N$48)&lt;1,0,IF(IF(INDEX($AD$176:$AD$905,($K544-$N$48))="",0,INDEX($AD$176:$AD$905,($K544-$N$48)))&gt;0,IF(INDEX($AD$176:$AD$905,($K544-$N$48))="",0,INDEX($AD$176:$AD$905,($K544-$N$48))),0)))=0,"",IF(AND($P543="",$P544=1),($N$37*-1),0)+IF(AND($Q543="",$Q544=1),($N$38*-1),0)+IF(IF(($K544-$N$48)&lt;1,0,IF(IF(INDEX($AD$176:$AD$905,($K544-$N$48))="",0,INDEX($AD$176:$AD$905,($K544-$N$48)))&gt;0,IF(INDEX($AD$176:$AD$905,($K544-$N$48))="",0,INDEX($AD$176:$AD$905,($K544-$N$48))),0))="",0,IF(($K544-$N$48)&lt;1,0,IF(IF(INDEX($AD$176:$AD$905,($K544-$N$48))="",0,INDEX($AD$176:$AD$905,($K544-$N$48)))&gt;0,IF(INDEX($AD$176:$AD$905,($K544-$N$48))="",0,INDEX($AD$176:$AD$905,($K544-$N$48))),0))))</f>
        <v/>
      </c>
      <c r="AC544" s="22" t="str">
        <f t="shared" si="141"/>
        <v/>
      </c>
      <c r="AD544" s="22" t="str">
        <f t="shared" si="153"/>
        <v/>
      </c>
      <c r="AE544" s="22" t="str" cm="1">
        <f t="array" ref="AE544">IF(($K544-$N$48)&lt;1,"",IF((IF(INDEX($AC$176:$AC$905,($K544-$N$48))="",0,INDEX($AC$176:$AC$905,($K544-$N$48))))=0,"",(IF(INDEX($AC$176:$AC$905,($K544-$N$48))="",0,INDEX($AC$176:$AC$905,($K544-$N$48))))))</f>
        <v/>
      </c>
      <c r="AF544" s="31" t="str">
        <f t="shared" si="142"/>
        <v/>
      </c>
      <c r="AG544" s="31" t="str">
        <f t="shared" si="143"/>
        <v/>
      </c>
      <c r="AH544" s="31" t="str">
        <f t="shared" si="144"/>
        <v/>
      </c>
      <c r="AI544" s="31" t="str">
        <f t="shared" si="145"/>
        <v/>
      </c>
      <c r="AJ544" s="303" t="str">
        <f t="shared" si="146"/>
        <v/>
      </c>
      <c r="AK544" s="139" t="str">
        <f t="shared" si="147"/>
        <v/>
      </c>
      <c r="AM544" s="319"/>
      <c r="AN544" s="40"/>
      <c r="AO544" s="1"/>
    </row>
    <row r="545" spans="7:41" x14ac:dyDescent="0.25">
      <c r="G545" s="235" t="str">
        <f t="shared" si="154"/>
        <v/>
      </c>
      <c r="H545" s="4" t="str">
        <f t="shared" si="155"/>
        <v/>
      </c>
      <c r="I545" s="11" t="str">
        <f t="shared" si="135"/>
        <v>09.00</v>
      </c>
      <c r="K545" s="30">
        <v>370</v>
      </c>
      <c r="L545" s="29">
        <f t="shared" si="148"/>
        <v>11371.908376190917</v>
      </c>
      <c r="M545" s="28" t="str">
        <f t="shared" si="136"/>
        <v/>
      </c>
      <c r="N545" s="27" t="str">
        <f t="shared" si="149"/>
        <v/>
      </c>
      <c r="O545" s="26" t="str">
        <f>IF(AND($Q544=$O$38,IFERROR(LARGE($V$176:$V544,1)&lt;$N$42,TRUE)),1,IF(AND(ISNUMBER($O544),$O544&lt;$N$32),$O544+1,""))</f>
        <v/>
      </c>
      <c r="P545" s="26" t="str">
        <f t="shared" si="150"/>
        <v/>
      </c>
      <c r="Q545" s="26" t="str">
        <f t="shared" si="137"/>
        <v/>
      </c>
      <c r="R545" s="24" t="str">
        <f t="shared" si="151"/>
        <v/>
      </c>
      <c r="S545" s="180">
        <f t="shared" si="152"/>
        <v>9</v>
      </c>
      <c r="T545" s="151"/>
      <c r="U545" s="25" t="str">
        <f t="shared" si="138"/>
        <v/>
      </c>
      <c r="V545" s="24" t="str">
        <f>IF(AND(ISNUMBER(R544),ISNUMBER(R545)),V544,IF(AND(R544="",ISNUMBER(R545)),IFERROR(LARGE($V$176:$V544,1)+1,0),""))</f>
        <v/>
      </c>
      <c r="W545" s="23" t="str">
        <f t="shared" si="139"/>
        <v/>
      </c>
      <c r="X545" s="22" t="str">
        <f t="shared" si="140"/>
        <v/>
      </c>
      <c r="Y545" s="22"/>
      <c r="Z545" s="22"/>
      <c r="AA545" s="22"/>
      <c r="AB545" s="22" t="str" cm="1">
        <f t="array" ref="AB545">IF(IF(AND($P544="",$P545=1),($N$37*-1),0)+IF(AND($Q544="",$Q545=1),($N$38*-1),0)+IF(IF(($K545-$N$48)&lt;1,0,IF(IF(INDEX($AD$176:$AD$905,($K545-$N$48))="",0,INDEX($AD$176:$AD$905,($K545-$N$48)))&gt;0,IF(INDEX($AD$176:$AD$905,($K545-$N$48))="",0,INDEX($AD$176:$AD$905,($K545-$N$48))),0))="",0,IF(($K545-$N$48)&lt;1,0,IF(IF(INDEX($AD$176:$AD$905,($K545-$N$48))="",0,INDEX($AD$176:$AD$905,($K545-$N$48)))&gt;0,IF(INDEX($AD$176:$AD$905,($K545-$N$48))="",0,INDEX($AD$176:$AD$905,($K545-$N$48))),0)))=0,"",IF(AND($P544="",$P545=1),($N$37*-1),0)+IF(AND($Q544="",$Q545=1),($N$38*-1),0)+IF(IF(($K545-$N$48)&lt;1,0,IF(IF(INDEX($AD$176:$AD$905,($K545-$N$48))="",0,INDEX($AD$176:$AD$905,($K545-$N$48)))&gt;0,IF(INDEX($AD$176:$AD$905,($K545-$N$48))="",0,INDEX($AD$176:$AD$905,($K545-$N$48))),0))="",0,IF(($K545-$N$48)&lt;1,0,IF(IF(INDEX($AD$176:$AD$905,($K545-$N$48))="",0,INDEX($AD$176:$AD$905,($K545-$N$48)))&gt;0,IF(INDEX($AD$176:$AD$905,($K545-$N$48))="",0,INDEX($AD$176:$AD$905,($K545-$N$48))),0))))</f>
        <v/>
      </c>
      <c r="AC545" s="22" t="str">
        <f t="shared" si="141"/>
        <v/>
      </c>
      <c r="AD545" s="22" t="str">
        <f t="shared" si="153"/>
        <v/>
      </c>
      <c r="AE545" s="22" t="str" cm="1">
        <f t="array" ref="AE545">IF(($K545-$N$48)&lt;1,"",IF((IF(INDEX($AC$176:$AC$905,($K545-$N$48))="",0,INDEX($AC$176:$AC$905,($K545-$N$48))))=0,"",(IF(INDEX($AC$176:$AC$905,($K545-$N$48))="",0,INDEX($AC$176:$AC$905,($K545-$N$48))))))</f>
        <v/>
      </c>
      <c r="AF545" s="31" t="str">
        <f t="shared" si="142"/>
        <v/>
      </c>
      <c r="AG545" s="31" t="str">
        <f t="shared" si="143"/>
        <v/>
      </c>
      <c r="AH545" s="31" t="str">
        <f t="shared" si="144"/>
        <v/>
      </c>
      <c r="AI545" s="31" t="str">
        <f t="shared" si="145"/>
        <v/>
      </c>
      <c r="AJ545" s="303" t="str">
        <f t="shared" si="146"/>
        <v/>
      </c>
      <c r="AK545" s="139" t="str">
        <f t="shared" si="147"/>
        <v/>
      </c>
      <c r="AM545" s="319"/>
      <c r="AN545" s="40"/>
      <c r="AO545" s="1"/>
    </row>
    <row r="546" spans="7:41" x14ac:dyDescent="0.25">
      <c r="G546" s="235" t="str">
        <f t="shared" si="154"/>
        <v/>
      </c>
      <c r="H546" s="4" t="str">
        <f t="shared" si="155"/>
        <v/>
      </c>
      <c r="I546" s="11" t="str">
        <f t="shared" si="135"/>
        <v>09.00</v>
      </c>
      <c r="K546" s="30">
        <v>371</v>
      </c>
      <c r="L546" s="29">
        <f t="shared" si="148"/>
        <v>11371.908376190917</v>
      </c>
      <c r="M546" s="28" t="str">
        <f t="shared" si="136"/>
        <v/>
      </c>
      <c r="N546" s="27" t="str">
        <f t="shared" si="149"/>
        <v/>
      </c>
      <c r="O546" s="26" t="str">
        <f>IF(AND($Q545=$O$38,IFERROR(LARGE($V$176:$V545,1)&lt;$N$42,TRUE)),1,IF(AND(ISNUMBER($O545),$O545&lt;$N$32),$O545+1,""))</f>
        <v/>
      </c>
      <c r="P546" s="26" t="str">
        <f t="shared" si="150"/>
        <v/>
      </c>
      <c r="Q546" s="26" t="str">
        <f t="shared" si="137"/>
        <v/>
      </c>
      <c r="R546" s="24" t="str">
        <f t="shared" si="151"/>
        <v/>
      </c>
      <c r="S546" s="180">
        <f t="shared" si="152"/>
        <v>9</v>
      </c>
      <c r="T546" s="151"/>
      <c r="U546" s="25" t="str">
        <f t="shared" si="138"/>
        <v/>
      </c>
      <c r="V546" s="24" t="str">
        <f>IF(AND(ISNUMBER(R545),ISNUMBER(R546)),V545,IF(AND(R545="",ISNUMBER(R546)),IFERROR(LARGE($V$176:$V545,1)+1,0),""))</f>
        <v/>
      </c>
      <c r="W546" s="23" t="str">
        <f t="shared" si="139"/>
        <v/>
      </c>
      <c r="X546" s="22" t="str">
        <f t="shared" si="140"/>
        <v/>
      </c>
      <c r="Y546" s="22"/>
      <c r="Z546" s="22"/>
      <c r="AA546" s="22"/>
      <c r="AB546" s="22" t="str" cm="1">
        <f t="array" ref="AB546">IF(IF(AND($P545="",$P546=1),($N$37*-1),0)+IF(AND($Q545="",$Q546=1),($N$38*-1),0)+IF(IF(($K546-$N$48)&lt;1,0,IF(IF(INDEX($AD$176:$AD$905,($K546-$N$48))="",0,INDEX($AD$176:$AD$905,($K546-$N$48)))&gt;0,IF(INDEX($AD$176:$AD$905,($K546-$N$48))="",0,INDEX($AD$176:$AD$905,($K546-$N$48))),0))="",0,IF(($K546-$N$48)&lt;1,0,IF(IF(INDEX($AD$176:$AD$905,($K546-$N$48))="",0,INDEX($AD$176:$AD$905,($K546-$N$48)))&gt;0,IF(INDEX($AD$176:$AD$905,($K546-$N$48))="",0,INDEX($AD$176:$AD$905,($K546-$N$48))),0)))=0,"",IF(AND($P545="",$P546=1),($N$37*-1),0)+IF(AND($Q545="",$Q546=1),($N$38*-1),0)+IF(IF(($K546-$N$48)&lt;1,0,IF(IF(INDEX($AD$176:$AD$905,($K546-$N$48))="",0,INDEX($AD$176:$AD$905,($K546-$N$48)))&gt;0,IF(INDEX($AD$176:$AD$905,($K546-$N$48))="",0,INDEX($AD$176:$AD$905,($K546-$N$48))),0))="",0,IF(($K546-$N$48)&lt;1,0,IF(IF(INDEX($AD$176:$AD$905,($K546-$N$48))="",0,INDEX($AD$176:$AD$905,($K546-$N$48)))&gt;0,IF(INDEX($AD$176:$AD$905,($K546-$N$48))="",0,INDEX($AD$176:$AD$905,($K546-$N$48))),0))))</f>
        <v/>
      </c>
      <c r="AC546" s="22" t="str">
        <f t="shared" si="141"/>
        <v/>
      </c>
      <c r="AD546" s="22" t="str">
        <f t="shared" si="153"/>
        <v/>
      </c>
      <c r="AE546" s="22" t="str" cm="1">
        <f t="array" ref="AE546">IF(($K546-$N$48)&lt;1,"",IF((IF(INDEX($AC$176:$AC$905,($K546-$N$48))="",0,INDEX($AC$176:$AC$905,($K546-$N$48))))=0,"",(IF(INDEX($AC$176:$AC$905,($K546-$N$48))="",0,INDEX($AC$176:$AC$905,($K546-$N$48))))))</f>
        <v/>
      </c>
      <c r="AF546" s="31" t="str">
        <f t="shared" si="142"/>
        <v/>
      </c>
      <c r="AG546" s="31" t="str">
        <f t="shared" si="143"/>
        <v/>
      </c>
      <c r="AH546" s="31" t="str">
        <f t="shared" si="144"/>
        <v/>
      </c>
      <c r="AI546" s="31" t="str">
        <f t="shared" si="145"/>
        <v/>
      </c>
      <c r="AJ546" s="303" t="str">
        <f t="shared" si="146"/>
        <v/>
      </c>
      <c r="AK546" s="139" t="str">
        <f t="shared" si="147"/>
        <v/>
      </c>
      <c r="AM546" s="319"/>
      <c r="AN546" s="40"/>
      <c r="AO546" s="1"/>
    </row>
    <row r="547" spans="7:41" x14ac:dyDescent="0.25">
      <c r="G547" s="235" t="str">
        <f t="shared" si="154"/>
        <v/>
      </c>
      <c r="H547" s="4" t="str">
        <f t="shared" si="155"/>
        <v/>
      </c>
      <c r="I547" s="11" t="str">
        <f t="shared" si="135"/>
        <v>09.00</v>
      </c>
      <c r="K547" s="30">
        <v>372</v>
      </c>
      <c r="L547" s="29">
        <f t="shared" si="148"/>
        <v>11371.908376190917</v>
      </c>
      <c r="M547" s="28" t="str">
        <f t="shared" si="136"/>
        <v/>
      </c>
      <c r="N547" s="27" t="str">
        <f t="shared" si="149"/>
        <v/>
      </c>
      <c r="O547" s="26" t="str">
        <f>IF(AND($Q546=$O$38,IFERROR(LARGE($V$176:$V546,1)&lt;$N$42,TRUE)),1,IF(AND(ISNUMBER($O546),$O546&lt;$N$32),$O546+1,""))</f>
        <v/>
      </c>
      <c r="P547" s="26" t="str">
        <f t="shared" si="150"/>
        <v/>
      </c>
      <c r="Q547" s="26" t="str">
        <f t="shared" si="137"/>
        <v/>
      </c>
      <c r="R547" s="24" t="str">
        <f t="shared" si="151"/>
        <v/>
      </c>
      <c r="S547" s="180">
        <f t="shared" si="152"/>
        <v>9</v>
      </c>
      <c r="T547" s="151"/>
      <c r="U547" s="25" t="str">
        <f t="shared" si="138"/>
        <v/>
      </c>
      <c r="V547" s="24" t="str">
        <f>IF(AND(ISNUMBER(R546),ISNUMBER(R547)),V546,IF(AND(R546="",ISNUMBER(R547)),IFERROR(LARGE($V$176:$V546,1)+1,0),""))</f>
        <v/>
      </c>
      <c r="W547" s="23" t="str">
        <f t="shared" si="139"/>
        <v/>
      </c>
      <c r="X547" s="22" t="str">
        <f t="shared" si="140"/>
        <v/>
      </c>
      <c r="Y547" s="22"/>
      <c r="Z547" s="22"/>
      <c r="AA547" s="22"/>
      <c r="AB547" s="22" t="str" cm="1">
        <f t="array" ref="AB547">IF(IF(AND($P546="",$P547=1),($N$37*-1),0)+IF(AND($Q546="",$Q547=1),($N$38*-1),0)+IF(IF(($K547-$N$48)&lt;1,0,IF(IF(INDEX($AD$176:$AD$905,($K547-$N$48))="",0,INDEX($AD$176:$AD$905,($K547-$N$48)))&gt;0,IF(INDEX($AD$176:$AD$905,($K547-$N$48))="",0,INDEX($AD$176:$AD$905,($K547-$N$48))),0))="",0,IF(($K547-$N$48)&lt;1,0,IF(IF(INDEX($AD$176:$AD$905,($K547-$N$48))="",0,INDEX($AD$176:$AD$905,($K547-$N$48)))&gt;0,IF(INDEX($AD$176:$AD$905,($K547-$N$48))="",0,INDEX($AD$176:$AD$905,($K547-$N$48))),0)))=0,"",IF(AND($P546="",$P547=1),($N$37*-1),0)+IF(AND($Q546="",$Q547=1),($N$38*-1),0)+IF(IF(($K547-$N$48)&lt;1,0,IF(IF(INDEX($AD$176:$AD$905,($K547-$N$48))="",0,INDEX($AD$176:$AD$905,($K547-$N$48)))&gt;0,IF(INDEX($AD$176:$AD$905,($K547-$N$48))="",0,INDEX($AD$176:$AD$905,($K547-$N$48))),0))="",0,IF(($K547-$N$48)&lt;1,0,IF(IF(INDEX($AD$176:$AD$905,($K547-$N$48))="",0,INDEX($AD$176:$AD$905,($K547-$N$48)))&gt;0,IF(INDEX($AD$176:$AD$905,($K547-$N$48))="",0,INDEX($AD$176:$AD$905,($K547-$N$48))),0))))</f>
        <v/>
      </c>
      <c r="AC547" s="22" t="str">
        <f t="shared" si="141"/>
        <v/>
      </c>
      <c r="AD547" s="22" t="str">
        <f t="shared" si="153"/>
        <v/>
      </c>
      <c r="AE547" s="22" t="str" cm="1">
        <f t="array" ref="AE547">IF(($K547-$N$48)&lt;1,"",IF((IF(INDEX($AC$176:$AC$905,($K547-$N$48))="",0,INDEX($AC$176:$AC$905,($K547-$N$48))))=0,"",(IF(INDEX($AC$176:$AC$905,($K547-$N$48))="",0,INDEX($AC$176:$AC$905,($K547-$N$48))))))</f>
        <v/>
      </c>
      <c r="AF547" s="31" t="str">
        <f t="shared" si="142"/>
        <v/>
      </c>
      <c r="AG547" s="31" t="str">
        <f t="shared" si="143"/>
        <v/>
      </c>
      <c r="AH547" s="31" t="str">
        <f t="shared" si="144"/>
        <v/>
      </c>
      <c r="AI547" s="31" t="str">
        <f t="shared" si="145"/>
        <v/>
      </c>
      <c r="AJ547" s="303" t="str">
        <f t="shared" si="146"/>
        <v/>
      </c>
      <c r="AK547" s="139" t="str">
        <f t="shared" si="147"/>
        <v/>
      </c>
      <c r="AM547" s="319"/>
      <c r="AN547" s="40"/>
      <c r="AO547" s="1"/>
    </row>
    <row r="548" spans="7:41" x14ac:dyDescent="0.25">
      <c r="G548" s="235" t="str">
        <f t="shared" si="154"/>
        <v/>
      </c>
      <c r="H548" s="4" t="str">
        <f t="shared" si="155"/>
        <v/>
      </c>
      <c r="I548" s="11" t="str">
        <f t="shared" si="135"/>
        <v>09.00</v>
      </c>
      <c r="K548" s="30">
        <v>373</v>
      </c>
      <c r="L548" s="29">
        <f t="shared" si="148"/>
        <v>11371.908376190917</v>
      </c>
      <c r="M548" s="28" t="str">
        <f t="shared" si="136"/>
        <v/>
      </c>
      <c r="N548" s="27" t="str">
        <f t="shared" si="149"/>
        <v/>
      </c>
      <c r="O548" s="26" t="str">
        <f>IF(AND($Q547=$O$38,IFERROR(LARGE($V$176:$V547,1)&lt;$N$42,TRUE)),1,IF(AND(ISNUMBER($O547),$O547&lt;$N$32),$O547+1,""))</f>
        <v/>
      </c>
      <c r="P548" s="26" t="str">
        <f t="shared" si="150"/>
        <v/>
      </c>
      <c r="Q548" s="26" t="str">
        <f t="shared" si="137"/>
        <v/>
      </c>
      <c r="R548" s="24" t="str">
        <f t="shared" si="151"/>
        <v/>
      </c>
      <c r="S548" s="180">
        <f t="shared" si="152"/>
        <v>9</v>
      </c>
      <c r="T548" s="151"/>
      <c r="U548" s="25" t="str">
        <f t="shared" si="138"/>
        <v/>
      </c>
      <c r="V548" s="24" t="str">
        <f>IF(AND(ISNUMBER(R547),ISNUMBER(R548)),V547,IF(AND(R547="",ISNUMBER(R548)),IFERROR(LARGE($V$176:$V547,1)+1,0),""))</f>
        <v/>
      </c>
      <c r="W548" s="23" t="str">
        <f t="shared" si="139"/>
        <v/>
      </c>
      <c r="X548" s="22" t="str">
        <f t="shared" si="140"/>
        <v/>
      </c>
      <c r="Y548" s="22"/>
      <c r="Z548" s="22"/>
      <c r="AA548" s="22"/>
      <c r="AB548" s="22" t="str" cm="1">
        <f t="array" ref="AB548">IF(IF(AND($P547="",$P548=1),($N$37*-1),0)+IF(AND($Q547="",$Q548=1),($N$38*-1),0)+IF(IF(($K548-$N$48)&lt;1,0,IF(IF(INDEX($AD$176:$AD$905,($K548-$N$48))="",0,INDEX($AD$176:$AD$905,($K548-$N$48)))&gt;0,IF(INDEX($AD$176:$AD$905,($K548-$N$48))="",0,INDEX($AD$176:$AD$905,($K548-$N$48))),0))="",0,IF(($K548-$N$48)&lt;1,0,IF(IF(INDEX($AD$176:$AD$905,($K548-$N$48))="",0,INDEX($AD$176:$AD$905,($K548-$N$48)))&gt;0,IF(INDEX($AD$176:$AD$905,($K548-$N$48))="",0,INDEX($AD$176:$AD$905,($K548-$N$48))),0)))=0,"",IF(AND($P547="",$P548=1),($N$37*-1),0)+IF(AND($Q547="",$Q548=1),($N$38*-1),0)+IF(IF(($K548-$N$48)&lt;1,0,IF(IF(INDEX($AD$176:$AD$905,($K548-$N$48))="",0,INDEX($AD$176:$AD$905,($K548-$N$48)))&gt;0,IF(INDEX($AD$176:$AD$905,($K548-$N$48))="",0,INDEX($AD$176:$AD$905,($K548-$N$48))),0))="",0,IF(($K548-$N$48)&lt;1,0,IF(IF(INDEX($AD$176:$AD$905,($K548-$N$48))="",0,INDEX($AD$176:$AD$905,($K548-$N$48)))&gt;0,IF(INDEX($AD$176:$AD$905,($K548-$N$48))="",0,INDEX($AD$176:$AD$905,($K548-$N$48))),0))))</f>
        <v/>
      </c>
      <c r="AC548" s="22" t="str">
        <f t="shared" si="141"/>
        <v/>
      </c>
      <c r="AD548" s="22" t="str">
        <f t="shared" si="153"/>
        <v/>
      </c>
      <c r="AE548" s="22" t="str" cm="1">
        <f t="array" ref="AE548">IF(($K548-$N$48)&lt;1,"",IF((IF(INDEX($AC$176:$AC$905,($K548-$N$48))="",0,INDEX($AC$176:$AC$905,($K548-$N$48))))=0,"",(IF(INDEX($AC$176:$AC$905,($K548-$N$48))="",0,INDEX($AC$176:$AC$905,($K548-$N$48))))))</f>
        <v/>
      </c>
      <c r="AF548" s="31" t="str">
        <f t="shared" si="142"/>
        <v/>
      </c>
      <c r="AG548" s="31" t="str">
        <f t="shared" si="143"/>
        <v/>
      </c>
      <c r="AH548" s="31" t="str">
        <f t="shared" si="144"/>
        <v/>
      </c>
      <c r="AI548" s="31" t="str">
        <f t="shared" si="145"/>
        <v/>
      </c>
      <c r="AJ548" s="303" t="str">
        <f t="shared" si="146"/>
        <v/>
      </c>
      <c r="AK548" s="139" t="str">
        <f t="shared" si="147"/>
        <v/>
      </c>
      <c r="AM548" s="319"/>
      <c r="AN548" s="40"/>
      <c r="AO548" s="1"/>
    </row>
    <row r="549" spans="7:41" x14ac:dyDescent="0.25">
      <c r="G549" s="235" t="str">
        <f t="shared" si="154"/>
        <v/>
      </c>
      <c r="H549" s="4" t="str">
        <f t="shared" si="155"/>
        <v/>
      </c>
      <c r="I549" s="11" t="str">
        <f t="shared" si="135"/>
        <v>09.00</v>
      </c>
      <c r="K549" s="30">
        <v>374</v>
      </c>
      <c r="L549" s="29">
        <f t="shared" si="148"/>
        <v>11371.908376190917</v>
      </c>
      <c r="M549" s="28" t="str">
        <f t="shared" si="136"/>
        <v/>
      </c>
      <c r="N549" s="27" t="str">
        <f t="shared" si="149"/>
        <v/>
      </c>
      <c r="O549" s="26" t="str">
        <f>IF(AND($Q548=$O$38,IFERROR(LARGE($V$176:$V548,1)&lt;$N$42,TRUE)),1,IF(AND(ISNUMBER($O548),$O548&lt;$N$32),$O548+1,""))</f>
        <v/>
      </c>
      <c r="P549" s="26" t="str">
        <f t="shared" si="150"/>
        <v/>
      </c>
      <c r="Q549" s="26" t="str">
        <f t="shared" si="137"/>
        <v/>
      </c>
      <c r="R549" s="24" t="str">
        <f t="shared" si="151"/>
        <v/>
      </c>
      <c r="S549" s="180">
        <f t="shared" si="152"/>
        <v>9</v>
      </c>
      <c r="T549" s="151"/>
      <c r="U549" s="25" t="str">
        <f t="shared" si="138"/>
        <v/>
      </c>
      <c r="V549" s="24" t="str">
        <f>IF(AND(ISNUMBER(R548),ISNUMBER(R549)),V548,IF(AND(R548="",ISNUMBER(R549)),IFERROR(LARGE($V$176:$V548,1)+1,0),""))</f>
        <v/>
      </c>
      <c r="W549" s="23" t="str">
        <f t="shared" si="139"/>
        <v/>
      </c>
      <c r="X549" s="22" t="str">
        <f t="shared" si="140"/>
        <v/>
      </c>
      <c r="Y549" s="22"/>
      <c r="Z549" s="22"/>
      <c r="AA549" s="22"/>
      <c r="AB549" s="22" t="str" cm="1">
        <f t="array" ref="AB549">IF(IF(AND($P548="",$P549=1),($N$37*-1),0)+IF(AND($Q548="",$Q549=1),($N$38*-1),0)+IF(IF(($K549-$N$48)&lt;1,0,IF(IF(INDEX($AD$176:$AD$905,($K549-$N$48))="",0,INDEX($AD$176:$AD$905,($K549-$N$48)))&gt;0,IF(INDEX($AD$176:$AD$905,($K549-$N$48))="",0,INDEX($AD$176:$AD$905,($K549-$N$48))),0))="",0,IF(($K549-$N$48)&lt;1,0,IF(IF(INDEX($AD$176:$AD$905,($K549-$N$48))="",0,INDEX($AD$176:$AD$905,($K549-$N$48)))&gt;0,IF(INDEX($AD$176:$AD$905,($K549-$N$48))="",0,INDEX($AD$176:$AD$905,($K549-$N$48))),0)))=0,"",IF(AND($P548="",$P549=1),($N$37*-1),0)+IF(AND($Q548="",$Q549=1),($N$38*-1),0)+IF(IF(($K549-$N$48)&lt;1,0,IF(IF(INDEX($AD$176:$AD$905,($K549-$N$48))="",0,INDEX($AD$176:$AD$905,($K549-$N$48)))&gt;0,IF(INDEX($AD$176:$AD$905,($K549-$N$48))="",0,INDEX($AD$176:$AD$905,($K549-$N$48))),0))="",0,IF(($K549-$N$48)&lt;1,0,IF(IF(INDEX($AD$176:$AD$905,($K549-$N$48))="",0,INDEX($AD$176:$AD$905,($K549-$N$48)))&gt;0,IF(INDEX($AD$176:$AD$905,($K549-$N$48))="",0,INDEX($AD$176:$AD$905,($K549-$N$48))),0))))</f>
        <v/>
      </c>
      <c r="AC549" s="22" t="str">
        <f t="shared" si="141"/>
        <v/>
      </c>
      <c r="AD549" s="22" t="str">
        <f t="shared" si="153"/>
        <v/>
      </c>
      <c r="AE549" s="22" t="str" cm="1">
        <f t="array" ref="AE549">IF(($K549-$N$48)&lt;1,"",IF((IF(INDEX($AC$176:$AC$905,($K549-$N$48))="",0,INDEX($AC$176:$AC$905,($K549-$N$48))))=0,"",(IF(INDEX($AC$176:$AC$905,($K549-$N$48))="",0,INDEX($AC$176:$AC$905,($K549-$N$48))))))</f>
        <v/>
      </c>
      <c r="AF549" s="31" t="str">
        <f t="shared" si="142"/>
        <v/>
      </c>
      <c r="AG549" s="31" t="str">
        <f t="shared" si="143"/>
        <v/>
      </c>
      <c r="AH549" s="31" t="str">
        <f t="shared" si="144"/>
        <v/>
      </c>
      <c r="AI549" s="31" t="str">
        <f t="shared" si="145"/>
        <v/>
      </c>
      <c r="AJ549" s="303" t="str">
        <f t="shared" si="146"/>
        <v/>
      </c>
      <c r="AK549" s="139" t="str">
        <f t="shared" si="147"/>
        <v/>
      </c>
      <c r="AM549" s="319"/>
      <c r="AN549" s="40"/>
      <c r="AO549" s="1"/>
    </row>
    <row r="550" spans="7:41" x14ac:dyDescent="0.25">
      <c r="G550" s="235" t="str">
        <f t="shared" si="154"/>
        <v/>
      </c>
      <c r="H550" s="4" t="str">
        <f t="shared" si="155"/>
        <v/>
      </c>
      <c r="I550" s="11" t="str">
        <f t="shared" si="135"/>
        <v>09.00</v>
      </c>
      <c r="K550" s="30">
        <v>375</v>
      </c>
      <c r="L550" s="29">
        <f t="shared" si="148"/>
        <v>11371.908376190917</v>
      </c>
      <c r="M550" s="28" t="str">
        <f t="shared" si="136"/>
        <v/>
      </c>
      <c r="N550" s="27" t="str">
        <f t="shared" si="149"/>
        <v/>
      </c>
      <c r="O550" s="26" t="str">
        <f>IF(AND($Q549=$O$38,IFERROR(LARGE($V$176:$V549,1)&lt;$N$42,TRUE)),1,IF(AND(ISNUMBER($O549),$O549&lt;$N$32),$O549+1,""))</f>
        <v/>
      </c>
      <c r="P550" s="26" t="str">
        <f t="shared" si="150"/>
        <v/>
      </c>
      <c r="Q550" s="26" t="str">
        <f t="shared" si="137"/>
        <v/>
      </c>
      <c r="R550" s="24" t="str">
        <f t="shared" si="151"/>
        <v/>
      </c>
      <c r="S550" s="180">
        <f t="shared" si="152"/>
        <v>9</v>
      </c>
      <c r="T550" s="151"/>
      <c r="U550" s="25" t="str">
        <f t="shared" si="138"/>
        <v/>
      </c>
      <c r="V550" s="24" t="str">
        <f>IF(AND(ISNUMBER(R549),ISNUMBER(R550)),V549,IF(AND(R549="",ISNUMBER(R550)),IFERROR(LARGE($V$176:$V549,1)+1,0),""))</f>
        <v/>
      </c>
      <c r="W550" s="23" t="str">
        <f t="shared" si="139"/>
        <v/>
      </c>
      <c r="X550" s="22" t="str">
        <f t="shared" si="140"/>
        <v/>
      </c>
      <c r="Y550" s="22"/>
      <c r="Z550" s="22"/>
      <c r="AA550" s="22"/>
      <c r="AB550" s="22" t="str" cm="1">
        <f t="array" ref="AB550">IF(IF(AND($P549="",$P550=1),($N$37*-1),0)+IF(AND($Q549="",$Q550=1),($N$38*-1),0)+IF(IF(($K550-$N$48)&lt;1,0,IF(IF(INDEX($AD$176:$AD$905,($K550-$N$48))="",0,INDEX($AD$176:$AD$905,($K550-$N$48)))&gt;0,IF(INDEX($AD$176:$AD$905,($K550-$N$48))="",0,INDEX($AD$176:$AD$905,($K550-$N$48))),0))="",0,IF(($K550-$N$48)&lt;1,0,IF(IF(INDEX($AD$176:$AD$905,($K550-$N$48))="",0,INDEX($AD$176:$AD$905,($K550-$N$48)))&gt;0,IF(INDEX($AD$176:$AD$905,($K550-$N$48))="",0,INDEX($AD$176:$AD$905,($K550-$N$48))),0)))=0,"",IF(AND($P549="",$P550=1),($N$37*-1),0)+IF(AND($Q549="",$Q550=1),($N$38*-1),0)+IF(IF(($K550-$N$48)&lt;1,0,IF(IF(INDEX($AD$176:$AD$905,($K550-$N$48))="",0,INDEX($AD$176:$AD$905,($K550-$N$48)))&gt;0,IF(INDEX($AD$176:$AD$905,($K550-$N$48))="",0,INDEX($AD$176:$AD$905,($K550-$N$48))),0))="",0,IF(($K550-$N$48)&lt;1,0,IF(IF(INDEX($AD$176:$AD$905,($K550-$N$48))="",0,INDEX($AD$176:$AD$905,($K550-$N$48)))&gt;0,IF(INDEX($AD$176:$AD$905,($K550-$N$48))="",0,INDEX($AD$176:$AD$905,($K550-$N$48))),0))))</f>
        <v/>
      </c>
      <c r="AC550" s="22" t="str">
        <f t="shared" si="141"/>
        <v/>
      </c>
      <c r="AD550" s="22" t="str">
        <f t="shared" si="153"/>
        <v/>
      </c>
      <c r="AE550" s="22" t="str" cm="1">
        <f t="array" ref="AE550">IF(($K550-$N$48)&lt;1,"",IF((IF(INDEX($AC$176:$AC$905,($K550-$N$48))="",0,INDEX($AC$176:$AC$905,($K550-$N$48))))=0,"",(IF(INDEX($AC$176:$AC$905,($K550-$N$48))="",0,INDEX($AC$176:$AC$905,($K550-$N$48))))))</f>
        <v/>
      </c>
      <c r="AF550" s="31" t="str">
        <f t="shared" si="142"/>
        <v/>
      </c>
      <c r="AG550" s="31" t="str">
        <f t="shared" si="143"/>
        <v/>
      </c>
      <c r="AH550" s="31" t="str">
        <f t="shared" si="144"/>
        <v/>
      </c>
      <c r="AI550" s="31" t="str">
        <f t="shared" si="145"/>
        <v/>
      </c>
      <c r="AJ550" s="303" t="str">
        <f t="shared" si="146"/>
        <v/>
      </c>
      <c r="AK550" s="139" t="str">
        <f t="shared" si="147"/>
        <v/>
      </c>
      <c r="AM550" s="319"/>
      <c r="AN550" s="40"/>
      <c r="AO550" s="1"/>
    </row>
    <row r="551" spans="7:41" x14ac:dyDescent="0.25">
      <c r="G551" s="235" t="str">
        <f t="shared" si="154"/>
        <v/>
      </c>
      <c r="H551" s="4" t="str">
        <f t="shared" si="155"/>
        <v/>
      </c>
      <c r="I551" s="11" t="str">
        <f t="shared" si="135"/>
        <v>09.00</v>
      </c>
      <c r="K551" s="30">
        <v>376</v>
      </c>
      <c r="L551" s="29">
        <f t="shared" si="148"/>
        <v>11371.908376190917</v>
      </c>
      <c r="M551" s="28" t="str">
        <f t="shared" si="136"/>
        <v/>
      </c>
      <c r="N551" s="27" t="str">
        <f t="shared" si="149"/>
        <v/>
      </c>
      <c r="O551" s="26" t="str">
        <f>IF(AND($Q550=$O$38,IFERROR(LARGE($V$176:$V550,1)&lt;$N$42,TRUE)),1,IF(AND(ISNUMBER($O550),$O550&lt;$N$32),$O550+1,""))</f>
        <v/>
      </c>
      <c r="P551" s="26" t="str">
        <f t="shared" si="150"/>
        <v/>
      </c>
      <c r="Q551" s="26" t="str">
        <f t="shared" si="137"/>
        <v/>
      </c>
      <c r="R551" s="24" t="str">
        <f t="shared" si="151"/>
        <v/>
      </c>
      <c r="S551" s="180">
        <f t="shared" si="152"/>
        <v>9</v>
      </c>
      <c r="T551" s="151"/>
      <c r="U551" s="25" t="str">
        <f t="shared" si="138"/>
        <v/>
      </c>
      <c r="V551" s="24" t="str">
        <f>IF(AND(ISNUMBER(R550),ISNUMBER(R551)),V550,IF(AND(R550="",ISNUMBER(R551)),IFERROR(LARGE($V$176:$V550,1)+1,0),""))</f>
        <v/>
      </c>
      <c r="W551" s="23" t="str">
        <f t="shared" si="139"/>
        <v/>
      </c>
      <c r="X551" s="22" t="str">
        <f t="shared" si="140"/>
        <v/>
      </c>
      <c r="Y551" s="22"/>
      <c r="Z551" s="22"/>
      <c r="AA551" s="22"/>
      <c r="AB551" s="22" t="str" cm="1">
        <f t="array" ref="AB551">IF(IF(AND($P550="",$P551=1),($N$37*-1),0)+IF(AND($Q550="",$Q551=1),($N$38*-1),0)+IF(IF(($K551-$N$48)&lt;1,0,IF(IF(INDEX($AD$176:$AD$905,($K551-$N$48))="",0,INDEX($AD$176:$AD$905,($K551-$N$48)))&gt;0,IF(INDEX($AD$176:$AD$905,($K551-$N$48))="",0,INDEX($AD$176:$AD$905,($K551-$N$48))),0))="",0,IF(($K551-$N$48)&lt;1,0,IF(IF(INDEX($AD$176:$AD$905,($K551-$N$48))="",0,INDEX($AD$176:$AD$905,($K551-$N$48)))&gt;0,IF(INDEX($AD$176:$AD$905,($K551-$N$48))="",0,INDEX($AD$176:$AD$905,($K551-$N$48))),0)))=0,"",IF(AND($P550="",$P551=1),($N$37*-1),0)+IF(AND($Q550="",$Q551=1),($N$38*-1),0)+IF(IF(($K551-$N$48)&lt;1,0,IF(IF(INDEX($AD$176:$AD$905,($K551-$N$48))="",0,INDEX($AD$176:$AD$905,($K551-$N$48)))&gt;0,IF(INDEX($AD$176:$AD$905,($K551-$N$48))="",0,INDEX($AD$176:$AD$905,($K551-$N$48))),0))="",0,IF(($K551-$N$48)&lt;1,0,IF(IF(INDEX($AD$176:$AD$905,($K551-$N$48))="",0,INDEX($AD$176:$AD$905,($K551-$N$48)))&gt;0,IF(INDEX($AD$176:$AD$905,($K551-$N$48))="",0,INDEX($AD$176:$AD$905,($K551-$N$48))),0))))</f>
        <v/>
      </c>
      <c r="AC551" s="22" t="str">
        <f t="shared" si="141"/>
        <v/>
      </c>
      <c r="AD551" s="22" t="str">
        <f t="shared" si="153"/>
        <v/>
      </c>
      <c r="AE551" s="22" t="str" cm="1">
        <f t="array" ref="AE551">IF(($K551-$N$48)&lt;1,"",IF((IF(INDEX($AC$176:$AC$905,($K551-$N$48))="",0,INDEX($AC$176:$AC$905,($K551-$N$48))))=0,"",(IF(INDEX($AC$176:$AC$905,($K551-$N$48))="",0,INDEX($AC$176:$AC$905,($K551-$N$48))))))</f>
        <v/>
      </c>
      <c r="AF551" s="31" t="str">
        <f t="shared" si="142"/>
        <v/>
      </c>
      <c r="AG551" s="31" t="str">
        <f t="shared" si="143"/>
        <v/>
      </c>
      <c r="AH551" s="31" t="str">
        <f t="shared" si="144"/>
        <v/>
      </c>
      <c r="AI551" s="31" t="str">
        <f t="shared" si="145"/>
        <v/>
      </c>
      <c r="AJ551" s="303" t="str">
        <f t="shared" si="146"/>
        <v/>
      </c>
      <c r="AK551" s="139" t="str">
        <f t="shared" si="147"/>
        <v/>
      </c>
      <c r="AM551" s="319"/>
      <c r="AN551" s="40"/>
      <c r="AO551" s="1"/>
    </row>
    <row r="552" spans="7:41" x14ac:dyDescent="0.25">
      <c r="G552" s="235" t="str">
        <f t="shared" si="154"/>
        <v/>
      </c>
      <c r="H552" s="4" t="str">
        <f t="shared" si="155"/>
        <v/>
      </c>
      <c r="I552" s="11" t="str">
        <f t="shared" si="135"/>
        <v>09.00</v>
      </c>
      <c r="K552" s="30">
        <v>377</v>
      </c>
      <c r="L552" s="29">
        <f t="shared" si="148"/>
        <v>11371.908376190917</v>
      </c>
      <c r="M552" s="28" t="str">
        <f t="shared" si="136"/>
        <v/>
      </c>
      <c r="N552" s="27" t="str">
        <f t="shared" si="149"/>
        <v/>
      </c>
      <c r="O552" s="26" t="str">
        <f>IF(AND($Q551=$O$38,IFERROR(LARGE($V$176:$V551,1)&lt;$N$42,TRUE)),1,IF(AND(ISNUMBER($O551),$O551&lt;$N$32),$O551+1,""))</f>
        <v/>
      </c>
      <c r="P552" s="26" t="str">
        <f t="shared" si="150"/>
        <v/>
      </c>
      <c r="Q552" s="26" t="str">
        <f t="shared" si="137"/>
        <v/>
      </c>
      <c r="R552" s="24" t="str">
        <f t="shared" si="151"/>
        <v/>
      </c>
      <c r="S552" s="180">
        <f t="shared" si="152"/>
        <v>9</v>
      </c>
      <c r="T552" s="151"/>
      <c r="U552" s="25" t="str">
        <f t="shared" si="138"/>
        <v/>
      </c>
      <c r="V552" s="24" t="str">
        <f>IF(AND(ISNUMBER(R551),ISNUMBER(R552)),V551,IF(AND(R551="",ISNUMBER(R552)),IFERROR(LARGE($V$176:$V551,1)+1,0),""))</f>
        <v/>
      </c>
      <c r="W552" s="23" t="str">
        <f t="shared" si="139"/>
        <v/>
      </c>
      <c r="X552" s="22" t="str">
        <f t="shared" si="140"/>
        <v/>
      </c>
      <c r="Y552" s="22"/>
      <c r="Z552" s="22"/>
      <c r="AA552" s="22"/>
      <c r="AB552" s="22" t="str" cm="1">
        <f t="array" ref="AB552">IF(IF(AND($P551="",$P552=1),($N$37*-1),0)+IF(AND($Q551="",$Q552=1),($N$38*-1),0)+IF(IF(($K552-$N$48)&lt;1,0,IF(IF(INDEX($AD$176:$AD$905,($K552-$N$48))="",0,INDEX($AD$176:$AD$905,($K552-$N$48)))&gt;0,IF(INDEX($AD$176:$AD$905,($K552-$N$48))="",0,INDEX($AD$176:$AD$905,($K552-$N$48))),0))="",0,IF(($K552-$N$48)&lt;1,0,IF(IF(INDEX($AD$176:$AD$905,($K552-$N$48))="",0,INDEX($AD$176:$AD$905,($K552-$N$48)))&gt;0,IF(INDEX($AD$176:$AD$905,($K552-$N$48))="",0,INDEX($AD$176:$AD$905,($K552-$N$48))),0)))=0,"",IF(AND($P551="",$P552=1),($N$37*-1),0)+IF(AND($Q551="",$Q552=1),($N$38*-1),0)+IF(IF(($K552-$N$48)&lt;1,0,IF(IF(INDEX($AD$176:$AD$905,($K552-$N$48))="",0,INDEX($AD$176:$AD$905,($K552-$N$48)))&gt;0,IF(INDEX($AD$176:$AD$905,($K552-$N$48))="",0,INDEX($AD$176:$AD$905,($K552-$N$48))),0))="",0,IF(($K552-$N$48)&lt;1,0,IF(IF(INDEX($AD$176:$AD$905,($K552-$N$48))="",0,INDEX($AD$176:$AD$905,($K552-$N$48)))&gt;0,IF(INDEX($AD$176:$AD$905,($K552-$N$48))="",0,INDEX($AD$176:$AD$905,($K552-$N$48))),0))))</f>
        <v/>
      </c>
      <c r="AC552" s="22" t="str">
        <f t="shared" si="141"/>
        <v/>
      </c>
      <c r="AD552" s="22" t="str">
        <f t="shared" si="153"/>
        <v/>
      </c>
      <c r="AE552" s="22" t="str" cm="1">
        <f t="array" ref="AE552">IF(($K552-$N$48)&lt;1,"",IF((IF(INDEX($AC$176:$AC$905,($K552-$N$48))="",0,INDEX($AC$176:$AC$905,($K552-$N$48))))=0,"",(IF(INDEX($AC$176:$AC$905,($K552-$N$48))="",0,INDEX($AC$176:$AC$905,($K552-$N$48))))))</f>
        <v/>
      </c>
      <c r="AF552" s="31" t="str">
        <f t="shared" si="142"/>
        <v/>
      </c>
      <c r="AG552" s="31" t="str">
        <f t="shared" si="143"/>
        <v/>
      </c>
      <c r="AH552" s="31" t="str">
        <f t="shared" si="144"/>
        <v/>
      </c>
      <c r="AI552" s="31" t="str">
        <f t="shared" si="145"/>
        <v/>
      </c>
      <c r="AJ552" s="303" t="str">
        <f t="shared" si="146"/>
        <v/>
      </c>
      <c r="AK552" s="139" t="str">
        <f t="shared" si="147"/>
        <v/>
      </c>
      <c r="AM552" s="319"/>
      <c r="AN552" s="40"/>
      <c r="AO552" s="1"/>
    </row>
    <row r="553" spans="7:41" x14ac:dyDescent="0.25">
      <c r="G553" s="235" t="str">
        <f t="shared" si="154"/>
        <v/>
      </c>
      <c r="H553" s="4" t="str">
        <f t="shared" si="155"/>
        <v/>
      </c>
      <c r="I553" s="11" t="str">
        <f t="shared" si="135"/>
        <v>09.00</v>
      </c>
      <c r="K553" s="30">
        <v>378</v>
      </c>
      <c r="L553" s="29">
        <f t="shared" si="148"/>
        <v>11371.908376190917</v>
      </c>
      <c r="M553" s="28" t="str">
        <f t="shared" si="136"/>
        <v/>
      </c>
      <c r="N553" s="27" t="str">
        <f t="shared" si="149"/>
        <v/>
      </c>
      <c r="O553" s="26" t="str">
        <f>IF(AND($Q552=$O$38,IFERROR(LARGE($V$176:$V552,1)&lt;$N$42,TRUE)),1,IF(AND(ISNUMBER($O552),$O552&lt;$N$32),$O552+1,""))</f>
        <v/>
      </c>
      <c r="P553" s="26" t="str">
        <f t="shared" si="150"/>
        <v/>
      </c>
      <c r="Q553" s="26" t="str">
        <f t="shared" si="137"/>
        <v/>
      </c>
      <c r="R553" s="24" t="str">
        <f t="shared" si="151"/>
        <v/>
      </c>
      <c r="S553" s="180">
        <f t="shared" si="152"/>
        <v>9</v>
      </c>
      <c r="T553" s="151"/>
      <c r="U553" s="25" t="str">
        <f t="shared" si="138"/>
        <v/>
      </c>
      <c r="V553" s="24" t="str">
        <f>IF(AND(ISNUMBER(R552),ISNUMBER(R553)),V552,IF(AND(R552="",ISNUMBER(R553)),IFERROR(LARGE($V$176:$V552,1)+1,0),""))</f>
        <v/>
      </c>
      <c r="W553" s="23" t="str">
        <f t="shared" si="139"/>
        <v/>
      </c>
      <c r="X553" s="22" t="str">
        <f t="shared" si="140"/>
        <v/>
      </c>
      <c r="Y553" s="22"/>
      <c r="Z553" s="22"/>
      <c r="AA553" s="22"/>
      <c r="AB553" s="22" t="str" cm="1">
        <f t="array" ref="AB553">IF(IF(AND($P552="",$P553=1),($N$37*-1),0)+IF(AND($Q552="",$Q553=1),($N$38*-1),0)+IF(IF(($K553-$N$48)&lt;1,0,IF(IF(INDEX($AD$176:$AD$905,($K553-$N$48))="",0,INDEX($AD$176:$AD$905,($K553-$N$48)))&gt;0,IF(INDEX($AD$176:$AD$905,($K553-$N$48))="",0,INDEX($AD$176:$AD$905,($K553-$N$48))),0))="",0,IF(($K553-$N$48)&lt;1,0,IF(IF(INDEX($AD$176:$AD$905,($K553-$N$48))="",0,INDEX($AD$176:$AD$905,($K553-$N$48)))&gt;0,IF(INDEX($AD$176:$AD$905,($K553-$N$48))="",0,INDEX($AD$176:$AD$905,($K553-$N$48))),0)))=0,"",IF(AND($P552="",$P553=1),($N$37*-1),0)+IF(AND($Q552="",$Q553=1),($N$38*-1),0)+IF(IF(($K553-$N$48)&lt;1,0,IF(IF(INDEX($AD$176:$AD$905,($K553-$N$48))="",0,INDEX($AD$176:$AD$905,($K553-$N$48)))&gt;0,IF(INDEX($AD$176:$AD$905,($K553-$N$48))="",0,INDEX($AD$176:$AD$905,($K553-$N$48))),0))="",0,IF(($K553-$N$48)&lt;1,0,IF(IF(INDEX($AD$176:$AD$905,($K553-$N$48))="",0,INDEX($AD$176:$AD$905,($K553-$N$48)))&gt;0,IF(INDEX($AD$176:$AD$905,($K553-$N$48))="",0,INDEX($AD$176:$AD$905,($K553-$N$48))),0))))</f>
        <v/>
      </c>
      <c r="AC553" s="22" t="str">
        <f t="shared" si="141"/>
        <v/>
      </c>
      <c r="AD553" s="22" t="str">
        <f t="shared" si="153"/>
        <v/>
      </c>
      <c r="AE553" s="22" t="str" cm="1">
        <f t="array" ref="AE553">IF(($K553-$N$48)&lt;1,"",IF((IF(INDEX($AC$176:$AC$905,($K553-$N$48))="",0,INDEX($AC$176:$AC$905,($K553-$N$48))))=0,"",(IF(INDEX($AC$176:$AC$905,($K553-$N$48))="",0,INDEX($AC$176:$AC$905,($K553-$N$48))))))</f>
        <v/>
      </c>
      <c r="AF553" s="31" t="str">
        <f t="shared" si="142"/>
        <v/>
      </c>
      <c r="AG553" s="31" t="str">
        <f t="shared" si="143"/>
        <v/>
      </c>
      <c r="AH553" s="31" t="str">
        <f t="shared" si="144"/>
        <v/>
      </c>
      <c r="AI553" s="31" t="str">
        <f t="shared" si="145"/>
        <v/>
      </c>
      <c r="AJ553" s="303" t="str">
        <f t="shared" si="146"/>
        <v/>
      </c>
      <c r="AK553" s="139" t="str">
        <f t="shared" si="147"/>
        <v/>
      </c>
      <c r="AM553" s="319"/>
      <c r="AN553" s="40"/>
      <c r="AO553" s="1"/>
    </row>
    <row r="554" spans="7:41" x14ac:dyDescent="0.25">
      <c r="G554" s="235" t="str">
        <f t="shared" si="154"/>
        <v/>
      </c>
      <c r="H554" s="4" t="str">
        <f t="shared" si="155"/>
        <v/>
      </c>
      <c r="I554" s="11" t="str">
        <f t="shared" si="135"/>
        <v>09.00</v>
      </c>
      <c r="K554" s="30">
        <v>379</v>
      </c>
      <c r="L554" s="29">
        <f t="shared" si="148"/>
        <v>11371.908376190917</v>
      </c>
      <c r="M554" s="28" t="str">
        <f t="shared" si="136"/>
        <v/>
      </c>
      <c r="N554" s="27" t="str">
        <f t="shared" si="149"/>
        <v/>
      </c>
      <c r="O554" s="26" t="str">
        <f>IF(AND($Q553=$O$38,IFERROR(LARGE($V$176:$V553,1)&lt;$N$42,TRUE)),1,IF(AND(ISNUMBER($O553),$O553&lt;$N$32),$O553+1,""))</f>
        <v/>
      </c>
      <c r="P554" s="26" t="str">
        <f t="shared" si="150"/>
        <v/>
      </c>
      <c r="Q554" s="26" t="str">
        <f t="shared" si="137"/>
        <v/>
      </c>
      <c r="R554" s="24" t="str">
        <f t="shared" si="151"/>
        <v/>
      </c>
      <c r="S554" s="180">
        <f t="shared" si="152"/>
        <v>9</v>
      </c>
      <c r="T554" s="151"/>
      <c r="U554" s="25" t="str">
        <f t="shared" si="138"/>
        <v/>
      </c>
      <c r="V554" s="24" t="str">
        <f>IF(AND(ISNUMBER(R553),ISNUMBER(R554)),V553,IF(AND(R553="",ISNUMBER(R554)),IFERROR(LARGE($V$176:$V553,1)+1,0),""))</f>
        <v/>
      </c>
      <c r="W554" s="23" t="str">
        <f t="shared" si="139"/>
        <v/>
      </c>
      <c r="X554" s="22" t="str">
        <f t="shared" si="140"/>
        <v/>
      </c>
      <c r="Y554" s="22"/>
      <c r="Z554" s="22"/>
      <c r="AA554" s="22"/>
      <c r="AB554" s="22" t="str" cm="1">
        <f t="array" ref="AB554">IF(IF(AND($P553="",$P554=1),($N$37*-1),0)+IF(AND($Q553="",$Q554=1),($N$38*-1),0)+IF(IF(($K554-$N$48)&lt;1,0,IF(IF(INDEX($AD$176:$AD$905,($K554-$N$48))="",0,INDEX($AD$176:$AD$905,($K554-$N$48)))&gt;0,IF(INDEX($AD$176:$AD$905,($K554-$N$48))="",0,INDEX($AD$176:$AD$905,($K554-$N$48))),0))="",0,IF(($K554-$N$48)&lt;1,0,IF(IF(INDEX($AD$176:$AD$905,($K554-$N$48))="",0,INDEX($AD$176:$AD$905,($K554-$N$48)))&gt;0,IF(INDEX($AD$176:$AD$905,($K554-$N$48))="",0,INDEX($AD$176:$AD$905,($K554-$N$48))),0)))=0,"",IF(AND($P553="",$P554=1),($N$37*-1),0)+IF(AND($Q553="",$Q554=1),($N$38*-1),0)+IF(IF(($K554-$N$48)&lt;1,0,IF(IF(INDEX($AD$176:$AD$905,($K554-$N$48))="",0,INDEX($AD$176:$AD$905,($K554-$N$48)))&gt;0,IF(INDEX($AD$176:$AD$905,($K554-$N$48))="",0,INDEX($AD$176:$AD$905,($K554-$N$48))),0))="",0,IF(($K554-$N$48)&lt;1,0,IF(IF(INDEX($AD$176:$AD$905,($K554-$N$48))="",0,INDEX($AD$176:$AD$905,($K554-$N$48)))&gt;0,IF(INDEX($AD$176:$AD$905,($K554-$N$48))="",0,INDEX($AD$176:$AD$905,($K554-$N$48))),0))))</f>
        <v/>
      </c>
      <c r="AC554" s="22" t="str">
        <f t="shared" si="141"/>
        <v/>
      </c>
      <c r="AD554" s="22" t="str">
        <f t="shared" si="153"/>
        <v/>
      </c>
      <c r="AE554" s="22" t="str" cm="1">
        <f t="array" ref="AE554">IF(($K554-$N$48)&lt;1,"",IF((IF(INDEX($AC$176:$AC$905,($K554-$N$48))="",0,INDEX($AC$176:$AC$905,($K554-$N$48))))=0,"",(IF(INDEX($AC$176:$AC$905,($K554-$N$48))="",0,INDEX($AC$176:$AC$905,($K554-$N$48))))))</f>
        <v/>
      </c>
      <c r="AF554" s="31" t="str">
        <f t="shared" si="142"/>
        <v/>
      </c>
      <c r="AG554" s="31" t="str">
        <f t="shared" si="143"/>
        <v/>
      </c>
      <c r="AH554" s="31" t="str">
        <f t="shared" si="144"/>
        <v/>
      </c>
      <c r="AI554" s="31" t="str">
        <f t="shared" si="145"/>
        <v/>
      </c>
      <c r="AJ554" s="303" t="str">
        <f t="shared" si="146"/>
        <v/>
      </c>
      <c r="AK554" s="139" t="str">
        <f t="shared" si="147"/>
        <v/>
      </c>
      <c r="AM554" s="319"/>
      <c r="AN554" s="40"/>
      <c r="AO554" s="1"/>
    </row>
    <row r="555" spans="7:41" x14ac:dyDescent="0.25">
      <c r="G555" s="235" t="str">
        <f t="shared" si="154"/>
        <v/>
      </c>
      <c r="H555" s="4" t="str">
        <f t="shared" si="155"/>
        <v/>
      </c>
      <c r="I555" s="11" t="str">
        <f t="shared" si="135"/>
        <v>09.00</v>
      </c>
      <c r="K555" s="30">
        <v>380</v>
      </c>
      <c r="L555" s="29">
        <f t="shared" si="148"/>
        <v>11371.908376190917</v>
      </c>
      <c r="M555" s="28" t="str">
        <f t="shared" si="136"/>
        <v/>
      </c>
      <c r="N555" s="27" t="str">
        <f t="shared" si="149"/>
        <v/>
      </c>
      <c r="O555" s="26" t="str">
        <f>IF(AND($Q554=$O$38,IFERROR(LARGE($V$176:$V554,1)&lt;$N$42,TRUE)),1,IF(AND(ISNUMBER($O554),$O554&lt;$N$32),$O554+1,""))</f>
        <v/>
      </c>
      <c r="P555" s="26" t="str">
        <f t="shared" si="150"/>
        <v/>
      </c>
      <c r="Q555" s="26" t="str">
        <f t="shared" si="137"/>
        <v/>
      </c>
      <c r="R555" s="24" t="str">
        <f t="shared" si="151"/>
        <v/>
      </c>
      <c r="S555" s="180">
        <f t="shared" si="152"/>
        <v>9</v>
      </c>
      <c r="T555" s="151"/>
      <c r="U555" s="25" t="str">
        <f t="shared" si="138"/>
        <v/>
      </c>
      <c r="V555" s="24" t="str">
        <f>IF(AND(ISNUMBER(R554),ISNUMBER(R555)),V554,IF(AND(R554="",ISNUMBER(R555)),IFERROR(LARGE($V$176:$V554,1)+1,0),""))</f>
        <v/>
      </c>
      <c r="W555" s="23" t="str">
        <f t="shared" si="139"/>
        <v/>
      </c>
      <c r="X555" s="22" t="str">
        <f t="shared" si="140"/>
        <v/>
      </c>
      <c r="Y555" s="22"/>
      <c r="Z555" s="22"/>
      <c r="AA555" s="22"/>
      <c r="AB555" s="22" t="str" cm="1">
        <f t="array" ref="AB555">IF(IF(AND($P554="",$P555=1),($N$37*-1),0)+IF(AND($Q554="",$Q555=1),($N$38*-1),0)+IF(IF(($K555-$N$48)&lt;1,0,IF(IF(INDEX($AD$176:$AD$905,($K555-$N$48))="",0,INDEX($AD$176:$AD$905,($K555-$N$48)))&gt;0,IF(INDEX($AD$176:$AD$905,($K555-$N$48))="",0,INDEX($AD$176:$AD$905,($K555-$N$48))),0))="",0,IF(($K555-$N$48)&lt;1,0,IF(IF(INDEX($AD$176:$AD$905,($K555-$N$48))="",0,INDEX($AD$176:$AD$905,($K555-$N$48)))&gt;0,IF(INDEX($AD$176:$AD$905,($K555-$N$48))="",0,INDEX($AD$176:$AD$905,($K555-$N$48))),0)))=0,"",IF(AND($P554="",$P555=1),($N$37*-1),0)+IF(AND($Q554="",$Q555=1),($N$38*-1),0)+IF(IF(($K555-$N$48)&lt;1,0,IF(IF(INDEX($AD$176:$AD$905,($K555-$N$48))="",0,INDEX($AD$176:$AD$905,($K555-$N$48)))&gt;0,IF(INDEX($AD$176:$AD$905,($K555-$N$48))="",0,INDEX($AD$176:$AD$905,($K555-$N$48))),0))="",0,IF(($K555-$N$48)&lt;1,0,IF(IF(INDEX($AD$176:$AD$905,($K555-$N$48))="",0,INDEX($AD$176:$AD$905,($K555-$N$48)))&gt;0,IF(INDEX($AD$176:$AD$905,($K555-$N$48))="",0,INDEX($AD$176:$AD$905,($K555-$N$48))),0))))</f>
        <v/>
      </c>
      <c r="AC555" s="22" t="str">
        <f t="shared" si="141"/>
        <v/>
      </c>
      <c r="AD555" s="22" t="str">
        <f t="shared" si="153"/>
        <v/>
      </c>
      <c r="AE555" s="22" t="str" cm="1">
        <f t="array" ref="AE555">IF(($K555-$N$48)&lt;1,"",IF((IF(INDEX($AC$176:$AC$905,($K555-$N$48))="",0,INDEX($AC$176:$AC$905,($K555-$N$48))))=0,"",(IF(INDEX($AC$176:$AC$905,($K555-$N$48))="",0,INDEX($AC$176:$AC$905,($K555-$N$48))))))</f>
        <v/>
      </c>
      <c r="AF555" s="31" t="str">
        <f t="shared" si="142"/>
        <v/>
      </c>
      <c r="AG555" s="31" t="str">
        <f t="shared" si="143"/>
        <v/>
      </c>
      <c r="AH555" s="31" t="str">
        <f t="shared" si="144"/>
        <v/>
      </c>
      <c r="AI555" s="31" t="str">
        <f t="shared" si="145"/>
        <v/>
      </c>
      <c r="AJ555" s="303" t="str">
        <f t="shared" si="146"/>
        <v/>
      </c>
      <c r="AK555" s="139" t="str">
        <f t="shared" si="147"/>
        <v/>
      </c>
      <c r="AM555" s="319"/>
      <c r="AN555" s="40"/>
      <c r="AO555" s="1"/>
    </row>
    <row r="556" spans="7:41" x14ac:dyDescent="0.25">
      <c r="G556" s="235" t="str">
        <f t="shared" si="154"/>
        <v/>
      </c>
      <c r="H556" s="4" t="str">
        <f t="shared" si="155"/>
        <v/>
      </c>
      <c r="I556" s="11" t="str">
        <f t="shared" si="135"/>
        <v>09.00</v>
      </c>
      <c r="K556" s="30">
        <v>381</v>
      </c>
      <c r="L556" s="29">
        <f t="shared" si="148"/>
        <v>11371.908376190917</v>
      </c>
      <c r="M556" s="28" t="str">
        <f t="shared" si="136"/>
        <v/>
      </c>
      <c r="N556" s="27" t="str">
        <f t="shared" si="149"/>
        <v/>
      </c>
      <c r="O556" s="26" t="str">
        <f>IF(AND($Q555=$O$38,IFERROR(LARGE($V$176:$V555,1)&lt;$N$42,TRUE)),1,IF(AND(ISNUMBER($O555),$O555&lt;$N$32),$O555+1,""))</f>
        <v/>
      </c>
      <c r="P556" s="26" t="str">
        <f t="shared" si="150"/>
        <v/>
      </c>
      <c r="Q556" s="26" t="str">
        <f t="shared" si="137"/>
        <v/>
      </c>
      <c r="R556" s="24" t="str">
        <f t="shared" si="151"/>
        <v/>
      </c>
      <c r="S556" s="180">
        <f t="shared" si="152"/>
        <v>9</v>
      </c>
      <c r="T556" s="151"/>
      <c r="U556" s="25" t="str">
        <f t="shared" si="138"/>
        <v/>
      </c>
      <c r="V556" s="24" t="str">
        <f>IF(AND(ISNUMBER(R555),ISNUMBER(R556)),V555,IF(AND(R555="",ISNUMBER(R556)),IFERROR(LARGE($V$176:$V555,1)+1,0),""))</f>
        <v/>
      </c>
      <c r="W556" s="23" t="str">
        <f t="shared" si="139"/>
        <v/>
      </c>
      <c r="X556" s="22" t="str">
        <f t="shared" si="140"/>
        <v/>
      </c>
      <c r="Y556" s="22"/>
      <c r="Z556" s="22"/>
      <c r="AA556" s="22"/>
      <c r="AB556" s="22" t="str" cm="1">
        <f t="array" ref="AB556">IF(IF(AND($P555="",$P556=1),($N$37*-1),0)+IF(AND($Q555="",$Q556=1),($N$38*-1),0)+IF(IF(($K556-$N$48)&lt;1,0,IF(IF(INDEX($AD$176:$AD$905,($K556-$N$48))="",0,INDEX($AD$176:$AD$905,($K556-$N$48)))&gt;0,IF(INDEX($AD$176:$AD$905,($K556-$N$48))="",0,INDEX($AD$176:$AD$905,($K556-$N$48))),0))="",0,IF(($K556-$N$48)&lt;1,0,IF(IF(INDEX($AD$176:$AD$905,($K556-$N$48))="",0,INDEX($AD$176:$AD$905,($K556-$N$48)))&gt;0,IF(INDEX($AD$176:$AD$905,($K556-$N$48))="",0,INDEX($AD$176:$AD$905,($K556-$N$48))),0)))=0,"",IF(AND($P555="",$P556=1),($N$37*-1),0)+IF(AND($Q555="",$Q556=1),($N$38*-1),0)+IF(IF(($K556-$N$48)&lt;1,0,IF(IF(INDEX($AD$176:$AD$905,($K556-$N$48))="",0,INDEX($AD$176:$AD$905,($K556-$N$48)))&gt;0,IF(INDEX($AD$176:$AD$905,($K556-$N$48))="",0,INDEX($AD$176:$AD$905,($K556-$N$48))),0))="",0,IF(($K556-$N$48)&lt;1,0,IF(IF(INDEX($AD$176:$AD$905,($K556-$N$48))="",0,INDEX($AD$176:$AD$905,($K556-$N$48)))&gt;0,IF(INDEX($AD$176:$AD$905,($K556-$N$48))="",0,INDEX($AD$176:$AD$905,($K556-$N$48))),0))))</f>
        <v/>
      </c>
      <c r="AC556" s="22" t="str">
        <f t="shared" si="141"/>
        <v/>
      </c>
      <c r="AD556" s="22" t="str">
        <f t="shared" si="153"/>
        <v/>
      </c>
      <c r="AE556" s="22" t="str" cm="1">
        <f t="array" ref="AE556">IF(($K556-$N$48)&lt;1,"",IF((IF(INDEX($AC$176:$AC$905,($K556-$N$48))="",0,INDEX($AC$176:$AC$905,($K556-$N$48))))=0,"",(IF(INDEX($AC$176:$AC$905,($K556-$N$48))="",0,INDEX($AC$176:$AC$905,($K556-$N$48))))))</f>
        <v/>
      </c>
      <c r="AF556" s="31" t="str">
        <f t="shared" si="142"/>
        <v/>
      </c>
      <c r="AG556" s="31" t="str">
        <f t="shared" si="143"/>
        <v/>
      </c>
      <c r="AH556" s="31" t="str">
        <f t="shared" si="144"/>
        <v/>
      </c>
      <c r="AI556" s="31" t="str">
        <f t="shared" si="145"/>
        <v/>
      </c>
      <c r="AJ556" s="303" t="str">
        <f t="shared" si="146"/>
        <v/>
      </c>
      <c r="AK556" s="139" t="str">
        <f t="shared" si="147"/>
        <v/>
      </c>
      <c r="AM556" s="319"/>
      <c r="AN556" s="40"/>
      <c r="AO556" s="1"/>
    </row>
    <row r="557" spans="7:41" x14ac:dyDescent="0.25">
      <c r="G557" s="235" t="str">
        <f t="shared" si="154"/>
        <v/>
      </c>
      <c r="H557" s="4" t="str">
        <f t="shared" si="155"/>
        <v/>
      </c>
      <c r="I557" s="11" t="str">
        <f t="shared" si="135"/>
        <v>09.00</v>
      </c>
      <c r="K557" s="30">
        <v>382</v>
      </c>
      <c r="L557" s="29">
        <f t="shared" si="148"/>
        <v>11371.908376190917</v>
      </c>
      <c r="M557" s="28" t="str">
        <f t="shared" si="136"/>
        <v/>
      </c>
      <c r="N557" s="27" t="str">
        <f t="shared" si="149"/>
        <v/>
      </c>
      <c r="O557" s="26" t="str">
        <f>IF(AND($Q556=$O$38,IFERROR(LARGE($V$176:$V556,1)&lt;$N$42,TRUE)),1,IF(AND(ISNUMBER($O556),$O556&lt;$N$32),$O556+1,""))</f>
        <v/>
      </c>
      <c r="P557" s="26" t="str">
        <f t="shared" si="150"/>
        <v/>
      </c>
      <c r="Q557" s="26" t="str">
        <f t="shared" si="137"/>
        <v/>
      </c>
      <c r="R557" s="24" t="str">
        <f t="shared" si="151"/>
        <v/>
      </c>
      <c r="S557" s="180">
        <f t="shared" si="152"/>
        <v>9</v>
      </c>
      <c r="T557" s="151"/>
      <c r="U557" s="25" t="str">
        <f t="shared" si="138"/>
        <v/>
      </c>
      <c r="V557" s="24" t="str">
        <f>IF(AND(ISNUMBER(R556),ISNUMBER(R557)),V556,IF(AND(R556="",ISNUMBER(R557)),IFERROR(LARGE($V$176:$V556,1)+1,0),""))</f>
        <v/>
      </c>
      <c r="W557" s="23" t="str">
        <f t="shared" si="139"/>
        <v/>
      </c>
      <c r="X557" s="22" t="str">
        <f t="shared" si="140"/>
        <v/>
      </c>
      <c r="Y557" s="22"/>
      <c r="Z557" s="22"/>
      <c r="AA557" s="22"/>
      <c r="AB557" s="22" t="str" cm="1">
        <f t="array" ref="AB557">IF(IF(AND($P556="",$P557=1),($N$37*-1),0)+IF(AND($Q556="",$Q557=1),($N$38*-1),0)+IF(IF(($K557-$N$48)&lt;1,0,IF(IF(INDEX($AD$176:$AD$905,($K557-$N$48))="",0,INDEX($AD$176:$AD$905,($K557-$N$48)))&gt;0,IF(INDEX($AD$176:$AD$905,($K557-$N$48))="",0,INDEX($AD$176:$AD$905,($K557-$N$48))),0))="",0,IF(($K557-$N$48)&lt;1,0,IF(IF(INDEX($AD$176:$AD$905,($K557-$N$48))="",0,INDEX($AD$176:$AD$905,($K557-$N$48)))&gt;0,IF(INDEX($AD$176:$AD$905,($K557-$N$48))="",0,INDEX($AD$176:$AD$905,($K557-$N$48))),0)))=0,"",IF(AND($P556="",$P557=1),($N$37*-1),0)+IF(AND($Q556="",$Q557=1),($N$38*-1),0)+IF(IF(($K557-$N$48)&lt;1,0,IF(IF(INDEX($AD$176:$AD$905,($K557-$N$48))="",0,INDEX($AD$176:$AD$905,($K557-$N$48)))&gt;0,IF(INDEX($AD$176:$AD$905,($K557-$N$48))="",0,INDEX($AD$176:$AD$905,($K557-$N$48))),0))="",0,IF(($K557-$N$48)&lt;1,0,IF(IF(INDEX($AD$176:$AD$905,($K557-$N$48))="",0,INDEX($AD$176:$AD$905,($K557-$N$48)))&gt;0,IF(INDEX($AD$176:$AD$905,($K557-$N$48))="",0,INDEX($AD$176:$AD$905,($K557-$N$48))),0))))</f>
        <v/>
      </c>
      <c r="AC557" s="22" t="str">
        <f t="shared" si="141"/>
        <v/>
      </c>
      <c r="AD557" s="22" t="str">
        <f t="shared" si="153"/>
        <v/>
      </c>
      <c r="AE557" s="22" t="str" cm="1">
        <f t="array" ref="AE557">IF(($K557-$N$48)&lt;1,"",IF((IF(INDEX($AC$176:$AC$905,($K557-$N$48))="",0,INDEX($AC$176:$AC$905,($K557-$N$48))))=0,"",(IF(INDEX($AC$176:$AC$905,($K557-$N$48))="",0,INDEX($AC$176:$AC$905,($K557-$N$48))))))</f>
        <v/>
      </c>
      <c r="AF557" s="31" t="str">
        <f t="shared" si="142"/>
        <v/>
      </c>
      <c r="AG557" s="31" t="str">
        <f t="shared" si="143"/>
        <v/>
      </c>
      <c r="AH557" s="31" t="str">
        <f t="shared" si="144"/>
        <v/>
      </c>
      <c r="AI557" s="31" t="str">
        <f t="shared" si="145"/>
        <v/>
      </c>
      <c r="AJ557" s="303" t="str">
        <f t="shared" si="146"/>
        <v/>
      </c>
      <c r="AK557" s="139" t="str">
        <f t="shared" si="147"/>
        <v/>
      </c>
      <c r="AM557" s="319"/>
      <c r="AN557" s="40"/>
      <c r="AO557" s="1"/>
    </row>
    <row r="558" spans="7:41" x14ac:dyDescent="0.25">
      <c r="G558" s="235" t="str">
        <f t="shared" si="154"/>
        <v/>
      </c>
      <c r="H558" s="4" t="str">
        <f t="shared" si="155"/>
        <v/>
      </c>
      <c r="I558" s="11" t="str">
        <f t="shared" si="135"/>
        <v>09.00</v>
      </c>
      <c r="K558" s="30">
        <v>383</v>
      </c>
      <c r="L558" s="29">
        <f t="shared" si="148"/>
        <v>11371.908376190917</v>
      </c>
      <c r="M558" s="28" t="str">
        <f t="shared" si="136"/>
        <v/>
      </c>
      <c r="N558" s="27" t="str">
        <f t="shared" si="149"/>
        <v/>
      </c>
      <c r="O558" s="26" t="str">
        <f>IF(AND($Q557=$O$38,IFERROR(LARGE($V$176:$V557,1)&lt;$N$42,TRUE)),1,IF(AND(ISNUMBER($O557),$O557&lt;$N$32),$O557+1,""))</f>
        <v/>
      </c>
      <c r="P558" s="26" t="str">
        <f t="shared" si="150"/>
        <v/>
      </c>
      <c r="Q558" s="26" t="str">
        <f t="shared" si="137"/>
        <v/>
      </c>
      <c r="R558" s="24" t="str">
        <f t="shared" si="151"/>
        <v/>
      </c>
      <c r="S558" s="180">
        <f t="shared" si="152"/>
        <v>9</v>
      </c>
      <c r="T558" s="151"/>
      <c r="U558" s="25" t="str">
        <f t="shared" si="138"/>
        <v/>
      </c>
      <c r="V558" s="24" t="str">
        <f>IF(AND(ISNUMBER(R557),ISNUMBER(R558)),V557,IF(AND(R557="",ISNUMBER(R558)),IFERROR(LARGE($V$176:$V557,1)+1,0),""))</f>
        <v/>
      </c>
      <c r="W558" s="23" t="str">
        <f t="shared" si="139"/>
        <v/>
      </c>
      <c r="X558" s="22" t="str">
        <f t="shared" si="140"/>
        <v/>
      </c>
      <c r="Y558" s="22"/>
      <c r="Z558" s="22"/>
      <c r="AA558" s="22"/>
      <c r="AB558" s="22" t="str" cm="1">
        <f t="array" ref="AB558">IF(IF(AND($P557="",$P558=1),($N$37*-1),0)+IF(AND($Q557="",$Q558=1),($N$38*-1),0)+IF(IF(($K558-$N$48)&lt;1,0,IF(IF(INDEX($AD$176:$AD$905,($K558-$N$48))="",0,INDEX($AD$176:$AD$905,($K558-$N$48)))&gt;0,IF(INDEX($AD$176:$AD$905,($K558-$N$48))="",0,INDEX($AD$176:$AD$905,($K558-$N$48))),0))="",0,IF(($K558-$N$48)&lt;1,0,IF(IF(INDEX($AD$176:$AD$905,($K558-$N$48))="",0,INDEX($AD$176:$AD$905,($K558-$N$48)))&gt;0,IF(INDEX($AD$176:$AD$905,($K558-$N$48))="",0,INDEX($AD$176:$AD$905,($K558-$N$48))),0)))=0,"",IF(AND($P557="",$P558=1),($N$37*-1),0)+IF(AND($Q557="",$Q558=1),($N$38*-1),0)+IF(IF(($K558-$N$48)&lt;1,0,IF(IF(INDEX($AD$176:$AD$905,($K558-$N$48))="",0,INDEX($AD$176:$AD$905,($K558-$N$48)))&gt;0,IF(INDEX($AD$176:$AD$905,($K558-$N$48))="",0,INDEX($AD$176:$AD$905,($K558-$N$48))),0))="",0,IF(($K558-$N$48)&lt;1,0,IF(IF(INDEX($AD$176:$AD$905,($K558-$N$48))="",0,INDEX($AD$176:$AD$905,($K558-$N$48)))&gt;0,IF(INDEX($AD$176:$AD$905,($K558-$N$48))="",0,INDEX($AD$176:$AD$905,($K558-$N$48))),0))))</f>
        <v/>
      </c>
      <c r="AC558" s="22" t="str">
        <f t="shared" si="141"/>
        <v/>
      </c>
      <c r="AD558" s="22" t="str">
        <f t="shared" si="153"/>
        <v/>
      </c>
      <c r="AE558" s="22" t="str" cm="1">
        <f t="array" ref="AE558">IF(($K558-$N$48)&lt;1,"",IF((IF(INDEX($AC$176:$AC$905,($K558-$N$48))="",0,INDEX($AC$176:$AC$905,($K558-$N$48))))=0,"",(IF(INDEX($AC$176:$AC$905,($K558-$N$48))="",0,INDEX($AC$176:$AC$905,($K558-$N$48))))))</f>
        <v/>
      </c>
      <c r="AF558" s="31" t="str">
        <f t="shared" si="142"/>
        <v/>
      </c>
      <c r="AG558" s="31" t="str">
        <f t="shared" si="143"/>
        <v/>
      </c>
      <c r="AH558" s="31" t="str">
        <f t="shared" si="144"/>
        <v/>
      </c>
      <c r="AI558" s="31" t="str">
        <f t="shared" si="145"/>
        <v/>
      </c>
      <c r="AJ558" s="303" t="str">
        <f t="shared" si="146"/>
        <v/>
      </c>
      <c r="AK558" s="139" t="str">
        <f t="shared" si="147"/>
        <v/>
      </c>
      <c r="AM558" s="319"/>
      <c r="AN558" s="40"/>
      <c r="AO558" s="1"/>
    </row>
    <row r="559" spans="7:41" x14ac:dyDescent="0.25">
      <c r="G559" s="235" t="str">
        <f t="shared" si="154"/>
        <v/>
      </c>
      <c r="H559" s="4" t="str">
        <f t="shared" si="155"/>
        <v/>
      </c>
      <c r="I559" s="11" t="str">
        <f t="shared" si="135"/>
        <v>09.00</v>
      </c>
      <c r="K559" s="30">
        <v>384</v>
      </c>
      <c r="L559" s="29">
        <f t="shared" si="148"/>
        <v>11371.908376190917</v>
      </c>
      <c r="M559" s="28" t="str">
        <f t="shared" si="136"/>
        <v/>
      </c>
      <c r="N559" s="27" t="str">
        <f t="shared" si="149"/>
        <v/>
      </c>
      <c r="O559" s="26" t="str">
        <f>IF(AND($Q558=$O$38,IFERROR(LARGE($V$176:$V558,1)&lt;$N$42,TRUE)),1,IF(AND(ISNUMBER($O558),$O558&lt;$N$32),$O558+1,""))</f>
        <v/>
      </c>
      <c r="P559" s="26" t="str">
        <f t="shared" si="150"/>
        <v/>
      </c>
      <c r="Q559" s="26" t="str">
        <f t="shared" si="137"/>
        <v/>
      </c>
      <c r="R559" s="24" t="str">
        <f t="shared" si="151"/>
        <v/>
      </c>
      <c r="S559" s="180">
        <f t="shared" si="152"/>
        <v>9</v>
      </c>
      <c r="T559" s="151"/>
      <c r="U559" s="25" t="str">
        <f t="shared" si="138"/>
        <v/>
      </c>
      <c r="V559" s="24" t="str">
        <f>IF(AND(ISNUMBER(R558),ISNUMBER(R559)),V558,IF(AND(R558="",ISNUMBER(R559)),IFERROR(LARGE($V$176:$V558,1)+1,0),""))</f>
        <v/>
      </c>
      <c r="W559" s="23" t="str">
        <f t="shared" si="139"/>
        <v/>
      </c>
      <c r="X559" s="22" t="str">
        <f t="shared" si="140"/>
        <v/>
      </c>
      <c r="Y559" s="22"/>
      <c r="Z559" s="22"/>
      <c r="AA559" s="22"/>
      <c r="AB559" s="22" t="str" cm="1">
        <f t="array" ref="AB559">IF(IF(AND($P558="",$P559=1),($N$37*-1),0)+IF(AND($Q558="",$Q559=1),($N$38*-1),0)+IF(IF(($K559-$N$48)&lt;1,0,IF(IF(INDEX($AD$176:$AD$905,($K559-$N$48))="",0,INDEX($AD$176:$AD$905,($K559-$N$48)))&gt;0,IF(INDEX($AD$176:$AD$905,($K559-$N$48))="",0,INDEX($AD$176:$AD$905,($K559-$N$48))),0))="",0,IF(($K559-$N$48)&lt;1,0,IF(IF(INDEX($AD$176:$AD$905,($K559-$N$48))="",0,INDEX($AD$176:$AD$905,($K559-$N$48)))&gt;0,IF(INDEX($AD$176:$AD$905,($K559-$N$48))="",0,INDEX($AD$176:$AD$905,($K559-$N$48))),0)))=0,"",IF(AND($P558="",$P559=1),($N$37*-1),0)+IF(AND($Q558="",$Q559=1),($N$38*-1),0)+IF(IF(($K559-$N$48)&lt;1,0,IF(IF(INDEX($AD$176:$AD$905,($K559-$N$48))="",0,INDEX($AD$176:$AD$905,($K559-$N$48)))&gt;0,IF(INDEX($AD$176:$AD$905,($K559-$N$48))="",0,INDEX($AD$176:$AD$905,($K559-$N$48))),0))="",0,IF(($K559-$N$48)&lt;1,0,IF(IF(INDEX($AD$176:$AD$905,($K559-$N$48))="",0,INDEX($AD$176:$AD$905,($K559-$N$48)))&gt;0,IF(INDEX($AD$176:$AD$905,($K559-$N$48))="",0,INDEX($AD$176:$AD$905,($K559-$N$48))),0))))</f>
        <v/>
      </c>
      <c r="AC559" s="22" t="str">
        <f t="shared" si="141"/>
        <v/>
      </c>
      <c r="AD559" s="22" t="str">
        <f t="shared" si="153"/>
        <v/>
      </c>
      <c r="AE559" s="22" t="str" cm="1">
        <f t="array" ref="AE559">IF(($K559-$N$48)&lt;1,"",IF((IF(INDEX($AC$176:$AC$905,($K559-$N$48))="",0,INDEX($AC$176:$AC$905,($K559-$N$48))))=0,"",(IF(INDEX($AC$176:$AC$905,($K559-$N$48))="",0,INDEX($AC$176:$AC$905,($K559-$N$48))))))</f>
        <v/>
      </c>
      <c r="AF559" s="31" t="str">
        <f t="shared" si="142"/>
        <v/>
      </c>
      <c r="AG559" s="31" t="str">
        <f t="shared" si="143"/>
        <v/>
      </c>
      <c r="AH559" s="31" t="str">
        <f t="shared" si="144"/>
        <v/>
      </c>
      <c r="AI559" s="31" t="str">
        <f t="shared" si="145"/>
        <v/>
      </c>
      <c r="AJ559" s="303" t="str">
        <f t="shared" si="146"/>
        <v/>
      </c>
      <c r="AK559" s="139" t="str">
        <f t="shared" si="147"/>
        <v/>
      </c>
      <c r="AM559" s="319"/>
      <c r="AN559" s="40"/>
      <c r="AO559" s="1"/>
    </row>
    <row r="560" spans="7:41" x14ac:dyDescent="0.25">
      <c r="G560" s="235" t="str">
        <f t="shared" si="154"/>
        <v/>
      </c>
      <c r="H560" s="4" t="str">
        <f t="shared" si="155"/>
        <v/>
      </c>
      <c r="I560" s="11" t="str">
        <f t="shared" ref="I560:I623" si="156">CONCATENATE(IF(LEN(ROUNDDOWN(S560,0))=1,CONCATENATE("0",ROUNDDOWN(S560,0)),ROUNDDOWN(S560,0)),".",IF(LEN(ROUND(MOD(S560,1)*100,0))=1,CONCATENATE("0",ROUND(MOD(S560,1)*100,0)),ROUND(MOD(S560,1)*100,0)),IF(N560&lt;&gt;"",".N.",IF(O560&lt;&gt;"",".R.",IF(P560&lt;&gt;"",".O.",IF(Q560&lt;&gt;"",".I.",IF(R560&lt;&gt;"",".D.",""))))),IF(N560&lt;&gt;"",N560,IF(O560&lt;&gt;"",O560,IF(P560&lt;&gt;"",P560,IF(Q560&lt;&gt;"",Q560,IF(R560&lt;&gt;"",IF(MOD(R560,$N$44)=0,$N$44,MOD(R560,$N$44)),""))))))</f>
        <v>09.00</v>
      </c>
      <c r="K560" s="30">
        <v>385</v>
      </c>
      <c r="L560" s="29">
        <f t="shared" si="148"/>
        <v>11371.908376190917</v>
      </c>
      <c r="M560" s="28" t="str">
        <f t="shared" ref="M560:M623" si="157">IFERROR(IF(IF($K560=1,(($M$23*-1)+($M$24*-1)),IF(ISNUMBER(W560),W560,0)+IF(ISNUMBER(X560),X560,0)+IF(ISNUMBER(AB560),AB560,0)+IF(ISNUMBER(AE560),AE560,0)+IF(ISNUMBER(AF560),AF560,0)+IF(ISNUMBER(AG560),AG560,0)+IF(ISNUMBER(AH560),AH560,0)+IF(ISNUMBER(AI560),AI560,0)+IF(ISNUMBER(AK560),AK560,0))=0,"",IF($K560=1,(($M$23*-1)+($M$24*-1)),IF(ISNUMBER(W560),W560,0)+IF(ISNUMBER(X560),X560,0)+IF(ISNUMBER(AB560),AB560,0)+IF(ISNUMBER(AE560),AE560,0)+IF(ISNUMBER(AF560),AF560,0)+IF(ISNUMBER(AG560),AG560,0)+IF(ISNUMBER(AH560),AH560,0)+IF(ISNUMBER(AI560),AI560,0)+IF(ISNUMBER(AK560),AK560,0))),"")</f>
        <v/>
      </c>
      <c r="N560" s="27" t="str">
        <f t="shared" si="149"/>
        <v/>
      </c>
      <c r="O560" s="26" t="str">
        <f>IF(AND($Q559=$O$38,IFERROR(LARGE($V$176:$V559,1)&lt;$N$42,TRUE)),1,IF(AND(ISNUMBER($O559),$O559&lt;$N$32),$O559+1,""))</f>
        <v/>
      </c>
      <c r="P560" s="26" t="str">
        <f t="shared" si="150"/>
        <v/>
      </c>
      <c r="Q560" s="26" t="str">
        <f t="shared" ref="Q560:Q623" si="158">IF($R559=($N$43*$N$44),1,IF(AND(ISNUMBER($Q559),$Q559&lt;$O$38),$Q559+1,""))</f>
        <v/>
      </c>
      <c r="R560" s="24" t="str">
        <f t="shared" si="151"/>
        <v/>
      </c>
      <c r="S560" s="180">
        <f t="shared" si="152"/>
        <v>9</v>
      </c>
      <c r="T560" s="151"/>
      <c r="U560" s="25" t="str">
        <f t="shared" ref="U560:U623" si="159">IF(ISNUMBER($R560),ROUNDUP($R560/$N$44,0),"")</f>
        <v/>
      </c>
      <c r="V560" s="24" t="str">
        <f>IF(AND(ISNUMBER(R559),ISNUMBER(R560)),V559,IF(AND(R559="",ISNUMBER(R560)),IFERROR(LARGE($V$176:$V559,1)+1,0),""))</f>
        <v/>
      </c>
      <c r="W560" s="23" t="str">
        <f t="shared" ref="W560:W623" si="160">IF($O560=1,($M$30*-1),"")</f>
        <v/>
      </c>
      <c r="X560" s="22" t="str">
        <f t="shared" ref="X560:X623" si="161">IF($K560=1,($M$24*-1),IF($O560=1,($M$31*-1),""))</f>
        <v/>
      </c>
      <c r="Y560" s="22"/>
      <c r="Z560" s="22"/>
      <c r="AA560" s="22"/>
      <c r="AB560" s="22" t="str" cm="1">
        <f t="array" ref="AB560">IF(IF(AND($P559="",$P560=1),($N$37*-1),0)+IF(AND($Q559="",$Q560=1),($N$38*-1),0)+IF(IF(($K560-$N$48)&lt;1,0,IF(IF(INDEX($AD$176:$AD$905,($K560-$N$48))="",0,INDEX($AD$176:$AD$905,($K560-$N$48)))&gt;0,IF(INDEX($AD$176:$AD$905,($K560-$N$48))="",0,INDEX($AD$176:$AD$905,($K560-$N$48))),0))="",0,IF(($K560-$N$48)&lt;1,0,IF(IF(INDEX($AD$176:$AD$905,($K560-$N$48))="",0,INDEX($AD$176:$AD$905,($K560-$N$48)))&gt;0,IF(INDEX($AD$176:$AD$905,($K560-$N$48))="",0,INDEX($AD$176:$AD$905,($K560-$N$48))),0)))=0,"",IF(AND($P559="",$P560=1),($N$37*-1),0)+IF(AND($Q559="",$Q560=1),($N$38*-1),0)+IF(IF(($K560-$N$48)&lt;1,0,IF(IF(INDEX($AD$176:$AD$905,($K560-$N$48))="",0,INDEX($AD$176:$AD$905,($K560-$N$48)))&gt;0,IF(INDEX($AD$176:$AD$905,($K560-$N$48))="",0,INDEX($AD$176:$AD$905,($K560-$N$48))),0))="",0,IF(($K560-$N$48)&lt;1,0,IF(IF(INDEX($AD$176:$AD$905,($K560-$N$48))="",0,INDEX($AD$176:$AD$905,($K560-$N$48)))&gt;0,IF(INDEX($AD$176:$AD$905,($K560-$N$48))="",0,INDEX($AD$176:$AD$905,($K560-$N$48))),0))))</f>
        <v/>
      </c>
      <c r="AC560" s="22" t="str">
        <f t="shared" ref="AC560:AC623" si="162">IF(IF(OR(AND(ISNUMBER($U560),IF(ISNUMBER($U561),$U561,0)-IF(ISNUMBER($U560),$U560,0)=1),AND(ISNUMBER($U560),$U561="")),VLOOKUP(IF($U560&gt;$L$63,$L$63,$U560),$L$52:$N$63,COLUMNS($L$52:$N$52),FALSE),0)=0,"",IF(OR(AND(ISNUMBER($U560),IF(ISNUMBER($U561),$U561,0)-IF(ISNUMBER($U560),$U560,0)=1),AND(ISNUMBER($U560),$U561="")),VLOOKUP(IF($U560&gt;$L$63,$L$63,$U560),$L$52:$N$63,COLUMNS($L$52:$N$52),FALSE),0))</f>
        <v/>
      </c>
      <c r="AD560" s="22" t="str">
        <f t="shared" si="153"/>
        <v/>
      </c>
      <c r="AE560" s="22" t="str" cm="1">
        <f t="array" ref="AE560">IF(($K560-$N$48)&lt;1,"",IF((IF(INDEX($AC$176:$AC$905,($K560-$N$48))="",0,INDEX($AC$176:$AC$905,($K560-$N$48))))=0,"",(IF(INDEX($AC$176:$AC$905,($K560-$N$48))="",0,INDEX($AC$176:$AC$905,($K560-$N$48))))))</f>
        <v/>
      </c>
      <c r="AF560" s="31" t="str">
        <f t="shared" ref="AF560:AF623" si="163">IF($O$67="Invoice",IF(AND(ISNUMBER($AC560),ISNUMBER($O$68)),$AC560*$O$68*-1,""),IF($O$67="Payment",IF(AND(ISNUMBER($AE560),ISNUMBER($O$68)),$AE560*$O$68*-1,""),""))</f>
        <v/>
      </c>
      <c r="AG560" s="31" t="str">
        <f t="shared" ref="AG560:AG623" si="164">IF($O$67="Invoice",IF(AND(ISNUMBER($AC560),ISNUMBER($O$69)),$AC560*$O$69*-1,""),IF($O$67="Payment",IF(AND(ISNUMBER($AE560),ISNUMBER($O$69)),$AE560*$O$69*-1,""),""))</f>
        <v/>
      </c>
      <c r="AH560" s="31" t="str">
        <f t="shared" ref="AH560:AH623" si="165">IF($O$67="Invoice",IF(AND(ISNUMBER($AC560),ISNUMBER($O$70)),$AC560*$O$70*-1,""),IF($O$67="Payment",IF(AND(ISNUMBER($AE560),ISNUMBER($O$70)),$AE560*$O$70*-1,""),""))</f>
        <v/>
      </c>
      <c r="AI560" s="31" t="str">
        <f t="shared" ref="AI560:AI623" si="166">IF($O$67="Invoice",IF(AND(ISNUMBER($AC560),ISNUMBER($O$71)),$AC560*$O$71*-1,""),IF($O$67="Payment",IF(AND(ISNUMBER($AE560),ISNUMBER($O$71)),$AE560*$O$71*-1,""),""))</f>
        <v/>
      </c>
      <c r="AJ560" s="303" t="str">
        <f t="shared" ref="AJ560:AJ623" si="167">IF($O$67="Invoice",IF(AND(ISNUMBER($AC560),ISNUMBER($O$72)),$AC560*$O$72*-1,""),IF($O$67="Payment",IF(AND(ISNUMBER($AE560),ISNUMBER($O$72)),$AE560*$O$72*-1,""),""))</f>
        <v/>
      </c>
      <c r="AK560" s="139" t="str">
        <f t="shared" ref="AK560:AK623" si="168">IF($O$67="Invoice",IF(AND(ISNUMBER($AC560),ISNUMBER($O$73)),$AC560*$O$73*-1,""),IF($O$67="Payment",IF(AND(ISNUMBER($AE560),ISNUMBER($O$73)),$AE560*$O$73*-1,""),""))</f>
        <v/>
      </c>
      <c r="AM560" s="319"/>
      <c r="AN560" s="40"/>
      <c r="AO560" s="1"/>
    </row>
    <row r="561" spans="7:41" x14ac:dyDescent="0.25">
      <c r="G561" s="235" t="str">
        <f t="shared" si="154"/>
        <v/>
      </c>
      <c r="H561" s="4" t="str">
        <f t="shared" si="155"/>
        <v/>
      </c>
      <c r="I561" s="11" t="str">
        <f t="shared" si="156"/>
        <v>09.00</v>
      </c>
      <c r="K561" s="30">
        <v>386</v>
      </c>
      <c r="L561" s="29">
        <f t="shared" ref="L561:L624" si="169">IF(ISNUMBER($M561),$M561+$L560,$L560)</f>
        <v>11371.908376190917</v>
      </c>
      <c r="M561" s="28" t="str">
        <f t="shared" si="157"/>
        <v/>
      </c>
      <c r="N561" s="27" t="str">
        <f t="shared" ref="N561:N624" si="170">IF($K560&lt;$N$25,$N560+1,"")</f>
        <v/>
      </c>
      <c r="O561" s="26" t="str">
        <f>IF(AND($Q560=$O$38,IFERROR(LARGE($V$176:$V560,1)&lt;$N$42,TRUE)),1,IF(AND(ISNUMBER($O560),$O560&lt;$N$32),$O560+1,""))</f>
        <v/>
      </c>
      <c r="P561" s="26" t="str">
        <f t="shared" ref="P561:P624" si="171">IF(OR($N560=$N$25,O560=$N$32),1,IF(AND($P560&lt;$O$37,P560&gt;0),P560+1,""))</f>
        <v/>
      </c>
      <c r="Q561" s="26" t="str">
        <f t="shared" si="158"/>
        <v/>
      </c>
      <c r="R561" s="24" t="str">
        <f t="shared" ref="R561:R624" si="172">IF(AND($P560=$O$37,$R560=""),1,IF($R560&lt;($N$43*$N$44),$R560+1,""))</f>
        <v/>
      </c>
      <c r="S561" s="180">
        <f t="shared" si="152"/>
        <v>9</v>
      </c>
      <c r="T561" s="151"/>
      <c r="U561" s="25" t="str">
        <f t="shared" si="159"/>
        <v/>
      </c>
      <c r="V561" s="24" t="str">
        <f>IF(AND(ISNUMBER(R560),ISNUMBER(R561)),V560,IF(AND(R560="",ISNUMBER(R561)),IFERROR(LARGE($V$176:$V560,1)+1,0),""))</f>
        <v/>
      </c>
      <c r="W561" s="23" t="str">
        <f t="shared" si="160"/>
        <v/>
      </c>
      <c r="X561" s="22" t="str">
        <f t="shared" si="161"/>
        <v/>
      </c>
      <c r="Y561" s="22"/>
      <c r="Z561" s="22"/>
      <c r="AA561" s="22"/>
      <c r="AB561" s="22" t="str" cm="1">
        <f t="array" ref="AB561">IF(IF(AND($P560="",$P561=1),($N$37*-1),0)+IF(AND($Q560="",$Q561=1),($N$38*-1),0)+IF(IF(($K561-$N$48)&lt;1,0,IF(IF(INDEX($AD$176:$AD$905,($K561-$N$48))="",0,INDEX($AD$176:$AD$905,($K561-$N$48)))&gt;0,IF(INDEX($AD$176:$AD$905,($K561-$N$48))="",0,INDEX($AD$176:$AD$905,($K561-$N$48))),0))="",0,IF(($K561-$N$48)&lt;1,0,IF(IF(INDEX($AD$176:$AD$905,($K561-$N$48))="",0,INDEX($AD$176:$AD$905,($K561-$N$48)))&gt;0,IF(INDEX($AD$176:$AD$905,($K561-$N$48))="",0,INDEX($AD$176:$AD$905,($K561-$N$48))),0)))=0,"",IF(AND($P560="",$P561=1),($N$37*-1),0)+IF(AND($Q560="",$Q561=1),($N$38*-1),0)+IF(IF(($K561-$N$48)&lt;1,0,IF(IF(INDEX($AD$176:$AD$905,($K561-$N$48))="",0,INDEX($AD$176:$AD$905,($K561-$N$48)))&gt;0,IF(INDEX($AD$176:$AD$905,($K561-$N$48))="",0,INDEX($AD$176:$AD$905,($K561-$N$48))),0))="",0,IF(($K561-$N$48)&lt;1,0,IF(IF(INDEX($AD$176:$AD$905,($K561-$N$48))="",0,INDEX($AD$176:$AD$905,($K561-$N$48)))&gt;0,IF(INDEX($AD$176:$AD$905,($K561-$N$48))="",0,INDEX($AD$176:$AD$905,($K561-$N$48))),0))))</f>
        <v/>
      </c>
      <c r="AC561" s="22" t="str">
        <f t="shared" si="162"/>
        <v/>
      </c>
      <c r="AD561" s="22" t="str">
        <f t="shared" si="153"/>
        <v/>
      </c>
      <c r="AE561" s="22" t="str" cm="1">
        <f t="array" ref="AE561">IF(($K561-$N$48)&lt;1,"",IF((IF(INDEX($AC$176:$AC$905,($K561-$N$48))="",0,INDEX($AC$176:$AC$905,($K561-$N$48))))=0,"",(IF(INDEX($AC$176:$AC$905,($K561-$N$48))="",0,INDEX($AC$176:$AC$905,($K561-$N$48))))))</f>
        <v/>
      </c>
      <c r="AF561" s="31" t="str">
        <f t="shared" si="163"/>
        <v/>
      </c>
      <c r="AG561" s="31" t="str">
        <f t="shared" si="164"/>
        <v/>
      </c>
      <c r="AH561" s="31" t="str">
        <f t="shared" si="165"/>
        <v/>
      </c>
      <c r="AI561" s="31" t="str">
        <f t="shared" si="166"/>
        <v/>
      </c>
      <c r="AJ561" s="303" t="str">
        <f t="shared" si="167"/>
        <v/>
      </c>
      <c r="AK561" s="139" t="str">
        <f t="shared" si="168"/>
        <v/>
      </c>
      <c r="AM561" s="319"/>
      <c r="AN561" s="40"/>
      <c r="AO561" s="1"/>
    </row>
    <row r="562" spans="7:41" x14ac:dyDescent="0.25">
      <c r="G562" s="235" t="str">
        <f t="shared" si="154"/>
        <v/>
      </c>
      <c r="H562" s="4" t="str">
        <f t="shared" si="155"/>
        <v/>
      </c>
      <c r="I562" s="11" t="str">
        <f t="shared" si="156"/>
        <v>09.00</v>
      </c>
      <c r="K562" s="30">
        <v>387</v>
      </c>
      <c r="L562" s="29">
        <f t="shared" si="169"/>
        <v>11371.908376190917</v>
      </c>
      <c r="M562" s="28" t="str">
        <f t="shared" si="157"/>
        <v/>
      </c>
      <c r="N562" s="27" t="str">
        <f t="shared" si="170"/>
        <v/>
      </c>
      <c r="O562" s="26" t="str">
        <f>IF(AND($Q561=$O$38,IFERROR(LARGE($V$176:$V561,1)&lt;$N$42,TRUE)),1,IF(AND(ISNUMBER($O561),$O561&lt;$N$32),$O561+1,""))</f>
        <v/>
      </c>
      <c r="P562" s="26" t="str">
        <f t="shared" si="171"/>
        <v/>
      </c>
      <c r="Q562" s="26" t="str">
        <f t="shared" si="158"/>
        <v/>
      </c>
      <c r="R562" s="24" t="str">
        <f t="shared" si="172"/>
        <v/>
      </c>
      <c r="S562" s="180">
        <f t="shared" si="152"/>
        <v>9</v>
      </c>
      <c r="T562" s="151"/>
      <c r="U562" s="25" t="str">
        <f t="shared" si="159"/>
        <v/>
      </c>
      <c r="V562" s="24" t="str">
        <f>IF(AND(ISNUMBER(R561),ISNUMBER(R562)),V561,IF(AND(R561="",ISNUMBER(R562)),IFERROR(LARGE($V$176:$V561,1)+1,0),""))</f>
        <v/>
      </c>
      <c r="W562" s="23" t="str">
        <f t="shared" si="160"/>
        <v/>
      </c>
      <c r="X562" s="22" t="str">
        <f t="shared" si="161"/>
        <v/>
      </c>
      <c r="Y562" s="22"/>
      <c r="Z562" s="22"/>
      <c r="AA562" s="22"/>
      <c r="AB562" s="22" t="str" cm="1">
        <f t="array" ref="AB562">IF(IF(AND($P561="",$P562=1),($N$37*-1),0)+IF(AND($Q561="",$Q562=1),($N$38*-1),0)+IF(IF(($K562-$N$48)&lt;1,0,IF(IF(INDEX($AD$176:$AD$905,($K562-$N$48))="",0,INDEX($AD$176:$AD$905,($K562-$N$48)))&gt;0,IF(INDEX($AD$176:$AD$905,($K562-$N$48))="",0,INDEX($AD$176:$AD$905,($K562-$N$48))),0))="",0,IF(($K562-$N$48)&lt;1,0,IF(IF(INDEX($AD$176:$AD$905,($K562-$N$48))="",0,INDEX($AD$176:$AD$905,($K562-$N$48)))&gt;0,IF(INDEX($AD$176:$AD$905,($K562-$N$48))="",0,INDEX($AD$176:$AD$905,($K562-$N$48))),0)))=0,"",IF(AND($P561="",$P562=1),($N$37*-1),0)+IF(AND($Q561="",$Q562=1),($N$38*-1),0)+IF(IF(($K562-$N$48)&lt;1,0,IF(IF(INDEX($AD$176:$AD$905,($K562-$N$48))="",0,INDEX($AD$176:$AD$905,($K562-$N$48)))&gt;0,IF(INDEX($AD$176:$AD$905,($K562-$N$48))="",0,INDEX($AD$176:$AD$905,($K562-$N$48))),0))="",0,IF(($K562-$N$48)&lt;1,0,IF(IF(INDEX($AD$176:$AD$905,($K562-$N$48))="",0,INDEX($AD$176:$AD$905,($K562-$N$48)))&gt;0,IF(INDEX($AD$176:$AD$905,($K562-$N$48))="",0,INDEX($AD$176:$AD$905,($K562-$N$48))),0))))</f>
        <v/>
      </c>
      <c r="AC562" s="22" t="str">
        <f t="shared" si="162"/>
        <v/>
      </c>
      <c r="AD562" s="22" t="str">
        <f t="shared" si="153"/>
        <v/>
      </c>
      <c r="AE562" s="22" t="str" cm="1">
        <f t="array" ref="AE562">IF(($K562-$N$48)&lt;1,"",IF((IF(INDEX($AC$176:$AC$905,($K562-$N$48))="",0,INDEX($AC$176:$AC$905,($K562-$N$48))))=0,"",(IF(INDEX($AC$176:$AC$905,($K562-$N$48))="",0,INDEX($AC$176:$AC$905,($K562-$N$48))))))</f>
        <v/>
      </c>
      <c r="AF562" s="31" t="str">
        <f t="shared" si="163"/>
        <v/>
      </c>
      <c r="AG562" s="31" t="str">
        <f t="shared" si="164"/>
        <v/>
      </c>
      <c r="AH562" s="31" t="str">
        <f t="shared" si="165"/>
        <v/>
      </c>
      <c r="AI562" s="31" t="str">
        <f t="shared" si="166"/>
        <v/>
      </c>
      <c r="AJ562" s="303" t="str">
        <f t="shared" si="167"/>
        <v/>
      </c>
      <c r="AK562" s="139" t="str">
        <f t="shared" si="168"/>
        <v/>
      </c>
      <c r="AM562" s="319"/>
      <c r="AN562" s="40"/>
      <c r="AO562" s="1"/>
    </row>
    <row r="563" spans="7:41" x14ac:dyDescent="0.25">
      <c r="G563" s="235" t="str">
        <f t="shared" si="154"/>
        <v/>
      </c>
      <c r="H563" s="4" t="str">
        <f t="shared" si="155"/>
        <v/>
      </c>
      <c r="I563" s="11" t="str">
        <f t="shared" si="156"/>
        <v>09.00</v>
      </c>
      <c r="K563" s="30">
        <v>388</v>
      </c>
      <c r="L563" s="29">
        <f t="shared" si="169"/>
        <v>11371.908376190917</v>
      </c>
      <c r="M563" s="28" t="str">
        <f t="shared" si="157"/>
        <v/>
      </c>
      <c r="N563" s="27" t="str">
        <f t="shared" si="170"/>
        <v/>
      </c>
      <c r="O563" s="26" t="str">
        <f>IF(AND($Q562=$O$38,IFERROR(LARGE($V$176:$V562,1)&lt;$N$42,TRUE)),1,IF(AND(ISNUMBER($O562),$O562&lt;$N$32),$O562+1,""))</f>
        <v/>
      </c>
      <c r="P563" s="26" t="str">
        <f t="shared" si="171"/>
        <v/>
      </c>
      <c r="Q563" s="26" t="str">
        <f t="shared" si="158"/>
        <v/>
      </c>
      <c r="R563" s="24" t="str">
        <f t="shared" si="172"/>
        <v/>
      </c>
      <c r="S563" s="180">
        <f t="shared" si="152"/>
        <v>9</v>
      </c>
      <c r="T563" s="151"/>
      <c r="U563" s="25" t="str">
        <f t="shared" si="159"/>
        <v/>
      </c>
      <c r="V563" s="24" t="str">
        <f>IF(AND(ISNUMBER(R562),ISNUMBER(R563)),V562,IF(AND(R562="",ISNUMBER(R563)),IFERROR(LARGE($V$176:$V562,1)+1,0),""))</f>
        <v/>
      </c>
      <c r="W563" s="23" t="str">
        <f t="shared" si="160"/>
        <v/>
      </c>
      <c r="X563" s="22" t="str">
        <f t="shared" si="161"/>
        <v/>
      </c>
      <c r="Y563" s="22"/>
      <c r="Z563" s="22"/>
      <c r="AA563" s="22"/>
      <c r="AB563" s="22" t="str" cm="1">
        <f t="array" ref="AB563">IF(IF(AND($P562="",$P563=1),($N$37*-1),0)+IF(AND($Q562="",$Q563=1),($N$38*-1),0)+IF(IF(($K563-$N$48)&lt;1,0,IF(IF(INDEX($AD$176:$AD$905,($K563-$N$48))="",0,INDEX($AD$176:$AD$905,($K563-$N$48)))&gt;0,IF(INDEX($AD$176:$AD$905,($K563-$N$48))="",0,INDEX($AD$176:$AD$905,($K563-$N$48))),0))="",0,IF(($K563-$N$48)&lt;1,0,IF(IF(INDEX($AD$176:$AD$905,($K563-$N$48))="",0,INDEX($AD$176:$AD$905,($K563-$N$48)))&gt;0,IF(INDEX($AD$176:$AD$905,($K563-$N$48))="",0,INDEX($AD$176:$AD$905,($K563-$N$48))),0)))=0,"",IF(AND($P562="",$P563=1),($N$37*-1),0)+IF(AND($Q562="",$Q563=1),($N$38*-1),0)+IF(IF(($K563-$N$48)&lt;1,0,IF(IF(INDEX($AD$176:$AD$905,($K563-$N$48))="",0,INDEX($AD$176:$AD$905,($K563-$N$48)))&gt;0,IF(INDEX($AD$176:$AD$905,($K563-$N$48))="",0,INDEX($AD$176:$AD$905,($K563-$N$48))),0))="",0,IF(($K563-$N$48)&lt;1,0,IF(IF(INDEX($AD$176:$AD$905,($K563-$N$48))="",0,INDEX($AD$176:$AD$905,($K563-$N$48)))&gt;0,IF(INDEX($AD$176:$AD$905,($K563-$N$48))="",0,INDEX($AD$176:$AD$905,($K563-$N$48))),0))))</f>
        <v/>
      </c>
      <c r="AC563" s="22" t="str">
        <f t="shared" si="162"/>
        <v/>
      </c>
      <c r="AD563" s="22" t="str">
        <f t="shared" si="153"/>
        <v/>
      </c>
      <c r="AE563" s="22" t="str" cm="1">
        <f t="array" ref="AE563">IF(($K563-$N$48)&lt;1,"",IF((IF(INDEX($AC$176:$AC$905,($K563-$N$48))="",0,INDEX($AC$176:$AC$905,($K563-$N$48))))=0,"",(IF(INDEX($AC$176:$AC$905,($K563-$N$48))="",0,INDEX($AC$176:$AC$905,($K563-$N$48))))))</f>
        <v/>
      </c>
      <c r="AF563" s="31" t="str">
        <f t="shared" si="163"/>
        <v/>
      </c>
      <c r="AG563" s="31" t="str">
        <f t="shared" si="164"/>
        <v/>
      </c>
      <c r="AH563" s="31" t="str">
        <f t="shared" si="165"/>
        <v/>
      </c>
      <c r="AI563" s="31" t="str">
        <f t="shared" si="166"/>
        <v/>
      </c>
      <c r="AJ563" s="303" t="str">
        <f t="shared" si="167"/>
        <v/>
      </c>
      <c r="AK563" s="139" t="str">
        <f t="shared" si="168"/>
        <v/>
      </c>
      <c r="AM563" s="319"/>
      <c r="AN563" s="40"/>
      <c r="AO563" s="1"/>
    </row>
    <row r="564" spans="7:41" x14ac:dyDescent="0.25">
      <c r="G564" s="235" t="str">
        <f t="shared" si="154"/>
        <v/>
      </c>
      <c r="H564" s="4" t="str">
        <f t="shared" si="155"/>
        <v/>
      </c>
      <c r="I564" s="11" t="str">
        <f t="shared" si="156"/>
        <v>09.00</v>
      </c>
      <c r="K564" s="30">
        <v>389</v>
      </c>
      <c r="L564" s="29">
        <f t="shared" si="169"/>
        <v>11371.908376190917</v>
      </c>
      <c r="M564" s="28" t="str">
        <f t="shared" si="157"/>
        <v/>
      </c>
      <c r="N564" s="27" t="str">
        <f t="shared" si="170"/>
        <v/>
      </c>
      <c r="O564" s="26" t="str">
        <f>IF(AND($Q563=$O$38,IFERROR(LARGE($V$176:$V563,1)&lt;$N$42,TRUE)),1,IF(AND(ISNUMBER($O563),$O563&lt;$N$32),$O563+1,""))</f>
        <v/>
      </c>
      <c r="P564" s="26" t="str">
        <f t="shared" si="171"/>
        <v/>
      </c>
      <c r="Q564" s="26" t="str">
        <f t="shared" si="158"/>
        <v/>
      </c>
      <c r="R564" s="24" t="str">
        <f t="shared" si="172"/>
        <v/>
      </c>
      <c r="S564" s="180">
        <f t="shared" si="152"/>
        <v>9</v>
      </c>
      <c r="T564" s="151"/>
      <c r="U564" s="25" t="str">
        <f t="shared" si="159"/>
        <v/>
      </c>
      <c r="V564" s="24" t="str">
        <f>IF(AND(ISNUMBER(R563),ISNUMBER(R564)),V563,IF(AND(R563="",ISNUMBER(R564)),IFERROR(LARGE($V$176:$V563,1)+1,0),""))</f>
        <v/>
      </c>
      <c r="W564" s="23" t="str">
        <f t="shared" si="160"/>
        <v/>
      </c>
      <c r="X564" s="22" t="str">
        <f t="shared" si="161"/>
        <v/>
      </c>
      <c r="Y564" s="22"/>
      <c r="Z564" s="22"/>
      <c r="AA564" s="22"/>
      <c r="AB564" s="22" t="str" cm="1">
        <f t="array" ref="AB564">IF(IF(AND($P563="",$P564=1),($N$37*-1),0)+IF(AND($Q563="",$Q564=1),($N$38*-1),0)+IF(IF(($K564-$N$48)&lt;1,0,IF(IF(INDEX($AD$176:$AD$905,($K564-$N$48))="",0,INDEX($AD$176:$AD$905,($K564-$N$48)))&gt;0,IF(INDEX($AD$176:$AD$905,($K564-$N$48))="",0,INDEX($AD$176:$AD$905,($K564-$N$48))),0))="",0,IF(($K564-$N$48)&lt;1,0,IF(IF(INDEX($AD$176:$AD$905,($K564-$N$48))="",0,INDEX($AD$176:$AD$905,($K564-$N$48)))&gt;0,IF(INDEX($AD$176:$AD$905,($K564-$N$48))="",0,INDEX($AD$176:$AD$905,($K564-$N$48))),0)))=0,"",IF(AND($P563="",$P564=1),($N$37*-1),0)+IF(AND($Q563="",$Q564=1),($N$38*-1),0)+IF(IF(($K564-$N$48)&lt;1,0,IF(IF(INDEX($AD$176:$AD$905,($K564-$N$48))="",0,INDEX($AD$176:$AD$905,($K564-$N$48)))&gt;0,IF(INDEX($AD$176:$AD$905,($K564-$N$48))="",0,INDEX($AD$176:$AD$905,($K564-$N$48))),0))="",0,IF(($K564-$N$48)&lt;1,0,IF(IF(INDEX($AD$176:$AD$905,($K564-$N$48))="",0,INDEX($AD$176:$AD$905,($K564-$N$48)))&gt;0,IF(INDEX($AD$176:$AD$905,($K564-$N$48))="",0,INDEX($AD$176:$AD$905,($K564-$N$48))),0))))</f>
        <v/>
      </c>
      <c r="AC564" s="22" t="str">
        <f t="shared" si="162"/>
        <v/>
      </c>
      <c r="AD564" s="22" t="str">
        <f t="shared" si="153"/>
        <v/>
      </c>
      <c r="AE564" s="22" t="str" cm="1">
        <f t="array" ref="AE564">IF(($K564-$N$48)&lt;1,"",IF((IF(INDEX($AC$176:$AC$905,($K564-$N$48))="",0,INDEX($AC$176:$AC$905,($K564-$N$48))))=0,"",(IF(INDEX($AC$176:$AC$905,($K564-$N$48))="",0,INDEX($AC$176:$AC$905,($K564-$N$48))))))</f>
        <v/>
      </c>
      <c r="AF564" s="31" t="str">
        <f t="shared" si="163"/>
        <v/>
      </c>
      <c r="AG564" s="31" t="str">
        <f t="shared" si="164"/>
        <v/>
      </c>
      <c r="AH564" s="31" t="str">
        <f t="shared" si="165"/>
        <v/>
      </c>
      <c r="AI564" s="31" t="str">
        <f t="shared" si="166"/>
        <v/>
      </c>
      <c r="AJ564" s="303" t="str">
        <f t="shared" si="167"/>
        <v/>
      </c>
      <c r="AK564" s="139" t="str">
        <f t="shared" si="168"/>
        <v/>
      </c>
      <c r="AM564" s="319"/>
      <c r="AN564" s="40"/>
      <c r="AO564" s="1"/>
    </row>
    <row r="565" spans="7:41" x14ac:dyDescent="0.25">
      <c r="G565" s="235" t="str">
        <f t="shared" si="154"/>
        <v/>
      </c>
      <c r="H565" s="4" t="str">
        <f t="shared" si="155"/>
        <v/>
      </c>
      <c r="I565" s="11" t="str">
        <f t="shared" si="156"/>
        <v>09.00</v>
      </c>
      <c r="K565" s="30">
        <v>390</v>
      </c>
      <c r="L565" s="29">
        <f t="shared" si="169"/>
        <v>11371.908376190917</v>
      </c>
      <c r="M565" s="28" t="str">
        <f t="shared" si="157"/>
        <v/>
      </c>
      <c r="N565" s="27" t="str">
        <f t="shared" si="170"/>
        <v/>
      </c>
      <c r="O565" s="26" t="str">
        <f>IF(AND($Q564=$O$38,IFERROR(LARGE($V$176:$V564,1)&lt;$N$42,TRUE)),1,IF(AND(ISNUMBER($O564),$O564&lt;$N$32),$O564+1,""))</f>
        <v/>
      </c>
      <c r="P565" s="26" t="str">
        <f t="shared" si="171"/>
        <v/>
      </c>
      <c r="Q565" s="26" t="str">
        <f t="shared" si="158"/>
        <v/>
      </c>
      <c r="R565" s="24" t="str">
        <f t="shared" si="172"/>
        <v/>
      </c>
      <c r="S565" s="180">
        <f t="shared" si="152"/>
        <v>9</v>
      </c>
      <c r="T565" s="151"/>
      <c r="U565" s="25" t="str">
        <f t="shared" si="159"/>
        <v/>
      </c>
      <c r="V565" s="24" t="str">
        <f>IF(AND(ISNUMBER(R564),ISNUMBER(R565)),V564,IF(AND(R564="",ISNUMBER(R565)),IFERROR(LARGE($V$176:$V564,1)+1,0),""))</f>
        <v/>
      </c>
      <c r="W565" s="23" t="str">
        <f t="shared" si="160"/>
        <v/>
      </c>
      <c r="X565" s="22" t="str">
        <f t="shared" si="161"/>
        <v/>
      </c>
      <c r="Y565" s="22"/>
      <c r="Z565" s="22"/>
      <c r="AA565" s="22"/>
      <c r="AB565" s="22" t="str" cm="1">
        <f t="array" ref="AB565">IF(IF(AND($P564="",$P565=1),($N$37*-1),0)+IF(AND($Q564="",$Q565=1),($N$38*-1),0)+IF(IF(($K565-$N$48)&lt;1,0,IF(IF(INDEX($AD$176:$AD$905,($K565-$N$48))="",0,INDEX($AD$176:$AD$905,($K565-$N$48)))&gt;0,IF(INDEX($AD$176:$AD$905,($K565-$N$48))="",0,INDEX($AD$176:$AD$905,($K565-$N$48))),0))="",0,IF(($K565-$N$48)&lt;1,0,IF(IF(INDEX($AD$176:$AD$905,($K565-$N$48))="",0,INDEX($AD$176:$AD$905,($K565-$N$48)))&gt;0,IF(INDEX($AD$176:$AD$905,($K565-$N$48))="",0,INDEX($AD$176:$AD$905,($K565-$N$48))),0)))=0,"",IF(AND($P564="",$P565=1),($N$37*-1),0)+IF(AND($Q564="",$Q565=1),($N$38*-1),0)+IF(IF(($K565-$N$48)&lt;1,0,IF(IF(INDEX($AD$176:$AD$905,($K565-$N$48))="",0,INDEX($AD$176:$AD$905,($K565-$N$48)))&gt;0,IF(INDEX($AD$176:$AD$905,($K565-$N$48))="",0,INDEX($AD$176:$AD$905,($K565-$N$48))),0))="",0,IF(($K565-$N$48)&lt;1,0,IF(IF(INDEX($AD$176:$AD$905,($K565-$N$48))="",0,INDEX($AD$176:$AD$905,($K565-$N$48)))&gt;0,IF(INDEX($AD$176:$AD$905,($K565-$N$48))="",0,INDEX($AD$176:$AD$905,($K565-$N$48))),0))))</f>
        <v/>
      </c>
      <c r="AC565" s="22" t="str">
        <f t="shared" si="162"/>
        <v/>
      </c>
      <c r="AD565" s="22" t="str">
        <f t="shared" si="153"/>
        <v/>
      </c>
      <c r="AE565" s="22" t="str" cm="1">
        <f t="array" ref="AE565">IF(($K565-$N$48)&lt;1,"",IF((IF(INDEX($AC$176:$AC$905,($K565-$N$48))="",0,INDEX($AC$176:$AC$905,($K565-$N$48))))=0,"",(IF(INDEX($AC$176:$AC$905,($K565-$N$48))="",0,INDEX($AC$176:$AC$905,($K565-$N$48))))))</f>
        <v/>
      </c>
      <c r="AF565" s="31" t="str">
        <f t="shared" si="163"/>
        <v/>
      </c>
      <c r="AG565" s="31" t="str">
        <f t="shared" si="164"/>
        <v/>
      </c>
      <c r="AH565" s="31" t="str">
        <f t="shared" si="165"/>
        <v/>
      </c>
      <c r="AI565" s="31" t="str">
        <f t="shared" si="166"/>
        <v/>
      </c>
      <c r="AJ565" s="303" t="str">
        <f t="shared" si="167"/>
        <v/>
      </c>
      <c r="AK565" s="139" t="str">
        <f t="shared" si="168"/>
        <v/>
      </c>
      <c r="AM565" s="319"/>
      <c r="AN565" s="40"/>
      <c r="AO565" s="1"/>
    </row>
    <row r="566" spans="7:41" x14ac:dyDescent="0.25">
      <c r="G566" s="235" t="str">
        <f t="shared" si="154"/>
        <v/>
      </c>
      <c r="H566" s="4" t="str">
        <f t="shared" si="155"/>
        <v/>
      </c>
      <c r="I566" s="11" t="str">
        <f t="shared" si="156"/>
        <v>09.00</v>
      </c>
      <c r="K566" s="30">
        <v>391</v>
      </c>
      <c r="L566" s="29">
        <f t="shared" si="169"/>
        <v>11371.908376190917</v>
      </c>
      <c r="M566" s="28" t="str">
        <f t="shared" si="157"/>
        <v/>
      </c>
      <c r="N566" s="27" t="str">
        <f t="shared" si="170"/>
        <v/>
      </c>
      <c r="O566" s="26" t="str">
        <f>IF(AND($Q565=$O$38,IFERROR(LARGE($V$176:$V565,1)&lt;$N$42,TRUE)),1,IF(AND(ISNUMBER($O565),$O565&lt;$N$32),$O565+1,""))</f>
        <v/>
      </c>
      <c r="P566" s="26" t="str">
        <f t="shared" si="171"/>
        <v/>
      </c>
      <c r="Q566" s="26" t="str">
        <f t="shared" si="158"/>
        <v/>
      </c>
      <c r="R566" s="24" t="str">
        <f t="shared" si="172"/>
        <v/>
      </c>
      <c r="S566" s="180">
        <f t="shared" si="152"/>
        <v>9</v>
      </c>
      <c r="T566" s="151"/>
      <c r="U566" s="25" t="str">
        <f t="shared" si="159"/>
        <v/>
      </c>
      <c r="V566" s="24" t="str">
        <f>IF(AND(ISNUMBER(R565),ISNUMBER(R566)),V565,IF(AND(R565="",ISNUMBER(R566)),IFERROR(LARGE($V$176:$V565,1)+1,0),""))</f>
        <v/>
      </c>
      <c r="W566" s="23" t="str">
        <f t="shared" si="160"/>
        <v/>
      </c>
      <c r="X566" s="22" t="str">
        <f t="shared" si="161"/>
        <v/>
      </c>
      <c r="Y566" s="22"/>
      <c r="Z566" s="22"/>
      <c r="AA566" s="22"/>
      <c r="AB566" s="22" t="str" cm="1">
        <f t="array" ref="AB566">IF(IF(AND($P565="",$P566=1),($N$37*-1),0)+IF(AND($Q565="",$Q566=1),($N$38*-1),0)+IF(IF(($K566-$N$48)&lt;1,0,IF(IF(INDEX($AD$176:$AD$905,($K566-$N$48))="",0,INDEX($AD$176:$AD$905,($K566-$N$48)))&gt;0,IF(INDEX($AD$176:$AD$905,($K566-$N$48))="",0,INDEX($AD$176:$AD$905,($K566-$N$48))),0))="",0,IF(($K566-$N$48)&lt;1,0,IF(IF(INDEX($AD$176:$AD$905,($K566-$N$48))="",0,INDEX($AD$176:$AD$905,($K566-$N$48)))&gt;0,IF(INDEX($AD$176:$AD$905,($K566-$N$48))="",0,INDEX($AD$176:$AD$905,($K566-$N$48))),0)))=0,"",IF(AND($P565="",$P566=1),($N$37*-1),0)+IF(AND($Q565="",$Q566=1),($N$38*-1),0)+IF(IF(($K566-$N$48)&lt;1,0,IF(IF(INDEX($AD$176:$AD$905,($K566-$N$48))="",0,INDEX($AD$176:$AD$905,($K566-$N$48)))&gt;0,IF(INDEX($AD$176:$AD$905,($K566-$N$48))="",0,INDEX($AD$176:$AD$905,($K566-$N$48))),0))="",0,IF(($K566-$N$48)&lt;1,0,IF(IF(INDEX($AD$176:$AD$905,($K566-$N$48))="",0,INDEX($AD$176:$AD$905,($K566-$N$48)))&gt;0,IF(INDEX($AD$176:$AD$905,($K566-$N$48))="",0,INDEX($AD$176:$AD$905,($K566-$N$48))),0))))</f>
        <v/>
      </c>
      <c r="AC566" s="22" t="str">
        <f t="shared" si="162"/>
        <v/>
      </c>
      <c r="AD566" s="22" t="str">
        <f t="shared" si="153"/>
        <v/>
      </c>
      <c r="AE566" s="22" t="str" cm="1">
        <f t="array" ref="AE566">IF(($K566-$N$48)&lt;1,"",IF((IF(INDEX($AC$176:$AC$905,($K566-$N$48))="",0,INDEX($AC$176:$AC$905,($K566-$N$48))))=0,"",(IF(INDEX($AC$176:$AC$905,($K566-$N$48))="",0,INDEX($AC$176:$AC$905,($K566-$N$48))))))</f>
        <v/>
      </c>
      <c r="AF566" s="31" t="str">
        <f t="shared" si="163"/>
        <v/>
      </c>
      <c r="AG566" s="31" t="str">
        <f t="shared" si="164"/>
        <v/>
      </c>
      <c r="AH566" s="31" t="str">
        <f t="shared" si="165"/>
        <v/>
      </c>
      <c r="AI566" s="31" t="str">
        <f t="shared" si="166"/>
        <v/>
      </c>
      <c r="AJ566" s="303" t="str">
        <f t="shared" si="167"/>
        <v/>
      </c>
      <c r="AK566" s="139" t="str">
        <f t="shared" si="168"/>
        <v/>
      </c>
      <c r="AM566" s="319"/>
      <c r="AN566" s="40"/>
      <c r="AO566" s="1"/>
    </row>
    <row r="567" spans="7:41" x14ac:dyDescent="0.25">
      <c r="G567" s="235" t="str">
        <f t="shared" si="154"/>
        <v/>
      </c>
      <c r="H567" s="4" t="str">
        <f t="shared" si="155"/>
        <v/>
      </c>
      <c r="I567" s="11" t="str">
        <f t="shared" si="156"/>
        <v>09.00</v>
      </c>
      <c r="K567" s="30">
        <v>392</v>
      </c>
      <c r="L567" s="29">
        <f t="shared" si="169"/>
        <v>11371.908376190917</v>
      </c>
      <c r="M567" s="28" t="str">
        <f t="shared" si="157"/>
        <v/>
      </c>
      <c r="N567" s="27" t="str">
        <f t="shared" si="170"/>
        <v/>
      </c>
      <c r="O567" s="26" t="str">
        <f>IF(AND($Q566=$O$38,IFERROR(LARGE($V$176:$V566,1)&lt;$N$42,TRUE)),1,IF(AND(ISNUMBER($O566),$O566&lt;$N$32),$O566+1,""))</f>
        <v/>
      </c>
      <c r="P567" s="26" t="str">
        <f t="shared" si="171"/>
        <v/>
      </c>
      <c r="Q567" s="26" t="str">
        <f t="shared" si="158"/>
        <v/>
      </c>
      <c r="R567" s="24" t="str">
        <f t="shared" si="172"/>
        <v/>
      </c>
      <c r="S567" s="180">
        <f t="shared" si="152"/>
        <v>9</v>
      </c>
      <c r="T567" s="151"/>
      <c r="U567" s="25" t="str">
        <f t="shared" si="159"/>
        <v/>
      </c>
      <c r="V567" s="24" t="str">
        <f>IF(AND(ISNUMBER(R566),ISNUMBER(R567)),V566,IF(AND(R566="",ISNUMBER(R567)),IFERROR(LARGE($V$176:$V566,1)+1,0),""))</f>
        <v/>
      </c>
      <c r="W567" s="23" t="str">
        <f t="shared" si="160"/>
        <v/>
      </c>
      <c r="X567" s="22" t="str">
        <f t="shared" si="161"/>
        <v/>
      </c>
      <c r="Y567" s="22"/>
      <c r="Z567" s="22"/>
      <c r="AA567" s="22"/>
      <c r="AB567" s="22" t="str" cm="1">
        <f t="array" ref="AB567">IF(IF(AND($P566="",$P567=1),($N$37*-1),0)+IF(AND($Q566="",$Q567=1),($N$38*-1),0)+IF(IF(($K567-$N$48)&lt;1,0,IF(IF(INDEX($AD$176:$AD$905,($K567-$N$48))="",0,INDEX($AD$176:$AD$905,($K567-$N$48)))&gt;0,IF(INDEX($AD$176:$AD$905,($K567-$N$48))="",0,INDEX($AD$176:$AD$905,($K567-$N$48))),0))="",0,IF(($K567-$N$48)&lt;1,0,IF(IF(INDEX($AD$176:$AD$905,($K567-$N$48))="",0,INDEX($AD$176:$AD$905,($K567-$N$48)))&gt;0,IF(INDEX($AD$176:$AD$905,($K567-$N$48))="",0,INDEX($AD$176:$AD$905,($K567-$N$48))),0)))=0,"",IF(AND($P566="",$P567=1),($N$37*-1),0)+IF(AND($Q566="",$Q567=1),($N$38*-1),0)+IF(IF(($K567-$N$48)&lt;1,0,IF(IF(INDEX($AD$176:$AD$905,($K567-$N$48))="",0,INDEX($AD$176:$AD$905,($K567-$N$48)))&gt;0,IF(INDEX($AD$176:$AD$905,($K567-$N$48))="",0,INDEX($AD$176:$AD$905,($K567-$N$48))),0))="",0,IF(($K567-$N$48)&lt;1,0,IF(IF(INDEX($AD$176:$AD$905,($K567-$N$48))="",0,INDEX($AD$176:$AD$905,($K567-$N$48)))&gt;0,IF(INDEX($AD$176:$AD$905,($K567-$N$48))="",0,INDEX($AD$176:$AD$905,($K567-$N$48))),0))))</f>
        <v/>
      </c>
      <c r="AC567" s="22" t="str">
        <f t="shared" si="162"/>
        <v/>
      </c>
      <c r="AD567" s="22" t="str">
        <f t="shared" si="153"/>
        <v/>
      </c>
      <c r="AE567" s="22" t="str" cm="1">
        <f t="array" ref="AE567">IF(($K567-$N$48)&lt;1,"",IF((IF(INDEX($AC$176:$AC$905,($K567-$N$48))="",0,INDEX($AC$176:$AC$905,($K567-$N$48))))=0,"",(IF(INDEX($AC$176:$AC$905,($K567-$N$48))="",0,INDEX($AC$176:$AC$905,($K567-$N$48))))))</f>
        <v/>
      </c>
      <c r="AF567" s="31" t="str">
        <f t="shared" si="163"/>
        <v/>
      </c>
      <c r="AG567" s="31" t="str">
        <f t="shared" si="164"/>
        <v/>
      </c>
      <c r="AH567" s="31" t="str">
        <f t="shared" si="165"/>
        <v/>
      </c>
      <c r="AI567" s="31" t="str">
        <f t="shared" si="166"/>
        <v/>
      </c>
      <c r="AJ567" s="303" t="str">
        <f t="shared" si="167"/>
        <v/>
      </c>
      <c r="AK567" s="139" t="str">
        <f t="shared" si="168"/>
        <v/>
      </c>
      <c r="AM567" s="319"/>
      <c r="AN567" s="40"/>
      <c r="AO567" s="1"/>
    </row>
    <row r="568" spans="7:41" x14ac:dyDescent="0.25">
      <c r="G568" s="235" t="str">
        <f t="shared" si="154"/>
        <v/>
      </c>
      <c r="H568" s="4" t="str">
        <f t="shared" si="155"/>
        <v/>
      </c>
      <c r="I568" s="11" t="str">
        <f t="shared" si="156"/>
        <v>09.00</v>
      </c>
      <c r="K568" s="30">
        <v>393</v>
      </c>
      <c r="L568" s="29">
        <f t="shared" si="169"/>
        <v>11371.908376190917</v>
      </c>
      <c r="M568" s="28" t="str">
        <f t="shared" si="157"/>
        <v/>
      </c>
      <c r="N568" s="27" t="str">
        <f t="shared" si="170"/>
        <v/>
      </c>
      <c r="O568" s="26" t="str">
        <f>IF(AND($Q567=$O$38,IFERROR(LARGE($V$176:$V567,1)&lt;$N$42,TRUE)),1,IF(AND(ISNUMBER($O567),$O567&lt;$N$32),$O567+1,""))</f>
        <v/>
      </c>
      <c r="P568" s="26" t="str">
        <f t="shared" si="171"/>
        <v/>
      </c>
      <c r="Q568" s="26" t="str">
        <f t="shared" si="158"/>
        <v/>
      </c>
      <c r="R568" s="24" t="str">
        <f t="shared" si="172"/>
        <v/>
      </c>
      <c r="S568" s="180">
        <f t="shared" si="152"/>
        <v>9</v>
      </c>
      <c r="T568" s="151"/>
      <c r="U568" s="25" t="str">
        <f t="shared" si="159"/>
        <v/>
      </c>
      <c r="V568" s="24" t="str">
        <f>IF(AND(ISNUMBER(R567),ISNUMBER(R568)),V567,IF(AND(R567="",ISNUMBER(R568)),IFERROR(LARGE($V$176:$V567,1)+1,0),""))</f>
        <v/>
      </c>
      <c r="W568" s="23" t="str">
        <f t="shared" si="160"/>
        <v/>
      </c>
      <c r="X568" s="22" t="str">
        <f t="shared" si="161"/>
        <v/>
      </c>
      <c r="Y568" s="22"/>
      <c r="Z568" s="22"/>
      <c r="AA568" s="22"/>
      <c r="AB568" s="22" t="str" cm="1">
        <f t="array" ref="AB568">IF(IF(AND($P567="",$P568=1),($N$37*-1),0)+IF(AND($Q567="",$Q568=1),($N$38*-1),0)+IF(IF(($K568-$N$48)&lt;1,0,IF(IF(INDEX($AD$176:$AD$905,($K568-$N$48))="",0,INDEX($AD$176:$AD$905,($K568-$N$48)))&gt;0,IF(INDEX($AD$176:$AD$905,($K568-$N$48))="",0,INDEX($AD$176:$AD$905,($K568-$N$48))),0))="",0,IF(($K568-$N$48)&lt;1,0,IF(IF(INDEX($AD$176:$AD$905,($K568-$N$48))="",0,INDEX($AD$176:$AD$905,($K568-$N$48)))&gt;0,IF(INDEX($AD$176:$AD$905,($K568-$N$48))="",0,INDEX($AD$176:$AD$905,($K568-$N$48))),0)))=0,"",IF(AND($P567="",$P568=1),($N$37*-1),0)+IF(AND($Q567="",$Q568=1),($N$38*-1),0)+IF(IF(($K568-$N$48)&lt;1,0,IF(IF(INDEX($AD$176:$AD$905,($K568-$N$48))="",0,INDEX($AD$176:$AD$905,($K568-$N$48)))&gt;0,IF(INDEX($AD$176:$AD$905,($K568-$N$48))="",0,INDEX($AD$176:$AD$905,($K568-$N$48))),0))="",0,IF(($K568-$N$48)&lt;1,0,IF(IF(INDEX($AD$176:$AD$905,($K568-$N$48))="",0,INDEX($AD$176:$AD$905,($K568-$N$48)))&gt;0,IF(INDEX($AD$176:$AD$905,($K568-$N$48))="",0,INDEX($AD$176:$AD$905,($K568-$N$48))),0))))</f>
        <v/>
      </c>
      <c r="AC568" s="22" t="str">
        <f t="shared" si="162"/>
        <v/>
      </c>
      <c r="AD568" s="22" t="str">
        <f t="shared" si="153"/>
        <v/>
      </c>
      <c r="AE568" s="22" t="str" cm="1">
        <f t="array" ref="AE568">IF(($K568-$N$48)&lt;1,"",IF((IF(INDEX($AC$176:$AC$905,($K568-$N$48))="",0,INDEX($AC$176:$AC$905,($K568-$N$48))))=0,"",(IF(INDEX($AC$176:$AC$905,($K568-$N$48))="",0,INDEX($AC$176:$AC$905,($K568-$N$48))))))</f>
        <v/>
      </c>
      <c r="AF568" s="31" t="str">
        <f t="shared" si="163"/>
        <v/>
      </c>
      <c r="AG568" s="31" t="str">
        <f t="shared" si="164"/>
        <v/>
      </c>
      <c r="AH568" s="31" t="str">
        <f t="shared" si="165"/>
        <v/>
      </c>
      <c r="AI568" s="31" t="str">
        <f t="shared" si="166"/>
        <v/>
      </c>
      <c r="AJ568" s="303" t="str">
        <f t="shared" si="167"/>
        <v/>
      </c>
      <c r="AK568" s="139" t="str">
        <f t="shared" si="168"/>
        <v/>
      </c>
      <c r="AM568" s="319"/>
      <c r="AN568" s="40"/>
      <c r="AO568" s="1"/>
    </row>
    <row r="569" spans="7:41" x14ac:dyDescent="0.25">
      <c r="G569" s="235" t="str">
        <f t="shared" si="154"/>
        <v/>
      </c>
      <c r="H569" s="4" t="str">
        <f t="shared" si="155"/>
        <v/>
      </c>
      <c r="I569" s="11" t="str">
        <f t="shared" si="156"/>
        <v>09.00</v>
      </c>
      <c r="K569" s="30">
        <v>394</v>
      </c>
      <c r="L569" s="29">
        <f t="shared" si="169"/>
        <v>11371.908376190917</v>
      </c>
      <c r="M569" s="28" t="str">
        <f t="shared" si="157"/>
        <v/>
      </c>
      <c r="N569" s="27" t="str">
        <f t="shared" si="170"/>
        <v/>
      </c>
      <c r="O569" s="26" t="str">
        <f>IF(AND($Q568=$O$38,IFERROR(LARGE($V$176:$V568,1)&lt;$N$42,TRUE)),1,IF(AND(ISNUMBER($O568),$O568&lt;$N$32),$O568+1,""))</f>
        <v/>
      </c>
      <c r="P569" s="26" t="str">
        <f t="shared" si="171"/>
        <v/>
      </c>
      <c r="Q569" s="26" t="str">
        <f t="shared" si="158"/>
        <v/>
      </c>
      <c r="R569" s="24" t="str">
        <f t="shared" si="172"/>
        <v/>
      </c>
      <c r="S569" s="180">
        <f t="shared" si="152"/>
        <v>9</v>
      </c>
      <c r="T569" s="151"/>
      <c r="U569" s="25" t="str">
        <f t="shared" si="159"/>
        <v/>
      </c>
      <c r="V569" s="24" t="str">
        <f>IF(AND(ISNUMBER(R568),ISNUMBER(R569)),V568,IF(AND(R568="",ISNUMBER(R569)),IFERROR(LARGE($V$176:$V568,1)+1,0),""))</f>
        <v/>
      </c>
      <c r="W569" s="23" t="str">
        <f t="shared" si="160"/>
        <v/>
      </c>
      <c r="X569" s="22" t="str">
        <f t="shared" si="161"/>
        <v/>
      </c>
      <c r="Y569" s="22"/>
      <c r="Z569" s="22"/>
      <c r="AA569" s="22"/>
      <c r="AB569" s="22" t="str" cm="1">
        <f t="array" ref="AB569">IF(IF(AND($P568="",$P569=1),($N$37*-1),0)+IF(AND($Q568="",$Q569=1),($N$38*-1),0)+IF(IF(($K569-$N$48)&lt;1,0,IF(IF(INDEX($AD$176:$AD$905,($K569-$N$48))="",0,INDEX($AD$176:$AD$905,($K569-$N$48)))&gt;0,IF(INDEX($AD$176:$AD$905,($K569-$N$48))="",0,INDEX($AD$176:$AD$905,($K569-$N$48))),0))="",0,IF(($K569-$N$48)&lt;1,0,IF(IF(INDEX($AD$176:$AD$905,($K569-$N$48))="",0,INDEX($AD$176:$AD$905,($K569-$N$48)))&gt;0,IF(INDEX($AD$176:$AD$905,($K569-$N$48))="",0,INDEX($AD$176:$AD$905,($K569-$N$48))),0)))=0,"",IF(AND($P568="",$P569=1),($N$37*-1),0)+IF(AND($Q568="",$Q569=1),($N$38*-1),0)+IF(IF(($K569-$N$48)&lt;1,0,IF(IF(INDEX($AD$176:$AD$905,($K569-$N$48))="",0,INDEX($AD$176:$AD$905,($K569-$N$48)))&gt;0,IF(INDEX($AD$176:$AD$905,($K569-$N$48))="",0,INDEX($AD$176:$AD$905,($K569-$N$48))),0))="",0,IF(($K569-$N$48)&lt;1,0,IF(IF(INDEX($AD$176:$AD$905,($K569-$N$48))="",0,INDEX($AD$176:$AD$905,($K569-$N$48)))&gt;0,IF(INDEX($AD$176:$AD$905,($K569-$N$48))="",0,INDEX($AD$176:$AD$905,($K569-$N$48))),0))))</f>
        <v/>
      </c>
      <c r="AC569" s="22" t="str">
        <f t="shared" si="162"/>
        <v/>
      </c>
      <c r="AD569" s="22" t="str">
        <f t="shared" si="153"/>
        <v/>
      </c>
      <c r="AE569" s="22" t="str" cm="1">
        <f t="array" ref="AE569">IF(($K569-$N$48)&lt;1,"",IF((IF(INDEX($AC$176:$AC$905,($K569-$N$48))="",0,INDEX($AC$176:$AC$905,($K569-$N$48))))=0,"",(IF(INDEX($AC$176:$AC$905,($K569-$N$48))="",0,INDEX($AC$176:$AC$905,($K569-$N$48))))))</f>
        <v/>
      </c>
      <c r="AF569" s="31" t="str">
        <f t="shared" si="163"/>
        <v/>
      </c>
      <c r="AG569" s="31" t="str">
        <f t="shared" si="164"/>
        <v/>
      </c>
      <c r="AH569" s="31" t="str">
        <f t="shared" si="165"/>
        <v/>
      </c>
      <c r="AI569" s="31" t="str">
        <f t="shared" si="166"/>
        <v/>
      </c>
      <c r="AJ569" s="303" t="str">
        <f t="shared" si="167"/>
        <v/>
      </c>
      <c r="AK569" s="139" t="str">
        <f t="shared" si="168"/>
        <v/>
      </c>
      <c r="AM569" s="319"/>
      <c r="AN569" s="40"/>
      <c r="AO569" s="1"/>
    </row>
    <row r="570" spans="7:41" x14ac:dyDescent="0.25">
      <c r="G570" s="235" t="str">
        <f t="shared" si="154"/>
        <v/>
      </c>
      <c r="H570" s="4" t="str">
        <f t="shared" si="155"/>
        <v/>
      </c>
      <c r="I570" s="11" t="str">
        <f t="shared" si="156"/>
        <v>09.00</v>
      </c>
      <c r="K570" s="30">
        <v>395</v>
      </c>
      <c r="L570" s="29">
        <f t="shared" si="169"/>
        <v>11371.908376190917</v>
      </c>
      <c r="M570" s="28" t="str">
        <f t="shared" si="157"/>
        <v/>
      </c>
      <c r="N570" s="27" t="str">
        <f t="shared" si="170"/>
        <v/>
      </c>
      <c r="O570" s="26" t="str">
        <f>IF(AND($Q569=$O$38,IFERROR(LARGE($V$176:$V569,1)&lt;$N$42,TRUE)),1,IF(AND(ISNUMBER($O569),$O569&lt;$N$32),$O569+1,""))</f>
        <v/>
      </c>
      <c r="P570" s="26" t="str">
        <f t="shared" si="171"/>
        <v/>
      </c>
      <c r="Q570" s="26" t="str">
        <f t="shared" si="158"/>
        <v/>
      </c>
      <c r="R570" s="24" t="str">
        <f t="shared" si="172"/>
        <v/>
      </c>
      <c r="S570" s="180">
        <f t="shared" si="152"/>
        <v>9</v>
      </c>
      <c r="T570" s="151"/>
      <c r="U570" s="25" t="str">
        <f t="shared" si="159"/>
        <v/>
      </c>
      <c r="V570" s="24" t="str">
        <f>IF(AND(ISNUMBER(R569),ISNUMBER(R570)),V569,IF(AND(R569="",ISNUMBER(R570)),IFERROR(LARGE($V$176:$V569,1)+1,0),""))</f>
        <v/>
      </c>
      <c r="W570" s="23" t="str">
        <f t="shared" si="160"/>
        <v/>
      </c>
      <c r="X570" s="22" t="str">
        <f t="shared" si="161"/>
        <v/>
      </c>
      <c r="Y570" s="22"/>
      <c r="Z570" s="22"/>
      <c r="AA570" s="22"/>
      <c r="AB570" s="22" t="str" cm="1">
        <f t="array" ref="AB570">IF(IF(AND($P569="",$P570=1),($N$37*-1),0)+IF(AND($Q569="",$Q570=1),($N$38*-1),0)+IF(IF(($K570-$N$48)&lt;1,0,IF(IF(INDEX($AD$176:$AD$905,($K570-$N$48))="",0,INDEX($AD$176:$AD$905,($K570-$N$48)))&gt;0,IF(INDEX($AD$176:$AD$905,($K570-$N$48))="",0,INDEX($AD$176:$AD$905,($K570-$N$48))),0))="",0,IF(($K570-$N$48)&lt;1,0,IF(IF(INDEX($AD$176:$AD$905,($K570-$N$48))="",0,INDEX($AD$176:$AD$905,($K570-$N$48)))&gt;0,IF(INDEX($AD$176:$AD$905,($K570-$N$48))="",0,INDEX($AD$176:$AD$905,($K570-$N$48))),0)))=0,"",IF(AND($P569="",$P570=1),($N$37*-1),0)+IF(AND($Q569="",$Q570=1),($N$38*-1),0)+IF(IF(($K570-$N$48)&lt;1,0,IF(IF(INDEX($AD$176:$AD$905,($K570-$N$48))="",0,INDEX($AD$176:$AD$905,($K570-$N$48)))&gt;0,IF(INDEX($AD$176:$AD$905,($K570-$N$48))="",0,INDEX($AD$176:$AD$905,($K570-$N$48))),0))="",0,IF(($K570-$N$48)&lt;1,0,IF(IF(INDEX($AD$176:$AD$905,($K570-$N$48))="",0,INDEX($AD$176:$AD$905,($K570-$N$48)))&gt;0,IF(INDEX($AD$176:$AD$905,($K570-$N$48))="",0,INDEX($AD$176:$AD$905,($K570-$N$48))),0))))</f>
        <v/>
      </c>
      <c r="AC570" s="22" t="str">
        <f t="shared" si="162"/>
        <v/>
      </c>
      <c r="AD570" s="22" t="str">
        <f t="shared" si="153"/>
        <v/>
      </c>
      <c r="AE570" s="22" t="str" cm="1">
        <f t="array" ref="AE570">IF(($K570-$N$48)&lt;1,"",IF((IF(INDEX($AC$176:$AC$905,($K570-$N$48))="",0,INDEX($AC$176:$AC$905,($K570-$N$48))))=0,"",(IF(INDEX($AC$176:$AC$905,($K570-$N$48))="",0,INDEX($AC$176:$AC$905,($K570-$N$48))))))</f>
        <v/>
      </c>
      <c r="AF570" s="31" t="str">
        <f t="shared" si="163"/>
        <v/>
      </c>
      <c r="AG570" s="31" t="str">
        <f t="shared" si="164"/>
        <v/>
      </c>
      <c r="AH570" s="31" t="str">
        <f t="shared" si="165"/>
        <v/>
      </c>
      <c r="AI570" s="31" t="str">
        <f t="shared" si="166"/>
        <v/>
      </c>
      <c r="AJ570" s="303" t="str">
        <f t="shared" si="167"/>
        <v/>
      </c>
      <c r="AK570" s="139" t="str">
        <f t="shared" si="168"/>
        <v/>
      </c>
      <c r="AM570" s="319"/>
      <c r="AN570" s="40"/>
      <c r="AO570" s="1"/>
    </row>
    <row r="571" spans="7:41" x14ac:dyDescent="0.25">
      <c r="G571" s="235" t="str">
        <f t="shared" si="154"/>
        <v/>
      </c>
      <c r="H571" s="4" t="str">
        <f t="shared" si="155"/>
        <v/>
      </c>
      <c r="I571" s="11" t="str">
        <f t="shared" si="156"/>
        <v>09.00</v>
      </c>
      <c r="K571" s="30">
        <v>396</v>
      </c>
      <c r="L571" s="29">
        <f t="shared" si="169"/>
        <v>11371.908376190917</v>
      </c>
      <c r="M571" s="28" t="str">
        <f t="shared" si="157"/>
        <v/>
      </c>
      <c r="N571" s="27" t="str">
        <f t="shared" si="170"/>
        <v/>
      </c>
      <c r="O571" s="26" t="str">
        <f>IF(AND($Q570=$O$38,IFERROR(LARGE($V$176:$V570,1)&lt;$N$42,TRUE)),1,IF(AND(ISNUMBER($O570),$O570&lt;$N$32),$O570+1,""))</f>
        <v/>
      </c>
      <c r="P571" s="26" t="str">
        <f t="shared" si="171"/>
        <v/>
      </c>
      <c r="Q571" s="26" t="str">
        <f t="shared" si="158"/>
        <v/>
      </c>
      <c r="R571" s="24" t="str">
        <f t="shared" si="172"/>
        <v/>
      </c>
      <c r="S571" s="180">
        <f t="shared" si="152"/>
        <v>9</v>
      </c>
      <c r="T571" s="151"/>
      <c r="U571" s="25" t="str">
        <f t="shared" si="159"/>
        <v/>
      </c>
      <c r="V571" s="24" t="str">
        <f>IF(AND(ISNUMBER(R570),ISNUMBER(R571)),V570,IF(AND(R570="",ISNUMBER(R571)),IFERROR(LARGE($V$176:$V570,1)+1,0),""))</f>
        <v/>
      </c>
      <c r="W571" s="23" t="str">
        <f t="shared" si="160"/>
        <v/>
      </c>
      <c r="X571" s="22" t="str">
        <f t="shared" si="161"/>
        <v/>
      </c>
      <c r="Y571" s="22"/>
      <c r="Z571" s="22"/>
      <c r="AA571" s="22"/>
      <c r="AB571" s="22" t="str" cm="1">
        <f t="array" ref="AB571">IF(IF(AND($P570="",$P571=1),($N$37*-1),0)+IF(AND($Q570="",$Q571=1),($N$38*-1),0)+IF(IF(($K571-$N$48)&lt;1,0,IF(IF(INDEX($AD$176:$AD$905,($K571-$N$48))="",0,INDEX($AD$176:$AD$905,($K571-$N$48)))&gt;0,IF(INDEX($AD$176:$AD$905,($K571-$N$48))="",0,INDEX($AD$176:$AD$905,($K571-$N$48))),0))="",0,IF(($K571-$N$48)&lt;1,0,IF(IF(INDEX($AD$176:$AD$905,($K571-$N$48))="",0,INDEX($AD$176:$AD$905,($K571-$N$48)))&gt;0,IF(INDEX($AD$176:$AD$905,($K571-$N$48))="",0,INDEX($AD$176:$AD$905,($K571-$N$48))),0)))=0,"",IF(AND($P570="",$P571=1),($N$37*-1),0)+IF(AND($Q570="",$Q571=1),($N$38*-1),0)+IF(IF(($K571-$N$48)&lt;1,0,IF(IF(INDEX($AD$176:$AD$905,($K571-$N$48))="",0,INDEX($AD$176:$AD$905,($K571-$N$48)))&gt;0,IF(INDEX($AD$176:$AD$905,($K571-$N$48))="",0,INDEX($AD$176:$AD$905,($K571-$N$48))),0))="",0,IF(($K571-$N$48)&lt;1,0,IF(IF(INDEX($AD$176:$AD$905,($K571-$N$48))="",0,INDEX($AD$176:$AD$905,($K571-$N$48)))&gt;0,IF(INDEX($AD$176:$AD$905,($K571-$N$48))="",0,INDEX($AD$176:$AD$905,($K571-$N$48))),0))))</f>
        <v/>
      </c>
      <c r="AC571" s="22" t="str">
        <f t="shared" si="162"/>
        <v/>
      </c>
      <c r="AD571" s="22" t="str">
        <f t="shared" si="153"/>
        <v/>
      </c>
      <c r="AE571" s="22" t="str" cm="1">
        <f t="array" ref="AE571">IF(($K571-$N$48)&lt;1,"",IF((IF(INDEX($AC$176:$AC$905,($K571-$N$48))="",0,INDEX($AC$176:$AC$905,($K571-$N$48))))=0,"",(IF(INDEX($AC$176:$AC$905,($K571-$N$48))="",0,INDEX($AC$176:$AC$905,($K571-$N$48))))))</f>
        <v/>
      </c>
      <c r="AF571" s="31" t="str">
        <f t="shared" si="163"/>
        <v/>
      </c>
      <c r="AG571" s="31" t="str">
        <f t="shared" si="164"/>
        <v/>
      </c>
      <c r="AH571" s="31" t="str">
        <f t="shared" si="165"/>
        <v/>
      </c>
      <c r="AI571" s="31" t="str">
        <f t="shared" si="166"/>
        <v/>
      </c>
      <c r="AJ571" s="303" t="str">
        <f t="shared" si="167"/>
        <v/>
      </c>
      <c r="AK571" s="139" t="str">
        <f t="shared" si="168"/>
        <v/>
      </c>
      <c r="AM571" s="319"/>
      <c r="AN571" s="40"/>
      <c r="AO571" s="1"/>
    </row>
    <row r="572" spans="7:41" x14ac:dyDescent="0.25">
      <c r="G572" s="235" t="str">
        <f t="shared" si="154"/>
        <v/>
      </c>
      <c r="H572" s="4" t="str">
        <f t="shared" si="155"/>
        <v/>
      </c>
      <c r="I572" s="11" t="str">
        <f t="shared" si="156"/>
        <v>09.00</v>
      </c>
      <c r="K572" s="30">
        <v>397</v>
      </c>
      <c r="L572" s="29">
        <f t="shared" si="169"/>
        <v>11371.908376190917</v>
      </c>
      <c r="M572" s="28" t="str">
        <f t="shared" si="157"/>
        <v/>
      </c>
      <c r="N572" s="27" t="str">
        <f t="shared" si="170"/>
        <v/>
      </c>
      <c r="O572" s="26" t="str">
        <f>IF(AND($Q571=$O$38,IFERROR(LARGE($V$176:$V571,1)&lt;$N$42,TRUE)),1,IF(AND(ISNUMBER($O571),$O571&lt;$N$32),$O571+1,""))</f>
        <v/>
      </c>
      <c r="P572" s="26" t="str">
        <f t="shared" si="171"/>
        <v/>
      </c>
      <c r="Q572" s="26" t="str">
        <f t="shared" si="158"/>
        <v/>
      </c>
      <c r="R572" s="24" t="str">
        <f t="shared" si="172"/>
        <v/>
      </c>
      <c r="S572" s="180">
        <f t="shared" ref="S572:S635" si="173">IF($Q572=1,ROUNDDOWN($S571,0)+1,IF($R572=1,$S571+0.01,IF(ISNUMBER($U572),IF(AND($U572&gt;1,($U572-$U571)=1),$S571+0.01,$S571),$S571)))</f>
        <v>9</v>
      </c>
      <c r="T572" s="151"/>
      <c r="U572" s="25" t="str">
        <f t="shared" si="159"/>
        <v/>
      </c>
      <c r="V572" s="24" t="str">
        <f>IF(AND(ISNUMBER(R571),ISNUMBER(R572)),V571,IF(AND(R571="",ISNUMBER(R572)),IFERROR(LARGE($V$176:$V571,1)+1,0),""))</f>
        <v/>
      </c>
      <c r="W572" s="23" t="str">
        <f t="shared" si="160"/>
        <v/>
      </c>
      <c r="X572" s="22" t="str">
        <f t="shared" si="161"/>
        <v/>
      </c>
      <c r="Y572" s="22"/>
      <c r="Z572" s="22"/>
      <c r="AA572" s="22"/>
      <c r="AB572" s="22" t="str" cm="1">
        <f t="array" ref="AB572">IF(IF(AND($P571="",$P572=1),($N$37*-1),0)+IF(AND($Q571="",$Q572=1),($N$38*-1),0)+IF(IF(($K572-$N$48)&lt;1,0,IF(IF(INDEX($AD$176:$AD$905,($K572-$N$48))="",0,INDEX($AD$176:$AD$905,($K572-$N$48)))&gt;0,IF(INDEX($AD$176:$AD$905,($K572-$N$48))="",0,INDEX($AD$176:$AD$905,($K572-$N$48))),0))="",0,IF(($K572-$N$48)&lt;1,0,IF(IF(INDEX($AD$176:$AD$905,($K572-$N$48))="",0,INDEX($AD$176:$AD$905,($K572-$N$48)))&gt;0,IF(INDEX($AD$176:$AD$905,($K572-$N$48))="",0,INDEX($AD$176:$AD$905,($K572-$N$48))),0)))=0,"",IF(AND($P571="",$P572=1),($N$37*-1),0)+IF(AND($Q571="",$Q572=1),($N$38*-1),0)+IF(IF(($K572-$N$48)&lt;1,0,IF(IF(INDEX($AD$176:$AD$905,($K572-$N$48))="",0,INDEX($AD$176:$AD$905,($K572-$N$48)))&gt;0,IF(INDEX($AD$176:$AD$905,($K572-$N$48))="",0,INDEX($AD$176:$AD$905,($K572-$N$48))),0))="",0,IF(($K572-$N$48)&lt;1,0,IF(IF(INDEX($AD$176:$AD$905,($K572-$N$48))="",0,INDEX($AD$176:$AD$905,($K572-$N$48)))&gt;0,IF(INDEX($AD$176:$AD$905,($K572-$N$48))="",0,INDEX($AD$176:$AD$905,($K572-$N$48))),0))))</f>
        <v/>
      </c>
      <c r="AC572" s="22" t="str">
        <f t="shared" si="162"/>
        <v/>
      </c>
      <c r="AD572" s="22" t="str">
        <f t="shared" si="153"/>
        <v/>
      </c>
      <c r="AE572" s="22" t="str" cm="1">
        <f t="array" ref="AE572">IF(($K572-$N$48)&lt;1,"",IF((IF(INDEX($AC$176:$AC$905,($K572-$N$48))="",0,INDEX($AC$176:$AC$905,($K572-$N$48))))=0,"",(IF(INDEX($AC$176:$AC$905,($K572-$N$48))="",0,INDEX($AC$176:$AC$905,($K572-$N$48))))))</f>
        <v/>
      </c>
      <c r="AF572" s="31" t="str">
        <f t="shared" si="163"/>
        <v/>
      </c>
      <c r="AG572" s="31" t="str">
        <f t="shared" si="164"/>
        <v/>
      </c>
      <c r="AH572" s="31" t="str">
        <f t="shared" si="165"/>
        <v/>
      </c>
      <c r="AI572" s="31" t="str">
        <f t="shared" si="166"/>
        <v/>
      </c>
      <c r="AJ572" s="303" t="str">
        <f t="shared" si="167"/>
        <v/>
      </c>
      <c r="AK572" s="139" t="str">
        <f t="shared" si="168"/>
        <v/>
      </c>
      <c r="AM572" s="319"/>
      <c r="AN572" s="40"/>
      <c r="AO572" s="1"/>
    </row>
    <row r="573" spans="7:41" x14ac:dyDescent="0.25">
      <c r="G573" s="235" t="str">
        <f t="shared" si="154"/>
        <v/>
      </c>
      <c r="H573" s="4" t="str">
        <f t="shared" si="155"/>
        <v/>
      </c>
      <c r="I573" s="11" t="str">
        <f t="shared" si="156"/>
        <v>09.00</v>
      </c>
      <c r="K573" s="30">
        <v>398</v>
      </c>
      <c r="L573" s="29">
        <f t="shared" si="169"/>
        <v>11371.908376190917</v>
      </c>
      <c r="M573" s="28" t="str">
        <f t="shared" si="157"/>
        <v/>
      </c>
      <c r="N573" s="27" t="str">
        <f t="shared" si="170"/>
        <v/>
      </c>
      <c r="O573" s="26" t="str">
        <f>IF(AND($Q572=$O$38,IFERROR(LARGE($V$176:$V572,1)&lt;$N$42,TRUE)),1,IF(AND(ISNUMBER($O572),$O572&lt;$N$32),$O572+1,""))</f>
        <v/>
      </c>
      <c r="P573" s="26" t="str">
        <f t="shared" si="171"/>
        <v/>
      </c>
      <c r="Q573" s="26" t="str">
        <f t="shared" si="158"/>
        <v/>
      </c>
      <c r="R573" s="24" t="str">
        <f t="shared" si="172"/>
        <v/>
      </c>
      <c r="S573" s="180">
        <f t="shared" si="173"/>
        <v>9</v>
      </c>
      <c r="T573" s="151"/>
      <c r="U573" s="25" t="str">
        <f t="shared" si="159"/>
        <v/>
      </c>
      <c r="V573" s="24" t="str">
        <f>IF(AND(ISNUMBER(R572),ISNUMBER(R573)),V572,IF(AND(R572="",ISNUMBER(R573)),IFERROR(LARGE($V$176:$V572,1)+1,0),""))</f>
        <v/>
      </c>
      <c r="W573" s="23" t="str">
        <f t="shared" si="160"/>
        <v/>
      </c>
      <c r="X573" s="22" t="str">
        <f t="shared" si="161"/>
        <v/>
      </c>
      <c r="Y573" s="22"/>
      <c r="Z573" s="22"/>
      <c r="AA573" s="22"/>
      <c r="AB573" s="22" t="str" cm="1">
        <f t="array" ref="AB573">IF(IF(AND($P572="",$P573=1),($N$37*-1),0)+IF(AND($Q572="",$Q573=1),($N$38*-1),0)+IF(IF(($K573-$N$48)&lt;1,0,IF(IF(INDEX($AD$176:$AD$905,($K573-$N$48))="",0,INDEX($AD$176:$AD$905,($K573-$N$48)))&gt;0,IF(INDEX($AD$176:$AD$905,($K573-$N$48))="",0,INDEX($AD$176:$AD$905,($K573-$N$48))),0))="",0,IF(($K573-$N$48)&lt;1,0,IF(IF(INDEX($AD$176:$AD$905,($K573-$N$48))="",0,INDEX($AD$176:$AD$905,($K573-$N$48)))&gt;0,IF(INDEX($AD$176:$AD$905,($K573-$N$48))="",0,INDEX($AD$176:$AD$905,($K573-$N$48))),0)))=0,"",IF(AND($P572="",$P573=1),($N$37*-1),0)+IF(AND($Q572="",$Q573=1),($N$38*-1),0)+IF(IF(($K573-$N$48)&lt;1,0,IF(IF(INDEX($AD$176:$AD$905,($K573-$N$48))="",0,INDEX($AD$176:$AD$905,($K573-$N$48)))&gt;0,IF(INDEX($AD$176:$AD$905,($K573-$N$48))="",0,INDEX($AD$176:$AD$905,($K573-$N$48))),0))="",0,IF(($K573-$N$48)&lt;1,0,IF(IF(INDEX($AD$176:$AD$905,($K573-$N$48))="",0,INDEX($AD$176:$AD$905,($K573-$N$48)))&gt;0,IF(INDEX($AD$176:$AD$905,($K573-$N$48))="",0,INDEX($AD$176:$AD$905,($K573-$N$48))),0))))</f>
        <v/>
      </c>
      <c r="AC573" s="22" t="str">
        <f t="shared" si="162"/>
        <v/>
      </c>
      <c r="AD573" s="22" t="str">
        <f t="shared" si="153"/>
        <v/>
      </c>
      <c r="AE573" s="22" t="str" cm="1">
        <f t="array" ref="AE573">IF(($K573-$N$48)&lt;1,"",IF((IF(INDEX($AC$176:$AC$905,($K573-$N$48))="",0,INDEX($AC$176:$AC$905,($K573-$N$48))))=0,"",(IF(INDEX($AC$176:$AC$905,($K573-$N$48))="",0,INDEX($AC$176:$AC$905,($K573-$N$48))))))</f>
        <v/>
      </c>
      <c r="AF573" s="31" t="str">
        <f t="shared" si="163"/>
        <v/>
      </c>
      <c r="AG573" s="31" t="str">
        <f t="shared" si="164"/>
        <v/>
      </c>
      <c r="AH573" s="31" t="str">
        <f t="shared" si="165"/>
        <v/>
      </c>
      <c r="AI573" s="31" t="str">
        <f t="shared" si="166"/>
        <v/>
      </c>
      <c r="AJ573" s="303" t="str">
        <f t="shared" si="167"/>
        <v/>
      </c>
      <c r="AK573" s="139" t="str">
        <f t="shared" si="168"/>
        <v/>
      </c>
      <c r="AM573" s="319"/>
      <c r="AN573" s="40"/>
      <c r="AO573" s="1"/>
    </row>
    <row r="574" spans="7:41" x14ac:dyDescent="0.25">
      <c r="G574" s="235" t="str">
        <f t="shared" si="154"/>
        <v/>
      </c>
      <c r="H574" s="4" t="str">
        <f t="shared" si="155"/>
        <v/>
      </c>
      <c r="I574" s="11" t="str">
        <f t="shared" si="156"/>
        <v>09.00</v>
      </c>
      <c r="K574" s="30">
        <v>399</v>
      </c>
      <c r="L574" s="29">
        <f t="shared" si="169"/>
        <v>11371.908376190917</v>
      </c>
      <c r="M574" s="28" t="str">
        <f t="shared" si="157"/>
        <v/>
      </c>
      <c r="N574" s="27" t="str">
        <f t="shared" si="170"/>
        <v/>
      </c>
      <c r="O574" s="26" t="str">
        <f>IF(AND($Q573=$O$38,IFERROR(LARGE($V$176:$V573,1)&lt;$N$42,TRUE)),1,IF(AND(ISNUMBER($O573),$O573&lt;$N$32),$O573+1,""))</f>
        <v/>
      </c>
      <c r="P574" s="26" t="str">
        <f t="shared" si="171"/>
        <v/>
      </c>
      <c r="Q574" s="26" t="str">
        <f t="shared" si="158"/>
        <v/>
      </c>
      <c r="R574" s="24" t="str">
        <f t="shared" si="172"/>
        <v/>
      </c>
      <c r="S574" s="180">
        <f t="shared" si="173"/>
        <v>9</v>
      </c>
      <c r="T574" s="151"/>
      <c r="U574" s="25" t="str">
        <f t="shared" si="159"/>
        <v/>
      </c>
      <c r="V574" s="24" t="str">
        <f>IF(AND(ISNUMBER(R573),ISNUMBER(R574)),V573,IF(AND(R573="",ISNUMBER(R574)),IFERROR(LARGE($V$176:$V573,1)+1,0),""))</f>
        <v/>
      </c>
      <c r="W574" s="23" t="str">
        <f t="shared" si="160"/>
        <v/>
      </c>
      <c r="X574" s="22" t="str">
        <f t="shared" si="161"/>
        <v/>
      </c>
      <c r="Y574" s="22"/>
      <c r="Z574" s="22"/>
      <c r="AA574" s="22"/>
      <c r="AB574" s="22" t="str" cm="1">
        <f t="array" ref="AB574">IF(IF(AND($P573="",$P574=1),($N$37*-1),0)+IF(AND($Q573="",$Q574=1),($N$38*-1),0)+IF(IF(($K574-$N$48)&lt;1,0,IF(IF(INDEX($AD$176:$AD$905,($K574-$N$48))="",0,INDEX($AD$176:$AD$905,($K574-$N$48)))&gt;0,IF(INDEX($AD$176:$AD$905,($K574-$N$48))="",0,INDEX($AD$176:$AD$905,($K574-$N$48))),0))="",0,IF(($K574-$N$48)&lt;1,0,IF(IF(INDEX($AD$176:$AD$905,($K574-$N$48))="",0,INDEX($AD$176:$AD$905,($K574-$N$48)))&gt;0,IF(INDEX($AD$176:$AD$905,($K574-$N$48))="",0,INDEX($AD$176:$AD$905,($K574-$N$48))),0)))=0,"",IF(AND($P573="",$P574=1),($N$37*-1),0)+IF(AND($Q573="",$Q574=1),($N$38*-1),0)+IF(IF(($K574-$N$48)&lt;1,0,IF(IF(INDEX($AD$176:$AD$905,($K574-$N$48))="",0,INDEX($AD$176:$AD$905,($K574-$N$48)))&gt;0,IF(INDEX($AD$176:$AD$905,($K574-$N$48))="",0,INDEX($AD$176:$AD$905,($K574-$N$48))),0))="",0,IF(($K574-$N$48)&lt;1,0,IF(IF(INDEX($AD$176:$AD$905,($K574-$N$48))="",0,INDEX($AD$176:$AD$905,($K574-$N$48)))&gt;0,IF(INDEX($AD$176:$AD$905,($K574-$N$48))="",0,INDEX($AD$176:$AD$905,($K574-$N$48))),0))))</f>
        <v/>
      </c>
      <c r="AC574" s="22" t="str">
        <f t="shared" si="162"/>
        <v/>
      </c>
      <c r="AD574" s="22" t="str">
        <f t="shared" si="153"/>
        <v/>
      </c>
      <c r="AE574" s="22" t="str" cm="1">
        <f t="array" ref="AE574">IF(($K574-$N$48)&lt;1,"",IF((IF(INDEX($AC$176:$AC$905,($K574-$N$48))="",0,INDEX($AC$176:$AC$905,($K574-$N$48))))=0,"",(IF(INDEX($AC$176:$AC$905,($K574-$N$48))="",0,INDEX($AC$176:$AC$905,($K574-$N$48))))))</f>
        <v/>
      </c>
      <c r="AF574" s="31" t="str">
        <f t="shared" si="163"/>
        <v/>
      </c>
      <c r="AG574" s="31" t="str">
        <f t="shared" si="164"/>
        <v/>
      </c>
      <c r="AH574" s="31" t="str">
        <f t="shared" si="165"/>
        <v/>
      </c>
      <c r="AI574" s="31" t="str">
        <f t="shared" si="166"/>
        <v/>
      </c>
      <c r="AJ574" s="303" t="str">
        <f t="shared" si="167"/>
        <v/>
      </c>
      <c r="AK574" s="139" t="str">
        <f t="shared" si="168"/>
        <v/>
      </c>
      <c r="AM574" s="319"/>
      <c r="AN574" s="40"/>
      <c r="AO574" s="1"/>
    </row>
    <row r="575" spans="7:41" x14ac:dyDescent="0.25">
      <c r="G575" s="235" t="str">
        <f t="shared" si="154"/>
        <v/>
      </c>
      <c r="H575" s="4" t="str">
        <f t="shared" si="155"/>
        <v/>
      </c>
      <c r="I575" s="11" t="str">
        <f t="shared" si="156"/>
        <v>09.00</v>
      </c>
      <c r="K575" s="30">
        <v>400</v>
      </c>
      <c r="L575" s="29">
        <f t="shared" si="169"/>
        <v>11371.908376190917</v>
      </c>
      <c r="M575" s="28" t="str">
        <f t="shared" si="157"/>
        <v/>
      </c>
      <c r="N575" s="27" t="str">
        <f t="shared" si="170"/>
        <v/>
      </c>
      <c r="O575" s="26" t="str">
        <f>IF(AND($Q574=$O$38,IFERROR(LARGE($V$176:$V574,1)&lt;$N$42,TRUE)),1,IF(AND(ISNUMBER($O574),$O574&lt;$N$32),$O574+1,""))</f>
        <v/>
      </c>
      <c r="P575" s="26" t="str">
        <f t="shared" si="171"/>
        <v/>
      </c>
      <c r="Q575" s="26" t="str">
        <f t="shared" si="158"/>
        <v/>
      </c>
      <c r="R575" s="24" t="str">
        <f t="shared" si="172"/>
        <v/>
      </c>
      <c r="S575" s="180">
        <f t="shared" si="173"/>
        <v>9</v>
      </c>
      <c r="T575" s="151"/>
      <c r="U575" s="25" t="str">
        <f t="shared" si="159"/>
        <v/>
      </c>
      <c r="V575" s="24" t="str">
        <f>IF(AND(ISNUMBER(R574),ISNUMBER(R575)),V574,IF(AND(R574="",ISNUMBER(R575)),IFERROR(LARGE($V$176:$V574,1)+1,0),""))</f>
        <v/>
      </c>
      <c r="W575" s="23" t="str">
        <f t="shared" si="160"/>
        <v/>
      </c>
      <c r="X575" s="22" t="str">
        <f t="shared" si="161"/>
        <v/>
      </c>
      <c r="Y575" s="22"/>
      <c r="Z575" s="22"/>
      <c r="AA575" s="22"/>
      <c r="AB575" s="22" t="str" cm="1">
        <f t="array" ref="AB575">IF(IF(AND($P574="",$P575=1),($N$37*-1),0)+IF(AND($Q574="",$Q575=1),($N$38*-1),0)+IF(IF(($K575-$N$48)&lt;1,0,IF(IF(INDEX($AD$176:$AD$905,($K575-$N$48))="",0,INDEX($AD$176:$AD$905,($K575-$N$48)))&gt;0,IF(INDEX($AD$176:$AD$905,($K575-$N$48))="",0,INDEX($AD$176:$AD$905,($K575-$N$48))),0))="",0,IF(($K575-$N$48)&lt;1,0,IF(IF(INDEX($AD$176:$AD$905,($K575-$N$48))="",0,INDEX($AD$176:$AD$905,($K575-$N$48)))&gt;0,IF(INDEX($AD$176:$AD$905,($K575-$N$48))="",0,INDEX($AD$176:$AD$905,($K575-$N$48))),0)))=0,"",IF(AND($P574="",$P575=1),($N$37*-1),0)+IF(AND($Q574="",$Q575=1),($N$38*-1),0)+IF(IF(($K575-$N$48)&lt;1,0,IF(IF(INDEX($AD$176:$AD$905,($K575-$N$48))="",0,INDEX($AD$176:$AD$905,($K575-$N$48)))&gt;0,IF(INDEX($AD$176:$AD$905,($K575-$N$48))="",0,INDEX($AD$176:$AD$905,($K575-$N$48))),0))="",0,IF(($K575-$N$48)&lt;1,0,IF(IF(INDEX($AD$176:$AD$905,($K575-$N$48))="",0,INDEX($AD$176:$AD$905,($K575-$N$48)))&gt;0,IF(INDEX($AD$176:$AD$905,($K575-$N$48))="",0,INDEX($AD$176:$AD$905,($K575-$N$48))),0))))</f>
        <v/>
      </c>
      <c r="AC575" s="22" t="str">
        <f t="shared" si="162"/>
        <v/>
      </c>
      <c r="AD575" s="22" t="str">
        <f t="shared" si="153"/>
        <v/>
      </c>
      <c r="AE575" s="22" t="str" cm="1">
        <f t="array" ref="AE575">IF(($K575-$N$48)&lt;1,"",IF((IF(INDEX($AC$176:$AC$905,($K575-$N$48))="",0,INDEX($AC$176:$AC$905,($K575-$N$48))))=0,"",(IF(INDEX($AC$176:$AC$905,($K575-$N$48))="",0,INDEX($AC$176:$AC$905,($K575-$N$48))))))</f>
        <v/>
      </c>
      <c r="AF575" s="31" t="str">
        <f t="shared" si="163"/>
        <v/>
      </c>
      <c r="AG575" s="31" t="str">
        <f t="shared" si="164"/>
        <v/>
      </c>
      <c r="AH575" s="31" t="str">
        <f t="shared" si="165"/>
        <v/>
      </c>
      <c r="AI575" s="31" t="str">
        <f t="shared" si="166"/>
        <v/>
      </c>
      <c r="AJ575" s="303" t="str">
        <f t="shared" si="167"/>
        <v/>
      </c>
      <c r="AK575" s="139" t="str">
        <f t="shared" si="168"/>
        <v/>
      </c>
      <c r="AM575" s="319"/>
      <c r="AN575" s="40"/>
      <c r="AO575" s="1"/>
    </row>
    <row r="576" spans="7:41" x14ac:dyDescent="0.25">
      <c r="G576" s="235" t="str">
        <f t="shared" si="154"/>
        <v/>
      </c>
      <c r="H576" s="4" t="str">
        <f t="shared" si="155"/>
        <v/>
      </c>
      <c r="I576" s="11" t="str">
        <f t="shared" si="156"/>
        <v>09.00</v>
      </c>
      <c r="K576" s="30">
        <v>401</v>
      </c>
      <c r="L576" s="29">
        <f t="shared" si="169"/>
        <v>11371.908376190917</v>
      </c>
      <c r="M576" s="28" t="str">
        <f t="shared" si="157"/>
        <v/>
      </c>
      <c r="N576" s="27" t="str">
        <f t="shared" si="170"/>
        <v/>
      </c>
      <c r="O576" s="26" t="str">
        <f>IF(AND($Q575=$O$38,IFERROR(LARGE($V$176:$V575,1)&lt;$N$42,TRUE)),1,IF(AND(ISNUMBER($O575),$O575&lt;$N$32),$O575+1,""))</f>
        <v/>
      </c>
      <c r="P576" s="26" t="str">
        <f t="shared" si="171"/>
        <v/>
      </c>
      <c r="Q576" s="26" t="str">
        <f t="shared" si="158"/>
        <v/>
      </c>
      <c r="R576" s="24" t="str">
        <f t="shared" si="172"/>
        <v/>
      </c>
      <c r="S576" s="180">
        <f t="shared" si="173"/>
        <v>9</v>
      </c>
      <c r="T576" s="151"/>
      <c r="U576" s="25" t="str">
        <f t="shared" si="159"/>
        <v/>
      </c>
      <c r="V576" s="24" t="str">
        <f>IF(AND(ISNUMBER(R575),ISNUMBER(R576)),V575,IF(AND(R575="",ISNUMBER(R576)),IFERROR(LARGE($V$176:$V575,1)+1,0),""))</f>
        <v/>
      </c>
      <c r="W576" s="23" t="str">
        <f t="shared" si="160"/>
        <v/>
      </c>
      <c r="X576" s="22" t="str">
        <f t="shared" si="161"/>
        <v/>
      </c>
      <c r="Y576" s="22"/>
      <c r="Z576" s="22"/>
      <c r="AA576" s="22"/>
      <c r="AB576" s="22" t="str" cm="1">
        <f t="array" ref="AB576">IF(IF(AND($P575="",$P576=1),($N$37*-1),0)+IF(AND($Q575="",$Q576=1),($N$38*-1),0)+IF(IF(($K576-$N$48)&lt;1,0,IF(IF(INDEX($AD$176:$AD$905,($K576-$N$48))="",0,INDEX($AD$176:$AD$905,($K576-$N$48)))&gt;0,IF(INDEX($AD$176:$AD$905,($K576-$N$48))="",0,INDEX($AD$176:$AD$905,($K576-$N$48))),0))="",0,IF(($K576-$N$48)&lt;1,0,IF(IF(INDEX($AD$176:$AD$905,($K576-$N$48))="",0,INDEX($AD$176:$AD$905,($K576-$N$48)))&gt;0,IF(INDEX($AD$176:$AD$905,($K576-$N$48))="",0,INDEX($AD$176:$AD$905,($K576-$N$48))),0)))=0,"",IF(AND($P575="",$P576=1),($N$37*-1),0)+IF(AND($Q575="",$Q576=1),($N$38*-1),0)+IF(IF(($K576-$N$48)&lt;1,0,IF(IF(INDEX($AD$176:$AD$905,($K576-$N$48))="",0,INDEX($AD$176:$AD$905,($K576-$N$48)))&gt;0,IF(INDEX($AD$176:$AD$905,($K576-$N$48))="",0,INDEX($AD$176:$AD$905,($K576-$N$48))),0))="",0,IF(($K576-$N$48)&lt;1,0,IF(IF(INDEX($AD$176:$AD$905,($K576-$N$48))="",0,INDEX($AD$176:$AD$905,($K576-$N$48)))&gt;0,IF(INDEX($AD$176:$AD$905,($K576-$N$48))="",0,INDEX($AD$176:$AD$905,($K576-$N$48))),0))))</f>
        <v/>
      </c>
      <c r="AC576" s="22" t="str">
        <f t="shared" si="162"/>
        <v/>
      </c>
      <c r="AD576" s="22" t="str">
        <f t="shared" ref="AD576:AD639" si="174">IF(IF(OR(AND(ISNUMBER($U576),IF(ISNUMBER($U577),$U577,0)-IF(ISNUMBER($U576),$U576,0)=1),AND(ISNUMBER($U576),$U577="")),IF($U576=1,$P$37,0),0)=0,"",IF(OR(AND(ISNUMBER($U576),IF(ISNUMBER($U577),$U577,0)-IF(ISNUMBER($U576),$U576,0)=1),AND(ISNUMBER($U576),$U577="")),IF($U576=1,$P$37,0),0))</f>
        <v/>
      </c>
      <c r="AE576" s="22" t="str" cm="1">
        <f t="array" ref="AE576">IF(($K576-$N$48)&lt;1,"",IF((IF(INDEX($AC$176:$AC$905,($K576-$N$48))="",0,INDEX($AC$176:$AC$905,($K576-$N$48))))=0,"",(IF(INDEX($AC$176:$AC$905,($K576-$N$48))="",0,INDEX($AC$176:$AC$905,($K576-$N$48))))))</f>
        <v/>
      </c>
      <c r="AF576" s="31" t="str">
        <f t="shared" si="163"/>
        <v/>
      </c>
      <c r="AG576" s="31" t="str">
        <f t="shared" si="164"/>
        <v/>
      </c>
      <c r="AH576" s="31" t="str">
        <f t="shared" si="165"/>
        <v/>
      </c>
      <c r="AI576" s="31" t="str">
        <f t="shared" si="166"/>
        <v/>
      </c>
      <c r="AJ576" s="303" t="str">
        <f t="shared" si="167"/>
        <v/>
      </c>
      <c r="AK576" s="139" t="str">
        <f t="shared" si="168"/>
        <v/>
      </c>
      <c r="AM576" s="319"/>
      <c r="AN576" s="40"/>
      <c r="AO576" s="1"/>
    </row>
    <row r="577" spans="7:41" x14ac:dyDescent="0.25">
      <c r="G577" s="235" t="str">
        <f t="shared" si="154"/>
        <v/>
      </c>
      <c r="H577" s="4" t="str">
        <f t="shared" si="155"/>
        <v/>
      </c>
      <c r="I577" s="11" t="str">
        <f t="shared" si="156"/>
        <v>09.00</v>
      </c>
      <c r="K577" s="30">
        <v>402</v>
      </c>
      <c r="L577" s="29">
        <f t="shared" si="169"/>
        <v>11371.908376190917</v>
      </c>
      <c r="M577" s="28" t="str">
        <f t="shared" si="157"/>
        <v/>
      </c>
      <c r="N577" s="27" t="str">
        <f t="shared" si="170"/>
        <v/>
      </c>
      <c r="O577" s="26" t="str">
        <f>IF(AND($Q576=$O$38,IFERROR(LARGE($V$176:$V576,1)&lt;$N$42,TRUE)),1,IF(AND(ISNUMBER($O576),$O576&lt;$N$32),$O576+1,""))</f>
        <v/>
      </c>
      <c r="P577" s="26" t="str">
        <f t="shared" si="171"/>
        <v/>
      </c>
      <c r="Q577" s="26" t="str">
        <f t="shared" si="158"/>
        <v/>
      </c>
      <c r="R577" s="24" t="str">
        <f t="shared" si="172"/>
        <v/>
      </c>
      <c r="S577" s="180">
        <f t="shared" si="173"/>
        <v>9</v>
      </c>
      <c r="T577" s="151"/>
      <c r="U577" s="25" t="str">
        <f t="shared" si="159"/>
        <v/>
      </c>
      <c r="V577" s="24" t="str">
        <f>IF(AND(ISNUMBER(R576),ISNUMBER(R577)),V576,IF(AND(R576="",ISNUMBER(R577)),IFERROR(LARGE($V$176:$V576,1)+1,0),""))</f>
        <v/>
      </c>
      <c r="W577" s="23" t="str">
        <f t="shared" si="160"/>
        <v/>
      </c>
      <c r="X577" s="22" t="str">
        <f t="shared" si="161"/>
        <v/>
      </c>
      <c r="Y577" s="22"/>
      <c r="Z577" s="22"/>
      <c r="AA577" s="22"/>
      <c r="AB577" s="22" t="str" cm="1">
        <f t="array" ref="AB577">IF(IF(AND($P576="",$P577=1),($N$37*-1),0)+IF(AND($Q576="",$Q577=1),($N$38*-1),0)+IF(IF(($K577-$N$48)&lt;1,0,IF(IF(INDEX($AD$176:$AD$905,($K577-$N$48))="",0,INDEX($AD$176:$AD$905,($K577-$N$48)))&gt;0,IF(INDEX($AD$176:$AD$905,($K577-$N$48))="",0,INDEX($AD$176:$AD$905,($K577-$N$48))),0))="",0,IF(($K577-$N$48)&lt;1,0,IF(IF(INDEX($AD$176:$AD$905,($K577-$N$48))="",0,INDEX($AD$176:$AD$905,($K577-$N$48)))&gt;0,IF(INDEX($AD$176:$AD$905,($K577-$N$48))="",0,INDEX($AD$176:$AD$905,($K577-$N$48))),0)))=0,"",IF(AND($P576="",$P577=1),($N$37*-1),0)+IF(AND($Q576="",$Q577=1),($N$38*-1),0)+IF(IF(($K577-$N$48)&lt;1,0,IF(IF(INDEX($AD$176:$AD$905,($K577-$N$48))="",0,INDEX($AD$176:$AD$905,($K577-$N$48)))&gt;0,IF(INDEX($AD$176:$AD$905,($K577-$N$48))="",0,INDEX($AD$176:$AD$905,($K577-$N$48))),0))="",0,IF(($K577-$N$48)&lt;1,0,IF(IF(INDEX($AD$176:$AD$905,($K577-$N$48))="",0,INDEX($AD$176:$AD$905,($K577-$N$48)))&gt;0,IF(INDEX($AD$176:$AD$905,($K577-$N$48))="",0,INDEX($AD$176:$AD$905,($K577-$N$48))),0))))</f>
        <v/>
      </c>
      <c r="AC577" s="22" t="str">
        <f t="shared" si="162"/>
        <v/>
      </c>
      <c r="AD577" s="22" t="str">
        <f t="shared" si="174"/>
        <v/>
      </c>
      <c r="AE577" s="22" t="str" cm="1">
        <f t="array" ref="AE577">IF(($K577-$N$48)&lt;1,"",IF((IF(INDEX($AC$176:$AC$905,($K577-$N$48))="",0,INDEX($AC$176:$AC$905,($K577-$N$48))))=0,"",(IF(INDEX($AC$176:$AC$905,($K577-$N$48))="",0,INDEX($AC$176:$AC$905,($K577-$N$48))))))</f>
        <v/>
      </c>
      <c r="AF577" s="31" t="str">
        <f t="shared" si="163"/>
        <v/>
      </c>
      <c r="AG577" s="31" t="str">
        <f t="shared" si="164"/>
        <v/>
      </c>
      <c r="AH577" s="31" t="str">
        <f t="shared" si="165"/>
        <v/>
      </c>
      <c r="AI577" s="31" t="str">
        <f t="shared" si="166"/>
        <v/>
      </c>
      <c r="AJ577" s="303" t="str">
        <f t="shared" si="167"/>
        <v/>
      </c>
      <c r="AK577" s="139" t="str">
        <f t="shared" si="168"/>
        <v/>
      </c>
      <c r="AM577" s="319"/>
      <c r="AN577" s="40"/>
      <c r="AO577" s="1"/>
    </row>
    <row r="578" spans="7:41" x14ac:dyDescent="0.25">
      <c r="G578" s="235" t="str">
        <f t="shared" si="154"/>
        <v/>
      </c>
      <c r="H578" s="4" t="str">
        <f t="shared" si="155"/>
        <v/>
      </c>
      <c r="I578" s="11" t="str">
        <f t="shared" si="156"/>
        <v>09.00</v>
      </c>
      <c r="K578" s="30">
        <v>403</v>
      </c>
      <c r="L578" s="29">
        <f t="shared" si="169"/>
        <v>11371.908376190917</v>
      </c>
      <c r="M578" s="28" t="str">
        <f t="shared" si="157"/>
        <v/>
      </c>
      <c r="N578" s="27" t="str">
        <f t="shared" si="170"/>
        <v/>
      </c>
      <c r="O578" s="26" t="str">
        <f>IF(AND($Q577=$O$38,IFERROR(LARGE($V$176:$V577,1)&lt;$N$42,TRUE)),1,IF(AND(ISNUMBER($O577),$O577&lt;$N$32),$O577+1,""))</f>
        <v/>
      </c>
      <c r="P578" s="26" t="str">
        <f t="shared" si="171"/>
        <v/>
      </c>
      <c r="Q578" s="26" t="str">
        <f t="shared" si="158"/>
        <v/>
      </c>
      <c r="R578" s="24" t="str">
        <f t="shared" si="172"/>
        <v/>
      </c>
      <c r="S578" s="180">
        <f t="shared" si="173"/>
        <v>9</v>
      </c>
      <c r="T578" s="151"/>
      <c r="U578" s="25" t="str">
        <f t="shared" si="159"/>
        <v/>
      </c>
      <c r="V578" s="24" t="str">
        <f>IF(AND(ISNUMBER(R577),ISNUMBER(R578)),V577,IF(AND(R577="",ISNUMBER(R578)),IFERROR(LARGE($V$176:$V577,1)+1,0),""))</f>
        <v/>
      </c>
      <c r="W578" s="23" t="str">
        <f t="shared" si="160"/>
        <v/>
      </c>
      <c r="X578" s="22" t="str">
        <f t="shared" si="161"/>
        <v/>
      </c>
      <c r="Y578" s="22"/>
      <c r="Z578" s="22"/>
      <c r="AA578" s="22"/>
      <c r="AB578" s="22" t="str" cm="1">
        <f t="array" ref="AB578">IF(IF(AND($P577="",$P578=1),($N$37*-1),0)+IF(AND($Q577="",$Q578=1),($N$38*-1),0)+IF(IF(($K578-$N$48)&lt;1,0,IF(IF(INDEX($AD$176:$AD$905,($K578-$N$48))="",0,INDEX($AD$176:$AD$905,($K578-$N$48)))&gt;0,IF(INDEX($AD$176:$AD$905,($K578-$N$48))="",0,INDEX($AD$176:$AD$905,($K578-$N$48))),0))="",0,IF(($K578-$N$48)&lt;1,0,IF(IF(INDEX($AD$176:$AD$905,($K578-$N$48))="",0,INDEX($AD$176:$AD$905,($K578-$N$48)))&gt;0,IF(INDEX($AD$176:$AD$905,($K578-$N$48))="",0,INDEX($AD$176:$AD$905,($K578-$N$48))),0)))=0,"",IF(AND($P577="",$P578=1),($N$37*-1),0)+IF(AND($Q577="",$Q578=1),($N$38*-1),0)+IF(IF(($K578-$N$48)&lt;1,0,IF(IF(INDEX($AD$176:$AD$905,($K578-$N$48))="",0,INDEX($AD$176:$AD$905,($K578-$N$48)))&gt;0,IF(INDEX($AD$176:$AD$905,($K578-$N$48))="",0,INDEX($AD$176:$AD$905,($K578-$N$48))),0))="",0,IF(($K578-$N$48)&lt;1,0,IF(IF(INDEX($AD$176:$AD$905,($K578-$N$48))="",0,INDEX($AD$176:$AD$905,($K578-$N$48)))&gt;0,IF(INDEX($AD$176:$AD$905,($K578-$N$48))="",0,INDEX($AD$176:$AD$905,($K578-$N$48))),0))))</f>
        <v/>
      </c>
      <c r="AC578" s="22" t="str">
        <f t="shared" si="162"/>
        <v/>
      </c>
      <c r="AD578" s="22" t="str">
        <f t="shared" si="174"/>
        <v/>
      </c>
      <c r="AE578" s="22" t="str" cm="1">
        <f t="array" ref="AE578">IF(($K578-$N$48)&lt;1,"",IF((IF(INDEX($AC$176:$AC$905,($K578-$N$48))="",0,INDEX($AC$176:$AC$905,($K578-$N$48))))=0,"",(IF(INDEX($AC$176:$AC$905,($K578-$N$48))="",0,INDEX($AC$176:$AC$905,($K578-$N$48))))))</f>
        <v/>
      </c>
      <c r="AF578" s="31" t="str">
        <f t="shared" si="163"/>
        <v/>
      </c>
      <c r="AG578" s="31" t="str">
        <f t="shared" si="164"/>
        <v/>
      </c>
      <c r="AH578" s="31" t="str">
        <f t="shared" si="165"/>
        <v/>
      </c>
      <c r="AI578" s="31" t="str">
        <f t="shared" si="166"/>
        <v/>
      </c>
      <c r="AJ578" s="303" t="str">
        <f t="shared" si="167"/>
        <v/>
      </c>
      <c r="AK578" s="139" t="str">
        <f t="shared" si="168"/>
        <v/>
      </c>
      <c r="AM578" s="319"/>
      <c r="AN578" s="40"/>
      <c r="AO578" s="1"/>
    </row>
    <row r="579" spans="7:41" x14ac:dyDescent="0.25">
      <c r="G579" s="235" t="str">
        <f t="shared" si="154"/>
        <v/>
      </c>
      <c r="H579" s="4" t="str">
        <f t="shared" si="155"/>
        <v/>
      </c>
      <c r="I579" s="11" t="str">
        <f t="shared" si="156"/>
        <v>09.00</v>
      </c>
      <c r="K579" s="30">
        <v>404</v>
      </c>
      <c r="L579" s="29">
        <f t="shared" si="169"/>
        <v>11371.908376190917</v>
      </c>
      <c r="M579" s="28" t="str">
        <f t="shared" si="157"/>
        <v/>
      </c>
      <c r="N579" s="27" t="str">
        <f t="shared" si="170"/>
        <v/>
      </c>
      <c r="O579" s="26" t="str">
        <f>IF(AND($Q578=$O$38,IFERROR(LARGE($V$176:$V578,1)&lt;$N$42,TRUE)),1,IF(AND(ISNUMBER($O578),$O578&lt;$N$32),$O578+1,""))</f>
        <v/>
      </c>
      <c r="P579" s="26" t="str">
        <f t="shared" si="171"/>
        <v/>
      </c>
      <c r="Q579" s="26" t="str">
        <f t="shared" si="158"/>
        <v/>
      </c>
      <c r="R579" s="24" t="str">
        <f t="shared" si="172"/>
        <v/>
      </c>
      <c r="S579" s="180">
        <f t="shared" si="173"/>
        <v>9</v>
      </c>
      <c r="T579" s="151"/>
      <c r="U579" s="25" t="str">
        <f t="shared" si="159"/>
        <v/>
      </c>
      <c r="V579" s="24" t="str">
        <f>IF(AND(ISNUMBER(R578),ISNUMBER(R579)),V578,IF(AND(R578="",ISNUMBER(R579)),IFERROR(LARGE($V$176:$V578,1)+1,0),""))</f>
        <v/>
      </c>
      <c r="W579" s="23" t="str">
        <f t="shared" si="160"/>
        <v/>
      </c>
      <c r="X579" s="22" t="str">
        <f t="shared" si="161"/>
        <v/>
      </c>
      <c r="Y579" s="22"/>
      <c r="Z579" s="22"/>
      <c r="AA579" s="22"/>
      <c r="AB579" s="22" t="str" cm="1">
        <f t="array" ref="AB579">IF(IF(AND($P578="",$P579=1),($N$37*-1),0)+IF(AND($Q578="",$Q579=1),($N$38*-1),0)+IF(IF(($K579-$N$48)&lt;1,0,IF(IF(INDEX($AD$176:$AD$905,($K579-$N$48))="",0,INDEX($AD$176:$AD$905,($K579-$N$48)))&gt;0,IF(INDEX($AD$176:$AD$905,($K579-$N$48))="",0,INDEX($AD$176:$AD$905,($K579-$N$48))),0))="",0,IF(($K579-$N$48)&lt;1,0,IF(IF(INDEX($AD$176:$AD$905,($K579-$N$48))="",0,INDEX($AD$176:$AD$905,($K579-$N$48)))&gt;0,IF(INDEX($AD$176:$AD$905,($K579-$N$48))="",0,INDEX($AD$176:$AD$905,($K579-$N$48))),0)))=0,"",IF(AND($P578="",$P579=1),($N$37*-1),0)+IF(AND($Q578="",$Q579=1),($N$38*-1),0)+IF(IF(($K579-$N$48)&lt;1,0,IF(IF(INDEX($AD$176:$AD$905,($K579-$N$48))="",0,INDEX($AD$176:$AD$905,($K579-$N$48)))&gt;0,IF(INDEX($AD$176:$AD$905,($K579-$N$48))="",0,INDEX($AD$176:$AD$905,($K579-$N$48))),0))="",0,IF(($K579-$N$48)&lt;1,0,IF(IF(INDEX($AD$176:$AD$905,($K579-$N$48))="",0,INDEX($AD$176:$AD$905,($K579-$N$48)))&gt;0,IF(INDEX($AD$176:$AD$905,($K579-$N$48))="",0,INDEX($AD$176:$AD$905,($K579-$N$48))),0))))</f>
        <v/>
      </c>
      <c r="AC579" s="22" t="str">
        <f t="shared" si="162"/>
        <v/>
      </c>
      <c r="AD579" s="22" t="str">
        <f t="shared" si="174"/>
        <v/>
      </c>
      <c r="AE579" s="22" t="str" cm="1">
        <f t="array" ref="AE579">IF(($K579-$N$48)&lt;1,"",IF((IF(INDEX($AC$176:$AC$905,($K579-$N$48))="",0,INDEX($AC$176:$AC$905,($K579-$N$48))))=0,"",(IF(INDEX($AC$176:$AC$905,($K579-$N$48))="",0,INDEX($AC$176:$AC$905,($K579-$N$48))))))</f>
        <v/>
      </c>
      <c r="AF579" s="31" t="str">
        <f t="shared" si="163"/>
        <v/>
      </c>
      <c r="AG579" s="31" t="str">
        <f t="shared" si="164"/>
        <v/>
      </c>
      <c r="AH579" s="31" t="str">
        <f t="shared" si="165"/>
        <v/>
      </c>
      <c r="AI579" s="31" t="str">
        <f t="shared" si="166"/>
        <v/>
      </c>
      <c r="AJ579" s="303" t="str">
        <f t="shared" si="167"/>
        <v/>
      </c>
      <c r="AK579" s="139" t="str">
        <f t="shared" si="168"/>
        <v/>
      </c>
      <c r="AM579" s="319"/>
      <c r="AN579" s="40"/>
      <c r="AO579" s="1"/>
    </row>
    <row r="580" spans="7:41" x14ac:dyDescent="0.25">
      <c r="G580" s="235" t="str">
        <f t="shared" si="154"/>
        <v/>
      </c>
      <c r="H580" s="4" t="str">
        <f t="shared" si="155"/>
        <v/>
      </c>
      <c r="I580" s="11" t="str">
        <f t="shared" si="156"/>
        <v>09.00</v>
      </c>
      <c r="K580" s="30">
        <v>405</v>
      </c>
      <c r="L580" s="29">
        <f t="shared" si="169"/>
        <v>11371.908376190917</v>
      </c>
      <c r="M580" s="28" t="str">
        <f t="shared" si="157"/>
        <v/>
      </c>
      <c r="N580" s="27" t="str">
        <f t="shared" si="170"/>
        <v/>
      </c>
      <c r="O580" s="26" t="str">
        <f>IF(AND($Q579=$O$38,IFERROR(LARGE($V$176:$V579,1)&lt;$N$42,TRUE)),1,IF(AND(ISNUMBER($O579),$O579&lt;$N$32),$O579+1,""))</f>
        <v/>
      </c>
      <c r="P580" s="26" t="str">
        <f t="shared" si="171"/>
        <v/>
      </c>
      <c r="Q580" s="26" t="str">
        <f t="shared" si="158"/>
        <v/>
      </c>
      <c r="R580" s="24" t="str">
        <f t="shared" si="172"/>
        <v/>
      </c>
      <c r="S580" s="180">
        <f t="shared" si="173"/>
        <v>9</v>
      </c>
      <c r="T580" s="151"/>
      <c r="U580" s="25" t="str">
        <f t="shared" si="159"/>
        <v/>
      </c>
      <c r="V580" s="24" t="str">
        <f>IF(AND(ISNUMBER(R579),ISNUMBER(R580)),V579,IF(AND(R579="",ISNUMBER(R580)),IFERROR(LARGE($V$176:$V579,1)+1,0),""))</f>
        <v/>
      </c>
      <c r="W580" s="23" t="str">
        <f t="shared" si="160"/>
        <v/>
      </c>
      <c r="X580" s="22" t="str">
        <f t="shared" si="161"/>
        <v/>
      </c>
      <c r="Y580" s="22"/>
      <c r="Z580" s="22"/>
      <c r="AA580" s="22"/>
      <c r="AB580" s="22" t="str" cm="1">
        <f t="array" ref="AB580">IF(IF(AND($P579="",$P580=1),($N$37*-1),0)+IF(AND($Q579="",$Q580=1),($N$38*-1),0)+IF(IF(($K580-$N$48)&lt;1,0,IF(IF(INDEX($AD$176:$AD$905,($K580-$N$48))="",0,INDEX($AD$176:$AD$905,($K580-$N$48)))&gt;0,IF(INDEX($AD$176:$AD$905,($K580-$N$48))="",0,INDEX($AD$176:$AD$905,($K580-$N$48))),0))="",0,IF(($K580-$N$48)&lt;1,0,IF(IF(INDEX($AD$176:$AD$905,($K580-$N$48))="",0,INDEX($AD$176:$AD$905,($K580-$N$48)))&gt;0,IF(INDEX($AD$176:$AD$905,($K580-$N$48))="",0,INDEX($AD$176:$AD$905,($K580-$N$48))),0)))=0,"",IF(AND($P579="",$P580=1),($N$37*-1),0)+IF(AND($Q579="",$Q580=1),($N$38*-1),0)+IF(IF(($K580-$N$48)&lt;1,0,IF(IF(INDEX($AD$176:$AD$905,($K580-$N$48))="",0,INDEX($AD$176:$AD$905,($K580-$N$48)))&gt;0,IF(INDEX($AD$176:$AD$905,($K580-$N$48))="",0,INDEX($AD$176:$AD$905,($K580-$N$48))),0))="",0,IF(($K580-$N$48)&lt;1,0,IF(IF(INDEX($AD$176:$AD$905,($K580-$N$48))="",0,INDEX($AD$176:$AD$905,($K580-$N$48)))&gt;0,IF(INDEX($AD$176:$AD$905,($K580-$N$48))="",0,INDEX($AD$176:$AD$905,($K580-$N$48))),0))))</f>
        <v/>
      </c>
      <c r="AC580" s="22" t="str">
        <f t="shared" si="162"/>
        <v/>
      </c>
      <c r="AD580" s="22" t="str">
        <f t="shared" si="174"/>
        <v/>
      </c>
      <c r="AE580" s="22" t="str" cm="1">
        <f t="array" ref="AE580">IF(($K580-$N$48)&lt;1,"",IF((IF(INDEX($AC$176:$AC$905,($K580-$N$48))="",0,INDEX($AC$176:$AC$905,($K580-$N$48))))=0,"",(IF(INDEX($AC$176:$AC$905,($K580-$N$48))="",0,INDEX($AC$176:$AC$905,($K580-$N$48))))))</f>
        <v/>
      </c>
      <c r="AF580" s="31" t="str">
        <f t="shared" si="163"/>
        <v/>
      </c>
      <c r="AG580" s="31" t="str">
        <f t="shared" si="164"/>
        <v/>
      </c>
      <c r="AH580" s="31" t="str">
        <f t="shared" si="165"/>
        <v/>
      </c>
      <c r="AI580" s="31" t="str">
        <f t="shared" si="166"/>
        <v/>
      </c>
      <c r="AJ580" s="303" t="str">
        <f t="shared" si="167"/>
        <v/>
      </c>
      <c r="AK580" s="139" t="str">
        <f t="shared" si="168"/>
        <v/>
      </c>
      <c r="AM580" s="319"/>
      <c r="AN580" s="40"/>
      <c r="AO580" s="1"/>
    </row>
    <row r="581" spans="7:41" x14ac:dyDescent="0.25">
      <c r="G581" s="235" t="str">
        <f t="shared" si="154"/>
        <v/>
      </c>
      <c r="H581" s="4" t="str">
        <f t="shared" si="155"/>
        <v/>
      </c>
      <c r="I581" s="11" t="str">
        <f t="shared" si="156"/>
        <v>09.00</v>
      </c>
      <c r="K581" s="30">
        <v>406</v>
      </c>
      <c r="L581" s="29">
        <f t="shared" si="169"/>
        <v>11371.908376190917</v>
      </c>
      <c r="M581" s="28" t="str">
        <f t="shared" si="157"/>
        <v/>
      </c>
      <c r="N581" s="27" t="str">
        <f t="shared" si="170"/>
        <v/>
      </c>
      <c r="O581" s="26" t="str">
        <f>IF(AND($Q580=$O$38,IFERROR(LARGE($V$176:$V580,1)&lt;$N$42,TRUE)),1,IF(AND(ISNUMBER($O580),$O580&lt;$N$32),$O580+1,""))</f>
        <v/>
      </c>
      <c r="P581" s="26" t="str">
        <f t="shared" si="171"/>
        <v/>
      </c>
      <c r="Q581" s="26" t="str">
        <f t="shared" si="158"/>
        <v/>
      </c>
      <c r="R581" s="24" t="str">
        <f t="shared" si="172"/>
        <v/>
      </c>
      <c r="S581" s="180">
        <f t="shared" si="173"/>
        <v>9</v>
      </c>
      <c r="T581" s="151"/>
      <c r="U581" s="25" t="str">
        <f t="shared" si="159"/>
        <v/>
      </c>
      <c r="V581" s="24" t="str">
        <f>IF(AND(ISNUMBER(R580),ISNUMBER(R581)),V580,IF(AND(R580="",ISNUMBER(R581)),IFERROR(LARGE($V$176:$V580,1)+1,0),""))</f>
        <v/>
      </c>
      <c r="W581" s="23" t="str">
        <f t="shared" si="160"/>
        <v/>
      </c>
      <c r="X581" s="22" t="str">
        <f t="shared" si="161"/>
        <v/>
      </c>
      <c r="Y581" s="22"/>
      <c r="Z581" s="22"/>
      <c r="AA581" s="22"/>
      <c r="AB581" s="22" t="str" cm="1">
        <f t="array" ref="AB581">IF(IF(AND($P580="",$P581=1),($N$37*-1),0)+IF(AND($Q580="",$Q581=1),($N$38*-1),0)+IF(IF(($K581-$N$48)&lt;1,0,IF(IF(INDEX($AD$176:$AD$905,($K581-$N$48))="",0,INDEX($AD$176:$AD$905,($K581-$N$48)))&gt;0,IF(INDEX($AD$176:$AD$905,($K581-$N$48))="",0,INDEX($AD$176:$AD$905,($K581-$N$48))),0))="",0,IF(($K581-$N$48)&lt;1,0,IF(IF(INDEX($AD$176:$AD$905,($K581-$N$48))="",0,INDEX($AD$176:$AD$905,($K581-$N$48)))&gt;0,IF(INDEX($AD$176:$AD$905,($K581-$N$48))="",0,INDEX($AD$176:$AD$905,($K581-$N$48))),0)))=0,"",IF(AND($P580="",$P581=1),($N$37*-1),0)+IF(AND($Q580="",$Q581=1),($N$38*-1),0)+IF(IF(($K581-$N$48)&lt;1,0,IF(IF(INDEX($AD$176:$AD$905,($K581-$N$48))="",0,INDEX($AD$176:$AD$905,($K581-$N$48)))&gt;0,IF(INDEX($AD$176:$AD$905,($K581-$N$48))="",0,INDEX($AD$176:$AD$905,($K581-$N$48))),0))="",0,IF(($K581-$N$48)&lt;1,0,IF(IF(INDEX($AD$176:$AD$905,($K581-$N$48))="",0,INDEX($AD$176:$AD$905,($K581-$N$48)))&gt;0,IF(INDEX($AD$176:$AD$905,($K581-$N$48))="",0,INDEX($AD$176:$AD$905,($K581-$N$48))),0))))</f>
        <v/>
      </c>
      <c r="AC581" s="22" t="str">
        <f t="shared" si="162"/>
        <v/>
      </c>
      <c r="AD581" s="22" t="str">
        <f t="shared" si="174"/>
        <v/>
      </c>
      <c r="AE581" s="22" t="str" cm="1">
        <f t="array" ref="AE581">IF(($K581-$N$48)&lt;1,"",IF((IF(INDEX($AC$176:$AC$905,($K581-$N$48))="",0,INDEX($AC$176:$AC$905,($K581-$N$48))))=0,"",(IF(INDEX($AC$176:$AC$905,($K581-$N$48))="",0,INDEX($AC$176:$AC$905,($K581-$N$48))))))</f>
        <v/>
      </c>
      <c r="AF581" s="31" t="str">
        <f t="shared" si="163"/>
        <v/>
      </c>
      <c r="AG581" s="31" t="str">
        <f t="shared" si="164"/>
        <v/>
      </c>
      <c r="AH581" s="31" t="str">
        <f t="shared" si="165"/>
        <v/>
      </c>
      <c r="AI581" s="31" t="str">
        <f t="shared" si="166"/>
        <v/>
      </c>
      <c r="AJ581" s="303" t="str">
        <f t="shared" si="167"/>
        <v/>
      </c>
      <c r="AK581" s="139" t="str">
        <f t="shared" si="168"/>
        <v/>
      </c>
      <c r="AM581" s="319"/>
      <c r="AN581" s="40"/>
      <c r="AO581" s="1"/>
    </row>
    <row r="582" spans="7:41" x14ac:dyDescent="0.25">
      <c r="G582" s="235" t="str">
        <f t="shared" si="154"/>
        <v/>
      </c>
      <c r="H582" s="4" t="str">
        <f t="shared" si="155"/>
        <v/>
      </c>
      <c r="I582" s="11" t="str">
        <f t="shared" si="156"/>
        <v>09.00</v>
      </c>
      <c r="K582" s="30">
        <v>407</v>
      </c>
      <c r="L582" s="29">
        <f t="shared" si="169"/>
        <v>11371.908376190917</v>
      </c>
      <c r="M582" s="28" t="str">
        <f t="shared" si="157"/>
        <v/>
      </c>
      <c r="N582" s="27" t="str">
        <f t="shared" si="170"/>
        <v/>
      </c>
      <c r="O582" s="26" t="str">
        <f>IF(AND($Q581=$O$38,IFERROR(LARGE($V$176:$V581,1)&lt;$N$42,TRUE)),1,IF(AND(ISNUMBER($O581),$O581&lt;$N$32),$O581+1,""))</f>
        <v/>
      </c>
      <c r="P582" s="26" t="str">
        <f t="shared" si="171"/>
        <v/>
      </c>
      <c r="Q582" s="26" t="str">
        <f t="shared" si="158"/>
        <v/>
      </c>
      <c r="R582" s="24" t="str">
        <f t="shared" si="172"/>
        <v/>
      </c>
      <c r="S582" s="180">
        <f t="shared" si="173"/>
        <v>9</v>
      </c>
      <c r="T582" s="151"/>
      <c r="U582" s="25" t="str">
        <f t="shared" si="159"/>
        <v/>
      </c>
      <c r="V582" s="24" t="str">
        <f>IF(AND(ISNUMBER(R581),ISNUMBER(R582)),V581,IF(AND(R581="",ISNUMBER(R582)),IFERROR(LARGE($V$176:$V581,1)+1,0),""))</f>
        <v/>
      </c>
      <c r="W582" s="23" t="str">
        <f t="shared" si="160"/>
        <v/>
      </c>
      <c r="X582" s="22" t="str">
        <f t="shared" si="161"/>
        <v/>
      </c>
      <c r="Y582" s="22"/>
      <c r="Z582" s="22"/>
      <c r="AA582" s="22"/>
      <c r="AB582" s="22" t="str" cm="1">
        <f t="array" ref="AB582">IF(IF(AND($P581="",$P582=1),($N$37*-1),0)+IF(AND($Q581="",$Q582=1),($N$38*-1),0)+IF(IF(($K582-$N$48)&lt;1,0,IF(IF(INDEX($AD$176:$AD$905,($K582-$N$48))="",0,INDEX($AD$176:$AD$905,($K582-$N$48)))&gt;0,IF(INDEX($AD$176:$AD$905,($K582-$N$48))="",0,INDEX($AD$176:$AD$905,($K582-$N$48))),0))="",0,IF(($K582-$N$48)&lt;1,0,IF(IF(INDEX($AD$176:$AD$905,($K582-$N$48))="",0,INDEX($AD$176:$AD$905,($K582-$N$48)))&gt;0,IF(INDEX($AD$176:$AD$905,($K582-$N$48))="",0,INDEX($AD$176:$AD$905,($K582-$N$48))),0)))=0,"",IF(AND($P581="",$P582=1),($N$37*-1),0)+IF(AND($Q581="",$Q582=1),($N$38*-1),0)+IF(IF(($K582-$N$48)&lt;1,0,IF(IF(INDEX($AD$176:$AD$905,($K582-$N$48))="",0,INDEX($AD$176:$AD$905,($K582-$N$48)))&gt;0,IF(INDEX($AD$176:$AD$905,($K582-$N$48))="",0,INDEX($AD$176:$AD$905,($K582-$N$48))),0))="",0,IF(($K582-$N$48)&lt;1,0,IF(IF(INDEX($AD$176:$AD$905,($K582-$N$48))="",0,INDEX($AD$176:$AD$905,($K582-$N$48)))&gt;0,IF(INDEX($AD$176:$AD$905,($K582-$N$48))="",0,INDEX($AD$176:$AD$905,($K582-$N$48))),0))))</f>
        <v/>
      </c>
      <c r="AC582" s="22" t="str">
        <f t="shared" si="162"/>
        <v/>
      </c>
      <c r="AD582" s="22" t="str">
        <f t="shared" si="174"/>
        <v/>
      </c>
      <c r="AE582" s="22" t="str" cm="1">
        <f t="array" ref="AE582">IF(($K582-$N$48)&lt;1,"",IF((IF(INDEX($AC$176:$AC$905,($K582-$N$48))="",0,INDEX($AC$176:$AC$905,($K582-$N$48))))=0,"",(IF(INDEX($AC$176:$AC$905,($K582-$N$48))="",0,INDEX($AC$176:$AC$905,($K582-$N$48))))))</f>
        <v/>
      </c>
      <c r="AF582" s="31" t="str">
        <f t="shared" si="163"/>
        <v/>
      </c>
      <c r="AG582" s="31" t="str">
        <f t="shared" si="164"/>
        <v/>
      </c>
      <c r="AH582" s="31" t="str">
        <f t="shared" si="165"/>
        <v/>
      </c>
      <c r="AI582" s="31" t="str">
        <f t="shared" si="166"/>
        <v/>
      </c>
      <c r="AJ582" s="303" t="str">
        <f t="shared" si="167"/>
        <v/>
      </c>
      <c r="AK582" s="139" t="str">
        <f t="shared" si="168"/>
        <v/>
      </c>
      <c r="AM582" s="319"/>
      <c r="AN582" s="40"/>
      <c r="AO582" s="1"/>
    </row>
    <row r="583" spans="7:41" x14ac:dyDescent="0.25">
      <c r="G583" s="235" t="str">
        <f t="shared" si="154"/>
        <v/>
      </c>
      <c r="H583" s="4" t="str">
        <f t="shared" si="155"/>
        <v/>
      </c>
      <c r="I583" s="11" t="str">
        <f t="shared" si="156"/>
        <v>09.00</v>
      </c>
      <c r="K583" s="30">
        <v>408</v>
      </c>
      <c r="L583" s="29">
        <f t="shared" si="169"/>
        <v>11371.908376190917</v>
      </c>
      <c r="M583" s="28" t="str">
        <f t="shared" si="157"/>
        <v/>
      </c>
      <c r="N583" s="27" t="str">
        <f t="shared" si="170"/>
        <v/>
      </c>
      <c r="O583" s="26" t="str">
        <f>IF(AND($Q582=$O$38,IFERROR(LARGE($V$176:$V582,1)&lt;$N$42,TRUE)),1,IF(AND(ISNUMBER($O582),$O582&lt;$N$32),$O582+1,""))</f>
        <v/>
      </c>
      <c r="P583" s="26" t="str">
        <f t="shared" si="171"/>
        <v/>
      </c>
      <c r="Q583" s="26" t="str">
        <f t="shared" si="158"/>
        <v/>
      </c>
      <c r="R583" s="24" t="str">
        <f t="shared" si="172"/>
        <v/>
      </c>
      <c r="S583" s="180">
        <f t="shared" si="173"/>
        <v>9</v>
      </c>
      <c r="T583" s="151"/>
      <c r="U583" s="25" t="str">
        <f t="shared" si="159"/>
        <v/>
      </c>
      <c r="V583" s="24" t="str">
        <f>IF(AND(ISNUMBER(R582),ISNUMBER(R583)),V582,IF(AND(R582="",ISNUMBER(R583)),IFERROR(LARGE($V$176:$V582,1)+1,0),""))</f>
        <v/>
      </c>
      <c r="W583" s="23" t="str">
        <f t="shared" si="160"/>
        <v/>
      </c>
      <c r="X583" s="22" t="str">
        <f t="shared" si="161"/>
        <v/>
      </c>
      <c r="Y583" s="22"/>
      <c r="Z583" s="22"/>
      <c r="AA583" s="22"/>
      <c r="AB583" s="22" t="str" cm="1">
        <f t="array" ref="AB583">IF(IF(AND($P582="",$P583=1),($N$37*-1),0)+IF(AND($Q582="",$Q583=1),($N$38*-1),0)+IF(IF(($K583-$N$48)&lt;1,0,IF(IF(INDEX($AD$176:$AD$905,($K583-$N$48))="",0,INDEX($AD$176:$AD$905,($K583-$N$48)))&gt;0,IF(INDEX($AD$176:$AD$905,($K583-$N$48))="",0,INDEX($AD$176:$AD$905,($K583-$N$48))),0))="",0,IF(($K583-$N$48)&lt;1,0,IF(IF(INDEX($AD$176:$AD$905,($K583-$N$48))="",0,INDEX($AD$176:$AD$905,($K583-$N$48)))&gt;0,IF(INDEX($AD$176:$AD$905,($K583-$N$48))="",0,INDEX($AD$176:$AD$905,($K583-$N$48))),0)))=0,"",IF(AND($P582="",$P583=1),($N$37*-1),0)+IF(AND($Q582="",$Q583=1),($N$38*-1),0)+IF(IF(($K583-$N$48)&lt;1,0,IF(IF(INDEX($AD$176:$AD$905,($K583-$N$48))="",0,INDEX($AD$176:$AD$905,($K583-$N$48)))&gt;0,IF(INDEX($AD$176:$AD$905,($K583-$N$48))="",0,INDEX($AD$176:$AD$905,($K583-$N$48))),0))="",0,IF(($K583-$N$48)&lt;1,0,IF(IF(INDEX($AD$176:$AD$905,($K583-$N$48))="",0,INDEX($AD$176:$AD$905,($K583-$N$48)))&gt;0,IF(INDEX($AD$176:$AD$905,($K583-$N$48))="",0,INDEX($AD$176:$AD$905,($K583-$N$48))),0))))</f>
        <v/>
      </c>
      <c r="AC583" s="22" t="str">
        <f t="shared" si="162"/>
        <v/>
      </c>
      <c r="AD583" s="22" t="str">
        <f t="shared" si="174"/>
        <v/>
      </c>
      <c r="AE583" s="22" t="str" cm="1">
        <f t="array" ref="AE583">IF(($K583-$N$48)&lt;1,"",IF((IF(INDEX($AC$176:$AC$905,($K583-$N$48))="",0,INDEX($AC$176:$AC$905,($K583-$N$48))))=0,"",(IF(INDEX($AC$176:$AC$905,($K583-$N$48))="",0,INDEX($AC$176:$AC$905,($K583-$N$48))))))</f>
        <v/>
      </c>
      <c r="AF583" s="31" t="str">
        <f t="shared" si="163"/>
        <v/>
      </c>
      <c r="AG583" s="31" t="str">
        <f t="shared" si="164"/>
        <v/>
      </c>
      <c r="AH583" s="31" t="str">
        <f t="shared" si="165"/>
        <v/>
      </c>
      <c r="AI583" s="31" t="str">
        <f t="shared" si="166"/>
        <v/>
      </c>
      <c r="AJ583" s="303" t="str">
        <f t="shared" si="167"/>
        <v/>
      </c>
      <c r="AK583" s="139" t="str">
        <f t="shared" si="168"/>
        <v/>
      </c>
      <c r="AM583" s="319"/>
      <c r="AN583" s="40"/>
      <c r="AO583" s="1"/>
    </row>
    <row r="584" spans="7:41" x14ac:dyDescent="0.25">
      <c r="G584" s="235" t="str">
        <f t="shared" si="154"/>
        <v/>
      </c>
      <c r="H584" s="4" t="str">
        <f t="shared" si="155"/>
        <v/>
      </c>
      <c r="I584" s="11" t="str">
        <f t="shared" si="156"/>
        <v>09.00</v>
      </c>
      <c r="K584" s="30">
        <v>409</v>
      </c>
      <c r="L584" s="29">
        <f t="shared" si="169"/>
        <v>11371.908376190917</v>
      </c>
      <c r="M584" s="28" t="str">
        <f t="shared" si="157"/>
        <v/>
      </c>
      <c r="N584" s="27" t="str">
        <f t="shared" si="170"/>
        <v/>
      </c>
      <c r="O584" s="26" t="str">
        <f>IF(AND($Q583=$O$38,IFERROR(LARGE($V$176:$V583,1)&lt;$N$42,TRUE)),1,IF(AND(ISNUMBER($O583),$O583&lt;$N$32),$O583+1,""))</f>
        <v/>
      </c>
      <c r="P584" s="26" t="str">
        <f t="shared" si="171"/>
        <v/>
      </c>
      <c r="Q584" s="26" t="str">
        <f t="shared" si="158"/>
        <v/>
      </c>
      <c r="R584" s="24" t="str">
        <f t="shared" si="172"/>
        <v/>
      </c>
      <c r="S584" s="180">
        <f t="shared" si="173"/>
        <v>9</v>
      </c>
      <c r="T584" s="151"/>
      <c r="U584" s="25" t="str">
        <f t="shared" si="159"/>
        <v/>
      </c>
      <c r="V584" s="24" t="str">
        <f>IF(AND(ISNUMBER(R583),ISNUMBER(R584)),V583,IF(AND(R583="",ISNUMBER(R584)),IFERROR(LARGE($V$176:$V583,1)+1,0),""))</f>
        <v/>
      </c>
      <c r="W584" s="23" t="str">
        <f t="shared" si="160"/>
        <v/>
      </c>
      <c r="X584" s="22" t="str">
        <f t="shared" si="161"/>
        <v/>
      </c>
      <c r="Y584" s="22"/>
      <c r="Z584" s="22"/>
      <c r="AA584" s="22"/>
      <c r="AB584" s="22" t="str" cm="1">
        <f t="array" ref="AB584">IF(IF(AND($P583="",$P584=1),($N$37*-1),0)+IF(AND($Q583="",$Q584=1),($N$38*-1),0)+IF(IF(($K584-$N$48)&lt;1,0,IF(IF(INDEX($AD$176:$AD$905,($K584-$N$48))="",0,INDEX($AD$176:$AD$905,($K584-$N$48)))&gt;0,IF(INDEX($AD$176:$AD$905,($K584-$N$48))="",0,INDEX($AD$176:$AD$905,($K584-$N$48))),0))="",0,IF(($K584-$N$48)&lt;1,0,IF(IF(INDEX($AD$176:$AD$905,($K584-$N$48))="",0,INDEX($AD$176:$AD$905,($K584-$N$48)))&gt;0,IF(INDEX($AD$176:$AD$905,($K584-$N$48))="",0,INDEX($AD$176:$AD$905,($K584-$N$48))),0)))=0,"",IF(AND($P583="",$P584=1),($N$37*-1),0)+IF(AND($Q583="",$Q584=1),($N$38*-1),0)+IF(IF(($K584-$N$48)&lt;1,0,IF(IF(INDEX($AD$176:$AD$905,($K584-$N$48))="",0,INDEX($AD$176:$AD$905,($K584-$N$48)))&gt;0,IF(INDEX($AD$176:$AD$905,($K584-$N$48))="",0,INDEX($AD$176:$AD$905,($K584-$N$48))),0))="",0,IF(($K584-$N$48)&lt;1,0,IF(IF(INDEX($AD$176:$AD$905,($K584-$N$48))="",0,INDEX($AD$176:$AD$905,($K584-$N$48)))&gt;0,IF(INDEX($AD$176:$AD$905,($K584-$N$48))="",0,INDEX($AD$176:$AD$905,($K584-$N$48))),0))))</f>
        <v/>
      </c>
      <c r="AC584" s="22" t="str">
        <f t="shared" si="162"/>
        <v/>
      </c>
      <c r="AD584" s="22" t="str">
        <f t="shared" si="174"/>
        <v/>
      </c>
      <c r="AE584" s="22" t="str" cm="1">
        <f t="array" ref="AE584">IF(($K584-$N$48)&lt;1,"",IF((IF(INDEX($AC$176:$AC$905,($K584-$N$48))="",0,INDEX($AC$176:$AC$905,($K584-$N$48))))=0,"",(IF(INDEX($AC$176:$AC$905,($K584-$N$48))="",0,INDEX($AC$176:$AC$905,($K584-$N$48))))))</f>
        <v/>
      </c>
      <c r="AF584" s="31" t="str">
        <f t="shared" si="163"/>
        <v/>
      </c>
      <c r="AG584" s="31" t="str">
        <f t="shared" si="164"/>
        <v/>
      </c>
      <c r="AH584" s="31" t="str">
        <f t="shared" si="165"/>
        <v/>
      </c>
      <c r="AI584" s="31" t="str">
        <f t="shared" si="166"/>
        <v/>
      </c>
      <c r="AJ584" s="303" t="str">
        <f t="shared" si="167"/>
        <v/>
      </c>
      <c r="AK584" s="139" t="str">
        <f t="shared" si="168"/>
        <v/>
      </c>
      <c r="AM584" s="319"/>
      <c r="AN584" s="40"/>
      <c r="AO584" s="1"/>
    </row>
    <row r="585" spans="7:41" x14ac:dyDescent="0.25">
      <c r="G585" s="235" t="str">
        <f t="shared" si="154"/>
        <v/>
      </c>
      <c r="H585" s="4" t="str">
        <f t="shared" si="155"/>
        <v/>
      </c>
      <c r="I585" s="11" t="str">
        <f t="shared" si="156"/>
        <v>09.00</v>
      </c>
      <c r="K585" s="30">
        <v>410</v>
      </c>
      <c r="L585" s="29">
        <f t="shared" si="169"/>
        <v>11371.908376190917</v>
      </c>
      <c r="M585" s="28" t="str">
        <f t="shared" si="157"/>
        <v/>
      </c>
      <c r="N585" s="27" t="str">
        <f t="shared" si="170"/>
        <v/>
      </c>
      <c r="O585" s="26" t="str">
        <f>IF(AND($Q584=$O$38,IFERROR(LARGE($V$176:$V584,1)&lt;$N$42,TRUE)),1,IF(AND(ISNUMBER($O584),$O584&lt;$N$32),$O584+1,""))</f>
        <v/>
      </c>
      <c r="P585" s="26" t="str">
        <f t="shared" si="171"/>
        <v/>
      </c>
      <c r="Q585" s="26" t="str">
        <f t="shared" si="158"/>
        <v/>
      </c>
      <c r="R585" s="24" t="str">
        <f t="shared" si="172"/>
        <v/>
      </c>
      <c r="S585" s="180">
        <f t="shared" si="173"/>
        <v>9</v>
      </c>
      <c r="T585" s="151"/>
      <c r="U585" s="25" t="str">
        <f t="shared" si="159"/>
        <v/>
      </c>
      <c r="V585" s="24" t="str">
        <f>IF(AND(ISNUMBER(R584),ISNUMBER(R585)),V584,IF(AND(R584="",ISNUMBER(R585)),IFERROR(LARGE($V$176:$V584,1)+1,0),""))</f>
        <v/>
      </c>
      <c r="W585" s="23" t="str">
        <f t="shared" si="160"/>
        <v/>
      </c>
      <c r="X585" s="22" t="str">
        <f t="shared" si="161"/>
        <v/>
      </c>
      <c r="Y585" s="22"/>
      <c r="Z585" s="22"/>
      <c r="AA585" s="22"/>
      <c r="AB585" s="22" t="str" cm="1">
        <f t="array" ref="AB585">IF(IF(AND($P584="",$P585=1),($N$37*-1),0)+IF(AND($Q584="",$Q585=1),($N$38*-1),0)+IF(IF(($K585-$N$48)&lt;1,0,IF(IF(INDEX($AD$176:$AD$905,($K585-$N$48))="",0,INDEX($AD$176:$AD$905,($K585-$N$48)))&gt;0,IF(INDEX($AD$176:$AD$905,($K585-$N$48))="",0,INDEX($AD$176:$AD$905,($K585-$N$48))),0))="",0,IF(($K585-$N$48)&lt;1,0,IF(IF(INDEX($AD$176:$AD$905,($K585-$N$48))="",0,INDEX($AD$176:$AD$905,($K585-$N$48)))&gt;0,IF(INDEX($AD$176:$AD$905,($K585-$N$48))="",0,INDEX($AD$176:$AD$905,($K585-$N$48))),0)))=0,"",IF(AND($P584="",$P585=1),($N$37*-1),0)+IF(AND($Q584="",$Q585=1),($N$38*-1),0)+IF(IF(($K585-$N$48)&lt;1,0,IF(IF(INDEX($AD$176:$AD$905,($K585-$N$48))="",0,INDEX($AD$176:$AD$905,($K585-$N$48)))&gt;0,IF(INDEX($AD$176:$AD$905,($K585-$N$48))="",0,INDEX($AD$176:$AD$905,($K585-$N$48))),0))="",0,IF(($K585-$N$48)&lt;1,0,IF(IF(INDEX($AD$176:$AD$905,($K585-$N$48))="",0,INDEX($AD$176:$AD$905,($K585-$N$48)))&gt;0,IF(INDEX($AD$176:$AD$905,($K585-$N$48))="",0,INDEX($AD$176:$AD$905,($K585-$N$48))),0))))</f>
        <v/>
      </c>
      <c r="AC585" s="22" t="str">
        <f t="shared" si="162"/>
        <v/>
      </c>
      <c r="AD585" s="22" t="str">
        <f t="shared" si="174"/>
        <v/>
      </c>
      <c r="AE585" s="22" t="str" cm="1">
        <f t="array" ref="AE585">IF(($K585-$N$48)&lt;1,"",IF((IF(INDEX($AC$176:$AC$905,($K585-$N$48))="",0,INDEX($AC$176:$AC$905,($K585-$N$48))))=0,"",(IF(INDEX($AC$176:$AC$905,($K585-$N$48))="",0,INDEX($AC$176:$AC$905,($K585-$N$48))))))</f>
        <v/>
      </c>
      <c r="AF585" s="31" t="str">
        <f t="shared" si="163"/>
        <v/>
      </c>
      <c r="AG585" s="31" t="str">
        <f t="shared" si="164"/>
        <v/>
      </c>
      <c r="AH585" s="31" t="str">
        <f t="shared" si="165"/>
        <v/>
      </c>
      <c r="AI585" s="31" t="str">
        <f t="shared" si="166"/>
        <v/>
      </c>
      <c r="AJ585" s="303" t="str">
        <f t="shared" si="167"/>
        <v/>
      </c>
      <c r="AK585" s="139" t="str">
        <f t="shared" si="168"/>
        <v/>
      </c>
      <c r="AM585" s="319"/>
      <c r="AN585" s="40"/>
      <c r="AO585" s="1"/>
    </row>
    <row r="586" spans="7:41" x14ac:dyDescent="0.25">
      <c r="G586" s="235" t="str">
        <f t="shared" si="154"/>
        <v/>
      </c>
      <c r="H586" s="4" t="str">
        <f t="shared" si="155"/>
        <v/>
      </c>
      <c r="I586" s="11" t="str">
        <f t="shared" si="156"/>
        <v>09.00</v>
      </c>
      <c r="K586" s="30">
        <v>411</v>
      </c>
      <c r="L586" s="29">
        <f t="shared" si="169"/>
        <v>11371.908376190917</v>
      </c>
      <c r="M586" s="28" t="str">
        <f t="shared" si="157"/>
        <v/>
      </c>
      <c r="N586" s="27" t="str">
        <f t="shared" si="170"/>
        <v/>
      </c>
      <c r="O586" s="26" t="str">
        <f>IF(AND($Q585=$O$38,IFERROR(LARGE($V$176:$V585,1)&lt;$N$42,TRUE)),1,IF(AND(ISNUMBER($O585),$O585&lt;$N$32),$O585+1,""))</f>
        <v/>
      </c>
      <c r="P586" s="26" t="str">
        <f t="shared" si="171"/>
        <v/>
      </c>
      <c r="Q586" s="26" t="str">
        <f t="shared" si="158"/>
        <v/>
      </c>
      <c r="R586" s="24" t="str">
        <f t="shared" si="172"/>
        <v/>
      </c>
      <c r="S586" s="180">
        <f t="shared" si="173"/>
        <v>9</v>
      </c>
      <c r="T586" s="151"/>
      <c r="U586" s="25" t="str">
        <f t="shared" si="159"/>
        <v/>
      </c>
      <c r="V586" s="24" t="str">
        <f>IF(AND(ISNUMBER(R585),ISNUMBER(R586)),V585,IF(AND(R585="",ISNUMBER(R586)),IFERROR(LARGE($V$176:$V585,1)+1,0),""))</f>
        <v/>
      </c>
      <c r="W586" s="23" t="str">
        <f t="shared" si="160"/>
        <v/>
      </c>
      <c r="X586" s="22" t="str">
        <f t="shared" si="161"/>
        <v/>
      </c>
      <c r="Y586" s="22"/>
      <c r="Z586" s="22"/>
      <c r="AA586" s="22"/>
      <c r="AB586" s="22" t="str" cm="1">
        <f t="array" ref="AB586">IF(IF(AND($P585="",$P586=1),($N$37*-1),0)+IF(AND($Q585="",$Q586=1),($N$38*-1),0)+IF(IF(($K586-$N$48)&lt;1,0,IF(IF(INDEX($AD$176:$AD$905,($K586-$N$48))="",0,INDEX($AD$176:$AD$905,($K586-$N$48)))&gt;0,IF(INDEX($AD$176:$AD$905,($K586-$N$48))="",0,INDEX($AD$176:$AD$905,($K586-$N$48))),0))="",0,IF(($K586-$N$48)&lt;1,0,IF(IF(INDEX($AD$176:$AD$905,($K586-$N$48))="",0,INDEX($AD$176:$AD$905,($K586-$N$48)))&gt;0,IF(INDEX($AD$176:$AD$905,($K586-$N$48))="",0,INDEX($AD$176:$AD$905,($K586-$N$48))),0)))=0,"",IF(AND($P585="",$P586=1),($N$37*-1),0)+IF(AND($Q585="",$Q586=1),($N$38*-1),0)+IF(IF(($K586-$N$48)&lt;1,0,IF(IF(INDEX($AD$176:$AD$905,($K586-$N$48))="",0,INDEX($AD$176:$AD$905,($K586-$N$48)))&gt;0,IF(INDEX($AD$176:$AD$905,($K586-$N$48))="",0,INDEX($AD$176:$AD$905,($K586-$N$48))),0))="",0,IF(($K586-$N$48)&lt;1,0,IF(IF(INDEX($AD$176:$AD$905,($K586-$N$48))="",0,INDEX($AD$176:$AD$905,($K586-$N$48)))&gt;0,IF(INDEX($AD$176:$AD$905,($K586-$N$48))="",0,INDEX($AD$176:$AD$905,($K586-$N$48))),0))))</f>
        <v/>
      </c>
      <c r="AC586" s="22" t="str">
        <f t="shared" si="162"/>
        <v/>
      </c>
      <c r="AD586" s="22" t="str">
        <f t="shared" si="174"/>
        <v/>
      </c>
      <c r="AE586" s="22" t="str" cm="1">
        <f t="array" ref="AE586">IF(($K586-$N$48)&lt;1,"",IF((IF(INDEX($AC$176:$AC$905,($K586-$N$48))="",0,INDEX($AC$176:$AC$905,($K586-$N$48))))=0,"",(IF(INDEX($AC$176:$AC$905,($K586-$N$48))="",0,INDEX($AC$176:$AC$905,($K586-$N$48))))))</f>
        <v/>
      </c>
      <c r="AF586" s="31" t="str">
        <f t="shared" si="163"/>
        <v/>
      </c>
      <c r="AG586" s="31" t="str">
        <f t="shared" si="164"/>
        <v/>
      </c>
      <c r="AH586" s="31" t="str">
        <f t="shared" si="165"/>
        <v/>
      </c>
      <c r="AI586" s="31" t="str">
        <f t="shared" si="166"/>
        <v/>
      </c>
      <c r="AJ586" s="303" t="str">
        <f t="shared" si="167"/>
        <v/>
      </c>
      <c r="AK586" s="139" t="str">
        <f t="shared" si="168"/>
        <v/>
      </c>
      <c r="AM586" s="319"/>
      <c r="AN586" s="40"/>
      <c r="AO586" s="1"/>
    </row>
    <row r="587" spans="7:41" x14ac:dyDescent="0.25">
      <c r="G587" s="235" t="str">
        <f t="shared" si="154"/>
        <v/>
      </c>
      <c r="H587" s="4" t="str">
        <f t="shared" si="155"/>
        <v/>
      </c>
      <c r="I587" s="11" t="str">
        <f t="shared" si="156"/>
        <v>09.00</v>
      </c>
      <c r="K587" s="30">
        <v>412</v>
      </c>
      <c r="L587" s="29">
        <f t="shared" si="169"/>
        <v>11371.908376190917</v>
      </c>
      <c r="M587" s="28" t="str">
        <f t="shared" si="157"/>
        <v/>
      </c>
      <c r="N587" s="27" t="str">
        <f t="shared" si="170"/>
        <v/>
      </c>
      <c r="O587" s="26" t="str">
        <f>IF(AND($Q586=$O$38,IFERROR(LARGE($V$176:$V586,1)&lt;$N$42,TRUE)),1,IF(AND(ISNUMBER($O586),$O586&lt;$N$32),$O586+1,""))</f>
        <v/>
      </c>
      <c r="P587" s="26" t="str">
        <f t="shared" si="171"/>
        <v/>
      </c>
      <c r="Q587" s="26" t="str">
        <f t="shared" si="158"/>
        <v/>
      </c>
      <c r="R587" s="24" t="str">
        <f t="shared" si="172"/>
        <v/>
      </c>
      <c r="S587" s="180">
        <f t="shared" si="173"/>
        <v>9</v>
      </c>
      <c r="T587" s="151"/>
      <c r="U587" s="25" t="str">
        <f t="shared" si="159"/>
        <v/>
      </c>
      <c r="V587" s="24" t="str">
        <f>IF(AND(ISNUMBER(R586),ISNUMBER(R587)),V586,IF(AND(R586="",ISNUMBER(R587)),IFERROR(LARGE($V$176:$V586,1)+1,0),""))</f>
        <v/>
      </c>
      <c r="W587" s="23" t="str">
        <f t="shared" si="160"/>
        <v/>
      </c>
      <c r="X587" s="22" t="str">
        <f t="shared" si="161"/>
        <v/>
      </c>
      <c r="Y587" s="22"/>
      <c r="Z587" s="22"/>
      <c r="AA587" s="22"/>
      <c r="AB587" s="22" t="str" cm="1">
        <f t="array" ref="AB587">IF(IF(AND($P586="",$P587=1),($N$37*-1),0)+IF(AND($Q586="",$Q587=1),($N$38*-1),0)+IF(IF(($K587-$N$48)&lt;1,0,IF(IF(INDEX($AD$176:$AD$905,($K587-$N$48))="",0,INDEX($AD$176:$AD$905,($K587-$N$48)))&gt;0,IF(INDEX($AD$176:$AD$905,($K587-$N$48))="",0,INDEX($AD$176:$AD$905,($K587-$N$48))),0))="",0,IF(($K587-$N$48)&lt;1,0,IF(IF(INDEX($AD$176:$AD$905,($K587-$N$48))="",0,INDEX($AD$176:$AD$905,($K587-$N$48)))&gt;0,IF(INDEX($AD$176:$AD$905,($K587-$N$48))="",0,INDEX($AD$176:$AD$905,($K587-$N$48))),0)))=0,"",IF(AND($P586="",$P587=1),($N$37*-1),0)+IF(AND($Q586="",$Q587=1),($N$38*-1),0)+IF(IF(($K587-$N$48)&lt;1,0,IF(IF(INDEX($AD$176:$AD$905,($K587-$N$48))="",0,INDEX($AD$176:$AD$905,($K587-$N$48)))&gt;0,IF(INDEX($AD$176:$AD$905,($K587-$N$48))="",0,INDEX($AD$176:$AD$905,($K587-$N$48))),0))="",0,IF(($K587-$N$48)&lt;1,0,IF(IF(INDEX($AD$176:$AD$905,($K587-$N$48))="",0,INDEX($AD$176:$AD$905,($K587-$N$48)))&gt;0,IF(INDEX($AD$176:$AD$905,($K587-$N$48))="",0,INDEX($AD$176:$AD$905,($K587-$N$48))),0))))</f>
        <v/>
      </c>
      <c r="AC587" s="22" t="str">
        <f t="shared" si="162"/>
        <v/>
      </c>
      <c r="AD587" s="22" t="str">
        <f t="shared" si="174"/>
        <v/>
      </c>
      <c r="AE587" s="22" t="str" cm="1">
        <f t="array" ref="AE587">IF(($K587-$N$48)&lt;1,"",IF((IF(INDEX($AC$176:$AC$905,($K587-$N$48))="",0,INDEX($AC$176:$AC$905,($K587-$N$48))))=0,"",(IF(INDEX($AC$176:$AC$905,($K587-$N$48))="",0,INDEX($AC$176:$AC$905,($K587-$N$48))))))</f>
        <v/>
      </c>
      <c r="AF587" s="31" t="str">
        <f t="shared" si="163"/>
        <v/>
      </c>
      <c r="AG587" s="31" t="str">
        <f t="shared" si="164"/>
        <v/>
      </c>
      <c r="AH587" s="31" t="str">
        <f t="shared" si="165"/>
        <v/>
      </c>
      <c r="AI587" s="31" t="str">
        <f t="shared" si="166"/>
        <v/>
      </c>
      <c r="AJ587" s="303" t="str">
        <f t="shared" si="167"/>
        <v/>
      </c>
      <c r="AK587" s="139" t="str">
        <f t="shared" si="168"/>
        <v/>
      </c>
      <c r="AM587" s="319"/>
      <c r="AN587" s="40"/>
      <c r="AO587" s="1"/>
    </row>
    <row r="588" spans="7:41" x14ac:dyDescent="0.25">
      <c r="G588" s="235" t="str">
        <f t="shared" si="154"/>
        <v/>
      </c>
      <c r="H588" s="4" t="str">
        <f t="shared" si="155"/>
        <v/>
      </c>
      <c r="I588" s="11" t="str">
        <f t="shared" si="156"/>
        <v>09.00</v>
      </c>
      <c r="K588" s="30">
        <v>413</v>
      </c>
      <c r="L588" s="29">
        <f t="shared" si="169"/>
        <v>11371.908376190917</v>
      </c>
      <c r="M588" s="28" t="str">
        <f t="shared" si="157"/>
        <v/>
      </c>
      <c r="N588" s="27" t="str">
        <f t="shared" si="170"/>
        <v/>
      </c>
      <c r="O588" s="26" t="str">
        <f>IF(AND($Q587=$O$38,IFERROR(LARGE($V$176:$V587,1)&lt;$N$42,TRUE)),1,IF(AND(ISNUMBER($O587),$O587&lt;$N$32),$O587+1,""))</f>
        <v/>
      </c>
      <c r="P588" s="26" t="str">
        <f t="shared" si="171"/>
        <v/>
      </c>
      <c r="Q588" s="26" t="str">
        <f t="shared" si="158"/>
        <v/>
      </c>
      <c r="R588" s="24" t="str">
        <f t="shared" si="172"/>
        <v/>
      </c>
      <c r="S588" s="180">
        <f t="shared" si="173"/>
        <v>9</v>
      </c>
      <c r="T588" s="151"/>
      <c r="U588" s="25" t="str">
        <f t="shared" si="159"/>
        <v/>
      </c>
      <c r="V588" s="24" t="str">
        <f>IF(AND(ISNUMBER(R587),ISNUMBER(R588)),V587,IF(AND(R587="",ISNUMBER(R588)),IFERROR(LARGE($V$176:$V587,1)+1,0),""))</f>
        <v/>
      </c>
      <c r="W588" s="23" t="str">
        <f t="shared" si="160"/>
        <v/>
      </c>
      <c r="X588" s="22" t="str">
        <f t="shared" si="161"/>
        <v/>
      </c>
      <c r="Y588" s="22"/>
      <c r="Z588" s="22"/>
      <c r="AA588" s="22"/>
      <c r="AB588" s="22" t="str" cm="1">
        <f t="array" ref="AB588">IF(IF(AND($P587="",$P588=1),($N$37*-1),0)+IF(AND($Q587="",$Q588=1),($N$38*-1),0)+IF(IF(($K588-$N$48)&lt;1,0,IF(IF(INDEX($AD$176:$AD$905,($K588-$N$48))="",0,INDEX($AD$176:$AD$905,($K588-$N$48)))&gt;0,IF(INDEX($AD$176:$AD$905,($K588-$N$48))="",0,INDEX($AD$176:$AD$905,($K588-$N$48))),0))="",0,IF(($K588-$N$48)&lt;1,0,IF(IF(INDEX($AD$176:$AD$905,($K588-$N$48))="",0,INDEX($AD$176:$AD$905,($K588-$N$48)))&gt;0,IF(INDEX($AD$176:$AD$905,($K588-$N$48))="",0,INDEX($AD$176:$AD$905,($K588-$N$48))),0)))=0,"",IF(AND($P587="",$P588=1),($N$37*-1),0)+IF(AND($Q587="",$Q588=1),($N$38*-1),0)+IF(IF(($K588-$N$48)&lt;1,0,IF(IF(INDEX($AD$176:$AD$905,($K588-$N$48))="",0,INDEX($AD$176:$AD$905,($K588-$N$48)))&gt;0,IF(INDEX($AD$176:$AD$905,($K588-$N$48))="",0,INDEX($AD$176:$AD$905,($K588-$N$48))),0))="",0,IF(($K588-$N$48)&lt;1,0,IF(IF(INDEX($AD$176:$AD$905,($K588-$N$48))="",0,INDEX($AD$176:$AD$905,($K588-$N$48)))&gt;0,IF(INDEX($AD$176:$AD$905,($K588-$N$48))="",0,INDEX($AD$176:$AD$905,($K588-$N$48))),0))))</f>
        <v/>
      </c>
      <c r="AC588" s="22" t="str">
        <f t="shared" si="162"/>
        <v/>
      </c>
      <c r="AD588" s="22" t="str">
        <f t="shared" si="174"/>
        <v/>
      </c>
      <c r="AE588" s="22" t="str" cm="1">
        <f t="array" ref="AE588">IF(($K588-$N$48)&lt;1,"",IF((IF(INDEX($AC$176:$AC$905,($K588-$N$48))="",0,INDEX($AC$176:$AC$905,($K588-$N$48))))=0,"",(IF(INDEX($AC$176:$AC$905,($K588-$N$48))="",0,INDEX($AC$176:$AC$905,($K588-$N$48))))))</f>
        <v/>
      </c>
      <c r="AF588" s="31" t="str">
        <f t="shared" si="163"/>
        <v/>
      </c>
      <c r="AG588" s="31" t="str">
        <f t="shared" si="164"/>
        <v/>
      </c>
      <c r="AH588" s="31" t="str">
        <f t="shared" si="165"/>
        <v/>
      </c>
      <c r="AI588" s="31" t="str">
        <f t="shared" si="166"/>
        <v/>
      </c>
      <c r="AJ588" s="303" t="str">
        <f t="shared" si="167"/>
        <v/>
      </c>
      <c r="AK588" s="139" t="str">
        <f t="shared" si="168"/>
        <v/>
      </c>
      <c r="AM588" s="319"/>
      <c r="AN588" s="40"/>
      <c r="AO588" s="1"/>
    </row>
    <row r="589" spans="7:41" x14ac:dyDescent="0.25">
      <c r="G589" s="235" t="str">
        <f t="shared" si="154"/>
        <v/>
      </c>
      <c r="H589" s="4" t="str">
        <f t="shared" si="155"/>
        <v/>
      </c>
      <c r="I589" s="11" t="str">
        <f t="shared" si="156"/>
        <v>09.00</v>
      </c>
      <c r="K589" s="30">
        <v>414</v>
      </c>
      <c r="L589" s="29">
        <f t="shared" si="169"/>
        <v>11371.908376190917</v>
      </c>
      <c r="M589" s="28" t="str">
        <f t="shared" si="157"/>
        <v/>
      </c>
      <c r="N589" s="27" t="str">
        <f t="shared" si="170"/>
        <v/>
      </c>
      <c r="O589" s="26" t="str">
        <f>IF(AND($Q588=$O$38,IFERROR(LARGE($V$176:$V588,1)&lt;$N$42,TRUE)),1,IF(AND(ISNUMBER($O588),$O588&lt;$N$32),$O588+1,""))</f>
        <v/>
      </c>
      <c r="P589" s="26" t="str">
        <f t="shared" si="171"/>
        <v/>
      </c>
      <c r="Q589" s="26" t="str">
        <f t="shared" si="158"/>
        <v/>
      </c>
      <c r="R589" s="24" t="str">
        <f t="shared" si="172"/>
        <v/>
      </c>
      <c r="S589" s="180">
        <f t="shared" si="173"/>
        <v>9</v>
      </c>
      <c r="T589" s="151"/>
      <c r="U589" s="25" t="str">
        <f t="shared" si="159"/>
        <v/>
      </c>
      <c r="V589" s="24" t="str">
        <f>IF(AND(ISNUMBER(R588),ISNUMBER(R589)),V588,IF(AND(R588="",ISNUMBER(R589)),IFERROR(LARGE($V$176:$V588,1)+1,0),""))</f>
        <v/>
      </c>
      <c r="W589" s="23" t="str">
        <f t="shared" si="160"/>
        <v/>
      </c>
      <c r="X589" s="22" t="str">
        <f t="shared" si="161"/>
        <v/>
      </c>
      <c r="Y589" s="22"/>
      <c r="Z589" s="22"/>
      <c r="AA589" s="22"/>
      <c r="AB589" s="22" t="str" cm="1">
        <f t="array" ref="AB589">IF(IF(AND($P588="",$P589=1),($N$37*-1),0)+IF(AND($Q588="",$Q589=1),($N$38*-1),0)+IF(IF(($K589-$N$48)&lt;1,0,IF(IF(INDEX($AD$176:$AD$905,($K589-$N$48))="",0,INDEX($AD$176:$AD$905,($K589-$N$48)))&gt;0,IF(INDEX($AD$176:$AD$905,($K589-$N$48))="",0,INDEX($AD$176:$AD$905,($K589-$N$48))),0))="",0,IF(($K589-$N$48)&lt;1,0,IF(IF(INDEX($AD$176:$AD$905,($K589-$N$48))="",0,INDEX($AD$176:$AD$905,($K589-$N$48)))&gt;0,IF(INDEX($AD$176:$AD$905,($K589-$N$48))="",0,INDEX($AD$176:$AD$905,($K589-$N$48))),0)))=0,"",IF(AND($P588="",$P589=1),($N$37*-1),0)+IF(AND($Q588="",$Q589=1),($N$38*-1),0)+IF(IF(($K589-$N$48)&lt;1,0,IF(IF(INDEX($AD$176:$AD$905,($K589-$N$48))="",0,INDEX($AD$176:$AD$905,($K589-$N$48)))&gt;0,IF(INDEX($AD$176:$AD$905,($K589-$N$48))="",0,INDEX($AD$176:$AD$905,($K589-$N$48))),0))="",0,IF(($K589-$N$48)&lt;1,0,IF(IF(INDEX($AD$176:$AD$905,($K589-$N$48))="",0,INDEX($AD$176:$AD$905,($K589-$N$48)))&gt;0,IF(INDEX($AD$176:$AD$905,($K589-$N$48))="",0,INDEX($AD$176:$AD$905,($K589-$N$48))),0))))</f>
        <v/>
      </c>
      <c r="AC589" s="22" t="str">
        <f t="shared" si="162"/>
        <v/>
      </c>
      <c r="AD589" s="22" t="str">
        <f t="shared" si="174"/>
        <v/>
      </c>
      <c r="AE589" s="22" t="str" cm="1">
        <f t="array" ref="AE589">IF(($K589-$N$48)&lt;1,"",IF((IF(INDEX($AC$176:$AC$905,($K589-$N$48))="",0,INDEX($AC$176:$AC$905,($K589-$N$48))))=0,"",(IF(INDEX($AC$176:$AC$905,($K589-$N$48))="",0,INDEX($AC$176:$AC$905,($K589-$N$48))))))</f>
        <v/>
      </c>
      <c r="AF589" s="31" t="str">
        <f t="shared" si="163"/>
        <v/>
      </c>
      <c r="AG589" s="31" t="str">
        <f t="shared" si="164"/>
        <v/>
      </c>
      <c r="AH589" s="31" t="str">
        <f t="shared" si="165"/>
        <v/>
      </c>
      <c r="AI589" s="31" t="str">
        <f t="shared" si="166"/>
        <v/>
      </c>
      <c r="AJ589" s="303" t="str">
        <f t="shared" si="167"/>
        <v/>
      </c>
      <c r="AK589" s="139" t="str">
        <f t="shared" si="168"/>
        <v/>
      </c>
      <c r="AM589" s="319"/>
      <c r="AN589" s="40"/>
      <c r="AO589" s="1"/>
    </row>
    <row r="590" spans="7:41" x14ac:dyDescent="0.25">
      <c r="G590" s="235" t="str">
        <f t="shared" ref="G590:G653" si="175">IF(RIGHT(H590,2)=".N","NEW",IF(SUM(N590:R590)=0,"",LEFT(H590,5)))</f>
        <v/>
      </c>
      <c r="H590" s="4" t="str">
        <f t="shared" si="155"/>
        <v/>
      </c>
      <c r="I590" s="11" t="str">
        <f t="shared" si="156"/>
        <v>09.00</v>
      </c>
      <c r="K590" s="30">
        <v>415</v>
      </c>
      <c r="L590" s="29">
        <f t="shared" si="169"/>
        <v>11371.908376190917</v>
      </c>
      <c r="M590" s="28" t="str">
        <f t="shared" si="157"/>
        <v/>
      </c>
      <c r="N590" s="27" t="str">
        <f t="shared" si="170"/>
        <v/>
      </c>
      <c r="O590" s="26" t="str">
        <f>IF(AND($Q589=$O$38,IFERROR(LARGE($V$176:$V589,1)&lt;$N$42,TRUE)),1,IF(AND(ISNUMBER($O589),$O589&lt;$N$32),$O589+1,""))</f>
        <v/>
      </c>
      <c r="P590" s="26" t="str">
        <f t="shared" si="171"/>
        <v/>
      </c>
      <c r="Q590" s="26" t="str">
        <f t="shared" si="158"/>
        <v/>
      </c>
      <c r="R590" s="24" t="str">
        <f t="shared" si="172"/>
        <v/>
      </c>
      <c r="S590" s="180">
        <f t="shared" si="173"/>
        <v>9</v>
      </c>
      <c r="T590" s="151"/>
      <c r="U590" s="25" t="str">
        <f t="shared" si="159"/>
        <v/>
      </c>
      <c r="V590" s="24" t="str">
        <f>IF(AND(ISNUMBER(R589),ISNUMBER(R590)),V589,IF(AND(R589="",ISNUMBER(R590)),IFERROR(LARGE($V$176:$V589,1)+1,0),""))</f>
        <v/>
      </c>
      <c r="W590" s="23" t="str">
        <f t="shared" si="160"/>
        <v/>
      </c>
      <c r="X590" s="22" t="str">
        <f t="shared" si="161"/>
        <v/>
      </c>
      <c r="Y590" s="22"/>
      <c r="Z590" s="22"/>
      <c r="AA590" s="22"/>
      <c r="AB590" s="22" t="str" cm="1">
        <f t="array" ref="AB590">IF(IF(AND($P589="",$P590=1),($N$37*-1),0)+IF(AND($Q589="",$Q590=1),($N$38*-1),0)+IF(IF(($K590-$N$48)&lt;1,0,IF(IF(INDEX($AD$176:$AD$905,($K590-$N$48))="",0,INDEX($AD$176:$AD$905,($K590-$N$48)))&gt;0,IF(INDEX($AD$176:$AD$905,($K590-$N$48))="",0,INDEX($AD$176:$AD$905,($K590-$N$48))),0))="",0,IF(($K590-$N$48)&lt;1,0,IF(IF(INDEX($AD$176:$AD$905,($K590-$N$48))="",0,INDEX($AD$176:$AD$905,($K590-$N$48)))&gt;0,IF(INDEX($AD$176:$AD$905,($K590-$N$48))="",0,INDEX($AD$176:$AD$905,($K590-$N$48))),0)))=0,"",IF(AND($P589="",$P590=1),($N$37*-1),0)+IF(AND($Q589="",$Q590=1),($N$38*-1),0)+IF(IF(($K590-$N$48)&lt;1,0,IF(IF(INDEX($AD$176:$AD$905,($K590-$N$48))="",0,INDEX($AD$176:$AD$905,($K590-$N$48)))&gt;0,IF(INDEX($AD$176:$AD$905,($K590-$N$48))="",0,INDEX($AD$176:$AD$905,($K590-$N$48))),0))="",0,IF(($K590-$N$48)&lt;1,0,IF(IF(INDEX($AD$176:$AD$905,($K590-$N$48))="",0,INDEX($AD$176:$AD$905,($K590-$N$48)))&gt;0,IF(INDEX($AD$176:$AD$905,($K590-$N$48))="",0,INDEX($AD$176:$AD$905,($K590-$N$48))),0))))</f>
        <v/>
      </c>
      <c r="AC590" s="22" t="str">
        <f t="shared" si="162"/>
        <v/>
      </c>
      <c r="AD590" s="22" t="str">
        <f t="shared" si="174"/>
        <v/>
      </c>
      <c r="AE590" s="22" t="str" cm="1">
        <f t="array" ref="AE590">IF(($K590-$N$48)&lt;1,"",IF((IF(INDEX($AC$176:$AC$905,($K590-$N$48))="",0,INDEX($AC$176:$AC$905,($K590-$N$48))))=0,"",(IF(INDEX($AC$176:$AC$905,($K590-$N$48))="",0,INDEX($AC$176:$AC$905,($K590-$N$48))))))</f>
        <v/>
      </c>
      <c r="AF590" s="31" t="str">
        <f t="shared" si="163"/>
        <v/>
      </c>
      <c r="AG590" s="31" t="str">
        <f t="shared" si="164"/>
        <v/>
      </c>
      <c r="AH590" s="31" t="str">
        <f t="shared" si="165"/>
        <v/>
      </c>
      <c r="AI590" s="31" t="str">
        <f t="shared" si="166"/>
        <v/>
      </c>
      <c r="AJ590" s="303" t="str">
        <f t="shared" si="167"/>
        <v/>
      </c>
      <c r="AK590" s="139" t="str">
        <f t="shared" si="168"/>
        <v/>
      </c>
      <c r="AM590" s="319"/>
      <c r="AN590" s="40"/>
      <c r="AO590" s="1"/>
    </row>
    <row r="591" spans="7:41" x14ac:dyDescent="0.25">
      <c r="G591" s="235" t="str">
        <f t="shared" si="175"/>
        <v/>
      </c>
      <c r="H591" s="4" t="str">
        <f t="shared" ref="H591:H654" si="176">IF(SUM(N591:R591)&gt;0,CONCATENATE(IF(LEN(ROUNDDOWN(S591,0))=1,CONCATENATE("0",ROUNDDOWN(S591,0)),ROUNDDOWN(S591,0)),".",IF(LEN(ROUND(MOD(S591,1)*100,0))=1,CONCATENATE("0",ROUND(MOD(S591,1)*100,0)),ROUND(MOD(S591,1)*100,0)),IF(N591&lt;&gt;"",".N",IF(O591&lt;&gt;"",".R",IF(P591&lt;&gt;"",".O",IF(Q591&lt;&gt;"",".I",IF(R591&lt;&gt;"",".D","")))))),"")</f>
        <v/>
      </c>
      <c r="I591" s="11" t="str">
        <f t="shared" si="156"/>
        <v>09.00</v>
      </c>
      <c r="K591" s="30">
        <v>416</v>
      </c>
      <c r="L591" s="29">
        <f t="shared" si="169"/>
        <v>11371.908376190917</v>
      </c>
      <c r="M591" s="28" t="str">
        <f t="shared" si="157"/>
        <v/>
      </c>
      <c r="N591" s="27" t="str">
        <f t="shared" si="170"/>
        <v/>
      </c>
      <c r="O591" s="26" t="str">
        <f>IF(AND($Q590=$O$38,IFERROR(LARGE($V$176:$V590,1)&lt;$N$42,TRUE)),1,IF(AND(ISNUMBER($O590),$O590&lt;$N$32),$O590+1,""))</f>
        <v/>
      </c>
      <c r="P591" s="26" t="str">
        <f t="shared" si="171"/>
        <v/>
      </c>
      <c r="Q591" s="26" t="str">
        <f t="shared" si="158"/>
        <v/>
      </c>
      <c r="R591" s="24" t="str">
        <f t="shared" si="172"/>
        <v/>
      </c>
      <c r="S591" s="180">
        <f t="shared" si="173"/>
        <v>9</v>
      </c>
      <c r="T591" s="151"/>
      <c r="U591" s="25" t="str">
        <f t="shared" si="159"/>
        <v/>
      </c>
      <c r="V591" s="24" t="str">
        <f>IF(AND(ISNUMBER(R590),ISNUMBER(R591)),V590,IF(AND(R590="",ISNUMBER(R591)),IFERROR(LARGE($V$176:$V590,1)+1,0),""))</f>
        <v/>
      </c>
      <c r="W591" s="23" t="str">
        <f t="shared" si="160"/>
        <v/>
      </c>
      <c r="X591" s="22" t="str">
        <f t="shared" si="161"/>
        <v/>
      </c>
      <c r="Y591" s="22"/>
      <c r="Z591" s="22"/>
      <c r="AA591" s="22"/>
      <c r="AB591" s="22" t="str" cm="1">
        <f t="array" ref="AB591">IF(IF(AND($P590="",$P591=1),($N$37*-1),0)+IF(AND($Q590="",$Q591=1),($N$38*-1),0)+IF(IF(($K591-$N$48)&lt;1,0,IF(IF(INDEX($AD$176:$AD$905,($K591-$N$48))="",0,INDEX($AD$176:$AD$905,($K591-$N$48)))&gt;0,IF(INDEX($AD$176:$AD$905,($K591-$N$48))="",0,INDEX($AD$176:$AD$905,($K591-$N$48))),0))="",0,IF(($K591-$N$48)&lt;1,0,IF(IF(INDEX($AD$176:$AD$905,($K591-$N$48))="",0,INDEX($AD$176:$AD$905,($K591-$N$48)))&gt;0,IF(INDEX($AD$176:$AD$905,($K591-$N$48))="",0,INDEX($AD$176:$AD$905,($K591-$N$48))),0)))=0,"",IF(AND($P590="",$P591=1),($N$37*-1),0)+IF(AND($Q590="",$Q591=1),($N$38*-1),0)+IF(IF(($K591-$N$48)&lt;1,0,IF(IF(INDEX($AD$176:$AD$905,($K591-$N$48))="",0,INDEX($AD$176:$AD$905,($K591-$N$48)))&gt;0,IF(INDEX($AD$176:$AD$905,($K591-$N$48))="",0,INDEX($AD$176:$AD$905,($K591-$N$48))),0))="",0,IF(($K591-$N$48)&lt;1,0,IF(IF(INDEX($AD$176:$AD$905,($K591-$N$48))="",0,INDEX($AD$176:$AD$905,($K591-$N$48)))&gt;0,IF(INDEX($AD$176:$AD$905,($K591-$N$48))="",0,INDEX($AD$176:$AD$905,($K591-$N$48))),0))))</f>
        <v/>
      </c>
      <c r="AC591" s="22" t="str">
        <f t="shared" si="162"/>
        <v/>
      </c>
      <c r="AD591" s="22" t="str">
        <f t="shared" si="174"/>
        <v/>
      </c>
      <c r="AE591" s="22" t="str" cm="1">
        <f t="array" ref="AE591">IF(($K591-$N$48)&lt;1,"",IF((IF(INDEX($AC$176:$AC$905,($K591-$N$48))="",0,INDEX($AC$176:$AC$905,($K591-$N$48))))=0,"",(IF(INDEX($AC$176:$AC$905,($K591-$N$48))="",0,INDEX($AC$176:$AC$905,($K591-$N$48))))))</f>
        <v/>
      </c>
      <c r="AF591" s="31" t="str">
        <f t="shared" si="163"/>
        <v/>
      </c>
      <c r="AG591" s="31" t="str">
        <f t="shared" si="164"/>
        <v/>
      </c>
      <c r="AH591" s="31" t="str">
        <f t="shared" si="165"/>
        <v/>
      </c>
      <c r="AI591" s="31" t="str">
        <f t="shared" si="166"/>
        <v/>
      </c>
      <c r="AJ591" s="303" t="str">
        <f t="shared" si="167"/>
        <v/>
      </c>
      <c r="AK591" s="139" t="str">
        <f t="shared" si="168"/>
        <v/>
      </c>
      <c r="AM591" s="319"/>
      <c r="AN591" s="40"/>
      <c r="AO591" s="1"/>
    </row>
    <row r="592" spans="7:41" x14ac:dyDescent="0.25">
      <c r="G592" s="235" t="str">
        <f t="shared" si="175"/>
        <v/>
      </c>
      <c r="H592" s="4" t="str">
        <f t="shared" si="176"/>
        <v/>
      </c>
      <c r="I592" s="11" t="str">
        <f t="shared" si="156"/>
        <v>09.00</v>
      </c>
      <c r="K592" s="30">
        <v>417</v>
      </c>
      <c r="L592" s="29">
        <f t="shared" si="169"/>
        <v>11371.908376190917</v>
      </c>
      <c r="M592" s="28" t="str">
        <f t="shared" si="157"/>
        <v/>
      </c>
      <c r="N592" s="27" t="str">
        <f t="shared" si="170"/>
        <v/>
      </c>
      <c r="O592" s="26" t="str">
        <f>IF(AND($Q591=$O$38,IFERROR(LARGE($V$176:$V591,1)&lt;$N$42,TRUE)),1,IF(AND(ISNUMBER($O591),$O591&lt;$N$32),$O591+1,""))</f>
        <v/>
      </c>
      <c r="P592" s="26" t="str">
        <f t="shared" si="171"/>
        <v/>
      </c>
      <c r="Q592" s="26" t="str">
        <f t="shared" si="158"/>
        <v/>
      </c>
      <c r="R592" s="24" t="str">
        <f t="shared" si="172"/>
        <v/>
      </c>
      <c r="S592" s="180">
        <f t="shared" si="173"/>
        <v>9</v>
      </c>
      <c r="T592" s="151"/>
      <c r="U592" s="25" t="str">
        <f t="shared" si="159"/>
        <v/>
      </c>
      <c r="V592" s="24" t="str">
        <f>IF(AND(ISNUMBER(R591),ISNUMBER(R592)),V591,IF(AND(R591="",ISNUMBER(R592)),IFERROR(LARGE($V$176:$V591,1)+1,0),""))</f>
        <v/>
      </c>
      <c r="W592" s="23" t="str">
        <f t="shared" si="160"/>
        <v/>
      </c>
      <c r="X592" s="22" t="str">
        <f t="shared" si="161"/>
        <v/>
      </c>
      <c r="Y592" s="22"/>
      <c r="Z592" s="22"/>
      <c r="AA592" s="22"/>
      <c r="AB592" s="22" t="str" cm="1">
        <f t="array" ref="AB592">IF(IF(AND($P591="",$P592=1),($N$37*-1),0)+IF(AND($Q591="",$Q592=1),($N$38*-1),0)+IF(IF(($K592-$N$48)&lt;1,0,IF(IF(INDEX($AD$176:$AD$905,($K592-$N$48))="",0,INDEX($AD$176:$AD$905,($K592-$N$48)))&gt;0,IF(INDEX($AD$176:$AD$905,($K592-$N$48))="",0,INDEX($AD$176:$AD$905,($K592-$N$48))),0))="",0,IF(($K592-$N$48)&lt;1,0,IF(IF(INDEX($AD$176:$AD$905,($K592-$N$48))="",0,INDEX($AD$176:$AD$905,($K592-$N$48)))&gt;0,IF(INDEX($AD$176:$AD$905,($K592-$N$48))="",0,INDEX($AD$176:$AD$905,($K592-$N$48))),0)))=0,"",IF(AND($P591="",$P592=1),($N$37*-1),0)+IF(AND($Q591="",$Q592=1),($N$38*-1),0)+IF(IF(($K592-$N$48)&lt;1,0,IF(IF(INDEX($AD$176:$AD$905,($K592-$N$48))="",0,INDEX($AD$176:$AD$905,($K592-$N$48)))&gt;0,IF(INDEX($AD$176:$AD$905,($K592-$N$48))="",0,INDEX($AD$176:$AD$905,($K592-$N$48))),0))="",0,IF(($K592-$N$48)&lt;1,0,IF(IF(INDEX($AD$176:$AD$905,($K592-$N$48))="",0,INDEX($AD$176:$AD$905,($K592-$N$48)))&gt;0,IF(INDEX($AD$176:$AD$905,($K592-$N$48))="",0,INDEX($AD$176:$AD$905,($K592-$N$48))),0))))</f>
        <v/>
      </c>
      <c r="AC592" s="22" t="str">
        <f t="shared" si="162"/>
        <v/>
      </c>
      <c r="AD592" s="22" t="str">
        <f t="shared" si="174"/>
        <v/>
      </c>
      <c r="AE592" s="22" t="str" cm="1">
        <f t="array" ref="AE592">IF(($K592-$N$48)&lt;1,"",IF((IF(INDEX($AC$176:$AC$905,($K592-$N$48))="",0,INDEX($AC$176:$AC$905,($K592-$N$48))))=0,"",(IF(INDEX($AC$176:$AC$905,($K592-$N$48))="",0,INDEX($AC$176:$AC$905,($K592-$N$48))))))</f>
        <v/>
      </c>
      <c r="AF592" s="31" t="str">
        <f t="shared" si="163"/>
        <v/>
      </c>
      <c r="AG592" s="31" t="str">
        <f t="shared" si="164"/>
        <v/>
      </c>
      <c r="AH592" s="31" t="str">
        <f t="shared" si="165"/>
        <v/>
      </c>
      <c r="AI592" s="31" t="str">
        <f t="shared" si="166"/>
        <v/>
      </c>
      <c r="AJ592" s="303" t="str">
        <f t="shared" si="167"/>
        <v/>
      </c>
      <c r="AK592" s="139" t="str">
        <f t="shared" si="168"/>
        <v/>
      </c>
      <c r="AM592" s="319"/>
      <c r="AN592" s="40"/>
      <c r="AO592" s="1"/>
    </row>
    <row r="593" spans="7:41" x14ac:dyDescent="0.25">
      <c r="G593" s="235" t="str">
        <f t="shared" si="175"/>
        <v/>
      </c>
      <c r="H593" s="4" t="str">
        <f t="shared" si="176"/>
        <v/>
      </c>
      <c r="I593" s="11" t="str">
        <f t="shared" si="156"/>
        <v>09.00</v>
      </c>
      <c r="K593" s="30">
        <v>418</v>
      </c>
      <c r="L593" s="29">
        <f t="shared" si="169"/>
        <v>11371.908376190917</v>
      </c>
      <c r="M593" s="28" t="str">
        <f t="shared" si="157"/>
        <v/>
      </c>
      <c r="N593" s="27" t="str">
        <f t="shared" si="170"/>
        <v/>
      </c>
      <c r="O593" s="26" t="str">
        <f>IF(AND($Q592=$O$38,IFERROR(LARGE($V$176:$V592,1)&lt;$N$42,TRUE)),1,IF(AND(ISNUMBER($O592),$O592&lt;$N$32),$O592+1,""))</f>
        <v/>
      </c>
      <c r="P593" s="26" t="str">
        <f t="shared" si="171"/>
        <v/>
      </c>
      <c r="Q593" s="26" t="str">
        <f t="shared" si="158"/>
        <v/>
      </c>
      <c r="R593" s="24" t="str">
        <f t="shared" si="172"/>
        <v/>
      </c>
      <c r="S593" s="180">
        <f t="shared" si="173"/>
        <v>9</v>
      </c>
      <c r="T593" s="151"/>
      <c r="U593" s="25" t="str">
        <f t="shared" si="159"/>
        <v/>
      </c>
      <c r="V593" s="24" t="str">
        <f>IF(AND(ISNUMBER(R592),ISNUMBER(R593)),V592,IF(AND(R592="",ISNUMBER(R593)),IFERROR(LARGE($V$176:$V592,1)+1,0),""))</f>
        <v/>
      </c>
      <c r="W593" s="23" t="str">
        <f t="shared" si="160"/>
        <v/>
      </c>
      <c r="X593" s="22" t="str">
        <f t="shared" si="161"/>
        <v/>
      </c>
      <c r="Y593" s="22"/>
      <c r="Z593" s="22"/>
      <c r="AA593" s="22"/>
      <c r="AB593" s="22" t="str" cm="1">
        <f t="array" ref="AB593">IF(IF(AND($P592="",$P593=1),($N$37*-1),0)+IF(AND($Q592="",$Q593=1),($N$38*-1),0)+IF(IF(($K593-$N$48)&lt;1,0,IF(IF(INDEX($AD$176:$AD$905,($K593-$N$48))="",0,INDEX($AD$176:$AD$905,($K593-$N$48)))&gt;0,IF(INDEX($AD$176:$AD$905,($K593-$N$48))="",0,INDEX($AD$176:$AD$905,($K593-$N$48))),0))="",0,IF(($K593-$N$48)&lt;1,0,IF(IF(INDEX($AD$176:$AD$905,($K593-$N$48))="",0,INDEX($AD$176:$AD$905,($K593-$N$48)))&gt;0,IF(INDEX($AD$176:$AD$905,($K593-$N$48))="",0,INDEX($AD$176:$AD$905,($K593-$N$48))),0)))=0,"",IF(AND($P592="",$P593=1),($N$37*-1),0)+IF(AND($Q592="",$Q593=1),($N$38*-1),0)+IF(IF(($K593-$N$48)&lt;1,0,IF(IF(INDEX($AD$176:$AD$905,($K593-$N$48))="",0,INDEX($AD$176:$AD$905,($K593-$N$48)))&gt;0,IF(INDEX($AD$176:$AD$905,($K593-$N$48))="",0,INDEX($AD$176:$AD$905,($K593-$N$48))),0))="",0,IF(($K593-$N$48)&lt;1,0,IF(IF(INDEX($AD$176:$AD$905,($K593-$N$48))="",0,INDEX($AD$176:$AD$905,($K593-$N$48)))&gt;0,IF(INDEX($AD$176:$AD$905,($K593-$N$48))="",0,INDEX($AD$176:$AD$905,($K593-$N$48))),0))))</f>
        <v/>
      </c>
      <c r="AC593" s="22" t="str">
        <f t="shared" si="162"/>
        <v/>
      </c>
      <c r="AD593" s="22" t="str">
        <f t="shared" si="174"/>
        <v/>
      </c>
      <c r="AE593" s="22" t="str" cm="1">
        <f t="array" ref="AE593">IF(($K593-$N$48)&lt;1,"",IF((IF(INDEX($AC$176:$AC$905,($K593-$N$48))="",0,INDEX($AC$176:$AC$905,($K593-$N$48))))=0,"",(IF(INDEX($AC$176:$AC$905,($K593-$N$48))="",0,INDEX($AC$176:$AC$905,($K593-$N$48))))))</f>
        <v/>
      </c>
      <c r="AF593" s="31" t="str">
        <f t="shared" si="163"/>
        <v/>
      </c>
      <c r="AG593" s="31" t="str">
        <f t="shared" si="164"/>
        <v/>
      </c>
      <c r="AH593" s="31" t="str">
        <f t="shared" si="165"/>
        <v/>
      </c>
      <c r="AI593" s="31" t="str">
        <f t="shared" si="166"/>
        <v/>
      </c>
      <c r="AJ593" s="303" t="str">
        <f t="shared" si="167"/>
        <v/>
      </c>
      <c r="AK593" s="139" t="str">
        <f t="shared" si="168"/>
        <v/>
      </c>
      <c r="AM593" s="319"/>
      <c r="AN593" s="40"/>
      <c r="AO593" s="1"/>
    </row>
    <row r="594" spans="7:41" x14ac:dyDescent="0.25">
      <c r="G594" s="235" t="str">
        <f t="shared" si="175"/>
        <v/>
      </c>
      <c r="H594" s="4" t="str">
        <f t="shared" si="176"/>
        <v/>
      </c>
      <c r="I594" s="11" t="str">
        <f t="shared" si="156"/>
        <v>09.00</v>
      </c>
      <c r="K594" s="30">
        <v>419</v>
      </c>
      <c r="L594" s="29">
        <f t="shared" si="169"/>
        <v>11371.908376190917</v>
      </c>
      <c r="M594" s="28" t="str">
        <f t="shared" si="157"/>
        <v/>
      </c>
      <c r="N594" s="27" t="str">
        <f t="shared" si="170"/>
        <v/>
      </c>
      <c r="O594" s="26" t="str">
        <f>IF(AND($Q593=$O$38,IFERROR(LARGE($V$176:$V593,1)&lt;$N$42,TRUE)),1,IF(AND(ISNUMBER($O593),$O593&lt;$N$32),$O593+1,""))</f>
        <v/>
      </c>
      <c r="P594" s="26" t="str">
        <f t="shared" si="171"/>
        <v/>
      </c>
      <c r="Q594" s="26" t="str">
        <f t="shared" si="158"/>
        <v/>
      </c>
      <c r="R594" s="24" t="str">
        <f t="shared" si="172"/>
        <v/>
      </c>
      <c r="S594" s="180">
        <f t="shared" si="173"/>
        <v>9</v>
      </c>
      <c r="T594" s="151"/>
      <c r="U594" s="25" t="str">
        <f t="shared" si="159"/>
        <v/>
      </c>
      <c r="V594" s="24" t="str">
        <f>IF(AND(ISNUMBER(R593),ISNUMBER(R594)),V593,IF(AND(R593="",ISNUMBER(R594)),IFERROR(LARGE($V$176:$V593,1)+1,0),""))</f>
        <v/>
      </c>
      <c r="W594" s="23" t="str">
        <f t="shared" si="160"/>
        <v/>
      </c>
      <c r="X594" s="22" t="str">
        <f t="shared" si="161"/>
        <v/>
      </c>
      <c r="Y594" s="22"/>
      <c r="Z594" s="22"/>
      <c r="AA594" s="22"/>
      <c r="AB594" s="22" t="str" cm="1">
        <f t="array" ref="AB594">IF(IF(AND($P593="",$P594=1),($N$37*-1),0)+IF(AND($Q593="",$Q594=1),($N$38*-1),0)+IF(IF(($K594-$N$48)&lt;1,0,IF(IF(INDEX($AD$176:$AD$905,($K594-$N$48))="",0,INDEX($AD$176:$AD$905,($K594-$N$48)))&gt;0,IF(INDEX($AD$176:$AD$905,($K594-$N$48))="",0,INDEX($AD$176:$AD$905,($K594-$N$48))),0))="",0,IF(($K594-$N$48)&lt;1,0,IF(IF(INDEX($AD$176:$AD$905,($K594-$N$48))="",0,INDEX($AD$176:$AD$905,($K594-$N$48)))&gt;0,IF(INDEX($AD$176:$AD$905,($K594-$N$48))="",0,INDEX($AD$176:$AD$905,($K594-$N$48))),0)))=0,"",IF(AND($P593="",$P594=1),($N$37*-1),0)+IF(AND($Q593="",$Q594=1),($N$38*-1),0)+IF(IF(($K594-$N$48)&lt;1,0,IF(IF(INDEX($AD$176:$AD$905,($K594-$N$48))="",0,INDEX($AD$176:$AD$905,($K594-$N$48)))&gt;0,IF(INDEX($AD$176:$AD$905,($K594-$N$48))="",0,INDEX($AD$176:$AD$905,($K594-$N$48))),0))="",0,IF(($K594-$N$48)&lt;1,0,IF(IF(INDEX($AD$176:$AD$905,($K594-$N$48))="",0,INDEX($AD$176:$AD$905,($K594-$N$48)))&gt;0,IF(INDEX($AD$176:$AD$905,($K594-$N$48))="",0,INDEX($AD$176:$AD$905,($K594-$N$48))),0))))</f>
        <v/>
      </c>
      <c r="AC594" s="22" t="str">
        <f t="shared" si="162"/>
        <v/>
      </c>
      <c r="AD594" s="22" t="str">
        <f t="shared" si="174"/>
        <v/>
      </c>
      <c r="AE594" s="22" t="str" cm="1">
        <f t="array" ref="AE594">IF(($K594-$N$48)&lt;1,"",IF((IF(INDEX($AC$176:$AC$905,($K594-$N$48))="",0,INDEX($AC$176:$AC$905,($K594-$N$48))))=0,"",(IF(INDEX($AC$176:$AC$905,($K594-$N$48))="",0,INDEX($AC$176:$AC$905,($K594-$N$48))))))</f>
        <v/>
      </c>
      <c r="AF594" s="31" t="str">
        <f t="shared" si="163"/>
        <v/>
      </c>
      <c r="AG594" s="31" t="str">
        <f t="shared" si="164"/>
        <v/>
      </c>
      <c r="AH594" s="31" t="str">
        <f t="shared" si="165"/>
        <v/>
      </c>
      <c r="AI594" s="31" t="str">
        <f t="shared" si="166"/>
        <v/>
      </c>
      <c r="AJ594" s="303" t="str">
        <f t="shared" si="167"/>
        <v/>
      </c>
      <c r="AK594" s="139" t="str">
        <f t="shared" si="168"/>
        <v/>
      </c>
      <c r="AM594" s="319"/>
      <c r="AN594" s="40"/>
      <c r="AO594" s="1"/>
    </row>
    <row r="595" spans="7:41" x14ac:dyDescent="0.25">
      <c r="G595" s="235" t="str">
        <f t="shared" si="175"/>
        <v/>
      </c>
      <c r="H595" s="4" t="str">
        <f t="shared" si="176"/>
        <v/>
      </c>
      <c r="I595" s="11" t="str">
        <f t="shared" si="156"/>
        <v>09.00</v>
      </c>
      <c r="K595" s="30">
        <v>420</v>
      </c>
      <c r="L595" s="29">
        <f t="shared" si="169"/>
        <v>11371.908376190917</v>
      </c>
      <c r="M595" s="28" t="str">
        <f t="shared" si="157"/>
        <v/>
      </c>
      <c r="N595" s="27" t="str">
        <f t="shared" si="170"/>
        <v/>
      </c>
      <c r="O595" s="26" t="str">
        <f>IF(AND($Q594=$O$38,IFERROR(LARGE($V$176:$V594,1)&lt;$N$42,TRUE)),1,IF(AND(ISNUMBER($O594),$O594&lt;$N$32),$O594+1,""))</f>
        <v/>
      </c>
      <c r="P595" s="26" t="str">
        <f t="shared" si="171"/>
        <v/>
      </c>
      <c r="Q595" s="26" t="str">
        <f t="shared" si="158"/>
        <v/>
      </c>
      <c r="R595" s="24" t="str">
        <f t="shared" si="172"/>
        <v/>
      </c>
      <c r="S595" s="180">
        <f t="shared" si="173"/>
        <v>9</v>
      </c>
      <c r="T595" s="151"/>
      <c r="U595" s="25" t="str">
        <f t="shared" si="159"/>
        <v/>
      </c>
      <c r="V595" s="24" t="str">
        <f>IF(AND(ISNUMBER(R594),ISNUMBER(R595)),V594,IF(AND(R594="",ISNUMBER(R595)),IFERROR(LARGE($V$176:$V594,1)+1,0),""))</f>
        <v/>
      </c>
      <c r="W595" s="23" t="str">
        <f t="shared" si="160"/>
        <v/>
      </c>
      <c r="X595" s="22" t="str">
        <f t="shared" si="161"/>
        <v/>
      </c>
      <c r="Y595" s="22"/>
      <c r="Z595" s="22"/>
      <c r="AA595" s="22"/>
      <c r="AB595" s="22" t="str" cm="1">
        <f t="array" ref="AB595">IF(IF(AND($P594="",$P595=1),($N$37*-1),0)+IF(AND($Q594="",$Q595=1),($N$38*-1),0)+IF(IF(($K595-$N$48)&lt;1,0,IF(IF(INDEX($AD$176:$AD$905,($K595-$N$48))="",0,INDEX($AD$176:$AD$905,($K595-$N$48)))&gt;0,IF(INDEX($AD$176:$AD$905,($K595-$N$48))="",0,INDEX($AD$176:$AD$905,($K595-$N$48))),0))="",0,IF(($K595-$N$48)&lt;1,0,IF(IF(INDEX($AD$176:$AD$905,($K595-$N$48))="",0,INDEX($AD$176:$AD$905,($K595-$N$48)))&gt;0,IF(INDEX($AD$176:$AD$905,($K595-$N$48))="",0,INDEX($AD$176:$AD$905,($K595-$N$48))),0)))=0,"",IF(AND($P594="",$P595=1),($N$37*-1),0)+IF(AND($Q594="",$Q595=1),($N$38*-1),0)+IF(IF(($K595-$N$48)&lt;1,0,IF(IF(INDEX($AD$176:$AD$905,($K595-$N$48))="",0,INDEX($AD$176:$AD$905,($K595-$N$48)))&gt;0,IF(INDEX($AD$176:$AD$905,($K595-$N$48))="",0,INDEX($AD$176:$AD$905,($K595-$N$48))),0))="",0,IF(($K595-$N$48)&lt;1,0,IF(IF(INDEX($AD$176:$AD$905,($K595-$N$48))="",0,INDEX($AD$176:$AD$905,($K595-$N$48)))&gt;0,IF(INDEX($AD$176:$AD$905,($K595-$N$48))="",0,INDEX($AD$176:$AD$905,($K595-$N$48))),0))))</f>
        <v/>
      </c>
      <c r="AC595" s="22" t="str">
        <f t="shared" si="162"/>
        <v/>
      </c>
      <c r="AD595" s="22" t="str">
        <f t="shared" si="174"/>
        <v/>
      </c>
      <c r="AE595" s="22" t="str" cm="1">
        <f t="array" ref="AE595">IF(($K595-$N$48)&lt;1,"",IF((IF(INDEX($AC$176:$AC$905,($K595-$N$48))="",0,INDEX($AC$176:$AC$905,($K595-$N$48))))=0,"",(IF(INDEX($AC$176:$AC$905,($K595-$N$48))="",0,INDEX($AC$176:$AC$905,($K595-$N$48))))))</f>
        <v/>
      </c>
      <c r="AF595" s="31" t="str">
        <f t="shared" si="163"/>
        <v/>
      </c>
      <c r="AG595" s="31" t="str">
        <f t="shared" si="164"/>
        <v/>
      </c>
      <c r="AH595" s="31" t="str">
        <f t="shared" si="165"/>
        <v/>
      </c>
      <c r="AI595" s="31" t="str">
        <f t="shared" si="166"/>
        <v/>
      </c>
      <c r="AJ595" s="303" t="str">
        <f t="shared" si="167"/>
        <v/>
      </c>
      <c r="AK595" s="139" t="str">
        <f t="shared" si="168"/>
        <v/>
      </c>
      <c r="AM595" s="319"/>
      <c r="AN595" s="40"/>
      <c r="AO595" s="1"/>
    </row>
    <row r="596" spans="7:41" x14ac:dyDescent="0.25">
      <c r="G596" s="235" t="str">
        <f t="shared" si="175"/>
        <v/>
      </c>
      <c r="H596" s="4" t="str">
        <f t="shared" si="176"/>
        <v/>
      </c>
      <c r="I596" s="11" t="str">
        <f t="shared" si="156"/>
        <v>09.00</v>
      </c>
      <c r="K596" s="30">
        <v>421</v>
      </c>
      <c r="L596" s="29">
        <f t="shared" si="169"/>
        <v>11371.908376190917</v>
      </c>
      <c r="M596" s="28" t="str">
        <f t="shared" si="157"/>
        <v/>
      </c>
      <c r="N596" s="27" t="str">
        <f t="shared" si="170"/>
        <v/>
      </c>
      <c r="O596" s="26" t="str">
        <f>IF(AND($Q595=$O$38,IFERROR(LARGE($V$176:$V595,1)&lt;$N$42,TRUE)),1,IF(AND(ISNUMBER($O595),$O595&lt;$N$32),$O595+1,""))</f>
        <v/>
      </c>
      <c r="P596" s="26" t="str">
        <f t="shared" si="171"/>
        <v/>
      </c>
      <c r="Q596" s="26" t="str">
        <f t="shared" si="158"/>
        <v/>
      </c>
      <c r="R596" s="24" t="str">
        <f t="shared" si="172"/>
        <v/>
      </c>
      <c r="S596" s="180">
        <f t="shared" si="173"/>
        <v>9</v>
      </c>
      <c r="T596" s="151"/>
      <c r="U596" s="25" t="str">
        <f t="shared" si="159"/>
        <v/>
      </c>
      <c r="V596" s="24" t="str">
        <f>IF(AND(ISNUMBER(R595),ISNUMBER(R596)),V595,IF(AND(R595="",ISNUMBER(R596)),IFERROR(LARGE($V$176:$V595,1)+1,0),""))</f>
        <v/>
      </c>
      <c r="W596" s="23" t="str">
        <f t="shared" si="160"/>
        <v/>
      </c>
      <c r="X596" s="22" t="str">
        <f t="shared" si="161"/>
        <v/>
      </c>
      <c r="Y596" s="22"/>
      <c r="Z596" s="22"/>
      <c r="AA596" s="22"/>
      <c r="AB596" s="22" t="str" cm="1">
        <f t="array" ref="AB596">IF(IF(AND($P595="",$P596=1),($N$37*-1),0)+IF(AND($Q595="",$Q596=1),($N$38*-1),0)+IF(IF(($K596-$N$48)&lt;1,0,IF(IF(INDEX($AD$176:$AD$905,($K596-$N$48))="",0,INDEX($AD$176:$AD$905,($K596-$N$48)))&gt;0,IF(INDEX($AD$176:$AD$905,($K596-$N$48))="",0,INDEX($AD$176:$AD$905,($K596-$N$48))),0))="",0,IF(($K596-$N$48)&lt;1,0,IF(IF(INDEX($AD$176:$AD$905,($K596-$N$48))="",0,INDEX($AD$176:$AD$905,($K596-$N$48)))&gt;0,IF(INDEX($AD$176:$AD$905,($K596-$N$48))="",0,INDEX($AD$176:$AD$905,($K596-$N$48))),0)))=0,"",IF(AND($P595="",$P596=1),($N$37*-1),0)+IF(AND($Q595="",$Q596=1),($N$38*-1),0)+IF(IF(($K596-$N$48)&lt;1,0,IF(IF(INDEX($AD$176:$AD$905,($K596-$N$48))="",0,INDEX($AD$176:$AD$905,($K596-$N$48)))&gt;0,IF(INDEX($AD$176:$AD$905,($K596-$N$48))="",0,INDEX($AD$176:$AD$905,($K596-$N$48))),0))="",0,IF(($K596-$N$48)&lt;1,0,IF(IF(INDEX($AD$176:$AD$905,($K596-$N$48))="",0,INDEX($AD$176:$AD$905,($K596-$N$48)))&gt;0,IF(INDEX($AD$176:$AD$905,($K596-$N$48))="",0,INDEX($AD$176:$AD$905,($K596-$N$48))),0))))</f>
        <v/>
      </c>
      <c r="AC596" s="22" t="str">
        <f t="shared" si="162"/>
        <v/>
      </c>
      <c r="AD596" s="22" t="str">
        <f t="shared" si="174"/>
        <v/>
      </c>
      <c r="AE596" s="22" t="str" cm="1">
        <f t="array" ref="AE596">IF(($K596-$N$48)&lt;1,"",IF((IF(INDEX($AC$176:$AC$905,($K596-$N$48))="",0,INDEX($AC$176:$AC$905,($K596-$N$48))))=0,"",(IF(INDEX($AC$176:$AC$905,($K596-$N$48))="",0,INDEX($AC$176:$AC$905,($K596-$N$48))))))</f>
        <v/>
      </c>
      <c r="AF596" s="31" t="str">
        <f t="shared" si="163"/>
        <v/>
      </c>
      <c r="AG596" s="31" t="str">
        <f t="shared" si="164"/>
        <v/>
      </c>
      <c r="AH596" s="31" t="str">
        <f t="shared" si="165"/>
        <v/>
      </c>
      <c r="AI596" s="31" t="str">
        <f t="shared" si="166"/>
        <v/>
      </c>
      <c r="AJ596" s="303" t="str">
        <f t="shared" si="167"/>
        <v/>
      </c>
      <c r="AK596" s="139" t="str">
        <f t="shared" si="168"/>
        <v/>
      </c>
      <c r="AM596" s="319"/>
      <c r="AN596" s="40"/>
      <c r="AO596" s="1"/>
    </row>
    <row r="597" spans="7:41" x14ac:dyDescent="0.25">
      <c r="G597" s="235" t="str">
        <f t="shared" si="175"/>
        <v/>
      </c>
      <c r="H597" s="4" t="str">
        <f t="shared" si="176"/>
        <v/>
      </c>
      <c r="I597" s="11" t="str">
        <f t="shared" si="156"/>
        <v>09.00</v>
      </c>
      <c r="K597" s="30">
        <v>422</v>
      </c>
      <c r="L597" s="29">
        <f t="shared" si="169"/>
        <v>11371.908376190917</v>
      </c>
      <c r="M597" s="28" t="str">
        <f t="shared" si="157"/>
        <v/>
      </c>
      <c r="N597" s="27" t="str">
        <f t="shared" si="170"/>
        <v/>
      </c>
      <c r="O597" s="26" t="str">
        <f>IF(AND($Q596=$O$38,IFERROR(LARGE($V$176:$V596,1)&lt;$N$42,TRUE)),1,IF(AND(ISNUMBER($O596),$O596&lt;$N$32),$O596+1,""))</f>
        <v/>
      </c>
      <c r="P597" s="26" t="str">
        <f t="shared" si="171"/>
        <v/>
      </c>
      <c r="Q597" s="26" t="str">
        <f t="shared" si="158"/>
        <v/>
      </c>
      <c r="R597" s="24" t="str">
        <f t="shared" si="172"/>
        <v/>
      </c>
      <c r="S597" s="180">
        <f t="shared" si="173"/>
        <v>9</v>
      </c>
      <c r="T597" s="151"/>
      <c r="U597" s="25" t="str">
        <f t="shared" si="159"/>
        <v/>
      </c>
      <c r="V597" s="24" t="str">
        <f>IF(AND(ISNUMBER(R596),ISNUMBER(R597)),V596,IF(AND(R596="",ISNUMBER(R597)),IFERROR(LARGE($V$176:$V596,1)+1,0),""))</f>
        <v/>
      </c>
      <c r="W597" s="23" t="str">
        <f t="shared" si="160"/>
        <v/>
      </c>
      <c r="X597" s="22" t="str">
        <f t="shared" si="161"/>
        <v/>
      </c>
      <c r="Y597" s="22"/>
      <c r="Z597" s="22"/>
      <c r="AA597" s="22"/>
      <c r="AB597" s="22" t="str" cm="1">
        <f t="array" ref="AB597">IF(IF(AND($P596="",$P597=1),($N$37*-1),0)+IF(AND($Q596="",$Q597=1),($N$38*-1),0)+IF(IF(($K597-$N$48)&lt;1,0,IF(IF(INDEX($AD$176:$AD$905,($K597-$N$48))="",0,INDEX($AD$176:$AD$905,($K597-$N$48)))&gt;0,IF(INDEX($AD$176:$AD$905,($K597-$N$48))="",0,INDEX($AD$176:$AD$905,($K597-$N$48))),0))="",0,IF(($K597-$N$48)&lt;1,0,IF(IF(INDEX($AD$176:$AD$905,($K597-$N$48))="",0,INDEX($AD$176:$AD$905,($K597-$N$48)))&gt;0,IF(INDEX($AD$176:$AD$905,($K597-$N$48))="",0,INDEX($AD$176:$AD$905,($K597-$N$48))),0)))=0,"",IF(AND($P596="",$P597=1),($N$37*-1),0)+IF(AND($Q596="",$Q597=1),($N$38*-1),0)+IF(IF(($K597-$N$48)&lt;1,0,IF(IF(INDEX($AD$176:$AD$905,($K597-$N$48))="",0,INDEX($AD$176:$AD$905,($K597-$N$48)))&gt;0,IF(INDEX($AD$176:$AD$905,($K597-$N$48))="",0,INDEX($AD$176:$AD$905,($K597-$N$48))),0))="",0,IF(($K597-$N$48)&lt;1,0,IF(IF(INDEX($AD$176:$AD$905,($K597-$N$48))="",0,INDEX($AD$176:$AD$905,($K597-$N$48)))&gt;0,IF(INDEX($AD$176:$AD$905,($K597-$N$48))="",0,INDEX($AD$176:$AD$905,($K597-$N$48))),0))))</f>
        <v/>
      </c>
      <c r="AC597" s="22" t="str">
        <f t="shared" si="162"/>
        <v/>
      </c>
      <c r="AD597" s="22" t="str">
        <f t="shared" si="174"/>
        <v/>
      </c>
      <c r="AE597" s="22" t="str" cm="1">
        <f t="array" ref="AE597">IF(($K597-$N$48)&lt;1,"",IF((IF(INDEX($AC$176:$AC$905,($K597-$N$48))="",0,INDEX($AC$176:$AC$905,($K597-$N$48))))=0,"",(IF(INDEX($AC$176:$AC$905,($K597-$N$48))="",0,INDEX($AC$176:$AC$905,($K597-$N$48))))))</f>
        <v/>
      </c>
      <c r="AF597" s="31" t="str">
        <f t="shared" si="163"/>
        <v/>
      </c>
      <c r="AG597" s="31" t="str">
        <f t="shared" si="164"/>
        <v/>
      </c>
      <c r="AH597" s="31" t="str">
        <f t="shared" si="165"/>
        <v/>
      </c>
      <c r="AI597" s="31" t="str">
        <f t="shared" si="166"/>
        <v/>
      </c>
      <c r="AJ597" s="303" t="str">
        <f t="shared" si="167"/>
        <v/>
      </c>
      <c r="AK597" s="139" t="str">
        <f t="shared" si="168"/>
        <v/>
      </c>
      <c r="AM597" s="319"/>
      <c r="AN597" s="40"/>
      <c r="AO597" s="1"/>
    </row>
    <row r="598" spans="7:41" x14ac:dyDescent="0.25">
      <c r="G598" s="235" t="str">
        <f t="shared" si="175"/>
        <v/>
      </c>
      <c r="H598" s="4" t="str">
        <f t="shared" si="176"/>
        <v/>
      </c>
      <c r="I598" s="11" t="str">
        <f t="shared" si="156"/>
        <v>09.00</v>
      </c>
      <c r="K598" s="30">
        <v>423</v>
      </c>
      <c r="L598" s="29">
        <f t="shared" si="169"/>
        <v>11371.908376190917</v>
      </c>
      <c r="M598" s="28" t="str">
        <f t="shared" si="157"/>
        <v/>
      </c>
      <c r="N598" s="27" t="str">
        <f t="shared" si="170"/>
        <v/>
      </c>
      <c r="O598" s="26" t="str">
        <f>IF(AND($Q597=$O$38,IFERROR(LARGE($V$176:$V597,1)&lt;$N$42,TRUE)),1,IF(AND(ISNUMBER($O597),$O597&lt;$N$32),$O597+1,""))</f>
        <v/>
      </c>
      <c r="P598" s="26" t="str">
        <f t="shared" si="171"/>
        <v/>
      </c>
      <c r="Q598" s="26" t="str">
        <f t="shared" si="158"/>
        <v/>
      </c>
      <c r="R598" s="24" t="str">
        <f t="shared" si="172"/>
        <v/>
      </c>
      <c r="S598" s="180">
        <f t="shared" si="173"/>
        <v>9</v>
      </c>
      <c r="T598" s="151"/>
      <c r="U598" s="25" t="str">
        <f t="shared" si="159"/>
        <v/>
      </c>
      <c r="V598" s="24" t="str">
        <f>IF(AND(ISNUMBER(R597),ISNUMBER(R598)),V597,IF(AND(R597="",ISNUMBER(R598)),IFERROR(LARGE($V$176:$V597,1)+1,0),""))</f>
        <v/>
      </c>
      <c r="W598" s="23" t="str">
        <f t="shared" si="160"/>
        <v/>
      </c>
      <c r="X598" s="22" t="str">
        <f t="shared" si="161"/>
        <v/>
      </c>
      <c r="Y598" s="22"/>
      <c r="Z598" s="22"/>
      <c r="AA598" s="22"/>
      <c r="AB598" s="22" t="str" cm="1">
        <f t="array" ref="AB598">IF(IF(AND($P597="",$P598=1),($N$37*-1),0)+IF(AND($Q597="",$Q598=1),($N$38*-1),0)+IF(IF(($K598-$N$48)&lt;1,0,IF(IF(INDEX($AD$176:$AD$905,($K598-$N$48))="",0,INDEX($AD$176:$AD$905,($K598-$N$48)))&gt;0,IF(INDEX($AD$176:$AD$905,($K598-$N$48))="",0,INDEX($AD$176:$AD$905,($K598-$N$48))),0))="",0,IF(($K598-$N$48)&lt;1,0,IF(IF(INDEX($AD$176:$AD$905,($K598-$N$48))="",0,INDEX($AD$176:$AD$905,($K598-$N$48)))&gt;0,IF(INDEX($AD$176:$AD$905,($K598-$N$48))="",0,INDEX($AD$176:$AD$905,($K598-$N$48))),0)))=0,"",IF(AND($P597="",$P598=1),($N$37*-1),0)+IF(AND($Q597="",$Q598=1),($N$38*-1),0)+IF(IF(($K598-$N$48)&lt;1,0,IF(IF(INDEX($AD$176:$AD$905,($K598-$N$48))="",0,INDEX($AD$176:$AD$905,($K598-$N$48)))&gt;0,IF(INDEX($AD$176:$AD$905,($K598-$N$48))="",0,INDEX($AD$176:$AD$905,($K598-$N$48))),0))="",0,IF(($K598-$N$48)&lt;1,0,IF(IF(INDEX($AD$176:$AD$905,($K598-$N$48))="",0,INDEX($AD$176:$AD$905,($K598-$N$48)))&gt;0,IF(INDEX($AD$176:$AD$905,($K598-$N$48))="",0,INDEX($AD$176:$AD$905,($K598-$N$48))),0))))</f>
        <v/>
      </c>
      <c r="AC598" s="22" t="str">
        <f t="shared" si="162"/>
        <v/>
      </c>
      <c r="AD598" s="22" t="str">
        <f t="shared" si="174"/>
        <v/>
      </c>
      <c r="AE598" s="22" t="str" cm="1">
        <f t="array" ref="AE598">IF(($K598-$N$48)&lt;1,"",IF((IF(INDEX($AC$176:$AC$905,($K598-$N$48))="",0,INDEX($AC$176:$AC$905,($K598-$N$48))))=0,"",(IF(INDEX($AC$176:$AC$905,($K598-$N$48))="",0,INDEX($AC$176:$AC$905,($K598-$N$48))))))</f>
        <v/>
      </c>
      <c r="AF598" s="31" t="str">
        <f t="shared" si="163"/>
        <v/>
      </c>
      <c r="AG598" s="31" t="str">
        <f t="shared" si="164"/>
        <v/>
      </c>
      <c r="AH598" s="31" t="str">
        <f t="shared" si="165"/>
        <v/>
      </c>
      <c r="AI598" s="31" t="str">
        <f t="shared" si="166"/>
        <v/>
      </c>
      <c r="AJ598" s="303" t="str">
        <f t="shared" si="167"/>
        <v/>
      </c>
      <c r="AK598" s="139" t="str">
        <f t="shared" si="168"/>
        <v/>
      </c>
      <c r="AM598" s="319"/>
      <c r="AN598" s="40"/>
      <c r="AO598" s="1"/>
    </row>
    <row r="599" spans="7:41" x14ac:dyDescent="0.25">
      <c r="G599" s="235" t="str">
        <f t="shared" si="175"/>
        <v/>
      </c>
      <c r="H599" s="4" t="str">
        <f t="shared" si="176"/>
        <v/>
      </c>
      <c r="I599" s="11" t="str">
        <f t="shared" si="156"/>
        <v>09.00</v>
      </c>
      <c r="K599" s="30">
        <v>424</v>
      </c>
      <c r="L599" s="29">
        <f t="shared" si="169"/>
        <v>11371.908376190917</v>
      </c>
      <c r="M599" s="28" t="str">
        <f t="shared" si="157"/>
        <v/>
      </c>
      <c r="N599" s="27" t="str">
        <f t="shared" si="170"/>
        <v/>
      </c>
      <c r="O599" s="26" t="str">
        <f>IF(AND($Q598=$O$38,IFERROR(LARGE($V$176:$V598,1)&lt;$N$42,TRUE)),1,IF(AND(ISNUMBER($O598),$O598&lt;$N$32),$O598+1,""))</f>
        <v/>
      </c>
      <c r="P599" s="26" t="str">
        <f t="shared" si="171"/>
        <v/>
      </c>
      <c r="Q599" s="26" t="str">
        <f t="shared" si="158"/>
        <v/>
      </c>
      <c r="R599" s="24" t="str">
        <f t="shared" si="172"/>
        <v/>
      </c>
      <c r="S599" s="180">
        <f t="shared" si="173"/>
        <v>9</v>
      </c>
      <c r="T599" s="151"/>
      <c r="U599" s="25" t="str">
        <f t="shared" si="159"/>
        <v/>
      </c>
      <c r="V599" s="24" t="str">
        <f>IF(AND(ISNUMBER(R598),ISNUMBER(R599)),V598,IF(AND(R598="",ISNUMBER(R599)),IFERROR(LARGE($V$176:$V598,1)+1,0),""))</f>
        <v/>
      </c>
      <c r="W599" s="23" t="str">
        <f t="shared" si="160"/>
        <v/>
      </c>
      <c r="X599" s="22" t="str">
        <f t="shared" si="161"/>
        <v/>
      </c>
      <c r="Y599" s="22"/>
      <c r="Z599" s="22"/>
      <c r="AA599" s="22"/>
      <c r="AB599" s="22" t="str" cm="1">
        <f t="array" ref="AB599">IF(IF(AND($P598="",$P599=1),($N$37*-1),0)+IF(AND($Q598="",$Q599=1),($N$38*-1),0)+IF(IF(($K599-$N$48)&lt;1,0,IF(IF(INDEX($AD$176:$AD$905,($K599-$N$48))="",0,INDEX($AD$176:$AD$905,($K599-$N$48)))&gt;0,IF(INDEX($AD$176:$AD$905,($K599-$N$48))="",0,INDEX($AD$176:$AD$905,($K599-$N$48))),0))="",0,IF(($K599-$N$48)&lt;1,0,IF(IF(INDEX($AD$176:$AD$905,($K599-$N$48))="",0,INDEX($AD$176:$AD$905,($K599-$N$48)))&gt;0,IF(INDEX($AD$176:$AD$905,($K599-$N$48))="",0,INDEX($AD$176:$AD$905,($K599-$N$48))),0)))=0,"",IF(AND($P598="",$P599=1),($N$37*-1),0)+IF(AND($Q598="",$Q599=1),($N$38*-1),0)+IF(IF(($K599-$N$48)&lt;1,0,IF(IF(INDEX($AD$176:$AD$905,($K599-$N$48))="",0,INDEX($AD$176:$AD$905,($K599-$N$48)))&gt;0,IF(INDEX($AD$176:$AD$905,($K599-$N$48))="",0,INDEX($AD$176:$AD$905,($K599-$N$48))),0))="",0,IF(($K599-$N$48)&lt;1,0,IF(IF(INDEX($AD$176:$AD$905,($K599-$N$48))="",0,INDEX($AD$176:$AD$905,($K599-$N$48)))&gt;0,IF(INDEX($AD$176:$AD$905,($K599-$N$48))="",0,INDEX($AD$176:$AD$905,($K599-$N$48))),0))))</f>
        <v/>
      </c>
      <c r="AC599" s="22" t="str">
        <f t="shared" si="162"/>
        <v/>
      </c>
      <c r="AD599" s="22" t="str">
        <f t="shared" si="174"/>
        <v/>
      </c>
      <c r="AE599" s="22" t="str" cm="1">
        <f t="array" ref="AE599">IF(($K599-$N$48)&lt;1,"",IF((IF(INDEX($AC$176:$AC$905,($K599-$N$48))="",0,INDEX($AC$176:$AC$905,($K599-$N$48))))=0,"",(IF(INDEX($AC$176:$AC$905,($K599-$N$48))="",0,INDEX($AC$176:$AC$905,($K599-$N$48))))))</f>
        <v/>
      </c>
      <c r="AF599" s="31" t="str">
        <f t="shared" si="163"/>
        <v/>
      </c>
      <c r="AG599" s="31" t="str">
        <f t="shared" si="164"/>
        <v/>
      </c>
      <c r="AH599" s="31" t="str">
        <f t="shared" si="165"/>
        <v/>
      </c>
      <c r="AI599" s="31" t="str">
        <f t="shared" si="166"/>
        <v/>
      </c>
      <c r="AJ599" s="303" t="str">
        <f t="shared" si="167"/>
        <v/>
      </c>
      <c r="AK599" s="139" t="str">
        <f t="shared" si="168"/>
        <v/>
      </c>
      <c r="AM599" s="319"/>
      <c r="AN599" s="40"/>
      <c r="AO599" s="1"/>
    </row>
    <row r="600" spans="7:41" x14ac:dyDescent="0.25">
      <c r="G600" s="235" t="str">
        <f t="shared" si="175"/>
        <v/>
      </c>
      <c r="H600" s="4" t="str">
        <f t="shared" si="176"/>
        <v/>
      </c>
      <c r="I600" s="11" t="str">
        <f t="shared" si="156"/>
        <v>09.00</v>
      </c>
      <c r="K600" s="30">
        <v>425</v>
      </c>
      <c r="L600" s="29">
        <f t="shared" si="169"/>
        <v>11371.908376190917</v>
      </c>
      <c r="M600" s="28" t="str">
        <f t="shared" si="157"/>
        <v/>
      </c>
      <c r="N600" s="27" t="str">
        <f t="shared" si="170"/>
        <v/>
      </c>
      <c r="O600" s="26" t="str">
        <f>IF(AND($Q599=$O$38,IFERROR(LARGE($V$176:$V599,1)&lt;$N$42,TRUE)),1,IF(AND(ISNUMBER($O599),$O599&lt;$N$32),$O599+1,""))</f>
        <v/>
      </c>
      <c r="P600" s="26" t="str">
        <f t="shared" si="171"/>
        <v/>
      </c>
      <c r="Q600" s="26" t="str">
        <f t="shared" si="158"/>
        <v/>
      </c>
      <c r="R600" s="24" t="str">
        <f t="shared" si="172"/>
        <v/>
      </c>
      <c r="S600" s="180">
        <f t="shared" si="173"/>
        <v>9</v>
      </c>
      <c r="T600" s="151"/>
      <c r="U600" s="25" t="str">
        <f t="shared" si="159"/>
        <v/>
      </c>
      <c r="V600" s="24" t="str">
        <f>IF(AND(ISNUMBER(R599),ISNUMBER(R600)),V599,IF(AND(R599="",ISNUMBER(R600)),IFERROR(LARGE($V$176:$V599,1)+1,0),""))</f>
        <v/>
      </c>
      <c r="W600" s="23" t="str">
        <f t="shared" si="160"/>
        <v/>
      </c>
      <c r="X600" s="22" t="str">
        <f t="shared" si="161"/>
        <v/>
      </c>
      <c r="Y600" s="22"/>
      <c r="Z600" s="22"/>
      <c r="AA600" s="22"/>
      <c r="AB600" s="22" t="str" cm="1">
        <f t="array" ref="AB600">IF(IF(AND($P599="",$P600=1),($N$37*-1),0)+IF(AND($Q599="",$Q600=1),($N$38*-1),0)+IF(IF(($K600-$N$48)&lt;1,0,IF(IF(INDEX($AD$176:$AD$905,($K600-$N$48))="",0,INDEX($AD$176:$AD$905,($K600-$N$48)))&gt;0,IF(INDEX($AD$176:$AD$905,($K600-$N$48))="",0,INDEX($AD$176:$AD$905,($K600-$N$48))),0))="",0,IF(($K600-$N$48)&lt;1,0,IF(IF(INDEX($AD$176:$AD$905,($K600-$N$48))="",0,INDEX($AD$176:$AD$905,($K600-$N$48)))&gt;0,IF(INDEX($AD$176:$AD$905,($K600-$N$48))="",0,INDEX($AD$176:$AD$905,($K600-$N$48))),0)))=0,"",IF(AND($P599="",$P600=1),($N$37*-1),0)+IF(AND($Q599="",$Q600=1),($N$38*-1),0)+IF(IF(($K600-$N$48)&lt;1,0,IF(IF(INDEX($AD$176:$AD$905,($K600-$N$48))="",0,INDEX($AD$176:$AD$905,($K600-$N$48)))&gt;0,IF(INDEX($AD$176:$AD$905,($K600-$N$48))="",0,INDEX($AD$176:$AD$905,($K600-$N$48))),0))="",0,IF(($K600-$N$48)&lt;1,0,IF(IF(INDEX($AD$176:$AD$905,($K600-$N$48))="",0,INDEX($AD$176:$AD$905,($K600-$N$48)))&gt;0,IF(INDEX($AD$176:$AD$905,($K600-$N$48))="",0,INDEX($AD$176:$AD$905,($K600-$N$48))),0))))</f>
        <v/>
      </c>
      <c r="AC600" s="22" t="str">
        <f t="shared" si="162"/>
        <v/>
      </c>
      <c r="AD600" s="22" t="str">
        <f t="shared" si="174"/>
        <v/>
      </c>
      <c r="AE600" s="22" t="str" cm="1">
        <f t="array" ref="AE600">IF(($K600-$N$48)&lt;1,"",IF((IF(INDEX($AC$176:$AC$905,($K600-$N$48))="",0,INDEX($AC$176:$AC$905,($K600-$N$48))))=0,"",(IF(INDEX($AC$176:$AC$905,($K600-$N$48))="",0,INDEX($AC$176:$AC$905,($K600-$N$48))))))</f>
        <v/>
      </c>
      <c r="AF600" s="31" t="str">
        <f t="shared" si="163"/>
        <v/>
      </c>
      <c r="AG600" s="31" t="str">
        <f t="shared" si="164"/>
        <v/>
      </c>
      <c r="AH600" s="31" t="str">
        <f t="shared" si="165"/>
        <v/>
      </c>
      <c r="AI600" s="31" t="str">
        <f t="shared" si="166"/>
        <v/>
      </c>
      <c r="AJ600" s="303" t="str">
        <f t="shared" si="167"/>
        <v/>
      </c>
      <c r="AK600" s="139" t="str">
        <f t="shared" si="168"/>
        <v/>
      </c>
      <c r="AM600" s="319"/>
      <c r="AN600" s="40"/>
      <c r="AO600" s="1"/>
    </row>
    <row r="601" spans="7:41" x14ac:dyDescent="0.25">
      <c r="G601" s="235" t="str">
        <f t="shared" si="175"/>
        <v/>
      </c>
      <c r="H601" s="4" t="str">
        <f t="shared" si="176"/>
        <v/>
      </c>
      <c r="I601" s="11" t="str">
        <f t="shared" si="156"/>
        <v>09.00</v>
      </c>
      <c r="K601" s="30">
        <v>426</v>
      </c>
      <c r="L601" s="29">
        <f t="shared" si="169"/>
        <v>11371.908376190917</v>
      </c>
      <c r="M601" s="28" t="str">
        <f t="shared" si="157"/>
        <v/>
      </c>
      <c r="N601" s="27" t="str">
        <f t="shared" si="170"/>
        <v/>
      </c>
      <c r="O601" s="26" t="str">
        <f>IF(AND($Q600=$O$38,IFERROR(LARGE($V$176:$V600,1)&lt;$N$42,TRUE)),1,IF(AND(ISNUMBER($O600),$O600&lt;$N$32),$O600+1,""))</f>
        <v/>
      </c>
      <c r="P601" s="26" t="str">
        <f t="shared" si="171"/>
        <v/>
      </c>
      <c r="Q601" s="26" t="str">
        <f t="shared" si="158"/>
        <v/>
      </c>
      <c r="R601" s="24" t="str">
        <f t="shared" si="172"/>
        <v/>
      </c>
      <c r="S601" s="180">
        <f t="shared" si="173"/>
        <v>9</v>
      </c>
      <c r="T601" s="151"/>
      <c r="U601" s="25" t="str">
        <f t="shared" si="159"/>
        <v/>
      </c>
      <c r="V601" s="24" t="str">
        <f>IF(AND(ISNUMBER(R600),ISNUMBER(R601)),V600,IF(AND(R600="",ISNUMBER(R601)),IFERROR(LARGE($V$176:$V600,1)+1,0),""))</f>
        <v/>
      </c>
      <c r="W601" s="23" t="str">
        <f t="shared" si="160"/>
        <v/>
      </c>
      <c r="X601" s="22" t="str">
        <f t="shared" si="161"/>
        <v/>
      </c>
      <c r="Y601" s="22"/>
      <c r="Z601" s="22"/>
      <c r="AA601" s="22"/>
      <c r="AB601" s="22" t="str" cm="1">
        <f t="array" ref="AB601">IF(IF(AND($P600="",$P601=1),($N$37*-1),0)+IF(AND($Q600="",$Q601=1),($N$38*-1),0)+IF(IF(($K601-$N$48)&lt;1,0,IF(IF(INDEX($AD$176:$AD$905,($K601-$N$48))="",0,INDEX($AD$176:$AD$905,($K601-$N$48)))&gt;0,IF(INDEX($AD$176:$AD$905,($K601-$N$48))="",0,INDEX($AD$176:$AD$905,($K601-$N$48))),0))="",0,IF(($K601-$N$48)&lt;1,0,IF(IF(INDEX($AD$176:$AD$905,($K601-$N$48))="",0,INDEX($AD$176:$AD$905,($K601-$N$48)))&gt;0,IF(INDEX($AD$176:$AD$905,($K601-$N$48))="",0,INDEX($AD$176:$AD$905,($K601-$N$48))),0)))=0,"",IF(AND($P600="",$P601=1),($N$37*-1),0)+IF(AND($Q600="",$Q601=1),($N$38*-1),0)+IF(IF(($K601-$N$48)&lt;1,0,IF(IF(INDEX($AD$176:$AD$905,($K601-$N$48))="",0,INDEX($AD$176:$AD$905,($K601-$N$48)))&gt;0,IF(INDEX($AD$176:$AD$905,($K601-$N$48))="",0,INDEX($AD$176:$AD$905,($K601-$N$48))),0))="",0,IF(($K601-$N$48)&lt;1,0,IF(IF(INDEX($AD$176:$AD$905,($K601-$N$48))="",0,INDEX($AD$176:$AD$905,($K601-$N$48)))&gt;0,IF(INDEX($AD$176:$AD$905,($K601-$N$48))="",0,INDEX($AD$176:$AD$905,($K601-$N$48))),0))))</f>
        <v/>
      </c>
      <c r="AC601" s="22" t="str">
        <f t="shared" si="162"/>
        <v/>
      </c>
      <c r="AD601" s="22" t="str">
        <f t="shared" si="174"/>
        <v/>
      </c>
      <c r="AE601" s="22" t="str" cm="1">
        <f t="array" ref="AE601">IF(($K601-$N$48)&lt;1,"",IF((IF(INDEX($AC$176:$AC$905,($K601-$N$48))="",0,INDEX($AC$176:$AC$905,($K601-$N$48))))=0,"",(IF(INDEX($AC$176:$AC$905,($K601-$N$48))="",0,INDEX($AC$176:$AC$905,($K601-$N$48))))))</f>
        <v/>
      </c>
      <c r="AF601" s="31" t="str">
        <f t="shared" si="163"/>
        <v/>
      </c>
      <c r="AG601" s="31" t="str">
        <f t="shared" si="164"/>
        <v/>
      </c>
      <c r="AH601" s="31" t="str">
        <f t="shared" si="165"/>
        <v/>
      </c>
      <c r="AI601" s="31" t="str">
        <f t="shared" si="166"/>
        <v/>
      </c>
      <c r="AJ601" s="303" t="str">
        <f t="shared" si="167"/>
        <v/>
      </c>
      <c r="AK601" s="139" t="str">
        <f t="shared" si="168"/>
        <v/>
      </c>
      <c r="AM601" s="319"/>
      <c r="AN601" s="40"/>
      <c r="AO601" s="1"/>
    </row>
    <row r="602" spans="7:41" x14ac:dyDescent="0.25">
      <c r="G602" s="235" t="str">
        <f t="shared" si="175"/>
        <v/>
      </c>
      <c r="H602" s="4" t="str">
        <f t="shared" si="176"/>
        <v/>
      </c>
      <c r="I602" s="11" t="str">
        <f t="shared" si="156"/>
        <v>09.00</v>
      </c>
      <c r="K602" s="30">
        <v>427</v>
      </c>
      <c r="L602" s="29">
        <f t="shared" si="169"/>
        <v>11371.908376190917</v>
      </c>
      <c r="M602" s="28" t="str">
        <f t="shared" si="157"/>
        <v/>
      </c>
      <c r="N602" s="27" t="str">
        <f t="shared" si="170"/>
        <v/>
      </c>
      <c r="O602" s="26" t="str">
        <f>IF(AND($Q601=$O$38,IFERROR(LARGE($V$176:$V601,1)&lt;$N$42,TRUE)),1,IF(AND(ISNUMBER($O601),$O601&lt;$N$32),$O601+1,""))</f>
        <v/>
      </c>
      <c r="P602" s="26" t="str">
        <f t="shared" si="171"/>
        <v/>
      </c>
      <c r="Q602" s="26" t="str">
        <f t="shared" si="158"/>
        <v/>
      </c>
      <c r="R602" s="24" t="str">
        <f t="shared" si="172"/>
        <v/>
      </c>
      <c r="S602" s="180">
        <f t="shared" si="173"/>
        <v>9</v>
      </c>
      <c r="T602" s="151"/>
      <c r="U602" s="25" t="str">
        <f t="shared" si="159"/>
        <v/>
      </c>
      <c r="V602" s="24" t="str">
        <f>IF(AND(ISNUMBER(R601),ISNUMBER(R602)),V601,IF(AND(R601="",ISNUMBER(R602)),IFERROR(LARGE($V$176:$V601,1)+1,0),""))</f>
        <v/>
      </c>
      <c r="W602" s="23" t="str">
        <f t="shared" si="160"/>
        <v/>
      </c>
      <c r="X602" s="22" t="str">
        <f t="shared" si="161"/>
        <v/>
      </c>
      <c r="Y602" s="22"/>
      <c r="Z602" s="22"/>
      <c r="AA602" s="22"/>
      <c r="AB602" s="22" t="str" cm="1">
        <f t="array" ref="AB602">IF(IF(AND($P601="",$P602=1),($N$37*-1),0)+IF(AND($Q601="",$Q602=1),($N$38*-1),0)+IF(IF(($K602-$N$48)&lt;1,0,IF(IF(INDEX($AD$176:$AD$905,($K602-$N$48))="",0,INDEX($AD$176:$AD$905,($K602-$N$48)))&gt;0,IF(INDEX($AD$176:$AD$905,($K602-$N$48))="",0,INDEX($AD$176:$AD$905,($K602-$N$48))),0))="",0,IF(($K602-$N$48)&lt;1,0,IF(IF(INDEX($AD$176:$AD$905,($K602-$N$48))="",0,INDEX($AD$176:$AD$905,($K602-$N$48)))&gt;0,IF(INDEX($AD$176:$AD$905,($K602-$N$48))="",0,INDEX($AD$176:$AD$905,($K602-$N$48))),0)))=0,"",IF(AND($P601="",$P602=1),($N$37*-1),0)+IF(AND($Q601="",$Q602=1),($N$38*-1),0)+IF(IF(($K602-$N$48)&lt;1,0,IF(IF(INDEX($AD$176:$AD$905,($K602-$N$48))="",0,INDEX($AD$176:$AD$905,($K602-$N$48)))&gt;0,IF(INDEX($AD$176:$AD$905,($K602-$N$48))="",0,INDEX($AD$176:$AD$905,($K602-$N$48))),0))="",0,IF(($K602-$N$48)&lt;1,0,IF(IF(INDEX($AD$176:$AD$905,($K602-$N$48))="",0,INDEX($AD$176:$AD$905,($K602-$N$48)))&gt;0,IF(INDEX($AD$176:$AD$905,($K602-$N$48))="",0,INDEX($AD$176:$AD$905,($K602-$N$48))),0))))</f>
        <v/>
      </c>
      <c r="AC602" s="22" t="str">
        <f t="shared" si="162"/>
        <v/>
      </c>
      <c r="AD602" s="22" t="str">
        <f t="shared" si="174"/>
        <v/>
      </c>
      <c r="AE602" s="22" t="str" cm="1">
        <f t="array" ref="AE602">IF(($K602-$N$48)&lt;1,"",IF((IF(INDEX($AC$176:$AC$905,($K602-$N$48))="",0,INDEX($AC$176:$AC$905,($K602-$N$48))))=0,"",(IF(INDEX($AC$176:$AC$905,($K602-$N$48))="",0,INDEX($AC$176:$AC$905,($K602-$N$48))))))</f>
        <v/>
      </c>
      <c r="AF602" s="31" t="str">
        <f t="shared" si="163"/>
        <v/>
      </c>
      <c r="AG602" s="31" t="str">
        <f t="shared" si="164"/>
        <v/>
      </c>
      <c r="AH602" s="31" t="str">
        <f t="shared" si="165"/>
        <v/>
      </c>
      <c r="AI602" s="31" t="str">
        <f t="shared" si="166"/>
        <v/>
      </c>
      <c r="AJ602" s="303" t="str">
        <f t="shared" si="167"/>
        <v/>
      </c>
      <c r="AK602" s="139" t="str">
        <f t="shared" si="168"/>
        <v/>
      </c>
      <c r="AM602" s="319"/>
      <c r="AN602" s="40"/>
      <c r="AO602" s="1"/>
    </row>
    <row r="603" spans="7:41" x14ac:dyDescent="0.25">
      <c r="G603" s="235" t="str">
        <f t="shared" si="175"/>
        <v/>
      </c>
      <c r="H603" s="4" t="str">
        <f t="shared" si="176"/>
        <v/>
      </c>
      <c r="I603" s="11" t="str">
        <f t="shared" si="156"/>
        <v>09.00</v>
      </c>
      <c r="K603" s="30">
        <v>428</v>
      </c>
      <c r="L603" s="29">
        <f t="shared" si="169"/>
        <v>11371.908376190917</v>
      </c>
      <c r="M603" s="28" t="str">
        <f t="shared" si="157"/>
        <v/>
      </c>
      <c r="N603" s="27" t="str">
        <f t="shared" si="170"/>
        <v/>
      </c>
      <c r="O603" s="26" t="str">
        <f>IF(AND($Q602=$O$38,IFERROR(LARGE($V$176:$V602,1)&lt;$N$42,TRUE)),1,IF(AND(ISNUMBER($O602),$O602&lt;$N$32),$O602+1,""))</f>
        <v/>
      </c>
      <c r="P603" s="26" t="str">
        <f t="shared" si="171"/>
        <v/>
      </c>
      <c r="Q603" s="26" t="str">
        <f t="shared" si="158"/>
        <v/>
      </c>
      <c r="R603" s="24" t="str">
        <f t="shared" si="172"/>
        <v/>
      </c>
      <c r="S603" s="180">
        <f t="shared" si="173"/>
        <v>9</v>
      </c>
      <c r="T603" s="151"/>
      <c r="U603" s="25" t="str">
        <f t="shared" si="159"/>
        <v/>
      </c>
      <c r="V603" s="24" t="str">
        <f>IF(AND(ISNUMBER(R602),ISNUMBER(R603)),V602,IF(AND(R602="",ISNUMBER(R603)),IFERROR(LARGE($V$176:$V602,1)+1,0),""))</f>
        <v/>
      </c>
      <c r="W603" s="23" t="str">
        <f t="shared" si="160"/>
        <v/>
      </c>
      <c r="X603" s="22" t="str">
        <f t="shared" si="161"/>
        <v/>
      </c>
      <c r="Y603" s="22"/>
      <c r="Z603" s="22"/>
      <c r="AA603" s="22"/>
      <c r="AB603" s="22" t="str" cm="1">
        <f t="array" ref="AB603">IF(IF(AND($P602="",$P603=1),($N$37*-1),0)+IF(AND($Q602="",$Q603=1),($N$38*-1),0)+IF(IF(($K603-$N$48)&lt;1,0,IF(IF(INDEX($AD$176:$AD$905,($K603-$N$48))="",0,INDEX($AD$176:$AD$905,($K603-$N$48)))&gt;0,IF(INDEX($AD$176:$AD$905,($K603-$N$48))="",0,INDEX($AD$176:$AD$905,($K603-$N$48))),0))="",0,IF(($K603-$N$48)&lt;1,0,IF(IF(INDEX($AD$176:$AD$905,($K603-$N$48))="",0,INDEX($AD$176:$AD$905,($K603-$N$48)))&gt;0,IF(INDEX($AD$176:$AD$905,($K603-$N$48))="",0,INDEX($AD$176:$AD$905,($K603-$N$48))),0)))=0,"",IF(AND($P602="",$P603=1),($N$37*-1),0)+IF(AND($Q602="",$Q603=1),($N$38*-1),0)+IF(IF(($K603-$N$48)&lt;1,0,IF(IF(INDEX($AD$176:$AD$905,($K603-$N$48))="",0,INDEX($AD$176:$AD$905,($K603-$N$48)))&gt;0,IF(INDEX($AD$176:$AD$905,($K603-$N$48))="",0,INDEX($AD$176:$AD$905,($K603-$N$48))),0))="",0,IF(($K603-$N$48)&lt;1,0,IF(IF(INDEX($AD$176:$AD$905,($K603-$N$48))="",0,INDEX($AD$176:$AD$905,($K603-$N$48)))&gt;0,IF(INDEX($AD$176:$AD$905,($K603-$N$48))="",0,INDEX($AD$176:$AD$905,($K603-$N$48))),0))))</f>
        <v/>
      </c>
      <c r="AC603" s="22" t="str">
        <f t="shared" si="162"/>
        <v/>
      </c>
      <c r="AD603" s="22" t="str">
        <f t="shared" si="174"/>
        <v/>
      </c>
      <c r="AE603" s="22" t="str" cm="1">
        <f t="array" ref="AE603">IF(($K603-$N$48)&lt;1,"",IF((IF(INDEX($AC$176:$AC$905,($K603-$N$48))="",0,INDEX($AC$176:$AC$905,($K603-$N$48))))=0,"",(IF(INDEX($AC$176:$AC$905,($K603-$N$48))="",0,INDEX($AC$176:$AC$905,($K603-$N$48))))))</f>
        <v/>
      </c>
      <c r="AF603" s="31" t="str">
        <f t="shared" si="163"/>
        <v/>
      </c>
      <c r="AG603" s="31" t="str">
        <f t="shared" si="164"/>
        <v/>
      </c>
      <c r="AH603" s="31" t="str">
        <f t="shared" si="165"/>
        <v/>
      </c>
      <c r="AI603" s="31" t="str">
        <f t="shared" si="166"/>
        <v/>
      </c>
      <c r="AJ603" s="303" t="str">
        <f t="shared" si="167"/>
        <v/>
      </c>
      <c r="AK603" s="139" t="str">
        <f t="shared" si="168"/>
        <v/>
      </c>
      <c r="AM603" s="319"/>
      <c r="AN603" s="40"/>
      <c r="AO603" s="1"/>
    </row>
    <row r="604" spans="7:41" x14ac:dyDescent="0.25">
      <c r="G604" s="235" t="str">
        <f t="shared" si="175"/>
        <v/>
      </c>
      <c r="H604" s="4" t="str">
        <f t="shared" si="176"/>
        <v/>
      </c>
      <c r="I604" s="11" t="str">
        <f t="shared" si="156"/>
        <v>09.00</v>
      </c>
      <c r="K604" s="30">
        <v>429</v>
      </c>
      <c r="L604" s="29">
        <f t="shared" si="169"/>
        <v>11371.908376190917</v>
      </c>
      <c r="M604" s="28" t="str">
        <f t="shared" si="157"/>
        <v/>
      </c>
      <c r="N604" s="27" t="str">
        <f t="shared" si="170"/>
        <v/>
      </c>
      <c r="O604" s="26" t="str">
        <f>IF(AND($Q603=$O$38,IFERROR(LARGE($V$176:$V603,1)&lt;$N$42,TRUE)),1,IF(AND(ISNUMBER($O603),$O603&lt;$N$32),$O603+1,""))</f>
        <v/>
      </c>
      <c r="P604" s="26" t="str">
        <f t="shared" si="171"/>
        <v/>
      </c>
      <c r="Q604" s="26" t="str">
        <f t="shared" si="158"/>
        <v/>
      </c>
      <c r="R604" s="24" t="str">
        <f t="shared" si="172"/>
        <v/>
      </c>
      <c r="S604" s="180">
        <f t="shared" si="173"/>
        <v>9</v>
      </c>
      <c r="T604" s="151"/>
      <c r="U604" s="25" t="str">
        <f t="shared" si="159"/>
        <v/>
      </c>
      <c r="V604" s="24" t="str">
        <f>IF(AND(ISNUMBER(R603),ISNUMBER(R604)),V603,IF(AND(R603="",ISNUMBER(R604)),IFERROR(LARGE($V$176:$V603,1)+1,0),""))</f>
        <v/>
      </c>
      <c r="W604" s="23" t="str">
        <f t="shared" si="160"/>
        <v/>
      </c>
      <c r="X604" s="22" t="str">
        <f t="shared" si="161"/>
        <v/>
      </c>
      <c r="Y604" s="22"/>
      <c r="Z604" s="22"/>
      <c r="AA604" s="22"/>
      <c r="AB604" s="22" t="str" cm="1">
        <f t="array" ref="AB604">IF(IF(AND($P603="",$P604=1),($N$37*-1),0)+IF(AND($Q603="",$Q604=1),($N$38*-1),0)+IF(IF(($K604-$N$48)&lt;1,0,IF(IF(INDEX($AD$176:$AD$905,($K604-$N$48))="",0,INDEX($AD$176:$AD$905,($K604-$N$48)))&gt;0,IF(INDEX($AD$176:$AD$905,($K604-$N$48))="",0,INDEX($AD$176:$AD$905,($K604-$N$48))),0))="",0,IF(($K604-$N$48)&lt;1,0,IF(IF(INDEX($AD$176:$AD$905,($K604-$N$48))="",0,INDEX($AD$176:$AD$905,($K604-$N$48)))&gt;0,IF(INDEX($AD$176:$AD$905,($K604-$N$48))="",0,INDEX($AD$176:$AD$905,($K604-$N$48))),0)))=0,"",IF(AND($P603="",$P604=1),($N$37*-1),0)+IF(AND($Q603="",$Q604=1),($N$38*-1),0)+IF(IF(($K604-$N$48)&lt;1,0,IF(IF(INDEX($AD$176:$AD$905,($K604-$N$48))="",0,INDEX($AD$176:$AD$905,($K604-$N$48)))&gt;0,IF(INDEX($AD$176:$AD$905,($K604-$N$48))="",0,INDEX($AD$176:$AD$905,($K604-$N$48))),0))="",0,IF(($K604-$N$48)&lt;1,0,IF(IF(INDEX($AD$176:$AD$905,($K604-$N$48))="",0,INDEX($AD$176:$AD$905,($K604-$N$48)))&gt;0,IF(INDEX($AD$176:$AD$905,($K604-$N$48))="",0,INDEX($AD$176:$AD$905,($K604-$N$48))),0))))</f>
        <v/>
      </c>
      <c r="AC604" s="22" t="str">
        <f t="shared" si="162"/>
        <v/>
      </c>
      <c r="AD604" s="22" t="str">
        <f t="shared" si="174"/>
        <v/>
      </c>
      <c r="AE604" s="22" t="str" cm="1">
        <f t="array" ref="AE604">IF(($K604-$N$48)&lt;1,"",IF((IF(INDEX($AC$176:$AC$905,($K604-$N$48))="",0,INDEX($AC$176:$AC$905,($K604-$N$48))))=0,"",(IF(INDEX($AC$176:$AC$905,($K604-$N$48))="",0,INDEX($AC$176:$AC$905,($K604-$N$48))))))</f>
        <v/>
      </c>
      <c r="AF604" s="31" t="str">
        <f t="shared" si="163"/>
        <v/>
      </c>
      <c r="AG604" s="31" t="str">
        <f t="shared" si="164"/>
        <v/>
      </c>
      <c r="AH604" s="31" t="str">
        <f t="shared" si="165"/>
        <v/>
      </c>
      <c r="AI604" s="31" t="str">
        <f t="shared" si="166"/>
        <v/>
      </c>
      <c r="AJ604" s="303" t="str">
        <f t="shared" si="167"/>
        <v/>
      </c>
      <c r="AK604" s="139" t="str">
        <f t="shared" si="168"/>
        <v/>
      </c>
      <c r="AM604" s="319"/>
      <c r="AN604" s="40"/>
      <c r="AO604" s="1"/>
    </row>
    <row r="605" spans="7:41" x14ac:dyDescent="0.25">
      <c r="G605" s="235" t="str">
        <f t="shared" si="175"/>
        <v/>
      </c>
      <c r="H605" s="4" t="str">
        <f t="shared" si="176"/>
        <v/>
      </c>
      <c r="I605" s="11" t="str">
        <f t="shared" si="156"/>
        <v>09.00</v>
      </c>
      <c r="K605" s="30">
        <v>430</v>
      </c>
      <c r="L605" s="29">
        <f t="shared" si="169"/>
        <v>11371.908376190917</v>
      </c>
      <c r="M605" s="28" t="str">
        <f t="shared" si="157"/>
        <v/>
      </c>
      <c r="N605" s="27" t="str">
        <f t="shared" si="170"/>
        <v/>
      </c>
      <c r="O605" s="26" t="str">
        <f>IF(AND($Q604=$O$38,IFERROR(LARGE($V$176:$V604,1)&lt;$N$42,TRUE)),1,IF(AND(ISNUMBER($O604),$O604&lt;$N$32),$O604+1,""))</f>
        <v/>
      </c>
      <c r="P605" s="26" t="str">
        <f t="shared" si="171"/>
        <v/>
      </c>
      <c r="Q605" s="26" t="str">
        <f t="shared" si="158"/>
        <v/>
      </c>
      <c r="R605" s="24" t="str">
        <f t="shared" si="172"/>
        <v/>
      </c>
      <c r="S605" s="180">
        <f t="shared" si="173"/>
        <v>9</v>
      </c>
      <c r="T605" s="151"/>
      <c r="U605" s="25" t="str">
        <f t="shared" si="159"/>
        <v/>
      </c>
      <c r="V605" s="24" t="str">
        <f>IF(AND(ISNUMBER(R604),ISNUMBER(R605)),V604,IF(AND(R604="",ISNUMBER(R605)),IFERROR(LARGE($V$176:$V604,1)+1,0),""))</f>
        <v/>
      </c>
      <c r="W605" s="23" t="str">
        <f t="shared" si="160"/>
        <v/>
      </c>
      <c r="X605" s="22" t="str">
        <f t="shared" si="161"/>
        <v/>
      </c>
      <c r="Y605" s="22"/>
      <c r="Z605" s="22"/>
      <c r="AA605" s="22"/>
      <c r="AB605" s="22" t="str" cm="1">
        <f t="array" ref="AB605">IF(IF(AND($P604="",$P605=1),($N$37*-1),0)+IF(AND($Q604="",$Q605=1),($N$38*-1),0)+IF(IF(($K605-$N$48)&lt;1,0,IF(IF(INDEX($AD$176:$AD$905,($K605-$N$48))="",0,INDEX($AD$176:$AD$905,($K605-$N$48)))&gt;0,IF(INDEX($AD$176:$AD$905,($K605-$N$48))="",0,INDEX($AD$176:$AD$905,($K605-$N$48))),0))="",0,IF(($K605-$N$48)&lt;1,0,IF(IF(INDEX($AD$176:$AD$905,($K605-$N$48))="",0,INDEX($AD$176:$AD$905,($K605-$N$48)))&gt;0,IF(INDEX($AD$176:$AD$905,($K605-$N$48))="",0,INDEX($AD$176:$AD$905,($K605-$N$48))),0)))=0,"",IF(AND($P604="",$P605=1),($N$37*-1),0)+IF(AND($Q604="",$Q605=1),($N$38*-1),0)+IF(IF(($K605-$N$48)&lt;1,0,IF(IF(INDEX($AD$176:$AD$905,($K605-$N$48))="",0,INDEX($AD$176:$AD$905,($K605-$N$48)))&gt;0,IF(INDEX($AD$176:$AD$905,($K605-$N$48))="",0,INDEX($AD$176:$AD$905,($K605-$N$48))),0))="",0,IF(($K605-$N$48)&lt;1,0,IF(IF(INDEX($AD$176:$AD$905,($K605-$N$48))="",0,INDEX($AD$176:$AD$905,($K605-$N$48)))&gt;0,IF(INDEX($AD$176:$AD$905,($K605-$N$48))="",0,INDEX($AD$176:$AD$905,($K605-$N$48))),0))))</f>
        <v/>
      </c>
      <c r="AC605" s="22" t="str">
        <f t="shared" si="162"/>
        <v/>
      </c>
      <c r="AD605" s="22" t="str">
        <f t="shared" si="174"/>
        <v/>
      </c>
      <c r="AE605" s="22" t="str" cm="1">
        <f t="array" ref="AE605">IF(($K605-$N$48)&lt;1,"",IF((IF(INDEX($AC$176:$AC$905,($K605-$N$48))="",0,INDEX($AC$176:$AC$905,($K605-$N$48))))=0,"",(IF(INDEX($AC$176:$AC$905,($K605-$N$48))="",0,INDEX($AC$176:$AC$905,($K605-$N$48))))))</f>
        <v/>
      </c>
      <c r="AF605" s="31" t="str">
        <f t="shared" si="163"/>
        <v/>
      </c>
      <c r="AG605" s="31" t="str">
        <f t="shared" si="164"/>
        <v/>
      </c>
      <c r="AH605" s="31" t="str">
        <f t="shared" si="165"/>
        <v/>
      </c>
      <c r="AI605" s="31" t="str">
        <f t="shared" si="166"/>
        <v/>
      </c>
      <c r="AJ605" s="303" t="str">
        <f t="shared" si="167"/>
        <v/>
      </c>
      <c r="AK605" s="139" t="str">
        <f t="shared" si="168"/>
        <v/>
      </c>
      <c r="AM605" s="319"/>
      <c r="AN605" s="40"/>
      <c r="AO605" s="1"/>
    </row>
    <row r="606" spans="7:41" x14ac:dyDescent="0.25">
      <c r="G606" s="235" t="str">
        <f t="shared" si="175"/>
        <v/>
      </c>
      <c r="H606" s="4" t="str">
        <f t="shared" si="176"/>
        <v/>
      </c>
      <c r="I606" s="11" t="str">
        <f t="shared" si="156"/>
        <v>09.00</v>
      </c>
      <c r="K606" s="30">
        <v>431</v>
      </c>
      <c r="L606" s="29">
        <f t="shared" si="169"/>
        <v>11371.908376190917</v>
      </c>
      <c r="M606" s="28" t="str">
        <f t="shared" si="157"/>
        <v/>
      </c>
      <c r="N606" s="27" t="str">
        <f t="shared" si="170"/>
        <v/>
      </c>
      <c r="O606" s="26" t="str">
        <f>IF(AND($Q605=$O$38,IFERROR(LARGE($V$176:$V605,1)&lt;$N$42,TRUE)),1,IF(AND(ISNUMBER($O605),$O605&lt;$N$32),$O605+1,""))</f>
        <v/>
      </c>
      <c r="P606" s="26" t="str">
        <f t="shared" si="171"/>
        <v/>
      </c>
      <c r="Q606" s="26" t="str">
        <f t="shared" si="158"/>
        <v/>
      </c>
      <c r="R606" s="24" t="str">
        <f t="shared" si="172"/>
        <v/>
      </c>
      <c r="S606" s="180">
        <f t="shared" si="173"/>
        <v>9</v>
      </c>
      <c r="T606" s="151"/>
      <c r="U606" s="25" t="str">
        <f t="shared" si="159"/>
        <v/>
      </c>
      <c r="V606" s="24" t="str">
        <f>IF(AND(ISNUMBER(R605),ISNUMBER(R606)),V605,IF(AND(R605="",ISNUMBER(R606)),IFERROR(LARGE($V$176:$V605,1)+1,0),""))</f>
        <v/>
      </c>
      <c r="W606" s="23" t="str">
        <f t="shared" si="160"/>
        <v/>
      </c>
      <c r="X606" s="22" t="str">
        <f t="shared" si="161"/>
        <v/>
      </c>
      <c r="Y606" s="22"/>
      <c r="Z606" s="22"/>
      <c r="AA606" s="22"/>
      <c r="AB606" s="22" t="str" cm="1">
        <f t="array" ref="AB606">IF(IF(AND($P605="",$P606=1),($N$37*-1),0)+IF(AND($Q605="",$Q606=1),($N$38*-1),0)+IF(IF(($K606-$N$48)&lt;1,0,IF(IF(INDEX($AD$176:$AD$905,($K606-$N$48))="",0,INDEX($AD$176:$AD$905,($K606-$N$48)))&gt;0,IF(INDEX($AD$176:$AD$905,($K606-$N$48))="",0,INDEX($AD$176:$AD$905,($K606-$N$48))),0))="",0,IF(($K606-$N$48)&lt;1,0,IF(IF(INDEX($AD$176:$AD$905,($K606-$N$48))="",0,INDEX($AD$176:$AD$905,($K606-$N$48)))&gt;0,IF(INDEX($AD$176:$AD$905,($K606-$N$48))="",0,INDEX($AD$176:$AD$905,($K606-$N$48))),0)))=0,"",IF(AND($P605="",$P606=1),($N$37*-1),0)+IF(AND($Q605="",$Q606=1),($N$38*-1),0)+IF(IF(($K606-$N$48)&lt;1,0,IF(IF(INDEX($AD$176:$AD$905,($K606-$N$48))="",0,INDEX($AD$176:$AD$905,($K606-$N$48)))&gt;0,IF(INDEX($AD$176:$AD$905,($K606-$N$48))="",0,INDEX($AD$176:$AD$905,($K606-$N$48))),0))="",0,IF(($K606-$N$48)&lt;1,0,IF(IF(INDEX($AD$176:$AD$905,($K606-$N$48))="",0,INDEX($AD$176:$AD$905,($K606-$N$48)))&gt;0,IF(INDEX($AD$176:$AD$905,($K606-$N$48))="",0,INDEX($AD$176:$AD$905,($K606-$N$48))),0))))</f>
        <v/>
      </c>
      <c r="AC606" s="22" t="str">
        <f t="shared" si="162"/>
        <v/>
      </c>
      <c r="AD606" s="22" t="str">
        <f t="shared" si="174"/>
        <v/>
      </c>
      <c r="AE606" s="22" t="str" cm="1">
        <f t="array" ref="AE606">IF(($K606-$N$48)&lt;1,"",IF((IF(INDEX($AC$176:$AC$905,($K606-$N$48))="",0,INDEX($AC$176:$AC$905,($K606-$N$48))))=0,"",(IF(INDEX($AC$176:$AC$905,($K606-$N$48))="",0,INDEX($AC$176:$AC$905,($K606-$N$48))))))</f>
        <v/>
      </c>
      <c r="AF606" s="31" t="str">
        <f t="shared" si="163"/>
        <v/>
      </c>
      <c r="AG606" s="31" t="str">
        <f t="shared" si="164"/>
        <v/>
      </c>
      <c r="AH606" s="31" t="str">
        <f t="shared" si="165"/>
        <v/>
      </c>
      <c r="AI606" s="31" t="str">
        <f t="shared" si="166"/>
        <v/>
      </c>
      <c r="AJ606" s="303" t="str">
        <f t="shared" si="167"/>
        <v/>
      </c>
      <c r="AK606" s="139" t="str">
        <f t="shared" si="168"/>
        <v/>
      </c>
      <c r="AM606" s="319"/>
      <c r="AN606" s="40"/>
      <c r="AO606" s="1"/>
    </row>
    <row r="607" spans="7:41" x14ac:dyDescent="0.25">
      <c r="G607" s="235" t="str">
        <f t="shared" si="175"/>
        <v/>
      </c>
      <c r="H607" s="4" t="str">
        <f t="shared" si="176"/>
        <v/>
      </c>
      <c r="I607" s="11" t="str">
        <f t="shared" si="156"/>
        <v>09.00</v>
      </c>
      <c r="K607" s="30">
        <v>432</v>
      </c>
      <c r="L607" s="29">
        <f t="shared" si="169"/>
        <v>11371.908376190917</v>
      </c>
      <c r="M607" s="28" t="str">
        <f t="shared" si="157"/>
        <v/>
      </c>
      <c r="N607" s="27" t="str">
        <f t="shared" si="170"/>
        <v/>
      </c>
      <c r="O607" s="26" t="str">
        <f>IF(AND($Q606=$O$38,IFERROR(LARGE($V$176:$V606,1)&lt;$N$42,TRUE)),1,IF(AND(ISNUMBER($O606),$O606&lt;$N$32),$O606+1,""))</f>
        <v/>
      </c>
      <c r="P607" s="26" t="str">
        <f t="shared" si="171"/>
        <v/>
      </c>
      <c r="Q607" s="26" t="str">
        <f t="shared" si="158"/>
        <v/>
      </c>
      <c r="R607" s="24" t="str">
        <f t="shared" si="172"/>
        <v/>
      </c>
      <c r="S607" s="180">
        <f t="shared" si="173"/>
        <v>9</v>
      </c>
      <c r="T607" s="151"/>
      <c r="U607" s="25" t="str">
        <f t="shared" si="159"/>
        <v/>
      </c>
      <c r="V607" s="24" t="str">
        <f>IF(AND(ISNUMBER(R606),ISNUMBER(R607)),V606,IF(AND(R606="",ISNUMBER(R607)),IFERROR(LARGE($V$176:$V606,1)+1,0),""))</f>
        <v/>
      </c>
      <c r="W607" s="23" t="str">
        <f t="shared" si="160"/>
        <v/>
      </c>
      <c r="X607" s="22" t="str">
        <f t="shared" si="161"/>
        <v/>
      </c>
      <c r="Y607" s="22"/>
      <c r="Z607" s="22"/>
      <c r="AA607" s="22"/>
      <c r="AB607" s="22" t="str" cm="1">
        <f t="array" ref="AB607">IF(IF(AND($P606="",$P607=1),($N$37*-1),0)+IF(AND($Q606="",$Q607=1),($N$38*-1),0)+IF(IF(($K607-$N$48)&lt;1,0,IF(IF(INDEX($AD$176:$AD$905,($K607-$N$48))="",0,INDEX($AD$176:$AD$905,($K607-$N$48)))&gt;0,IF(INDEX($AD$176:$AD$905,($K607-$N$48))="",0,INDEX($AD$176:$AD$905,($K607-$N$48))),0))="",0,IF(($K607-$N$48)&lt;1,0,IF(IF(INDEX($AD$176:$AD$905,($K607-$N$48))="",0,INDEX($AD$176:$AD$905,($K607-$N$48)))&gt;0,IF(INDEX($AD$176:$AD$905,($K607-$N$48))="",0,INDEX($AD$176:$AD$905,($K607-$N$48))),0)))=0,"",IF(AND($P606="",$P607=1),($N$37*-1),0)+IF(AND($Q606="",$Q607=1),($N$38*-1),0)+IF(IF(($K607-$N$48)&lt;1,0,IF(IF(INDEX($AD$176:$AD$905,($K607-$N$48))="",0,INDEX($AD$176:$AD$905,($K607-$N$48)))&gt;0,IF(INDEX($AD$176:$AD$905,($K607-$N$48))="",0,INDEX($AD$176:$AD$905,($K607-$N$48))),0))="",0,IF(($K607-$N$48)&lt;1,0,IF(IF(INDEX($AD$176:$AD$905,($K607-$N$48))="",0,INDEX($AD$176:$AD$905,($K607-$N$48)))&gt;0,IF(INDEX($AD$176:$AD$905,($K607-$N$48))="",0,INDEX($AD$176:$AD$905,($K607-$N$48))),0))))</f>
        <v/>
      </c>
      <c r="AC607" s="22" t="str">
        <f t="shared" si="162"/>
        <v/>
      </c>
      <c r="AD607" s="22" t="str">
        <f t="shared" si="174"/>
        <v/>
      </c>
      <c r="AE607" s="22" t="str" cm="1">
        <f t="array" ref="AE607">IF(($K607-$N$48)&lt;1,"",IF((IF(INDEX($AC$176:$AC$905,($K607-$N$48))="",0,INDEX($AC$176:$AC$905,($K607-$N$48))))=0,"",(IF(INDEX($AC$176:$AC$905,($K607-$N$48))="",0,INDEX($AC$176:$AC$905,($K607-$N$48))))))</f>
        <v/>
      </c>
      <c r="AF607" s="31" t="str">
        <f t="shared" si="163"/>
        <v/>
      </c>
      <c r="AG607" s="31" t="str">
        <f t="shared" si="164"/>
        <v/>
      </c>
      <c r="AH607" s="31" t="str">
        <f t="shared" si="165"/>
        <v/>
      </c>
      <c r="AI607" s="31" t="str">
        <f t="shared" si="166"/>
        <v/>
      </c>
      <c r="AJ607" s="303" t="str">
        <f t="shared" si="167"/>
        <v/>
      </c>
      <c r="AK607" s="139" t="str">
        <f t="shared" si="168"/>
        <v/>
      </c>
      <c r="AM607" s="319"/>
      <c r="AN607" s="40"/>
      <c r="AO607" s="1"/>
    </row>
    <row r="608" spans="7:41" x14ac:dyDescent="0.25">
      <c r="G608" s="235" t="str">
        <f t="shared" si="175"/>
        <v/>
      </c>
      <c r="H608" s="4" t="str">
        <f t="shared" si="176"/>
        <v/>
      </c>
      <c r="I608" s="11" t="str">
        <f t="shared" si="156"/>
        <v>09.00</v>
      </c>
      <c r="K608" s="30">
        <v>433</v>
      </c>
      <c r="L608" s="29">
        <f t="shared" si="169"/>
        <v>11371.908376190917</v>
      </c>
      <c r="M608" s="28" t="str">
        <f t="shared" si="157"/>
        <v/>
      </c>
      <c r="N608" s="27" t="str">
        <f t="shared" si="170"/>
        <v/>
      </c>
      <c r="O608" s="26" t="str">
        <f>IF(AND($Q607=$O$38,IFERROR(LARGE($V$176:$V607,1)&lt;$N$42,TRUE)),1,IF(AND(ISNUMBER($O607),$O607&lt;$N$32),$O607+1,""))</f>
        <v/>
      </c>
      <c r="P608" s="26" t="str">
        <f t="shared" si="171"/>
        <v/>
      </c>
      <c r="Q608" s="26" t="str">
        <f t="shared" si="158"/>
        <v/>
      </c>
      <c r="R608" s="24" t="str">
        <f t="shared" si="172"/>
        <v/>
      </c>
      <c r="S608" s="180">
        <f t="shared" si="173"/>
        <v>9</v>
      </c>
      <c r="T608" s="151"/>
      <c r="U608" s="25" t="str">
        <f t="shared" si="159"/>
        <v/>
      </c>
      <c r="V608" s="24" t="str">
        <f>IF(AND(ISNUMBER(R607),ISNUMBER(R608)),V607,IF(AND(R607="",ISNUMBER(R608)),IFERROR(LARGE($V$176:$V607,1)+1,0),""))</f>
        <v/>
      </c>
      <c r="W608" s="23" t="str">
        <f t="shared" si="160"/>
        <v/>
      </c>
      <c r="X608" s="22" t="str">
        <f t="shared" si="161"/>
        <v/>
      </c>
      <c r="Y608" s="22"/>
      <c r="Z608" s="22"/>
      <c r="AA608" s="22"/>
      <c r="AB608" s="22" t="str" cm="1">
        <f t="array" ref="AB608">IF(IF(AND($P607="",$P608=1),($N$37*-1),0)+IF(AND($Q607="",$Q608=1),($N$38*-1),0)+IF(IF(($K608-$N$48)&lt;1,0,IF(IF(INDEX($AD$176:$AD$905,($K608-$N$48))="",0,INDEX($AD$176:$AD$905,($K608-$N$48)))&gt;0,IF(INDEX($AD$176:$AD$905,($K608-$N$48))="",0,INDEX($AD$176:$AD$905,($K608-$N$48))),0))="",0,IF(($K608-$N$48)&lt;1,0,IF(IF(INDEX($AD$176:$AD$905,($K608-$N$48))="",0,INDEX($AD$176:$AD$905,($K608-$N$48)))&gt;0,IF(INDEX($AD$176:$AD$905,($K608-$N$48))="",0,INDEX($AD$176:$AD$905,($K608-$N$48))),0)))=0,"",IF(AND($P607="",$P608=1),($N$37*-1),0)+IF(AND($Q607="",$Q608=1),($N$38*-1),0)+IF(IF(($K608-$N$48)&lt;1,0,IF(IF(INDEX($AD$176:$AD$905,($K608-$N$48))="",0,INDEX($AD$176:$AD$905,($K608-$N$48)))&gt;0,IF(INDEX($AD$176:$AD$905,($K608-$N$48))="",0,INDEX($AD$176:$AD$905,($K608-$N$48))),0))="",0,IF(($K608-$N$48)&lt;1,0,IF(IF(INDEX($AD$176:$AD$905,($K608-$N$48))="",0,INDEX($AD$176:$AD$905,($K608-$N$48)))&gt;0,IF(INDEX($AD$176:$AD$905,($K608-$N$48))="",0,INDEX($AD$176:$AD$905,($K608-$N$48))),0))))</f>
        <v/>
      </c>
      <c r="AC608" s="22" t="str">
        <f t="shared" si="162"/>
        <v/>
      </c>
      <c r="AD608" s="22" t="str">
        <f t="shared" si="174"/>
        <v/>
      </c>
      <c r="AE608" s="22" t="str" cm="1">
        <f t="array" ref="AE608">IF(($K608-$N$48)&lt;1,"",IF((IF(INDEX($AC$176:$AC$905,($K608-$N$48))="",0,INDEX($AC$176:$AC$905,($K608-$N$48))))=0,"",(IF(INDEX($AC$176:$AC$905,($K608-$N$48))="",0,INDEX($AC$176:$AC$905,($K608-$N$48))))))</f>
        <v/>
      </c>
      <c r="AF608" s="31" t="str">
        <f t="shared" si="163"/>
        <v/>
      </c>
      <c r="AG608" s="31" t="str">
        <f t="shared" si="164"/>
        <v/>
      </c>
      <c r="AH608" s="31" t="str">
        <f t="shared" si="165"/>
        <v/>
      </c>
      <c r="AI608" s="31" t="str">
        <f t="shared" si="166"/>
        <v/>
      </c>
      <c r="AJ608" s="303" t="str">
        <f t="shared" si="167"/>
        <v/>
      </c>
      <c r="AK608" s="139" t="str">
        <f t="shared" si="168"/>
        <v/>
      </c>
      <c r="AM608" s="319"/>
      <c r="AN608" s="40"/>
      <c r="AO608" s="1"/>
    </row>
    <row r="609" spans="7:41" x14ac:dyDescent="0.25">
      <c r="G609" s="235" t="str">
        <f t="shared" si="175"/>
        <v/>
      </c>
      <c r="H609" s="4" t="str">
        <f t="shared" si="176"/>
        <v/>
      </c>
      <c r="I609" s="11" t="str">
        <f t="shared" si="156"/>
        <v>09.00</v>
      </c>
      <c r="K609" s="30">
        <v>434</v>
      </c>
      <c r="L609" s="29">
        <f t="shared" si="169"/>
        <v>11371.908376190917</v>
      </c>
      <c r="M609" s="28" t="str">
        <f t="shared" si="157"/>
        <v/>
      </c>
      <c r="N609" s="27" t="str">
        <f t="shared" si="170"/>
        <v/>
      </c>
      <c r="O609" s="26" t="str">
        <f>IF(AND($Q608=$O$38,IFERROR(LARGE($V$176:$V608,1)&lt;$N$42,TRUE)),1,IF(AND(ISNUMBER($O608),$O608&lt;$N$32),$O608+1,""))</f>
        <v/>
      </c>
      <c r="P609" s="26" t="str">
        <f t="shared" si="171"/>
        <v/>
      </c>
      <c r="Q609" s="26" t="str">
        <f t="shared" si="158"/>
        <v/>
      </c>
      <c r="R609" s="24" t="str">
        <f t="shared" si="172"/>
        <v/>
      </c>
      <c r="S609" s="180">
        <f t="shared" si="173"/>
        <v>9</v>
      </c>
      <c r="T609" s="151"/>
      <c r="U609" s="25" t="str">
        <f t="shared" si="159"/>
        <v/>
      </c>
      <c r="V609" s="24" t="str">
        <f>IF(AND(ISNUMBER(R608),ISNUMBER(R609)),V608,IF(AND(R608="",ISNUMBER(R609)),IFERROR(LARGE($V$176:$V608,1)+1,0),""))</f>
        <v/>
      </c>
      <c r="W609" s="23" t="str">
        <f t="shared" si="160"/>
        <v/>
      </c>
      <c r="X609" s="22" t="str">
        <f t="shared" si="161"/>
        <v/>
      </c>
      <c r="Y609" s="22"/>
      <c r="Z609" s="22"/>
      <c r="AA609" s="22"/>
      <c r="AB609" s="22" t="str" cm="1">
        <f t="array" ref="AB609">IF(IF(AND($P608="",$P609=1),($N$37*-1),0)+IF(AND($Q608="",$Q609=1),($N$38*-1),0)+IF(IF(($K609-$N$48)&lt;1,0,IF(IF(INDEX($AD$176:$AD$905,($K609-$N$48))="",0,INDEX($AD$176:$AD$905,($K609-$N$48)))&gt;0,IF(INDEX($AD$176:$AD$905,($K609-$N$48))="",0,INDEX($AD$176:$AD$905,($K609-$N$48))),0))="",0,IF(($K609-$N$48)&lt;1,0,IF(IF(INDEX($AD$176:$AD$905,($K609-$N$48))="",0,INDEX($AD$176:$AD$905,($K609-$N$48)))&gt;0,IF(INDEX($AD$176:$AD$905,($K609-$N$48))="",0,INDEX($AD$176:$AD$905,($K609-$N$48))),0)))=0,"",IF(AND($P608="",$P609=1),($N$37*-1),0)+IF(AND($Q608="",$Q609=1),($N$38*-1),0)+IF(IF(($K609-$N$48)&lt;1,0,IF(IF(INDEX($AD$176:$AD$905,($K609-$N$48))="",0,INDEX($AD$176:$AD$905,($K609-$N$48)))&gt;0,IF(INDEX($AD$176:$AD$905,($K609-$N$48))="",0,INDEX($AD$176:$AD$905,($K609-$N$48))),0))="",0,IF(($K609-$N$48)&lt;1,0,IF(IF(INDEX($AD$176:$AD$905,($K609-$N$48))="",0,INDEX($AD$176:$AD$905,($K609-$N$48)))&gt;0,IF(INDEX($AD$176:$AD$905,($K609-$N$48))="",0,INDEX($AD$176:$AD$905,($K609-$N$48))),0))))</f>
        <v/>
      </c>
      <c r="AC609" s="22" t="str">
        <f t="shared" si="162"/>
        <v/>
      </c>
      <c r="AD609" s="22" t="str">
        <f t="shared" si="174"/>
        <v/>
      </c>
      <c r="AE609" s="22" t="str" cm="1">
        <f t="array" ref="AE609">IF(($K609-$N$48)&lt;1,"",IF((IF(INDEX($AC$176:$AC$905,($K609-$N$48))="",0,INDEX($AC$176:$AC$905,($K609-$N$48))))=0,"",(IF(INDEX($AC$176:$AC$905,($K609-$N$48))="",0,INDEX($AC$176:$AC$905,($K609-$N$48))))))</f>
        <v/>
      </c>
      <c r="AF609" s="31" t="str">
        <f t="shared" si="163"/>
        <v/>
      </c>
      <c r="AG609" s="31" t="str">
        <f t="shared" si="164"/>
        <v/>
      </c>
      <c r="AH609" s="31" t="str">
        <f t="shared" si="165"/>
        <v/>
      </c>
      <c r="AI609" s="31" t="str">
        <f t="shared" si="166"/>
        <v/>
      </c>
      <c r="AJ609" s="303" t="str">
        <f t="shared" si="167"/>
        <v/>
      </c>
      <c r="AK609" s="139" t="str">
        <f t="shared" si="168"/>
        <v/>
      </c>
      <c r="AM609" s="319"/>
      <c r="AN609" s="40"/>
      <c r="AO609" s="1"/>
    </row>
    <row r="610" spans="7:41" x14ac:dyDescent="0.25">
      <c r="G610" s="235" t="str">
        <f t="shared" si="175"/>
        <v/>
      </c>
      <c r="H610" s="4" t="str">
        <f t="shared" si="176"/>
        <v/>
      </c>
      <c r="I610" s="11" t="str">
        <f t="shared" si="156"/>
        <v>09.00</v>
      </c>
      <c r="K610" s="30">
        <v>435</v>
      </c>
      <c r="L610" s="29">
        <f t="shared" si="169"/>
        <v>11371.908376190917</v>
      </c>
      <c r="M610" s="28" t="str">
        <f t="shared" si="157"/>
        <v/>
      </c>
      <c r="N610" s="27" t="str">
        <f t="shared" si="170"/>
        <v/>
      </c>
      <c r="O610" s="26" t="str">
        <f>IF(AND($Q609=$O$38,IFERROR(LARGE($V$176:$V609,1)&lt;$N$42,TRUE)),1,IF(AND(ISNUMBER($O609),$O609&lt;$N$32),$O609+1,""))</f>
        <v/>
      </c>
      <c r="P610" s="26" t="str">
        <f t="shared" si="171"/>
        <v/>
      </c>
      <c r="Q610" s="26" t="str">
        <f t="shared" si="158"/>
        <v/>
      </c>
      <c r="R610" s="24" t="str">
        <f t="shared" si="172"/>
        <v/>
      </c>
      <c r="S610" s="180">
        <f t="shared" si="173"/>
        <v>9</v>
      </c>
      <c r="T610" s="151"/>
      <c r="U610" s="25" t="str">
        <f t="shared" si="159"/>
        <v/>
      </c>
      <c r="V610" s="24" t="str">
        <f>IF(AND(ISNUMBER(R609),ISNUMBER(R610)),V609,IF(AND(R609="",ISNUMBER(R610)),IFERROR(LARGE($V$176:$V609,1)+1,0),""))</f>
        <v/>
      </c>
      <c r="W610" s="23" t="str">
        <f t="shared" si="160"/>
        <v/>
      </c>
      <c r="X610" s="22" t="str">
        <f t="shared" si="161"/>
        <v/>
      </c>
      <c r="Y610" s="22"/>
      <c r="Z610" s="22"/>
      <c r="AA610" s="22"/>
      <c r="AB610" s="22" t="str" cm="1">
        <f t="array" ref="AB610">IF(IF(AND($P609="",$P610=1),($N$37*-1),0)+IF(AND($Q609="",$Q610=1),($N$38*-1),0)+IF(IF(($K610-$N$48)&lt;1,0,IF(IF(INDEX($AD$176:$AD$905,($K610-$N$48))="",0,INDEX($AD$176:$AD$905,($K610-$N$48)))&gt;0,IF(INDEX($AD$176:$AD$905,($K610-$N$48))="",0,INDEX($AD$176:$AD$905,($K610-$N$48))),0))="",0,IF(($K610-$N$48)&lt;1,0,IF(IF(INDEX($AD$176:$AD$905,($K610-$N$48))="",0,INDEX($AD$176:$AD$905,($K610-$N$48)))&gt;0,IF(INDEX($AD$176:$AD$905,($K610-$N$48))="",0,INDEX($AD$176:$AD$905,($K610-$N$48))),0)))=0,"",IF(AND($P609="",$P610=1),($N$37*-1),0)+IF(AND($Q609="",$Q610=1),($N$38*-1),0)+IF(IF(($K610-$N$48)&lt;1,0,IF(IF(INDEX($AD$176:$AD$905,($K610-$N$48))="",0,INDEX($AD$176:$AD$905,($K610-$N$48)))&gt;0,IF(INDEX($AD$176:$AD$905,($K610-$N$48))="",0,INDEX($AD$176:$AD$905,($K610-$N$48))),0))="",0,IF(($K610-$N$48)&lt;1,0,IF(IF(INDEX($AD$176:$AD$905,($K610-$N$48))="",0,INDEX($AD$176:$AD$905,($K610-$N$48)))&gt;0,IF(INDEX($AD$176:$AD$905,($K610-$N$48))="",0,INDEX($AD$176:$AD$905,($K610-$N$48))),0))))</f>
        <v/>
      </c>
      <c r="AC610" s="22" t="str">
        <f t="shared" si="162"/>
        <v/>
      </c>
      <c r="AD610" s="22" t="str">
        <f t="shared" si="174"/>
        <v/>
      </c>
      <c r="AE610" s="22" t="str" cm="1">
        <f t="array" ref="AE610">IF(($K610-$N$48)&lt;1,"",IF((IF(INDEX($AC$176:$AC$905,($K610-$N$48))="",0,INDEX($AC$176:$AC$905,($K610-$N$48))))=0,"",(IF(INDEX($AC$176:$AC$905,($K610-$N$48))="",0,INDEX($AC$176:$AC$905,($K610-$N$48))))))</f>
        <v/>
      </c>
      <c r="AF610" s="31" t="str">
        <f t="shared" si="163"/>
        <v/>
      </c>
      <c r="AG610" s="31" t="str">
        <f t="shared" si="164"/>
        <v/>
      </c>
      <c r="AH610" s="31" t="str">
        <f t="shared" si="165"/>
        <v/>
      </c>
      <c r="AI610" s="31" t="str">
        <f t="shared" si="166"/>
        <v/>
      </c>
      <c r="AJ610" s="303" t="str">
        <f t="shared" si="167"/>
        <v/>
      </c>
      <c r="AK610" s="139" t="str">
        <f t="shared" si="168"/>
        <v/>
      </c>
      <c r="AM610" s="319"/>
      <c r="AN610" s="40"/>
      <c r="AO610" s="1"/>
    </row>
    <row r="611" spans="7:41" x14ac:dyDescent="0.25">
      <c r="G611" s="235" t="str">
        <f t="shared" si="175"/>
        <v/>
      </c>
      <c r="H611" s="4" t="str">
        <f t="shared" si="176"/>
        <v/>
      </c>
      <c r="I611" s="11" t="str">
        <f t="shared" si="156"/>
        <v>09.00</v>
      </c>
      <c r="K611" s="30">
        <v>436</v>
      </c>
      <c r="L611" s="29">
        <f t="shared" si="169"/>
        <v>11371.908376190917</v>
      </c>
      <c r="M611" s="28" t="str">
        <f t="shared" si="157"/>
        <v/>
      </c>
      <c r="N611" s="27" t="str">
        <f t="shared" si="170"/>
        <v/>
      </c>
      <c r="O611" s="26" t="str">
        <f>IF(AND($Q610=$O$38,IFERROR(LARGE($V$176:$V610,1)&lt;$N$42,TRUE)),1,IF(AND(ISNUMBER($O610),$O610&lt;$N$32),$O610+1,""))</f>
        <v/>
      </c>
      <c r="P611" s="26" t="str">
        <f t="shared" si="171"/>
        <v/>
      </c>
      <c r="Q611" s="26" t="str">
        <f t="shared" si="158"/>
        <v/>
      </c>
      <c r="R611" s="24" t="str">
        <f t="shared" si="172"/>
        <v/>
      </c>
      <c r="S611" s="180">
        <f t="shared" si="173"/>
        <v>9</v>
      </c>
      <c r="T611" s="151"/>
      <c r="U611" s="25" t="str">
        <f t="shared" si="159"/>
        <v/>
      </c>
      <c r="V611" s="24" t="str">
        <f>IF(AND(ISNUMBER(R610),ISNUMBER(R611)),V610,IF(AND(R610="",ISNUMBER(R611)),IFERROR(LARGE($V$176:$V610,1)+1,0),""))</f>
        <v/>
      </c>
      <c r="W611" s="23" t="str">
        <f t="shared" si="160"/>
        <v/>
      </c>
      <c r="X611" s="22" t="str">
        <f t="shared" si="161"/>
        <v/>
      </c>
      <c r="Y611" s="22"/>
      <c r="Z611" s="22"/>
      <c r="AA611" s="22"/>
      <c r="AB611" s="22" t="str" cm="1">
        <f t="array" ref="AB611">IF(IF(AND($P610="",$P611=1),($N$37*-1),0)+IF(AND($Q610="",$Q611=1),($N$38*-1),0)+IF(IF(($K611-$N$48)&lt;1,0,IF(IF(INDEX($AD$176:$AD$905,($K611-$N$48))="",0,INDEX($AD$176:$AD$905,($K611-$N$48)))&gt;0,IF(INDEX($AD$176:$AD$905,($K611-$N$48))="",0,INDEX($AD$176:$AD$905,($K611-$N$48))),0))="",0,IF(($K611-$N$48)&lt;1,0,IF(IF(INDEX($AD$176:$AD$905,($K611-$N$48))="",0,INDEX($AD$176:$AD$905,($K611-$N$48)))&gt;0,IF(INDEX($AD$176:$AD$905,($K611-$N$48))="",0,INDEX($AD$176:$AD$905,($K611-$N$48))),0)))=0,"",IF(AND($P610="",$P611=1),($N$37*-1),0)+IF(AND($Q610="",$Q611=1),($N$38*-1),0)+IF(IF(($K611-$N$48)&lt;1,0,IF(IF(INDEX($AD$176:$AD$905,($K611-$N$48))="",0,INDEX($AD$176:$AD$905,($K611-$N$48)))&gt;0,IF(INDEX($AD$176:$AD$905,($K611-$N$48))="",0,INDEX($AD$176:$AD$905,($K611-$N$48))),0))="",0,IF(($K611-$N$48)&lt;1,0,IF(IF(INDEX($AD$176:$AD$905,($K611-$N$48))="",0,INDEX($AD$176:$AD$905,($K611-$N$48)))&gt;0,IF(INDEX($AD$176:$AD$905,($K611-$N$48))="",0,INDEX($AD$176:$AD$905,($K611-$N$48))),0))))</f>
        <v/>
      </c>
      <c r="AC611" s="22" t="str">
        <f t="shared" si="162"/>
        <v/>
      </c>
      <c r="AD611" s="22" t="str">
        <f t="shared" si="174"/>
        <v/>
      </c>
      <c r="AE611" s="22" t="str" cm="1">
        <f t="array" ref="AE611">IF(($K611-$N$48)&lt;1,"",IF((IF(INDEX($AC$176:$AC$905,($K611-$N$48))="",0,INDEX($AC$176:$AC$905,($K611-$N$48))))=0,"",(IF(INDEX($AC$176:$AC$905,($K611-$N$48))="",0,INDEX($AC$176:$AC$905,($K611-$N$48))))))</f>
        <v/>
      </c>
      <c r="AF611" s="31" t="str">
        <f t="shared" si="163"/>
        <v/>
      </c>
      <c r="AG611" s="31" t="str">
        <f t="shared" si="164"/>
        <v/>
      </c>
      <c r="AH611" s="31" t="str">
        <f t="shared" si="165"/>
        <v/>
      </c>
      <c r="AI611" s="31" t="str">
        <f t="shared" si="166"/>
        <v/>
      </c>
      <c r="AJ611" s="303" t="str">
        <f t="shared" si="167"/>
        <v/>
      </c>
      <c r="AK611" s="139" t="str">
        <f t="shared" si="168"/>
        <v/>
      </c>
      <c r="AM611" s="319"/>
      <c r="AN611" s="40"/>
      <c r="AO611" s="1"/>
    </row>
    <row r="612" spans="7:41" x14ac:dyDescent="0.25">
      <c r="G612" s="235" t="str">
        <f t="shared" si="175"/>
        <v/>
      </c>
      <c r="H612" s="4" t="str">
        <f t="shared" si="176"/>
        <v/>
      </c>
      <c r="I612" s="11" t="str">
        <f t="shared" si="156"/>
        <v>09.00</v>
      </c>
      <c r="K612" s="30">
        <v>437</v>
      </c>
      <c r="L612" s="29">
        <f t="shared" si="169"/>
        <v>11371.908376190917</v>
      </c>
      <c r="M612" s="28" t="str">
        <f t="shared" si="157"/>
        <v/>
      </c>
      <c r="N612" s="27" t="str">
        <f t="shared" si="170"/>
        <v/>
      </c>
      <c r="O612" s="26" t="str">
        <f>IF(AND($Q611=$O$38,IFERROR(LARGE($V$176:$V611,1)&lt;$N$42,TRUE)),1,IF(AND(ISNUMBER($O611),$O611&lt;$N$32),$O611+1,""))</f>
        <v/>
      </c>
      <c r="P612" s="26" t="str">
        <f t="shared" si="171"/>
        <v/>
      </c>
      <c r="Q612" s="26" t="str">
        <f t="shared" si="158"/>
        <v/>
      </c>
      <c r="R612" s="24" t="str">
        <f t="shared" si="172"/>
        <v/>
      </c>
      <c r="S612" s="180">
        <f t="shared" si="173"/>
        <v>9</v>
      </c>
      <c r="T612" s="151"/>
      <c r="U612" s="25" t="str">
        <f t="shared" si="159"/>
        <v/>
      </c>
      <c r="V612" s="24" t="str">
        <f>IF(AND(ISNUMBER(R611),ISNUMBER(R612)),V611,IF(AND(R611="",ISNUMBER(R612)),IFERROR(LARGE($V$176:$V611,1)+1,0),""))</f>
        <v/>
      </c>
      <c r="W612" s="23" t="str">
        <f t="shared" si="160"/>
        <v/>
      </c>
      <c r="X612" s="22" t="str">
        <f t="shared" si="161"/>
        <v/>
      </c>
      <c r="Y612" s="22"/>
      <c r="Z612" s="22"/>
      <c r="AA612" s="22"/>
      <c r="AB612" s="22" t="str" cm="1">
        <f t="array" ref="AB612">IF(IF(AND($P611="",$P612=1),($N$37*-1),0)+IF(AND($Q611="",$Q612=1),($N$38*-1),0)+IF(IF(($K612-$N$48)&lt;1,0,IF(IF(INDEX($AD$176:$AD$905,($K612-$N$48))="",0,INDEX($AD$176:$AD$905,($K612-$N$48)))&gt;0,IF(INDEX($AD$176:$AD$905,($K612-$N$48))="",0,INDEX($AD$176:$AD$905,($K612-$N$48))),0))="",0,IF(($K612-$N$48)&lt;1,0,IF(IF(INDEX($AD$176:$AD$905,($K612-$N$48))="",0,INDEX($AD$176:$AD$905,($K612-$N$48)))&gt;0,IF(INDEX($AD$176:$AD$905,($K612-$N$48))="",0,INDEX($AD$176:$AD$905,($K612-$N$48))),0)))=0,"",IF(AND($P611="",$P612=1),($N$37*-1),0)+IF(AND($Q611="",$Q612=1),($N$38*-1),0)+IF(IF(($K612-$N$48)&lt;1,0,IF(IF(INDEX($AD$176:$AD$905,($K612-$N$48))="",0,INDEX($AD$176:$AD$905,($K612-$N$48)))&gt;0,IF(INDEX($AD$176:$AD$905,($K612-$N$48))="",0,INDEX($AD$176:$AD$905,($K612-$N$48))),0))="",0,IF(($K612-$N$48)&lt;1,0,IF(IF(INDEX($AD$176:$AD$905,($K612-$N$48))="",0,INDEX($AD$176:$AD$905,($K612-$N$48)))&gt;0,IF(INDEX($AD$176:$AD$905,($K612-$N$48))="",0,INDEX($AD$176:$AD$905,($K612-$N$48))),0))))</f>
        <v/>
      </c>
      <c r="AC612" s="22" t="str">
        <f t="shared" si="162"/>
        <v/>
      </c>
      <c r="AD612" s="22" t="str">
        <f t="shared" si="174"/>
        <v/>
      </c>
      <c r="AE612" s="22" t="str" cm="1">
        <f t="array" ref="AE612">IF(($K612-$N$48)&lt;1,"",IF((IF(INDEX($AC$176:$AC$905,($K612-$N$48))="",0,INDEX($AC$176:$AC$905,($K612-$N$48))))=0,"",(IF(INDEX($AC$176:$AC$905,($K612-$N$48))="",0,INDEX($AC$176:$AC$905,($K612-$N$48))))))</f>
        <v/>
      </c>
      <c r="AF612" s="31" t="str">
        <f t="shared" si="163"/>
        <v/>
      </c>
      <c r="AG612" s="31" t="str">
        <f t="shared" si="164"/>
        <v/>
      </c>
      <c r="AH612" s="31" t="str">
        <f t="shared" si="165"/>
        <v/>
      </c>
      <c r="AI612" s="31" t="str">
        <f t="shared" si="166"/>
        <v/>
      </c>
      <c r="AJ612" s="303" t="str">
        <f t="shared" si="167"/>
        <v/>
      </c>
      <c r="AK612" s="139" t="str">
        <f t="shared" si="168"/>
        <v/>
      </c>
      <c r="AM612" s="319"/>
      <c r="AN612" s="40"/>
      <c r="AO612" s="1"/>
    </row>
    <row r="613" spans="7:41" x14ac:dyDescent="0.25">
      <c r="G613" s="235" t="str">
        <f t="shared" si="175"/>
        <v/>
      </c>
      <c r="H613" s="4" t="str">
        <f t="shared" si="176"/>
        <v/>
      </c>
      <c r="I613" s="11" t="str">
        <f t="shared" si="156"/>
        <v>09.00</v>
      </c>
      <c r="K613" s="30">
        <v>438</v>
      </c>
      <c r="L613" s="29">
        <f t="shared" si="169"/>
        <v>11371.908376190917</v>
      </c>
      <c r="M613" s="28" t="str">
        <f t="shared" si="157"/>
        <v/>
      </c>
      <c r="N613" s="27" t="str">
        <f t="shared" si="170"/>
        <v/>
      </c>
      <c r="O613" s="26" t="str">
        <f>IF(AND($Q612=$O$38,IFERROR(LARGE($V$176:$V612,1)&lt;$N$42,TRUE)),1,IF(AND(ISNUMBER($O612),$O612&lt;$N$32),$O612+1,""))</f>
        <v/>
      </c>
      <c r="P613" s="26" t="str">
        <f t="shared" si="171"/>
        <v/>
      </c>
      <c r="Q613" s="26" t="str">
        <f t="shared" si="158"/>
        <v/>
      </c>
      <c r="R613" s="24" t="str">
        <f t="shared" si="172"/>
        <v/>
      </c>
      <c r="S613" s="180">
        <f t="shared" si="173"/>
        <v>9</v>
      </c>
      <c r="T613" s="151"/>
      <c r="U613" s="25" t="str">
        <f t="shared" si="159"/>
        <v/>
      </c>
      <c r="V613" s="24" t="str">
        <f>IF(AND(ISNUMBER(R612),ISNUMBER(R613)),V612,IF(AND(R612="",ISNUMBER(R613)),IFERROR(LARGE($V$176:$V612,1)+1,0),""))</f>
        <v/>
      </c>
      <c r="W613" s="23" t="str">
        <f t="shared" si="160"/>
        <v/>
      </c>
      <c r="X613" s="22" t="str">
        <f t="shared" si="161"/>
        <v/>
      </c>
      <c r="Y613" s="22"/>
      <c r="Z613" s="22"/>
      <c r="AA613" s="22"/>
      <c r="AB613" s="22" t="str" cm="1">
        <f t="array" ref="AB613">IF(IF(AND($P612="",$P613=1),($N$37*-1),0)+IF(AND($Q612="",$Q613=1),($N$38*-1),0)+IF(IF(($K613-$N$48)&lt;1,0,IF(IF(INDEX($AD$176:$AD$905,($K613-$N$48))="",0,INDEX($AD$176:$AD$905,($K613-$N$48)))&gt;0,IF(INDEX($AD$176:$AD$905,($K613-$N$48))="",0,INDEX($AD$176:$AD$905,($K613-$N$48))),0))="",0,IF(($K613-$N$48)&lt;1,0,IF(IF(INDEX($AD$176:$AD$905,($K613-$N$48))="",0,INDEX($AD$176:$AD$905,($K613-$N$48)))&gt;0,IF(INDEX($AD$176:$AD$905,($K613-$N$48))="",0,INDEX($AD$176:$AD$905,($K613-$N$48))),0)))=0,"",IF(AND($P612="",$P613=1),($N$37*-1),0)+IF(AND($Q612="",$Q613=1),($N$38*-1),0)+IF(IF(($K613-$N$48)&lt;1,0,IF(IF(INDEX($AD$176:$AD$905,($K613-$N$48))="",0,INDEX($AD$176:$AD$905,($K613-$N$48)))&gt;0,IF(INDEX($AD$176:$AD$905,($K613-$N$48))="",0,INDEX($AD$176:$AD$905,($K613-$N$48))),0))="",0,IF(($K613-$N$48)&lt;1,0,IF(IF(INDEX($AD$176:$AD$905,($K613-$N$48))="",0,INDEX($AD$176:$AD$905,($K613-$N$48)))&gt;0,IF(INDEX($AD$176:$AD$905,($K613-$N$48))="",0,INDEX($AD$176:$AD$905,($K613-$N$48))),0))))</f>
        <v/>
      </c>
      <c r="AC613" s="22" t="str">
        <f t="shared" si="162"/>
        <v/>
      </c>
      <c r="AD613" s="22" t="str">
        <f t="shared" si="174"/>
        <v/>
      </c>
      <c r="AE613" s="22" t="str" cm="1">
        <f t="array" ref="AE613">IF(($K613-$N$48)&lt;1,"",IF((IF(INDEX($AC$176:$AC$905,($K613-$N$48))="",0,INDEX($AC$176:$AC$905,($K613-$N$48))))=0,"",(IF(INDEX($AC$176:$AC$905,($K613-$N$48))="",0,INDEX($AC$176:$AC$905,($K613-$N$48))))))</f>
        <v/>
      </c>
      <c r="AF613" s="31" t="str">
        <f t="shared" si="163"/>
        <v/>
      </c>
      <c r="AG613" s="31" t="str">
        <f t="shared" si="164"/>
        <v/>
      </c>
      <c r="AH613" s="31" t="str">
        <f t="shared" si="165"/>
        <v/>
      </c>
      <c r="AI613" s="31" t="str">
        <f t="shared" si="166"/>
        <v/>
      </c>
      <c r="AJ613" s="303" t="str">
        <f t="shared" si="167"/>
        <v/>
      </c>
      <c r="AK613" s="139" t="str">
        <f t="shared" si="168"/>
        <v/>
      </c>
      <c r="AM613" s="319"/>
      <c r="AN613" s="40"/>
      <c r="AO613" s="1"/>
    </row>
    <row r="614" spans="7:41" x14ac:dyDescent="0.25">
      <c r="G614" s="235" t="str">
        <f t="shared" si="175"/>
        <v/>
      </c>
      <c r="H614" s="4" t="str">
        <f t="shared" si="176"/>
        <v/>
      </c>
      <c r="I614" s="11" t="str">
        <f t="shared" si="156"/>
        <v>09.00</v>
      </c>
      <c r="K614" s="30">
        <v>439</v>
      </c>
      <c r="L614" s="29">
        <f t="shared" si="169"/>
        <v>11371.908376190917</v>
      </c>
      <c r="M614" s="28" t="str">
        <f t="shared" si="157"/>
        <v/>
      </c>
      <c r="N614" s="27" t="str">
        <f t="shared" si="170"/>
        <v/>
      </c>
      <c r="O614" s="26" t="str">
        <f>IF(AND($Q613=$O$38,IFERROR(LARGE($V$176:$V613,1)&lt;$N$42,TRUE)),1,IF(AND(ISNUMBER($O613),$O613&lt;$N$32),$O613+1,""))</f>
        <v/>
      </c>
      <c r="P614" s="26" t="str">
        <f t="shared" si="171"/>
        <v/>
      </c>
      <c r="Q614" s="26" t="str">
        <f t="shared" si="158"/>
        <v/>
      </c>
      <c r="R614" s="24" t="str">
        <f t="shared" si="172"/>
        <v/>
      </c>
      <c r="S614" s="180">
        <f t="shared" si="173"/>
        <v>9</v>
      </c>
      <c r="T614" s="151"/>
      <c r="U614" s="25" t="str">
        <f t="shared" si="159"/>
        <v/>
      </c>
      <c r="V614" s="24" t="str">
        <f>IF(AND(ISNUMBER(R613),ISNUMBER(R614)),V613,IF(AND(R613="",ISNUMBER(R614)),IFERROR(LARGE($V$176:$V613,1)+1,0),""))</f>
        <v/>
      </c>
      <c r="W614" s="23" t="str">
        <f t="shared" si="160"/>
        <v/>
      </c>
      <c r="X614" s="22" t="str">
        <f t="shared" si="161"/>
        <v/>
      </c>
      <c r="Y614" s="22"/>
      <c r="Z614" s="22"/>
      <c r="AA614" s="22"/>
      <c r="AB614" s="22" t="str" cm="1">
        <f t="array" ref="AB614">IF(IF(AND($P613="",$P614=1),($N$37*-1),0)+IF(AND($Q613="",$Q614=1),($N$38*-1),0)+IF(IF(($K614-$N$48)&lt;1,0,IF(IF(INDEX($AD$176:$AD$905,($K614-$N$48))="",0,INDEX($AD$176:$AD$905,($K614-$N$48)))&gt;0,IF(INDEX($AD$176:$AD$905,($K614-$N$48))="",0,INDEX($AD$176:$AD$905,($K614-$N$48))),0))="",0,IF(($K614-$N$48)&lt;1,0,IF(IF(INDEX($AD$176:$AD$905,($K614-$N$48))="",0,INDEX($AD$176:$AD$905,($K614-$N$48)))&gt;0,IF(INDEX($AD$176:$AD$905,($K614-$N$48))="",0,INDEX($AD$176:$AD$905,($K614-$N$48))),0)))=0,"",IF(AND($P613="",$P614=1),($N$37*-1),0)+IF(AND($Q613="",$Q614=1),($N$38*-1),0)+IF(IF(($K614-$N$48)&lt;1,0,IF(IF(INDEX($AD$176:$AD$905,($K614-$N$48))="",0,INDEX($AD$176:$AD$905,($K614-$N$48)))&gt;0,IF(INDEX($AD$176:$AD$905,($K614-$N$48))="",0,INDEX($AD$176:$AD$905,($K614-$N$48))),0))="",0,IF(($K614-$N$48)&lt;1,0,IF(IF(INDEX($AD$176:$AD$905,($K614-$N$48))="",0,INDEX($AD$176:$AD$905,($K614-$N$48)))&gt;0,IF(INDEX($AD$176:$AD$905,($K614-$N$48))="",0,INDEX($AD$176:$AD$905,($K614-$N$48))),0))))</f>
        <v/>
      </c>
      <c r="AC614" s="22" t="str">
        <f t="shared" si="162"/>
        <v/>
      </c>
      <c r="AD614" s="22" t="str">
        <f t="shared" si="174"/>
        <v/>
      </c>
      <c r="AE614" s="22" t="str" cm="1">
        <f t="array" ref="AE614">IF(($K614-$N$48)&lt;1,"",IF((IF(INDEX($AC$176:$AC$905,($K614-$N$48))="",0,INDEX($AC$176:$AC$905,($K614-$N$48))))=0,"",(IF(INDEX($AC$176:$AC$905,($K614-$N$48))="",0,INDEX($AC$176:$AC$905,($K614-$N$48))))))</f>
        <v/>
      </c>
      <c r="AF614" s="31" t="str">
        <f t="shared" si="163"/>
        <v/>
      </c>
      <c r="AG614" s="31" t="str">
        <f t="shared" si="164"/>
        <v/>
      </c>
      <c r="AH614" s="31" t="str">
        <f t="shared" si="165"/>
        <v/>
      </c>
      <c r="AI614" s="31" t="str">
        <f t="shared" si="166"/>
        <v/>
      </c>
      <c r="AJ614" s="303" t="str">
        <f t="shared" si="167"/>
        <v/>
      </c>
      <c r="AK614" s="139" t="str">
        <f t="shared" si="168"/>
        <v/>
      </c>
      <c r="AM614" s="319"/>
      <c r="AN614" s="40"/>
      <c r="AO614" s="1"/>
    </row>
    <row r="615" spans="7:41" x14ac:dyDescent="0.25">
      <c r="G615" s="235" t="str">
        <f t="shared" si="175"/>
        <v/>
      </c>
      <c r="H615" s="4" t="str">
        <f t="shared" si="176"/>
        <v/>
      </c>
      <c r="I615" s="11" t="str">
        <f t="shared" si="156"/>
        <v>09.00</v>
      </c>
      <c r="K615" s="30">
        <v>440</v>
      </c>
      <c r="L615" s="29">
        <f t="shared" si="169"/>
        <v>11371.908376190917</v>
      </c>
      <c r="M615" s="28" t="str">
        <f t="shared" si="157"/>
        <v/>
      </c>
      <c r="N615" s="27" t="str">
        <f t="shared" si="170"/>
        <v/>
      </c>
      <c r="O615" s="26" t="str">
        <f>IF(AND($Q614=$O$38,IFERROR(LARGE($V$176:$V614,1)&lt;$N$42,TRUE)),1,IF(AND(ISNUMBER($O614),$O614&lt;$N$32),$O614+1,""))</f>
        <v/>
      </c>
      <c r="P615" s="26" t="str">
        <f t="shared" si="171"/>
        <v/>
      </c>
      <c r="Q615" s="26" t="str">
        <f t="shared" si="158"/>
        <v/>
      </c>
      <c r="R615" s="24" t="str">
        <f t="shared" si="172"/>
        <v/>
      </c>
      <c r="S615" s="180">
        <f t="shared" si="173"/>
        <v>9</v>
      </c>
      <c r="T615" s="151"/>
      <c r="U615" s="25" t="str">
        <f t="shared" si="159"/>
        <v/>
      </c>
      <c r="V615" s="24" t="str">
        <f>IF(AND(ISNUMBER(R614),ISNUMBER(R615)),V614,IF(AND(R614="",ISNUMBER(R615)),IFERROR(LARGE($V$176:$V614,1)+1,0),""))</f>
        <v/>
      </c>
      <c r="W615" s="23" t="str">
        <f t="shared" si="160"/>
        <v/>
      </c>
      <c r="X615" s="22" t="str">
        <f t="shared" si="161"/>
        <v/>
      </c>
      <c r="Y615" s="22"/>
      <c r="Z615" s="22"/>
      <c r="AA615" s="22"/>
      <c r="AB615" s="22" t="str" cm="1">
        <f t="array" ref="AB615">IF(IF(AND($P614="",$P615=1),($N$37*-1),0)+IF(AND($Q614="",$Q615=1),($N$38*-1),0)+IF(IF(($K615-$N$48)&lt;1,0,IF(IF(INDEX($AD$176:$AD$905,($K615-$N$48))="",0,INDEX($AD$176:$AD$905,($K615-$N$48)))&gt;0,IF(INDEX($AD$176:$AD$905,($K615-$N$48))="",0,INDEX($AD$176:$AD$905,($K615-$N$48))),0))="",0,IF(($K615-$N$48)&lt;1,0,IF(IF(INDEX($AD$176:$AD$905,($K615-$N$48))="",0,INDEX($AD$176:$AD$905,($K615-$N$48)))&gt;0,IF(INDEX($AD$176:$AD$905,($K615-$N$48))="",0,INDEX($AD$176:$AD$905,($K615-$N$48))),0)))=0,"",IF(AND($P614="",$P615=1),($N$37*-1),0)+IF(AND($Q614="",$Q615=1),($N$38*-1),0)+IF(IF(($K615-$N$48)&lt;1,0,IF(IF(INDEX($AD$176:$AD$905,($K615-$N$48))="",0,INDEX($AD$176:$AD$905,($K615-$N$48)))&gt;0,IF(INDEX($AD$176:$AD$905,($K615-$N$48))="",0,INDEX($AD$176:$AD$905,($K615-$N$48))),0))="",0,IF(($K615-$N$48)&lt;1,0,IF(IF(INDEX($AD$176:$AD$905,($K615-$N$48))="",0,INDEX($AD$176:$AD$905,($K615-$N$48)))&gt;0,IF(INDEX($AD$176:$AD$905,($K615-$N$48))="",0,INDEX($AD$176:$AD$905,($K615-$N$48))),0))))</f>
        <v/>
      </c>
      <c r="AC615" s="22" t="str">
        <f t="shared" si="162"/>
        <v/>
      </c>
      <c r="AD615" s="22" t="str">
        <f t="shared" si="174"/>
        <v/>
      </c>
      <c r="AE615" s="22" t="str" cm="1">
        <f t="array" ref="AE615">IF(($K615-$N$48)&lt;1,"",IF((IF(INDEX($AC$176:$AC$905,($K615-$N$48))="",0,INDEX($AC$176:$AC$905,($K615-$N$48))))=0,"",(IF(INDEX($AC$176:$AC$905,($K615-$N$48))="",0,INDEX($AC$176:$AC$905,($K615-$N$48))))))</f>
        <v/>
      </c>
      <c r="AF615" s="31" t="str">
        <f t="shared" si="163"/>
        <v/>
      </c>
      <c r="AG615" s="31" t="str">
        <f t="shared" si="164"/>
        <v/>
      </c>
      <c r="AH615" s="31" t="str">
        <f t="shared" si="165"/>
        <v/>
      </c>
      <c r="AI615" s="31" t="str">
        <f t="shared" si="166"/>
        <v/>
      </c>
      <c r="AJ615" s="303" t="str">
        <f t="shared" si="167"/>
        <v/>
      </c>
      <c r="AK615" s="139" t="str">
        <f t="shared" si="168"/>
        <v/>
      </c>
      <c r="AM615" s="319"/>
      <c r="AN615" s="40"/>
      <c r="AO615" s="1"/>
    </row>
    <row r="616" spans="7:41" x14ac:dyDescent="0.25">
      <c r="G616" s="235" t="str">
        <f t="shared" si="175"/>
        <v/>
      </c>
      <c r="H616" s="4" t="str">
        <f t="shared" si="176"/>
        <v/>
      </c>
      <c r="I616" s="11" t="str">
        <f t="shared" si="156"/>
        <v>09.00</v>
      </c>
      <c r="K616" s="30">
        <v>441</v>
      </c>
      <c r="L616" s="29">
        <f t="shared" si="169"/>
        <v>11371.908376190917</v>
      </c>
      <c r="M616" s="28" t="str">
        <f t="shared" si="157"/>
        <v/>
      </c>
      <c r="N616" s="27" t="str">
        <f t="shared" si="170"/>
        <v/>
      </c>
      <c r="O616" s="26" t="str">
        <f>IF(AND($Q615=$O$38,IFERROR(LARGE($V$176:$V615,1)&lt;$N$42,TRUE)),1,IF(AND(ISNUMBER($O615),$O615&lt;$N$32),$O615+1,""))</f>
        <v/>
      </c>
      <c r="P616" s="26" t="str">
        <f t="shared" si="171"/>
        <v/>
      </c>
      <c r="Q616" s="26" t="str">
        <f t="shared" si="158"/>
        <v/>
      </c>
      <c r="R616" s="24" t="str">
        <f t="shared" si="172"/>
        <v/>
      </c>
      <c r="S616" s="180">
        <f t="shared" si="173"/>
        <v>9</v>
      </c>
      <c r="T616" s="151"/>
      <c r="U616" s="25" t="str">
        <f t="shared" si="159"/>
        <v/>
      </c>
      <c r="V616" s="24" t="str">
        <f>IF(AND(ISNUMBER(R615),ISNUMBER(R616)),V615,IF(AND(R615="",ISNUMBER(R616)),IFERROR(LARGE($V$176:$V615,1)+1,0),""))</f>
        <v/>
      </c>
      <c r="W616" s="23" t="str">
        <f t="shared" si="160"/>
        <v/>
      </c>
      <c r="X616" s="22" t="str">
        <f t="shared" si="161"/>
        <v/>
      </c>
      <c r="Y616" s="22"/>
      <c r="Z616" s="22"/>
      <c r="AA616" s="22"/>
      <c r="AB616" s="22" t="str" cm="1">
        <f t="array" ref="AB616">IF(IF(AND($P615="",$P616=1),($N$37*-1),0)+IF(AND($Q615="",$Q616=1),($N$38*-1),0)+IF(IF(($K616-$N$48)&lt;1,0,IF(IF(INDEX($AD$176:$AD$905,($K616-$N$48))="",0,INDEX($AD$176:$AD$905,($K616-$N$48)))&gt;0,IF(INDEX($AD$176:$AD$905,($K616-$N$48))="",0,INDEX($AD$176:$AD$905,($K616-$N$48))),0))="",0,IF(($K616-$N$48)&lt;1,0,IF(IF(INDEX($AD$176:$AD$905,($K616-$N$48))="",0,INDEX($AD$176:$AD$905,($K616-$N$48)))&gt;0,IF(INDEX($AD$176:$AD$905,($K616-$N$48))="",0,INDEX($AD$176:$AD$905,($K616-$N$48))),0)))=0,"",IF(AND($P615="",$P616=1),($N$37*-1),0)+IF(AND($Q615="",$Q616=1),($N$38*-1),0)+IF(IF(($K616-$N$48)&lt;1,0,IF(IF(INDEX($AD$176:$AD$905,($K616-$N$48))="",0,INDEX($AD$176:$AD$905,($K616-$N$48)))&gt;0,IF(INDEX($AD$176:$AD$905,($K616-$N$48))="",0,INDEX($AD$176:$AD$905,($K616-$N$48))),0))="",0,IF(($K616-$N$48)&lt;1,0,IF(IF(INDEX($AD$176:$AD$905,($K616-$N$48))="",0,INDEX($AD$176:$AD$905,($K616-$N$48)))&gt;0,IF(INDEX($AD$176:$AD$905,($K616-$N$48))="",0,INDEX($AD$176:$AD$905,($K616-$N$48))),0))))</f>
        <v/>
      </c>
      <c r="AC616" s="22" t="str">
        <f t="shared" si="162"/>
        <v/>
      </c>
      <c r="AD616" s="22" t="str">
        <f t="shared" si="174"/>
        <v/>
      </c>
      <c r="AE616" s="22" t="str" cm="1">
        <f t="array" ref="AE616">IF(($K616-$N$48)&lt;1,"",IF((IF(INDEX($AC$176:$AC$905,($K616-$N$48))="",0,INDEX($AC$176:$AC$905,($K616-$N$48))))=0,"",(IF(INDEX($AC$176:$AC$905,($K616-$N$48))="",0,INDEX($AC$176:$AC$905,($K616-$N$48))))))</f>
        <v/>
      </c>
      <c r="AF616" s="31" t="str">
        <f t="shared" si="163"/>
        <v/>
      </c>
      <c r="AG616" s="31" t="str">
        <f t="shared" si="164"/>
        <v/>
      </c>
      <c r="AH616" s="31" t="str">
        <f t="shared" si="165"/>
        <v/>
      </c>
      <c r="AI616" s="31" t="str">
        <f t="shared" si="166"/>
        <v/>
      </c>
      <c r="AJ616" s="303" t="str">
        <f t="shared" si="167"/>
        <v/>
      </c>
      <c r="AK616" s="139" t="str">
        <f t="shared" si="168"/>
        <v/>
      </c>
      <c r="AM616" s="319"/>
      <c r="AN616" s="40"/>
      <c r="AO616" s="1"/>
    </row>
    <row r="617" spans="7:41" x14ac:dyDescent="0.25">
      <c r="G617" s="235" t="str">
        <f t="shared" si="175"/>
        <v/>
      </c>
      <c r="H617" s="4" t="str">
        <f t="shared" si="176"/>
        <v/>
      </c>
      <c r="I617" s="11" t="str">
        <f t="shared" si="156"/>
        <v>09.00</v>
      </c>
      <c r="K617" s="30">
        <v>442</v>
      </c>
      <c r="L617" s="29">
        <f t="shared" si="169"/>
        <v>11371.908376190917</v>
      </c>
      <c r="M617" s="28" t="str">
        <f t="shared" si="157"/>
        <v/>
      </c>
      <c r="N617" s="27" t="str">
        <f t="shared" si="170"/>
        <v/>
      </c>
      <c r="O617" s="26" t="str">
        <f>IF(AND($Q616=$O$38,IFERROR(LARGE($V$176:$V616,1)&lt;$N$42,TRUE)),1,IF(AND(ISNUMBER($O616),$O616&lt;$N$32),$O616+1,""))</f>
        <v/>
      </c>
      <c r="P617" s="26" t="str">
        <f t="shared" si="171"/>
        <v/>
      </c>
      <c r="Q617" s="26" t="str">
        <f t="shared" si="158"/>
        <v/>
      </c>
      <c r="R617" s="24" t="str">
        <f t="shared" si="172"/>
        <v/>
      </c>
      <c r="S617" s="180">
        <f t="shared" si="173"/>
        <v>9</v>
      </c>
      <c r="T617" s="151"/>
      <c r="U617" s="25" t="str">
        <f t="shared" si="159"/>
        <v/>
      </c>
      <c r="V617" s="24" t="str">
        <f>IF(AND(ISNUMBER(R616),ISNUMBER(R617)),V616,IF(AND(R616="",ISNUMBER(R617)),IFERROR(LARGE($V$176:$V616,1)+1,0),""))</f>
        <v/>
      </c>
      <c r="W617" s="23" t="str">
        <f t="shared" si="160"/>
        <v/>
      </c>
      <c r="X617" s="22" t="str">
        <f t="shared" si="161"/>
        <v/>
      </c>
      <c r="Y617" s="22"/>
      <c r="Z617" s="22"/>
      <c r="AA617" s="22"/>
      <c r="AB617" s="22" t="str" cm="1">
        <f t="array" ref="AB617">IF(IF(AND($P616="",$P617=1),($N$37*-1),0)+IF(AND($Q616="",$Q617=1),($N$38*-1),0)+IF(IF(($K617-$N$48)&lt;1,0,IF(IF(INDEX($AD$176:$AD$905,($K617-$N$48))="",0,INDEX($AD$176:$AD$905,($K617-$N$48)))&gt;0,IF(INDEX($AD$176:$AD$905,($K617-$N$48))="",0,INDEX($AD$176:$AD$905,($K617-$N$48))),0))="",0,IF(($K617-$N$48)&lt;1,0,IF(IF(INDEX($AD$176:$AD$905,($K617-$N$48))="",0,INDEX($AD$176:$AD$905,($K617-$N$48)))&gt;0,IF(INDEX($AD$176:$AD$905,($K617-$N$48))="",0,INDEX($AD$176:$AD$905,($K617-$N$48))),0)))=0,"",IF(AND($P616="",$P617=1),($N$37*-1),0)+IF(AND($Q616="",$Q617=1),($N$38*-1),0)+IF(IF(($K617-$N$48)&lt;1,0,IF(IF(INDEX($AD$176:$AD$905,($K617-$N$48))="",0,INDEX($AD$176:$AD$905,($K617-$N$48)))&gt;0,IF(INDEX($AD$176:$AD$905,($K617-$N$48))="",0,INDEX($AD$176:$AD$905,($K617-$N$48))),0))="",0,IF(($K617-$N$48)&lt;1,0,IF(IF(INDEX($AD$176:$AD$905,($K617-$N$48))="",0,INDEX($AD$176:$AD$905,($K617-$N$48)))&gt;0,IF(INDEX($AD$176:$AD$905,($K617-$N$48))="",0,INDEX($AD$176:$AD$905,($K617-$N$48))),0))))</f>
        <v/>
      </c>
      <c r="AC617" s="22" t="str">
        <f t="shared" si="162"/>
        <v/>
      </c>
      <c r="AD617" s="22" t="str">
        <f t="shared" si="174"/>
        <v/>
      </c>
      <c r="AE617" s="22" t="str" cm="1">
        <f t="array" ref="AE617">IF(($K617-$N$48)&lt;1,"",IF((IF(INDEX($AC$176:$AC$905,($K617-$N$48))="",0,INDEX($AC$176:$AC$905,($K617-$N$48))))=0,"",(IF(INDEX($AC$176:$AC$905,($K617-$N$48))="",0,INDEX($AC$176:$AC$905,($K617-$N$48))))))</f>
        <v/>
      </c>
      <c r="AF617" s="31" t="str">
        <f t="shared" si="163"/>
        <v/>
      </c>
      <c r="AG617" s="31" t="str">
        <f t="shared" si="164"/>
        <v/>
      </c>
      <c r="AH617" s="31" t="str">
        <f t="shared" si="165"/>
        <v/>
      </c>
      <c r="AI617" s="31" t="str">
        <f t="shared" si="166"/>
        <v/>
      </c>
      <c r="AJ617" s="303" t="str">
        <f t="shared" si="167"/>
        <v/>
      </c>
      <c r="AK617" s="139" t="str">
        <f t="shared" si="168"/>
        <v/>
      </c>
      <c r="AM617" s="319"/>
      <c r="AN617" s="40"/>
      <c r="AO617" s="1"/>
    </row>
    <row r="618" spans="7:41" x14ac:dyDescent="0.25">
      <c r="G618" s="235" t="str">
        <f t="shared" si="175"/>
        <v/>
      </c>
      <c r="H618" s="4" t="str">
        <f t="shared" si="176"/>
        <v/>
      </c>
      <c r="I618" s="11" t="str">
        <f t="shared" si="156"/>
        <v>09.00</v>
      </c>
      <c r="K618" s="30">
        <v>443</v>
      </c>
      <c r="L618" s="29">
        <f t="shared" si="169"/>
        <v>11371.908376190917</v>
      </c>
      <c r="M618" s="28" t="str">
        <f t="shared" si="157"/>
        <v/>
      </c>
      <c r="N618" s="27" t="str">
        <f t="shared" si="170"/>
        <v/>
      </c>
      <c r="O618" s="26" t="str">
        <f>IF(AND($Q617=$O$38,IFERROR(LARGE($V$176:$V617,1)&lt;$N$42,TRUE)),1,IF(AND(ISNUMBER($O617),$O617&lt;$N$32),$O617+1,""))</f>
        <v/>
      </c>
      <c r="P618" s="26" t="str">
        <f t="shared" si="171"/>
        <v/>
      </c>
      <c r="Q618" s="26" t="str">
        <f t="shared" si="158"/>
        <v/>
      </c>
      <c r="R618" s="24" t="str">
        <f t="shared" si="172"/>
        <v/>
      </c>
      <c r="S618" s="180">
        <f t="shared" si="173"/>
        <v>9</v>
      </c>
      <c r="T618" s="151"/>
      <c r="U618" s="25" t="str">
        <f t="shared" si="159"/>
        <v/>
      </c>
      <c r="V618" s="24" t="str">
        <f>IF(AND(ISNUMBER(R617),ISNUMBER(R618)),V617,IF(AND(R617="",ISNUMBER(R618)),IFERROR(LARGE($V$176:$V617,1)+1,0),""))</f>
        <v/>
      </c>
      <c r="W618" s="23" t="str">
        <f t="shared" si="160"/>
        <v/>
      </c>
      <c r="X618" s="22" t="str">
        <f t="shared" si="161"/>
        <v/>
      </c>
      <c r="Y618" s="22"/>
      <c r="Z618" s="22"/>
      <c r="AA618" s="22"/>
      <c r="AB618" s="22" t="str" cm="1">
        <f t="array" ref="AB618">IF(IF(AND($P617="",$P618=1),($N$37*-1),0)+IF(AND($Q617="",$Q618=1),($N$38*-1),0)+IF(IF(($K618-$N$48)&lt;1,0,IF(IF(INDEX($AD$176:$AD$905,($K618-$N$48))="",0,INDEX($AD$176:$AD$905,($K618-$N$48)))&gt;0,IF(INDEX($AD$176:$AD$905,($K618-$N$48))="",0,INDEX($AD$176:$AD$905,($K618-$N$48))),0))="",0,IF(($K618-$N$48)&lt;1,0,IF(IF(INDEX($AD$176:$AD$905,($K618-$N$48))="",0,INDEX($AD$176:$AD$905,($K618-$N$48)))&gt;0,IF(INDEX($AD$176:$AD$905,($K618-$N$48))="",0,INDEX($AD$176:$AD$905,($K618-$N$48))),0)))=0,"",IF(AND($P617="",$P618=1),($N$37*-1),0)+IF(AND($Q617="",$Q618=1),($N$38*-1),0)+IF(IF(($K618-$N$48)&lt;1,0,IF(IF(INDEX($AD$176:$AD$905,($K618-$N$48))="",0,INDEX($AD$176:$AD$905,($K618-$N$48)))&gt;0,IF(INDEX($AD$176:$AD$905,($K618-$N$48))="",0,INDEX($AD$176:$AD$905,($K618-$N$48))),0))="",0,IF(($K618-$N$48)&lt;1,0,IF(IF(INDEX($AD$176:$AD$905,($K618-$N$48))="",0,INDEX($AD$176:$AD$905,($K618-$N$48)))&gt;0,IF(INDEX($AD$176:$AD$905,($K618-$N$48))="",0,INDEX($AD$176:$AD$905,($K618-$N$48))),0))))</f>
        <v/>
      </c>
      <c r="AC618" s="22" t="str">
        <f t="shared" si="162"/>
        <v/>
      </c>
      <c r="AD618" s="22" t="str">
        <f t="shared" si="174"/>
        <v/>
      </c>
      <c r="AE618" s="22" t="str" cm="1">
        <f t="array" ref="AE618">IF(($K618-$N$48)&lt;1,"",IF((IF(INDEX($AC$176:$AC$905,($K618-$N$48))="",0,INDEX($AC$176:$AC$905,($K618-$N$48))))=0,"",(IF(INDEX($AC$176:$AC$905,($K618-$N$48))="",0,INDEX($AC$176:$AC$905,($K618-$N$48))))))</f>
        <v/>
      </c>
      <c r="AF618" s="31" t="str">
        <f t="shared" si="163"/>
        <v/>
      </c>
      <c r="AG618" s="31" t="str">
        <f t="shared" si="164"/>
        <v/>
      </c>
      <c r="AH618" s="31" t="str">
        <f t="shared" si="165"/>
        <v/>
      </c>
      <c r="AI618" s="31" t="str">
        <f t="shared" si="166"/>
        <v/>
      </c>
      <c r="AJ618" s="303" t="str">
        <f t="shared" si="167"/>
        <v/>
      </c>
      <c r="AK618" s="139" t="str">
        <f t="shared" si="168"/>
        <v/>
      </c>
      <c r="AM618" s="319"/>
      <c r="AN618" s="40"/>
      <c r="AO618" s="1"/>
    </row>
    <row r="619" spans="7:41" x14ac:dyDescent="0.25">
      <c r="G619" s="235" t="str">
        <f t="shared" si="175"/>
        <v/>
      </c>
      <c r="H619" s="4" t="str">
        <f t="shared" si="176"/>
        <v/>
      </c>
      <c r="I619" s="11" t="str">
        <f t="shared" si="156"/>
        <v>09.00</v>
      </c>
      <c r="K619" s="30">
        <v>444</v>
      </c>
      <c r="L619" s="29">
        <f t="shared" si="169"/>
        <v>11371.908376190917</v>
      </c>
      <c r="M619" s="28" t="str">
        <f t="shared" si="157"/>
        <v/>
      </c>
      <c r="N619" s="27" t="str">
        <f t="shared" si="170"/>
        <v/>
      </c>
      <c r="O619" s="26" t="str">
        <f>IF(AND($Q618=$O$38,IFERROR(LARGE($V$176:$V618,1)&lt;$N$42,TRUE)),1,IF(AND(ISNUMBER($O618),$O618&lt;$N$32),$O618+1,""))</f>
        <v/>
      </c>
      <c r="P619" s="26" t="str">
        <f t="shared" si="171"/>
        <v/>
      </c>
      <c r="Q619" s="26" t="str">
        <f t="shared" si="158"/>
        <v/>
      </c>
      <c r="R619" s="24" t="str">
        <f t="shared" si="172"/>
        <v/>
      </c>
      <c r="S619" s="180">
        <f t="shared" si="173"/>
        <v>9</v>
      </c>
      <c r="T619" s="151"/>
      <c r="U619" s="25" t="str">
        <f t="shared" si="159"/>
        <v/>
      </c>
      <c r="V619" s="24" t="str">
        <f>IF(AND(ISNUMBER(R618),ISNUMBER(R619)),V618,IF(AND(R618="",ISNUMBER(R619)),IFERROR(LARGE($V$176:$V618,1)+1,0),""))</f>
        <v/>
      </c>
      <c r="W619" s="23" t="str">
        <f t="shared" si="160"/>
        <v/>
      </c>
      <c r="X619" s="22" t="str">
        <f t="shared" si="161"/>
        <v/>
      </c>
      <c r="Y619" s="22"/>
      <c r="Z619" s="22"/>
      <c r="AA619" s="22"/>
      <c r="AB619" s="22" t="str" cm="1">
        <f t="array" ref="AB619">IF(IF(AND($P618="",$P619=1),($N$37*-1),0)+IF(AND($Q618="",$Q619=1),($N$38*-1),0)+IF(IF(($K619-$N$48)&lt;1,0,IF(IF(INDEX($AD$176:$AD$905,($K619-$N$48))="",0,INDEX($AD$176:$AD$905,($K619-$N$48)))&gt;0,IF(INDEX($AD$176:$AD$905,($K619-$N$48))="",0,INDEX($AD$176:$AD$905,($K619-$N$48))),0))="",0,IF(($K619-$N$48)&lt;1,0,IF(IF(INDEX($AD$176:$AD$905,($K619-$N$48))="",0,INDEX($AD$176:$AD$905,($K619-$N$48)))&gt;0,IF(INDEX($AD$176:$AD$905,($K619-$N$48))="",0,INDEX($AD$176:$AD$905,($K619-$N$48))),0)))=0,"",IF(AND($P618="",$P619=1),($N$37*-1),0)+IF(AND($Q618="",$Q619=1),($N$38*-1),0)+IF(IF(($K619-$N$48)&lt;1,0,IF(IF(INDEX($AD$176:$AD$905,($K619-$N$48))="",0,INDEX($AD$176:$AD$905,($K619-$N$48)))&gt;0,IF(INDEX($AD$176:$AD$905,($K619-$N$48))="",0,INDEX($AD$176:$AD$905,($K619-$N$48))),0))="",0,IF(($K619-$N$48)&lt;1,0,IF(IF(INDEX($AD$176:$AD$905,($K619-$N$48))="",0,INDEX($AD$176:$AD$905,($K619-$N$48)))&gt;0,IF(INDEX($AD$176:$AD$905,($K619-$N$48))="",0,INDEX($AD$176:$AD$905,($K619-$N$48))),0))))</f>
        <v/>
      </c>
      <c r="AC619" s="22" t="str">
        <f t="shared" si="162"/>
        <v/>
      </c>
      <c r="AD619" s="22" t="str">
        <f t="shared" si="174"/>
        <v/>
      </c>
      <c r="AE619" s="22" t="str" cm="1">
        <f t="array" ref="AE619">IF(($K619-$N$48)&lt;1,"",IF((IF(INDEX($AC$176:$AC$905,($K619-$N$48))="",0,INDEX($AC$176:$AC$905,($K619-$N$48))))=0,"",(IF(INDEX($AC$176:$AC$905,($K619-$N$48))="",0,INDEX($AC$176:$AC$905,($K619-$N$48))))))</f>
        <v/>
      </c>
      <c r="AF619" s="31" t="str">
        <f t="shared" si="163"/>
        <v/>
      </c>
      <c r="AG619" s="31" t="str">
        <f t="shared" si="164"/>
        <v/>
      </c>
      <c r="AH619" s="31" t="str">
        <f t="shared" si="165"/>
        <v/>
      </c>
      <c r="AI619" s="31" t="str">
        <f t="shared" si="166"/>
        <v/>
      </c>
      <c r="AJ619" s="303" t="str">
        <f t="shared" si="167"/>
        <v/>
      </c>
      <c r="AK619" s="139" t="str">
        <f t="shared" si="168"/>
        <v/>
      </c>
      <c r="AM619" s="319"/>
      <c r="AN619" s="40"/>
      <c r="AO619" s="1"/>
    </row>
    <row r="620" spans="7:41" x14ac:dyDescent="0.25">
      <c r="G620" s="235" t="str">
        <f t="shared" si="175"/>
        <v/>
      </c>
      <c r="H620" s="4" t="str">
        <f t="shared" si="176"/>
        <v/>
      </c>
      <c r="I620" s="11" t="str">
        <f t="shared" si="156"/>
        <v>09.00</v>
      </c>
      <c r="K620" s="30">
        <v>445</v>
      </c>
      <c r="L620" s="29">
        <f t="shared" si="169"/>
        <v>11371.908376190917</v>
      </c>
      <c r="M620" s="28" t="str">
        <f t="shared" si="157"/>
        <v/>
      </c>
      <c r="N620" s="27" t="str">
        <f t="shared" si="170"/>
        <v/>
      </c>
      <c r="O620" s="26" t="str">
        <f>IF(AND($Q619=$O$38,IFERROR(LARGE($V$176:$V619,1)&lt;$N$42,TRUE)),1,IF(AND(ISNUMBER($O619),$O619&lt;$N$32),$O619+1,""))</f>
        <v/>
      </c>
      <c r="P620" s="26" t="str">
        <f t="shared" si="171"/>
        <v/>
      </c>
      <c r="Q620" s="26" t="str">
        <f t="shared" si="158"/>
        <v/>
      </c>
      <c r="R620" s="24" t="str">
        <f t="shared" si="172"/>
        <v/>
      </c>
      <c r="S620" s="180">
        <f t="shared" si="173"/>
        <v>9</v>
      </c>
      <c r="T620" s="151"/>
      <c r="U620" s="25" t="str">
        <f t="shared" si="159"/>
        <v/>
      </c>
      <c r="V620" s="24" t="str">
        <f>IF(AND(ISNUMBER(R619),ISNUMBER(R620)),V619,IF(AND(R619="",ISNUMBER(R620)),IFERROR(LARGE($V$176:$V619,1)+1,0),""))</f>
        <v/>
      </c>
      <c r="W620" s="23" t="str">
        <f t="shared" si="160"/>
        <v/>
      </c>
      <c r="X620" s="22" t="str">
        <f t="shared" si="161"/>
        <v/>
      </c>
      <c r="Y620" s="22"/>
      <c r="Z620" s="22"/>
      <c r="AA620" s="22"/>
      <c r="AB620" s="22" t="str" cm="1">
        <f t="array" ref="AB620">IF(IF(AND($P619="",$P620=1),($N$37*-1),0)+IF(AND($Q619="",$Q620=1),($N$38*-1),0)+IF(IF(($K620-$N$48)&lt;1,0,IF(IF(INDEX($AD$176:$AD$905,($K620-$N$48))="",0,INDEX($AD$176:$AD$905,($K620-$N$48)))&gt;0,IF(INDEX($AD$176:$AD$905,($K620-$N$48))="",0,INDEX($AD$176:$AD$905,($K620-$N$48))),0))="",0,IF(($K620-$N$48)&lt;1,0,IF(IF(INDEX($AD$176:$AD$905,($K620-$N$48))="",0,INDEX($AD$176:$AD$905,($K620-$N$48)))&gt;0,IF(INDEX($AD$176:$AD$905,($K620-$N$48))="",0,INDEX($AD$176:$AD$905,($K620-$N$48))),0)))=0,"",IF(AND($P619="",$P620=1),($N$37*-1),0)+IF(AND($Q619="",$Q620=1),($N$38*-1),0)+IF(IF(($K620-$N$48)&lt;1,0,IF(IF(INDEX($AD$176:$AD$905,($K620-$N$48))="",0,INDEX($AD$176:$AD$905,($K620-$N$48)))&gt;0,IF(INDEX($AD$176:$AD$905,($K620-$N$48))="",0,INDEX($AD$176:$AD$905,($K620-$N$48))),0))="",0,IF(($K620-$N$48)&lt;1,0,IF(IF(INDEX($AD$176:$AD$905,($K620-$N$48))="",0,INDEX($AD$176:$AD$905,($K620-$N$48)))&gt;0,IF(INDEX($AD$176:$AD$905,($K620-$N$48))="",0,INDEX($AD$176:$AD$905,($K620-$N$48))),0))))</f>
        <v/>
      </c>
      <c r="AC620" s="22" t="str">
        <f t="shared" si="162"/>
        <v/>
      </c>
      <c r="AD620" s="22" t="str">
        <f t="shared" si="174"/>
        <v/>
      </c>
      <c r="AE620" s="22" t="str" cm="1">
        <f t="array" ref="AE620">IF(($K620-$N$48)&lt;1,"",IF((IF(INDEX($AC$176:$AC$905,($K620-$N$48))="",0,INDEX($AC$176:$AC$905,($K620-$N$48))))=0,"",(IF(INDEX($AC$176:$AC$905,($K620-$N$48))="",0,INDEX($AC$176:$AC$905,($K620-$N$48))))))</f>
        <v/>
      </c>
      <c r="AF620" s="31" t="str">
        <f t="shared" si="163"/>
        <v/>
      </c>
      <c r="AG620" s="31" t="str">
        <f t="shared" si="164"/>
        <v/>
      </c>
      <c r="AH620" s="31" t="str">
        <f t="shared" si="165"/>
        <v/>
      </c>
      <c r="AI620" s="31" t="str">
        <f t="shared" si="166"/>
        <v/>
      </c>
      <c r="AJ620" s="303" t="str">
        <f t="shared" si="167"/>
        <v/>
      </c>
      <c r="AK620" s="139" t="str">
        <f t="shared" si="168"/>
        <v/>
      </c>
      <c r="AM620" s="319"/>
      <c r="AN620" s="40"/>
      <c r="AO620" s="1"/>
    </row>
    <row r="621" spans="7:41" x14ac:dyDescent="0.25">
      <c r="G621" s="235" t="str">
        <f t="shared" si="175"/>
        <v/>
      </c>
      <c r="H621" s="4" t="str">
        <f t="shared" si="176"/>
        <v/>
      </c>
      <c r="I621" s="11" t="str">
        <f t="shared" si="156"/>
        <v>09.00</v>
      </c>
      <c r="K621" s="30">
        <v>446</v>
      </c>
      <c r="L621" s="29">
        <f t="shared" si="169"/>
        <v>11371.908376190917</v>
      </c>
      <c r="M621" s="28" t="str">
        <f t="shared" si="157"/>
        <v/>
      </c>
      <c r="N621" s="27" t="str">
        <f t="shared" si="170"/>
        <v/>
      </c>
      <c r="O621" s="26" t="str">
        <f>IF(AND($Q620=$O$38,IFERROR(LARGE($V$176:$V620,1)&lt;$N$42,TRUE)),1,IF(AND(ISNUMBER($O620),$O620&lt;$N$32),$O620+1,""))</f>
        <v/>
      </c>
      <c r="P621" s="26" t="str">
        <f t="shared" si="171"/>
        <v/>
      </c>
      <c r="Q621" s="26" t="str">
        <f t="shared" si="158"/>
        <v/>
      </c>
      <c r="R621" s="24" t="str">
        <f t="shared" si="172"/>
        <v/>
      </c>
      <c r="S621" s="180">
        <f t="shared" si="173"/>
        <v>9</v>
      </c>
      <c r="T621" s="151"/>
      <c r="U621" s="25" t="str">
        <f t="shared" si="159"/>
        <v/>
      </c>
      <c r="V621" s="24" t="str">
        <f>IF(AND(ISNUMBER(R620),ISNUMBER(R621)),V620,IF(AND(R620="",ISNUMBER(R621)),IFERROR(LARGE($V$176:$V620,1)+1,0),""))</f>
        <v/>
      </c>
      <c r="W621" s="23" t="str">
        <f t="shared" si="160"/>
        <v/>
      </c>
      <c r="X621" s="22" t="str">
        <f t="shared" si="161"/>
        <v/>
      </c>
      <c r="Y621" s="22"/>
      <c r="Z621" s="22"/>
      <c r="AA621" s="22"/>
      <c r="AB621" s="22" t="str" cm="1">
        <f t="array" ref="AB621">IF(IF(AND($P620="",$P621=1),($N$37*-1),0)+IF(AND($Q620="",$Q621=1),($N$38*-1),0)+IF(IF(($K621-$N$48)&lt;1,0,IF(IF(INDEX($AD$176:$AD$905,($K621-$N$48))="",0,INDEX($AD$176:$AD$905,($K621-$N$48)))&gt;0,IF(INDEX($AD$176:$AD$905,($K621-$N$48))="",0,INDEX($AD$176:$AD$905,($K621-$N$48))),0))="",0,IF(($K621-$N$48)&lt;1,0,IF(IF(INDEX($AD$176:$AD$905,($K621-$N$48))="",0,INDEX($AD$176:$AD$905,($K621-$N$48)))&gt;0,IF(INDEX($AD$176:$AD$905,($K621-$N$48))="",0,INDEX($AD$176:$AD$905,($K621-$N$48))),0)))=0,"",IF(AND($P620="",$P621=1),($N$37*-1),0)+IF(AND($Q620="",$Q621=1),($N$38*-1),0)+IF(IF(($K621-$N$48)&lt;1,0,IF(IF(INDEX($AD$176:$AD$905,($K621-$N$48))="",0,INDEX($AD$176:$AD$905,($K621-$N$48)))&gt;0,IF(INDEX($AD$176:$AD$905,($K621-$N$48))="",0,INDEX($AD$176:$AD$905,($K621-$N$48))),0))="",0,IF(($K621-$N$48)&lt;1,0,IF(IF(INDEX($AD$176:$AD$905,($K621-$N$48))="",0,INDEX($AD$176:$AD$905,($K621-$N$48)))&gt;0,IF(INDEX($AD$176:$AD$905,($K621-$N$48))="",0,INDEX($AD$176:$AD$905,($K621-$N$48))),0))))</f>
        <v/>
      </c>
      <c r="AC621" s="22" t="str">
        <f t="shared" si="162"/>
        <v/>
      </c>
      <c r="AD621" s="22" t="str">
        <f t="shared" si="174"/>
        <v/>
      </c>
      <c r="AE621" s="22" t="str" cm="1">
        <f t="array" ref="AE621">IF(($K621-$N$48)&lt;1,"",IF((IF(INDEX($AC$176:$AC$905,($K621-$N$48))="",0,INDEX($AC$176:$AC$905,($K621-$N$48))))=0,"",(IF(INDEX($AC$176:$AC$905,($K621-$N$48))="",0,INDEX($AC$176:$AC$905,($K621-$N$48))))))</f>
        <v/>
      </c>
      <c r="AF621" s="31" t="str">
        <f t="shared" si="163"/>
        <v/>
      </c>
      <c r="AG621" s="31" t="str">
        <f t="shared" si="164"/>
        <v/>
      </c>
      <c r="AH621" s="31" t="str">
        <f t="shared" si="165"/>
        <v/>
      </c>
      <c r="AI621" s="31" t="str">
        <f t="shared" si="166"/>
        <v/>
      </c>
      <c r="AJ621" s="303" t="str">
        <f t="shared" si="167"/>
        <v/>
      </c>
      <c r="AK621" s="139" t="str">
        <f t="shared" si="168"/>
        <v/>
      </c>
      <c r="AM621" s="319"/>
      <c r="AN621" s="40"/>
      <c r="AO621" s="1"/>
    </row>
    <row r="622" spans="7:41" x14ac:dyDescent="0.25">
      <c r="G622" s="235" t="str">
        <f t="shared" si="175"/>
        <v/>
      </c>
      <c r="H622" s="4" t="str">
        <f t="shared" si="176"/>
        <v/>
      </c>
      <c r="I622" s="11" t="str">
        <f t="shared" si="156"/>
        <v>09.00</v>
      </c>
      <c r="K622" s="30">
        <v>447</v>
      </c>
      <c r="L622" s="29">
        <f t="shared" si="169"/>
        <v>11371.908376190917</v>
      </c>
      <c r="M622" s="28" t="str">
        <f t="shared" si="157"/>
        <v/>
      </c>
      <c r="N622" s="27" t="str">
        <f t="shared" si="170"/>
        <v/>
      </c>
      <c r="O622" s="26" t="str">
        <f>IF(AND($Q621=$O$38,IFERROR(LARGE($V$176:$V621,1)&lt;$N$42,TRUE)),1,IF(AND(ISNUMBER($O621),$O621&lt;$N$32),$O621+1,""))</f>
        <v/>
      </c>
      <c r="P622" s="26" t="str">
        <f t="shared" si="171"/>
        <v/>
      </c>
      <c r="Q622" s="26" t="str">
        <f t="shared" si="158"/>
        <v/>
      </c>
      <c r="R622" s="24" t="str">
        <f t="shared" si="172"/>
        <v/>
      </c>
      <c r="S622" s="180">
        <f t="shared" si="173"/>
        <v>9</v>
      </c>
      <c r="T622" s="151"/>
      <c r="U622" s="25" t="str">
        <f t="shared" si="159"/>
        <v/>
      </c>
      <c r="V622" s="24" t="str">
        <f>IF(AND(ISNUMBER(R621),ISNUMBER(R622)),V621,IF(AND(R621="",ISNUMBER(R622)),IFERROR(LARGE($V$176:$V621,1)+1,0),""))</f>
        <v/>
      </c>
      <c r="W622" s="23" t="str">
        <f t="shared" si="160"/>
        <v/>
      </c>
      <c r="X622" s="22" t="str">
        <f t="shared" si="161"/>
        <v/>
      </c>
      <c r="Y622" s="22"/>
      <c r="Z622" s="22"/>
      <c r="AA622" s="22"/>
      <c r="AB622" s="22" t="str" cm="1">
        <f t="array" ref="AB622">IF(IF(AND($P621="",$P622=1),($N$37*-1),0)+IF(AND($Q621="",$Q622=1),($N$38*-1),0)+IF(IF(($K622-$N$48)&lt;1,0,IF(IF(INDEX($AD$176:$AD$905,($K622-$N$48))="",0,INDEX($AD$176:$AD$905,($K622-$N$48)))&gt;0,IF(INDEX($AD$176:$AD$905,($K622-$N$48))="",0,INDEX($AD$176:$AD$905,($K622-$N$48))),0))="",0,IF(($K622-$N$48)&lt;1,0,IF(IF(INDEX($AD$176:$AD$905,($K622-$N$48))="",0,INDEX($AD$176:$AD$905,($K622-$N$48)))&gt;0,IF(INDEX($AD$176:$AD$905,($K622-$N$48))="",0,INDEX($AD$176:$AD$905,($K622-$N$48))),0)))=0,"",IF(AND($P621="",$P622=1),($N$37*-1),0)+IF(AND($Q621="",$Q622=1),($N$38*-1),0)+IF(IF(($K622-$N$48)&lt;1,0,IF(IF(INDEX($AD$176:$AD$905,($K622-$N$48))="",0,INDEX($AD$176:$AD$905,($K622-$N$48)))&gt;0,IF(INDEX($AD$176:$AD$905,($K622-$N$48))="",0,INDEX($AD$176:$AD$905,($K622-$N$48))),0))="",0,IF(($K622-$N$48)&lt;1,0,IF(IF(INDEX($AD$176:$AD$905,($K622-$N$48))="",0,INDEX($AD$176:$AD$905,($K622-$N$48)))&gt;0,IF(INDEX($AD$176:$AD$905,($K622-$N$48))="",0,INDEX($AD$176:$AD$905,($K622-$N$48))),0))))</f>
        <v/>
      </c>
      <c r="AC622" s="22" t="str">
        <f t="shared" si="162"/>
        <v/>
      </c>
      <c r="AD622" s="22" t="str">
        <f t="shared" si="174"/>
        <v/>
      </c>
      <c r="AE622" s="22" t="str" cm="1">
        <f t="array" ref="AE622">IF(($K622-$N$48)&lt;1,"",IF((IF(INDEX($AC$176:$AC$905,($K622-$N$48))="",0,INDEX($AC$176:$AC$905,($K622-$N$48))))=0,"",(IF(INDEX($AC$176:$AC$905,($K622-$N$48))="",0,INDEX($AC$176:$AC$905,($K622-$N$48))))))</f>
        <v/>
      </c>
      <c r="AF622" s="31" t="str">
        <f t="shared" si="163"/>
        <v/>
      </c>
      <c r="AG622" s="31" t="str">
        <f t="shared" si="164"/>
        <v/>
      </c>
      <c r="AH622" s="31" t="str">
        <f t="shared" si="165"/>
        <v/>
      </c>
      <c r="AI622" s="31" t="str">
        <f t="shared" si="166"/>
        <v/>
      </c>
      <c r="AJ622" s="303" t="str">
        <f t="shared" si="167"/>
        <v/>
      </c>
      <c r="AK622" s="139" t="str">
        <f t="shared" si="168"/>
        <v/>
      </c>
      <c r="AM622" s="319"/>
      <c r="AN622" s="40"/>
      <c r="AO622" s="1"/>
    </row>
    <row r="623" spans="7:41" x14ac:dyDescent="0.25">
      <c r="G623" s="235" t="str">
        <f t="shared" si="175"/>
        <v/>
      </c>
      <c r="H623" s="4" t="str">
        <f t="shared" si="176"/>
        <v/>
      </c>
      <c r="I623" s="11" t="str">
        <f t="shared" si="156"/>
        <v>09.00</v>
      </c>
      <c r="K623" s="30">
        <v>448</v>
      </c>
      <c r="L623" s="29">
        <f t="shared" si="169"/>
        <v>11371.908376190917</v>
      </c>
      <c r="M623" s="28" t="str">
        <f t="shared" si="157"/>
        <v/>
      </c>
      <c r="N623" s="27" t="str">
        <f t="shared" si="170"/>
        <v/>
      </c>
      <c r="O623" s="26" t="str">
        <f>IF(AND($Q622=$O$38,IFERROR(LARGE($V$176:$V622,1)&lt;$N$42,TRUE)),1,IF(AND(ISNUMBER($O622),$O622&lt;$N$32),$O622+1,""))</f>
        <v/>
      </c>
      <c r="P623" s="26" t="str">
        <f t="shared" si="171"/>
        <v/>
      </c>
      <c r="Q623" s="26" t="str">
        <f t="shared" si="158"/>
        <v/>
      </c>
      <c r="R623" s="24" t="str">
        <f t="shared" si="172"/>
        <v/>
      </c>
      <c r="S623" s="180">
        <f t="shared" si="173"/>
        <v>9</v>
      </c>
      <c r="T623" s="151"/>
      <c r="U623" s="25" t="str">
        <f t="shared" si="159"/>
        <v/>
      </c>
      <c r="V623" s="24" t="str">
        <f>IF(AND(ISNUMBER(R622),ISNUMBER(R623)),V622,IF(AND(R622="",ISNUMBER(R623)),IFERROR(LARGE($V$176:$V622,1)+1,0),""))</f>
        <v/>
      </c>
      <c r="W623" s="23" t="str">
        <f t="shared" si="160"/>
        <v/>
      </c>
      <c r="X623" s="22" t="str">
        <f t="shared" si="161"/>
        <v/>
      </c>
      <c r="Y623" s="22"/>
      <c r="Z623" s="22"/>
      <c r="AA623" s="22"/>
      <c r="AB623" s="22" t="str" cm="1">
        <f t="array" ref="AB623">IF(IF(AND($P622="",$P623=1),($N$37*-1),0)+IF(AND($Q622="",$Q623=1),($N$38*-1),0)+IF(IF(($K623-$N$48)&lt;1,0,IF(IF(INDEX($AD$176:$AD$905,($K623-$N$48))="",0,INDEX($AD$176:$AD$905,($K623-$N$48)))&gt;0,IF(INDEX($AD$176:$AD$905,($K623-$N$48))="",0,INDEX($AD$176:$AD$905,($K623-$N$48))),0))="",0,IF(($K623-$N$48)&lt;1,0,IF(IF(INDEX($AD$176:$AD$905,($K623-$N$48))="",0,INDEX($AD$176:$AD$905,($K623-$N$48)))&gt;0,IF(INDEX($AD$176:$AD$905,($K623-$N$48))="",0,INDEX($AD$176:$AD$905,($K623-$N$48))),0)))=0,"",IF(AND($P622="",$P623=1),($N$37*-1),0)+IF(AND($Q622="",$Q623=1),($N$38*-1),0)+IF(IF(($K623-$N$48)&lt;1,0,IF(IF(INDEX($AD$176:$AD$905,($K623-$N$48))="",0,INDEX($AD$176:$AD$905,($K623-$N$48)))&gt;0,IF(INDEX($AD$176:$AD$905,($K623-$N$48))="",0,INDEX($AD$176:$AD$905,($K623-$N$48))),0))="",0,IF(($K623-$N$48)&lt;1,0,IF(IF(INDEX($AD$176:$AD$905,($K623-$N$48))="",0,INDEX($AD$176:$AD$905,($K623-$N$48)))&gt;0,IF(INDEX($AD$176:$AD$905,($K623-$N$48))="",0,INDEX($AD$176:$AD$905,($K623-$N$48))),0))))</f>
        <v/>
      </c>
      <c r="AC623" s="22" t="str">
        <f t="shared" si="162"/>
        <v/>
      </c>
      <c r="AD623" s="22" t="str">
        <f t="shared" si="174"/>
        <v/>
      </c>
      <c r="AE623" s="22" t="str" cm="1">
        <f t="array" ref="AE623">IF(($K623-$N$48)&lt;1,"",IF((IF(INDEX($AC$176:$AC$905,($K623-$N$48))="",0,INDEX($AC$176:$AC$905,($K623-$N$48))))=0,"",(IF(INDEX($AC$176:$AC$905,($K623-$N$48))="",0,INDEX($AC$176:$AC$905,($K623-$N$48))))))</f>
        <v/>
      </c>
      <c r="AF623" s="31" t="str">
        <f t="shared" si="163"/>
        <v/>
      </c>
      <c r="AG623" s="31" t="str">
        <f t="shared" si="164"/>
        <v/>
      </c>
      <c r="AH623" s="31" t="str">
        <f t="shared" si="165"/>
        <v/>
      </c>
      <c r="AI623" s="31" t="str">
        <f t="shared" si="166"/>
        <v/>
      </c>
      <c r="AJ623" s="303" t="str">
        <f t="shared" si="167"/>
        <v/>
      </c>
      <c r="AK623" s="139" t="str">
        <f t="shared" si="168"/>
        <v/>
      </c>
      <c r="AM623" s="319"/>
      <c r="AN623" s="40"/>
      <c r="AO623" s="1"/>
    </row>
    <row r="624" spans="7:41" x14ac:dyDescent="0.25">
      <c r="G624" s="235" t="str">
        <f t="shared" si="175"/>
        <v/>
      </c>
      <c r="H624" s="4" t="str">
        <f t="shared" si="176"/>
        <v/>
      </c>
      <c r="I624" s="11" t="str">
        <f t="shared" ref="I624:I687" si="177">CONCATENATE(IF(LEN(ROUNDDOWN(S624,0))=1,CONCATENATE("0",ROUNDDOWN(S624,0)),ROUNDDOWN(S624,0)),".",IF(LEN(ROUND(MOD(S624,1)*100,0))=1,CONCATENATE("0",ROUND(MOD(S624,1)*100,0)),ROUND(MOD(S624,1)*100,0)),IF(N624&lt;&gt;"",".N.",IF(O624&lt;&gt;"",".R.",IF(P624&lt;&gt;"",".O.",IF(Q624&lt;&gt;"",".I.",IF(R624&lt;&gt;"",".D.",""))))),IF(N624&lt;&gt;"",N624,IF(O624&lt;&gt;"",O624,IF(P624&lt;&gt;"",P624,IF(Q624&lt;&gt;"",Q624,IF(R624&lt;&gt;"",IF(MOD(R624,$N$44)=0,$N$44,MOD(R624,$N$44)),""))))))</f>
        <v>09.00</v>
      </c>
      <c r="K624" s="30">
        <v>449</v>
      </c>
      <c r="L624" s="29">
        <f t="shared" si="169"/>
        <v>11371.908376190917</v>
      </c>
      <c r="M624" s="28" t="str">
        <f t="shared" ref="M624:M687" si="178">IFERROR(IF(IF($K624=1,(($M$23*-1)+($M$24*-1)),IF(ISNUMBER(W624),W624,0)+IF(ISNUMBER(X624),X624,0)+IF(ISNUMBER(AB624),AB624,0)+IF(ISNUMBER(AE624),AE624,0)+IF(ISNUMBER(AF624),AF624,0)+IF(ISNUMBER(AG624),AG624,0)+IF(ISNUMBER(AH624),AH624,0)+IF(ISNUMBER(AI624),AI624,0)+IF(ISNUMBER(AK624),AK624,0))=0,"",IF($K624=1,(($M$23*-1)+($M$24*-1)),IF(ISNUMBER(W624),W624,0)+IF(ISNUMBER(X624),X624,0)+IF(ISNUMBER(AB624),AB624,0)+IF(ISNUMBER(AE624),AE624,0)+IF(ISNUMBER(AF624),AF624,0)+IF(ISNUMBER(AG624),AG624,0)+IF(ISNUMBER(AH624),AH624,0)+IF(ISNUMBER(AI624),AI624,0)+IF(ISNUMBER(AK624),AK624,0))),"")</f>
        <v/>
      </c>
      <c r="N624" s="27" t="str">
        <f t="shared" si="170"/>
        <v/>
      </c>
      <c r="O624" s="26" t="str">
        <f>IF(AND($Q623=$O$38,IFERROR(LARGE($V$176:$V623,1)&lt;$N$42,TRUE)),1,IF(AND(ISNUMBER($O623),$O623&lt;$N$32),$O623+1,""))</f>
        <v/>
      </c>
      <c r="P624" s="26" t="str">
        <f t="shared" si="171"/>
        <v/>
      </c>
      <c r="Q624" s="26" t="str">
        <f t="shared" ref="Q624:Q687" si="179">IF($R623=($N$43*$N$44),1,IF(AND(ISNUMBER($Q623),$Q623&lt;$O$38),$Q623+1,""))</f>
        <v/>
      </c>
      <c r="R624" s="24" t="str">
        <f t="shared" si="172"/>
        <v/>
      </c>
      <c r="S624" s="180">
        <f t="shared" si="173"/>
        <v>9</v>
      </c>
      <c r="T624" s="151"/>
      <c r="U624" s="25" t="str">
        <f t="shared" ref="U624:U687" si="180">IF(ISNUMBER($R624),ROUNDUP($R624/$N$44,0),"")</f>
        <v/>
      </c>
      <c r="V624" s="24" t="str">
        <f>IF(AND(ISNUMBER(R623),ISNUMBER(R624)),V623,IF(AND(R623="",ISNUMBER(R624)),IFERROR(LARGE($V$176:$V623,1)+1,0),""))</f>
        <v/>
      </c>
      <c r="W624" s="23" t="str">
        <f t="shared" ref="W624:W687" si="181">IF($O624=1,($M$30*-1),"")</f>
        <v/>
      </c>
      <c r="X624" s="22" t="str">
        <f t="shared" ref="X624:X687" si="182">IF($K624=1,($M$24*-1),IF($O624=1,($M$31*-1),""))</f>
        <v/>
      </c>
      <c r="Y624" s="22"/>
      <c r="Z624" s="22"/>
      <c r="AA624" s="22"/>
      <c r="AB624" s="22" t="str" cm="1">
        <f t="array" ref="AB624">IF(IF(AND($P623="",$P624=1),($N$37*-1),0)+IF(AND($Q623="",$Q624=1),($N$38*-1),0)+IF(IF(($K624-$N$48)&lt;1,0,IF(IF(INDEX($AD$176:$AD$905,($K624-$N$48))="",0,INDEX($AD$176:$AD$905,($K624-$N$48)))&gt;0,IF(INDEX($AD$176:$AD$905,($K624-$N$48))="",0,INDEX($AD$176:$AD$905,($K624-$N$48))),0))="",0,IF(($K624-$N$48)&lt;1,0,IF(IF(INDEX($AD$176:$AD$905,($K624-$N$48))="",0,INDEX($AD$176:$AD$905,($K624-$N$48)))&gt;0,IF(INDEX($AD$176:$AD$905,($K624-$N$48))="",0,INDEX($AD$176:$AD$905,($K624-$N$48))),0)))=0,"",IF(AND($P623="",$P624=1),($N$37*-1),0)+IF(AND($Q623="",$Q624=1),($N$38*-1),0)+IF(IF(($K624-$N$48)&lt;1,0,IF(IF(INDEX($AD$176:$AD$905,($K624-$N$48))="",0,INDEX($AD$176:$AD$905,($K624-$N$48)))&gt;0,IF(INDEX($AD$176:$AD$905,($K624-$N$48))="",0,INDEX($AD$176:$AD$905,($K624-$N$48))),0))="",0,IF(($K624-$N$48)&lt;1,0,IF(IF(INDEX($AD$176:$AD$905,($K624-$N$48))="",0,INDEX($AD$176:$AD$905,($K624-$N$48)))&gt;0,IF(INDEX($AD$176:$AD$905,($K624-$N$48))="",0,INDEX($AD$176:$AD$905,($K624-$N$48))),0))))</f>
        <v/>
      </c>
      <c r="AC624" s="22" t="str">
        <f t="shared" ref="AC624:AC687" si="183">IF(IF(OR(AND(ISNUMBER($U624),IF(ISNUMBER($U625),$U625,0)-IF(ISNUMBER($U624),$U624,0)=1),AND(ISNUMBER($U624),$U625="")),VLOOKUP(IF($U624&gt;$L$63,$L$63,$U624),$L$52:$N$63,COLUMNS($L$52:$N$52),FALSE),0)=0,"",IF(OR(AND(ISNUMBER($U624),IF(ISNUMBER($U625),$U625,0)-IF(ISNUMBER($U624),$U624,0)=1),AND(ISNUMBER($U624),$U625="")),VLOOKUP(IF($U624&gt;$L$63,$L$63,$U624),$L$52:$N$63,COLUMNS($L$52:$N$52),FALSE),0))</f>
        <v/>
      </c>
      <c r="AD624" s="22" t="str">
        <f t="shared" si="174"/>
        <v/>
      </c>
      <c r="AE624" s="22" t="str" cm="1">
        <f t="array" ref="AE624">IF(($K624-$N$48)&lt;1,"",IF((IF(INDEX($AC$176:$AC$905,($K624-$N$48))="",0,INDEX($AC$176:$AC$905,($K624-$N$48))))=0,"",(IF(INDEX($AC$176:$AC$905,($K624-$N$48))="",0,INDEX($AC$176:$AC$905,($K624-$N$48))))))</f>
        <v/>
      </c>
      <c r="AF624" s="31" t="str">
        <f t="shared" ref="AF624:AF687" si="184">IF($O$67="Invoice",IF(AND(ISNUMBER($AC624),ISNUMBER($O$68)),$AC624*$O$68*-1,""),IF($O$67="Payment",IF(AND(ISNUMBER($AE624),ISNUMBER($O$68)),$AE624*$O$68*-1,""),""))</f>
        <v/>
      </c>
      <c r="AG624" s="31" t="str">
        <f t="shared" ref="AG624:AG687" si="185">IF($O$67="Invoice",IF(AND(ISNUMBER($AC624),ISNUMBER($O$69)),$AC624*$O$69*-1,""),IF($O$67="Payment",IF(AND(ISNUMBER($AE624),ISNUMBER($O$69)),$AE624*$O$69*-1,""),""))</f>
        <v/>
      </c>
      <c r="AH624" s="31" t="str">
        <f t="shared" ref="AH624:AH687" si="186">IF($O$67="Invoice",IF(AND(ISNUMBER($AC624),ISNUMBER($O$70)),$AC624*$O$70*-1,""),IF($O$67="Payment",IF(AND(ISNUMBER($AE624),ISNUMBER($O$70)),$AE624*$O$70*-1,""),""))</f>
        <v/>
      </c>
      <c r="AI624" s="31" t="str">
        <f t="shared" ref="AI624:AI687" si="187">IF($O$67="Invoice",IF(AND(ISNUMBER($AC624),ISNUMBER($O$71)),$AC624*$O$71*-1,""),IF($O$67="Payment",IF(AND(ISNUMBER($AE624),ISNUMBER($O$71)),$AE624*$O$71*-1,""),""))</f>
        <v/>
      </c>
      <c r="AJ624" s="303" t="str">
        <f t="shared" ref="AJ624:AJ687" si="188">IF($O$67="Invoice",IF(AND(ISNUMBER($AC624),ISNUMBER($O$72)),$AC624*$O$72*-1,""),IF($O$67="Payment",IF(AND(ISNUMBER($AE624),ISNUMBER($O$72)),$AE624*$O$72*-1,""),""))</f>
        <v/>
      </c>
      <c r="AK624" s="139" t="str">
        <f t="shared" ref="AK624:AK687" si="189">IF($O$67="Invoice",IF(AND(ISNUMBER($AC624),ISNUMBER($O$73)),$AC624*$O$73*-1,""),IF($O$67="Payment",IF(AND(ISNUMBER($AE624),ISNUMBER($O$73)),$AE624*$O$73*-1,""),""))</f>
        <v/>
      </c>
      <c r="AM624" s="319"/>
      <c r="AN624" s="40"/>
      <c r="AO624" s="1"/>
    </row>
    <row r="625" spans="7:41" x14ac:dyDescent="0.25">
      <c r="G625" s="235" t="str">
        <f t="shared" si="175"/>
        <v/>
      </c>
      <c r="H625" s="4" t="str">
        <f t="shared" si="176"/>
        <v/>
      </c>
      <c r="I625" s="11" t="str">
        <f t="shared" si="177"/>
        <v>09.00</v>
      </c>
      <c r="K625" s="30">
        <v>450</v>
      </c>
      <c r="L625" s="29">
        <f t="shared" ref="L625:L688" si="190">IF(ISNUMBER($M625),$M625+$L624,$L624)</f>
        <v>11371.908376190917</v>
      </c>
      <c r="M625" s="28" t="str">
        <f t="shared" si="178"/>
        <v/>
      </c>
      <c r="N625" s="27" t="str">
        <f t="shared" ref="N625:N688" si="191">IF($K624&lt;$N$25,$N624+1,"")</f>
        <v/>
      </c>
      <c r="O625" s="26" t="str">
        <f>IF(AND($Q624=$O$38,IFERROR(LARGE($V$176:$V624,1)&lt;$N$42,TRUE)),1,IF(AND(ISNUMBER($O624),$O624&lt;$N$32),$O624+1,""))</f>
        <v/>
      </c>
      <c r="P625" s="26" t="str">
        <f t="shared" ref="P625:P688" si="192">IF(OR($N624=$N$25,O624=$N$32),1,IF(AND($P624&lt;$O$37,P624&gt;0),P624+1,""))</f>
        <v/>
      </c>
      <c r="Q625" s="26" t="str">
        <f t="shared" si="179"/>
        <v/>
      </c>
      <c r="R625" s="24" t="str">
        <f t="shared" ref="R625:R688" si="193">IF(AND($P624=$O$37,$R624=""),1,IF($R624&lt;($N$43*$N$44),$R624+1,""))</f>
        <v/>
      </c>
      <c r="S625" s="180">
        <f t="shared" si="173"/>
        <v>9</v>
      </c>
      <c r="T625" s="151"/>
      <c r="U625" s="25" t="str">
        <f t="shared" si="180"/>
        <v/>
      </c>
      <c r="V625" s="24" t="str">
        <f>IF(AND(ISNUMBER(R624),ISNUMBER(R625)),V624,IF(AND(R624="",ISNUMBER(R625)),IFERROR(LARGE($V$176:$V624,1)+1,0),""))</f>
        <v/>
      </c>
      <c r="W625" s="23" t="str">
        <f t="shared" si="181"/>
        <v/>
      </c>
      <c r="X625" s="22" t="str">
        <f t="shared" si="182"/>
        <v/>
      </c>
      <c r="Y625" s="22"/>
      <c r="Z625" s="22"/>
      <c r="AA625" s="22"/>
      <c r="AB625" s="22" t="str" cm="1">
        <f t="array" ref="AB625">IF(IF(AND($P624="",$P625=1),($N$37*-1),0)+IF(AND($Q624="",$Q625=1),($N$38*-1),0)+IF(IF(($K625-$N$48)&lt;1,0,IF(IF(INDEX($AD$176:$AD$905,($K625-$N$48))="",0,INDEX($AD$176:$AD$905,($K625-$N$48)))&gt;0,IF(INDEX($AD$176:$AD$905,($K625-$N$48))="",0,INDEX($AD$176:$AD$905,($K625-$N$48))),0))="",0,IF(($K625-$N$48)&lt;1,0,IF(IF(INDEX($AD$176:$AD$905,($K625-$N$48))="",0,INDEX($AD$176:$AD$905,($K625-$N$48)))&gt;0,IF(INDEX($AD$176:$AD$905,($K625-$N$48))="",0,INDEX($AD$176:$AD$905,($K625-$N$48))),0)))=0,"",IF(AND($P624="",$P625=1),($N$37*-1),0)+IF(AND($Q624="",$Q625=1),($N$38*-1),0)+IF(IF(($K625-$N$48)&lt;1,0,IF(IF(INDEX($AD$176:$AD$905,($K625-$N$48))="",0,INDEX($AD$176:$AD$905,($K625-$N$48)))&gt;0,IF(INDEX($AD$176:$AD$905,($K625-$N$48))="",0,INDEX($AD$176:$AD$905,($K625-$N$48))),0))="",0,IF(($K625-$N$48)&lt;1,0,IF(IF(INDEX($AD$176:$AD$905,($K625-$N$48))="",0,INDEX($AD$176:$AD$905,($K625-$N$48)))&gt;0,IF(INDEX($AD$176:$AD$905,($K625-$N$48))="",0,INDEX($AD$176:$AD$905,($K625-$N$48))),0))))</f>
        <v/>
      </c>
      <c r="AC625" s="22" t="str">
        <f t="shared" si="183"/>
        <v/>
      </c>
      <c r="AD625" s="22" t="str">
        <f t="shared" si="174"/>
        <v/>
      </c>
      <c r="AE625" s="22" t="str" cm="1">
        <f t="array" ref="AE625">IF(($K625-$N$48)&lt;1,"",IF((IF(INDEX($AC$176:$AC$905,($K625-$N$48))="",0,INDEX($AC$176:$AC$905,($K625-$N$48))))=0,"",(IF(INDEX($AC$176:$AC$905,($K625-$N$48))="",0,INDEX($AC$176:$AC$905,($K625-$N$48))))))</f>
        <v/>
      </c>
      <c r="AF625" s="31" t="str">
        <f t="shared" si="184"/>
        <v/>
      </c>
      <c r="AG625" s="31" t="str">
        <f t="shared" si="185"/>
        <v/>
      </c>
      <c r="AH625" s="31" t="str">
        <f t="shared" si="186"/>
        <v/>
      </c>
      <c r="AI625" s="31" t="str">
        <f t="shared" si="187"/>
        <v/>
      </c>
      <c r="AJ625" s="303" t="str">
        <f t="shared" si="188"/>
        <v/>
      </c>
      <c r="AK625" s="139" t="str">
        <f t="shared" si="189"/>
        <v/>
      </c>
      <c r="AM625" s="319"/>
      <c r="AN625" s="40"/>
      <c r="AO625" s="1"/>
    </row>
    <row r="626" spans="7:41" x14ac:dyDescent="0.25">
      <c r="G626" s="235" t="str">
        <f t="shared" si="175"/>
        <v/>
      </c>
      <c r="H626" s="4" t="str">
        <f t="shared" si="176"/>
        <v/>
      </c>
      <c r="I626" s="11" t="str">
        <f t="shared" si="177"/>
        <v>09.00</v>
      </c>
      <c r="K626" s="30">
        <v>451</v>
      </c>
      <c r="L626" s="29">
        <f t="shared" si="190"/>
        <v>11371.908376190917</v>
      </c>
      <c r="M626" s="28" t="str">
        <f t="shared" si="178"/>
        <v/>
      </c>
      <c r="N626" s="27" t="str">
        <f t="shared" si="191"/>
        <v/>
      </c>
      <c r="O626" s="26" t="str">
        <f>IF(AND($Q625=$O$38,IFERROR(LARGE($V$176:$V625,1)&lt;$N$42,TRUE)),1,IF(AND(ISNUMBER($O625),$O625&lt;$N$32),$O625+1,""))</f>
        <v/>
      </c>
      <c r="P626" s="26" t="str">
        <f t="shared" si="192"/>
        <v/>
      </c>
      <c r="Q626" s="26" t="str">
        <f t="shared" si="179"/>
        <v/>
      </c>
      <c r="R626" s="24" t="str">
        <f t="shared" si="193"/>
        <v/>
      </c>
      <c r="S626" s="180">
        <f t="shared" si="173"/>
        <v>9</v>
      </c>
      <c r="T626" s="151"/>
      <c r="U626" s="25" t="str">
        <f t="shared" si="180"/>
        <v/>
      </c>
      <c r="V626" s="24" t="str">
        <f>IF(AND(ISNUMBER(R625),ISNUMBER(R626)),V625,IF(AND(R625="",ISNUMBER(R626)),IFERROR(LARGE($V$176:$V625,1)+1,0),""))</f>
        <v/>
      </c>
      <c r="W626" s="23" t="str">
        <f t="shared" si="181"/>
        <v/>
      </c>
      <c r="X626" s="22" t="str">
        <f t="shared" si="182"/>
        <v/>
      </c>
      <c r="Y626" s="22"/>
      <c r="Z626" s="22"/>
      <c r="AA626" s="22"/>
      <c r="AB626" s="22" t="str" cm="1">
        <f t="array" ref="AB626">IF(IF(AND($P625="",$P626=1),($N$37*-1),0)+IF(AND($Q625="",$Q626=1),($N$38*-1),0)+IF(IF(($K626-$N$48)&lt;1,0,IF(IF(INDEX($AD$176:$AD$905,($K626-$N$48))="",0,INDEX($AD$176:$AD$905,($K626-$N$48)))&gt;0,IF(INDEX($AD$176:$AD$905,($K626-$N$48))="",0,INDEX($AD$176:$AD$905,($K626-$N$48))),0))="",0,IF(($K626-$N$48)&lt;1,0,IF(IF(INDEX($AD$176:$AD$905,($K626-$N$48))="",0,INDEX($AD$176:$AD$905,($K626-$N$48)))&gt;0,IF(INDEX($AD$176:$AD$905,($K626-$N$48))="",0,INDEX($AD$176:$AD$905,($K626-$N$48))),0)))=0,"",IF(AND($P625="",$P626=1),($N$37*-1),0)+IF(AND($Q625="",$Q626=1),($N$38*-1),0)+IF(IF(($K626-$N$48)&lt;1,0,IF(IF(INDEX($AD$176:$AD$905,($K626-$N$48))="",0,INDEX($AD$176:$AD$905,($K626-$N$48)))&gt;0,IF(INDEX($AD$176:$AD$905,($K626-$N$48))="",0,INDEX($AD$176:$AD$905,($K626-$N$48))),0))="",0,IF(($K626-$N$48)&lt;1,0,IF(IF(INDEX($AD$176:$AD$905,($K626-$N$48))="",0,INDEX($AD$176:$AD$905,($K626-$N$48)))&gt;0,IF(INDEX($AD$176:$AD$905,($K626-$N$48))="",0,INDEX($AD$176:$AD$905,($K626-$N$48))),0))))</f>
        <v/>
      </c>
      <c r="AC626" s="22" t="str">
        <f t="shared" si="183"/>
        <v/>
      </c>
      <c r="AD626" s="22" t="str">
        <f t="shared" si="174"/>
        <v/>
      </c>
      <c r="AE626" s="22" t="str" cm="1">
        <f t="array" ref="AE626">IF(($K626-$N$48)&lt;1,"",IF((IF(INDEX($AC$176:$AC$905,($K626-$N$48))="",0,INDEX($AC$176:$AC$905,($K626-$N$48))))=0,"",(IF(INDEX($AC$176:$AC$905,($K626-$N$48))="",0,INDEX($AC$176:$AC$905,($K626-$N$48))))))</f>
        <v/>
      </c>
      <c r="AF626" s="31" t="str">
        <f t="shared" si="184"/>
        <v/>
      </c>
      <c r="AG626" s="31" t="str">
        <f t="shared" si="185"/>
        <v/>
      </c>
      <c r="AH626" s="31" t="str">
        <f t="shared" si="186"/>
        <v/>
      </c>
      <c r="AI626" s="31" t="str">
        <f t="shared" si="187"/>
        <v/>
      </c>
      <c r="AJ626" s="303" t="str">
        <f t="shared" si="188"/>
        <v/>
      </c>
      <c r="AK626" s="139" t="str">
        <f t="shared" si="189"/>
        <v/>
      </c>
      <c r="AM626" s="319"/>
      <c r="AN626" s="40"/>
      <c r="AO626" s="1"/>
    </row>
    <row r="627" spans="7:41" x14ac:dyDescent="0.25">
      <c r="G627" s="235" t="str">
        <f t="shared" si="175"/>
        <v/>
      </c>
      <c r="H627" s="4" t="str">
        <f t="shared" si="176"/>
        <v/>
      </c>
      <c r="I627" s="11" t="str">
        <f t="shared" si="177"/>
        <v>09.00</v>
      </c>
      <c r="K627" s="30">
        <v>452</v>
      </c>
      <c r="L627" s="29">
        <f t="shared" si="190"/>
        <v>11371.908376190917</v>
      </c>
      <c r="M627" s="28" t="str">
        <f t="shared" si="178"/>
        <v/>
      </c>
      <c r="N627" s="27" t="str">
        <f t="shared" si="191"/>
        <v/>
      </c>
      <c r="O627" s="26" t="str">
        <f>IF(AND($Q626=$O$38,IFERROR(LARGE($V$176:$V626,1)&lt;$N$42,TRUE)),1,IF(AND(ISNUMBER($O626),$O626&lt;$N$32),$O626+1,""))</f>
        <v/>
      </c>
      <c r="P627" s="26" t="str">
        <f t="shared" si="192"/>
        <v/>
      </c>
      <c r="Q627" s="26" t="str">
        <f t="shared" si="179"/>
        <v/>
      </c>
      <c r="R627" s="24" t="str">
        <f t="shared" si="193"/>
        <v/>
      </c>
      <c r="S627" s="180">
        <f t="shared" si="173"/>
        <v>9</v>
      </c>
      <c r="T627" s="151"/>
      <c r="U627" s="25" t="str">
        <f t="shared" si="180"/>
        <v/>
      </c>
      <c r="V627" s="24" t="str">
        <f>IF(AND(ISNUMBER(R626),ISNUMBER(R627)),V626,IF(AND(R626="",ISNUMBER(R627)),IFERROR(LARGE($V$176:$V626,1)+1,0),""))</f>
        <v/>
      </c>
      <c r="W627" s="23" t="str">
        <f t="shared" si="181"/>
        <v/>
      </c>
      <c r="X627" s="22" t="str">
        <f t="shared" si="182"/>
        <v/>
      </c>
      <c r="Y627" s="22"/>
      <c r="Z627" s="22"/>
      <c r="AA627" s="22"/>
      <c r="AB627" s="22" t="str" cm="1">
        <f t="array" ref="AB627">IF(IF(AND($P626="",$P627=1),($N$37*-1),0)+IF(AND($Q626="",$Q627=1),($N$38*-1),0)+IF(IF(($K627-$N$48)&lt;1,0,IF(IF(INDEX($AD$176:$AD$905,($K627-$N$48))="",0,INDEX($AD$176:$AD$905,($K627-$N$48)))&gt;0,IF(INDEX($AD$176:$AD$905,($K627-$N$48))="",0,INDEX($AD$176:$AD$905,($K627-$N$48))),0))="",0,IF(($K627-$N$48)&lt;1,0,IF(IF(INDEX($AD$176:$AD$905,($K627-$N$48))="",0,INDEX($AD$176:$AD$905,($K627-$N$48)))&gt;0,IF(INDEX($AD$176:$AD$905,($K627-$N$48))="",0,INDEX($AD$176:$AD$905,($K627-$N$48))),0)))=0,"",IF(AND($P626="",$P627=1),($N$37*-1),0)+IF(AND($Q626="",$Q627=1),($N$38*-1),0)+IF(IF(($K627-$N$48)&lt;1,0,IF(IF(INDEX($AD$176:$AD$905,($K627-$N$48))="",0,INDEX($AD$176:$AD$905,($K627-$N$48)))&gt;0,IF(INDEX($AD$176:$AD$905,($K627-$N$48))="",0,INDEX($AD$176:$AD$905,($K627-$N$48))),0))="",0,IF(($K627-$N$48)&lt;1,0,IF(IF(INDEX($AD$176:$AD$905,($K627-$N$48))="",0,INDEX($AD$176:$AD$905,($K627-$N$48)))&gt;0,IF(INDEX($AD$176:$AD$905,($K627-$N$48))="",0,INDEX($AD$176:$AD$905,($K627-$N$48))),0))))</f>
        <v/>
      </c>
      <c r="AC627" s="22" t="str">
        <f t="shared" si="183"/>
        <v/>
      </c>
      <c r="AD627" s="22" t="str">
        <f t="shared" si="174"/>
        <v/>
      </c>
      <c r="AE627" s="22" t="str" cm="1">
        <f t="array" ref="AE627">IF(($K627-$N$48)&lt;1,"",IF((IF(INDEX($AC$176:$AC$905,($K627-$N$48))="",0,INDEX($AC$176:$AC$905,($K627-$N$48))))=0,"",(IF(INDEX($AC$176:$AC$905,($K627-$N$48))="",0,INDEX($AC$176:$AC$905,($K627-$N$48))))))</f>
        <v/>
      </c>
      <c r="AF627" s="31" t="str">
        <f t="shared" si="184"/>
        <v/>
      </c>
      <c r="AG627" s="31" t="str">
        <f t="shared" si="185"/>
        <v/>
      </c>
      <c r="AH627" s="31" t="str">
        <f t="shared" si="186"/>
        <v/>
      </c>
      <c r="AI627" s="31" t="str">
        <f t="shared" si="187"/>
        <v/>
      </c>
      <c r="AJ627" s="303" t="str">
        <f t="shared" si="188"/>
        <v/>
      </c>
      <c r="AK627" s="139" t="str">
        <f t="shared" si="189"/>
        <v/>
      </c>
      <c r="AM627" s="319"/>
      <c r="AN627" s="40"/>
      <c r="AO627" s="1"/>
    </row>
    <row r="628" spans="7:41" x14ac:dyDescent="0.25">
      <c r="G628" s="235" t="str">
        <f t="shared" si="175"/>
        <v/>
      </c>
      <c r="H628" s="4" t="str">
        <f t="shared" si="176"/>
        <v/>
      </c>
      <c r="I628" s="11" t="str">
        <f t="shared" si="177"/>
        <v>09.00</v>
      </c>
      <c r="K628" s="30">
        <v>453</v>
      </c>
      <c r="L628" s="29">
        <f t="shared" si="190"/>
        <v>11371.908376190917</v>
      </c>
      <c r="M628" s="28" t="str">
        <f t="shared" si="178"/>
        <v/>
      </c>
      <c r="N628" s="27" t="str">
        <f t="shared" si="191"/>
        <v/>
      </c>
      <c r="O628" s="26" t="str">
        <f>IF(AND($Q627=$O$38,IFERROR(LARGE($V$176:$V627,1)&lt;$N$42,TRUE)),1,IF(AND(ISNUMBER($O627),$O627&lt;$N$32),$O627+1,""))</f>
        <v/>
      </c>
      <c r="P628" s="26" t="str">
        <f t="shared" si="192"/>
        <v/>
      </c>
      <c r="Q628" s="26" t="str">
        <f t="shared" si="179"/>
        <v/>
      </c>
      <c r="R628" s="24" t="str">
        <f t="shared" si="193"/>
        <v/>
      </c>
      <c r="S628" s="180">
        <f t="shared" si="173"/>
        <v>9</v>
      </c>
      <c r="T628" s="151"/>
      <c r="U628" s="25" t="str">
        <f t="shared" si="180"/>
        <v/>
      </c>
      <c r="V628" s="24" t="str">
        <f>IF(AND(ISNUMBER(R627),ISNUMBER(R628)),V627,IF(AND(R627="",ISNUMBER(R628)),IFERROR(LARGE($V$176:$V627,1)+1,0),""))</f>
        <v/>
      </c>
      <c r="W628" s="23" t="str">
        <f t="shared" si="181"/>
        <v/>
      </c>
      <c r="X628" s="22" t="str">
        <f t="shared" si="182"/>
        <v/>
      </c>
      <c r="Y628" s="22"/>
      <c r="Z628" s="22"/>
      <c r="AA628" s="22"/>
      <c r="AB628" s="22" t="str" cm="1">
        <f t="array" ref="AB628">IF(IF(AND($P627="",$P628=1),($N$37*-1),0)+IF(AND($Q627="",$Q628=1),($N$38*-1),0)+IF(IF(($K628-$N$48)&lt;1,0,IF(IF(INDEX($AD$176:$AD$905,($K628-$N$48))="",0,INDEX($AD$176:$AD$905,($K628-$N$48)))&gt;0,IF(INDEX($AD$176:$AD$905,($K628-$N$48))="",0,INDEX($AD$176:$AD$905,($K628-$N$48))),0))="",0,IF(($K628-$N$48)&lt;1,0,IF(IF(INDEX($AD$176:$AD$905,($K628-$N$48))="",0,INDEX($AD$176:$AD$905,($K628-$N$48)))&gt;0,IF(INDEX($AD$176:$AD$905,($K628-$N$48))="",0,INDEX($AD$176:$AD$905,($K628-$N$48))),0)))=0,"",IF(AND($P627="",$P628=1),($N$37*-1),0)+IF(AND($Q627="",$Q628=1),($N$38*-1),0)+IF(IF(($K628-$N$48)&lt;1,0,IF(IF(INDEX($AD$176:$AD$905,($K628-$N$48))="",0,INDEX($AD$176:$AD$905,($K628-$N$48)))&gt;0,IF(INDEX($AD$176:$AD$905,($K628-$N$48))="",0,INDEX($AD$176:$AD$905,($K628-$N$48))),0))="",0,IF(($K628-$N$48)&lt;1,0,IF(IF(INDEX($AD$176:$AD$905,($K628-$N$48))="",0,INDEX($AD$176:$AD$905,($K628-$N$48)))&gt;0,IF(INDEX($AD$176:$AD$905,($K628-$N$48))="",0,INDEX($AD$176:$AD$905,($K628-$N$48))),0))))</f>
        <v/>
      </c>
      <c r="AC628" s="22" t="str">
        <f t="shared" si="183"/>
        <v/>
      </c>
      <c r="AD628" s="22" t="str">
        <f t="shared" si="174"/>
        <v/>
      </c>
      <c r="AE628" s="22" t="str" cm="1">
        <f t="array" ref="AE628">IF(($K628-$N$48)&lt;1,"",IF((IF(INDEX($AC$176:$AC$905,($K628-$N$48))="",0,INDEX($AC$176:$AC$905,($K628-$N$48))))=0,"",(IF(INDEX($AC$176:$AC$905,($K628-$N$48))="",0,INDEX($AC$176:$AC$905,($K628-$N$48))))))</f>
        <v/>
      </c>
      <c r="AF628" s="31" t="str">
        <f t="shared" si="184"/>
        <v/>
      </c>
      <c r="AG628" s="31" t="str">
        <f t="shared" si="185"/>
        <v/>
      </c>
      <c r="AH628" s="31" t="str">
        <f t="shared" si="186"/>
        <v/>
      </c>
      <c r="AI628" s="31" t="str">
        <f t="shared" si="187"/>
        <v/>
      </c>
      <c r="AJ628" s="303" t="str">
        <f t="shared" si="188"/>
        <v/>
      </c>
      <c r="AK628" s="139" t="str">
        <f t="shared" si="189"/>
        <v/>
      </c>
      <c r="AM628" s="319"/>
      <c r="AN628" s="40"/>
      <c r="AO628" s="1"/>
    </row>
    <row r="629" spans="7:41" x14ac:dyDescent="0.25">
      <c r="G629" s="235" t="str">
        <f t="shared" si="175"/>
        <v/>
      </c>
      <c r="H629" s="4" t="str">
        <f t="shared" si="176"/>
        <v/>
      </c>
      <c r="I629" s="11" t="str">
        <f t="shared" si="177"/>
        <v>09.00</v>
      </c>
      <c r="K629" s="30">
        <v>454</v>
      </c>
      <c r="L629" s="29">
        <f t="shared" si="190"/>
        <v>11371.908376190917</v>
      </c>
      <c r="M629" s="28" t="str">
        <f t="shared" si="178"/>
        <v/>
      </c>
      <c r="N629" s="27" t="str">
        <f t="shared" si="191"/>
        <v/>
      </c>
      <c r="O629" s="26" t="str">
        <f>IF(AND($Q628=$O$38,IFERROR(LARGE($V$176:$V628,1)&lt;$N$42,TRUE)),1,IF(AND(ISNUMBER($O628),$O628&lt;$N$32),$O628+1,""))</f>
        <v/>
      </c>
      <c r="P629" s="26" t="str">
        <f t="shared" si="192"/>
        <v/>
      </c>
      <c r="Q629" s="26" t="str">
        <f t="shared" si="179"/>
        <v/>
      </c>
      <c r="R629" s="24" t="str">
        <f t="shared" si="193"/>
        <v/>
      </c>
      <c r="S629" s="180">
        <f t="shared" si="173"/>
        <v>9</v>
      </c>
      <c r="T629" s="151"/>
      <c r="U629" s="25" t="str">
        <f t="shared" si="180"/>
        <v/>
      </c>
      <c r="V629" s="24" t="str">
        <f>IF(AND(ISNUMBER(R628),ISNUMBER(R629)),V628,IF(AND(R628="",ISNUMBER(R629)),IFERROR(LARGE($V$176:$V628,1)+1,0),""))</f>
        <v/>
      </c>
      <c r="W629" s="23" t="str">
        <f t="shared" si="181"/>
        <v/>
      </c>
      <c r="X629" s="22" t="str">
        <f t="shared" si="182"/>
        <v/>
      </c>
      <c r="Y629" s="22"/>
      <c r="Z629" s="22"/>
      <c r="AA629" s="22"/>
      <c r="AB629" s="22" t="str" cm="1">
        <f t="array" ref="AB629">IF(IF(AND($P628="",$P629=1),($N$37*-1),0)+IF(AND($Q628="",$Q629=1),($N$38*-1),0)+IF(IF(($K629-$N$48)&lt;1,0,IF(IF(INDEX($AD$176:$AD$905,($K629-$N$48))="",0,INDEX($AD$176:$AD$905,($K629-$N$48)))&gt;0,IF(INDEX($AD$176:$AD$905,($K629-$N$48))="",0,INDEX($AD$176:$AD$905,($K629-$N$48))),0))="",0,IF(($K629-$N$48)&lt;1,0,IF(IF(INDEX($AD$176:$AD$905,($K629-$N$48))="",0,INDEX($AD$176:$AD$905,($K629-$N$48)))&gt;0,IF(INDEX($AD$176:$AD$905,($K629-$N$48))="",0,INDEX($AD$176:$AD$905,($K629-$N$48))),0)))=0,"",IF(AND($P628="",$P629=1),($N$37*-1),0)+IF(AND($Q628="",$Q629=1),($N$38*-1),0)+IF(IF(($K629-$N$48)&lt;1,0,IF(IF(INDEX($AD$176:$AD$905,($K629-$N$48))="",0,INDEX($AD$176:$AD$905,($K629-$N$48)))&gt;0,IF(INDEX($AD$176:$AD$905,($K629-$N$48))="",0,INDEX($AD$176:$AD$905,($K629-$N$48))),0))="",0,IF(($K629-$N$48)&lt;1,0,IF(IF(INDEX($AD$176:$AD$905,($K629-$N$48))="",0,INDEX($AD$176:$AD$905,($K629-$N$48)))&gt;0,IF(INDEX($AD$176:$AD$905,($K629-$N$48))="",0,INDEX($AD$176:$AD$905,($K629-$N$48))),0))))</f>
        <v/>
      </c>
      <c r="AC629" s="22" t="str">
        <f t="shared" si="183"/>
        <v/>
      </c>
      <c r="AD629" s="22" t="str">
        <f t="shared" si="174"/>
        <v/>
      </c>
      <c r="AE629" s="22" t="str" cm="1">
        <f t="array" ref="AE629">IF(($K629-$N$48)&lt;1,"",IF((IF(INDEX($AC$176:$AC$905,($K629-$N$48))="",0,INDEX($AC$176:$AC$905,($K629-$N$48))))=0,"",(IF(INDEX($AC$176:$AC$905,($K629-$N$48))="",0,INDEX($AC$176:$AC$905,($K629-$N$48))))))</f>
        <v/>
      </c>
      <c r="AF629" s="31" t="str">
        <f t="shared" si="184"/>
        <v/>
      </c>
      <c r="AG629" s="31" t="str">
        <f t="shared" si="185"/>
        <v/>
      </c>
      <c r="AH629" s="31" t="str">
        <f t="shared" si="186"/>
        <v/>
      </c>
      <c r="AI629" s="31" t="str">
        <f t="shared" si="187"/>
        <v/>
      </c>
      <c r="AJ629" s="303" t="str">
        <f t="shared" si="188"/>
        <v/>
      </c>
      <c r="AK629" s="139" t="str">
        <f t="shared" si="189"/>
        <v/>
      </c>
      <c r="AM629" s="319"/>
      <c r="AN629" s="40"/>
      <c r="AO629" s="1"/>
    </row>
    <row r="630" spans="7:41" x14ac:dyDescent="0.25">
      <c r="G630" s="235" t="str">
        <f t="shared" si="175"/>
        <v/>
      </c>
      <c r="H630" s="4" t="str">
        <f t="shared" si="176"/>
        <v/>
      </c>
      <c r="I630" s="11" t="str">
        <f t="shared" si="177"/>
        <v>09.00</v>
      </c>
      <c r="K630" s="30">
        <v>455</v>
      </c>
      <c r="L630" s="29">
        <f t="shared" si="190"/>
        <v>11371.908376190917</v>
      </c>
      <c r="M630" s="28" t="str">
        <f t="shared" si="178"/>
        <v/>
      </c>
      <c r="N630" s="27" t="str">
        <f t="shared" si="191"/>
        <v/>
      </c>
      <c r="O630" s="26" t="str">
        <f>IF(AND($Q629=$O$38,IFERROR(LARGE($V$176:$V629,1)&lt;$N$42,TRUE)),1,IF(AND(ISNUMBER($O629),$O629&lt;$N$32),$O629+1,""))</f>
        <v/>
      </c>
      <c r="P630" s="26" t="str">
        <f t="shared" si="192"/>
        <v/>
      </c>
      <c r="Q630" s="26" t="str">
        <f t="shared" si="179"/>
        <v/>
      </c>
      <c r="R630" s="24" t="str">
        <f t="shared" si="193"/>
        <v/>
      </c>
      <c r="S630" s="180">
        <f t="shared" si="173"/>
        <v>9</v>
      </c>
      <c r="T630" s="151"/>
      <c r="U630" s="25" t="str">
        <f t="shared" si="180"/>
        <v/>
      </c>
      <c r="V630" s="24" t="str">
        <f>IF(AND(ISNUMBER(R629),ISNUMBER(R630)),V629,IF(AND(R629="",ISNUMBER(R630)),IFERROR(LARGE($V$176:$V629,1)+1,0),""))</f>
        <v/>
      </c>
      <c r="W630" s="23" t="str">
        <f t="shared" si="181"/>
        <v/>
      </c>
      <c r="X630" s="22" t="str">
        <f t="shared" si="182"/>
        <v/>
      </c>
      <c r="Y630" s="22"/>
      <c r="Z630" s="22"/>
      <c r="AA630" s="22"/>
      <c r="AB630" s="22" t="str" cm="1">
        <f t="array" ref="AB630">IF(IF(AND($P629="",$P630=1),($N$37*-1),0)+IF(AND($Q629="",$Q630=1),($N$38*-1),0)+IF(IF(($K630-$N$48)&lt;1,0,IF(IF(INDEX($AD$176:$AD$905,($K630-$N$48))="",0,INDEX($AD$176:$AD$905,($K630-$N$48)))&gt;0,IF(INDEX($AD$176:$AD$905,($K630-$N$48))="",0,INDEX($AD$176:$AD$905,($K630-$N$48))),0))="",0,IF(($K630-$N$48)&lt;1,0,IF(IF(INDEX($AD$176:$AD$905,($K630-$N$48))="",0,INDEX($AD$176:$AD$905,($K630-$N$48)))&gt;0,IF(INDEX($AD$176:$AD$905,($K630-$N$48))="",0,INDEX($AD$176:$AD$905,($K630-$N$48))),0)))=0,"",IF(AND($P629="",$P630=1),($N$37*-1),0)+IF(AND($Q629="",$Q630=1),($N$38*-1),0)+IF(IF(($K630-$N$48)&lt;1,0,IF(IF(INDEX($AD$176:$AD$905,($K630-$N$48))="",0,INDEX($AD$176:$AD$905,($K630-$N$48)))&gt;0,IF(INDEX($AD$176:$AD$905,($K630-$N$48))="",0,INDEX($AD$176:$AD$905,($K630-$N$48))),0))="",0,IF(($K630-$N$48)&lt;1,0,IF(IF(INDEX($AD$176:$AD$905,($K630-$N$48))="",0,INDEX($AD$176:$AD$905,($K630-$N$48)))&gt;0,IF(INDEX($AD$176:$AD$905,($K630-$N$48))="",0,INDEX($AD$176:$AD$905,($K630-$N$48))),0))))</f>
        <v/>
      </c>
      <c r="AC630" s="22" t="str">
        <f t="shared" si="183"/>
        <v/>
      </c>
      <c r="AD630" s="22" t="str">
        <f t="shared" si="174"/>
        <v/>
      </c>
      <c r="AE630" s="22" t="str" cm="1">
        <f t="array" ref="AE630">IF(($K630-$N$48)&lt;1,"",IF((IF(INDEX($AC$176:$AC$905,($K630-$N$48))="",0,INDEX($AC$176:$AC$905,($K630-$N$48))))=0,"",(IF(INDEX($AC$176:$AC$905,($K630-$N$48))="",0,INDEX($AC$176:$AC$905,($K630-$N$48))))))</f>
        <v/>
      </c>
      <c r="AF630" s="31" t="str">
        <f t="shared" si="184"/>
        <v/>
      </c>
      <c r="AG630" s="31" t="str">
        <f t="shared" si="185"/>
        <v/>
      </c>
      <c r="AH630" s="31" t="str">
        <f t="shared" si="186"/>
        <v/>
      </c>
      <c r="AI630" s="31" t="str">
        <f t="shared" si="187"/>
        <v/>
      </c>
      <c r="AJ630" s="303" t="str">
        <f t="shared" si="188"/>
        <v/>
      </c>
      <c r="AK630" s="139" t="str">
        <f t="shared" si="189"/>
        <v/>
      </c>
      <c r="AM630" s="319"/>
      <c r="AN630" s="40"/>
      <c r="AO630" s="1"/>
    </row>
    <row r="631" spans="7:41" x14ac:dyDescent="0.25">
      <c r="G631" s="235" t="str">
        <f t="shared" si="175"/>
        <v/>
      </c>
      <c r="H631" s="4" t="str">
        <f t="shared" si="176"/>
        <v/>
      </c>
      <c r="I631" s="11" t="str">
        <f t="shared" si="177"/>
        <v>09.00</v>
      </c>
      <c r="K631" s="30">
        <v>456</v>
      </c>
      <c r="L631" s="29">
        <f t="shared" si="190"/>
        <v>11371.908376190917</v>
      </c>
      <c r="M631" s="28" t="str">
        <f t="shared" si="178"/>
        <v/>
      </c>
      <c r="N631" s="27" t="str">
        <f t="shared" si="191"/>
        <v/>
      </c>
      <c r="O631" s="26" t="str">
        <f>IF(AND($Q630=$O$38,IFERROR(LARGE($V$176:$V630,1)&lt;$N$42,TRUE)),1,IF(AND(ISNUMBER($O630),$O630&lt;$N$32),$O630+1,""))</f>
        <v/>
      </c>
      <c r="P631" s="26" t="str">
        <f t="shared" si="192"/>
        <v/>
      </c>
      <c r="Q631" s="26" t="str">
        <f t="shared" si="179"/>
        <v/>
      </c>
      <c r="R631" s="24" t="str">
        <f t="shared" si="193"/>
        <v/>
      </c>
      <c r="S631" s="180">
        <f t="shared" si="173"/>
        <v>9</v>
      </c>
      <c r="T631" s="151"/>
      <c r="U631" s="25" t="str">
        <f t="shared" si="180"/>
        <v/>
      </c>
      <c r="V631" s="24" t="str">
        <f>IF(AND(ISNUMBER(R630),ISNUMBER(R631)),V630,IF(AND(R630="",ISNUMBER(R631)),IFERROR(LARGE($V$176:$V630,1)+1,0),""))</f>
        <v/>
      </c>
      <c r="W631" s="23" t="str">
        <f t="shared" si="181"/>
        <v/>
      </c>
      <c r="X631" s="22" t="str">
        <f t="shared" si="182"/>
        <v/>
      </c>
      <c r="Y631" s="22"/>
      <c r="Z631" s="22"/>
      <c r="AA631" s="22"/>
      <c r="AB631" s="22" t="str" cm="1">
        <f t="array" ref="AB631">IF(IF(AND($P630="",$P631=1),($N$37*-1),0)+IF(AND($Q630="",$Q631=1),($N$38*-1),0)+IF(IF(($K631-$N$48)&lt;1,0,IF(IF(INDEX($AD$176:$AD$905,($K631-$N$48))="",0,INDEX($AD$176:$AD$905,($K631-$N$48)))&gt;0,IF(INDEX($AD$176:$AD$905,($K631-$N$48))="",0,INDEX($AD$176:$AD$905,($K631-$N$48))),0))="",0,IF(($K631-$N$48)&lt;1,0,IF(IF(INDEX($AD$176:$AD$905,($K631-$N$48))="",0,INDEX($AD$176:$AD$905,($K631-$N$48)))&gt;0,IF(INDEX($AD$176:$AD$905,($K631-$N$48))="",0,INDEX($AD$176:$AD$905,($K631-$N$48))),0)))=0,"",IF(AND($P630="",$P631=1),($N$37*-1),0)+IF(AND($Q630="",$Q631=1),($N$38*-1),0)+IF(IF(($K631-$N$48)&lt;1,0,IF(IF(INDEX($AD$176:$AD$905,($K631-$N$48))="",0,INDEX($AD$176:$AD$905,($K631-$N$48)))&gt;0,IF(INDEX($AD$176:$AD$905,($K631-$N$48))="",0,INDEX($AD$176:$AD$905,($K631-$N$48))),0))="",0,IF(($K631-$N$48)&lt;1,0,IF(IF(INDEX($AD$176:$AD$905,($K631-$N$48))="",0,INDEX($AD$176:$AD$905,($K631-$N$48)))&gt;0,IF(INDEX($AD$176:$AD$905,($K631-$N$48))="",0,INDEX($AD$176:$AD$905,($K631-$N$48))),0))))</f>
        <v/>
      </c>
      <c r="AC631" s="22" t="str">
        <f t="shared" si="183"/>
        <v/>
      </c>
      <c r="AD631" s="22" t="str">
        <f t="shared" si="174"/>
        <v/>
      </c>
      <c r="AE631" s="22" t="str" cm="1">
        <f t="array" ref="AE631">IF(($K631-$N$48)&lt;1,"",IF((IF(INDEX($AC$176:$AC$905,($K631-$N$48))="",0,INDEX($AC$176:$AC$905,($K631-$N$48))))=0,"",(IF(INDEX($AC$176:$AC$905,($K631-$N$48))="",0,INDEX($AC$176:$AC$905,($K631-$N$48))))))</f>
        <v/>
      </c>
      <c r="AF631" s="31" t="str">
        <f t="shared" si="184"/>
        <v/>
      </c>
      <c r="AG631" s="31" t="str">
        <f t="shared" si="185"/>
        <v/>
      </c>
      <c r="AH631" s="31" t="str">
        <f t="shared" si="186"/>
        <v/>
      </c>
      <c r="AI631" s="31" t="str">
        <f t="shared" si="187"/>
        <v/>
      </c>
      <c r="AJ631" s="303" t="str">
        <f t="shared" si="188"/>
        <v/>
      </c>
      <c r="AK631" s="139" t="str">
        <f t="shared" si="189"/>
        <v/>
      </c>
      <c r="AM631" s="319"/>
      <c r="AN631" s="40"/>
      <c r="AO631" s="1"/>
    </row>
    <row r="632" spans="7:41" x14ac:dyDescent="0.25">
      <c r="G632" s="235" t="str">
        <f t="shared" si="175"/>
        <v/>
      </c>
      <c r="H632" s="4" t="str">
        <f t="shared" si="176"/>
        <v/>
      </c>
      <c r="I632" s="11" t="str">
        <f t="shared" si="177"/>
        <v>09.00</v>
      </c>
      <c r="K632" s="30">
        <v>457</v>
      </c>
      <c r="L632" s="29">
        <f t="shared" si="190"/>
        <v>11371.908376190917</v>
      </c>
      <c r="M632" s="28" t="str">
        <f t="shared" si="178"/>
        <v/>
      </c>
      <c r="N632" s="27" t="str">
        <f t="shared" si="191"/>
        <v/>
      </c>
      <c r="O632" s="26" t="str">
        <f>IF(AND($Q631=$O$38,IFERROR(LARGE($V$176:$V631,1)&lt;$N$42,TRUE)),1,IF(AND(ISNUMBER($O631),$O631&lt;$N$32),$O631+1,""))</f>
        <v/>
      </c>
      <c r="P632" s="26" t="str">
        <f t="shared" si="192"/>
        <v/>
      </c>
      <c r="Q632" s="26" t="str">
        <f t="shared" si="179"/>
        <v/>
      </c>
      <c r="R632" s="24" t="str">
        <f t="shared" si="193"/>
        <v/>
      </c>
      <c r="S632" s="180">
        <f t="shared" si="173"/>
        <v>9</v>
      </c>
      <c r="T632" s="151"/>
      <c r="U632" s="25" t="str">
        <f t="shared" si="180"/>
        <v/>
      </c>
      <c r="V632" s="24" t="str">
        <f>IF(AND(ISNUMBER(R631),ISNUMBER(R632)),V631,IF(AND(R631="",ISNUMBER(R632)),IFERROR(LARGE($V$176:$V631,1)+1,0),""))</f>
        <v/>
      </c>
      <c r="W632" s="23" t="str">
        <f t="shared" si="181"/>
        <v/>
      </c>
      <c r="X632" s="22" t="str">
        <f t="shared" si="182"/>
        <v/>
      </c>
      <c r="Y632" s="22"/>
      <c r="Z632" s="22"/>
      <c r="AA632" s="22"/>
      <c r="AB632" s="22" t="str" cm="1">
        <f t="array" ref="AB632">IF(IF(AND($P631="",$P632=1),($N$37*-1),0)+IF(AND($Q631="",$Q632=1),($N$38*-1),0)+IF(IF(($K632-$N$48)&lt;1,0,IF(IF(INDEX($AD$176:$AD$905,($K632-$N$48))="",0,INDEX($AD$176:$AD$905,($K632-$N$48)))&gt;0,IF(INDEX($AD$176:$AD$905,($K632-$N$48))="",0,INDEX($AD$176:$AD$905,($K632-$N$48))),0))="",0,IF(($K632-$N$48)&lt;1,0,IF(IF(INDEX($AD$176:$AD$905,($K632-$N$48))="",0,INDEX($AD$176:$AD$905,($K632-$N$48)))&gt;0,IF(INDEX($AD$176:$AD$905,($K632-$N$48))="",0,INDEX($AD$176:$AD$905,($K632-$N$48))),0)))=0,"",IF(AND($P631="",$P632=1),($N$37*-1),0)+IF(AND($Q631="",$Q632=1),($N$38*-1),0)+IF(IF(($K632-$N$48)&lt;1,0,IF(IF(INDEX($AD$176:$AD$905,($K632-$N$48))="",0,INDEX($AD$176:$AD$905,($K632-$N$48)))&gt;0,IF(INDEX($AD$176:$AD$905,($K632-$N$48))="",0,INDEX($AD$176:$AD$905,($K632-$N$48))),0))="",0,IF(($K632-$N$48)&lt;1,0,IF(IF(INDEX($AD$176:$AD$905,($K632-$N$48))="",0,INDEX($AD$176:$AD$905,($K632-$N$48)))&gt;0,IF(INDEX($AD$176:$AD$905,($K632-$N$48))="",0,INDEX($AD$176:$AD$905,($K632-$N$48))),0))))</f>
        <v/>
      </c>
      <c r="AC632" s="22" t="str">
        <f t="shared" si="183"/>
        <v/>
      </c>
      <c r="AD632" s="22" t="str">
        <f t="shared" si="174"/>
        <v/>
      </c>
      <c r="AE632" s="22" t="str" cm="1">
        <f t="array" ref="AE632">IF(($K632-$N$48)&lt;1,"",IF((IF(INDEX($AC$176:$AC$905,($K632-$N$48))="",0,INDEX($AC$176:$AC$905,($K632-$N$48))))=0,"",(IF(INDEX($AC$176:$AC$905,($K632-$N$48))="",0,INDEX($AC$176:$AC$905,($K632-$N$48))))))</f>
        <v/>
      </c>
      <c r="AF632" s="31" t="str">
        <f t="shared" si="184"/>
        <v/>
      </c>
      <c r="AG632" s="31" t="str">
        <f t="shared" si="185"/>
        <v/>
      </c>
      <c r="AH632" s="31" t="str">
        <f t="shared" si="186"/>
        <v/>
      </c>
      <c r="AI632" s="31" t="str">
        <f t="shared" si="187"/>
        <v/>
      </c>
      <c r="AJ632" s="303" t="str">
        <f t="shared" si="188"/>
        <v/>
      </c>
      <c r="AK632" s="139" t="str">
        <f t="shared" si="189"/>
        <v/>
      </c>
      <c r="AM632" s="319"/>
      <c r="AN632" s="40"/>
      <c r="AO632" s="1"/>
    </row>
    <row r="633" spans="7:41" x14ac:dyDescent="0.25">
      <c r="G633" s="235" t="str">
        <f t="shared" si="175"/>
        <v/>
      </c>
      <c r="H633" s="4" t="str">
        <f t="shared" si="176"/>
        <v/>
      </c>
      <c r="I633" s="11" t="str">
        <f t="shared" si="177"/>
        <v>09.00</v>
      </c>
      <c r="K633" s="30">
        <v>458</v>
      </c>
      <c r="L633" s="29">
        <f t="shared" si="190"/>
        <v>11371.908376190917</v>
      </c>
      <c r="M633" s="28" t="str">
        <f t="shared" si="178"/>
        <v/>
      </c>
      <c r="N633" s="27" t="str">
        <f t="shared" si="191"/>
        <v/>
      </c>
      <c r="O633" s="26" t="str">
        <f>IF(AND($Q632=$O$38,IFERROR(LARGE($V$176:$V632,1)&lt;$N$42,TRUE)),1,IF(AND(ISNUMBER($O632),$O632&lt;$N$32),$O632+1,""))</f>
        <v/>
      </c>
      <c r="P633" s="26" t="str">
        <f t="shared" si="192"/>
        <v/>
      </c>
      <c r="Q633" s="26" t="str">
        <f t="shared" si="179"/>
        <v/>
      </c>
      <c r="R633" s="24" t="str">
        <f t="shared" si="193"/>
        <v/>
      </c>
      <c r="S633" s="180">
        <f t="shared" si="173"/>
        <v>9</v>
      </c>
      <c r="T633" s="151"/>
      <c r="U633" s="25" t="str">
        <f t="shared" si="180"/>
        <v/>
      </c>
      <c r="V633" s="24" t="str">
        <f>IF(AND(ISNUMBER(R632),ISNUMBER(R633)),V632,IF(AND(R632="",ISNUMBER(R633)),IFERROR(LARGE($V$176:$V632,1)+1,0),""))</f>
        <v/>
      </c>
      <c r="W633" s="23" t="str">
        <f t="shared" si="181"/>
        <v/>
      </c>
      <c r="X633" s="22" t="str">
        <f t="shared" si="182"/>
        <v/>
      </c>
      <c r="Y633" s="22"/>
      <c r="Z633" s="22"/>
      <c r="AA633" s="22"/>
      <c r="AB633" s="22" t="str" cm="1">
        <f t="array" ref="AB633">IF(IF(AND($P632="",$P633=1),($N$37*-1),0)+IF(AND($Q632="",$Q633=1),($N$38*-1),0)+IF(IF(($K633-$N$48)&lt;1,0,IF(IF(INDEX($AD$176:$AD$905,($K633-$N$48))="",0,INDEX($AD$176:$AD$905,($K633-$N$48)))&gt;0,IF(INDEX($AD$176:$AD$905,($K633-$N$48))="",0,INDEX($AD$176:$AD$905,($K633-$N$48))),0))="",0,IF(($K633-$N$48)&lt;1,0,IF(IF(INDEX($AD$176:$AD$905,($K633-$N$48))="",0,INDEX($AD$176:$AD$905,($K633-$N$48)))&gt;0,IF(INDEX($AD$176:$AD$905,($K633-$N$48))="",0,INDEX($AD$176:$AD$905,($K633-$N$48))),0)))=0,"",IF(AND($P632="",$P633=1),($N$37*-1),0)+IF(AND($Q632="",$Q633=1),($N$38*-1),0)+IF(IF(($K633-$N$48)&lt;1,0,IF(IF(INDEX($AD$176:$AD$905,($K633-$N$48))="",0,INDEX($AD$176:$AD$905,($K633-$N$48)))&gt;0,IF(INDEX($AD$176:$AD$905,($K633-$N$48))="",0,INDEX($AD$176:$AD$905,($K633-$N$48))),0))="",0,IF(($K633-$N$48)&lt;1,0,IF(IF(INDEX($AD$176:$AD$905,($K633-$N$48))="",0,INDEX($AD$176:$AD$905,($K633-$N$48)))&gt;0,IF(INDEX($AD$176:$AD$905,($K633-$N$48))="",0,INDEX($AD$176:$AD$905,($K633-$N$48))),0))))</f>
        <v/>
      </c>
      <c r="AC633" s="22" t="str">
        <f t="shared" si="183"/>
        <v/>
      </c>
      <c r="AD633" s="22" t="str">
        <f t="shared" si="174"/>
        <v/>
      </c>
      <c r="AE633" s="22" t="str" cm="1">
        <f t="array" ref="AE633">IF(($K633-$N$48)&lt;1,"",IF((IF(INDEX($AC$176:$AC$905,($K633-$N$48))="",0,INDEX($AC$176:$AC$905,($K633-$N$48))))=0,"",(IF(INDEX($AC$176:$AC$905,($K633-$N$48))="",0,INDEX($AC$176:$AC$905,($K633-$N$48))))))</f>
        <v/>
      </c>
      <c r="AF633" s="31" t="str">
        <f t="shared" si="184"/>
        <v/>
      </c>
      <c r="AG633" s="31" t="str">
        <f t="shared" si="185"/>
        <v/>
      </c>
      <c r="AH633" s="31" t="str">
        <f t="shared" si="186"/>
        <v/>
      </c>
      <c r="AI633" s="31" t="str">
        <f t="shared" si="187"/>
        <v/>
      </c>
      <c r="AJ633" s="303" t="str">
        <f t="shared" si="188"/>
        <v/>
      </c>
      <c r="AK633" s="139" t="str">
        <f t="shared" si="189"/>
        <v/>
      </c>
      <c r="AM633" s="319"/>
      <c r="AN633" s="40"/>
      <c r="AO633" s="1"/>
    </row>
    <row r="634" spans="7:41" x14ac:dyDescent="0.25">
      <c r="G634" s="235" t="str">
        <f t="shared" si="175"/>
        <v/>
      </c>
      <c r="H634" s="4" t="str">
        <f t="shared" si="176"/>
        <v/>
      </c>
      <c r="I634" s="11" t="str">
        <f t="shared" si="177"/>
        <v>09.00</v>
      </c>
      <c r="K634" s="30">
        <v>459</v>
      </c>
      <c r="L634" s="29">
        <f t="shared" si="190"/>
        <v>11371.908376190917</v>
      </c>
      <c r="M634" s="28" t="str">
        <f t="shared" si="178"/>
        <v/>
      </c>
      <c r="N634" s="27" t="str">
        <f t="shared" si="191"/>
        <v/>
      </c>
      <c r="O634" s="26" t="str">
        <f>IF(AND($Q633=$O$38,IFERROR(LARGE($V$176:$V633,1)&lt;$N$42,TRUE)),1,IF(AND(ISNUMBER($O633),$O633&lt;$N$32),$O633+1,""))</f>
        <v/>
      </c>
      <c r="P634" s="26" t="str">
        <f t="shared" si="192"/>
        <v/>
      </c>
      <c r="Q634" s="26" t="str">
        <f t="shared" si="179"/>
        <v/>
      </c>
      <c r="R634" s="24" t="str">
        <f t="shared" si="193"/>
        <v/>
      </c>
      <c r="S634" s="180">
        <f t="shared" si="173"/>
        <v>9</v>
      </c>
      <c r="T634" s="151"/>
      <c r="U634" s="25" t="str">
        <f t="shared" si="180"/>
        <v/>
      </c>
      <c r="V634" s="24" t="str">
        <f>IF(AND(ISNUMBER(R633),ISNUMBER(R634)),V633,IF(AND(R633="",ISNUMBER(R634)),IFERROR(LARGE($V$176:$V633,1)+1,0),""))</f>
        <v/>
      </c>
      <c r="W634" s="23" t="str">
        <f t="shared" si="181"/>
        <v/>
      </c>
      <c r="X634" s="22" t="str">
        <f t="shared" si="182"/>
        <v/>
      </c>
      <c r="Y634" s="22"/>
      <c r="Z634" s="22"/>
      <c r="AA634" s="22"/>
      <c r="AB634" s="22" t="str" cm="1">
        <f t="array" ref="AB634">IF(IF(AND($P633="",$P634=1),($N$37*-1),0)+IF(AND($Q633="",$Q634=1),($N$38*-1),0)+IF(IF(($K634-$N$48)&lt;1,0,IF(IF(INDEX($AD$176:$AD$905,($K634-$N$48))="",0,INDEX($AD$176:$AD$905,($K634-$N$48)))&gt;0,IF(INDEX($AD$176:$AD$905,($K634-$N$48))="",0,INDEX($AD$176:$AD$905,($K634-$N$48))),0))="",0,IF(($K634-$N$48)&lt;1,0,IF(IF(INDEX($AD$176:$AD$905,($K634-$N$48))="",0,INDEX($AD$176:$AD$905,($K634-$N$48)))&gt;0,IF(INDEX($AD$176:$AD$905,($K634-$N$48))="",0,INDEX($AD$176:$AD$905,($K634-$N$48))),0)))=0,"",IF(AND($P633="",$P634=1),($N$37*-1),0)+IF(AND($Q633="",$Q634=1),($N$38*-1),0)+IF(IF(($K634-$N$48)&lt;1,0,IF(IF(INDEX($AD$176:$AD$905,($K634-$N$48))="",0,INDEX($AD$176:$AD$905,($K634-$N$48)))&gt;0,IF(INDEX($AD$176:$AD$905,($K634-$N$48))="",0,INDEX($AD$176:$AD$905,($K634-$N$48))),0))="",0,IF(($K634-$N$48)&lt;1,0,IF(IF(INDEX($AD$176:$AD$905,($K634-$N$48))="",0,INDEX($AD$176:$AD$905,($K634-$N$48)))&gt;0,IF(INDEX($AD$176:$AD$905,($K634-$N$48))="",0,INDEX($AD$176:$AD$905,($K634-$N$48))),0))))</f>
        <v/>
      </c>
      <c r="AC634" s="22" t="str">
        <f t="shared" si="183"/>
        <v/>
      </c>
      <c r="AD634" s="22" t="str">
        <f t="shared" si="174"/>
        <v/>
      </c>
      <c r="AE634" s="22" t="str" cm="1">
        <f t="array" ref="AE634">IF(($K634-$N$48)&lt;1,"",IF((IF(INDEX($AC$176:$AC$905,($K634-$N$48))="",0,INDEX($AC$176:$AC$905,($K634-$N$48))))=0,"",(IF(INDEX($AC$176:$AC$905,($K634-$N$48))="",0,INDEX($AC$176:$AC$905,($K634-$N$48))))))</f>
        <v/>
      </c>
      <c r="AF634" s="31" t="str">
        <f t="shared" si="184"/>
        <v/>
      </c>
      <c r="AG634" s="31" t="str">
        <f t="shared" si="185"/>
        <v/>
      </c>
      <c r="AH634" s="31" t="str">
        <f t="shared" si="186"/>
        <v/>
      </c>
      <c r="AI634" s="31" t="str">
        <f t="shared" si="187"/>
        <v/>
      </c>
      <c r="AJ634" s="303" t="str">
        <f t="shared" si="188"/>
        <v/>
      </c>
      <c r="AK634" s="139" t="str">
        <f t="shared" si="189"/>
        <v/>
      </c>
      <c r="AM634" s="319"/>
      <c r="AN634" s="40"/>
      <c r="AO634" s="1"/>
    </row>
    <row r="635" spans="7:41" x14ac:dyDescent="0.25">
      <c r="G635" s="235" t="str">
        <f t="shared" si="175"/>
        <v/>
      </c>
      <c r="H635" s="4" t="str">
        <f t="shared" si="176"/>
        <v/>
      </c>
      <c r="I635" s="11" t="str">
        <f t="shared" si="177"/>
        <v>09.00</v>
      </c>
      <c r="K635" s="30">
        <v>460</v>
      </c>
      <c r="L635" s="29">
        <f t="shared" si="190"/>
        <v>11371.908376190917</v>
      </c>
      <c r="M635" s="28" t="str">
        <f t="shared" si="178"/>
        <v/>
      </c>
      <c r="N635" s="27" t="str">
        <f t="shared" si="191"/>
        <v/>
      </c>
      <c r="O635" s="26" t="str">
        <f>IF(AND($Q634=$O$38,IFERROR(LARGE($V$176:$V634,1)&lt;$N$42,TRUE)),1,IF(AND(ISNUMBER($O634),$O634&lt;$N$32),$O634+1,""))</f>
        <v/>
      </c>
      <c r="P635" s="26" t="str">
        <f t="shared" si="192"/>
        <v/>
      </c>
      <c r="Q635" s="26" t="str">
        <f t="shared" si="179"/>
        <v/>
      </c>
      <c r="R635" s="24" t="str">
        <f t="shared" si="193"/>
        <v/>
      </c>
      <c r="S635" s="180">
        <f t="shared" si="173"/>
        <v>9</v>
      </c>
      <c r="T635" s="151"/>
      <c r="U635" s="25" t="str">
        <f t="shared" si="180"/>
        <v/>
      </c>
      <c r="V635" s="24" t="str">
        <f>IF(AND(ISNUMBER(R634),ISNUMBER(R635)),V634,IF(AND(R634="",ISNUMBER(R635)),IFERROR(LARGE($V$176:$V634,1)+1,0),""))</f>
        <v/>
      </c>
      <c r="W635" s="23" t="str">
        <f t="shared" si="181"/>
        <v/>
      </c>
      <c r="X635" s="22" t="str">
        <f t="shared" si="182"/>
        <v/>
      </c>
      <c r="Y635" s="22"/>
      <c r="Z635" s="22"/>
      <c r="AA635" s="22"/>
      <c r="AB635" s="22" t="str" cm="1">
        <f t="array" ref="AB635">IF(IF(AND($P634="",$P635=1),($N$37*-1),0)+IF(AND($Q634="",$Q635=1),($N$38*-1),0)+IF(IF(($K635-$N$48)&lt;1,0,IF(IF(INDEX($AD$176:$AD$905,($K635-$N$48))="",0,INDEX($AD$176:$AD$905,($K635-$N$48)))&gt;0,IF(INDEX($AD$176:$AD$905,($K635-$N$48))="",0,INDEX($AD$176:$AD$905,($K635-$N$48))),0))="",0,IF(($K635-$N$48)&lt;1,0,IF(IF(INDEX($AD$176:$AD$905,($K635-$N$48))="",0,INDEX($AD$176:$AD$905,($K635-$N$48)))&gt;0,IF(INDEX($AD$176:$AD$905,($K635-$N$48))="",0,INDEX($AD$176:$AD$905,($K635-$N$48))),0)))=0,"",IF(AND($P634="",$P635=1),($N$37*-1),0)+IF(AND($Q634="",$Q635=1),($N$38*-1),0)+IF(IF(($K635-$N$48)&lt;1,0,IF(IF(INDEX($AD$176:$AD$905,($K635-$N$48))="",0,INDEX($AD$176:$AD$905,($K635-$N$48)))&gt;0,IF(INDEX($AD$176:$AD$905,($K635-$N$48))="",0,INDEX($AD$176:$AD$905,($K635-$N$48))),0))="",0,IF(($K635-$N$48)&lt;1,0,IF(IF(INDEX($AD$176:$AD$905,($K635-$N$48))="",0,INDEX($AD$176:$AD$905,($K635-$N$48)))&gt;0,IF(INDEX($AD$176:$AD$905,($K635-$N$48))="",0,INDEX($AD$176:$AD$905,($K635-$N$48))),0))))</f>
        <v/>
      </c>
      <c r="AC635" s="22" t="str">
        <f t="shared" si="183"/>
        <v/>
      </c>
      <c r="AD635" s="22" t="str">
        <f t="shared" si="174"/>
        <v/>
      </c>
      <c r="AE635" s="22" t="str" cm="1">
        <f t="array" ref="AE635">IF(($K635-$N$48)&lt;1,"",IF((IF(INDEX($AC$176:$AC$905,($K635-$N$48))="",0,INDEX($AC$176:$AC$905,($K635-$N$48))))=0,"",(IF(INDEX($AC$176:$AC$905,($K635-$N$48))="",0,INDEX($AC$176:$AC$905,($K635-$N$48))))))</f>
        <v/>
      </c>
      <c r="AF635" s="31" t="str">
        <f t="shared" si="184"/>
        <v/>
      </c>
      <c r="AG635" s="31" t="str">
        <f t="shared" si="185"/>
        <v/>
      </c>
      <c r="AH635" s="31" t="str">
        <f t="shared" si="186"/>
        <v/>
      </c>
      <c r="AI635" s="31" t="str">
        <f t="shared" si="187"/>
        <v/>
      </c>
      <c r="AJ635" s="303" t="str">
        <f t="shared" si="188"/>
        <v/>
      </c>
      <c r="AK635" s="139" t="str">
        <f t="shared" si="189"/>
        <v/>
      </c>
      <c r="AM635" s="319"/>
      <c r="AN635" s="40"/>
      <c r="AO635" s="1"/>
    </row>
    <row r="636" spans="7:41" x14ac:dyDescent="0.25">
      <c r="G636" s="235" t="str">
        <f t="shared" si="175"/>
        <v/>
      </c>
      <c r="H636" s="4" t="str">
        <f t="shared" si="176"/>
        <v/>
      </c>
      <c r="I636" s="11" t="str">
        <f t="shared" si="177"/>
        <v>09.00</v>
      </c>
      <c r="K636" s="30">
        <v>461</v>
      </c>
      <c r="L636" s="29">
        <f t="shared" si="190"/>
        <v>11371.908376190917</v>
      </c>
      <c r="M636" s="28" t="str">
        <f t="shared" si="178"/>
        <v/>
      </c>
      <c r="N636" s="27" t="str">
        <f t="shared" si="191"/>
        <v/>
      </c>
      <c r="O636" s="26" t="str">
        <f>IF(AND($Q635=$O$38,IFERROR(LARGE($V$176:$V635,1)&lt;$N$42,TRUE)),1,IF(AND(ISNUMBER($O635),$O635&lt;$N$32),$O635+1,""))</f>
        <v/>
      </c>
      <c r="P636" s="26" t="str">
        <f t="shared" si="192"/>
        <v/>
      </c>
      <c r="Q636" s="26" t="str">
        <f t="shared" si="179"/>
        <v/>
      </c>
      <c r="R636" s="24" t="str">
        <f t="shared" si="193"/>
        <v/>
      </c>
      <c r="S636" s="180">
        <f t="shared" ref="S636:S699" si="194">IF($Q636=1,ROUNDDOWN($S635,0)+1,IF($R636=1,$S635+0.01,IF(ISNUMBER($U636),IF(AND($U636&gt;1,($U636-$U635)=1),$S635+0.01,$S635),$S635)))</f>
        <v>9</v>
      </c>
      <c r="T636" s="151"/>
      <c r="U636" s="25" t="str">
        <f t="shared" si="180"/>
        <v/>
      </c>
      <c r="V636" s="24" t="str">
        <f>IF(AND(ISNUMBER(R635),ISNUMBER(R636)),V635,IF(AND(R635="",ISNUMBER(R636)),IFERROR(LARGE($V$176:$V635,1)+1,0),""))</f>
        <v/>
      </c>
      <c r="W636" s="23" t="str">
        <f t="shared" si="181"/>
        <v/>
      </c>
      <c r="X636" s="22" t="str">
        <f t="shared" si="182"/>
        <v/>
      </c>
      <c r="Y636" s="22"/>
      <c r="Z636" s="22"/>
      <c r="AA636" s="22"/>
      <c r="AB636" s="22" t="str" cm="1">
        <f t="array" ref="AB636">IF(IF(AND($P635="",$P636=1),($N$37*-1),0)+IF(AND($Q635="",$Q636=1),($N$38*-1),0)+IF(IF(($K636-$N$48)&lt;1,0,IF(IF(INDEX($AD$176:$AD$905,($K636-$N$48))="",0,INDEX($AD$176:$AD$905,($K636-$N$48)))&gt;0,IF(INDEX($AD$176:$AD$905,($K636-$N$48))="",0,INDEX($AD$176:$AD$905,($K636-$N$48))),0))="",0,IF(($K636-$N$48)&lt;1,0,IF(IF(INDEX($AD$176:$AD$905,($K636-$N$48))="",0,INDEX($AD$176:$AD$905,($K636-$N$48)))&gt;0,IF(INDEX($AD$176:$AD$905,($K636-$N$48))="",0,INDEX($AD$176:$AD$905,($K636-$N$48))),0)))=0,"",IF(AND($P635="",$P636=1),($N$37*-1),0)+IF(AND($Q635="",$Q636=1),($N$38*-1),0)+IF(IF(($K636-$N$48)&lt;1,0,IF(IF(INDEX($AD$176:$AD$905,($K636-$N$48))="",0,INDEX($AD$176:$AD$905,($K636-$N$48)))&gt;0,IF(INDEX($AD$176:$AD$905,($K636-$N$48))="",0,INDEX($AD$176:$AD$905,($K636-$N$48))),0))="",0,IF(($K636-$N$48)&lt;1,0,IF(IF(INDEX($AD$176:$AD$905,($K636-$N$48))="",0,INDEX($AD$176:$AD$905,($K636-$N$48)))&gt;0,IF(INDEX($AD$176:$AD$905,($K636-$N$48))="",0,INDEX($AD$176:$AD$905,($K636-$N$48))),0))))</f>
        <v/>
      </c>
      <c r="AC636" s="22" t="str">
        <f t="shared" si="183"/>
        <v/>
      </c>
      <c r="AD636" s="22" t="str">
        <f t="shared" si="174"/>
        <v/>
      </c>
      <c r="AE636" s="22" t="str" cm="1">
        <f t="array" ref="AE636">IF(($K636-$N$48)&lt;1,"",IF((IF(INDEX($AC$176:$AC$905,($K636-$N$48))="",0,INDEX($AC$176:$AC$905,($K636-$N$48))))=0,"",(IF(INDEX($AC$176:$AC$905,($K636-$N$48))="",0,INDEX($AC$176:$AC$905,($K636-$N$48))))))</f>
        <v/>
      </c>
      <c r="AF636" s="31" t="str">
        <f t="shared" si="184"/>
        <v/>
      </c>
      <c r="AG636" s="31" t="str">
        <f t="shared" si="185"/>
        <v/>
      </c>
      <c r="AH636" s="31" t="str">
        <f t="shared" si="186"/>
        <v/>
      </c>
      <c r="AI636" s="31" t="str">
        <f t="shared" si="187"/>
        <v/>
      </c>
      <c r="AJ636" s="303" t="str">
        <f t="shared" si="188"/>
        <v/>
      </c>
      <c r="AK636" s="139" t="str">
        <f t="shared" si="189"/>
        <v/>
      </c>
      <c r="AM636" s="319"/>
      <c r="AN636" s="40"/>
      <c r="AO636" s="1"/>
    </row>
    <row r="637" spans="7:41" x14ac:dyDescent="0.25">
      <c r="G637" s="235" t="str">
        <f t="shared" si="175"/>
        <v/>
      </c>
      <c r="H637" s="4" t="str">
        <f t="shared" si="176"/>
        <v/>
      </c>
      <c r="I637" s="11" t="str">
        <f t="shared" si="177"/>
        <v>09.00</v>
      </c>
      <c r="K637" s="30">
        <v>462</v>
      </c>
      <c r="L637" s="29">
        <f t="shared" si="190"/>
        <v>11371.908376190917</v>
      </c>
      <c r="M637" s="28" t="str">
        <f t="shared" si="178"/>
        <v/>
      </c>
      <c r="N637" s="27" t="str">
        <f t="shared" si="191"/>
        <v/>
      </c>
      <c r="O637" s="26" t="str">
        <f>IF(AND($Q636=$O$38,IFERROR(LARGE($V$176:$V636,1)&lt;$N$42,TRUE)),1,IF(AND(ISNUMBER($O636),$O636&lt;$N$32),$O636+1,""))</f>
        <v/>
      </c>
      <c r="P637" s="26" t="str">
        <f t="shared" si="192"/>
        <v/>
      </c>
      <c r="Q637" s="26" t="str">
        <f t="shared" si="179"/>
        <v/>
      </c>
      <c r="R637" s="24" t="str">
        <f t="shared" si="193"/>
        <v/>
      </c>
      <c r="S637" s="180">
        <f t="shared" si="194"/>
        <v>9</v>
      </c>
      <c r="T637" s="151"/>
      <c r="U637" s="25" t="str">
        <f t="shared" si="180"/>
        <v/>
      </c>
      <c r="V637" s="24" t="str">
        <f>IF(AND(ISNUMBER(R636),ISNUMBER(R637)),V636,IF(AND(R636="",ISNUMBER(R637)),IFERROR(LARGE($V$176:$V636,1)+1,0),""))</f>
        <v/>
      </c>
      <c r="W637" s="23" t="str">
        <f t="shared" si="181"/>
        <v/>
      </c>
      <c r="X637" s="22" t="str">
        <f t="shared" si="182"/>
        <v/>
      </c>
      <c r="Y637" s="22"/>
      <c r="Z637" s="22"/>
      <c r="AA637" s="22"/>
      <c r="AB637" s="22" t="str" cm="1">
        <f t="array" ref="AB637">IF(IF(AND($P636="",$P637=1),($N$37*-1),0)+IF(AND($Q636="",$Q637=1),($N$38*-1),0)+IF(IF(($K637-$N$48)&lt;1,0,IF(IF(INDEX($AD$176:$AD$905,($K637-$N$48))="",0,INDEX($AD$176:$AD$905,($K637-$N$48)))&gt;0,IF(INDEX($AD$176:$AD$905,($K637-$N$48))="",0,INDEX($AD$176:$AD$905,($K637-$N$48))),0))="",0,IF(($K637-$N$48)&lt;1,0,IF(IF(INDEX($AD$176:$AD$905,($K637-$N$48))="",0,INDEX($AD$176:$AD$905,($K637-$N$48)))&gt;0,IF(INDEX($AD$176:$AD$905,($K637-$N$48))="",0,INDEX($AD$176:$AD$905,($K637-$N$48))),0)))=0,"",IF(AND($P636="",$P637=1),($N$37*-1),0)+IF(AND($Q636="",$Q637=1),($N$38*-1),0)+IF(IF(($K637-$N$48)&lt;1,0,IF(IF(INDEX($AD$176:$AD$905,($K637-$N$48))="",0,INDEX($AD$176:$AD$905,($K637-$N$48)))&gt;0,IF(INDEX($AD$176:$AD$905,($K637-$N$48))="",0,INDEX($AD$176:$AD$905,($K637-$N$48))),0))="",0,IF(($K637-$N$48)&lt;1,0,IF(IF(INDEX($AD$176:$AD$905,($K637-$N$48))="",0,INDEX($AD$176:$AD$905,($K637-$N$48)))&gt;0,IF(INDEX($AD$176:$AD$905,($K637-$N$48))="",0,INDEX($AD$176:$AD$905,($K637-$N$48))),0))))</f>
        <v/>
      </c>
      <c r="AC637" s="22" t="str">
        <f t="shared" si="183"/>
        <v/>
      </c>
      <c r="AD637" s="22" t="str">
        <f t="shared" si="174"/>
        <v/>
      </c>
      <c r="AE637" s="22" t="str" cm="1">
        <f t="array" ref="AE637">IF(($K637-$N$48)&lt;1,"",IF((IF(INDEX($AC$176:$AC$905,($K637-$N$48))="",0,INDEX($AC$176:$AC$905,($K637-$N$48))))=0,"",(IF(INDEX($AC$176:$AC$905,($K637-$N$48))="",0,INDEX($AC$176:$AC$905,($K637-$N$48))))))</f>
        <v/>
      </c>
      <c r="AF637" s="31" t="str">
        <f t="shared" si="184"/>
        <v/>
      </c>
      <c r="AG637" s="31" t="str">
        <f t="shared" si="185"/>
        <v/>
      </c>
      <c r="AH637" s="31" t="str">
        <f t="shared" si="186"/>
        <v/>
      </c>
      <c r="AI637" s="31" t="str">
        <f t="shared" si="187"/>
        <v/>
      </c>
      <c r="AJ637" s="303" t="str">
        <f t="shared" si="188"/>
        <v/>
      </c>
      <c r="AK637" s="139" t="str">
        <f t="shared" si="189"/>
        <v/>
      </c>
      <c r="AM637" s="319"/>
      <c r="AN637" s="40"/>
      <c r="AO637" s="1"/>
    </row>
    <row r="638" spans="7:41" x14ac:dyDescent="0.25">
      <c r="G638" s="235" t="str">
        <f t="shared" si="175"/>
        <v/>
      </c>
      <c r="H638" s="4" t="str">
        <f t="shared" si="176"/>
        <v/>
      </c>
      <c r="I638" s="11" t="str">
        <f t="shared" si="177"/>
        <v>09.00</v>
      </c>
      <c r="K638" s="30">
        <v>463</v>
      </c>
      <c r="L638" s="29">
        <f t="shared" si="190"/>
        <v>11371.908376190917</v>
      </c>
      <c r="M638" s="28" t="str">
        <f t="shared" si="178"/>
        <v/>
      </c>
      <c r="N638" s="27" t="str">
        <f t="shared" si="191"/>
        <v/>
      </c>
      <c r="O638" s="26" t="str">
        <f>IF(AND($Q637=$O$38,IFERROR(LARGE($V$176:$V637,1)&lt;$N$42,TRUE)),1,IF(AND(ISNUMBER($O637),$O637&lt;$N$32),$O637+1,""))</f>
        <v/>
      </c>
      <c r="P638" s="26" t="str">
        <f t="shared" si="192"/>
        <v/>
      </c>
      <c r="Q638" s="26" t="str">
        <f t="shared" si="179"/>
        <v/>
      </c>
      <c r="R638" s="24" t="str">
        <f t="shared" si="193"/>
        <v/>
      </c>
      <c r="S638" s="180">
        <f t="shared" si="194"/>
        <v>9</v>
      </c>
      <c r="T638" s="151"/>
      <c r="U638" s="25" t="str">
        <f t="shared" si="180"/>
        <v/>
      </c>
      <c r="V638" s="24" t="str">
        <f>IF(AND(ISNUMBER(R637),ISNUMBER(R638)),V637,IF(AND(R637="",ISNUMBER(R638)),IFERROR(LARGE($V$176:$V637,1)+1,0),""))</f>
        <v/>
      </c>
      <c r="W638" s="23" t="str">
        <f t="shared" si="181"/>
        <v/>
      </c>
      <c r="X638" s="22" t="str">
        <f t="shared" si="182"/>
        <v/>
      </c>
      <c r="Y638" s="22"/>
      <c r="Z638" s="22"/>
      <c r="AA638" s="22"/>
      <c r="AB638" s="22" t="str" cm="1">
        <f t="array" ref="AB638">IF(IF(AND($P637="",$P638=1),($N$37*-1),0)+IF(AND($Q637="",$Q638=1),($N$38*-1),0)+IF(IF(($K638-$N$48)&lt;1,0,IF(IF(INDEX($AD$176:$AD$905,($K638-$N$48))="",0,INDEX($AD$176:$AD$905,($K638-$N$48)))&gt;0,IF(INDEX($AD$176:$AD$905,($K638-$N$48))="",0,INDEX($AD$176:$AD$905,($K638-$N$48))),0))="",0,IF(($K638-$N$48)&lt;1,0,IF(IF(INDEX($AD$176:$AD$905,($K638-$N$48))="",0,INDEX($AD$176:$AD$905,($K638-$N$48)))&gt;0,IF(INDEX($AD$176:$AD$905,($K638-$N$48))="",0,INDEX($AD$176:$AD$905,($K638-$N$48))),0)))=0,"",IF(AND($P637="",$P638=1),($N$37*-1),0)+IF(AND($Q637="",$Q638=1),($N$38*-1),0)+IF(IF(($K638-$N$48)&lt;1,0,IF(IF(INDEX($AD$176:$AD$905,($K638-$N$48))="",0,INDEX($AD$176:$AD$905,($K638-$N$48)))&gt;0,IF(INDEX($AD$176:$AD$905,($K638-$N$48))="",0,INDEX($AD$176:$AD$905,($K638-$N$48))),0))="",0,IF(($K638-$N$48)&lt;1,0,IF(IF(INDEX($AD$176:$AD$905,($K638-$N$48))="",0,INDEX($AD$176:$AD$905,($K638-$N$48)))&gt;0,IF(INDEX($AD$176:$AD$905,($K638-$N$48))="",0,INDEX($AD$176:$AD$905,($K638-$N$48))),0))))</f>
        <v/>
      </c>
      <c r="AC638" s="22" t="str">
        <f t="shared" si="183"/>
        <v/>
      </c>
      <c r="AD638" s="22" t="str">
        <f t="shared" si="174"/>
        <v/>
      </c>
      <c r="AE638" s="22" t="str" cm="1">
        <f t="array" ref="AE638">IF(($K638-$N$48)&lt;1,"",IF((IF(INDEX($AC$176:$AC$905,($K638-$N$48))="",0,INDEX($AC$176:$AC$905,($K638-$N$48))))=0,"",(IF(INDEX($AC$176:$AC$905,($K638-$N$48))="",0,INDEX($AC$176:$AC$905,($K638-$N$48))))))</f>
        <v/>
      </c>
      <c r="AF638" s="31" t="str">
        <f t="shared" si="184"/>
        <v/>
      </c>
      <c r="AG638" s="31" t="str">
        <f t="shared" si="185"/>
        <v/>
      </c>
      <c r="AH638" s="31" t="str">
        <f t="shared" si="186"/>
        <v/>
      </c>
      <c r="AI638" s="31" t="str">
        <f t="shared" si="187"/>
        <v/>
      </c>
      <c r="AJ638" s="303" t="str">
        <f t="shared" si="188"/>
        <v/>
      </c>
      <c r="AK638" s="139" t="str">
        <f t="shared" si="189"/>
        <v/>
      </c>
      <c r="AM638" s="319"/>
      <c r="AN638" s="40"/>
      <c r="AO638" s="1"/>
    </row>
    <row r="639" spans="7:41" x14ac:dyDescent="0.25">
      <c r="G639" s="235" t="str">
        <f t="shared" si="175"/>
        <v/>
      </c>
      <c r="H639" s="4" t="str">
        <f t="shared" si="176"/>
        <v/>
      </c>
      <c r="I639" s="11" t="str">
        <f t="shared" si="177"/>
        <v>09.00</v>
      </c>
      <c r="K639" s="30">
        <v>464</v>
      </c>
      <c r="L639" s="29">
        <f t="shared" si="190"/>
        <v>11371.908376190917</v>
      </c>
      <c r="M639" s="28" t="str">
        <f t="shared" si="178"/>
        <v/>
      </c>
      <c r="N639" s="27" t="str">
        <f t="shared" si="191"/>
        <v/>
      </c>
      <c r="O639" s="26" t="str">
        <f>IF(AND($Q638=$O$38,IFERROR(LARGE($V$176:$V638,1)&lt;$N$42,TRUE)),1,IF(AND(ISNUMBER($O638),$O638&lt;$N$32),$O638+1,""))</f>
        <v/>
      </c>
      <c r="P639" s="26" t="str">
        <f t="shared" si="192"/>
        <v/>
      </c>
      <c r="Q639" s="26" t="str">
        <f t="shared" si="179"/>
        <v/>
      </c>
      <c r="R639" s="24" t="str">
        <f t="shared" si="193"/>
        <v/>
      </c>
      <c r="S639" s="180">
        <f t="shared" si="194"/>
        <v>9</v>
      </c>
      <c r="T639" s="151"/>
      <c r="U639" s="25" t="str">
        <f t="shared" si="180"/>
        <v/>
      </c>
      <c r="V639" s="24" t="str">
        <f>IF(AND(ISNUMBER(R638),ISNUMBER(R639)),V638,IF(AND(R638="",ISNUMBER(R639)),IFERROR(LARGE($V$176:$V638,1)+1,0),""))</f>
        <v/>
      </c>
      <c r="W639" s="23" t="str">
        <f t="shared" si="181"/>
        <v/>
      </c>
      <c r="X639" s="22" t="str">
        <f t="shared" si="182"/>
        <v/>
      </c>
      <c r="Y639" s="22"/>
      <c r="Z639" s="22"/>
      <c r="AA639" s="22"/>
      <c r="AB639" s="22" t="str" cm="1">
        <f t="array" ref="AB639">IF(IF(AND($P638="",$P639=1),($N$37*-1),0)+IF(AND($Q638="",$Q639=1),($N$38*-1),0)+IF(IF(($K639-$N$48)&lt;1,0,IF(IF(INDEX($AD$176:$AD$905,($K639-$N$48))="",0,INDEX($AD$176:$AD$905,($K639-$N$48)))&gt;0,IF(INDEX($AD$176:$AD$905,($K639-$N$48))="",0,INDEX($AD$176:$AD$905,($K639-$N$48))),0))="",0,IF(($K639-$N$48)&lt;1,0,IF(IF(INDEX($AD$176:$AD$905,($K639-$N$48))="",0,INDEX($AD$176:$AD$905,($K639-$N$48)))&gt;0,IF(INDEX($AD$176:$AD$905,($K639-$N$48))="",0,INDEX($AD$176:$AD$905,($K639-$N$48))),0)))=0,"",IF(AND($P638="",$P639=1),($N$37*-1),0)+IF(AND($Q638="",$Q639=1),($N$38*-1),0)+IF(IF(($K639-$N$48)&lt;1,0,IF(IF(INDEX($AD$176:$AD$905,($K639-$N$48))="",0,INDEX($AD$176:$AD$905,($K639-$N$48)))&gt;0,IF(INDEX($AD$176:$AD$905,($K639-$N$48))="",0,INDEX($AD$176:$AD$905,($K639-$N$48))),0))="",0,IF(($K639-$N$48)&lt;1,0,IF(IF(INDEX($AD$176:$AD$905,($K639-$N$48))="",0,INDEX($AD$176:$AD$905,($K639-$N$48)))&gt;0,IF(INDEX($AD$176:$AD$905,($K639-$N$48))="",0,INDEX($AD$176:$AD$905,($K639-$N$48))),0))))</f>
        <v/>
      </c>
      <c r="AC639" s="22" t="str">
        <f t="shared" si="183"/>
        <v/>
      </c>
      <c r="AD639" s="22" t="str">
        <f t="shared" si="174"/>
        <v/>
      </c>
      <c r="AE639" s="22" t="str" cm="1">
        <f t="array" ref="AE639">IF(($K639-$N$48)&lt;1,"",IF((IF(INDEX($AC$176:$AC$905,($K639-$N$48))="",0,INDEX($AC$176:$AC$905,($K639-$N$48))))=0,"",(IF(INDEX($AC$176:$AC$905,($K639-$N$48))="",0,INDEX($AC$176:$AC$905,($K639-$N$48))))))</f>
        <v/>
      </c>
      <c r="AF639" s="31" t="str">
        <f t="shared" si="184"/>
        <v/>
      </c>
      <c r="AG639" s="31" t="str">
        <f t="shared" si="185"/>
        <v/>
      </c>
      <c r="AH639" s="31" t="str">
        <f t="shared" si="186"/>
        <v/>
      </c>
      <c r="AI639" s="31" t="str">
        <f t="shared" si="187"/>
        <v/>
      </c>
      <c r="AJ639" s="303" t="str">
        <f t="shared" si="188"/>
        <v/>
      </c>
      <c r="AK639" s="139" t="str">
        <f t="shared" si="189"/>
        <v/>
      </c>
      <c r="AM639" s="319"/>
      <c r="AN639" s="40"/>
      <c r="AO639" s="1"/>
    </row>
    <row r="640" spans="7:41" x14ac:dyDescent="0.25">
      <c r="G640" s="235" t="str">
        <f t="shared" si="175"/>
        <v/>
      </c>
      <c r="H640" s="4" t="str">
        <f t="shared" si="176"/>
        <v/>
      </c>
      <c r="I640" s="11" t="str">
        <f t="shared" si="177"/>
        <v>09.00</v>
      </c>
      <c r="K640" s="30">
        <v>465</v>
      </c>
      <c r="L640" s="29">
        <f t="shared" si="190"/>
        <v>11371.908376190917</v>
      </c>
      <c r="M640" s="28" t="str">
        <f t="shared" si="178"/>
        <v/>
      </c>
      <c r="N640" s="27" t="str">
        <f t="shared" si="191"/>
        <v/>
      </c>
      <c r="O640" s="26" t="str">
        <f>IF(AND($Q639=$O$38,IFERROR(LARGE($V$176:$V639,1)&lt;$N$42,TRUE)),1,IF(AND(ISNUMBER($O639),$O639&lt;$N$32),$O639+1,""))</f>
        <v/>
      </c>
      <c r="P640" s="26" t="str">
        <f t="shared" si="192"/>
        <v/>
      </c>
      <c r="Q640" s="26" t="str">
        <f t="shared" si="179"/>
        <v/>
      </c>
      <c r="R640" s="24" t="str">
        <f t="shared" si="193"/>
        <v/>
      </c>
      <c r="S640" s="180">
        <f t="shared" si="194"/>
        <v>9</v>
      </c>
      <c r="T640" s="151"/>
      <c r="U640" s="25" t="str">
        <f t="shared" si="180"/>
        <v/>
      </c>
      <c r="V640" s="24" t="str">
        <f>IF(AND(ISNUMBER(R639),ISNUMBER(R640)),V639,IF(AND(R639="",ISNUMBER(R640)),IFERROR(LARGE($V$176:$V639,1)+1,0),""))</f>
        <v/>
      </c>
      <c r="W640" s="23" t="str">
        <f t="shared" si="181"/>
        <v/>
      </c>
      <c r="X640" s="22" t="str">
        <f t="shared" si="182"/>
        <v/>
      </c>
      <c r="Y640" s="22"/>
      <c r="Z640" s="22"/>
      <c r="AA640" s="22"/>
      <c r="AB640" s="22" t="str" cm="1">
        <f t="array" ref="AB640">IF(IF(AND($P639="",$P640=1),($N$37*-1),0)+IF(AND($Q639="",$Q640=1),($N$38*-1),0)+IF(IF(($K640-$N$48)&lt;1,0,IF(IF(INDEX($AD$176:$AD$905,($K640-$N$48))="",0,INDEX($AD$176:$AD$905,($K640-$N$48)))&gt;0,IF(INDEX($AD$176:$AD$905,($K640-$N$48))="",0,INDEX($AD$176:$AD$905,($K640-$N$48))),0))="",0,IF(($K640-$N$48)&lt;1,0,IF(IF(INDEX($AD$176:$AD$905,($K640-$N$48))="",0,INDEX($AD$176:$AD$905,($K640-$N$48)))&gt;0,IF(INDEX($AD$176:$AD$905,($K640-$N$48))="",0,INDEX($AD$176:$AD$905,($K640-$N$48))),0)))=0,"",IF(AND($P639="",$P640=1),($N$37*-1),0)+IF(AND($Q639="",$Q640=1),($N$38*-1),0)+IF(IF(($K640-$N$48)&lt;1,0,IF(IF(INDEX($AD$176:$AD$905,($K640-$N$48))="",0,INDEX($AD$176:$AD$905,($K640-$N$48)))&gt;0,IF(INDEX($AD$176:$AD$905,($K640-$N$48))="",0,INDEX($AD$176:$AD$905,($K640-$N$48))),0))="",0,IF(($K640-$N$48)&lt;1,0,IF(IF(INDEX($AD$176:$AD$905,($K640-$N$48))="",0,INDEX($AD$176:$AD$905,($K640-$N$48)))&gt;0,IF(INDEX($AD$176:$AD$905,($K640-$N$48))="",0,INDEX($AD$176:$AD$905,($K640-$N$48))),0))))</f>
        <v/>
      </c>
      <c r="AC640" s="22" t="str">
        <f t="shared" si="183"/>
        <v/>
      </c>
      <c r="AD640" s="22" t="str">
        <f t="shared" ref="AD640:AD703" si="195">IF(IF(OR(AND(ISNUMBER($U640),IF(ISNUMBER($U641),$U641,0)-IF(ISNUMBER($U640),$U640,0)=1),AND(ISNUMBER($U640),$U641="")),IF($U640=1,$P$37,0),0)=0,"",IF(OR(AND(ISNUMBER($U640),IF(ISNUMBER($U641),$U641,0)-IF(ISNUMBER($U640),$U640,0)=1),AND(ISNUMBER($U640),$U641="")),IF($U640=1,$P$37,0),0))</f>
        <v/>
      </c>
      <c r="AE640" s="22" t="str" cm="1">
        <f t="array" ref="AE640">IF(($K640-$N$48)&lt;1,"",IF((IF(INDEX($AC$176:$AC$905,($K640-$N$48))="",0,INDEX($AC$176:$AC$905,($K640-$N$48))))=0,"",(IF(INDEX($AC$176:$AC$905,($K640-$N$48))="",0,INDEX($AC$176:$AC$905,($K640-$N$48))))))</f>
        <v/>
      </c>
      <c r="AF640" s="31" t="str">
        <f t="shared" si="184"/>
        <v/>
      </c>
      <c r="AG640" s="31" t="str">
        <f t="shared" si="185"/>
        <v/>
      </c>
      <c r="AH640" s="31" t="str">
        <f t="shared" si="186"/>
        <v/>
      </c>
      <c r="AI640" s="31" t="str">
        <f t="shared" si="187"/>
        <v/>
      </c>
      <c r="AJ640" s="303" t="str">
        <f t="shared" si="188"/>
        <v/>
      </c>
      <c r="AK640" s="139" t="str">
        <f t="shared" si="189"/>
        <v/>
      </c>
      <c r="AM640" s="319"/>
      <c r="AN640" s="40"/>
      <c r="AO640" s="1"/>
    </row>
    <row r="641" spans="7:41" x14ac:dyDescent="0.25">
      <c r="G641" s="235" t="str">
        <f t="shared" si="175"/>
        <v/>
      </c>
      <c r="H641" s="4" t="str">
        <f t="shared" si="176"/>
        <v/>
      </c>
      <c r="I641" s="11" t="str">
        <f t="shared" si="177"/>
        <v>09.00</v>
      </c>
      <c r="K641" s="30">
        <v>466</v>
      </c>
      <c r="L641" s="29">
        <f t="shared" si="190"/>
        <v>11371.908376190917</v>
      </c>
      <c r="M641" s="28" t="str">
        <f t="shared" si="178"/>
        <v/>
      </c>
      <c r="N641" s="27" t="str">
        <f t="shared" si="191"/>
        <v/>
      </c>
      <c r="O641" s="26" t="str">
        <f>IF(AND($Q640=$O$38,IFERROR(LARGE($V$176:$V640,1)&lt;$N$42,TRUE)),1,IF(AND(ISNUMBER($O640),$O640&lt;$N$32),$O640+1,""))</f>
        <v/>
      </c>
      <c r="P641" s="26" t="str">
        <f t="shared" si="192"/>
        <v/>
      </c>
      <c r="Q641" s="26" t="str">
        <f t="shared" si="179"/>
        <v/>
      </c>
      <c r="R641" s="24" t="str">
        <f t="shared" si="193"/>
        <v/>
      </c>
      <c r="S641" s="180">
        <f t="shared" si="194"/>
        <v>9</v>
      </c>
      <c r="T641" s="151"/>
      <c r="U641" s="25" t="str">
        <f t="shared" si="180"/>
        <v/>
      </c>
      <c r="V641" s="24" t="str">
        <f>IF(AND(ISNUMBER(R640),ISNUMBER(R641)),V640,IF(AND(R640="",ISNUMBER(R641)),IFERROR(LARGE($V$176:$V640,1)+1,0),""))</f>
        <v/>
      </c>
      <c r="W641" s="23" t="str">
        <f t="shared" si="181"/>
        <v/>
      </c>
      <c r="X641" s="22" t="str">
        <f t="shared" si="182"/>
        <v/>
      </c>
      <c r="Y641" s="22"/>
      <c r="Z641" s="22"/>
      <c r="AA641" s="22"/>
      <c r="AB641" s="22" t="str" cm="1">
        <f t="array" ref="AB641">IF(IF(AND($P640="",$P641=1),($N$37*-1),0)+IF(AND($Q640="",$Q641=1),($N$38*-1),0)+IF(IF(($K641-$N$48)&lt;1,0,IF(IF(INDEX($AD$176:$AD$905,($K641-$N$48))="",0,INDEX($AD$176:$AD$905,($K641-$N$48)))&gt;0,IF(INDEX($AD$176:$AD$905,($K641-$N$48))="",0,INDEX($AD$176:$AD$905,($K641-$N$48))),0))="",0,IF(($K641-$N$48)&lt;1,0,IF(IF(INDEX($AD$176:$AD$905,($K641-$N$48))="",0,INDEX($AD$176:$AD$905,($K641-$N$48)))&gt;0,IF(INDEX($AD$176:$AD$905,($K641-$N$48))="",0,INDEX($AD$176:$AD$905,($K641-$N$48))),0)))=0,"",IF(AND($P640="",$P641=1),($N$37*-1),0)+IF(AND($Q640="",$Q641=1),($N$38*-1),0)+IF(IF(($K641-$N$48)&lt;1,0,IF(IF(INDEX($AD$176:$AD$905,($K641-$N$48))="",0,INDEX($AD$176:$AD$905,($K641-$N$48)))&gt;0,IF(INDEX($AD$176:$AD$905,($K641-$N$48))="",0,INDEX($AD$176:$AD$905,($K641-$N$48))),0))="",0,IF(($K641-$N$48)&lt;1,0,IF(IF(INDEX($AD$176:$AD$905,($K641-$N$48))="",0,INDEX($AD$176:$AD$905,($K641-$N$48)))&gt;0,IF(INDEX($AD$176:$AD$905,($K641-$N$48))="",0,INDEX($AD$176:$AD$905,($K641-$N$48))),0))))</f>
        <v/>
      </c>
      <c r="AC641" s="22" t="str">
        <f t="shared" si="183"/>
        <v/>
      </c>
      <c r="AD641" s="22" t="str">
        <f t="shared" si="195"/>
        <v/>
      </c>
      <c r="AE641" s="22" t="str" cm="1">
        <f t="array" ref="AE641">IF(($K641-$N$48)&lt;1,"",IF((IF(INDEX($AC$176:$AC$905,($K641-$N$48))="",0,INDEX($AC$176:$AC$905,($K641-$N$48))))=0,"",(IF(INDEX($AC$176:$AC$905,($K641-$N$48))="",0,INDEX($AC$176:$AC$905,($K641-$N$48))))))</f>
        <v/>
      </c>
      <c r="AF641" s="31" t="str">
        <f t="shared" si="184"/>
        <v/>
      </c>
      <c r="AG641" s="31" t="str">
        <f t="shared" si="185"/>
        <v/>
      </c>
      <c r="AH641" s="31" t="str">
        <f t="shared" si="186"/>
        <v/>
      </c>
      <c r="AI641" s="31" t="str">
        <f t="shared" si="187"/>
        <v/>
      </c>
      <c r="AJ641" s="303" t="str">
        <f t="shared" si="188"/>
        <v/>
      </c>
      <c r="AK641" s="139" t="str">
        <f t="shared" si="189"/>
        <v/>
      </c>
      <c r="AM641" s="319"/>
      <c r="AN641" s="40"/>
      <c r="AO641" s="1"/>
    </row>
    <row r="642" spans="7:41" x14ac:dyDescent="0.25">
      <c r="G642" s="235" t="str">
        <f t="shared" si="175"/>
        <v/>
      </c>
      <c r="H642" s="4" t="str">
        <f t="shared" si="176"/>
        <v/>
      </c>
      <c r="I642" s="11" t="str">
        <f t="shared" si="177"/>
        <v>09.00</v>
      </c>
      <c r="K642" s="30">
        <v>467</v>
      </c>
      <c r="L642" s="29">
        <f t="shared" si="190"/>
        <v>11371.908376190917</v>
      </c>
      <c r="M642" s="28" t="str">
        <f t="shared" si="178"/>
        <v/>
      </c>
      <c r="N642" s="27" t="str">
        <f t="shared" si="191"/>
        <v/>
      </c>
      <c r="O642" s="26" t="str">
        <f>IF(AND($Q641=$O$38,IFERROR(LARGE($V$176:$V641,1)&lt;$N$42,TRUE)),1,IF(AND(ISNUMBER($O641),$O641&lt;$N$32),$O641+1,""))</f>
        <v/>
      </c>
      <c r="P642" s="26" t="str">
        <f t="shared" si="192"/>
        <v/>
      </c>
      <c r="Q642" s="26" t="str">
        <f t="shared" si="179"/>
        <v/>
      </c>
      <c r="R642" s="24" t="str">
        <f t="shared" si="193"/>
        <v/>
      </c>
      <c r="S642" s="180">
        <f t="shared" si="194"/>
        <v>9</v>
      </c>
      <c r="T642" s="151"/>
      <c r="U642" s="25" t="str">
        <f t="shared" si="180"/>
        <v/>
      </c>
      <c r="V642" s="24" t="str">
        <f>IF(AND(ISNUMBER(R641),ISNUMBER(R642)),V641,IF(AND(R641="",ISNUMBER(R642)),IFERROR(LARGE($V$176:$V641,1)+1,0),""))</f>
        <v/>
      </c>
      <c r="W642" s="23" t="str">
        <f t="shared" si="181"/>
        <v/>
      </c>
      <c r="X642" s="22" t="str">
        <f t="shared" si="182"/>
        <v/>
      </c>
      <c r="Y642" s="22"/>
      <c r="Z642" s="22"/>
      <c r="AA642" s="22"/>
      <c r="AB642" s="22" t="str" cm="1">
        <f t="array" ref="AB642">IF(IF(AND($P641="",$P642=1),($N$37*-1),0)+IF(AND($Q641="",$Q642=1),($N$38*-1),0)+IF(IF(($K642-$N$48)&lt;1,0,IF(IF(INDEX($AD$176:$AD$905,($K642-$N$48))="",0,INDEX($AD$176:$AD$905,($K642-$N$48)))&gt;0,IF(INDEX($AD$176:$AD$905,($K642-$N$48))="",0,INDEX($AD$176:$AD$905,($K642-$N$48))),0))="",0,IF(($K642-$N$48)&lt;1,0,IF(IF(INDEX($AD$176:$AD$905,($K642-$N$48))="",0,INDEX($AD$176:$AD$905,($K642-$N$48)))&gt;0,IF(INDEX($AD$176:$AD$905,($K642-$N$48))="",0,INDEX($AD$176:$AD$905,($K642-$N$48))),0)))=0,"",IF(AND($P641="",$P642=1),($N$37*-1),0)+IF(AND($Q641="",$Q642=1),($N$38*-1),0)+IF(IF(($K642-$N$48)&lt;1,0,IF(IF(INDEX($AD$176:$AD$905,($K642-$N$48))="",0,INDEX($AD$176:$AD$905,($K642-$N$48)))&gt;0,IF(INDEX($AD$176:$AD$905,($K642-$N$48))="",0,INDEX($AD$176:$AD$905,($K642-$N$48))),0))="",0,IF(($K642-$N$48)&lt;1,0,IF(IF(INDEX($AD$176:$AD$905,($K642-$N$48))="",0,INDEX($AD$176:$AD$905,($K642-$N$48)))&gt;0,IF(INDEX($AD$176:$AD$905,($K642-$N$48))="",0,INDEX($AD$176:$AD$905,($K642-$N$48))),0))))</f>
        <v/>
      </c>
      <c r="AC642" s="22" t="str">
        <f t="shared" si="183"/>
        <v/>
      </c>
      <c r="AD642" s="22" t="str">
        <f t="shared" si="195"/>
        <v/>
      </c>
      <c r="AE642" s="22" t="str" cm="1">
        <f t="array" ref="AE642">IF(($K642-$N$48)&lt;1,"",IF((IF(INDEX($AC$176:$AC$905,($K642-$N$48))="",0,INDEX($AC$176:$AC$905,($K642-$N$48))))=0,"",(IF(INDEX($AC$176:$AC$905,($K642-$N$48))="",0,INDEX($AC$176:$AC$905,($K642-$N$48))))))</f>
        <v/>
      </c>
      <c r="AF642" s="31" t="str">
        <f t="shared" si="184"/>
        <v/>
      </c>
      <c r="AG642" s="31" t="str">
        <f t="shared" si="185"/>
        <v/>
      </c>
      <c r="AH642" s="31" t="str">
        <f t="shared" si="186"/>
        <v/>
      </c>
      <c r="AI642" s="31" t="str">
        <f t="shared" si="187"/>
        <v/>
      </c>
      <c r="AJ642" s="303" t="str">
        <f t="shared" si="188"/>
        <v/>
      </c>
      <c r="AK642" s="139" t="str">
        <f t="shared" si="189"/>
        <v/>
      </c>
      <c r="AM642" s="319"/>
      <c r="AN642" s="40"/>
      <c r="AO642" s="1"/>
    </row>
    <row r="643" spans="7:41" x14ac:dyDescent="0.25">
      <c r="G643" s="235" t="str">
        <f t="shared" si="175"/>
        <v/>
      </c>
      <c r="H643" s="4" t="str">
        <f t="shared" si="176"/>
        <v/>
      </c>
      <c r="I643" s="11" t="str">
        <f t="shared" si="177"/>
        <v>09.00</v>
      </c>
      <c r="K643" s="30">
        <v>468</v>
      </c>
      <c r="L643" s="29">
        <f t="shared" si="190"/>
        <v>11371.908376190917</v>
      </c>
      <c r="M643" s="28" t="str">
        <f t="shared" si="178"/>
        <v/>
      </c>
      <c r="N643" s="27" t="str">
        <f t="shared" si="191"/>
        <v/>
      </c>
      <c r="O643" s="26" t="str">
        <f>IF(AND($Q642=$O$38,IFERROR(LARGE($V$176:$V642,1)&lt;$N$42,TRUE)),1,IF(AND(ISNUMBER($O642),$O642&lt;$N$32),$O642+1,""))</f>
        <v/>
      </c>
      <c r="P643" s="26" t="str">
        <f t="shared" si="192"/>
        <v/>
      </c>
      <c r="Q643" s="26" t="str">
        <f t="shared" si="179"/>
        <v/>
      </c>
      <c r="R643" s="24" t="str">
        <f t="shared" si="193"/>
        <v/>
      </c>
      <c r="S643" s="180">
        <f t="shared" si="194"/>
        <v>9</v>
      </c>
      <c r="T643" s="151"/>
      <c r="U643" s="25" t="str">
        <f t="shared" si="180"/>
        <v/>
      </c>
      <c r="V643" s="24" t="str">
        <f>IF(AND(ISNUMBER(R642),ISNUMBER(R643)),V642,IF(AND(R642="",ISNUMBER(R643)),IFERROR(LARGE($V$176:$V642,1)+1,0),""))</f>
        <v/>
      </c>
      <c r="W643" s="23" t="str">
        <f t="shared" si="181"/>
        <v/>
      </c>
      <c r="X643" s="22" t="str">
        <f t="shared" si="182"/>
        <v/>
      </c>
      <c r="Y643" s="22"/>
      <c r="Z643" s="22"/>
      <c r="AA643" s="22"/>
      <c r="AB643" s="22" t="str" cm="1">
        <f t="array" ref="AB643">IF(IF(AND($P642="",$P643=1),($N$37*-1),0)+IF(AND($Q642="",$Q643=1),($N$38*-1),0)+IF(IF(($K643-$N$48)&lt;1,0,IF(IF(INDEX($AD$176:$AD$905,($K643-$N$48))="",0,INDEX($AD$176:$AD$905,($K643-$N$48)))&gt;0,IF(INDEX($AD$176:$AD$905,($K643-$N$48))="",0,INDEX($AD$176:$AD$905,($K643-$N$48))),0))="",0,IF(($K643-$N$48)&lt;1,0,IF(IF(INDEX($AD$176:$AD$905,($K643-$N$48))="",0,INDEX($AD$176:$AD$905,($K643-$N$48)))&gt;0,IF(INDEX($AD$176:$AD$905,($K643-$N$48))="",0,INDEX($AD$176:$AD$905,($K643-$N$48))),0)))=0,"",IF(AND($P642="",$P643=1),($N$37*-1),0)+IF(AND($Q642="",$Q643=1),($N$38*-1),0)+IF(IF(($K643-$N$48)&lt;1,0,IF(IF(INDEX($AD$176:$AD$905,($K643-$N$48))="",0,INDEX($AD$176:$AD$905,($K643-$N$48)))&gt;0,IF(INDEX($AD$176:$AD$905,($K643-$N$48))="",0,INDEX($AD$176:$AD$905,($K643-$N$48))),0))="",0,IF(($K643-$N$48)&lt;1,0,IF(IF(INDEX($AD$176:$AD$905,($K643-$N$48))="",0,INDEX($AD$176:$AD$905,($K643-$N$48)))&gt;0,IF(INDEX($AD$176:$AD$905,($K643-$N$48))="",0,INDEX($AD$176:$AD$905,($K643-$N$48))),0))))</f>
        <v/>
      </c>
      <c r="AC643" s="22" t="str">
        <f t="shared" si="183"/>
        <v/>
      </c>
      <c r="AD643" s="22" t="str">
        <f t="shared" si="195"/>
        <v/>
      </c>
      <c r="AE643" s="22" t="str" cm="1">
        <f t="array" ref="AE643">IF(($K643-$N$48)&lt;1,"",IF((IF(INDEX($AC$176:$AC$905,($K643-$N$48))="",0,INDEX($AC$176:$AC$905,($K643-$N$48))))=0,"",(IF(INDEX($AC$176:$AC$905,($K643-$N$48))="",0,INDEX($AC$176:$AC$905,($K643-$N$48))))))</f>
        <v/>
      </c>
      <c r="AF643" s="31" t="str">
        <f t="shared" si="184"/>
        <v/>
      </c>
      <c r="AG643" s="31" t="str">
        <f t="shared" si="185"/>
        <v/>
      </c>
      <c r="AH643" s="31" t="str">
        <f t="shared" si="186"/>
        <v/>
      </c>
      <c r="AI643" s="31" t="str">
        <f t="shared" si="187"/>
        <v/>
      </c>
      <c r="AJ643" s="303" t="str">
        <f t="shared" si="188"/>
        <v/>
      </c>
      <c r="AK643" s="139" t="str">
        <f t="shared" si="189"/>
        <v/>
      </c>
      <c r="AM643" s="319"/>
      <c r="AN643" s="40"/>
      <c r="AO643" s="1"/>
    </row>
    <row r="644" spans="7:41" x14ac:dyDescent="0.25">
      <c r="G644" s="235" t="str">
        <f t="shared" si="175"/>
        <v/>
      </c>
      <c r="H644" s="4" t="str">
        <f t="shared" si="176"/>
        <v/>
      </c>
      <c r="I644" s="11" t="str">
        <f t="shared" si="177"/>
        <v>09.00</v>
      </c>
      <c r="K644" s="30">
        <v>469</v>
      </c>
      <c r="L644" s="29">
        <f t="shared" si="190"/>
        <v>11371.908376190917</v>
      </c>
      <c r="M644" s="28" t="str">
        <f t="shared" si="178"/>
        <v/>
      </c>
      <c r="N644" s="27" t="str">
        <f t="shared" si="191"/>
        <v/>
      </c>
      <c r="O644" s="26" t="str">
        <f>IF(AND($Q643=$O$38,IFERROR(LARGE($V$176:$V643,1)&lt;$N$42,TRUE)),1,IF(AND(ISNUMBER($O643),$O643&lt;$N$32),$O643+1,""))</f>
        <v/>
      </c>
      <c r="P644" s="26" t="str">
        <f t="shared" si="192"/>
        <v/>
      </c>
      <c r="Q644" s="26" t="str">
        <f t="shared" si="179"/>
        <v/>
      </c>
      <c r="R644" s="24" t="str">
        <f t="shared" si="193"/>
        <v/>
      </c>
      <c r="S644" s="180">
        <f t="shared" si="194"/>
        <v>9</v>
      </c>
      <c r="T644" s="151"/>
      <c r="U644" s="25" t="str">
        <f t="shared" si="180"/>
        <v/>
      </c>
      <c r="V644" s="24" t="str">
        <f>IF(AND(ISNUMBER(R643),ISNUMBER(R644)),V643,IF(AND(R643="",ISNUMBER(R644)),IFERROR(LARGE($V$176:$V643,1)+1,0),""))</f>
        <v/>
      </c>
      <c r="W644" s="23" t="str">
        <f t="shared" si="181"/>
        <v/>
      </c>
      <c r="X644" s="22" t="str">
        <f t="shared" si="182"/>
        <v/>
      </c>
      <c r="Y644" s="22"/>
      <c r="Z644" s="22"/>
      <c r="AA644" s="22"/>
      <c r="AB644" s="22" t="str" cm="1">
        <f t="array" ref="AB644">IF(IF(AND($P643="",$P644=1),($N$37*-1),0)+IF(AND($Q643="",$Q644=1),($N$38*-1),0)+IF(IF(($K644-$N$48)&lt;1,0,IF(IF(INDEX($AD$176:$AD$905,($K644-$N$48))="",0,INDEX($AD$176:$AD$905,($K644-$N$48)))&gt;0,IF(INDEX($AD$176:$AD$905,($K644-$N$48))="",0,INDEX($AD$176:$AD$905,($K644-$N$48))),0))="",0,IF(($K644-$N$48)&lt;1,0,IF(IF(INDEX($AD$176:$AD$905,($K644-$N$48))="",0,INDEX($AD$176:$AD$905,($K644-$N$48)))&gt;0,IF(INDEX($AD$176:$AD$905,($K644-$N$48))="",0,INDEX($AD$176:$AD$905,($K644-$N$48))),0)))=0,"",IF(AND($P643="",$P644=1),($N$37*-1),0)+IF(AND($Q643="",$Q644=1),($N$38*-1),0)+IF(IF(($K644-$N$48)&lt;1,0,IF(IF(INDEX($AD$176:$AD$905,($K644-$N$48))="",0,INDEX($AD$176:$AD$905,($K644-$N$48)))&gt;0,IF(INDEX($AD$176:$AD$905,($K644-$N$48))="",0,INDEX($AD$176:$AD$905,($K644-$N$48))),0))="",0,IF(($K644-$N$48)&lt;1,0,IF(IF(INDEX($AD$176:$AD$905,($K644-$N$48))="",0,INDEX($AD$176:$AD$905,($K644-$N$48)))&gt;0,IF(INDEX($AD$176:$AD$905,($K644-$N$48))="",0,INDEX($AD$176:$AD$905,($K644-$N$48))),0))))</f>
        <v/>
      </c>
      <c r="AC644" s="22" t="str">
        <f t="shared" si="183"/>
        <v/>
      </c>
      <c r="AD644" s="22" t="str">
        <f t="shared" si="195"/>
        <v/>
      </c>
      <c r="AE644" s="22" t="str" cm="1">
        <f t="array" ref="AE644">IF(($K644-$N$48)&lt;1,"",IF((IF(INDEX($AC$176:$AC$905,($K644-$N$48))="",0,INDEX($AC$176:$AC$905,($K644-$N$48))))=0,"",(IF(INDEX($AC$176:$AC$905,($K644-$N$48))="",0,INDEX($AC$176:$AC$905,($K644-$N$48))))))</f>
        <v/>
      </c>
      <c r="AF644" s="31" t="str">
        <f t="shared" si="184"/>
        <v/>
      </c>
      <c r="AG644" s="31" t="str">
        <f t="shared" si="185"/>
        <v/>
      </c>
      <c r="AH644" s="31" t="str">
        <f t="shared" si="186"/>
        <v/>
      </c>
      <c r="AI644" s="31" t="str">
        <f t="shared" si="187"/>
        <v/>
      </c>
      <c r="AJ644" s="303" t="str">
        <f t="shared" si="188"/>
        <v/>
      </c>
      <c r="AK644" s="139" t="str">
        <f t="shared" si="189"/>
        <v/>
      </c>
      <c r="AM644" s="319"/>
      <c r="AN644" s="40"/>
      <c r="AO644" s="1"/>
    </row>
    <row r="645" spans="7:41" x14ac:dyDescent="0.25">
      <c r="G645" s="235" t="str">
        <f t="shared" si="175"/>
        <v/>
      </c>
      <c r="H645" s="4" t="str">
        <f t="shared" si="176"/>
        <v/>
      </c>
      <c r="I645" s="11" t="str">
        <f t="shared" si="177"/>
        <v>09.00</v>
      </c>
      <c r="K645" s="30">
        <v>470</v>
      </c>
      <c r="L645" s="29">
        <f t="shared" si="190"/>
        <v>11371.908376190917</v>
      </c>
      <c r="M645" s="28" t="str">
        <f t="shared" si="178"/>
        <v/>
      </c>
      <c r="N645" s="27" t="str">
        <f t="shared" si="191"/>
        <v/>
      </c>
      <c r="O645" s="26" t="str">
        <f>IF(AND($Q644=$O$38,IFERROR(LARGE($V$176:$V644,1)&lt;$N$42,TRUE)),1,IF(AND(ISNUMBER($O644),$O644&lt;$N$32),$O644+1,""))</f>
        <v/>
      </c>
      <c r="P645" s="26" t="str">
        <f t="shared" si="192"/>
        <v/>
      </c>
      <c r="Q645" s="26" t="str">
        <f t="shared" si="179"/>
        <v/>
      </c>
      <c r="R645" s="24" t="str">
        <f t="shared" si="193"/>
        <v/>
      </c>
      <c r="S645" s="180">
        <f t="shared" si="194"/>
        <v>9</v>
      </c>
      <c r="T645" s="151"/>
      <c r="U645" s="25" t="str">
        <f t="shared" si="180"/>
        <v/>
      </c>
      <c r="V645" s="24" t="str">
        <f>IF(AND(ISNUMBER(R644),ISNUMBER(R645)),V644,IF(AND(R644="",ISNUMBER(R645)),IFERROR(LARGE($V$176:$V644,1)+1,0),""))</f>
        <v/>
      </c>
      <c r="W645" s="23" t="str">
        <f t="shared" si="181"/>
        <v/>
      </c>
      <c r="X645" s="22" t="str">
        <f t="shared" si="182"/>
        <v/>
      </c>
      <c r="Y645" s="22"/>
      <c r="Z645" s="22"/>
      <c r="AA645" s="22"/>
      <c r="AB645" s="22" t="str" cm="1">
        <f t="array" ref="AB645">IF(IF(AND($P644="",$P645=1),($N$37*-1),0)+IF(AND($Q644="",$Q645=1),($N$38*-1),0)+IF(IF(($K645-$N$48)&lt;1,0,IF(IF(INDEX($AD$176:$AD$905,($K645-$N$48))="",0,INDEX($AD$176:$AD$905,($K645-$N$48)))&gt;0,IF(INDEX($AD$176:$AD$905,($K645-$N$48))="",0,INDEX($AD$176:$AD$905,($K645-$N$48))),0))="",0,IF(($K645-$N$48)&lt;1,0,IF(IF(INDEX($AD$176:$AD$905,($K645-$N$48))="",0,INDEX($AD$176:$AD$905,($K645-$N$48)))&gt;0,IF(INDEX($AD$176:$AD$905,($K645-$N$48))="",0,INDEX($AD$176:$AD$905,($K645-$N$48))),0)))=0,"",IF(AND($P644="",$P645=1),($N$37*-1),0)+IF(AND($Q644="",$Q645=1),($N$38*-1),0)+IF(IF(($K645-$N$48)&lt;1,0,IF(IF(INDEX($AD$176:$AD$905,($K645-$N$48))="",0,INDEX($AD$176:$AD$905,($K645-$N$48)))&gt;0,IF(INDEX($AD$176:$AD$905,($K645-$N$48))="",0,INDEX($AD$176:$AD$905,($K645-$N$48))),0))="",0,IF(($K645-$N$48)&lt;1,0,IF(IF(INDEX($AD$176:$AD$905,($K645-$N$48))="",0,INDEX($AD$176:$AD$905,($K645-$N$48)))&gt;0,IF(INDEX($AD$176:$AD$905,($K645-$N$48))="",0,INDEX($AD$176:$AD$905,($K645-$N$48))),0))))</f>
        <v/>
      </c>
      <c r="AC645" s="22" t="str">
        <f t="shared" si="183"/>
        <v/>
      </c>
      <c r="AD645" s="22" t="str">
        <f t="shared" si="195"/>
        <v/>
      </c>
      <c r="AE645" s="22" t="str" cm="1">
        <f t="array" ref="AE645">IF(($K645-$N$48)&lt;1,"",IF((IF(INDEX($AC$176:$AC$905,($K645-$N$48))="",0,INDEX($AC$176:$AC$905,($K645-$N$48))))=0,"",(IF(INDEX($AC$176:$AC$905,($K645-$N$48))="",0,INDEX($AC$176:$AC$905,($K645-$N$48))))))</f>
        <v/>
      </c>
      <c r="AF645" s="31" t="str">
        <f t="shared" si="184"/>
        <v/>
      </c>
      <c r="AG645" s="31" t="str">
        <f t="shared" si="185"/>
        <v/>
      </c>
      <c r="AH645" s="31" t="str">
        <f t="shared" si="186"/>
        <v/>
      </c>
      <c r="AI645" s="31" t="str">
        <f t="shared" si="187"/>
        <v/>
      </c>
      <c r="AJ645" s="303" t="str">
        <f t="shared" si="188"/>
        <v/>
      </c>
      <c r="AK645" s="139" t="str">
        <f t="shared" si="189"/>
        <v/>
      </c>
      <c r="AM645" s="319"/>
      <c r="AN645" s="40"/>
      <c r="AO645" s="1"/>
    </row>
    <row r="646" spans="7:41" x14ac:dyDescent="0.25">
      <c r="G646" s="235" t="str">
        <f t="shared" si="175"/>
        <v/>
      </c>
      <c r="H646" s="4" t="str">
        <f t="shared" si="176"/>
        <v/>
      </c>
      <c r="I646" s="11" t="str">
        <f t="shared" si="177"/>
        <v>09.00</v>
      </c>
      <c r="K646" s="30">
        <v>471</v>
      </c>
      <c r="L646" s="29">
        <f t="shared" si="190"/>
        <v>11371.908376190917</v>
      </c>
      <c r="M646" s="28" t="str">
        <f t="shared" si="178"/>
        <v/>
      </c>
      <c r="N646" s="27" t="str">
        <f t="shared" si="191"/>
        <v/>
      </c>
      <c r="O646" s="26" t="str">
        <f>IF(AND($Q645=$O$38,IFERROR(LARGE($V$176:$V645,1)&lt;$N$42,TRUE)),1,IF(AND(ISNUMBER($O645),$O645&lt;$N$32),$O645+1,""))</f>
        <v/>
      </c>
      <c r="P646" s="26" t="str">
        <f t="shared" si="192"/>
        <v/>
      </c>
      <c r="Q646" s="26" t="str">
        <f t="shared" si="179"/>
        <v/>
      </c>
      <c r="R646" s="24" t="str">
        <f t="shared" si="193"/>
        <v/>
      </c>
      <c r="S646" s="180">
        <f t="shared" si="194"/>
        <v>9</v>
      </c>
      <c r="T646" s="151"/>
      <c r="U646" s="25" t="str">
        <f t="shared" si="180"/>
        <v/>
      </c>
      <c r="V646" s="24" t="str">
        <f>IF(AND(ISNUMBER(R645),ISNUMBER(R646)),V645,IF(AND(R645="",ISNUMBER(R646)),IFERROR(LARGE($V$176:$V645,1)+1,0),""))</f>
        <v/>
      </c>
      <c r="W646" s="23" t="str">
        <f t="shared" si="181"/>
        <v/>
      </c>
      <c r="X646" s="22" t="str">
        <f t="shared" si="182"/>
        <v/>
      </c>
      <c r="Y646" s="22"/>
      <c r="Z646" s="22"/>
      <c r="AA646" s="22"/>
      <c r="AB646" s="22" t="str" cm="1">
        <f t="array" ref="AB646">IF(IF(AND($P645="",$P646=1),($N$37*-1),0)+IF(AND($Q645="",$Q646=1),($N$38*-1),0)+IF(IF(($K646-$N$48)&lt;1,0,IF(IF(INDEX($AD$176:$AD$905,($K646-$N$48))="",0,INDEX($AD$176:$AD$905,($K646-$N$48)))&gt;0,IF(INDEX($AD$176:$AD$905,($K646-$N$48))="",0,INDEX($AD$176:$AD$905,($K646-$N$48))),0))="",0,IF(($K646-$N$48)&lt;1,0,IF(IF(INDEX($AD$176:$AD$905,($K646-$N$48))="",0,INDEX($AD$176:$AD$905,($K646-$N$48)))&gt;0,IF(INDEX($AD$176:$AD$905,($K646-$N$48))="",0,INDEX($AD$176:$AD$905,($K646-$N$48))),0)))=0,"",IF(AND($P645="",$P646=1),($N$37*-1),0)+IF(AND($Q645="",$Q646=1),($N$38*-1),0)+IF(IF(($K646-$N$48)&lt;1,0,IF(IF(INDEX($AD$176:$AD$905,($K646-$N$48))="",0,INDEX($AD$176:$AD$905,($K646-$N$48)))&gt;0,IF(INDEX($AD$176:$AD$905,($K646-$N$48))="",0,INDEX($AD$176:$AD$905,($K646-$N$48))),0))="",0,IF(($K646-$N$48)&lt;1,0,IF(IF(INDEX($AD$176:$AD$905,($K646-$N$48))="",0,INDEX($AD$176:$AD$905,($K646-$N$48)))&gt;0,IF(INDEX($AD$176:$AD$905,($K646-$N$48))="",0,INDEX($AD$176:$AD$905,($K646-$N$48))),0))))</f>
        <v/>
      </c>
      <c r="AC646" s="22" t="str">
        <f t="shared" si="183"/>
        <v/>
      </c>
      <c r="AD646" s="22" t="str">
        <f t="shared" si="195"/>
        <v/>
      </c>
      <c r="AE646" s="22" t="str" cm="1">
        <f t="array" ref="AE646">IF(($K646-$N$48)&lt;1,"",IF((IF(INDEX($AC$176:$AC$905,($K646-$N$48))="",0,INDEX($AC$176:$AC$905,($K646-$N$48))))=0,"",(IF(INDEX($AC$176:$AC$905,($K646-$N$48))="",0,INDEX($AC$176:$AC$905,($K646-$N$48))))))</f>
        <v/>
      </c>
      <c r="AF646" s="31" t="str">
        <f t="shared" si="184"/>
        <v/>
      </c>
      <c r="AG646" s="31" t="str">
        <f t="shared" si="185"/>
        <v/>
      </c>
      <c r="AH646" s="31" t="str">
        <f t="shared" si="186"/>
        <v/>
      </c>
      <c r="AI646" s="31" t="str">
        <f t="shared" si="187"/>
        <v/>
      </c>
      <c r="AJ646" s="303" t="str">
        <f t="shared" si="188"/>
        <v/>
      </c>
      <c r="AK646" s="139" t="str">
        <f t="shared" si="189"/>
        <v/>
      </c>
      <c r="AM646" s="319"/>
      <c r="AN646" s="40"/>
      <c r="AO646" s="1"/>
    </row>
    <row r="647" spans="7:41" x14ac:dyDescent="0.25">
      <c r="G647" s="235" t="str">
        <f t="shared" si="175"/>
        <v/>
      </c>
      <c r="H647" s="4" t="str">
        <f t="shared" si="176"/>
        <v/>
      </c>
      <c r="I647" s="11" t="str">
        <f t="shared" si="177"/>
        <v>09.00</v>
      </c>
      <c r="K647" s="30">
        <v>472</v>
      </c>
      <c r="L647" s="29">
        <f t="shared" si="190"/>
        <v>11371.908376190917</v>
      </c>
      <c r="M647" s="28" t="str">
        <f t="shared" si="178"/>
        <v/>
      </c>
      <c r="N647" s="27" t="str">
        <f t="shared" si="191"/>
        <v/>
      </c>
      <c r="O647" s="26" t="str">
        <f>IF(AND($Q646=$O$38,IFERROR(LARGE($V$176:$V646,1)&lt;$N$42,TRUE)),1,IF(AND(ISNUMBER($O646),$O646&lt;$N$32),$O646+1,""))</f>
        <v/>
      </c>
      <c r="P647" s="26" t="str">
        <f t="shared" si="192"/>
        <v/>
      </c>
      <c r="Q647" s="26" t="str">
        <f t="shared" si="179"/>
        <v/>
      </c>
      <c r="R647" s="24" t="str">
        <f t="shared" si="193"/>
        <v/>
      </c>
      <c r="S647" s="180">
        <f t="shared" si="194"/>
        <v>9</v>
      </c>
      <c r="T647" s="151"/>
      <c r="U647" s="25" t="str">
        <f t="shared" si="180"/>
        <v/>
      </c>
      <c r="V647" s="24" t="str">
        <f>IF(AND(ISNUMBER(R646),ISNUMBER(R647)),V646,IF(AND(R646="",ISNUMBER(R647)),IFERROR(LARGE($V$176:$V646,1)+1,0),""))</f>
        <v/>
      </c>
      <c r="W647" s="23" t="str">
        <f t="shared" si="181"/>
        <v/>
      </c>
      <c r="X647" s="22" t="str">
        <f t="shared" si="182"/>
        <v/>
      </c>
      <c r="Y647" s="22"/>
      <c r="Z647" s="22"/>
      <c r="AA647" s="22"/>
      <c r="AB647" s="22" t="str" cm="1">
        <f t="array" ref="AB647">IF(IF(AND($P646="",$P647=1),($N$37*-1),0)+IF(AND($Q646="",$Q647=1),($N$38*-1),0)+IF(IF(($K647-$N$48)&lt;1,0,IF(IF(INDEX($AD$176:$AD$905,($K647-$N$48))="",0,INDEX($AD$176:$AD$905,($K647-$N$48)))&gt;0,IF(INDEX($AD$176:$AD$905,($K647-$N$48))="",0,INDEX($AD$176:$AD$905,($K647-$N$48))),0))="",0,IF(($K647-$N$48)&lt;1,0,IF(IF(INDEX($AD$176:$AD$905,($K647-$N$48))="",0,INDEX($AD$176:$AD$905,($K647-$N$48)))&gt;0,IF(INDEX($AD$176:$AD$905,($K647-$N$48))="",0,INDEX($AD$176:$AD$905,($K647-$N$48))),0)))=0,"",IF(AND($P646="",$P647=1),($N$37*-1),0)+IF(AND($Q646="",$Q647=1),($N$38*-1),0)+IF(IF(($K647-$N$48)&lt;1,0,IF(IF(INDEX($AD$176:$AD$905,($K647-$N$48))="",0,INDEX($AD$176:$AD$905,($K647-$N$48)))&gt;0,IF(INDEX($AD$176:$AD$905,($K647-$N$48))="",0,INDEX($AD$176:$AD$905,($K647-$N$48))),0))="",0,IF(($K647-$N$48)&lt;1,0,IF(IF(INDEX($AD$176:$AD$905,($K647-$N$48))="",0,INDEX($AD$176:$AD$905,($K647-$N$48)))&gt;0,IF(INDEX($AD$176:$AD$905,($K647-$N$48))="",0,INDEX($AD$176:$AD$905,($K647-$N$48))),0))))</f>
        <v/>
      </c>
      <c r="AC647" s="22" t="str">
        <f t="shared" si="183"/>
        <v/>
      </c>
      <c r="AD647" s="22" t="str">
        <f t="shared" si="195"/>
        <v/>
      </c>
      <c r="AE647" s="22" t="str" cm="1">
        <f t="array" ref="AE647">IF(($K647-$N$48)&lt;1,"",IF((IF(INDEX($AC$176:$AC$905,($K647-$N$48))="",0,INDEX($AC$176:$AC$905,($K647-$N$48))))=0,"",(IF(INDEX($AC$176:$AC$905,($K647-$N$48))="",0,INDEX($AC$176:$AC$905,($K647-$N$48))))))</f>
        <v/>
      </c>
      <c r="AF647" s="31" t="str">
        <f t="shared" si="184"/>
        <v/>
      </c>
      <c r="AG647" s="31" t="str">
        <f t="shared" si="185"/>
        <v/>
      </c>
      <c r="AH647" s="31" t="str">
        <f t="shared" si="186"/>
        <v/>
      </c>
      <c r="AI647" s="31" t="str">
        <f t="shared" si="187"/>
        <v/>
      </c>
      <c r="AJ647" s="303" t="str">
        <f t="shared" si="188"/>
        <v/>
      </c>
      <c r="AK647" s="139" t="str">
        <f t="shared" si="189"/>
        <v/>
      </c>
      <c r="AM647" s="319"/>
      <c r="AN647" s="40"/>
      <c r="AO647" s="1"/>
    </row>
    <row r="648" spans="7:41" x14ac:dyDescent="0.25">
      <c r="G648" s="235" t="str">
        <f t="shared" si="175"/>
        <v/>
      </c>
      <c r="H648" s="4" t="str">
        <f t="shared" si="176"/>
        <v/>
      </c>
      <c r="I648" s="11" t="str">
        <f t="shared" si="177"/>
        <v>09.00</v>
      </c>
      <c r="K648" s="30">
        <v>473</v>
      </c>
      <c r="L648" s="29">
        <f t="shared" si="190"/>
        <v>11371.908376190917</v>
      </c>
      <c r="M648" s="28" t="str">
        <f t="shared" si="178"/>
        <v/>
      </c>
      <c r="N648" s="27" t="str">
        <f t="shared" si="191"/>
        <v/>
      </c>
      <c r="O648" s="26" t="str">
        <f>IF(AND($Q647=$O$38,IFERROR(LARGE($V$176:$V647,1)&lt;$N$42,TRUE)),1,IF(AND(ISNUMBER($O647),$O647&lt;$N$32),$O647+1,""))</f>
        <v/>
      </c>
      <c r="P648" s="26" t="str">
        <f t="shared" si="192"/>
        <v/>
      </c>
      <c r="Q648" s="26" t="str">
        <f t="shared" si="179"/>
        <v/>
      </c>
      <c r="R648" s="24" t="str">
        <f t="shared" si="193"/>
        <v/>
      </c>
      <c r="S648" s="180">
        <f t="shared" si="194"/>
        <v>9</v>
      </c>
      <c r="T648" s="151"/>
      <c r="U648" s="25" t="str">
        <f t="shared" si="180"/>
        <v/>
      </c>
      <c r="V648" s="24" t="str">
        <f>IF(AND(ISNUMBER(R647),ISNUMBER(R648)),V647,IF(AND(R647="",ISNUMBER(R648)),IFERROR(LARGE($V$176:$V647,1)+1,0),""))</f>
        <v/>
      </c>
      <c r="W648" s="23" t="str">
        <f t="shared" si="181"/>
        <v/>
      </c>
      <c r="X648" s="22" t="str">
        <f t="shared" si="182"/>
        <v/>
      </c>
      <c r="Y648" s="22"/>
      <c r="Z648" s="22"/>
      <c r="AA648" s="22"/>
      <c r="AB648" s="22" t="str" cm="1">
        <f t="array" ref="AB648">IF(IF(AND($P647="",$P648=1),($N$37*-1),0)+IF(AND($Q647="",$Q648=1),($N$38*-1),0)+IF(IF(($K648-$N$48)&lt;1,0,IF(IF(INDEX($AD$176:$AD$905,($K648-$N$48))="",0,INDEX($AD$176:$AD$905,($K648-$N$48)))&gt;0,IF(INDEX($AD$176:$AD$905,($K648-$N$48))="",0,INDEX($AD$176:$AD$905,($K648-$N$48))),0))="",0,IF(($K648-$N$48)&lt;1,0,IF(IF(INDEX($AD$176:$AD$905,($K648-$N$48))="",0,INDEX($AD$176:$AD$905,($K648-$N$48)))&gt;0,IF(INDEX($AD$176:$AD$905,($K648-$N$48))="",0,INDEX($AD$176:$AD$905,($K648-$N$48))),0)))=0,"",IF(AND($P647="",$P648=1),($N$37*-1),0)+IF(AND($Q647="",$Q648=1),($N$38*-1),0)+IF(IF(($K648-$N$48)&lt;1,0,IF(IF(INDEX($AD$176:$AD$905,($K648-$N$48))="",0,INDEX($AD$176:$AD$905,($K648-$N$48)))&gt;0,IF(INDEX($AD$176:$AD$905,($K648-$N$48))="",0,INDEX($AD$176:$AD$905,($K648-$N$48))),0))="",0,IF(($K648-$N$48)&lt;1,0,IF(IF(INDEX($AD$176:$AD$905,($K648-$N$48))="",0,INDEX($AD$176:$AD$905,($K648-$N$48)))&gt;0,IF(INDEX($AD$176:$AD$905,($K648-$N$48))="",0,INDEX($AD$176:$AD$905,($K648-$N$48))),0))))</f>
        <v/>
      </c>
      <c r="AC648" s="22" t="str">
        <f t="shared" si="183"/>
        <v/>
      </c>
      <c r="AD648" s="22" t="str">
        <f t="shared" si="195"/>
        <v/>
      </c>
      <c r="AE648" s="22" t="str" cm="1">
        <f t="array" ref="AE648">IF(($K648-$N$48)&lt;1,"",IF((IF(INDEX($AC$176:$AC$905,($K648-$N$48))="",0,INDEX($AC$176:$AC$905,($K648-$N$48))))=0,"",(IF(INDEX($AC$176:$AC$905,($K648-$N$48))="",0,INDEX($AC$176:$AC$905,($K648-$N$48))))))</f>
        <v/>
      </c>
      <c r="AF648" s="31" t="str">
        <f t="shared" si="184"/>
        <v/>
      </c>
      <c r="AG648" s="31" t="str">
        <f t="shared" si="185"/>
        <v/>
      </c>
      <c r="AH648" s="31" t="str">
        <f t="shared" si="186"/>
        <v/>
      </c>
      <c r="AI648" s="31" t="str">
        <f t="shared" si="187"/>
        <v/>
      </c>
      <c r="AJ648" s="303" t="str">
        <f t="shared" si="188"/>
        <v/>
      </c>
      <c r="AK648" s="139" t="str">
        <f t="shared" si="189"/>
        <v/>
      </c>
      <c r="AM648" s="319"/>
      <c r="AN648" s="40"/>
      <c r="AO648" s="1"/>
    </row>
    <row r="649" spans="7:41" x14ac:dyDescent="0.25">
      <c r="G649" s="235" t="str">
        <f t="shared" si="175"/>
        <v/>
      </c>
      <c r="H649" s="4" t="str">
        <f t="shared" si="176"/>
        <v/>
      </c>
      <c r="I649" s="11" t="str">
        <f t="shared" si="177"/>
        <v>09.00</v>
      </c>
      <c r="K649" s="30">
        <v>474</v>
      </c>
      <c r="L649" s="29">
        <f t="shared" si="190"/>
        <v>11371.908376190917</v>
      </c>
      <c r="M649" s="28" t="str">
        <f t="shared" si="178"/>
        <v/>
      </c>
      <c r="N649" s="27" t="str">
        <f t="shared" si="191"/>
        <v/>
      </c>
      <c r="O649" s="26" t="str">
        <f>IF(AND($Q648=$O$38,IFERROR(LARGE($V$176:$V648,1)&lt;$N$42,TRUE)),1,IF(AND(ISNUMBER($O648),$O648&lt;$N$32),$O648+1,""))</f>
        <v/>
      </c>
      <c r="P649" s="26" t="str">
        <f t="shared" si="192"/>
        <v/>
      </c>
      <c r="Q649" s="26" t="str">
        <f t="shared" si="179"/>
        <v/>
      </c>
      <c r="R649" s="24" t="str">
        <f t="shared" si="193"/>
        <v/>
      </c>
      <c r="S649" s="180">
        <f t="shared" si="194"/>
        <v>9</v>
      </c>
      <c r="T649" s="151"/>
      <c r="U649" s="25" t="str">
        <f t="shared" si="180"/>
        <v/>
      </c>
      <c r="V649" s="24" t="str">
        <f>IF(AND(ISNUMBER(R648),ISNUMBER(R649)),V648,IF(AND(R648="",ISNUMBER(R649)),IFERROR(LARGE($V$176:$V648,1)+1,0),""))</f>
        <v/>
      </c>
      <c r="W649" s="23" t="str">
        <f t="shared" si="181"/>
        <v/>
      </c>
      <c r="X649" s="22" t="str">
        <f t="shared" si="182"/>
        <v/>
      </c>
      <c r="Y649" s="22"/>
      <c r="Z649" s="22"/>
      <c r="AA649" s="22"/>
      <c r="AB649" s="22" t="str" cm="1">
        <f t="array" ref="AB649">IF(IF(AND($P648="",$P649=1),($N$37*-1),0)+IF(AND($Q648="",$Q649=1),($N$38*-1),0)+IF(IF(($K649-$N$48)&lt;1,0,IF(IF(INDEX($AD$176:$AD$905,($K649-$N$48))="",0,INDEX($AD$176:$AD$905,($K649-$N$48)))&gt;0,IF(INDEX($AD$176:$AD$905,($K649-$N$48))="",0,INDEX($AD$176:$AD$905,($K649-$N$48))),0))="",0,IF(($K649-$N$48)&lt;1,0,IF(IF(INDEX($AD$176:$AD$905,($K649-$N$48))="",0,INDEX($AD$176:$AD$905,($K649-$N$48)))&gt;0,IF(INDEX($AD$176:$AD$905,($K649-$N$48))="",0,INDEX($AD$176:$AD$905,($K649-$N$48))),0)))=0,"",IF(AND($P648="",$P649=1),($N$37*-1),0)+IF(AND($Q648="",$Q649=1),($N$38*-1),0)+IF(IF(($K649-$N$48)&lt;1,0,IF(IF(INDEX($AD$176:$AD$905,($K649-$N$48))="",0,INDEX($AD$176:$AD$905,($K649-$N$48)))&gt;0,IF(INDEX($AD$176:$AD$905,($K649-$N$48))="",0,INDEX($AD$176:$AD$905,($K649-$N$48))),0))="",0,IF(($K649-$N$48)&lt;1,0,IF(IF(INDEX($AD$176:$AD$905,($K649-$N$48))="",0,INDEX($AD$176:$AD$905,($K649-$N$48)))&gt;0,IF(INDEX($AD$176:$AD$905,($K649-$N$48))="",0,INDEX($AD$176:$AD$905,($K649-$N$48))),0))))</f>
        <v/>
      </c>
      <c r="AC649" s="22" t="str">
        <f t="shared" si="183"/>
        <v/>
      </c>
      <c r="AD649" s="22" t="str">
        <f t="shared" si="195"/>
        <v/>
      </c>
      <c r="AE649" s="22" t="str" cm="1">
        <f t="array" ref="AE649">IF(($K649-$N$48)&lt;1,"",IF((IF(INDEX($AC$176:$AC$905,($K649-$N$48))="",0,INDEX($AC$176:$AC$905,($K649-$N$48))))=0,"",(IF(INDEX($AC$176:$AC$905,($K649-$N$48))="",0,INDEX($AC$176:$AC$905,($K649-$N$48))))))</f>
        <v/>
      </c>
      <c r="AF649" s="31" t="str">
        <f t="shared" si="184"/>
        <v/>
      </c>
      <c r="AG649" s="31" t="str">
        <f t="shared" si="185"/>
        <v/>
      </c>
      <c r="AH649" s="31" t="str">
        <f t="shared" si="186"/>
        <v/>
      </c>
      <c r="AI649" s="31" t="str">
        <f t="shared" si="187"/>
        <v/>
      </c>
      <c r="AJ649" s="303" t="str">
        <f t="shared" si="188"/>
        <v/>
      </c>
      <c r="AK649" s="139" t="str">
        <f t="shared" si="189"/>
        <v/>
      </c>
      <c r="AM649" s="319"/>
      <c r="AN649" s="40"/>
      <c r="AO649" s="1"/>
    </row>
    <row r="650" spans="7:41" x14ac:dyDescent="0.25">
      <c r="G650" s="235" t="str">
        <f t="shared" si="175"/>
        <v/>
      </c>
      <c r="H650" s="4" t="str">
        <f t="shared" si="176"/>
        <v/>
      </c>
      <c r="I650" s="11" t="str">
        <f t="shared" si="177"/>
        <v>09.00</v>
      </c>
      <c r="K650" s="30">
        <v>475</v>
      </c>
      <c r="L650" s="29">
        <f t="shared" si="190"/>
        <v>11371.908376190917</v>
      </c>
      <c r="M650" s="28" t="str">
        <f t="shared" si="178"/>
        <v/>
      </c>
      <c r="N650" s="27" t="str">
        <f t="shared" si="191"/>
        <v/>
      </c>
      <c r="O650" s="26" t="str">
        <f>IF(AND($Q649=$O$38,IFERROR(LARGE($V$176:$V649,1)&lt;$N$42,TRUE)),1,IF(AND(ISNUMBER($O649),$O649&lt;$N$32),$O649+1,""))</f>
        <v/>
      </c>
      <c r="P650" s="26" t="str">
        <f t="shared" si="192"/>
        <v/>
      </c>
      <c r="Q650" s="26" t="str">
        <f t="shared" si="179"/>
        <v/>
      </c>
      <c r="R650" s="24" t="str">
        <f t="shared" si="193"/>
        <v/>
      </c>
      <c r="S650" s="180">
        <f t="shared" si="194"/>
        <v>9</v>
      </c>
      <c r="T650" s="151"/>
      <c r="U650" s="25" t="str">
        <f t="shared" si="180"/>
        <v/>
      </c>
      <c r="V650" s="24" t="str">
        <f>IF(AND(ISNUMBER(R649),ISNUMBER(R650)),V649,IF(AND(R649="",ISNUMBER(R650)),IFERROR(LARGE($V$176:$V649,1)+1,0),""))</f>
        <v/>
      </c>
      <c r="W650" s="23" t="str">
        <f t="shared" si="181"/>
        <v/>
      </c>
      <c r="X650" s="22" t="str">
        <f t="shared" si="182"/>
        <v/>
      </c>
      <c r="Y650" s="22"/>
      <c r="Z650" s="22"/>
      <c r="AA650" s="22"/>
      <c r="AB650" s="22" t="str" cm="1">
        <f t="array" ref="AB650">IF(IF(AND($P649="",$P650=1),($N$37*-1),0)+IF(AND($Q649="",$Q650=1),($N$38*-1),0)+IF(IF(($K650-$N$48)&lt;1,0,IF(IF(INDEX($AD$176:$AD$905,($K650-$N$48))="",0,INDEX($AD$176:$AD$905,($K650-$N$48)))&gt;0,IF(INDEX($AD$176:$AD$905,($K650-$N$48))="",0,INDEX($AD$176:$AD$905,($K650-$N$48))),0))="",0,IF(($K650-$N$48)&lt;1,0,IF(IF(INDEX($AD$176:$AD$905,($K650-$N$48))="",0,INDEX($AD$176:$AD$905,($K650-$N$48)))&gt;0,IF(INDEX($AD$176:$AD$905,($K650-$N$48))="",0,INDEX($AD$176:$AD$905,($K650-$N$48))),0)))=0,"",IF(AND($P649="",$P650=1),($N$37*-1),0)+IF(AND($Q649="",$Q650=1),($N$38*-1),0)+IF(IF(($K650-$N$48)&lt;1,0,IF(IF(INDEX($AD$176:$AD$905,($K650-$N$48))="",0,INDEX($AD$176:$AD$905,($K650-$N$48)))&gt;0,IF(INDEX($AD$176:$AD$905,($K650-$N$48))="",0,INDEX($AD$176:$AD$905,($K650-$N$48))),0))="",0,IF(($K650-$N$48)&lt;1,0,IF(IF(INDEX($AD$176:$AD$905,($K650-$N$48))="",0,INDEX($AD$176:$AD$905,($K650-$N$48)))&gt;0,IF(INDEX($AD$176:$AD$905,($K650-$N$48))="",0,INDEX($AD$176:$AD$905,($K650-$N$48))),0))))</f>
        <v/>
      </c>
      <c r="AC650" s="22" t="str">
        <f t="shared" si="183"/>
        <v/>
      </c>
      <c r="AD650" s="22" t="str">
        <f t="shared" si="195"/>
        <v/>
      </c>
      <c r="AE650" s="22" t="str" cm="1">
        <f t="array" ref="AE650">IF(($K650-$N$48)&lt;1,"",IF((IF(INDEX($AC$176:$AC$905,($K650-$N$48))="",0,INDEX($AC$176:$AC$905,($K650-$N$48))))=0,"",(IF(INDEX($AC$176:$AC$905,($K650-$N$48))="",0,INDEX($AC$176:$AC$905,($K650-$N$48))))))</f>
        <v/>
      </c>
      <c r="AF650" s="31" t="str">
        <f t="shared" si="184"/>
        <v/>
      </c>
      <c r="AG650" s="31" t="str">
        <f t="shared" si="185"/>
        <v/>
      </c>
      <c r="AH650" s="31" t="str">
        <f t="shared" si="186"/>
        <v/>
      </c>
      <c r="AI650" s="31" t="str">
        <f t="shared" si="187"/>
        <v/>
      </c>
      <c r="AJ650" s="303" t="str">
        <f t="shared" si="188"/>
        <v/>
      </c>
      <c r="AK650" s="139" t="str">
        <f t="shared" si="189"/>
        <v/>
      </c>
      <c r="AM650" s="319"/>
      <c r="AN650" s="40"/>
      <c r="AO650" s="1"/>
    </row>
    <row r="651" spans="7:41" x14ac:dyDescent="0.25">
      <c r="G651" s="235" t="str">
        <f t="shared" si="175"/>
        <v/>
      </c>
      <c r="H651" s="4" t="str">
        <f t="shared" si="176"/>
        <v/>
      </c>
      <c r="I651" s="11" t="str">
        <f t="shared" si="177"/>
        <v>09.00</v>
      </c>
      <c r="K651" s="30">
        <v>476</v>
      </c>
      <c r="L651" s="29">
        <f t="shared" si="190"/>
        <v>11371.908376190917</v>
      </c>
      <c r="M651" s="28" t="str">
        <f t="shared" si="178"/>
        <v/>
      </c>
      <c r="N651" s="27" t="str">
        <f t="shared" si="191"/>
        <v/>
      </c>
      <c r="O651" s="26" t="str">
        <f>IF(AND($Q650=$O$38,IFERROR(LARGE($V$176:$V650,1)&lt;$N$42,TRUE)),1,IF(AND(ISNUMBER($O650),$O650&lt;$N$32),$O650+1,""))</f>
        <v/>
      </c>
      <c r="P651" s="26" t="str">
        <f t="shared" si="192"/>
        <v/>
      </c>
      <c r="Q651" s="26" t="str">
        <f t="shared" si="179"/>
        <v/>
      </c>
      <c r="R651" s="24" t="str">
        <f t="shared" si="193"/>
        <v/>
      </c>
      <c r="S651" s="180">
        <f t="shared" si="194"/>
        <v>9</v>
      </c>
      <c r="T651" s="151"/>
      <c r="U651" s="25" t="str">
        <f t="shared" si="180"/>
        <v/>
      </c>
      <c r="V651" s="24" t="str">
        <f>IF(AND(ISNUMBER(R650),ISNUMBER(R651)),V650,IF(AND(R650="",ISNUMBER(R651)),IFERROR(LARGE($V$176:$V650,1)+1,0),""))</f>
        <v/>
      </c>
      <c r="W651" s="23" t="str">
        <f t="shared" si="181"/>
        <v/>
      </c>
      <c r="X651" s="22" t="str">
        <f t="shared" si="182"/>
        <v/>
      </c>
      <c r="Y651" s="22"/>
      <c r="Z651" s="22"/>
      <c r="AA651" s="22"/>
      <c r="AB651" s="22" t="str" cm="1">
        <f t="array" ref="AB651">IF(IF(AND($P650="",$P651=1),($N$37*-1),0)+IF(AND($Q650="",$Q651=1),($N$38*-1),0)+IF(IF(($K651-$N$48)&lt;1,0,IF(IF(INDEX($AD$176:$AD$905,($K651-$N$48))="",0,INDEX($AD$176:$AD$905,($K651-$N$48)))&gt;0,IF(INDEX($AD$176:$AD$905,($K651-$N$48))="",0,INDEX($AD$176:$AD$905,($K651-$N$48))),0))="",0,IF(($K651-$N$48)&lt;1,0,IF(IF(INDEX($AD$176:$AD$905,($K651-$N$48))="",0,INDEX($AD$176:$AD$905,($K651-$N$48)))&gt;0,IF(INDEX($AD$176:$AD$905,($K651-$N$48))="",0,INDEX($AD$176:$AD$905,($K651-$N$48))),0)))=0,"",IF(AND($P650="",$P651=1),($N$37*-1),0)+IF(AND($Q650="",$Q651=1),($N$38*-1),0)+IF(IF(($K651-$N$48)&lt;1,0,IF(IF(INDEX($AD$176:$AD$905,($K651-$N$48))="",0,INDEX($AD$176:$AD$905,($K651-$N$48)))&gt;0,IF(INDEX($AD$176:$AD$905,($K651-$N$48))="",0,INDEX($AD$176:$AD$905,($K651-$N$48))),0))="",0,IF(($K651-$N$48)&lt;1,0,IF(IF(INDEX($AD$176:$AD$905,($K651-$N$48))="",0,INDEX($AD$176:$AD$905,($K651-$N$48)))&gt;0,IF(INDEX($AD$176:$AD$905,($K651-$N$48))="",0,INDEX($AD$176:$AD$905,($K651-$N$48))),0))))</f>
        <v/>
      </c>
      <c r="AC651" s="22" t="str">
        <f t="shared" si="183"/>
        <v/>
      </c>
      <c r="AD651" s="22" t="str">
        <f t="shared" si="195"/>
        <v/>
      </c>
      <c r="AE651" s="22" t="str" cm="1">
        <f t="array" ref="AE651">IF(($K651-$N$48)&lt;1,"",IF((IF(INDEX($AC$176:$AC$905,($K651-$N$48))="",0,INDEX($AC$176:$AC$905,($K651-$N$48))))=0,"",(IF(INDEX($AC$176:$AC$905,($K651-$N$48))="",0,INDEX($AC$176:$AC$905,($K651-$N$48))))))</f>
        <v/>
      </c>
      <c r="AF651" s="31" t="str">
        <f t="shared" si="184"/>
        <v/>
      </c>
      <c r="AG651" s="31" t="str">
        <f t="shared" si="185"/>
        <v/>
      </c>
      <c r="AH651" s="31" t="str">
        <f t="shared" si="186"/>
        <v/>
      </c>
      <c r="AI651" s="31" t="str">
        <f t="shared" si="187"/>
        <v/>
      </c>
      <c r="AJ651" s="303" t="str">
        <f t="shared" si="188"/>
        <v/>
      </c>
      <c r="AK651" s="139" t="str">
        <f t="shared" si="189"/>
        <v/>
      </c>
      <c r="AM651" s="319"/>
      <c r="AN651" s="40"/>
      <c r="AO651" s="1"/>
    </row>
    <row r="652" spans="7:41" x14ac:dyDescent="0.25">
      <c r="G652" s="235" t="str">
        <f t="shared" si="175"/>
        <v/>
      </c>
      <c r="H652" s="4" t="str">
        <f t="shared" si="176"/>
        <v/>
      </c>
      <c r="I652" s="11" t="str">
        <f t="shared" si="177"/>
        <v>09.00</v>
      </c>
      <c r="K652" s="30">
        <v>477</v>
      </c>
      <c r="L652" s="29">
        <f t="shared" si="190"/>
        <v>11371.908376190917</v>
      </c>
      <c r="M652" s="28" t="str">
        <f t="shared" si="178"/>
        <v/>
      </c>
      <c r="N652" s="27" t="str">
        <f t="shared" si="191"/>
        <v/>
      </c>
      <c r="O652" s="26" t="str">
        <f>IF(AND($Q651=$O$38,IFERROR(LARGE($V$176:$V651,1)&lt;$N$42,TRUE)),1,IF(AND(ISNUMBER($O651),$O651&lt;$N$32),$O651+1,""))</f>
        <v/>
      </c>
      <c r="P652" s="26" t="str">
        <f t="shared" si="192"/>
        <v/>
      </c>
      <c r="Q652" s="26" t="str">
        <f t="shared" si="179"/>
        <v/>
      </c>
      <c r="R652" s="24" t="str">
        <f t="shared" si="193"/>
        <v/>
      </c>
      <c r="S652" s="180">
        <f t="shared" si="194"/>
        <v>9</v>
      </c>
      <c r="T652" s="151"/>
      <c r="U652" s="25" t="str">
        <f t="shared" si="180"/>
        <v/>
      </c>
      <c r="V652" s="24" t="str">
        <f>IF(AND(ISNUMBER(R651),ISNUMBER(R652)),V651,IF(AND(R651="",ISNUMBER(R652)),IFERROR(LARGE($V$176:$V651,1)+1,0),""))</f>
        <v/>
      </c>
      <c r="W652" s="23" t="str">
        <f t="shared" si="181"/>
        <v/>
      </c>
      <c r="X652" s="22" t="str">
        <f t="shared" si="182"/>
        <v/>
      </c>
      <c r="Y652" s="22"/>
      <c r="Z652" s="22"/>
      <c r="AA652" s="22"/>
      <c r="AB652" s="22" t="str" cm="1">
        <f t="array" ref="AB652">IF(IF(AND($P651="",$P652=1),($N$37*-1),0)+IF(AND($Q651="",$Q652=1),($N$38*-1),0)+IF(IF(($K652-$N$48)&lt;1,0,IF(IF(INDEX($AD$176:$AD$905,($K652-$N$48))="",0,INDEX($AD$176:$AD$905,($K652-$N$48)))&gt;0,IF(INDEX($AD$176:$AD$905,($K652-$N$48))="",0,INDEX($AD$176:$AD$905,($K652-$N$48))),0))="",0,IF(($K652-$N$48)&lt;1,0,IF(IF(INDEX($AD$176:$AD$905,($K652-$N$48))="",0,INDEX($AD$176:$AD$905,($K652-$N$48)))&gt;0,IF(INDEX($AD$176:$AD$905,($K652-$N$48))="",0,INDEX($AD$176:$AD$905,($K652-$N$48))),0)))=0,"",IF(AND($P651="",$P652=1),($N$37*-1),0)+IF(AND($Q651="",$Q652=1),($N$38*-1),0)+IF(IF(($K652-$N$48)&lt;1,0,IF(IF(INDEX($AD$176:$AD$905,($K652-$N$48))="",0,INDEX($AD$176:$AD$905,($K652-$N$48)))&gt;0,IF(INDEX($AD$176:$AD$905,($K652-$N$48))="",0,INDEX($AD$176:$AD$905,($K652-$N$48))),0))="",0,IF(($K652-$N$48)&lt;1,0,IF(IF(INDEX($AD$176:$AD$905,($K652-$N$48))="",0,INDEX($AD$176:$AD$905,($K652-$N$48)))&gt;0,IF(INDEX($AD$176:$AD$905,($K652-$N$48))="",0,INDEX($AD$176:$AD$905,($K652-$N$48))),0))))</f>
        <v/>
      </c>
      <c r="AC652" s="22" t="str">
        <f t="shared" si="183"/>
        <v/>
      </c>
      <c r="AD652" s="22" t="str">
        <f t="shared" si="195"/>
        <v/>
      </c>
      <c r="AE652" s="22" t="str" cm="1">
        <f t="array" ref="AE652">IF(($K652-$N$48)&lt;1,"",IF((IF(INDEX($AC$176:$AC$905,($K652-$N$48))="",0,INDEX($AC$176:$AC$905,($K652-$N$48))))=0,"",(IF(INDEX($AC$176:$AC$905,($K652-$N$48))="",0,INDEX($AC$176:$AC$905,($K652-$N$48))))))</f>
        <v/>
      </c>
      <c r="AF652" s="31" t="str">
        <f t="shared" si="184"/>
        <v/>
      </c>
      <c r="AG652" s="31" t="str">
        <f t="shared" si="185"/>
        <v/>
      </c>
      <c r="AH652" s="31" t="str">
        <f t="shared" si="186"/>
        <v/>
      </c>
      <c r="AI652" s="31" t="str">
        <f t="shared" si="187"/>
        <v/>
      </c>
      <c r="AJ652" s="303" t="str">
        <f t="shared" si="188"/>
        <v/>
      </c>
      <c r="AK652" s="139" t="str">
        <f t="shared" si="189"/>
        <v/>
      </c>
      <c r="AM652" s="319"/>
      <c r="AN652" s="40"/>
      <c r="AO652" s="1"/>
    </row>
    <row r="653" spans="7:41" x14ac:dyDescent="0.25">
      <c r="G653" s="235" t="str">
        <f t="shared" si="175"/>
        <v/>
      </c>
      <c r="H653" s="4" t="str">
        <f t="shared" si="176"/>
        <v/>
      </c>
      <c r="I653" s="11" t="str">
        <f t="shared" si="177"/>
        <v>09.00</v>
      </c>
      <c r="K653" s="30">
        <v>478</v>
      </c>
      <c r="L653" s="29">
        <f t="shared" si="190"/>
        <v>11371.908376190917</v>
      </c>
      <c r="M653" s="28" t="str">
        <f t="shared" si="178"/>
        <v/>
      </c>
      <c r="N653" s="27" t="str">
        <f t="shared" si="191"/>
        <v/>
      </c>
      <c r="O653" s="26" t="str">
        <f>IF(AND($Q652=$O$38,IFERROR(LARGE($V$176:$V652,1)&lt;$N$42,TRUE)),1,IF(AND(ISNUMBER($O652),$O652&lt;$N$32),$O652+1,""))</f>
        <v/>
      </c>
      <c r="P653" s="26" t="str">
        <f t="shared" si="192"/>
        <v/>
      </c>
      <c r="Q653" s="26" t="str">
        <f t="shared" si="179"/>
        <v/>
      </c>
      <c r="R653" s="24" t="str">
        <f t="shared" si="193"/>
        <v/>
      </c>
      <c r="S653" s="180">
        <f t="shared" si="194"/>
        <v>9</v>
      </c>
      <c r="T653" s="151"/>
      <c r="U653" s="25" t="str">
        <f t="shared" si="180"/>
        <v/>
      </c>
      <c r="V653" s="24" t="str">
        <f>IF(AND(ISNUMBER(R652),ISNUMBER(R653)),V652,IF(AND(R652="",ISNUMBER(R653)),IFERROR(LARGE($V$176:$V652,1)+1,0),""))</f>
        <v/>
      </c>
      <c r="W653" s="23" t="str">
        <f t="shared" si="181"/>
        <v/>
      </c>
      <c r="X653" s="22" t="str">
        <f t="shared" si="182"/>
        <v/>
      </c>
      <c r="Y653" s="22"/>
      <c r="Z653" s="22"/>
      <c r="AA653" s="22"/>
      <c r="AB653" s="22" t="str" cm="1">
        <f t="array" ref="AB653">IF(IF(AND($P652="",$P653=1),($N$37*-1),0)+IF(AND($Q652="",$Q653=1),($N$38*-1),0)+IF(IF(($K653-$N$48)&lt;1,0,IF(IF(INDEX($AD$176:$AD$905,($K653-$N$48))="",0,INDEX($AD$176:$AD$905,($K653-$N$48)))&gt;0,IF(INDEX($AD$176:$AD$905,($K653-$N$48))="",0,INDEX($AD$176:$AD$905,($K653-$N$48))),0))="",0,IF(($K653-$N$48)&lt;1,0,IF(IF(INDEX($AD$176:$AD$905,($K653-$N$48))="",0,INDEX($AD$176:$AD$905,($K653-$N$48)))&gt;0,IF(INDEX($AD$176:$AD$905,($K653-$N$48))="",0,INDEX($AD$176:$AD$905,($K653-$N$48))),0)))=0,"",IF(AND($P652="",$P653=1),($N$37*-1),0)+IF(AND($Q652="",$Q653=1),($N$38*-1),0)+IF(IF(($K653-$N$48)&lt;1,0,IF(IF(INDEX($AD$176:$AD$905,($K653-$N$48))="",0,INDEX($AD$176:$AD$905,($K653-$N$48)))&gt;0,IF(INDEX($AD$176:$AD$905,($K653-$N$48))="",0,INDEX($AD$176:$AD$905,($K653-$N$48))),0))="",0,IF(($K653-$N$48)&lt;1,0,IF(IF(INDEX($AD$176:$AD$905,($K653-$N$48))="",0,INDEX($AD$176:$AD$905,($K653-$N$48)))&gt;0,IF(INDEX($AD$176:$AD$905,($K653-$N$48))="",0,INDEX($AD$176:$AD$905,($K653-$N$48))),0))))</f>
        <v/>
      </c>
      <c r="AC653" s="22" t="str">
        <f t="shared" si="183"/>
        <v/>
      </c>
      <c r="AD653" s="22" t="str">
        <f t="shared" si="195"/>
        <v/>
      </c>
      <c r="AE653" s="22" t="str" cm="1">
        <f t="array" ref="AE653">IF(($K653-$N$48)&lt;1,"",IF((IF(INDEX($AC$176:$AC$905,($K653-$N$48))="",0,INDEX($AC$176:$AC$905,($K653-$N$48))))=0,"",(IF(INDEX($AC$176:$AC$905,($K653-$N$48))="",0,INDEX($AC$176:$AC$905,($K653-$N$48))))))</f>
        <v/>
      </c>
      <c r="AF653" s="31" t="str">
        <f t="shared" si="184"/>
        <v/>
      </c>
      <c r="AG653" s="31" t="str">
        <f t="shared" si="185"/>
        <v/>
      </c>
      <c r="AH653" s="31" t="str">
        <f t="shared" si="186"/>
        <v/>
      </c>
      <c r="AI653" s="31" t="str">
        <f t="shared" si="187"/>
        <v/>
      </c>
      <c r="AJ653" s="303" t="str">
        <f t="shared" si="188"/>
        <v/>
      </c>
      <c r="AK653" s="139" t="str">
        <f t="shared" si="189"/>
        <v/>
      </c>
      <c r="AM653" s="319"/>
      <c r="AN653" s="40"/>
      <c r="AO653" s="1"/>
    </row>
    <row r="654" spans="7:41" x14ac:dyDescent="0.25">
      <c r="G654" s="235" t="str">
        <f t="shared" ref="G654:G717" si="196">IF(RIGHT(H654,2)=".N","NEW",IF(SUM(N654:R654)=0,"",LEFT(H654,5)))</f>
        <v/>
      </c>
      <c r="H654" s="4" t="str">
        <f t="shared" si="176"/>
        <v/>
      </c>
      <c r="I654" s="11" t="str">
        <f t="shared" si="177"/>
        <v>09.00</v>
      </c>
      <c r="K654" s="30">
        <v>479</v>
      </c>
      <c r="L654" s="29">
        <f t="shared" si="190"/>
        <v>11371.908376190917</v>
      </c>
      <c r="M654" s="28" t="str">
        <f t="shared" si="178"/>
        <v/>
      </c>
      <c r="N654" s="27" t="str">
        <f t="shared" si="191"/>
        <v/>
      </c>
      <c r="O654" s="26" t="str">
        <f>IF(AND($Q653=$O$38,IFERROR(LARGE($V$176:$V653,1)&lt;$N$42,TRUE)),1,IF(AND(ISNUMBER($O653),$O653&lt;$N$32),$O653+1,""))</f>
        <v/>
      </c>
      <c r="P654" s="26" t="str">
        <f t="shared" si="192"/>
        <v/>
      </c>
      <c r="Q654" s="26" t="str">
        <f t="shared" si="179"/>
        <v/>
      </c>
      <c r="R654" s="24" t="str">
        <f t="shared" si="193"/>
        <v/>
      </c>
      <c r="S654" s="180">
        <f t="shared" si="194"/>
        <v>9</v>
      </c>
      <c r="T654" s="151"/>
      <c r="U654" s="25" t="str">
        <f t="shared" si="180"/>
        <v/>
      </c>
      <c r="V654" s="24" t="str">
        <f>IF(AND(ISNUMBER(R653),ISNUMBER(R654)),V653,IF(AND(R653="",ISNUMBER(R654)),IFERROR(LARGE($V$176:$V653,1)+1,0),""))</f>
        <v/>
      </c>
      <c r="W654" s="23" t="str">
        <f t="shared" si="181"/>
        <v/>
      </c>
      <c r="X654" s="22" t="str">
        <f t="shared" si="182"/>
        <v/>
      </c>
      <c r="Y654" s="22"/>
      <c r="Z654" s="22"/>
      <c r="AA654" s="22"/>
      <c r="AB654" s="22" t="str" cm="1">
        <f t="array" ref="AB654">IF(IF(AND($P653="",$P654=1),($N$37*-1),0)+IF(AND($Q653="",$Q654=1),($N$38*-1),0)+IF(IF(($K654-$N$48)&lt;1,0,IF(IF(INDEX($AD$176:$AD$905,($K654-$N$48))="",0,INDEX($AD$176:$AD$905,($K654-$N$48)))&gt;0,IF(INDEX($AD$176:$AD$905,($K654-$N$48))="",0,INDEX($AD$176:$AD$905,($K654-$N$48))),0))="",0,IF(($K654-$N$48)&lt;1,0,IF(IF(INDEX($AD$176:$AD$905,($K654-$N$48))="",0,INDEX($AD$176:$AD$905,($K654-$N$48)))&gt;0,IF(INDEX($AD$176:$AD$905,($K654-$N$48))="",0,INDEX($AD$176:$AD$905,($K654-$N$48))),0)))=0,"",IF(AND($P653="",$P654=1),($N$37*-1),0)+IF(AND($Q653="",$Q654=1),($N$38*-1),0)+IF(IF(($K654-$N$48)&lt;1,0,IF(IF(INDEX($AD$176:$AD$905,($K654-$N$48))="",0,INDEX($AD$176:$AD$905,($K654-$N$48)))&gt;0,IF(INDEX($AD$176:$AD$905,($K654-$N$48))="",0,INDEX($AD$176:$AD$905,($K654-$N$48))),0))="",0,IF(($K654-$N$48)&lt;1,0,IF(IF(INDEX($AD$176:$AD$905,($K654-$N$48))="",0,INDEX($AD$176:$AD$905,($K654-$N$48)))&gt;0,IF(INDEX($AD$176:$AD$905,($K654-$N$48))="",0,INDEX($AD$176:$AD$905,($K654-$N$48))),0))))</f>
        <v/>
      </c>
      <c r="AC654" s="22" t="str">
        <f t="shared" si="183"/>
        <v/>
      </c>
      <c r="AD654" s="22" t="str">
        <f t="shared" si="195"/>
        <v/>
      </c>
      <c r="AE654" s="22" t="str" cm="1">
        <f t="array" ref="AE654">IF(($K654-$N$48)&lt;1,"",IF((IF(INDEX($AC$176:$AC$905,($K654-$N$48))="",0,INDEX($AC$176:$AC$905,($K654-$N$48))))=0,"",(IF(INDEX($AC$176:$AC$905,($K654-$N$48))="",0,INDEX($AC$176:$AC$905,($K654-$N$48))))))</f>
        <v/>
      </c>
      <c r="AF654" s="31" t="str">
        <f t="shared" si="184"/>
        <v/>
      </c>
      <c r="AG654" s="31" t="str">
        <f t="shared" si="185"/>
        <v/>
      </c>
      <c r="AH654" s="31" t="str">
        <f t="shared" si="186"/>
        <v/>
      </c>
      <c r="AI654" s="31" t="str">
        <f t="shared" si="187"/>
        <v/>
      </c>
      <c r="AJ654" s="303" t="str">
        <f t="shared" si="188"/>
        <v/>
      </c>
      <c r="AK654" s="139" t="str">
        <f t="shared" si="189"/>
        <v/>
      </c>
      <c r="AM654" s="319"/>
      <c r="AN654" s="40"/>
      <c r="AO654" s="1"/>
    </row>
    <row r="655" spans="7:41" x14ac:dyDescent="0.25">
      <c r="G655" s="235" t="str">
        <f t="shared" si="196"/>
        <v/>
      </c>
      <c r="H655" s="4" t="str">
        <f t="shared" ref="H655:H718" si="197">IF(SUM(N655:R655)&gt;0,CONCATENATE(IF(LEN(ROUNDDOWN(S655,0))=1,CONCATENATE("0",ROUNDDOWN(S655,0)),ROUNDDOWN(S655,0)),".",IF(LEN(ROUND(MOD(S655,1)*100,0))=1,CONCATENATE("0",ROUND(MOD(S655,1)*100,0)),ROUND(MOD(S655,1)*100,0)),IF(N655&lt;&gt;"",".N",IF(O655&lt;&gt;"",".R",IF(P655&lt;&gt;"",".O",IF(Q655&lt;&gt;"",".I",IF(R655&lt;&gt;"",".D","")))))),"")</f>
        <v/>
      </c>
      <c r="I655" s="11" t="str">
        <f t="shared" si="177"/>
        <v>09.00</v>
      </c>
      <c r="K655" s="30">
        <v>480</v>
      </c>
      <c r="L655" s="29">
        <f t="shared" si="190"/>
        <v>11371.908376190917</v>
      </c>
      <c r="M655" s="28" t="str">
        <f t="shared" si="178"/>
        <v/>
      </c>
      <c r="N655" s="27" t="str">
        <f t="shared" si="191"/>
        <v/>
      </c>
      <c r="O655" s="26" t="str">
        <f>IF(AND($Q654=$O$38,IFERROR(LARGE($V$176:$V654,1)&lt;$N$42,TRUE)),1,IF(AND(ISNUMBER($O654),$O654&lt;$N$32),$O654+1,""))</f>
        <v/>
      </c>
      <c r="P655" s="26" t="str">
        <f t="shared" si="192"/>
        <v/>
      </c>
      <c r="Q655" s="26" t="str">
        <f t="shared" si="179"/>
        <v/>
      </c>
      <c r="R655" s="24" t="str">
        <f t="shared" si="193"/>
        <v/>
      </c>
      <c r="S655" s="180">
        <f t="shared" si="194"/>
        <v>9</v>
      </c>
      <c r="T655" s="151"/>
      <c r="U655" s="25" t="str">
        <f t="shared" si="180"/>
        <v/>
      </c>
      <c r="V655" s="24" t="str">
        <f>IF(AND(ISNUMBER(R654),ISNUMBER(R655)),V654,IF(AND(R654="",ISNUMBER(R655)),IFERROR(LARGE($V$176:$V654,1)+1,0),""))</f>
        <v/>
      </c>
      <c r="W655" s="23" t="str">
        <f t="shared" si="181"/>
        <v/>
      </c>
      <c r="X655" s="22" t="str">
        <f t="shared" si="182"/>
        <v/>
      </c>
      <c r="Y655" s="22"/>
      <c r="Z655" s="22"/>
      <c r="AA655" s="22"/>
      <c r="AB655" s="22" t="str" cm="1">
        <f t="array" ref="AB655">IF(IF(AND($P654="",$P655=1),($N$37*-1),0)+IF(AND($Q654="",$Q655=1),($N$38*-1),0)+IF(IF(($K655-$N$48)&lt;1,0,IF(IF(INDEX($AD$176:$AD$905,($K655-$N$48))="",0,INDEX($AD$176:$AD$905,($K655-$N$48)))&gt;0,IF(INDEX($AD$176:$AD$905,($K655-$N$48))="",0,INDEX($AD$176:$AD$905,($K655-$N$48))),0))="",0,IF(($K655-$N$48)&lt;1,0,IF(IF(INDEX($AD$176:$AD$905,($K655-$N$48))="",0,INDEX($AD$176:$AD$905,($K655-$N$48)))&gt;0,IF(INDEX($AD$176:$AD$905,($K655-$N$48))="",0,INDEX($AD$176:$AD$905,($K655-$N$48))),0)))=0,"",IF(AND($P654="",$P655=1),($N$37*-1),0)+IF(AND($Q654="",$Q655=1),($N$38*-1),0)+IF(IF(($K655-$N$48)&lt;1,0,IF(IF(INDEX($AD$176:$AD$905,($K655-$N$48))="",0,INDEX($AD$176:$AD$905,($K655-$N$48)))&gt;0,IF(INDEX($AD$176:$AD$905,($K655-$N$48))="",0,INDEX($AD$176:$AD$905,($K655-$N$48))),0))="",0,IF(($K655-$N$48)&lt;1,0,IF(IF(INDEX($AD$176:$AD$905,($K655-$N$48))="",0,INDEX($AD$176:$AD$905,($K655-$N$48)))&gt;0,IF(INDEX($AD$176:$AD$905,($K655-$N$48))="",0,INDEX($AD$176:$AD$905,($K655-$N$48))),0))))</f>
        <v/>
      </c>
      <c r="AC655" s="22" t="str">
        <f t="shared" si="183"/>
        <v/>
      </c>
      <c r="AD655" s="22" t="str">
        <f t="shared" si="195"/>
        <v/>
      </c>
      <c r="AE655" s="22" t="str" cm="1">
        <f t="array" ref="AE655">IF(($K655-$N$48)&lt;1,"",IF((IF(INDEX($AC$176:$AC$905,($K655-$N$48))="",0,INDEX($AC$176:$AC$905,($K655-$N$48))))=0,"",(IF(INDEX($AC$176:$AC$905,($K655-$N$48))="",0,INDEX($AC$176:$AC$905,($K655-$N$48))))))</f>
        <v/>
      </c>
      <c r="AF655" s="31" t="str">
        <f t="shared" si="184"/>
        <v/>
      </c>
      <c r="AG655" s="31" t="str">
        <f t="shared" si="185"/>
        <v/>
      </c>
      <c r="AH655" s="31" t="str">
        <f t="shared" si="186"/>
        <v/>
      </c>
      <c r="AI655" s="31" t="str">
        <f t="shared" si="187"/>
        <v/>
      </c>
      <c r="AJ655" s="303" t="str">
        <f t="shared" si="188"/>
        <v/>
      </c>
      <c r="AK655" s="139" t="str">
        <f t="shared" si="189"/>
        <v/>
      </c>
      <c r="AM655" s="319"/>
      <c r="AN655" s="40"/>
      <c r="AO655" s="1"/>
    </row>
    <row r="656" spans="7:41" x14ac:dyDescent="0.25">
      <c r="G656" s="235" t="str">
        <f t="shared" si="196"/>
        <v/>
      </c>
      <c r="H656" s="4" t="str">
        <f t="shared" si="197"/>
        <v/>
      </c>
      <c r="I656" s="11" t="str">
        <f t="shared" si="177"/>
        <v>09.00</v>
      </c>
      <c r="K656" s="30">
        <v>481</v>
      </c>
      <c r="L656" s="29">
        <f t="shared" si="190"/>
        <v>11371.908376190917</v>
      </c>
      <c r="M656" s="28" t="str">
        <f t="shared" si="178"/>
        <v/>
      </c>
      <c r="N656" s="27" t="str">
        <f t="shared" si="191"/>
        <v/>
      </c>
      <c r="O656" s="26" t="str">
        <f>IF(AND($Q655=$O$38,IFERROR(LARGE($V$176:$V655,1)&lt;$N$42,TRUE)),1,IF(AND(ISNUMBER($O655),$O655&lt;$N$32),$O655+1,""))</f>
        <v/>
      </c>
      <c r="P656" s="26" t="str">
        <f t="shared" si="192"/>
        <v/>
      </c>
      <c r="Q656" s="26" t="str">
        <f t="shared" si="179"/>
        <v/>
      </c>
      <c r="R656" s="24" t="str">
        <f t="shared" si="193"/>
        <v/>
      </c>
      <c r="S656" s="180">
        <f t="shared" si="194"/>
        <v>9</v>
      </c>
      <c r="T656" s="151"/>
      <c r="U656" s="25" t="str">
        <f t="shared" si="180"/>
        <v/>
      </c>
      <c r="V656" s="24" t="str">
        <f>IF(AND(ISNUMBER(R655),ISNUMBER(R656)),V655,IF(AND(R655="",ISNUMBER(R656)),IFERROR(LARGE($V$176:$V655,1)+1,0),""))</f>
        <v/>
      </c>
      <c r="W656" s="23" t="str">
        <f t="shared" si="181"/>
        <v/>
      </c>
      <c r="X656" s="22" t="str">
        <f t="shared" si="182"/>
        <v/>
      </c>
      <c r="Y656" s="22"/>
      <c r="Z656" s="22"/>
      <c r="AA656" s="22"/>
      <c r="AB656" s="22" t="str" cm="1">
        <f t="array" ref="AB656">IF(IF(AND($P655="",$P656=1),($N$37*-1),0)+IF(AND($Q655="",$Q656=1),($N$38*-1),0)+IF(IF(($K656-$N$48)&lt;1,0,IF(IF(INDEX($AD$176:$AD$905,($K656-$N$48))="",0,INDEX($AD$176:$AD$905,($K656-$N$48)))&gt;0,IF(INDEX($AD$176:$AD$905,($K656-$N$48))="",0,INDEX($AD$176:$AD$905,($K656-$N$48))),0))="",0,IF(($K656-$N$48)&lt;1,0,IF(IF(INDEX($AD$176:$AD$905,($K656-$N$48))="",0,INDEX($AD$176:$AD$905,($K656-$N$48)))&gt;0,IF(INDEX($AD$176:$AD$905,($K656-$N$48))="",0,INDEX($AD$176:$AD$905,($K656-$N$48))),0)))=0,"",IF(AND($P655="",$P656=1),($N$37*-1),0)+IF(AND($Q655="",$Q656=1),($N$38*-1),0)+IF(IF(($K656-$N$48)&lt;1,0,IF(IF(INDEX($AD$176:$AD$905,($K656-$N$48))="",0,INDEX($AD$176:$AD$905,($K656-$N$48)))&gt;0,IF(INDEX($AD$176:$AD$905,($K656-$N$48))="",0,INDEX($AD$176:$AD$905,($K656-$N$48))),0))="",0,IF(($K656-$N$48)&lt;1,0,IF(IF(INDEX($AD$176:$AD$905,($K656-$N$48))="",0,INDEX($AD$176:$AD$905,($K656-$N$48)))&gt;0,IF(INDEX($AD$176:$AD$905,($K656-$N$48))="",0,INDEX($AD$176:$AD$905,($K656-$N$48))),0))))</f>
        <v/>
      </c>
      <c r="AC656" s="22" t="str">
        <f t="shared" si="183"/>
        <v/>
      </c>
      <c r="AD656" s="22" t="str">
        <f t="shared" si="195"/>
        <v/>
      </c>
      <c r="AE656" s="22" t="str" cm="1">
        <f t="array" ref="AE656">IF(($K656-$N$48)&lt;1,"",IF((IF(INDEX($AC$176:$AC$905,($K656-$N$48))="",0,INDEX($AC$176:$AC$905,($K656-$N$48))))=0,"",(IF(INDEX($AC$176:$AC$905,($K656-$N$48))="",0,INDEX($AC$176:$AC$905,($K656-$N$48))))))</f>
        <v/>
      </c>
      <c r="AF656" s="31" t="str">
        <f t="shared" si="184"/>
        <v/>
      </c>
      <c r="AG656" s="31" t="str">
        <f t="shared" si="185"/>
        <v/>
      </c>
      <c r="AH656" s="31" t="str">
        <f t="shared" si="186"/>
        <v/>
      </c>
      <c r="AI656" s="31" t="str">
        <f t="shared" si="187"/>
        <v/>
      </c>
      <c r="AJ656" s="303" t="str">
        <f t="shared" si="188"/>
        <v/>
      </c>
      <c r="AK656" s="139" t="str">
        <f t="shared" si="189"/>
        <v/>
      </c>
      <c r="AM656" s="319"/>
      <c r="AN656" s="40"/>
      <c r="AO656" s="1"/>
    </row>
    <row r="657" spans="7:41" x14ac:dyDescent="0.25">
      <c r="G657" s="235" t="str">
        <f t="shared" si="196"/>
        <v/>
      </c>
      <c r="H657" s="4" t="str">
        <f t="shared" si="197"/>
        <v/>
      </c>
      <c r="I657" s="11" t="str">
        <f t="shared" si="177"/>
        <v>09.00</v>
      </c>
      <c r="K657" s="30">
        <v>482</v>
      </c>
      <c r="L657" s="29">
        <f t="shared" si="190"/>
        <v>11371.908376190917</v>
      </c>
      <c r="M657" s="28" t="str">
        <f t="shared" si="178"/>
        <v/>
      </c>
      <c r="N657" s="27" t="str">
        <f t="shared" si="191"/>
        <v/>
      </c>
      <c r="O657" s="26" t="str">
        <f>IF(AND($Q656=$O$38,IFERROR(LARGE($V$176:$V656,1)&lt;$N$42,TRUE)),1,IF(AND(ISNUMBER($O656),$O656&lt;$N$32),$O656+1,""))</f>
        <v/>
      </c>
      <c r="P657" s="26" t="str">
        <f t="shared" si="192"/>
        <v/>
      </c>
      <c r="Q657" s="26" t="str">
        <f t="shared" si="179"/>
        <v/>
      </c>
      <c r="R657" s="24" t="str">
        <f t="shared" si="193"/>
        <v/>
      </c>
      <c r="S657" s="180">
        <f t="shared" si="194"/>
        <v>9</v>
      </c>
      <c r="T657" s="151"/>
      <c r="U657" s="25" t="str">
        <f t="shared" si="180"/>
        <v/>
      </c>
      <c r="V657" s="24" t="str">
        <f>IF(AND(ISNUMBER(R656),ISNUMBER(R657)),V656,IF(AND(R656="",ISNUMBER(R657)),IFERROR(LARGE($V$176:$V656,1)+1,0),""))</f>
        <v/>
      </c>
      <c r="W657" s="23" t="str">
        <f t="shared" si="181"/>
        <v/>
      </c>
      <c r="X657" s="22" t="str">
        <f t="shared" si="182"/>
        <v/>
      </c>
      <c r="Y657" s="22"/>
      <c r="Z657" s="22"/>
      <c r="AA657" s="22"/>
      <c r="AB657" s="22" t="str" cm="1">
        <f t="array" ref="AB657">IF(IF(AND($P656="",$P657=1),($N$37*-1),0)+IF(AND($Q656="",$Q657=1),($N$38*-1),0)+IF(IF(($K657-$N$48)&lt;1,0,IF(IF(INDEX($AD$176:$AD$905,($K657-$N$48))="",0,INDEX($AD$176:$AD$905,($K657-$N$48)))&gt;0,IF(INDEX($AD$176:$AD$905,($K657-$N$48))="",0,INDEX($AD$176:$AD$905,($K657-$N$48))),0))="",0,IF(($K657-$N$48)&lt;1,0,IF(IF(INDEX($AD$176:$AD$905,($K657-$N$48))="",0,INDEX($AD$176:$AD$905,($K657-$N$48)))&gt;0,IF(INDEX($AD$176:$AD$905,($K657-$N$48))="",0,INDEX($AD$176:$AD$905,($K657-$N$48))),0)))=0,"",IF(AND($P656="",$P657=1),($N$37*-1),0)+IF(AND($Q656="",$Q657=1),($N$38*-1),0)+IF(IF(($K657-$N$48)&lt;1,0,IF(IF(INDEX($AD$176:$AD$905,($K657-$N$48))="",0,INDEX($AD$176:$AD$905,($K657-$N$48)))&gt;0,IF(INDEX($AD$176:$AD$905,($K657-$N$48))="",0,INDEX($AD$176:$AD$905,($K657-$N$48))),0))="",0,IF(($K657-$N$48)&lt;1,0,IF(IF(INDEX($AD$176:$AD$905,($K657-$N$48))="",0,INDEX($AD$176:$AD$905,($K657-$N$48)))&gt;0,IF(INDEX($AD$176:$AD$905,($K657-$N$48))="",0,INDEX($AD$176:$AD$905,($K657-$N$48))),0))))</f>
        <v/>
      </c>
      <c r="AC657" s="22" t="str">
        <f t="shared" si="183"/>
        <v/>
      </c>
      <c r="AD657" s="22" t="str">
        <f t="shared" si="195"/>
        <v/>
      </c>
      <c r="AE657" s="22" t="str" cm="1">
        <f t="array" ref="AE657">IF(($K657-$N$48)&lt;1,"",IF((IF(INDEX($AC$176:$AC$905,($K657-$N$48))="",0,INDEX($AC$176:$AC$905,($K657-$N$48))))=0,"",(IF(INDEX($AC$176:$AC$905,($K657-$N$48))="",0,INDEX($AC$176:$AC$905,($K657-$N$48))))))</f>
        <v/>
      </c>
      <c r="AF657" s="31" t="str">
        <f t="shared" si="184"/>
        <v/>
      </c>
      <c r="AG657" s="31" t="str">
        <f t="shared" si="185"/>
        <v/>
      </c>
      <c r="AH657" s="31" t="str">
        <f t="shared" si="186"/>
        <v/>
      </c>
      <c r="AI657" s="31" t="str">
        <f t="shared" si="187"/>
        <v/>
      </c>
      <c r="AJ657" s="303" t="str">
        <f t="shared" si="188"/>
        <v/>
      </c>
      <c r="AK657" s="139" t="str">
        <f t="shared" si="189"/>
        <v/>
      </c>
      <c r="AM657" s="319"/>
      <c r="AN657" s="40"/>
      <c r="AO657" s="1"/>
    </row>
    <row r="658" spans="7:41" x14ac:dyDescent="0.25">
      <c r="G658" s="235" t="str">
        <f t="shared" si="196"/>
        <v/>
      </c>
      <c r="H658" s="4" t="str">
        <f t="shared" si="197"/>
        <v/>
      </c>
      <c r="I658" s="11" t="str">
        <f t="shared" si="177"/>
        <v>09.00</v>
      </c>
      <c r="K658" s="30">
        <v>483</v>
      </c>
      <c r="L658" s="29">
        <f t="shared" si="190"/>
        <v>11371.908376190917</v>
      </c>
      <c r="M658" s="28" t="str">
        <f t="shared" si="178"/>
        <v/>
      </c>
      <c r="N658" s="27" t="str">
        <f t="shared" si="191"/>
        <v/>
      </c>
      <c r="O658" s="26" t="str">
        <f>IF(AND($Q657=$O$38,IFERROR(LARGE($V$176:$V657,1)&lt;$N$42,TRUE)),1,IF(AND(ISNUMBER($O657),$O657&lt;$N$32),$O657+1,""))</f>
        <v/>
      </c>
      <c r="P658" s="26" t="str">
        <f t="shared" si="192"/>
        <v/>
      </c>
      <c r="Q658" s="26" t="str">
        <f t="shared" si="179"/>
        <v/>
      </c>
      <c r="R658" s="24" t="str">
        <f t="shared" si="193"/>
        <v/>
      </c>
      <c r="S658" s="180">
        <f t="shared" si="194"/>
        <v>9</v>
      </c>
      <c r="T658" s="151"/>
      <c r="U658" s="25" t="str">
        <f t="shared" si="180"/>
        <v/>
      </c>
      <c r="V658" s="24" t="str">
        <f>IF(AND(ISNUMBER(R657),ISNUMBER(R658)),V657,IF(AND(R657="",ISNUMBER(R658)),IFERROR(LARGE($V$176:$V657,1)+1,0),""))</f>
        <v/>
      </c>
      <c r="W658" s="23" t="str">
        <f t="shared" si="181"/>
        <v/>
      </c>
      <c r="X658" s="22" t="str">
        <f t="shared" si="182"/>
        <v/>
      </c>
      <c r="Y658" s="22"/>
      <c r="Z658" s="22"/>
      <c r="AA658" s="22"/>
      <c r="AB658" s="22" t="str" cm="1">
        <f t="array" ref="AB658">IF(IF(AND($P657="",$P658=1),($N$37*-1),0)+IF(AND($Q657="",$Q658=1),($N$38*-1),0)+IF(IF(($K658-$N$48)&lt;1,0,IF(IF(INDEX($AD$176:$AD$905,($K658-$N$48))="",0,INDEX($AD$176:$AD$905,($K658-$N$48)))&gt;0,IF(INDEX($AD$176:$AD$905,($K658-$N$48))="",0,INDEX($AD$176:$AD$905,($K658-$N$48))),0))="",0,IF(($K658-$N$48)&lt;1,0,IF(IF(INDEX($AD$176:$AD$905,($K658-$N$48))="",0,INDEX($AD$176:$AD$905,($K658-$N$48)))&gt;0,IF(INDEX($AD$176:$AD$905,($K658-$N$48))="",0,INDEX($AD$176:$AD$905,($K658-$N$48))),0)))=0,"",IF(AND($P657="",$P658=1),($N$37*-1),0)+IF(AND($Q657="",$Q658=1),($N$38*-1),0)+IF(IF(($K658-$N$48)&lt;1,0,IF(IF(INDEX($AD$176:$AD$905,($K658-$N$48))="",0,INDEX($AD$176:$AD$905,($K658-$N$48)))&gt;0,IF(INDEX($AD$176:$AD$905,($K658-$N$48))="",0,INDEX($AD$176:$AD$905,($K658-$N$48))),0))="",0,IF(($K658-$N$48)&lt;1,0,IF(IF(INDEX($AD$176:$AD$905,($K658-$N$48))="",0,INDEX($AD$176:$AD$905,($K658-$N$48)))&gt;0,IF(INDEX($AD$176:$AD$905,($K658-$N$48))="",0,INDEX($AD$176:$AD$905,($K658-$N$48))),0))))</f>
        <v/>
      </c>
      <c r="AC658" s="22" t="str">
        <f t="shared" si="183"/>
        <v/>
      </c>
      <c r="AD658" s="22" t="str">
        <f t="shared" si="195"/>
        <v/>
      </c>
      <c r="AE658" s="22" t="str" cm="1">
        <f t="array" ref="AE658">IF(($K658-$N$48)&lt;1,"",IF((IF(INDEX($AC$176:$AC$905,($K658-$N$48))="",0,INDEX($AC$176:$AC$905,($K658-$N$48))))=0,"",(IF(INDEX($AC$176:$AC$905,($K658-$N$48))="",0,INDEX($AC$176:$AC$905,($K658-$N$48))))))</f>
        <v/>
      </c>
      <c r="AF658" s="31" t="str">
        <f t="shared" si="184"/>
        <v/>
      </c>
      <c r="AG658" s="31" t="str">
        <f t="shared" si="185"/>
        <v/>
      </c>
      <c r="AH658" s="31" t="str">
        <f t="shared" si="186"/>
        <v/>
      </c>
      <c r="AI658" s="31" t="str">
        <f t="shared" si="187"/>
        <v/>
      </c>
      <c r="AJ658" s="303" t="str">
        <f t="shared" si="188"/>
        <v/>
      </c>
      <c r="AK658" s="139" t="str">
        <f t="shared" si="189"/>
        <v/>
      </c>
      <c r="AM658" s="319"/>
      <c r="AN658" s="40"/>
      <c r="AO658" s="1"/>
    </row>
    <row r="659" spans="7:41" x14ac:dyDescent="0.25">
      <c r="G659" s="235" t="str">
        <f t="shared" si="196"/>
        <v/>
      </c>
      <c r="H659" s="4" t="str">
        <f t="shared" si="197"/>
        <v/>
      </c>
      <c r="I659" s="11" t="str">
        <f t="shared" si="177"/>
        <v>09.00</v>
      </c>
      <c r="K659" s="30">
        <v>484</v>
      </c>
      <c r="L659" s="29">
        <f t="shared" si="190"/>
        <v>11371.908376190917</v>
      </c>
      <c r="M659" s="28" t="str">
        <f t="shared" si="178"/>
        <v/>
      </c>
      <c r="N659" s="27" t="str">
        <f t="shared" si="191"/>
        <v/>
      </c>
      <c r="O659" s="26" t="str">
        <f>IF(AND($Q658=$O$38,IFERROR(LARGE($V$176:$V658,1)&lt;$N$42,TRUE)),1,IF(AND(ISNUMBER($O658),$O658&lt;$N$32),$O658+1,""))</f>
        <v/>
      </c>
      <c r="P659" s="26" t="str">
        <f t="shared" si="192"/>
        <v/>
      </c>
      <c r="Q659" s="26" t="str">
        <f t="shared" si="179"/>
        <v/>
      </c>
      <c r="R659" s="24" t="str">
        <f t="shared" si="193"/>
        <v/>
      </c>
      <c r="S659" s="180">
        <f t="shared" si="194"/>
        <v>9</v>
      </c>
      <c r="T659" s="151"/>
      <c r="U659" s="25" t="str">
        <f t="shared" si="180"/>
        <v/>
      </c>
      <c r="V659" s="24" t="str">
        <f>IF(AND(ISNUMBER(R658),ISNUMBER(R659)),V658,IF(AND(R658="",ISNUMBER(R659)),IFERROR(LARGE($V$176:$V658,1)+1,0),""))</f>
        <v/>
      </c>
      <c r="W659" s="23" t="str">
        <f t="shared" si="181"/>
        <v/>
      </c>
      <c r="X659" s="22" t="str">
        <f t="shared" si="182"/>
        <v/>
      </c>
      <c r="Y659" s="22"/>
      <c r="Z659" s="22"/>
      <c r="AA659" s="22"/>
      <c r="AB659" s="22" t="str" cm="1">
        <f t="array" ref="AB659">IF(IF(AND($P658="",$P659=1),($N$37*-1),0)+IF(AND($Q658="",$Q659=1),($N$38*-1),0)+IF(IF(($K659-$N$48)&lt;1,0,IF(IF(INDEX($AD$176:$AD$905,($K659-$N$48))="",0,INDEX($AD$176:$AD$905,($K659-$N$48)))&gt;0,IF(INDEX($AD$176:$AD$905,($K659-$N$48))="",0,INDEX($AD$176:$AD$905,($K659-$N$48))),0))="",0,IF(($K659-$N$48)&lt;1,0,IF(IF(INDEX($AD$176:$AD$905,($K659-$N$48))="",0,INDEX($AD$176:$AD$905,($K659-$N$48)))&gt;0,IF(INDEX($AD$176:$AD$905,($K659-$N$48))="",0,INDEX($AD$176:$AD$905,($K659-$N$48))),0)))=0,"",IF(AND($P658="",$P659=1),($N$37*-1),0)+IF(AND($Q658="",$Q659=1),($N$38*-1),0)+IF(IF(($K659-$N$48)&lt;1,0,IF(IF(INDEX($AD$176:$AD$905,($K659-$N$48))="",0,INDEX($AD$176:$AD$905,($K659-$N$48)))&gt;0,IF(INDEX($AD$176:$AD$905,($K659-$N$48))="",0,INDEX($AD$176:$AD$905,($K659-$N$48))),0))="",0,IF(($K659-$N$48)&lt;1,0,IF(IF(INDEX($AD$176:$AD$905,($K659-$N$48))="",0,INDEX($AD$176:$AD$905,($K659-$N$48)))&gt;0,IF(INDEX($AD$176:$AD$905,($K659-$N$48))="",0,INDEX($AD$176:$AD$905,($K659-$N$48))),0))))</f>
        <v/>
      </c>
      <c r="AC659" s="22" t="str">
        <f t="shared" si="183"/>
        <v/>
      </c>
      <c r="AD659" s="22" t="str">
        <f t="shared" si="195"/>
        <v/>
      </c>
      <c r="AE659" s="22" t="str" cm="1">
        <f t="array" ref="AE659">IF(($K659-$N$48)&lt;1,"",IF((IF(INDEX($AC$176:$AC$905,($K659-$N$48))="",0,INDEX($AC$176:$AC$905,($K659-$N$48))))=0,"",(IF(INDEX($AC$176:$AC$905,($K659-$N$48))="",0,INDEX($AC$176:$AC$905,($K659-$N$48))))))</f>
        <v/>
      </c>
      <c r="AF659" s="31" t="str">
        <f t="shared" si="184"/>
        <v/>
      </c>
      <c r="AG659" s="31" t="str">
        <f t="shared" si="185"/>
        <v/>
      </c>
      <c r="AH659" s="31" t="str">
        <f t="shared" si="186"/>
        <v/>
      </c>
      <c r="AI659" s="31" t="str">
        <f t="shared" si="187"/>
        <v/>
      </c>
      <c r="AJ659" s="303" t="str">
        <f t="shared" si="188"/>
        <v/>
      </c>
      <c r="AK659" s="139" t="str">
        <f t="shared" si="189"/>
        <v/>
      </c>
      <c r="AM659" s="319"/>
      <c r="AN659" s="40"/>
      <c r="AO659" s="1"/>
    </row>
    <row r="660" spans="7:41" x14ac:dyDescent="0.25">
      <c r="G660" s="235" t="str">
        <f t="shared" si="196"/>
        <v/>
      </c>
      <c r="H660" s="4" t="str">
        <f t="shared" si="197"/>
        <v/>
      </c>
      <c r="I660" s="11" t="str">
        <f t="shared" si="177"/>
        <v>09.00</v>
      </c>
      <c r="K660" s="30">
        <v>485</v>
      </c>
      <c r="L660" s="29">
        <f t="shared" si="190"/>
        <v>11371.908376190917</v>
      </c>
      <c r="M660" s="28" t="str">
        <f t="shared" si="178"/>
        <v/>
      </c>
      <c r="N660" s="27" t="str">
        <f t="shared" si="191"/>
        <v/>
      </c>
      <c r="O660" s="26" t="str">
        <f>IF(AND($Q659=$O$38,IFERROR(LARGE($V$176:$V659,1)&lt;$N$42,TRUE)),1,IF(AND(ISNUMBER($O659),$O659&lt;$N$32),$O659+1,""))</f>
        <v/>
      </c>
      <c r="P660" s="26" t="str">
        <f t="shared" si="192"/>
        <v/>
      </c>
      <c r="Q660" s="26" t="str">
        <f t="shared" si="179"/>
        <v/>
      </c>
      <c r="R660" s="24" t="str">
        <f t="shared" si="193"/>
        <v/>
      </c>
      <c r="S660" s="180">
        <f t="shared" si="194"/>
        <v>9</v>
      </c>
      <c r="T660" s="151"/>
      <c r="U660" s="25" t="str">
        <f t="shared" si="180"/>
        <v/>
      </c>
      <c r="V660" s="24" t="str">
        <f>IF(AND(ISNUMBER(R659),ISNUMBER(R660)),V659,IF(AND(R659="",ISNUMBER(R660)),IFERROR(LARGE($V$176:$V659,1)+1,0),""))</f>
        <v/>
      </c>
      <c r="W660" s="23" t="str">
        <f t="shared" si="181"/>
        <v/>
      </c>
      <c r="X660" s="22" t="str">
        <f t="shared" si="182"/>
        <v/>
      </c>
      <c r="Y660" s="22"/>
      <c r="Z660" s="22"/>
      <c r="AA660" s="22"/>
      <c r="AB660" s="22" t="str" cm="1">
        <f t="array" ref="AB660">IF(IF(AND($P659="",$P660=1),($N$37*-1),0)+IF(AND($Q659="",$Q660=1),($N$38*-1),0)+IF(IF(($K660-$N$48)&lt;1,0,IF(IF(INDEX($AD$176:$AD$905,($K660-$N$48))="",0,INDEX($AD$176:$AD$905,($K660-$N$48)))&gt;0,IF(INDEX($AD$176:$AD$905,($K660-$N$48))="",0,INDEX($AD$176:$AD$905,($K660-$N$48))),0))="",0,IF(($K660-$N$48)&lt;1,0,IF(IF(INDEX($AD$176:$AD$905,($K660-$N$48))="",0,INDEX($AD$176:$AD$905,($K660-$N$48)))&gt;0,IF(INDEX($AD$176:$AD$905,($K660-$N$48))="",0,INDEX($AD$176:$AD$905,($K660-$N$48))),0)))=0,"",IF(AND($P659="",$P660=1),($N$37*-1),0)+IF(AND($Q659="",$Q660=1),($N$38*-1),0)+IF(IF(($K660-$N$48)&lt;1,0,IF(IF(INDEX($AD$176:$AD$905,($K660-$N$48))="",0,INDEX($AD$176:$AD$905,($K660-$N$48)))&gt;0,IF(INDEX($AD$176:$AD$905,($K660-$N$48))="",0,INDEX($AD$176:$AD$905,($K660-$N$48))),0))="",0,IF(($K660-$N$48)&lt;1,0,IF(IF(INDEX($AD$176:$AD$905,($K660-$N$48))="",0,INDEX($AD$176:$AD$905,($K660-$N$48)))&gt;0,IF(INDEX($AD$176:$AD$905,($K660-$N$48))="",0,INDEX($AD$176:$AD$905,($K660-$N$48))),0))))</f>
        <v/>
      </c>
      <c r="AC660" s="22" t="str">
        <f t="shared" si="183"/>
        <v/>
      </c>
      <c r="AD660" s="22" t="str">
        <f t="shared" si="195"/>
        <v/>
      </c>
      <c r="AE660" s="22" t="str" cm="1">
        <f t="array" ref="AE660">IF(($K660-$N$48)&lt;1,"",IF((IF(INDEX($AC$176:$AC$905,($K660-$N$48))="",0,INDEX($AC$176:$AC$905,($K660-$N$48))))=0,"",(IF(INDEX($AC$176:$AC$905,($K660-$N$48))="",0,INDEX($AC$176:$AC$905,($K660-$N$48))))))</f>
        <v/>
      </c>
      <c r="AF660" s="31" t="str">
        <f t="shared" si="184"/>
        <v/>
      </c>
      <c r="AG660" s="31" t="str">
        <f t="shared" si="185"/>
        <v/>
      </c>
      <c r="AH660" s="31" t="str">
        <f t="shared" si="186"/>
        <v/>
      </c>
      <c r="AI660" s="31" t="str">
        <f t="shared" si="187"/>
        <v/>
      </c>
      <c r="AJ660" s="303" t="str">
        <f t="shared" si="188"/>
        <v/>
      </c>
      <c r="AK660" s="139" t="str">
        <f t="shared" si="189"/>
        <v/>
      </c>
      <c r="AM660" s="319"/>
      <c r="AN660" s="40"/>
      <c r="AO660" s="1"/>
    </row>
    <row r="661" spans="7:41" x14ac:dyDescent="0.25">
      <c r="G661" s="235" t="str">
        <f t="shared" si="196"/>
        <v/>
      </c>
      <c r="H661" s="4" t="str">
        <f t="shared" si="197"/>
        <v/>
      </c>
      <c r="I661" s="11" t="str">
        <f t="shared" si="177"/>
        <v>09.00</v>
      </c>
      <c r="K661" s="30">
        <v>486</v>
      </c>
      <c r="L661" s="29">
        <f t="shared" si="190"/>
        <v>11371.908376190917</v>
      </c>
      <c r="M661" s="28" t="str">
        <f t="shared" si="178"/>
        <v/>
      </c>
      <c r="N661" s="27" t="str">
        <f t="shared" si="191"/>
        <v/>
      </c>
      <c r="O661" s="26" t="str">
        <f>IF(AND($Q660=$O$38,IFERROR(LARGE($V$176:$V660,1)&lt;$N$42,TRUE)),1,IF(AND(ISNUMBER($O660),$O660&lt;$N$32),$O660+1,""))</f>
        <v/>
      </c>
      <c r="P661" s="26" t="str">
        <f t="shared" si="192"/>
        <v/>
      </c>
      <c r="Q661" s="26" t="str">
        <f t="shared" si="179"/>
        <v/>
      </c>
      <c r="R661" s="24" t="str">
        <f t="shared" si="193"/>
        <v/>
      </c>
      <c r="S661" s="180">
        <f t="shared" si="194"/>
        <v>9</v>
      </c>
      <c r="T661" s="151"/>
      <c r="U661" s="25" t="str">
        <f t="shared" si="180"/>
        <v/>
      </c>
      <c r="V661" s="24" t="str">
        <f>IF(AND(ISNUMBER(R660),ISNUMBER(R661)),V660,IF(AND(R660="",ISNUMBER(R661)),IFERROR(LARGE($V$176:$V660,1)+1,0),""))</f>
        <v/>
      </c>
      <c r="W661" s="23" t="str">
        <f t="shared" si="181"/>
        <v/>
      </c>
      <c r="X661" s="22" t="str">
        <f t="shared" si="182"/>
        <v/>
      </c>
      <c r="Y661" s="22"/>
      <c r="Z661" s="22"/>
      <c r="AA661" s="22"/>
      <c r="AB661" s="22" t="str" cm="1">
        <f t="array" ref="AB661">IF(IF(AND($P660="",$P661=1),($N$37*-1),0)+IF(AND($Q660="",$Q661=1),($N$38*-1),0)+IF(IF(($K661-$N$48)&lt;1,0,IF(IF(INDEX($AD$176:$AD$905,($K661-$N$48))="",0,INDEX($AD$176:$AD$905,($K661-$N$48)))&gt;0,IF(INDEX($AD$176:$AD$905,($K661-$N$48))="",0,INDEX($AD$176:$AD$905,($K661-$N$48))),0))="",0,IF(($K661-$N$48)&lt;1,0,IF(IF(INDEX($AD$176:$AD$905,($K661-$N$48))="",0,INDEX($AD$176:$AD$905,($K661-$N$48)))&gt;0,IF(INDEX($AD$176:$AD$905,($K661-$N$48))="",0,INDEX($AD$176:$AD$905,($K661-$N$48))),0)))=0,"",IF(AND($P660="",$P661=1),($N$37*-1),0)+IF(AND($Q660="",$Q661=1),($N$38*-1),0)+IF(IF(($K661-$N$48)&lt;1,0,IF(IF(INDEX($AD$176:$AD$905,($K661-$N$48))="",0,INDEX($AD$176:$AD$905,($K661-$N$48)))&gt;0,IF(INDEX($AD$176:$AD$905,($K661-$N$48))="",0,INDEX($AD$176:$AD$905,($K661-$N$48))),0))="",0,IF(($K661-$N$48)&lt;1,0,IF(IF(INDEX($AD$176:$AD$905,($K661-$N$48))="",0,INDEX($AD$176:$AD$905,($K661-$N$48)))&gt;0,IF(INDEX($AD$176:$AD$905,($K661-$N$48))="",0,INDEX($AD$176:$AD$905,($K661-$N$48))),0))))</f>
        <v/>
      </c>
      <c r="AC661" s="22" t="str">
        <f t="shared" si="183"/>
        <v/>
      </c>
      <c r="AD661" s="22" t="str">
        <f t="shared" si="195"/>
        <v/>
      </c>
      <c r="AE661" s="22" t="str" cm="1">
        <f t="array" ref="AE661">IF(($K661-$N$48)&lt;1,"",IF((IF(INDEX($AC$176:$AC$905,($K661-$N$48))="",0,INDEX($AC$176:$AC$905,($K661-$N$48))))=0,"",(IF(INDEX($AC$176:$AC$905,($K661-$N$48))="",0,INDEX($AC$176:$AC$905,($K661-$N$48))))))</f>
        <v/>
      </c>
      <c r="AF661" s="31" t="str">
        <f t="shared" si="184"/>
        <v/>
      </c>
      <c r="AG661" s="31" t="str">
        <f t="shared" si="185"/>
        <v/>
      </c>
      <c r="AH661" s="31" t="str">
        <f t="shared" si="186"/>
        <v/>
      </c>
      <c r="AI661" s="31" t="str">
        <f t="shared" si="187"/>
        <v/>
      </c>
      <c r="AJ661" s="303" t="str">
        <f t="shared" si="188"/>
        <v/>
      </c>
      <c r="AK661" s="139" t="str">
        <f t="shared" si="189"/>
        <v/>
      </c>
      <c r="AM661" s="319"/>
      <c r="AN661" s="40"/>
      <c r="AO661" s="1"/>
    </row>
    <row r="662" spans="7:41" x14ac:dyDescent="0.25">
      <c r="G662" s="235" t="str">
        <f t="shared" si="196"/>
        <v/>
      </c>
      <c r="H662" s="4" t="str">
        <f t="shared" si="197"/>
        <v/>
      </c>
      <c r="I662" s="11" t="str">
        <f t="shared" si="177"/>
        <v>09.00</v>
      </c>
      <c r="K662" s="30">
        <v>487</v>
      </c>
      <c r="L662" s="29">
        <f t="shared" si="190"/>
        <v>11371.908376190917</v>
      </c>
      <c r="M662" s="28" t="str">
        <f t="shared" si="178"/>
        <v/>
      </c>
      <c r="N662" s="27" t="str">
        <f t="shared" si="191"/>
        <v/>
      </c>
      <c r="O662" s="26" t="str">
        <f>IF(AND($Q661=$O$38,IFERROR(LARGE($V$176:$V661,1)&lt;$N$42,TRUE)),1,IF(AND(ISNUMBER($O661),$O661&lt;$N$32),$O661+1,""))</f>
        <v/>
      </c>
      <c r="P662" s="26" t="str">
        <f t="shared" si="192"/>
        <v/>
      </c>
      <c r="Q662" s="26" t="str">
        <f t="shared" si="179"/>
        <v/>
      </c>
      <c r="R662" s="24" t="str">
        <f t="shared" si="193"/>
        <v/>
      </c>
      <c r="S662" s="180">
        <f t="shared" si="194"/>
        <v>9</v>
      </c>
      <c r="T662" s="151"/>
      <c r="U662" s="25" t="str">
        <f t="shared" si="180"/>
        <v/>
      </c>
      <c r="V662" s="24" t="str">
        <f>IF(AND(ISNUMBER(R661),ISNUMBER(R662)),V661,IF(AND(R661="",ISNUMBER(R662)),IFERROR(LARGE($V$176:$V661,1)+1,0),""))</f>
        <v/>
      </c>
      <c r="W662" s="23" t="str">
        <f t="shared" si="181"/>
        <v/>
      </c>
      <c r="X662" s="22" t="str">
        <f t="shared" si="182"/>
        <v/>
      </c>
      <c r="Y662" s="22"/>
      <c r="Z662" s="22"/>
      <c r="AA662" s="22"/>
      <c r="AB662" s="22" t="str" cm="1">
        <f t="array" ref="AB662">IF(IF(AND($P661="",$P662=1),($N$37*-1),0)+IF(AND($Q661="",$Q662=1),($N$38*-1),0)+IF(IF(($K662-$N$48)&lt;1,0,IF(IF(INDEX($AD$176:$AD$905,($K662-$N$48))="",0,INDEX($AD$176:$AD$905,($K662-$N$48)))&gt;0,IF(INDEX($AD$176:$AD$905,($K662-$N$48))="",0,INDEX($AD$176:$AD$905,($K662-$N$48))),0))="",0,IF(($K662-$N$48)&lt;1,0,IF(IF(INDEX($AD$176:$AD$905,($K662-$N$48))="",0,INDEX($AD$176:$AD$905,($K662-$N$48)))&gt;0,IF(INDEX($AD$176:$AD$905,($K662-$N$48))="",0,INDEX($AD$176:$AD$905,($K662-$N$48))),0)))=0,"",IF(AND($P661="",$P662=1),($N$37*-1),0)+IF(AND($Q661="",$Q662=1),($N$38*-1),0)+IF(IF(($K662-$N$48)&lt;1,0,IF(IF(INDEX($AD$176:$AD$905,($K662-$N$48))="",0,INDEX($AD$176:$AD$905,($K662-$N$48)))&gt;0,IF(INDEX($AD$176:$AD$905,($K662-$N$48))="",0,INDEX($AD$176:$AD$905,($K662-$N$48))),0))="",0,IF(($K662-$N$48)&lt;1,0,IF(IF(INDEX($AD$176:$AD$905,($K662-$N$48))="",0,INDEX($AD$176:$AD$905,($K662-$N$48)))&gt;0,IF(INDEX($AD$176:$AD$905,($K662-$N$48))="",0,INDEX($AD$176:$AD$905,($K662-$N$48))),0))))</f>
        <v/>
      </c>
      <c r="AC662" s="22" t="str">
        <f t="shared" si="183"/>
        <v/>
      </c>
      <c r="AD662" s="22" t="str">
        <f t="shared" si="195"/>
        <v/>
      </c>
      <c r="AE662" s="22" t="str" cm="1">
        <f t="array" ref="AE662">IF(($K662-$N$48)&lt;1,"",IF((IF(INDEX($AC$176:$AC$905,($K662-$N$48))="",0,INDEX($AC$176:$AC$905,($K662-$N$48))))=0,"",(IF(INDEX($AC$176:$AC$905,($K662-$N$48))="",0,INDEX($AC$176:$AC$905,($K662-$N$48))))))</f>
        <v/>
      </c>
      <c r="AF662" s="31" t="str">
        <f t="shared" si="184"/>
        <v/>
      </c>
      <c r="AG662" s="31" t="str">
        <f t="shared" si="185"/>
        <v/>
      </c>
      <c r="AH662" s="31" t="str">
        <f t="shared" si="186"/>
        <v/>
      </c>
      <c r="AI662" s="31" t="str">
        <f t="shared" si="187"/>
        <v/>
      </c>
      <c r="AJ662" s="303" t="str">
        <f t="shared" si="188"/>
        <v/>
      </c>
      <c r="AK662" s="139" t="str">
        <f t="shared" si="189"/>
        <v/>
      </c>
      <c r="AM662" s="319"/>
      <c r="AN662" s="40"/>
      <c r="AO662" s="1"/>
    </row>
    <row r="663" spans="7:41" x14ac:dyDescent="0.25">
      <c r="G663" s="235" t="str">
        <f t="shared" si="196"/>
        <v/>
      </c>
      <c r="H663" s="4" t="str">
        <f t="shared" si="197"/>
        <v/>
      </c>
      <c r="I663" s="11" t="str">
        <f t="shared" si="177"/>
        <v>09.00</v>
      </c>
      <c r="K663" s="30">
        <v>488</v>
      </c>
      <c r="L663" s="29">
        <f t="shared" si="190"/>
        <v>11371.908376190917</v>
      </c>
      <c r="M663" s="28" t="str">
        <f t="shared" si="178"/>
        <v/>
      </c>
      <c r="N663" s="27" t="str">
        <f t="shared" si="191"/>
        <v/>
      </c>
      <c r="O663" s="26" t="str">
        <f>IF(AND($Q662=$O$38,IFERROR(LARGE($V$176:$V662,1)&lt;$N$42,TRUE)),1,IF(AND(ISNUMBER($O662),$O662&lt;$N$32),$O662+1,""))</f>
        <v/>
      </c>
      <c r="P663" s="26" t="str">
        <f t="shared" si="192"/>
        <v/>
      </c>
      <c r="Q663" s="26" t="str">
        <f t="shared" si="179"/>
        <v/>
      </c>
      <c r="R663" s="24" t="str">
        <f t="shared" si="193"/>
        <v/>
      </c>
      <c r="S663" s="180">
        <f t="shared" si="194"/>
        <v>9</v>
      </c>
      <c r="T663" s="151"/>
      <c r="U663" s="25" t="str">
        <f t="shared" si="180"/>
        <v/>
      </c>
      <c r="V663" s="24" t="str">
        <f>IF(AND(ISNUMBER(R662),ISNUMBER(R663)),V662,IF(AND(R662="",ISNUMBER(R663)),IFERROR(LARGE($V$176:$V662,1)+1,0),""))</f>
        <v/>
      </c>
      <c r="W663" s="23" t="str">
        <f t="shared" si="181"/>
        <v/>
      </c>
      <c r="X663" s="22" t="str">
        <f t="shared" si="182"/>
        <v/>
      </c>
      <c r="Y663" s="22"/>
      <c r="Z663" s="22"/>
      <c r="AA663" s="22"/>
      <c r="AB663" s="22" t="str" cm="1">
        <f t="array" ref="AB663">IF(IF(AND($P662="",$P663=1),($N$37*-1),0)+IF(AND($Q662="",$Q663=1),($N$38*-1),0)+IF(IF(($K663-$N$48)&lt;1,0,IF(IF(INDEX($AD$176:$AD$905,($K663-$N$48))="",0,INDEX($AD$176:$AD$905,($K663-$N$48)))&gt;0,IF(INDEX($AD$176:$AD$905,($K663-$N$48))="",0,INDEX($AD$176:$AD$905,($K663-$N$48))),0))="",0,IF(($K663-$N$48)&lt;1,0,IF(IF(INDEX($AD$176:$AD$905,($K663-$N$48))="",0,INDEX($AD$176:$AD$905,($K663-$N$48)))&gt;0,IF(INDEX($AD$176:$AD$905,($K663-$N$48))="",0,INDEX($AD$176:$AD$905,($K663-$N$48))),0)))=0,"",IF(AND($P662="",$P663=1),($N$37*-1),0)+IF(AND($Q662="",$Q663=1),($N$38*-1),0)+IF(IF(($K663-$N$48)&lt;1,0,IF(IF(INDEX($AD$176:$AD$905,($K663-$N$48))="",0,INDEX($AD$176:$AD$905,($K663-$N$48)))&gt;0,IF(INDEX($AD$176:$AD$905,($K663-$N$48))="",0,INDEX($AD$176:$AD$905,($K663-$N$48))),0))="",0,IF(($K663-$N$48)&lt;1,0,IF(IF(INDEX($AD$176:$AD$905,($K663-$N$48))="",0,INDEX($AD$176:$AD$905,($K663-$N$48)))&gt;0,IF(INDEX($AD$176:$AD$905,($K663-$N$48))="",0,INDEX($AD$176:$AD$905,($K663-$N$48))),0))))</f>
        <v/>
      </c>
      <c r="AC663" s="22" t="str">
        <f t="shared" si="183"/>
        <v/>
      </c>
      <c r="AD663" s="22" t="str">
        <f t="shared" si="195"/>
        <v/>
      </c>
      <c r="AE663" s="22" t="str" cm="1">
        <f t="array" ref="AE663">IF(($K663-$N$48)&lt;1,"",IF((IF(INDEX($AC$176:$AC$905,($K663-$N$48))="",0,INDEX($AC$176:$AC$905,($K663-$N$48))))=0,"",(IF(INDEX($AC$176:$AC$905,($K663-$N$48))="",0,INDEX($AC$176:$AC$905,($K663-$N$48))))))</f>
        <v/>
      </c>
      <c r="AF663" s="31" t="str">
        <f t="shared" si="184"/>
        <v/>
      </c>
      <c r="AG663" s="31" t="str">
        <f t="shared" si="185"/>
        <v/>
      </c>
      <c r="AH663" s="31" t="str">
        <f t="shared" si="186"/>
        <v/>
      </c>
      <c r="AI663" s="31" t="str">
        <f t="shared" si="187"/>
        <v/>
      </c>
      <c r="AJ663" s="303" t="str">
        <f t="shared" si="188"/>
        <v/>
      </c>
      <c r="AK663" s="139" t="str">
        <f t="shared" si="189"/>
        <v/>
      </c>
      <c r="AM663" s="319"/>
      <c r="AN663" s="40"/>
      <c r="AO663" s="1"/>
    </row>
    <row r="664" spans="7:41" x14ac:dyDescent="0.25">
      <c r="G664" s="235" t="str">
        <f t="shared" si="196"/>
        <v/>
      </c>
      <c r="H664" s="4" t="str">
        <f t="shared" si="197"/>
        <v/>
      </c>
      <c r="I664" s="11" t="str">
        <f t="shared" si="177"/>
        <v>09.00</v>
      </c>
      <c r="K664" s="30">
        <v>489</v>
      </c>
      <c r="L664" s="29">
        <f t="shared" si="190"/>
        <v>11371.908376190917</v>
      </c>
      <c r="M664" s="28" t="str">
        <f t="shared" si="178"/>
        <v/>
      </c>
      <c r="N664" s="27" t="str">
        <f t="shared" si="191"/>
        <v/>
      </c>
      <c r="O664" s="26" t="str">
        <f>IF(AND($Q663=$O$38,IFERROR(LARGE($V$176:$V663,1)&lt;$N$42,TRUE)),1,IF(AND(ISNUMBER($O663),$O663&lt;$N$32),$O663+1,""))</f>
        <v/>
      </c>
      <c r="P664" s="26" t="str">
        <f t="shared" si="192"/>
        <v/>
      </c>
      <c r="Q664" s="26" t="str">
        <f t="shared" si="179"/>
        <v/>
      </c>
      <c r="R664" s="24" t="str">
        <f t="shared" si="193"/>
        <v/>
      </c>
      <c r="S664" s="180">
        <f t="shared" si="194"/>
        <v>9</v>
      </c>
      <c r="T664" s="151"/>
      <c r="U664" s="25" t="str">
        <f t="shared" si="180"/>
        <v/>
      </c>
      <c r="V664" s="24" t="str">
        <f>IF(AND(ISNUMBER(R663),ISNUMBER(R664)),V663,IF(AND(R663="",ISNUMBER(R664)),IFERROR(LARGE($V$176:$V663,1)+1,0),""))</f>
        <v/>
      </c>
      <c r="W664" s="23" t="str">
        <f t="shared" si="181"/>
        <v/>
      </c>
      <c r="X664" s="22" t="str">
        <f t="shared" si="182"/>
        <v/>
      </c>
      <c r="Y664" s="22"/>
      <c r="Z664" s="22"/>
      <c r="AA664" s="22"/>
      <c r="AB664" s="22" t="str" cm="1">
        <f t="array" ref="AB664">IF(IF(AND($P663="",$P664=1),($N$37*-1),0)+IF(AND($Q663="",$Q664=1),($N$38*-1),0)+IF(IF(($K664-$N$48)&lt;1,0,IF(IF(INDEX($AD$176:$AD$905,($K664-$N$48))="",0,INDEX($AD$176:$AD$905,($K664-$N$48)))&gt;0,IF(INDEX($AD$176:$AD$905,($K664-$N$48))="",0,INDEX($AD$176:$AD$905,($K664-$N$48))),0))="",0,IF(($K664-$N$48)&lt;1,0,IF(IF(INDEX($AD$176:$AD$905,($K664-$N$48))="",0,INDEX($AD$176:$AD$905,($K664-$N$48)))&gt;0,IF(INDEX($AD$176:$AD$905,($K664-$N$48))="",0,INDEX($AD$176:$AD$905,($K664-$N$48))),0)))=0,"",IF(AND($P663="",$P664=1),($N$37*-1),0)+IF(AND($Q663="",$Q664=1),($N$38*-1),0)+IF(IF(($K664-$N$48)&lt;1,0,IF(IF(INDEX($AD$176:$AD$905,($K664-$N$48))="",0,INDEX($AD$176:$AD$905,($K664-$N$48)))&gt;0,IF(INDEX($AD$176:$AD$905,($K664-$N$48))="",0,INDEX($AD$176:$AD$905,($K664-$N$48))),0))="",0,IF(($K664-$N$48)&lt;1,0,IF(IF(INDEX($AD$176:$AD$905,($K664-$N$48))="",0,INDEX($AD$176:$AD$905,($K664-$N$48)))&gt;0,IF(INDEX($AD$176:$AD$905,($K664-$N$48))="",0,INDEX($AD$176:$AD$905,($K664-$N$48))),0))))</f>
        <v/>
      </c>
      <c r="AC664" s="22" t="str">
        <f t="shared" si="183"/>
        <v/>
      </c>
      <c r="AD664" s="22" t="str">
        <f t="shared" si="195"/>
        <v/>
      </c>
      <c r="AE664" s="22" t="str" cm="1">
        <f t="array" ref="AE664">IF(($K664-$N$48)&lt;1,"",IF((IF(INDEX($AC$176:$AC$905,($K664-$N$48))="",0,INDEX($AC$176:$AC$905,($K664-$N$48))))=0,"",(IF(INDEX($AC$176:$AC$905,($K664-$N$48))="",0,INDEX($AC$176:$AC$905,($K664-$N$48))))))</f>
        <v/>
      </c>
      <c r="AF664" s="31" t="str">
        <f t="shared" si="184"/>
        <v/>
      </c>
      <c r="AG664" s="31" t="str">
        <f t="shared" si="185"/>
        <v/>
      </c>
      <c r="AH664" s="31" t="str">
        <f t="shared" si="186"/>
        <v/>
      </c>
      <c r="AI664" s="31" t="str">
        <f t="shared" si="187"/>
        <v/>
      </c>
      <c r="AJ664" s="303" t="str">
        <f t="shared" si="188"/>
        <v/>
      </c>
      <c r="AK664" s="139" t="str">
        <f t="shared" si="189"/>
        <v/>
      </c>
      <c r="AM664" s="319"/>
      <c r="AN664" s="40"/>
      <c r="AO664" s="1"/>
    </row>
    <row r="665" spans="7:41" x14ac:dyDescent="0.25">
      <c r="G665" s="235" t="str">
        <f t="shared" si="196"/>
        <v/>
      </c>
      <c r="H665" s="4" t="str">
        <f t="shared" si="197"/>
        <v/>
      </c>
      <c r="I665" s="11" t="str">
        <f t="shared" si="177"/>
        <v>09.00</v>
      </c>
      <c r="K665" s="30">
        <v>490</v>
      </c>
      <c r="L665" s="29">
        <f t="shared" si="190"/>
        <v>11371.908376190917</v>
      </c>
      <c r="M665" s="28" t="str">
        <f t="shared" si="178"/>
        <v/>
      </c>
      <c r="N665" s="27" t="str">
        <f t="shared" si="191"/>
        <v/>
      </c>
      <c r="O665" s="26" t="str">
        <f>IF(AND($Q664=$O$38,IFERROR(LARGE($V$176:$V664,1)&lt;$N$42,TRUE)),1,IF(AND(ISNUMBER($O664),$O664&lt;$N$32),$O664+1,""))</f>
        <v/>
      </c>
      <c r="P665" s="26" t="str">
        <f t="shared" si="192"/>
        <v/>
      </c>
      <c r="Q665" s="26" t="str">
        <f t="shared" si="179"/>
        <v/>
      </c>
      <c r="R665" s="24" t="str">
        <f t="shared" si="193"/>
        <v/>
      </c>
      <c r="S665" s="180">
        <f t="shared" si="194"/>
        <v>9</v>
      </c>
      <c r="T665" s="151"/>
      <c r="U665" s="25" t="str">
        <f t="shared" si="180"/>
        <v/>
      </c>
      <c r="V665" s="24" t="str">
        <f>IF(AND(ISNUMBER(R664),ISNUMBER(R665)),V664,IF(AND(R664="",ISNUMBER(R665)),IFERROR(LARGE($V$176:$V664,1)+1,0),""))</f>
        <v/>
      </c>
      <c r="W665" s="23" t="str">
        <f t="shared" si="181"/>
        <v/>
      </c>
      <c r="X665" s="22" t="str">
        <f t="shared" si="182"/>
        <v/>
      </c>
      <c r="Y665" s="22"/>
      <c r="Z665" s="22"/>
      <c r="AA665" s="22"/>
      <c r="AB665" s="22" t="str" cm="1">
        <f t="array" ref="AB665">IF(IF(AND($P664="",$P665=1),($N$37*-1),0)+IF(AND($Q664="",$Q665=1),($N$38*-1),0)+IF(IF(($K665-$N$48)&lt;1,0,IF(IF(INDEX($AD$176:$AD$905,($K665-$N$48))="",0,INDEX($AD$176:$AD$905,($K665-$N$48)))&gt;0,IF(INDEX($AD$176:$AD$905,($K665-$N$48))="",0,INDEX($AD$176:$AD$905,($K665-$N$48))),0))="",0,IF(($K665-$N$48)&lt;1,0,IF(IF(INDEX($AD$176:$AD$905,($K665-$N$48))="",0,INDEX($AD$176:$AD$905,($K665-$N$48)))&gt;0,IF(INDEX($AD$176:$AD$905,($K665-$N$48))="",0,INDEX($AD$176:$AD$905,($K665-$N$48))),0)))=0,"",IF(AND($P664="",$P665=1),($N$37*-1),0)+IF(AND($Q664="",$Q665=1),($N$38*-1),0)+IF(IF(($K665-$N$48)&lt;1,0,IF(IF(INDEX($AD$176:$AD$905,($K665-$N$48))="",0,INDEX($AD$176:$AD$905,($K665-$N$48)))&gt;0,IF(INDEX($AD$176:$AD$905,($K665-$N$48))="",0,INDEX($AD$176:$AD$905,($K665-$N$48))),0))="",0,IF(($K665-$N$48)&lt;1,0,IF(IF(INDEX($AD$176:$AD$905,($K665-$N$48))="",0,INDEX($AD$176:$AD$905,($K665-$N$48)))&gt;0,IF(INDEX($AD$176:$AD$905,($K665-$N$48))="",0,INDEX($AD$176:$AD$905,($K665-$N$48))),0))))</f>
        <v/>
      </c>
      <c r="AC665" s="22" t="str">
        <f t="shared" si="183"/>
        <v/>
      </c>
      <c r="AD665" s="22" t="str">
        <f t="shared" si="195"/>
        <v/>
      </c>
      <c r="AE665" s="22" t="str" cm="1">
        <f t="array" ref="AE665">IF(($K665-$N$48)&lt;1,"",IF((IF(INDEX($AC$176:$AC$905,($K665-$N$48))="",0,INDEX($AC$176:$AC$905,($K665-$N$48))))=0,"",(IF(INDEX($AC$176:$AC$905,($K665-$N$48))="",0,INDEX($AC$176:$AC$905,($K665-$N$48))))))</f>
        <v/>
      </c>
      <c r="AF665" s="31" t="str">
        <f t="shared" si="184"/>
        <v/>
      </c>
      <c r="AG665" s="31" t="str">
        <f t="shared" si="185"/>
        <v/>
      </c>
      <c r="AH665" s="31" t="str">
        <f t="shared" si="186"/>
        <v/>
      </c>
      <c r="AI665" s="31" t="str">
        <f t="shared" si="187"/>
        <v/>
      </c>
      <c r="AJ665" s="303" t="str">
        <f t="shared" si="188"/>
        <v/>
      </c>
      <c r="AK665" s="139" t="str">
        <f t="shared" si="189"/>
        <v/>
      </c>
      <c r="AM665" s="319"/>
      <c r="AN665" s="40"/>
      <c r="AO665" s="1"/>
    </row>
    <row r="666" spans="7:41" x14ac:dyDescent="0.25">
      <c r="G666" s="235" t="str">
        <f t="shared" si="196"/>
        <v/>
      </c>
      <c r="H666" s="4" t="str">
        <f t="shared" si="197"/>
        <v/>
      </c>
      <c r="I666" s="11" t="str">
        <f t="shared" si="177"/>
        <v>09.00</v>
      </c>
      <c r="K666" s="30">
        <v>491</v>
      </c>
      <c r="L666" s="29">
        <f t="shared" si="190"/>
        <v>11371.908376190917</v>
      </c>
      <c r="M666" s="28" t="str">
        <f t="shared" si="178"/>
        <v/>
      </c>
      <c r="N666" s="27" t="str">
        <f t="shared" si="191"/>
        <v/>
      </c>
      <c r="O666" s="26" t="str">
        <f>IF(AND($Q665=$O$38,IFERROR(LARGE($V$176:$V665,1)&lt;$N$42,TRUE)),1,IF(AND(ISNUMBER($O665),$O665&lt;$N$32),$O665+1,""))</f>
        <v/>
      </c>
      <c r="P666" s="26" t="str">
        <f t="shared" si="192"/>
        <v/>
      </c>
      <c r="Q666" s="26" t="str">
        <f t="shared" si="179"/>
        <v/>
      </c>
      <c r="R666" s="24" t="str">
        <f t="shared" si="193"/>
        <v/>
      </c>
      <c r="S666" s="180">
        <f t="shared" si="194"/>
        <v>9</v>
      </c>
      <c r="T666" s="151"/>
      <c r="U666" s="25" t="str">
        <f t="shared" si="180"/>
        <v/>
      </c>
      <c r="V666" s="24" t="str">
        <f>IF(AND(ISNUMBER(R665),ISNUMBER(R666)),V665,IF(AND(R665="",ISNUMBER(R666)),IFERROR(LARGE($V$176:$V665,1)+1,0),""))</f>
        <v/>
      </c>
      <c r="W666" s="23" t="str">
        <f t="shared" si="181"/>
        <v/>
      </c>
      <c r="X666" s="22" t="str">
        <f t="shared" si="182"/>
        <v/>
      </c>
      <c r="Y666" s="22"/>
      <c r="Z666" s="22"/>
      <c r="AA666" s="22"/>
      <c r="AB666" s="22" t="str" cm="1">
        <f t="array" ref="AB666">IF(IF(AND($P665="",$P666=1),($N$37*-1),0)+IF(AND($Q665="",$Q666=1),($N$38*-1),0)+IF(IF(($K666-$N$48)&lt;1,0,IF(IF(INDEX($AD$176:$AD$905,($K666-$N$48))="",0,INDEX($AD$176:$AD$905,($K666-$N$48)))&gt;0,IF(INDEX($AD$176:$AD$905,($K666-$N$48))="",0,INDEX($AD$176:$AD$905,($K666-$N$48))),0))="",0,IF(($K666-$N$48)&lt;1,0,IF(IF(INDEX($AD$176:$AD$905,($K666-$N$48))="",0,INDEX($AD$176:$AD$905,($K666-$N$48)))&gt;0,IF(INDEX($AD$176:$AD$905,($K666-$N$48))="",0,INDEX($AD$176:$AD$905,($K666-$N$48))),0)))=0,"",IF(AND($P665="",$P666=1),($N$37*-1),0)+IF(AND($Q665="",$Q666=1),($N$38*-1),0)+IF(IF(($K666-$N$48)&lt;1,0,IF(IF(INDEX($AD$176:$AD$905,($K666-$N$48))="",0,INDEX($AD$176:$AD$905,($K666-$N$48)))&gt;0,IF(INDEX($AD$176:$AD$905,($K666-$N$48))="",0,INDEX($AD$176:$AD$905,($K666-$N$48))),0))="",0,IF(($K666-$N$48)&lt;1,0,IF(IF(INDEX($AD$176:$AD$905,($K666-$N$48))="",0,INDEX($AD$176:$AD$905,($K666-$N$48)))&gt;0,IF(INDEX($AD$176:$AD$905,($K666-$N$48))="",0,INDEX($AD$176:$AD$905,($K666-$N$48))),0))))</f>
        <v/>
      </c>
      <c r="AC666" s="22" t="str">
        <f t="shared" si="183"/>
        <v/>
      </c>
      <c r="AD666" s="22" t="str">
        <f t="shared" si="195"/>
        <v/>
      </c>
      <c r="AE666" s="22" t="str" cm="1">
        <f t="array" ref="AE666">IF(($K666-$N$48)&lt;1,"",IF((IF(INDEX($AC$176:$AC$905,($K666-$N$48))="",0,INDEX($AC$176:$AC$905,($K666-$N$48))))=0,"",(IF(INDEX($AC$176:$AC$905,($K666-$N$48))="",0,INDEX($AC$176:$AC$905,($K666-$N$48))))))</f>
        <v/>
      </c>
      <c r="AF666" s="31" t="str">
        <f t="shared" si="184"/>
        <v/>
      </c>
      <c r="AG666" s="31" t="str">
        <f t="shared" si="185"/>
        <v/>
      </c>
      <c r="AH666" s="31" t="str">
        <f t="shared" si="186"/>
        <v/>
      </c>
      <c r="AI666" s="31" t="str">
        <f t="shared" si="187"/>
        <v/>
      </c>
      <c r="AJ666" s="303" t="str">
        <f t="shared" si="188"/>
        <v/>
      </c>
      <c r="AK666" s="139" t="str">
        <f t="shared" si="189"/>
        <v/>
      </c>
      <c r="AM666" s="319"/>
      <c r="AN666" s="40"/>
      <c r="AO666" s="1"/>
    </row>
    <row r="667" spans="7:41" x14ac:dyDescent="0.25">
      <c r="G667" s="235" t="str">
        <f t="shared" si="196"/>
        <v/>
      </c>
      <c r="H667" s="4" t="str">
        <f t="shared" si="197"/>
        <v/>
      </c>
      <c r="I667" s="11" t="str">
        <f t="shared" si="177"/>
        <v>09.00</v>
      </c>
      <c r="K667" s="30">
        <v>492</v>
      </c>
      <c r="L667" s="29">
        <f t="shared" si="190"/>
        <v>11371.908376190917</v>
      </c>
      <c r="M667" s="28" t="str">
        <f t="shared" si="178"/>
        <v/>
      </c>
      <c r="N667" s="27" t="str">
        <f t="shared" si="191"/>
        <v/>
      </c>
      <c r="O667" s="26" t="str">
        <f>IF(AND($Q666=$O$38,IFERROR(LARGE($V$176:$V666,1)&lt;$N$42,TRUE)),1,IF(AND(ISNUMBER($O666),$O666&lt;$N$32),$O666+1,""))</f>
        <v/>
      </c>
      <c r="P667" s="26" t="str">
        <f t="shared" si="192"/>
        <v/>
      </c>
      <c r="Q667" s="26" t="str">
        <f t="shared" si="179"/>
        <v/>
      </c>
      <c r="R667" s="24" t="str">
        <f t="shared" si="193"/>
        <v/>
      </c>
      <c r="S667" s="180">
        <f t="shared" si="194"/>
        <v>9</v>
      </c>
      <c r="T667" s="151"/>
      <c r="U667" s="25" t="str">
        <f t="shared" si="180"/>
        <v/>
      </c>
      <c r="V667" s="24" t="str">
        <f>IF(AND(ISNUMBER(R666),ISNUMBER(R667)),V666,IF(AND(R666="",ISNUMBER(R667)),IFERROR(LARGE($V$176:$V666,1)+1,0),""))</f>
        <v/>
      </c>
      <c r="W667" s="23" t="str">
        <f t="shared" si="181"/>
        <v/>
      </c>
      <c r="X667" s="22" t="str">
        <f t="shared" si="182"/>
        <v/>
      </c>
      <c r="Y667" s="22"/>
      <c r="Z667" s="22"/>
      <c r="AA667" s="22"/>
      <c r="AB667" s="22" t="str" cm="1">
        <f t="array" ref="AB667">IF(IF(AND($P666="",$P667=1),($N$37*-1),0)+IF(AND($Q666="",$Q667=1),($N$38*-1),0)+IF(IF(($K667-$N$48)&lt;1,0,IF(IF(INDEX($AD$176:$AD$905,($K667-$N$48))="",0,INDEX($AD$176:$AD$905,($K667-$N$48)))&gt;0,IF(INDEX($AD$176:$AD$905,($K667-$N$48))="",0,INDEX($AD$176:$AD$905,($K667-$N$48))),0))="",0,IF(($K667-$N$48)&lt;1,0,IF(IF(INDEX($AD$176:$AD$905,($K667-$N$48))="",0,INDEX($AD$176:$AD$905,($K667-$N$48)))&gt;0,IF(INDEX($AD$176:$AD$905,($K667-$N$48))="",0,INDEX($AD$176:$AD$905,($K667-$N$48))),0)))=0,"",IF(AND($P666="",$P667=1),($N$37*-1),0)+IF(AND($Q666="",$Q667=1),($N$38*-1),0)+IF(IF(($K667-$N$48)&lt;1,0,IF(IF(INDEX($AD$176:$AD$905,($K667-$N$48))="",0,INDEX($AD$176:$AD$905,($K667-$N$48)))&gt;0,IF(INDEX($AD$176:$AD$905,($K667-$N$48))="",0,INDEX($AD$176:$AD$905,($K667-$N$48))),0))="",0,IF(($K667-$N$48)&lt;1,0,IF(IF(INDEX($AD$176:$AD$905,($K667-$N$48))="",0,INDEX($AD$176:$AD$905,($K667-$N$48)))&gt;0,IF(INDEX($AD$176:$AD$905,($K667-$N$48))="",0,INDEX($AD$176:$AD$905,($K667-$N$48))),0))))</f>
        <v/>
      </c>
      <c r="AC667" s="22" t="str">
        <f t="shared" si="183"/>
        <v/>
      </c>
      <c r="AD667" s="22" t="str">
        <f t="shared" si="195"/>
        <v/>
      </c>
      <c r="AE667" s="22" t="str" cm="1">
        <f t="array" ref="AE667">IF(($K667-$N$48)&lt;1,"",IF((IF(INDEX($AC$176:$AC$905,($K667-$N$48))="",0,INDEX($AC$176:$AC$905,($K667-$N$48))))=0,"",(IF(INDEX($AC$176:$AC$905,($K667-$N$48))="",0,INDEX($AC$176:$AC$905,($K667-$N$48))))))</f>
        <v/>
      </c>
      <c r="AF667" s="31" t="str">
        <f t="shared" si="184"/>
        <v/>
      </c>
      <c r="AG667" s="31" t="str">
        <f t="shared" si="185"/>
        <v/>
      </c>
      <c r="AH667" s="31" t="str">
        <f t="shared" si="186"/>
        <v/>
      </c>
      <c r="AI667" s="31" t="str">
        <f t="shared" si="187"/>
        <v/>
      </c>
      <c r="AJ667" s="303" t="str">
        <f t="shared" si="188"/>
        <v/>
      </c>
      <c r="AK667" s="139" t="str">
        <f t="shared" si="189"/>
        <v/>
      </c>
      <c r="AM667" s="319"/>
      <c r="AN667" s="40"/>
      <c r="AO667" s="1"/>
    </row>
    <row r="668" spans="7:41" x14ac:dyDescent="0.25">
      <c r="G668" s="235" t="str">
        <f t="shared" si="196"/>
        <v/>
      </c>
      <c r="H668" s="4" t="str">
        <f t="shared" si="197"/>
        <v/>
      </c>
      <c r="I668" s="11" t="str">
        <f t="shared" si="177"/>
        <v>09.00</v>
      </c>
      <c r="K668" s="30">
        <v>493</v>
      </c>
      <c r="L668" s="29">
        <f t="shared" si="190"/>
        <v>11371.908376190917</v>
      </c>
      <c r="M668" s="28" t="str">
        <f t="shared" si="178"/>
        <v/>
      </c>
      <c r="N668" s="27" t="str">
        <f t="shared" si="191"/>
        <v/>
      </c>
      <c r="O668" s="26" t="str">
        <f>IF(AND($Q667=$O$38,IFERROR(LARGE($V$176:$V667,1)&lt;$N$42,TRUE)),1,IF(AND(ISNUMBER($O667),$O667&lt;$N$32),$O667+1,""))</f>
        <v/>
      </c>
      <c r="P668" s="26" t="str">
        <f t="shared" si="192"/>
        <v/>
      </c>
      <c r="Q668" s="26" t="str">
        <f t="shared" si="179"/>
        <v/>
      </c>
      <c r="R668" s="24" t="str">
        <f t="shared" si="193"/>
        <v/>
      </c>
      <c r="S668" s="180">
        <f t="shared" si="194"/>
        <v>9</v>
      </c>
      <c r="T668" s="151"/>
      <c r="U668" s="25" t="str">
        <f t="shared" si="180"/>
        <v/>
      </c>
      <c r="V668" s="24" t="str">
        <f>IF(AND(ISNUMBER(R667),ISNUMBER(R668)),V667,IF(AND(R667="",ISNUMBER(R668)),IFERROR(LARGE($V$176:$V667,1)+1,0),""))</f>
        <v/>
      </c>
      <c r="W668" s="23" t="str">
        <f t="shared" si="181"/>
        <v/>
      </c>
      <c r="X668" s="22" t="str">
        <f t="shared" si="182"/>
        <v/>
      </c>
      <c r="Y668" s="22"/>
      <c r="Z668" s="22"/>
      <c r="AA668" s="22"/>
      <c r="AB668" s="22" t="str" cm="1">
        <f t="array" ref="AB668">IF(IF(AND($P667="",$P668=1),($N$37*-1),0)+IF(AND($Q667="",$Q668=1),($N$38*-1),0)+IF(IF(($K668-$N$48)&lt;1,0,IF(IF(INDEX($AD$176:$AD$905,($K668-$N$48))="",0,INDEX($AD$176:$AD$905,($K668-$N$48)))&gt;0,IF(INDEX($AD$176:$AD$905,($K668-$N$48))="",0,INDEX($AD$176:$AD$905,($K668-$N$48))),0))="",0,IF(($K668-$N$48)&lt;1,0,IF(IF(INDEX($AD$176:$AD$905,($K668-$N$48))="",0,INDEX($AD$176:$AD$905,($K668-$N$48)))&gt;0,IF(INDEX($AD$176:$AD$905,($K668-$N$48))="",0,INDEX($AD$176:$AD$905,($K668-$N$48))),0)))=0,"",IF(AND($P667="",$P668=1),($N$37*-1),0)+IF(AND($Q667="",$Q668=1),($N$38*-1),0)+IF(IF(($K668-$N$48)&lt;1,0,IF(IF(INDEX($AD$176:$AD$905,($K668-$N$48))="",0,INDEX($AD$176:$AD$905,($K668-$N$48)))&gt;0,IF(INDEX($AD$176:$AD$905,($K668-$N$48))="",0,INDEX($AD$176:$AD$905,($K668-$N$48))),0))="",0,IF(($K668-$N$48)&lt;1,0,IF(IF(INDEX($AD$176:$AD$905,($K668-$N$48))="",0,INDEX($AD$176:$AD$905,($K668-$N$48)))&gt;0,IF(INDEX($AD$176:$AD$905,($K668-$N$48))="",0,INDEX($AD$176:$AD$905,($K668-$N$48))),0))))</f>
        <v/>
      </c>
      <c r="AC668" s="22" t="str">
        <f t="shared" si="183"/>
        <v/>
      </c>
      <c r="AD668" s="22" t="str">
        <f t="shared" si="195"/>
        <v/>
      </c>
      <c r="AE668" s="22" t="str" cm="1">
        <f t="array" ref="AE668">IF(($K668-$N$48)&lt;1,"",IF((IF(INDEX($AC$176:$AC$905,($K668-$N$48))="",0,INDEX($AC$176:$AC$905,($K668-$N$48))))=0,"",(IF(INDEX($AC$176:$AC$905,($K668-$N$48))="",0,INDEX($AC$176:$AC$905,($K668-$N$48))))))</f>
        <v/>
      </c>
      <c r="AF668" s="31" t="str">
        <f t="shared" si="184"/>
        <v/>
      </c>
      <c r="AG668" s="31" t="str">
        <f t="shared" si="185"/>
        <v/>
      </c>
      <c r="AH668" s="31" t="str">
        <f t="shared" si="186"/>
        <v/>
      </c>
      <c r="AI668" s="31" t="str">
        <f t="shared" si="187"/>
        <v/>
      </c>
      <c r="AJ668" s="303" t="str">
        <f t="shared" si="188"/>
        <v/>
      </c>
      <c r="AK668" s="139" t="str">
        <f t="shared" si="189"/>
        <v/>
      </c>
      <c r="AM668" s="319"/>
      <c r="AN668" s="40"/>
      <c r="AO668" s="1"/>
    </row>
    <row r="669" spans="7:41" x14ac:dyDescent="0.25">
      <c r="G669" s="235" t="str">
        <f t="shared" si="196"/>
        <v/>
      </c>
      <c r="H669" s="4" t="str">
        <f t="shared" si="197"/>
        <v/>
      </c>
      <c r="I669" s="11" t="str">
        <f t="shared" si="177"/>
        <v>09.00</v>
      </c>
      <c r="K669" s="30">
        <v>494</v>
      </c>
      <c r="L669" s="29">
        <f t="shared" si="190"/>
        <v>11371.908376190917</v>
      </c>
      <c r="M669" s="28" t="str">
        <f t="shared" si="178"/>
        <v/>
      </c>
      <c r="N669" s="27" t="str">
        <f t="shared" si="191"/>
        <v/>
      </c>
      <c r="O669" s="26" t="str">
        <f>IF(AND($Q668=$O$38,IFERROR(LARGE($V$176:$V668,1)&lt;$N$42,TRUE)),1,IF(AND(ISNUMBER($O668),$O668&lt;$N$32),$O668+1,""))</f>
        <v/>
      </c>
      <c r="P669" s="26" t="str">
        <f t="shared" si="192"/>
        <v/>
      </c>
      <c r="Q669" s="26" t="str">
        <f t="shared" si="179"/>
        <v/>
      </c>
      <c r="R669" s="24" t="str">
        <f t="shared" si="193"/>
        <v/>
      </c>
      <c r="S669" s="180">
        <f t="shared" si="194"/>
        <v>9</v>
      </c>
      <c r="T669" s="151"/>
      <c r="U669" s="25" t="str">
        <f t="shared" si="180"/>
        <v/>
      </c>
      <c r="V669" s="24" t="str">
        <f>IF(AND(ISNUMBER(R668),ISNUMBER(R669)),V668,IF(AND(R668="",ISNUMBER(R669)),IFERROR(LARGE($V$176:$V668,1)+1,0),""))</f>
        <v/>
      </c>
      <c r="W669" s="23" t="str">
        <f t="shared" si="181"/>
        <v/>
      </c>
      <c r="X669" s="22" t="str">
        <f t="shared" si="182"/>
        <v/>
      </c>
      <c r="Y669" s="22"/>
      <c r="Z669" s="22"/>
      <c r="AA669" s="22"/>
      <c r="AB669" s="22" t="str" cm="1">
        <f t="array" ref="AB669">IF(IF(AND($P668="",$P669=1),($N$37*-1),0)+IF(AND($Q668="",$Q669=1),($N$38*-1),0)+IF(IF(($K669-$N$48)&lt;1,0,IF(IF(INDEX($AD$176:$AD$905,($K669-$N$48))="",0,INDEX($AD$176:$AD$905,($K669-$N$48)))&gt;0,IF(INDEX($AD$176:$AD$905,($K669-$N$48))="",0,INDEX($AD$176:$AD$905,($K669-$N$48))),0))="",0,IF(($K669-$N$48)&lt;1,0,IF(IF(INDEX($AD$176:$AD$905,($K669-$N$48))="",0,INDEX($AD$176:$AD$905,($K669-$N$48)))&gt;0,IF(INDEX($AD$176:$AD$905,($K669-$N$48))="",0,INDEX($AD$176:$AD$905,($K669-$N$48))),0)))=0,"",IF(AND($P668="",$P669=1),($N$37*-1),0)+IF(AND($Q668="",$Q669=1),($N$38*-1),0)+IF(IF(($K669-$N$48)&lt;1,0,IF(IF(INDEX($AD$176:$AD$905,($K669-$N$48))="",0,INDEX($AD$176:$AD$905,($K669-$N$48)))&gt;0,IF(INDEX($AD$176:$AD$905,($K669-$N$48))="",0,INDEX($AD$176:$AD$905,($K669-$N$48))),0))="",0,IF(($K669-$N$48)&lt;1,0,IF(IF(INDEX($AD$176:$AD$905,($K669-$N$48))="",0,INDEX($AD$176:$AD$905,($K669-$N$48)))&gt;0,IF(INDEX($AD$176:$AD$905,($K669-$N$48))="",0,INDEX($AD$176:$AD$905,($K669-$N$48))),0))))</f>
        <v/>
      </c>
      <c r="AC669" s="22" t="str">
        <f t="shared" si="183"/>
        <v/>
      </c>
      <c r="AD669" s="22" t="str">
        <f t="shared" si="195"/>
        <v/>
      </c>
      <c r="AE669" s="22" t="str" cm="1">
        <f t="array" ref="AE669">IF(($K669-$N$48)&lt;1,"",IF((IF(INDEX($AC$176:$AC$905,($K669-$N$48))="",0,INDEX($AC$176:$AC$905,($K669-$N$48))))=0,"",(IF(INDEX($AC$176:$AC$905,($K669-$N$48))="",0,INDEX($AC$176:$AC$905,($K669-$N$48))))))</f>
        <v/>
      </c>
      <c r="AF669" s="31" t="str">
        <f t="shared" si="184"/>
        <v/>
      </c>
      <c r="AG669" s="31" t="str">
        <f t="shared" si="185"/>
        <v/>
      </c>
      <c r="AH669" s="31" t="str">
        <f t="shared" si="186"/>
        <v/>
      </c>
      <c r="AI669" s="31" t="str">
        <f t="shared" si="187"/>
        <v/>
      </c>
      <c r="AJ669" s="303" t="str">
        <f t="shared" si="188"/>
        <v/>
      </c>
      <c r="AK669" s="139" t="str">
        <f t="shared" si="189"/>
        <v/>
      </c>
      <c r="AM669" s="319"/>
      <c r="AN669" s="40"/>
      <c r="AO669" s="1"/>
    </row>
    <row r="670" spans="7:41" x14ac:dyDescent="0.25">
      <c r="G670" s="235" t="str">
        <f t="shared" si="196"/>
        <v/>
      </c>
      <c r="H670" s="4" t="str">
        <f t="shared" si="197"/>
        <v/>
      </c>
      <c r="I670" s="11" t="str">
        <f t="shared" si="177"/>
        <v>09.00</v>
      </c>
      <c r="K670" s="30">
        <v>495</v>
      </c>
      <c r="L670" s="29">
        <f t="shared" si="190"/>
        <v>11371.908376190917</v>
      </c>
      <c r="M670" s="28" t="str">
        <f t="shared" si="178"/>
        <v/>
      </c>
      <c r="N670" s="27" t="str">
        <f t="shared" si="191"/>
        <v/>
      </c>
      <c r="O670" s="26" t="str">
        <f>IF(AND($Q669=$O$38,IFERROR(LARGE($V$176:$V669,1)&lt;$N$42,TRUE)),1,IF(AND(ISNUMBER($O669),$O669&lt;$N$32),$O669+1,""))</f>
        <v/>
      </c>
      <c r="P670" s="26" t="str">
        <f t="shared" si="192"/>
        <v/>
      </c>
      <c r="Q670" s="26" t="str">
        <f t="shared" si="179"/>
        <v/>
      </c>
      <c r="R670" s="24" t="str">
        <f t="shared" si="193"/>
        <v/>
      </c>
      <c r="S670" s="180">
        <f t="shared" si="194"/>
        <v>9</v>
      </c>
      <c r="T670" s="151"/>
      <c r="U670" s="25" t="str">
        <f t="shared" si="180"/>
        <v/>
      </c>
      <c r="V670" s="24" t="str">
        <f>IF(AND(ISNUMBER(R669),ISNUMBER(R670)),V669,IF(AND(R669="",ISNUMBER(R670)),IFERROR(LARGE($V$176:$V669,1)+1,0),""))</f>
        <v/>
      </c>
      <c r="W670" s="23" t="str">
        <f t="shared" si="181"/>
        <v/>
      </c>
      <c r="X670" s="22" t="str">
        <f t="shared" si="182"/>
        <v/>
      </c>
      <c r="Y670" s="22"/>
      <c r="Z670" s="22"/>
      <c r="AA670" s="22"/>
      <c r="AB670" s="22" t="str" cm="1">
        <f t="array" ref="AB670">IF(IF(AND($P669="",$P670=1),($N$37*-1),0)+IF(AND($Q669="",$Q670=1),($N$38*-1),0)+IF(IF(($K670-$N$48)&lt;1,0,IF(IF(INDEX($AD$176:$AD$905,($K670-$N$48))="",0,INDEX($AD$176:$AD$905,($K670-$N$48)))&gt;0,IF(INDEX($AD$176:$AD$905,($K670-$N$48))="",0,INDEX($AD$176:$AD$905,($K670-$N$48))),0))="",0,IF(($K670-$N$48)&lt;1,0,IF(IF(INDEX($AD$176:$AD$905,($K670-$N$48))="",0,INDEX($AD$176:$AD$905,($K670-$N$48)))&gt;0,IF(INDEX($AD$176:$AD$905,($K670-$N$48))="",0,INDEX($AD$176:$AD$905,($K670-$N$48))),0)))=0,"",IF(AND($P669="",$P670=1),($N$37*-1),0)+IF(AND($Q669="",$Q670=1),($N$38*-1),0)+IF(IF(($K670-$N$48)&lt;1,0,IF(IF(INDEX($AD$176:$AD$905,($K670-$N$48))="",0,INDEX($AD$176:$AD$905,($K670-$N$48)))&gt;0,IF(INDEX($AD$176:$AD$905,($K670-$N$48))="",0,INDEX($AD$176:$AD$905,($K670-$N$48))),0))="",0,IF(($K670-$N$48)&lt;1,0,IF(IF(INDEX($AD$176:$AD$905,($K670-$N$48))="",0,INDEX($AD$176:$AD$905,($K670-$N$48)))&gt;0,IF(INDEX($AD$176:$AD$905,($K670-$N$48))="",0,INDEX($AD$176:$AD$905,($K670-$N$48))),0))))</f>
        <v/>
      </c>
      <c r="AC670" s="22" t="str">
        <f t="shared" si="183"/>
        <v/>
      </c>
      <c r="AD670" s="22" t="str">
        <f t="shared" si="195"/>
        <v/>
      </c>
      <c r="AE670" s="22" t="str" cm="1">
        <f t="array" ref="AE670">IF(($K670-$N$48)&lt;1,"",IF((IF(INDEX($AC$176:$AC$905,($K670-$N$48))="",0,INDEX($AC$176:$AC$905,($K670-$N$48))))=0,"",(IF(INDEX($AC$176:$AC$905,($K670-$N$48))="",0,INDEX($AC$176:$AC$905,($K670-$N$48))))))</f>
        <v/>
      </c>
      <c r="AF670" s="31" t="str">
        <f t="shared" si="184"/>
        <v/>
      </c>
      <c r="AG670" s="31" t="str">
        <f t="shared" si="185"/>
        <v/>
      </c>
      <c r="AH670" s="31" t="str">
        <f t="shared" si="186"/>
        <v/>
      </c>
      <c r="AI670" s="31" t="str">
        <f t="shared" si="187"/>
        <v/>
      </c>
      <c r="AJ670" s="303" t="str">
        <f t="shared" si="188"/>
        <v/>
      </c>
      <c r="AK670" s="139" t="str">
        <f t="shared" si="189"/>
        <v/>
      </c>
      <c r="AM670" s="319"/>
      <c r="AN670" s="40"/>
      <c r="AO670" s="1"/>
    </row>
    <row r="671" spans="7:41" x14ac:dyDescent="0.25">
      <c r="G671" s="235" t="str">
        <f t="shared" si="196"/>
        <v/>
      </c>
      <c r="H671" s="4" t="str">
        <f t="shared" si="197"/>
        <v/>
      </c>
      <c r="I671" s="11" t="str">
        <f t="shared" si="177"/>
        <v>09.00</v>
      </c>
      <c r="K671" s="30">
        <v>496</v>
      </c>
      <c r="L671" s="29">
        <f t="shared" si="190"/>
        <v>11371.908376190917</v>
      </c>
      <c r="M671" s="28" t="str">
        <f t="shared" si="178"/>
        <v/>
      </c>
      <c r="N671" s="27" t="str">
        <f t="shared" si="191"/>
        <v/>
      </c>
      <c r="O671" s="26" t="str">
        <f>IF(AND($Q670=$O$38,IFERROR(LARGE($V$176:$V670,1)&lt;$N$42,TRUE)),1,IF(AND(ISNUMBER($O670),$O670&lt;$N$32),$O670+1,""))</f>
        <v/>
      </c>
      <c r="P671" s="26" t="str">
        <f t="shared" si="192"/>
        <v/>
      </c>
      <c r="Q671" s="26" t="str">
        <f t="shared" si="179"/>
        <v/>
      </c>
      <c r="R671" s="24" t="str">
        <f t="shared" si="193"/>
        <v/>
      </c>
      <c r="S671" s="180">
        <f t="shared" si="194"/>
        <v>9</v>
      </c>
      <c r="T671" s="151"/>
      <c r="U671" s="25" t="str">
        <f t="shared" si="180"/>
        <v/>
      </c>
      <c r="V671" s="24" t="str">
        <f>IF(AND(ISNUMBER(R670),ISNUMBER(R671)),V670,IF(AND(R670="",ISNUMBER(R671)),IFERROR(LARGE($V$176:$V670,1)+1,0),""))</f>
        <v/>
      </c>
      <c r="W671" s="23" t="str">
        <f t="shared" si="181"/>
        <v/>
      </c>
      <c r="X671" s="22" t="str">
        <f t="shared" si="182"/>
        <v/>
      </c>
      <c r="Y671" s="22"/>
      <c r="Z671" s="22"/>
      <c r="AA671" s="22"/>
      <c r="AB671" s="22" t="str" cm="1">
        <f t="array" ref="AB671">IF(IF(AND($P670="",$P671=1),($N$37*-1),0)+IF(AND($Q670="",$Q671=1),($N$38*-1),0)+IF(IF(($K671-$N$48)&lt;1,0,IF(IF(INDEX($AD$176:$AD$905,($K671-$N$48))="",0,INDEX($AD$176:$AD$905,($K671-$N$48)))&gt;0,IF(INDEX($AD$176:$AD$905,($K671-$N$48))="",0,INDEX($AD$176:$AD$905,($K671-$N$48))),0))="",0,IF(($K671-$N$48)&lt;1,0,IF(IF(INDEX($AD$176:$AD$905,($K671-$N$48))="",0,INDEX($AD$176:$AD$905,($K671-$N$48)))&gt;0,IF(INDEX($AD$176:$AD$905,($K671-$N$48))="",0,INDEX($AD$176:$AD$905,($K671-$N$48))),0)))=0,"",IF(AND($P670="",$P671=1),($N$37*-1),0)+IF(AND($Q670="",$Q671=1),($N$38*-1),0)+IF(IF(($K671-$N$48)&lt;1,0,IF(IF(INDEX($AD$176:$AD$905,($K671-$N$48))="",0,INDEX($AD$176:$AD$905,($K671-$N$48)))&gt;0,IF(INDEX($AD$176:$AD$905,($K671-$N$48))="",0,INDEX($AD$176:$AD$905,($K671-$N$48))),0))="",0,IF(($K671-$N$48)&lt;1,0,IF(IF(INDEX($AD$176:$AD$905,($K671-$N$48))="",0,INDEX($AD$176:$AD$905,($K671-$N$48)))&gt;0,IF(INDEX($AD$176:$AD$905,($K671-$N$48))="",0,INDEX($AD$176:$AD$905,($K671-$N$48))),0))))</f>
        <v/>
      </c>
      <c r="AC671" s="22" t="str">
        <f t="shared" si="183"/>
        <v/>
      </c>
      <c r="AD671" s="22" t="str">
        <f t="shared" si="195"/>
        <v/>
      </c>
      <c r="AE671" s="22" t="str" cm="1">
        <f t="array" ref="AE671">IF(($K671-$N$48)&lt;1,"",IF((IF(INDEX($AC$176:$AC$905,($K671-$N$48))="",0,INDEX($AC$176:$AC$905,($K671-$N$48))))=0,"",(IF(INDEX($AC$176:$AC$905,($K671-$N$48))="",0,INDEX($AC$176:$AC$905,($K671-$N$48))))))</f>
        <v/>
      </c>
      <c r="AF671" s="31" t="str">
        <f t="shared" si="184"/>
        <v/>
      </c>
      <c r="AG671" s="31" t="str">
        <f t="shared" si="185"/>
        <v/>
      </c>
      <c r="AH671" s="31" t="str">
        <f t="shared" si="186"/>
        <v/>
      </c>
      <c r="AI671" s="31" t="str">
        <f t="shared" si="187"/>
        <v/>
      </c>
      <c r="AJ671" s="303" t="str">
        <f t="shared" si="188"/>
        <v/>
      </c>
      <c r="AK671" s="139" t="str">
        <f t="shared" si="189"/>
        <v/>
      </c>
      <c r="AM671" s="319"/>
      <c r="AN671" s="40"/>
      <c r="AO671" s="1"/>
    </row>
    <row r="672" spans="7:41" x14ac:dyDescent="0.25">
      <c r="G672" s="235" t="str">
        <f t="shared" si="196"/>
        <v/>
      </c>
      <c r="H672" s="4" t="str">
        <f t="shared" si="197"/>
        <v/>
      </c>
      <c r="I672" s="11" t="str">
        <f t="shared" si="177"/>
        <v>09.00</v>
      </c>
      <c r="K672" s="30">
        <v>497</v>
      </c>
      <c r="L672" s="29">
        <f t="shared" si="190"/>
        <v>11371.908376190917</v>
      </c>
      <c r="M672" s="28" t="str">
        <f t="shared" si="178"/>
        <v/>
      </c>
      <c r="N672" s="27" t="str">
        <f t="shared" si="191"/>
        <v/>
      </c>
      <c r="O672" s="26" t="str">
        <f>IF(AND($Q671=$O$38,IFERROR(LARGE($V$176:$V671,1)&lt;$N$42,TRUE)),1,IF(AND(ISNUMBER($O671),$O671&lt;$N$32),$O671+1,""))</f>
        <v/>
      </c>
      <c r="P672" s="26" t="str">
        <f t="shared" si="192"/>
        <v/>
      </c>
      <c r="Q672" s="26" t="str">
        <f t="shared" si="179"/>
        <v/>
      </c>
      <c r="R672" s="24" t="str">
        <f t="shared" si="193"/>
        <v/>
      </c>
      <c r="S672" s="180">
        <f t="shared" si="194"/>
        <v>9</v>
      </c>
      <c r="T672" s="151"/>
      <c r="U672" s="25" t="str">
        <f t="shared" si="180"/>
        <v/>
      </c>
      <c r="V672" s="24" t="str">
        <f>IF(AND(ISNUMBER(R671),ISNUMBER(R672)),V671,IF(AND(R671="",ISNUMBER(R672)),IFERROR(LARGE($V$176:$V671,1)+1,0),""))</f>
        <v/>
      </c>
      <c r="W672" s="23" t="str">
        <f t="shared" si="181"/>
        <v/>
      </c>
      <c r="X672" s="22" t="str">
        <f t="shared" si="182"/>
        <v/>
      </c>
      <c r="Y672" s="22"/>
      <c r="Z672" s="22"/>
      <c r="AA672" s="22"/>
      <c r="AB672" s="22" t="str" cm="1">
        <f t="array" ref="AB672">IF(IF(AND($P671="",$P672=1),($N$37*-1),0)+IF(AND($Q671="",$Q672=1),($N$38*-1),0)+IF(IF(($K672-$N$48)&lt;1,0,IF(IF(INDEX($AD$176:$AD$905,($K672-$N$48))="",0,INDEX($AD$176:$AD$905,($K672-$N$48)))&gt;0,IF(INDEX($AD$176:$AD$905,($K672-$N$48))="",0,INDEX($AD$176:$AD$905,($K672-$N$48))),0))="",0,IF(($K672-$N$48)&lt;1,0,IF(IF(INDEX($AD$176:$AD$905,($K672-$N$48))="",0,INDEX($AD$176:$AD$905,($K672-$N$48)))&gt;0,IF(INDEX($AD$176:$AD$905,($K672-$N$48))="",0,INDEX($AD$176:$AD$905,($K672-$N$48))),0)))=0,"",IF(AND($P671="",$P672=1),($N$37*-1),0)+IF(AND($Q671="",$Q672=1),($N$38*-1),0)+IF(IF(($K672-$N$48)&lt;1,0,IF(IF(INDEX($AD$176:$AD$905,($K672-$N$48))="",0,INDEX($AD$176:$AD$905,($K672-$N$48)))&gt;0,IF(INDEX($AD$176:$AD$905,($K672-$N$48))="",0,INDEX($AD$176:$AD$905,($K672-$N$48))),0))="",0,IF(($K672-$N$48)&lt;1,0,IF(IF(INDEX($AD$176:$AD$905,($K672-$N$48))="",0,INDEX($AD$176:$AD$905,($K672-$N$48)))&gt;0,IF(INDEX($AD$176:$AD$905,($K672-$N$48))="",0,INDEX($AD$176:$AD$905,($K672-$N$48))),0))))</f>
        <v/>
      </c>
      <c r="AC672" s="22" t="str">
        <f t="shared" si="183"/>
        <v/>
      </c>
      <c r="AD672" s="22" t="str">
        <f t="shared" si="195"/>
        <v/>
      </c>
      <c r="AE672" s="22" t="str" cm="1">
        <f t="array" ref="AE672">IF(($K672-$N$48)&lt;1,"",IF((IF(INDEX($AC$176:$AC$905,($K672-$N$48))="",0,INDEX($AC$176:$AC$905,($K672-$N$48))))=0,"",(IF(INDEX($AC$176:$AC$905,($K672-$N$48))="",0,INDEX($AC$176:$AC$905,($K672-$N$48))))))</f>
        <v/>
      </c>
      <c r="AF672" s="31" t="str">
        <f t="shared" si="184"/>
        <v/>
      </c>
      <c r="AG672" s="31" t="str">
        <f t="shared" si="185"/>
        <v/>
      </c>
      <c r="AH672" s="31" t="str">
        <f t="shared" si="186"/>
        <v/>
      </c>
      <c r="AI672" s="31" t="str">
        <f t="shared" si="187"/>
        <v/>
      </c>
      <c r="AJ672" s="303" t="str">
        <f t="shared" si="188"/>
        <v/>
      </c>
      <c r="AK672" s="139" t="str">
        <f t="shared" si="189"/>
        <v/>
      </c>
      <c r="AM672" s="319"/>
      <c r="AN672" s="40"/>
      <c r="AO672" s="1"/>
    </row>
    <row r="673" spans="7:41" x14ac:dyDescent="0.25">
      <c r="G673" s="235" t="str">
        <f t="shared" si="196"/>
        <v/>
      </c>
      <c r="H673" s="4" t="str">
        <f t="shared" si="197"/>
        <v/>
      </c>
      <c r="I673" s="11" t="str">
        <f t="shared" si="177"/>
        <v>09.00</v>
      </c>
      <c r="K673" s="30">
        <v>498</v>
      </c>
      <c r="L673" s="29">
        <f t="shared" si="190"/>
        <v>11371.908376190917</v>
      </c>
      <c r="M673" s="28" t="str">
        <f t="shared" si="178"/>
        <v/>
      </c>
      <c r="N673" s="27" t="str">
        <f t="shared" si="191"/>
        <v/>
      </c>
      <c r="O673" s="26" t="str">
        <f>IF(AND($Q672=$O$38,IFERROR(LARGE($V$176:$V672,1)&lt;$N$42,TRUE)),1,IF(AND(ISNUMBER($O672),$O672&lt;$N$32),$O672+1,""))</f>
        <v/>
      </c>
      <c r="P673" s="26" t="str">
        <f t="shared" si="192"/>
        <v/>
      </c>
      <c r="Q673" s="26" t="str">
        <f t="shared" si="179"/>
        <v/>
      </c>
      <c r="R673" s="24" t="str">
        <f t="shared" si="193"/>
        <v/>
      </c>
      <c r="S673" s="180">
        <f t="shared" si="194"/>
        <v>9</v>
      </c>
      <c r="T673" s="151"/>
      <c r="U673" s="25" t="str">
        <f t="shared" si="180"/>
        <v/>
      </c>
      <c r="V673" s="24" t="str">
        <f>IF(AND(ISNUMBER(R672),ISNUMBER(R673)),V672,IF(AND(R672="",ISNUMBER(R673)),IFERROR(LARGE($V$176:$V672,1)+1,0),""))</f>
        <v/>
      </c>
      <c r="W673" s="23" t="str">
        <f t="shared" si="181"/>
        <v/>
      </c>
      <c r="X673" s="22" t="str">
        <f t="shared" si="182"/>
        <v/>
      </c>
      <c r="Y673" s="22"/>
      <c r="Z673" s="22"/>
      <c r="AA673" s="22"/>
      <c r="AB673" s="22" t="str" cm="1">
        <f t="array" ref="AB673">IF(IF(AND($P672="",$P673=1),($N$37*-1),0)+IF(AND($Q672="",$Q673=1),($N$38*-1),0)+IF(IF(($K673-$N$48)&lt;1,0,IF(IF(INDEX($AD$176:$AD$905,($K673-$N$48))="",0,INDEX($AD$176:$AD$905,($K673-$N$48)))&gt;0,IF(INDEX($AD$176:$AD$905,($K673-$N$48))="",0,INDEX($AD$176:$AD$905,($K673-$N$48))),0))="",0,IF(($K673-$N$48)&lt;1,0,IF(IF(INDEX($AD$176:$AD$905,($K673-$N$48))="",0,INDEX($AD$176:$AD$905,($K673-$N$48)))&gt;0,IF(INDEX($AD$176:$AD$905,($K673-$N$48))="",0,INDEX($AD$176:$AD$905,($K673-$N$48))),0)))=0,"",IF(AND($P672="",$P673=1),($N$37*-1),0)+IF(AND($Q672="",$Q673=1),($N$38*-1),0)+IF(IF(($K673-$N$48)&lt;1,0,IF(IF(INDEX($AD$176:$AD$905,($K673-$N$48))="",0,INDEX($AD$176:$AD$905,($K673-$N$48)))&gt;0,IF(INDEX($AD$176:$AD$905,($K673-$N$48))="",0,INDEX($AD$176:$AD$905,($K673-$N$48))),0))="",0,IF(($K673-$N$48)&lt;1,0,IF(IF(INDEX($AD$176:$AD$905,($K673-$N$48))="",0,INDEX($AD$176:$AD$905,($K673-$N$48)))&gt;0,IF(INDEX($AD$176:$AD$905,($K673-$N$48))="",0,INDEX($AD$176:$AD$905,($K673-$N$48))),0))))</f>
        <v/>
      </c>
      <c r="AC673" s="22" t="str">
        <f t="shared" si="183"/>
        <v/>
      </c>
      <c r="AD673" s="22" t="str">
        <f t="shared" si="195"/>
        <v/>
      </c>
      <c r="AE673" s="22" t="str" cm="1">
        <f t="array" ref="AE673">IF(($K673-$N$48)&lt;1,"",IF((IF(INDEX($AC$176:$AC$905,($K673-$N$48))="",0,INDEX($AC$176:$AC$905,($K673-$N$48))))=0,"",(IF(INDEX($AC$176:$AC$905,($K673-$N$48))="",0,INDEX($AC$176:$AC$905,($K673-$N$48))))))</f>
        <v/>
      </c>
      <c r="AF673" s="31" t="str">
        <f t="shared" si="184"/>
        <v/>
      </c>
      <c r="AG673" s="31" t="str">
        <f t="shared" si="185"/>
        <v/>
      </c>
      <c r="AH673" s="31" t="str">
        <f t="shared" si="186"/>
        <v/>
      </c>
      <c r="AI673" s="31" t="str">
        <f t="shared" si="187"/>
        <v/>
      </c>
      <c r="AJ673" s="303" t="str">
        <f t="shared" si="188"/>
        <v/>
      </c>
      <c r="AK673" s="139" t="str">
        <f t="shared" si="189"/>
        <v/>
      </c>
      <c r="AM673" s="319"/>
      <c r="AN673" s="40"/>
      <c r="AO673" s="1"/>
    </row>
    <row r="674" spans="7:41" x14ac:dyDescent="0.25">
      <c r="G674" s="235" t="str">
        <f t="shared" si="196"/>
        <v/>
      </c>
      <c r="H674" s="4" t="str">
        <f t="shared" si="197"/>
        <v/>
      </c>
      <c r="I674" s="11" t="str">
        <f t="shared" si="177"/>
        <v>09.00</v>
      </c>
      <c r="K674" s="30">
        <v>499</v>
      </c>
      <c r="L674" s="29">
        <f t="shared" si="190"/>
        <v>11371.908376190917</v>
      </c>
      <c r="M674" s="28" t="str">
        <f t="shared" si="178"/>
        <v/>
      </c>
      <c r="N674" s="27" t="str">
        <f t="shared" si="191"/>
        <v/>
      </c>
      <c r="O674" s="26" t="str">
        <f>IF(AND($Q673=$O$38,IFERROR(LARGE($V$176:$V673,1)&lt;$N$42,TRUE)),1,IF(AND(ISNUMBER($O673),$O673&lt;$N$32),$O673+1,""))</f>
        <v/>
      </c>
      <c r="P674" s="26" t="str">
        <f t="shared" si="192"/>
        <v/>
      </c>
      <c r="Q674" s="26" t="str">
        <f t="shared" si="179"/>
        <v/>
      </c>
      <c r="R674" s="24" t="str">
        <f t="shared" si="193"/>
        <v/>
      </c>
      <c r="S674" s="180">
        <f t="shared" si="194"/>
        <v>9</v>
      </c>
      <c r="T674" s="151"/>
      <c r="U674" s="25" t="str">
        <f t="shared" si="180"/>
        <v/>
      </c>
      <c r="V674" s="24" t="str">
        <f>IF(AND(ISNUMBER(R673),ISNUMBER(R674)),V673,IF(AND(R673="",ISNUMBER(R674)),IFERROR(LARGE($V$176:$V673,1)+1,0),""))</f>
        <v/>
      </c>
      <c r="W674" s="23" t="str">
        <f t="shared" si="181"/>
        <v/>
      </c>
      <c r="X674" s="22" t="str">
        <f t="shared" si="182"/>
        <v/>
      </c>
      <c r="Y674" s="22"/>
      <c r="Z674" s="22"/>
      <c r="AA674" s="22"/>
      <c r="AB674" s="22" t="str" cm="1">
        <f t="array" ref="AB674">IF(IF(AND($P673="",$P674=1),($N$37*-1),0)+IF(AND($Q673="",$Q674=1),($N$38*-1),0)+IF(IF(($K674-$N$48)&lt;1,0,IF(IF(INDEX($AD$176:$AD$905,($K674-$N$48))="",0,INDEX($AD$176:$AD$905,($K674-$N$48)))&gt;0,IF(INDEX($AD$176:$AD$905,($K674-$N$48))="",0,INDEX($AD$176:$AD$905,($K674-$N$48))),0))="",0,IF(($K674-$N$48)&lt;1,0,IF(IF(INDEX($AD$176:$AD$905,($K674-$N$48))="",0,INDEX($AD$176:$AD$905,($K674-$N$48)))&gt;0,IF(INDEX($AD$176:$AD$905,($K674-$N$48))="",0,INDEX($AD$176:$AD$905,($K674-$N$48))),0)))=0,"",IF(AND($P673="",$P674=1),($N$37*-1),0)+IF(AND($Q673="",$Q674=1),($N$38*-1),0)+IF(IF(($K674-$N$48)&lt;1,0,IF(IF(INDEX($AD$176:$AD$905,($K674-$N$48))="",0,INDEX($AD$176:$AD$905,($K674-$N$48)))&gt;0,IF(INDEX($AD$176:$AD$905,($K674-$N$48))="",0,INDEX($AD$176:$AD$905,($K674-$N$48))),0))="",0,IF(($K674-$N$48)&lt;1,0,IF(IF(INDEX($AD$176:$AD$905,($K674-$N$48))="",0,INDEX($AD$176:$AD$905,($K674-$N$48)))&gt;0,IF(INDEX($AD$176:$AD$905,($K674-$N$48))="",0,INDEX($AD$176:$AD$905,($K674-$N$48))),0))))</f>
        <v/>
      </c>
      <c r="AC674" s="22" t="str">
        <f t="shared" si="183"/>
        <v/>
      </c>
      <c r="AD674" s="22" t="str">
        <f t="shared" si="195"/>
        <v/>
      </c>
      <c r="AE674" s="22" t="str" cm="1">
        <f t="array" ref="AE674">IF(($K674-$N$48)&lt;1,"",IF((IF(INDEX($AC$176:$AC$905,($K674-$N$48))="",0,INDEX($AC$176:$AC$905,($K674-$N$48))))=0,"",(IF(INDEX($AC$176:$AC$905,($K674-$N$48))="",0,INDEX($AC$176:$AC$905,($K674-$N$48))))))</f>
        <v/>
      </c>
      <c r="AF674" s="31" t="str">
        <f t="shared" si="184"/>
        <v/>
      </c>
      <c r="AG674" s="31" t="str">
        <f t="shared" si="185"/>
        <v/>
      </c>
      <c r="AH674" s="31" t="str">
        <f t="shared" si="186"/>
        <v/>
      </c>
      <c r="AI674" s="31" t="str">
        <f t="shared" si="187"/>
        <v/>
      </c>
      <c r="AJ674" s="303" t="str">
        <f t="shared" si="188"/>
        <v/>
      </c>
      <c r="AK674" s="139" t="str">
        <f t="shared" si="189"/>
        <v/>
      </c>
      <c r="AM674" s="319"/>
      <c r="AN674" s="40"/>
      <c r="AO674" s="1"/>
    </row>
    <row r="675" spans="7:41" x14ac:dyDescent="0.25">
      <c r="G675" s="235" t="str">
        <f t="shared" si="196"/>
        <v/>
      </c>
      <c r="H675" s="4" t="str">
        <f t="shared" si="197"/>
        <v/>
      </c>
      <c r="I675" s="11" t="str">
        <f t="shared" si="177"/>
        <v>09.00</v>
      </c>
      <c r="K675" s="30">
        <v>500</v>
      </c>
      <c r="L675" s="29">
        <f t="shared" si="190"/>
        <v>11371.908376190917</v>
      </c>
      <c r="M675" s="28" t="str">
        <f t="shared" si="178"/>
        <v/>
      </c>
      <c r="N675" s="27" t="str">
        <f t="shared" si="191"/>
        <v/>
      </c>
      <c r="O675" s="26" t="str">
        <f>IF(AND($Q674=$O$38,IFERROR(LARGE($V$176:$V674,1)&lt;$N$42,TRUE)),1,IF(AND(ISNUMBER($O674),$O674&lt;$N$32),$O674+1,""))</f>
        <v/>
      </c>
      <c r="P675" s="26" t="str">
        <f t="shared" si="192"/>
        <v/>
      </c>
      <c r="Q675" s="26" t="str">
        <f t="shared" si="179"/>
        <v/>
      </c>
      <c r="R675" s="24" t="str">
        <f t="shared" si="193"/>
        <v/>
      </c>
      <c r="S675" s="180">
        <f t="shared" si="194"/>
        <v>9</v>
      </c>
      <c r="T675" s="151"/>
      <c r="U675" s="25" t="str">
        <f t="shared" si="180"/>
        <v/>
      </c>
      <c r="V675" s="24" t="str">
        <f>IF(AND(ISNUMBER(R674),ISNUMBER(R675)),V674,IF(AND(R674="",ISNUMBER(R675)),IFERROR(LARGE($V$176:$V674,1)+1,0),""))</f>
        <v/>
      </c>
      <c r="W675" s="23" t="str">
        <f t="shared" si="181"/>
        <v/>
      </c>
      <c r="X675" s="22" t="str">
        <f t="shared" si="182"/>
        <v/>
      </c>
      <c r="Y675" s="22"/>
      <c r="Z675" s="22"/>
      <c r="AA675" s="22"/>
      <c r="AB675" s="22" t="str" cm="1">
        <f t="array" ref="AB675">IF(IF(AND($P674="",$P675=1),($N$37*-1),0)+IF(AND($Q674="",$Q675=1),($N$38*-1),0)+IF(IF(($K675-$N$48)&lt;1,0,IF(IF(INDEX($AD$176:$AD$905,($K675-$N$48))="",0,INDEX($AD$176:$AD$905,($K675-$N$48)))&gt;0,IF(INDEX($AD$176:$AD$905,($K675-$N$48))="",0,INDEX($AD$176:$AD$905,($K675-$N$48))),0))="",0,IF(($K675-$N$48)&lt;1,0,IF(IF(INDEX($AD$176:$AD$905,($K675-$N$48))="",0,INDEX($AD$176:$AD$905,($K675-$N$48)))&gt;0,IF(INDEX($AD$176:$AD$905,($K675-$N$48))="",0,INDEX($AD$176:$AD$905,($K675-$N$48))),0)))=0,"",IF(AND($P674="",$P675=1),($N$37*-1),0)+IF(AND($Q674="",$Q675=1),($N$38*-1),0)+IF(IF(($K675-$N$48)&lt;1,0,IF(IF(INDEX($AD$176:$AD$905,($K675-$N$48))="",0,INDEX($AD$176:$AD$905,($K675-$N$48)))&gt;0,IF(INDEX($AD$176:$AD$905,($K675-$N$48))="",0,INDEX($AD$176:$AD$905,($K675-$N$48))),0))="",0,IF(($K675-$N$48)&lt;1,0,IF(IF(INDEX($AD$176:$AD$905,($K675-$N$48))="",0,INDEX($AD$176:$AD$905,($K675-$N$48)))&gt;0,IF(INDEX($AD$176:$AD$905,($K675-$N$48))="",0,INDEX($AD$176:$AD$905,($K675-$N$48))),0))))</f>
        <v/>
      </c>
      <c r="AC675" s="22" t="str">
        <f t="shared" si="183"/>
        <v/>
      </c>
      <c r="AD675" s="22" t="str">
        <f t="shared" si="195"/>
        <v/>
      </c>
      <c r="AE675" s="22" t="str" cm="1">
        <f t="array" ref="AE675">IF(($K675-$N$48)&lt;1,"",IF((IF(INDEX($AC$176:$AC$905,($K675-$N$48))="",0,INDEX($AC$176:$AC$905,($K675-$N$48))))=0,"",(IF(INDEX($AC$176:$AC$905,($K675-$N$48))="",0,INDEX($AC$176:$AC$905,($K675-$N$48))))))</f>
        <v/>
      </c>
      <c r="AF675" s="31" t="str">
        <f t="shared" si="184"/>
        <v/>
      </c>
      <c r="AG675" s="31" t="str">
        <f t="shared" si="185"/>
        <v/>
      </c>
      <c r="AH675" s="31" t="str">
        <f t="shared" si="186"/>
        <v/>
      </c>
      <c r="AI675" s="31" t="str">
        <f t="shared" si="187"/>
        <v/>
      </c>
      <c r="AJ675" s="303" t="str">
        <f t="shared" si="188"/>
        <v/>
      </c>
      <c r="AK675" s="139" t="str">
        <f t="shared" si="189"/>
        <v/>
      </c>
      <c r="AM675" s="319"/>
      <c r="AN675" s="40"/>
      <c r="AO675" s="1"/>
    </row>
    <row r="676" spans="7:41" x14ac:dyDescent="0.25">
      <c r="G676" s="235" t="str">
        <f t="shared" si="196"/>
        <v/>
      </c>
      <c r="H676" s="4" t="str">
        <f t="shared" si="197"/>
        <v/>
      </c>
      <c r="I676" s="11" t="str">
        <f t="shared" si="177"/>
        <v>09.00</v>
      </c>
      <c r="K676" s="30">
        <v>501</v>
      </c>
      <c r="L676" s="29">
        <f t="shared" si="190"/>
        <v>11371.908376190917</v>
      </c>
      <c r="M676" s="28" t="str">
        <f t="shared" si="178"/>
        <v/>
      </c>
      <c r="N676" s="27" t="str">
        <f t="shared" si="191"/>
        <v/>
      </c>
      <c r="O676" s="26" t="str">
        <f>IF(AND($Q675=$O$38,IFERROR(LARGE($V$176:$V675,1)&lt;$N$42,TRUE)),1,IF(AND(ISNUMBER($O675),$O675&lt;$N$32),$O675+1,""))</f>
        <v/>
      </c>
      <c r="P676" s="26" t="str">
        <f t="shared" si="192"/>
        <v/>
      </c>
      <c r="Q676" s="26" t="str">
        <f t="shared" si="179"/>
        <v/>
      </c>
      <c r="R676" s="24" t="str">
        <f t="shared" si="193"/>
        <v/>
      </c>
      <c r="S676" s="180">
        <f t="shared" si="194"/>
        <v>9</v>
      </c>
      <c r="T676" s="151"/>
      <c r="U676" s="25" t="str">
        <f t="shared" si="180"/>
        <v/>
      </c>
      <c r="V676" s="24" t="str">
        <f>IF(AND(ISNUMBER(R675),ISNUMBER(R676)),V675,IF(AND(R675="",ISNUMBER(R676)),IFERROR(LARGE($V$176:$V675,1)+1,0),""))</f>
        <v/>
      </c>
      <c r="W676" s="23" t="str">
        <f t="shared" si="181"/>
        <v/>
      </c>
      <c r="X676" s="22" t="str">
        <f t="shared" si="182"/>
        <v/>
      </c>
      <c r="Y676" s="22"/>
      <c r="Z676" s="22"/>
      <c r="AA676" s="22"/>
      <c r="AB676" s="22" t="str" cm="1">
        <f t="array" ref="AB676">IF(IF(AND($P675="",$P676=1),($N$37*-1),0)+IF(AND($Q675="",$Q676=1),($N$38*-1),0)+IF(IF(($K676-$N$48)&lt;1,0,IF(IF(INDEX($AD$176:$AD$905,($K676-$N$48))="",0,INDEX($AD$176:$AD$905,($K676-$N$48)))&gt;0,IF(INDEX($AD$176:$AD$905,($K676-$N$48))="",0,INDEX($AD$176:$AD$905,($K676-$N$48))),0))="",0,IF(($K676-$N$48)&lt;1,0,IF(IF(INDEX($AD$176:$AD$905,($K676-$N$48))="",0,INDEX($AD$176:$AD$905,($K676-$N$48)))&gt;0,IF(INDEX($AD$176:$AD$905,($K676-$N$48))="",0,INDEX($AD$176:$AD$905,($K676-$N$48))),0)))=0,"",IF(AND($P675="",$P676=1),($N$37*-1),0)+IF(AND($Q675="",$Q676=1),($N$38*-1),0)+IF(IF(($K676-$N$48)&lt;1,0,IF(IF(INDEX($AD$176:$AD$905,($K676-$N$48))="",0,INDEX($AD$176:$AD$905,($K676-$N$48)))&gt;0,IF(INDEX($AD$176:$AD$905,($K676-$N$48))="",0,INDEX($AD$176:$AD$905,($K676-$N$48))),0))="",0,IF(($K676-$N$48)&lt;1,0,IF(IF(INDEX($AD$176:$AD$905,($K676-$N$48))="",0,INDEX($AD$176:$AD$905,($K676-$N$48)))&gt;0,IF(INDEX($AD$176:$AD$905,($K676-$N$48))="",0,INDEX($AD$176:$AD$905,($K676-$N$48))),0))))</f>
        <v/>
      </c>
      <c r="AC676" s="22" t="str">
        <f t="shared" si="183"/>
        <v/>
      </c>
      <c r="AD676" s="22" t="str">
        <f t="shared" si="195"/>
        <v/>
      </c>
      <c r="AE676" s="22" t="str" cm="1">
        <f t="array" ref="AE676">IF(($K676-$N$48)&lt;1,"",IF((IF(INDEX($AC$176:$AC$905,($K676-$N$48))="",0,INDEX($AC$176:$AC$905,($K676-$N$48))))=0,"",(IF(INDEX($AC$176:$AC$905,($K676-$N$48))="",0,INDEX($AC$176:$AC$905,($K676-$N$48))))))</f>
        <v/>
      </c>
      <c r="AF676" s="31" t="str">
        <f t="shared" si="184"/>
        <v/>
      </c>
      <c r="AG676" s="31" t="str">
        <f t="shared" si="185"/>
        <v/>
      </c>
      <c r="AH676" s="31" t="str">
        <f t="shared" si="186"/>
        <v/>
      </c>
      <c r="AI676" s="31" t="str">
        <f t="shared" si="187"/>
        <v/>
      </c>
      <c r="AJ676" s="303" t="str">
        <f t="shared" si="188"/>
        <v/>
      </c>
      <c r="AK676" s="139" t="str">
        <f t="shared" si="189"/>
        <v/>
      </c>
      <c r="AM676" s="319"/>
      <c r="AN676" s="40"/>
      <c r="AO676" s="1"/>
    </row>
    <row r="677" spans="7:41" x14ac:dyDescent="0.25">
      <c r="G677" s="235" t="str">
        <f t="shared" si="196"/>
        <v/>
      </c>
      <c r="H677" s="4" t="str">
        <f t="shared" si="197"/>
        <v/>
      </c>
      <c r="I677" s="11" t="str">
        <f t="shared" si="177"/>
        <v>09.00</v>
      </c>
      <c r="K677" s="30">
        <v>502</v>
      </c>
      <c r="L677" s="29">
        <f t="shared" si="190"/>
        <v>11371.908376190917</v>
      </c>
      <c r="M677" s="28" t="str">
        <f t="shared" si="178"/>
        <v/>
      </c>
      <c r="N677" s="27" t="str">
        <f t="shared" si="191"/>
        <v/>
      </c>
      <c r="O677" s="26" t="str">
        <f>IF(AND($Q676=$O$38,IFERROR(LARGE($V$176:$V676,1)&lt;$N$42,TRUE)),1,IF(AND(ISNUMBER($O676),$O676&lt;$N$32),$O676+1,""))</f>
        <v/>
      </c>
      <c r="P677" s="26" t="str">
        <f t="shared" si="192"/>
        <v/>
      </c>
      <c r="Q677" s="26" t="str">
        <f t="shared" si="179"/>
        <v/>
      </c>
      <c r="R677" s="24" t="str">
        <f t="shared" si="193"/>
        <v/>
      </c>
      <c r="S677" s="180">
        <f t="shared" si="194"/>
        <v>9</v>
      </c>
      <c r="T677" s="151"/>
      <c r="U677" s="25" t="str">
        <f t="shared" si="180"/>
        <v/>
      </c>
      <c r="V677" s="24" t="str">
        <f>IF(AND(ISNUMBER(R676),ISNUMBER(R677)),V676,IF(AND(R676="",ISNUMBER(R677)),IFERROR(LARGE($V$176:$V676,1)+1,0),""))</f>
        <v/>
      </c>
      <c r="W677" s="23" t="str">
        <f t="shared" si="181"/>
        <v/>
      </c>
      <c r="X677" s="22" t="str">
        <f t="shared" si="182"/>
        <v/>
      </c>
      <c r="Y677" s="22"/>
      <c r="Z677" s="22"/>
      <c r="AA677" s="22"/>
      <c r="AB677" s="22" t="str" cm="1">
        <f t="array" ref="AB677">IF(IF(AND($P676="",$P677=1),($N$37*-1),0)+IF(AND($Q676="",$Q677=1),($N$38*-1),0)+IF(IF(($K677-$N$48)&lt;1,0,IF(IF(INDEX($AD$176:$AD$905,($K677-$N$48))="",0,INDEX($AD$176:$AD$905,($K677-$N$48)))&gt;0,IF(INDEX($AD$176:$AD$905,($K677-$N$48))="",0,INDEX($AD$176:$AD$905,($K677-$N$48))),0))="",0,IF(($K677-$N$48)&lt;1,0,IF(IF(INDEX($AD$176:$AD$905,($K677-$N$48))="",0,INDEX($AD$176:$AD$905,($K677-$N$48)))&gt;0,IF(INDEX($AD$176:$AD$905,($K677-$N$48))="",0,INDEX($AD$176:$AD$905,($K677-$N$48))),0)))=0,"",IF(AND($P676="",$P677=1),($N$37*-1),0)+IF(AND($Q676="",$Q677=1),($N$38*-1),0)+IF(IF(($K677-$N$48)&lt;1,0,IF(IF(INDEX($AD$176:$AD$905,($K677-$N$48))="",0,INDEX($AD$176:$AD$905,($K677-$N$48)))&gt;0,IF(INDEX($AD$176:$AD$905,($K677-$N$48))="",0,INDEX($AD$176:$AD$905,($K677-$N$48))),0))="",0,IF(($K677-$N$48)&lt;1,0,IF(IF(INDEX($AD$176:$AD$905,($K677-$N$48))="",0,INDEX($AD$176:$AD$905,($K677-$N$48)))&gt;0,IF(INDEX($AD$176:$AD$905,($K677-$N$48))="",0,INDEX($AD$176:$AD$905,($K677-$N$48))),0))))</f>
        <v/>
      </c>
      <c r="AC677" s="22" t="str">
        <f t="shared" si="183"/>
        <v/>
      </c>
      <c r="AD677" s="22" t="str">
        <f t="shared" si="195"/>
        <v/>
      </c>
      <c r="AE677" s="22" t="str" cm="1">
        <f t="array" ref="AE677">IF(($K677-$N$48)&lt;1,"",IF((IF(INDEX($AC$176:$AC$905,($K677-$N$48))="",0,INDEX($AC$176:$AC$905,($K677-$N$48))))=0,"",(IF(INDEX($AC$176:$AC$905,($K677-$N$48))="",0,INDEX($AC$176:$AC$905,($K677-$N$48))))))</f>
        <v/>
      </c>
      <c r="AF677" s="31" t="str">
        <f t="shared" si="184"/>
        <v/>
      </c>
      <c r="AG677" s="31" t="str">
        <f t="shared" si="185"/>
        <v/>
      </c>
      <c r="AH677" s="31" t="str">
        <f t="shared" si="186"/>
        <v/>
      </c>
      <c r="AI677" s="31" t="str">
        <f t="shared" si="187"/>
        <v/>
      </c>
      <c r="AJ677" s="303" t="str">
        <f t="shared" si="188"/>
        <v/>
      </c>
      <c r="AK677" s="139" t="str">
        <f t="shared" si="189"/>
        <v/>
      </c>
      <c r="AM677" s="319"/>
      <c r="AN677" s="40"/>
      <c r="AO677" s="1"/>
    </row>
    <row r="678" spans="7:41" x14ac:dyDescent="0.25">
      <c r="G678" s="235" t="str">
        <f t="shared" si="196"/>
        <v/>
      </c>
      <c r="H678" s="4" t="str">
        <f t="shared" si="197"/>
        <v/>
      </c>
      <c r="I678" s="11" t="str">
        <f t="shared" si="177"/>
        <v>09.00</v>
      </c>
      <c r="K678" s="30">
        <v>503</v>
      </c>
      <c r="L678" s="29">
        <f t="shared" si="190"/>
        <v>11371.908376190917</v>
      </c>
      <c r="M678" s="28" t="str">
        <f t="shared" si="178"/>
        <v/>
      </c>
      <c r="N678" s="27" t="str">
        <f t="shared" si="191"/>
        <v/>
      </c>
      <c r="O678" s="26" t="str">
        <f>IF(AND($Q677=$O$38,IFERROR(LARGE($V$176:$V677,1)&lt;$N$42,TRUE)),1,IF(AND(ISNUMBER($O677),$O677&lt;$N$32),$O677+1,""))</f>
        <v/>
      </c>
      <c r="P678" s="26" t="str">
        <f t="shared" si="192"/>
        <v/>
      </c>
      <c r="Q678" s="26" t="str">
        <f t="shared" si="179"/>
        <v/>
      </c>
      <c r="R678" s="24" t="str">
        <f t="shared" si="193"/>
        <v/>
      </c>
      <c r="S678" s="180">
        <f t="shared" si="194"/>
        <v>9</v>
      </c>
      <c r="T678" s="151"/>
      <c r="U678" s="25" t="str">
        <f t="shared" si="180"/>
        <v/>
      </c>
      <c r="V678" s="24" t="str">
        <f>IF(AND(ISNUMBER(R677),ISNUMBER(R678)),V677,IF(AND(R677="",ISNUMBER(R678)),IFERROR(LARGE($V$176:$V677,1)+1,0),""))</f>
        <v/>
      </c>
      <c r="W678" s="23" t="str">
        <f t="shared" si="181"/>
        <v/>
      </c>
      <c r="X678" s="22" t="str">
        <f t="shared" si="182"/>
        <v/>
      </c>
      <c r="Y678" s="22"/>
      <c r="Z678" s="22"/>
      <c r="AA678" s="22"/>
      <c r="AB678" s="22" t="str" cm="1">
        <f t="array" ref="AB678">IF(IF(AND($P677="",$P678=1),($N$37*-1),0)+IF(AND($Q677="",$Q678=1),($N$38*-1),0)+IF(IF(($K678-$N$48)&lt;1,0,IF(IF(INDEX($AD$176:$AD$905,($K678-$N$48))="",0,INDEX($AD$176:$AD$905,($K678-$N$48)))&gt;0,IF(INDEX($AD$176:$AD$905,($K678-$N$48))="",0,INDEX($AD$176:$AD$905,($K678-$N$48))),0))="",0,IF(($K678-$N$48)&lt;1,0,IF(IF(INDEX($AD$176:$AD$905,($K678-$N$48))="",0,INDEX($AD$176:$AD$905,($K678-$N$48)))&gt;0,IF(INDEX($AD$176:$AD$905,($K678-$N$48))="",0,INDEX($AD$176:$AD$905,($K678-$N$48))),0)))=0,"",IF(AND($P677="",$P678=1),($N$37*-1),0)+IF(AND($Q677="",$Q678=1),($N$38*-1),0)+IF(IF(($K678-$N$48)&lt;1,0,IF(IF(INDEX($AD$176:$AD$905,($K678-$N$48))="",0,INDEX($AD$176:$AD$905,($K678-$N$48)))&gt;0,IF(INDEX($AD$176:$AD$905,($K678-$N$48))="",0,INDEX($AD$176:$AD$905,($K678-$N$48))),0))="",0,IF(($K678-$N$48)&lt;1,0,IF(IF(INDEX($AD$176:$AD$905,($K678-$N$48))="",0,INDEX($AD$176:$AD$905,($K678-$N$48)))&gt;0,IF(INDEX($AD$176:$AD$905,($K678-$N$48))="",0,INDEX($AD$176:$AD$905,($K678-$N$48))),0))))</f>
        <v/>
      </c>
      <c r="AC678" s="22" t="str">
        <f t="shared" si="183"/>
        <v/>
      </c>
      <c r="AD678" s="22" t="str">
        <f t="shared" si="195"/>
        <v/>
      </c>
      <c r="AE678" s="22" t="str" cm="1">
        <f t="array" ref="AE678">IF(($K678-$N$48)&lt;1,"",IF((IF(INDEX($AC$176:$AC$905,($K678-$N$48))="",0,INDEX($AC$176:$AC$905,($K678-$N$48))))=0,"",(IF(INDEX($AC$176:$AC$905,($K678-$N$48))="",0,INDEX($AC$176:$AC$905,($K678-$N$48))))))</f>
        <v/>
      </c>
      <c r="AF678" s="31" t="str">
        <f t="shared" si="184"/>
        <v/>
      </c>
      <c r="AG678" s="31" t="str">
        <f t="shared" si="185"/>
        <v/>
      </c>
      <c r="AH678" s="31" t="str">
        <f t="shared" si="186"/>
        <v/>
      </c>
      <c r="AI678" s="31" t="str">
        <f t="shared" si="187"/>
        <v/>
      </c>
      <c r="AJ678" s="303" t="str">
        <f t="shared" si="188"/>
        <v/>
      </c>
      <c r="AK678" s="139" t="str">
        <f t="shared" si="189"/>
        <v/>
      </c>
      <c r="AM678" s="319"/>
      <c r="AN678" s="40"/>
      <c r="AO678" s="1"/>
    </row>
    <row r="679" spans="7:41" x14ac:dyDescent="0.25">
      <c r="G679" s="235" t="str">
        <f t="shared" si="196"/>
        <v/>
      </c>
      <c r="H679" s="4" t="str">
        <f t="shared" si="197"/>
        <v/>
      </c>
      <c r="I679" s="11" t="str">
        <f t="shared" si="177"/>
        <v>09.00</v>
      </c>
      <c r="K679" s="30">
        <v>504</v>
      </c>
      <c r="L679" s="29">
        <f t="shared" si="190"/>
        <v>11371.908376190917</v>
      </c>
      <c r="M679" s="28" t="str">
        <f t="shared" si="178"/>
        <v/>
      </c>
      <c r="N679" s="27" t="str">
        <f t="shared" si="191"/>
        <v/>
      </c>
      <c r="O679" s="26" t="str">
        <f>IF(AND($Q678=$O$38,IFERROR(LARGE($V$176:$V678,1)&lt;$N$42,TRUE)),1,IF(AND(ISNUMBER($O678),$O678&lt;$N$32),$O678+1,""))</f>
        <v/>
      </c>
      <c r="P679" s="26" t="str">
        <f t="shared" si="192"/>
        <v/>
      </c>
      <c r="Q679" s="26" t="str">
        <f t="shared" si="179"/>
        <v/>
      </c>
      <c r="R679" s="24" t="str">
        <f t="shared" si="193"/>
        <v/>
      </c>
      <c r="S679" s="180">
        <f t="shared" si="194"/>
        <v>9</v>
      </c>
      <c r="T679" s="151"/>
      <c r="U679" s="25" t="str">
        <f t="shared" si="180"/>
        <v/>
      </c>
      <c r="V679" s="24" t="str">
        <f>IF(AND(ISNUMBER(R678),ISNUMBER(R679)),V678,IF(AND(R678="",ISNUMBER(R679)),IFERROR(LARGE($V$176:$V678,1)+1,0),""))</f>
        <v/>
      </c>
      <c r="W679" s="23" t="str">
        <f t="shared" si="181"/>
        <v/>
      </c>
      <c r="X679" s="22" t="str">
        <f t="shared" si="182"/>
        <v/>
      </c>
      <c r="Y679" s="22"/>
      <c r="Z679" s="22"/>
      <c r="AA679" s="22"/>
      <c r="AB679" s="22" t="str" cm="1">
        <f t="array" ref="AB679">IF(IF(AND($P678="",$P679=1),($N$37*-1),0)+IF(AND($Q678="",$Q679=1),($N$38*-1),0)+IF(IF(($K679-$N$48)&lt;1,0,IF(IF(INDEX($AD$176:$AD$905,($K679-$N$48))="",0,INDEX($AD$176:$AD$905,($K679-$N$48)))&gt;0,IF(INDEX($AD$176:$AD$905,($K679-$N$48))="",0,INDEX($AD$176:$AD$905,($K679-$N$48))),0))="",0,IF(($K679-$N$48)&lt;1,0,IF(IF(INDEX($AD$176:$AD$905,($K679-$N$48))="",0,INDEX($AD$176:$AD$905,($K679-$N$48)))&gt;0,IF(INDEX($AD$176:$AD$905,($K679-$N$48))="",0,INDEX($AD$176:$AD$905,($K679-$N$48))),0)))=0,"",IF(AND($P678="",$P679=1),($N$37*-1),0)+IF(AND($Q678="",$Q679=1),($N$38*-1),0)+IF(IF(($K679-$N$48)&lt;1,0,IF(IF(INDEX($AD$176:$AD$905,($K679-$N$48))="",0,INDEX($AD$176:$AD$905,($K679-$N$48)))&gt;0,IF(INDEX($AD$176:$AD$905,($K679-$N$48))="",0,INDEX($AD$176:$AD$905,($K679-$N$48))),0))="",0,IF(($K679-$N$48)&lt;1,0,IF(IF(INDEX($AD$176:$AD$905,($K679-$N$48))="",0,INDEX($AD$176:$AD$905,($K679-$N$48)))&gt;0,IF(INDEX($AD$176:$AD$905,($K679-$N$48))="",0,INDEX($AD$176:$AD$905,($K679-$N$48))),0))))</f>
        <v/>
      </c>
      <c r="AC679" s="22" t="str">
        <f t="shared" si="183"/>
        <v/>
      </c>
      <c r="AD679" s="22" t="str">
        <f t="shared" si="195"/>
        <v/>
      </c>
      <c r="AE679" s="22" t="str" cm="1">
        <f t="array" ref="AE679">IF(($K679-$N$48)&lt;1,"",IF((IF(INDEX($AC$176:$AC$905,($K679-$N$48))="",0,INDEX($AC$176:$AC$905,($K679-$N$48))))=0,"",(IF(INDEX($AC$176:$AC$905,($K679-$N$48))="",0,INDEX($AC$176:$AC$905,($K679-$N$48))))))</f>
        <v/>
      </c>
      <c r="AF679" s="31" t="str">
        <f t="shared" si="184"/>
        <v/>
      </c>
      <c r="AG679" s="31" t="str">
        <f t="shared" si="185"/>
        <v/>
      </c>
      <c r="AH679" s="31" t="str">
        <f t="shared" si="186"/>
        <v/>
      </c>
      <c r="AI679" s="31" t="str">
        <f t="shared" si="187"/>
        <v/>
      </c>
      <c r="AJ679" s="303" t="str">
        <f t="shared" si="188"/>
        <v/>
      </c>
      <c r="AK679" s="139" t="str">
        <f t="shared" si="189"/>
        <v/>
      </c>
      <c r="AM679" s="319"/>
      <c r="AN679" s="40"/>
      <c r="AO679" s="1"/>
    </row>
    <row r="680" spans="7:41" x14ac:dyDescent="0.25">
      <c r="G680" s="235" t="str">
        <f t="shared" si="196"/>
        <v/>
      </c>
      <c r="H680" s="4" t="str">
        <f t="shared" si="197"/>
        <v/>
      </c>
      <c r="I680" s="11" t="str">
        <f t="shared" si="177"/>
        <v>09.00</v>
      </c>
      <c r="K680" s="30">
        <v>505</v>
      </c>
      <c r="L680" s="29">
        <f t="shared" si="190"/>
        <v>11371.908376190917</v>
      </c>
      <c r="M680" s="28" t="str">
        <f t="shared" si="178"/>
        <v/>
      </c>
      <c r="N680" s="27" t="str">
        <f t="shared" si="191"/>
        <v/>
      </c>
      <c r="O680" s="26" t="str">
        <f>IF(AND($Q679=$O$38,IFERROR(LARGE($V$176:$V679,1)&lt;$N$42,TRUE)),1,IF(AND(ISNUMBER($O679),$O679&lt;$N$32),$O679+1,""))</f>
        <v/>
      </c>
      <c r="P680" s="26" t="str">
        <f t="shared" si="192"/>
        <v/>
      </c>
      <c r="Q680" s="26" t="str">
        <f t="shared" si="179"/>
        <v/>
      </c>
      <c r="R680" s="24" t="str">
        <f t="shared" si="193"/>
        <v/>
      </c>
      <c r="S680" s="180">
        <f t="shared" si="194"/>
        <v>9</v>
      </c>
      <c r="T680" s="151"/>
      <c r="U680" s="25" t="str">
        <f t="shared" si="180"/>
        <v/>
      </c>
      <c r="V680" s="24" t="str">
        <f>IF(AND(ISNUMBER(R679),ISNUMBER(R680)),V679,IF(AND(R679="",ISNUMBER(R680)),IFERROR(LARGE($V$176:$V679,1)+1,0),""))</f>
        <v/>
      </c>
      <c r="W680" s="23" t="str">
        <f t="shared" si="181"/>
        <v/>
      </c>
      <c r="X680" s="22" t="str">
        <f t="shared" si="182"/>
        <v/>
      </c>
      <c r="Y680" s="22"/>
      <c r="Z680" s="22"/>
      <c r="AA680" s="22"/>
      <c r="AB680" s="22" t="str" cm="1">
        <f t="array" ref="AB680">IF(IF(AND($P679="",$P680=1),($N$37*-1),0)+IF(AND($Q679="",$Q680=1),($N$38*-1),0)+IF(IF(($K680-$N$48)&lt;1,0,IF(IF(INDEX($AD$176:$AD$905,($K680-$N$48))="",0,INDEX($AD$176:$AD$905,($K680-$N$48)))&gt;0,IF(INDEX($AD$176:$AD$905,($K680-$N$48))="",0,INDEX($AD$176:$AD$905,($K680-$N$48))),0))="",0,IF(($K680-$N$48)&lt;1,0,IF(IF(INDEX($AD$176:$AD$905,($K680-$N$48))="",0,INDEX($AD$176:$AD$905,($K680-$N$48)))&gt;0,IF(INDEX($AD$176:$AD$905,($K680-$N$48))="",0,INDEX($AD$176:$AD$905,($K680-$N$48))),0)))=0,"",IF(AND($P679="",$P680=1),($N$37*-1),0)+IF(AND($Q679="",$Q680=1),($N$38*-1),0)+IF(IF(($K680-$N$48)&lt;1,0,IF(IF(INDEX($AD$176:$AD$905,($K680-$N$48))="",0,INDEX($AD$176:$AD$905,($K680-$N$48)))&gt;0,IF(INDEX($AD$176:$AD$905,($K680-$N$48))="",0,INDEX($AD$176:$AD$905,($K680-$N$48))),0))="",0,IF(($K680-$N$48)&lt;1,0,IF(IF(INDEX($AD$176:$AD$905,($K680-$N$48))="",0,INDEX($AD$176:$AD$905,($K680-$N$48)))&gt;0,IF(INDEX($AD$176:$AD$905,($K680-$N$48))="",0,INDEX($AD$176:$AD$905,($K680-$N$48))),0))))</f>
        <v/>
      </c>
      <c r="AC680" s="22" t="str">
        <f t="shared" si="183"/>
        <v/>
      </c>
      <c r="AD680" s="22" t="str">
        <f t="shared" si="195"/>
        <v/>
      </c>
      <c r="AE680" s="22" t="str" cm="1">
        <f t="array" ref="AE680">IF(($K680-$N$48)&lt;1,"",IF((IF(INDEX($AC$176:$AC$905,($K680-$N$48))="",0,INDEX($AC$176:$AC$905,($K680-$N$48))))=0,"",(IF(INDEX($AC$176:$AC$905,($K680-$N$48))="",0,INDEX($AC$176:$AC$905,($K680-$N$48))))))</f>
        <v/>
      </c>
      <c r="AF680" s="31" t="str">
        <f t="shared" si="184"/>
        <v/>
      </c>
      <c r="AG680" s="31" t="str">
        <f t="shared" si="185"/>
        <v/>
      </c>
      <c r="AH680" s="31" t="str">
        <f t="shared" si="186"/>
        <v/>
      </c>
      <c r="AI680" s="31" t="str">
        <f t="shared" si="187"/>
        <v/>
      </c>
      <c r="AJ680" s="303" t="str">
        <f t="shared" si="188"/>
        <v/>
      </c>
      <c r="AK680" s="139" t="str">
        <f t="shared" si="189"/>
        <v/>
      </c>
      <c r="AM680" s="319"/>
      <c r="AN680" s="40"/>
      <c r="AO680" s="1"/>
    </row>
    <row r="681" spans="7:41" x14ac:dyDescent="0.25">
      <c r="G681" s="235" t="str">
        <f t="shared" si="196"/>
        <v/>
      </c>
      <c r="H681" s="4" t="str">
        <f t="shared" si="197"/>
        <v/>
      </c>
      <c r="I681" s="11" t="str">
        <f t="shared" si="177"/>
        <v>09.00</v>
      </c>
      <c r="K681" s="30">
        <v>506</v>
      </c>
      <c r="L681" s="29">
        <f t="shared" si="190"/>
        <v>11371.908376190917</v>
      </c>
      <c r="M681" s="28" t="str">
        <f t="shared" si="178"/>
        <v/>
      </c>
      <c r="N681" s="27" t="str">
        <f t="shared" si="191"/>
        <v/>
      </c>
      <c r="O681" s="26" t="str">
        <f>IF(AND($Q680=$O$38,IFERROR(LARGE($V$176:$V680,1)&lt;$N$42,TRUE)),1,IF(AND(ISNUMBER($O680),$O680&lt;$N$32),$O680+1,""))</f>
        <v/>
      </c>
      <c r="P681" s="26" t="str">
        <f t="shared" si="192"/>
        <v/>
      </c>
      <c r="Q681" s="26" t="str">
        <f t="shared" si="179"/>
        <v/>
      </c>
      <c r="R681" s="24" t="str">
        <f t="shared" si="193"/>
        <v/>
      </c>
      <c r="S681" s="180">
        <f t="shared" si="194"/>
        <v>9</v>
      </c>
      <c r="T681" s="151"/>
      <c r="U681" s="25" t="str">
        <f t="shared" si="180"/>
        <v/>
      </c>
      <c r="V681" s="24" t="str">
        <f>IF(AND(ISNUMBER(R680),ISNUMBER(R681)),V680,IF(AND(R680="",ISNUMBER(R681)),IFERROR(LARGE($V$176:$V680,1)+1,0),""))</f>
        <v/>
      </c>
      <c r="W681" s="23" t="str">
        <f t="shared" si="181"/>
        <v/>
      </c>
      <c r="X681" s="22" t="str">
        <f t="shared" si="182"/>
        <v/>
      </c>
      <c r="Y681" s="22"/>
      <c r="Z681" s="22"/>
      <c r="AA681" s="22"/>
      <c r="AB681" s="22" t="str" cm="1">
        <f t="array" ref="AB681">IF(IF(AND($P680="",$P681=1),($N$37*-1),0)+IF(AND($Q680="",$Q681=1),($N$38*-1),0)+IF(IF(($K681-$N$48)&lt;1,0,IF(IF(INDEX($AD$176:$AD$905,($K681-$N$48))="",0,INDEX($AD$176:$AD$905,($K681-$N$48)))&gt;0,IF(INDEX($AD$176:$AD$905,($K681-$N$48))="",0,INDEX($AD$176:$AD$905,($K681-$N$48))),0))="",0,IF(($K681-$N$48)&lt;1,0,IF(IF(INDEX($AD$176:$AD$905,($K681-$N$48))="",0,INDEX($AD$176:$AD$905,($K681-$N$48)))&gt;0,IF(INDEX($AD$176:$AD$905,($K681-$N$48))="",0,INDEX($AD$176:$AD$905,($K681-$N$48))),0)))=0,"",IF(AND($P680="",$P681=1),($N$37*-1),0)+IF(AND($Q680="",$Q681=1),($N$38*-1),0)+IF(IF(($K681-$N$48)&lt;1,0,IF(IF(INDEX($AD$176:$AD$905,($K681-$N$48))="",0,INDEX($AD$176:$AD$905,($K681-$N$48)))&gt;0,IF(INDEX($AD$176:$AD$905,($K681-$N$48))="",0,INDEX($AD$176:$AD$905,($K681-$N$48))),0))="",0,IF(($K681-$N$48)&lt;1,0,IF(IF(INDEX($AD$176:$AD$905,($K681-$N$48))="",0,INDEX($AD$176:$AD$905,($K681-$N$48)))&gt;0,IF(INDEX($AD$176:$AD$905,($K681-$N$48))="",0,INDEX($AD$176:$AD$905,($K681-$N$48))),0))))</f>
        <v/>
      </c>
      <c r="AC681" s="22" t="str">
        <f t="shared" si="183"/>
        <v/>
      </c>
      <c r="AD681" s="22" t="str">
        <f t="shared" si="195"/>
        <v/>
      </c>
      <c r="AE681" s="22" t="str" cm="1">
        <f t="array" ref="AE681">IF(($K681-$N$48)&lt;1,"",IF((IF(INDEX($AC$176:$AC$905,($K681-$N$48))="",0,INDEX($AC$176:$AC$905,($K681-$N$48))))=0,"",(IF(INDEX($AC$176:$AC$905,($K681-$N$48))="",0,INDEX($AC$176:$AC$905,($K681-$N$48))))))</f>
        <v/>
      </c>
      <c r="AF681" s="31" t="str">
        <f t="shared" si="184"/>
        <v/>
      </c>
      <c r="AG681" s="31" t="str">
        <f t="shared" si="185"/>
        <v/>
      </c>
      <c r="AH681" s="31" t="str">
        <f t="shared" si="186"/>
        <v/>
      </c>
      <c r="AI681" s="31" t="str">
        <f t="shared" si="187"/>
        <v/>
      </c>
      <c r="AJ681" s="303" t="str">
        <f t="shared" si="188"/>
        <v/>
      </c>
      <c r="AK681" s="139" t="str">
        <f t="shared" si="189"/>
        <v/>
      </c>
      <c r="AM681" s="319"/>
      <c r="AN681" s="40"/>
      <c r="AO681" s="1"/>
    </row>
    <row r="682" spans="7:41" x14ac:dyDescent="0.25">
      <c r="G682" s="235" t="str">
        <f t="shared" si="196"/>
        <v/>
      </c>
      <c r="H682" s="4" t="str">
        <f t="shared" si="197"/>
        <v/>
      </c>
      <c r="I682" s="11" t="str">
        <f t="shared" si="177"/>
        <v>09.00</v>
      </c>
      <c r="K682" s="30">
        <v>507</v>
      </c>
      <c r="L682" s="29">
        <f t="shared" si="190"/>
        <v>11371.908376190917</v>
      </c>
      <c r="M682" s="28" t="str">
        <f t="shared" si="178"/>
        <v/>
      </c>
      <c r="N682" s="27" t="str">
        <f t="shared" si="191"/>
        <v/>
      </c>
      <c r="O682" s="26" t="str">
        <f>IF(AND($Q681=$O$38,IFERROR(LARGE($V$176:$V681,1)&lt;$N$42,TRUE)),1,IF(AND(ISNUMBER($O681),$O681&lt;$N$32),$O681+1,""))</f>
        <v/>
      </c>
      <c r="P682" s="26" t="str">
        <f t="shared" si="192"/>
        <v/>
      </c>
      <c r="Q682" s="26" t="str">
        <f t="shared" si="179"/>
        <v/>
      </c>
      <c r="R682" s="24" t="str">
        <f t="shared" si="193"/>
        <v/>
      </c>
      <c r="S682" s="180">
        <f t="shared" si="194"/>
        <v>9</v>
      </c>
      <c r="T682" s="151"/>
      <c r="U682" s="25" t="str">
        <f t="shared" si="180"/>
        <v/>
      </c>
      <c r="V682" s="24" t="str">
        <f>IF(AND(ISNUMBER(R681),ISNUMBER(R682)),V681,IF(AND(R681="",ISNUMBER(R682)),IFERROR(LARGE($V$176:$V681,1)+1,0),""))</f>
        <v/>
      </c>
      <c r="W682" s="23" t="str">
        <f t="shared" si="181"/>
        <v/>
      </c>
      <c r="X682" s="22" t="str">
        <f t="shared" si="182"/>
        <v/>
      </c>
      <c r="Y682" s="22"/>
      <c r="Z682" s="22"/>
      <c r="AA682" s="22"/>
      <c r="AB682" s="22" t="str" cm="1">
        <f t="array" ref="AB682">IF(IF(AND($P681="",$P682=1),($N$37*-1),0)+IF(AND($Q681="",$Q682=1),($N$38*-1),0)+IF(IF(($K682-$N$48)&lt;1,0,IF(IF(INDEX($AD$176:$AD$905,($K682-$N$48))="",0,INDEX($AD$176:$AD$905,($K682-$N$48)))&gt;0,IF(INDEX($AD$176:$AD$905,($K682-$N$48))="",0,INDEX($AD$176:$AD$905,($K682-$N$48))),0))="",0,IF(($K682-$N$48)&lt;1,0,IF(IF(INDEX($AD$176:$AD$905,($K682-$N$48))="",0,INDEX($AD$176:$AD$905,($K682-$N$48)))&gt;0,IF(INDEX($AD$176:$AD$905,($K682-$N$48))="",0,INDEX($AD$176:$AD$905,($K682-$N$48))),0)))=0,"",IF(AND($P681="",$P682=1),($N$37*-1),0)+IF(AND($Q681="",$Q682=1),($N$38*-1),0)+IF(IF(($K682-$N$48)&lt;1,0,IF(IF(INDEX($AD$176:$AD$905,($K682-$N$48))="",0,INDEX($AD$176:$AD$905,($K682-$N$48)))&gt;0,IF(INDEX($AD$176:$AD$905,($K682-$N$48))="",0,INDEX($AD$176:$AD$905,($K682-$N$48))),0))="",0,IF(($K682-$N$48)&lt;1,0,IF(IF(INDEX($AD$176:$AD$905,($K682-$N$48))="",0,INDEX($AD$176:$AD$905,($K682-$N$48)))&gt;0,IF(INDEX($AD$176:$AD$905,($K682-$N$48))="",0,INDEX($AD$176:$AD$905,($K682-$N$48))),0))))</f>
        <v/>
      </c>
      <c r="AC682" s="22" t="str">
        <f t="shared" si="183"/>
        <v/>
      </c>
      <c r="AD682" s="22" t="str">
        <f t="shared" si="195"/>
        <v/>
      </c>
      <c r="AE682" s="22" t="str" cm="1">
        <f t="array" ref="AE682">IF(($K682-$N$48)&lt;1,"",IF((IF(INDEX($AC$176:$AC$905,($K682-$N$48))="",0,INDEX($AC$176:$AC$905,($K682-$N$48))))=0,"",(IF(INDEX($AC$176:$AC$905,($K682-$N$48))="",0,INDEX($AC$176:$AC$905,($K682-$N$48))))))</f>
        <v/>
      </c>
      <c r="AF682" s="31" t="str">
        <f t="shared" si="184"/>
        <v/>
      </c>
      <c r="AG682" s="31" t="str">
        <f t="shared" si="185"/>
        <v/>
      </c>
      <c r="AH682" s="31" t="str">
        <f t="shared" si="186"/>
        <v/>
      </c>
      <c r="AI682" s="31" t="str">
        <f t="shared" si="187"/>
        <v/>
      </c>
      <c r="AJ682" s="303" t="str">
        <f t="shared" si="188"/>
        <v/>
      </c>
      <c r="AK682" s="139" t="str">
        <f t="shared" si="189"/>
        <v/>
      </c>
      <c r="AM682" s="319"/>
      <c r="AN682" s="40"/>
      <c r="AO682" s="1"/>
    </row>
    <row r="683" spans="7:41" x14ac:dyDescent="0.25">
      <c r="G683" s="235" t="str">
        <f t="shared" si="196"/>
        <v/>
      </c>
      <c r="H683" s="4" t="str">
        <f t="shared" si="197"/>
        <v/>
      </c>
      <c r="I683" s="11" t="str">
        <f t="shared" si="177"/>
        <v>09.00</v>
      </c>
      <c r="K683" s="30">
        <v>508</v>
      </c>
      <c r="L683" s="29">
        <f t="shared" si="190"/>
        <v>11371.908376190917</v>
      </c>
      <c r="M683" s="28" t="str">
        <f t="shared" si="178"/>
        <v/>
      </c>
      <c r="N683" s="27" t="str">
        <f t="shared" si="191"/>
        <v/>
      </c>
      <c r="O683" s="26" t="str">
        <f>IF(AND($Q682=$O$38,IFERROR(LARGE($V$176:$V682,1)&lt;$N$42,TRUE)),1,IF(AND(ISNUMBER($O682),$O682&lt;$N$32),$O682+1,""))</f>
        <v/>
      </c>
      <c r="P683" s="26" t="str">
        <f t="shared" si="192"/>
        <v/>
      </c>
      <c r="Q683" s="26" t="str">
        <f t="shared" si="179"/>
        <v/>
      </c>
      <c r="R683" s="24" t="str">
        <f t="shared" si="193"/>
        <v/>
      </c>
      <c r="S683" s="180">
        <f t="shared" si="194"/>
        <v>9</v>
      </c>
      <c r="T683" s="151"/>
      <c r="U683" s="25" t="str">
        <f t="shared" si="180"/>
        <v/>
      </c>
      <c r="V683" s="24" t="str">
        <f>IF(AND(ISNUMBER(R682),ISNUMBER(R683)),V682,IF(AND(R682="",ISNUMBER(R683)),IFERROR(LARGE($V$176:$V682,1)+1,0),""))</f>
        <v/>
      </c>
      <c r="W683" s="23" t="str">
        <f t="shared" si="181"/>
        <v/>
      </c>
      <c r="X683" s="22" t="str">
        <f t="shared" si="182"/>
        <v/>
      </c>
      <c r="Y683" s="22"/>
      <c r="Z683" s="22"/>
      <c r="AA683" s="22"/>
      <c r="AB683" s="22" t="str" cm="1">
        <f t="array" ref="AB683">IF(IF(AND($P682="",$P683=1),($N$37*-1),0)+IF(AND($Q682="",$Q683=1),($N$38*-1),0)+IF(IF(($K683-$N$48)&lt;1,0,IF(IF(INDEX($AD$176:$AD$905,($K683-$N$48))="",0,INDEX($AD$176:$AD$905,($K683-$N$48)))&gt;0,IF(INDEX($AD$176:$AD$905,($K683-$N$48))="",0,INDEX($AD$176:$AD$905,($K683-$N$48))),0))="",0,IF(($K683-$N$48)&lt;1,0,IF(IF(INDEX($AD$176:$AD$905,($K683-$N$48))="",0,INDEX($AD$176:$AD$905,($K683-$N$48)))&gt;0,IF(INDEX($AD$176:$AD$905,($K683-$N$48))="",0,INDEX($AD$176:$AD$905,($K683-$N$48))),0)))=0,"",IF(AND($P682="",$P683=1),($N$37*-1),0)+IF(AND($Q682="",$Q683=1),($N$38*-1),0)+IF(IF(($K683-$N$48)&lt;1,0,IF(IF(INDEX($AD$176:$AD$905,($K683-$N$48))="",0,INDEX($AD$176:$AD$905,($K683-$N$48)))&gt;0,IF(INDEX($AD$176:$AD$905,($K683-$N$48))="",0,INDEX($AD$176:$AD$905,($K683-$N$48))),0))="",0,IF(($K683-$N$48)&lt;1,0,IF(IF(INDEX($AD$176:$AD$905,($K683-$N$48))="",0,INDEX($AD$176:$AD$905,($K683-$N$48)))&gt;0,IF(INDEX($AD$176:$AD$905,($K683-$N$48))="",0,INDEX($AD$176:$AD$905,($K683-$N$48))),0))))</f>
        <v/>
      </c>
      <c r="AC683" s="22" t="str">
        <f t="shared" si="183"/>
        <v/>
      </c>
      <c r="AD683" s="22" t="str">
        <f t="shared" si="195"/>
        <v/>
      </c>
      <c r="AE683" s="22" t="str" cm="1">
        <f t="array" ref="AE683">IF(($K683-$N$48)&lt;1,"",IF((IF(INDEX($AC$176:$AC$905,($K683-$N$48))="",0,INDEX($AC$176:$AC$905,($K683-$N$48))))=0,"",(IF(INDEX($AC$176:$AC$905,($K683-$N$48))="",0,INDEX($AC$176:$AC$905,($K683-$N$48))))))</f>
        <v/>
      </c>
      <c r="AF683" s="31" t="str">
        <f t="shared" si="184"/>
        <v/>
      </c>
      <c r="AG683" s="31" t="str">
        <f t="shared" si="185"/>
        <v/>
      </c>
      <c r="AH683" s="31" t="str">
        <f t="shared" si="186"/>
        <v/>
      </c>
      <c r="AI683" s="31" t="str">
        <f t="shared" si="187"/>
        <v/>
      </c>
      <c r="AJ683" s="303" t="str">
        <f t="shared" si="188"/>
        <v/>
      </c>
      <c r="AK683" s="139" t="str">
        <f t="shared" si="189"/>
        <v/>
      </c>
      <c r="AM683" s="319"/>
      <c r="AN683" s="40"/>
      <c r="AO683" s="1"/>
    </row>
    <row r="684" spans="7:41" x14ac:dyDescent="0.25">
      <c r="G684" s="235" t="str">
        <f t="shared" si="196"/>
        <v/>
      </c>
      <c r="H684" s="4" t="str">
        <f t="shared" si="197"/>
        <v/>
      </c>
      <c r="I684" s="11" t="str">
        <f t="shared" si="177"/>
        <v>09.00</v>
      </c>
      <c r="K684" s="30">
        <v>509</v>
      </c>
      <c r="L684" s="29">
        <f t="shared" si="190"/>
        <v>11371.908376190917</v>
      </c>
      <c r="M684" s="28" t="str">
        <f t="shared" si="178"/>
        <v/>
      </c>
      <c r="N684" s="27" t="str">
        <f t="shared" si="191"/>
        <v/>
      </c>
      <c r="O684" s="26" t="str">
        <f>IF(AND($Q683=$O$38,IFERROR(LARGE($V$176:$V683,1)&lt;$N$42,TRUE)),1,IF(AND(ISNUMBER($O683),$O683&lt;$N$32),$O683+1,""))</f>
        <v/>
      </c>
      <c r="P684" s="26" t="str">
        <f t="shared" si="192"/>
        <v/>
      </c>
      <c r="Q684" s="26" t="str">
        <f t="shared" si="179"/>
        <v/>
      </c>
      <c r="R684" s="24" t="str">
        <f t="shared" si="193"/>
        <v/>
      </c>
      <c r="S684" s="180">
        <f t="shared" si="194"/>
        <v>9</v>
      </c>
      <c r="T684" s="151"/>
      <c r="U684" s="25" t="str">
        <f t="shared" si="180"/>
        <v/>
      </c>
      <c r="V684" s="24" t="str">
        <f>IF(AND(ISNUMBER(R683),ISNUMBER(R684)),V683,IF(AND(R683="",ISNUMBER(R684)),IFERROR(LARGE($V$176:$V683,1)+1,0),""))</f>
        <v/>
      </c>
      <c r="W684" s="23" t="str">
        <f t="shared" si="181"/>
        <v/>
      </c>
      <c r="X684" s="22" t="str">
        <f t="shared" si="182"/>
        <v/>
      </c>
      <c r="Y684" s="22"/>
      <c r="Z684" s="22"/>
      <c r="AA684" s="22"/>
      <c r="AB684" s="22" t="str" cm="1">
        <f t="array" ref="AB684">IF(IF(AND($P683="",$P684=1),($N$37*-1),0)+IF(AND($Q683="",$Q684=1),($N$38*-1),0)+IF(IF(($K684-$N$48)&lt;1,0,IF(IF(INDEX($AD$176:$AD$905,($K684-$N$48))="",0,INDEX($AD$176:$AD$905,($K684-$N$48)))&gt;0,IF(INDEX($AD$176:$AD$905,($K684-$N$48))="",0,INDEX($AD$176:$AD$905,($K684-$N$48))),0))="",0,IF(($K684-$N$48)&lt;1,0,IF(IF(INDEX($AD$176:$AD$905,($K684-$N$48))="",0,INDEX($AD$176:$AD$905,($K684-$N$48)))&gt;0,IF(INDEX($AD$176:$AD$905,($K684-$N$48))="",0,INDEX($AD$176:$AD$905,($K684-$N$48))),0)))=0,"",IF(AND($P683="",$P684=1),($N$37*-1),0)+IF(AND($Q683="",$Q684=1),($N$38*-1),0)+IF(IF(($K684-$N$48)&lt;1,0,IF(IF(INDEX($AD$176:$AD$905,($K684-$N$48))="",0,INDEX($AD$176:$AD$905,($K684-$N$48)))&gt;0,IF(INDEX($AD$176:$AD$905,($K684-$N$48))="",0,INDEX($AD$176:$AD$905,($K684-$N$48))),0))="",0,IF(($K684-$N$48)&lt;1,0,IF(IF(INDEX($AD$176:$AD$905,($K684-$N$48))="",0,INDEX($AD$176:$AD$905,($K684-$N$48)))&gt;0,IF(INDEX($AD$176:$AD$905,($K684-$N$48))="",0,INDEX($AD$176:$AD$905,($K684-$N$48))),0))))</f>
        <v/>
      </c>
      <c r="AC684" s="22" t="str">
        <f t="shared" si="183"/>
        <v/>
      </c>
      <c r="AD684" s="22" t="str">
        <f t="shared" si="195"/>
        <v/>
      </c>
      <c r="AE684" s="22" t="str" cm="1">
        <f t="array" ref="AE684">IF(($K684-$N$48)&lt;1,"",IF((IF(INDEX($AC$176:$AC$905,($K684-$N$48))="",0,INDEX($AC$176:$AC$905,($K684-$N$48))))=0,"",(IF(INDEX($AC$176:$AC$905,($K684-$N$48))="",0,INDEX($AC$176:$AC$905,($K684-$N$48))))))</f>
        <v/>
      </c>
      <c r="AF684" s="31" t="str">
        <f t="shared" si="184"/>
        <v/>
      </c>
      <c r="AG684" s="31" t="str">
        <f t="shared" si="185"/>
        <v/>
      </c>
      <c r="AH684" s="31" t="str">
        <f t="shared" si="186"/>
        <v/>
      </c>
      <c r="AI684" s="31" t="str">
        <f t="shared" si="187"/>
        <v/>
      </c>
      <c r="AJ684" s="303" t="str">
        <f t="shared" si="188"/>
        <v/>
      </c>
      <c r="AK684" s="139" t="str">
        <f t="shared" si="189"/>
        <v/>
      </c>
      <c r="AM684" s="319"/>
      <c r="AN684" s="40"/>
      <c r="AO684" s="1"/>
    </row>
    <row r="685" spans="7:41" x14ac:dyDescent="0.25">
      <c r="G685" s="235" t="str">
        <f t="shared" si="196"/>
        <v/>
      </c>
      <c r="H685" s="4" t="str">
        <f t="shared" si="197"/>
        <v/>
      </c>
      <c r="I685" s="11" t="str">
        <f t="shared" si="177"/>
        <v>09.00</v>
      </c>
      <c r="K685" s="30">
        <v>510</v>
      </c>
      <c r="L685" s="29">
        <f t="shared" si="190"/>
        <v>11371.908376190917</v>
      </c>
      <c r="M685" s="28" t="str">
        <f t="shared" si="178"/>
        <v/>
      </c>
      <c r="N685" s="27" t="str">
        <f t="shared" si="191"/>
        <v/>
      </c>
      <c r="O685" s="26" t="str">
        <f>IF(AND($Q684=$O$38,IFERROR(LARGE($V$176:$V684,1)&lt;$N$42,TRUE)),1,IF(AND(ISNUMBER($O684),$O684&lt;$N$32),$O684+1,""))</f>
        <v/>
      </c>
      <c r="P685" s="26" t="str">
        <f t="shared" si="192"/>
        <v/>
      </c>
      <c r="Q685" s="26" t="str">
        <f t="shared" si="179"/>
        <v/>
      </c>
      <c r="R685" s="24" t="str">
        <f t="shared" si="193"/>
        <v/>
      </c>
      <c r="S685" s="180">
        <f t="shared" si="194"/>
        <v>9</v>
      </c>
      <c r="T685" s="151"/>
      <c r="U685" s="25" t="str">
        <f t="shared" si="180"/>
        <v/>
      </c>
      <c r="V685" s="24" t="str">
        <f>IF(AND(ISNUMBER(R684),ISNUMBER(R685)),V684,IF(AND(R684="",ISNUMBER(R685)),IFERROR(LARGE($V$176:$V684,1)+1,0),""))</f>
        <v/>
      </c>
      <c r="W685" s="23" t="str">
        <f t="shared" si="181"/>
        <v/>
      </c>
      <c r="X685" s="22" t="str">
        <f t="shared" si="182"/>
        <v/>
      </c>
      <c r="Y685" s="22"/>
      <c r="Z685" s="22"/>
      <c r="AA685" s="22"/>
      <c r="AB685" s="22" t="str" cm="1">
        <f t="array" ref="AB685">IF(IF(AND($P684="",$P685=1),($N$37*-1),0)+IF(AND($Q684="",$Q685=1),($N$38*-1),0)+IF(IF(($K685-$N$48)&lt;1,0,IF(IF(INDEX($AD$176:$AD$905,($K685-$N$48))="",0,INDEX($AD$176:$AD$905,($K685-$N$48)))&gt;0,IF(INDEX($AD$176:$AD$905,($K685-$N$48))="",0,INDEX($AD$176:$AD$905,($K685-$N$48))),0))="",0,IF(($K685-$N$48)&lt;1,0,IF(IF(INDEX($AD$176:$AD$905,($K685-$N$48))="",0,INDEX($AD$176:$AD$905,($K685-$N$48)))&gt;0,IF(INDEX($AD$176:$AD$905,($K685-$N$48))="",0,INDEX($AD$176:$AD$905,($K685-$N$48))),0)))=0,"",IF(AND($P684="",$P685=1),($N$37*-1),0)+IF(AND($Q684="",$Q685=1),($N$38*-1),0)+IF(IF(($K685-$N$48)&lt;1,0,IF(IF(INDEX($AD$176:$AD$905,($K685-$N$48))="",0,INDEX($AD$176:$AD$905,($K685-$N$48)))&gt;0,IF(INDEX($AD$176:$AD$905,($K685-$N$48))="",0,INDEX($AD$176:$AD$905,($K685-$N$48))),0))="",0,IF(($K685-$N$48)&lt;1,0,IF(IF(INDEX($AD$176:$AD$905,($K685-$N$48))="",0,INDEX($AD$176:$AD$905,($K685-$N$48)))&gt;0,IF(INDEX($AD$176:$AD$905,($K685-$N$48))="",0,INDEX($AD$176:$AD$905,($K685-$N$48))),0))))</f>
        <v/>
      </c>
      <c r="AC685" s="22" t="str">
        <f t="shared" si="183"/>
        <v/>
      </c>
      <c r="AD685" s="22" t="str">
        <f t="shared" si="195"/>
        <v/>
      </c>
      <c r="AE685" s="22" t="str" cm="1">
        <f t="array" ref="AE685">IF(($K685-$N$48)&lt;1,"",IF((IF(INDEX($AC$176:$AC$905,($K685-$N$48))="",0,INDEX($AC$176:$AC$905,($K685-$N$48))))=0,"",(IF(INDEX($AC$176:$AC$905,($K685-$N$48))="",0,INDEX($AC$176:$AC$905,($K685-$N$48))))))</f>
        <v/>
      </c>
      <c r="AF685" s="31" t="str">
        <f t="shared" si="184"/>
        <v/>
      </c>
      <c r="AG685" s="31" t="str">
        <f t="shared" si="185"/>
        <v/>
      </c>
      <c r="AH685" s="31" t="str">
        <f t="shared" si="186"/>
        <v/>
      </c>
      <c r="AI685" s="31" t="str">
        <f t="shared" si="187"/>
        <v/>
      </c>
      <c r="AJ685" s="303" t="str">
        <f t="shared" si="188"/>
        <v/>
      </c>
      <c r="AK685" s="139" t="str">
        <f t="shared" si="189"/>
        <v/>
      </c>
      <c r="AM685" s="319"/>
      <c r="AN685" s="40"/>
      <c r="AO685" s="1"/>
    </row>
    <row r="686" spans="7:41" x14ac:dyDescent="0.25">
      <c r="G686" s="235" t="str">
        <f t="shared" si="196"/>
        <v/>
      </c>
      <c r="H686" s="4" t="str">
        <f t="shared" si="197"/>
        <v/>
      </c>
      <c r="I686" s="11" t="str">
        <f t="shared" si="177"/>
        <v>09.00</v>
      </c>
      <c r="K686" s="30">
        <v>511</v>
      </c>
      <c r="L686" s="29">
        <f t="shared" si="190"/>
        <v>11371.908376190917</v>
      </c>
      <c r="M686" s="28" t="str">
        <f t="shared" si="178"/>
        <v/>
      </c>
      <c r="N686" s="27" t="str">
        <f t="shared" si="191"/>
        <v/>
      </c>
      <c r="O686" s="26" t="str">
        <f>IF(AND($Q685=$O$38,IFERROR(LARGE($V$176:$V685,1)&lt;$N$42,TRUE)),1,IF(AND(ISNUMBER($O685),$O685&lt;$N$32),$O685+1,""))</f>
        <v/>
      </c>
      <c r="P686" s="26" t="str">
        <f t="shared" si="192"/>
        <v/>
      </c>
      <c r="Q686" s="26" t="str">
        <f t="shared" si="179"/>
        <v/>
      </c>
      <c r="R686" s="24" t="str">
        <f t="shared" si="193"/>
        <v/>
      </c>
      <c r="S686" s="180">
        <f t="shared" si="194"/>
        <v>9</v>
      </c>
      <c r="T686" s="151"/>
      <c r="U686" s="25" t="str">
        <f t="shared" si="180"/>
        <v/>
      </c>
      <c r="V686" s="24" t="str">
        <f>IF(AND(ISNUMBER(R685),ISNUMBER(R686)),V685,IF(AND(R685="",ISNUMBER(R686)),IFERROR(LARGE($V$176:$V685,1)+1,0),""))</f>
        <v/>
      </c>
      <c r="W686" s="23" t="str">
        <f t="shared" si="181"/>
        <v/>
      </c>
      <c r="X686" s="22" t="str">
        <f t="shared" si="182"/>
        <v/>
      </c>
      <c r="Y686" s="22"/>
      <c r="Z686" s="22"/>
      <c r="AA686" s="22"/>
      <c r="AB686" s="22" t="str" cm="1">
        <f t="array" ref="AB686">IF(IF(AND($P685="",$P686=1),($N$37*-1),0)+IF(AND($Q685="",$Q686=1),($N$38*-1),0)+IF(IF(($K686-$N$48)&lt;1,0,IF(IF(INDEX($AD$176:$AD$905,($K686-$N$48))="",0,INDEX($AD$176:$AD$905,($K686-$N$48)))&gt;0,IF(INDEX($AD$176:$AD$905,($K686-$N$48))="",0,INDEX($AD$176:$AD$905,($K686-$N$48))),0))="",0,IF(($K686-$N$48)&lt;1,0,IF(IF(INDEX($AD$176:$AD$905,($K686-$N$48))="",0,INDEX($AD$176:$AD$905,($K686-$N$48)))&gt;0,IF(INDEX($AD$176:$AD$905,($K686-$N$48))="",0,INDEX($AD$176:$AD$905,($K686-$N$48))),0)))=0,"",IF(AND($P685="",$P686=1),($N$37*-1),0)+IF(AND($Q685="",$Q686=1),($N$38*-1),0)+IF(IF(($K686-$N$48)&lt;1,0,IF(IF(INDEX($AD$176:$AD$905,($K686-$N$48))="",0,INDEX($AD$176:$AD$905,($K686-$N$48)))&gt;0,IF(INDEX($AD$176:$AD$905,($K686-$N$48))="",0,INDEX($AD$176:$AD$905,($K686-$N$48))),0))="",0,IF(($K686-$N$48)&lt;1,0,IF(IF(INDEX($AD$176:$AD$905,($K686-$N$48))="",0,INDEX($AD$176:$AD$905,($K686-$N$48)))&gt;0,IF(INDEX($AD$176:$AD$905,($K686-$N$48))="",0,INDEX($AD$176:$AD$905,($K686-$N$48))),0))))</f>
        <v/>
      </c>
      <c r="AC686" s="22" t="str">
        <f t="shared" si="183"/>
        <v/>
      </c>
      <c r="AD686" s="22" t="str">
        <f t="shared" si="195"/>
        <v/>
      </c>
      <c r="AE686" s="22" t="str" cm="1">
        <f t="array" ref="AE686">IF(($K686-$N$48)&lt;1,"",IF((IF(INDEX($AC$176:$AC$905,($K686-$N$48))="",0,INDEX($AC$176:$AC$905,($K686-$N$48))))=0,"",(IF(INDEX($AC$176:$AC$905,($K686-$N$48))="",0,INDEX($AC$176:$AC$905,($K686-$N$48))))))</f>
        <v/>
      </c>
      <c r="AF686" s="31" t="str">
        <f t="shared" si="184"/>
        <v/>
      </c>
      <c r="AG686" s="31" t="str">
        <f t="shared" si="185"/>
        <v/>
      </c>
      <c r="AH686" s="31" t="str">
        <f t="shared" si="186"/>
        <v/>
      </c>
      <c r="AI686" s="31" t="str">
        <f t="shared" si="187"/>
        <v/>
      </c>
      <c r="AJ686" s="303" t="str">
        <f t="shared" si="188"/>
        <v/>
      </c>
      <c r="AK686" s="139" t="str">
        <f t="shared" si="189"/>
        <v/>
      </c>
      <c r="AM686" s="319"/>
      <c r="AN686" s="40"/>
      <c r="AO686" s="1"/>
    </row>
    <row r="687" spans="7:41" x14ac:dyDescent="0.25">
      <c r="G687" s="235" t="str">
        <f t="shared" si="196"/>
        <v/>
      </c>
      <c r="H687" s="4" t="str">
        <f t="shared" si="197"/>
        <v/>
      </c>
      <c r="I687" s="11" t="str">
        <f t="shared" si="177"/>
        <v>09.00</v>
      </c>
      <c r="K687" s="30">
        <v>512</v>
      </c>
      <c r="L687" s="29">
        <f t="shared" si="190"/>
        <v>11371.908376190917</v>
      </c>
      <c r="M687" s="28" t="str">
        <f t="shared" si="178"/>
        <v/>
      </c>
      <c r="N687" s="27" t="str">
        <f t="shared" si="191"/>
        <v/>
      </c>
      <c r="O687" s="26" t="str">
        <f>IF(AND($Q686=$O$38,IFERROR(LARGE($V$176:$V686,1)&lt;$N$42,TRUE)),1,IF(AND(ISNUMBER($O686),$O686&lt;$N$32),$O686+1,""))</f>
        <v/>
      </c>
      <c r="P687" s="26" t="str">
        <f t="shared" si="192"/>
        <v/>
      </c>
      <c r="Q687" s="26" t="str">
        <f t="shared" si="179"/>
        <v/>
      </c>
      <c r="R687" s="24" t="str">
        <f t="shared" si="193"/>
        <v/>
      </c>
      <c r="S687" s="180">
        <f t="shared" si="194"/>
        <v>9</v>
      </c>
      <c r="T687" s="151"/>
      <c r="U687" s="25" t="str">
        <f t="shared" si="180"/>
        <v/>
      </c>
      <c r="V687" s="24" t="str">
        <f>IF(AND(ISNUMBER(R686),ISNUMBER(R687)),V686,IF(AND(R686="",ISNUMBER(R687)),IFERROR(LARGE($V$176:$V686,1)+1,0),""))</f>
        <v/>
      </c>
      <c r="W687" s="23" t="str">
        <f t="shared" si="181"/>
        <v/>
      </c>
      <c r="X687" s="22" t="str">
        <f t="shared" si="182"/>
        <v/>
      </c>
      <c r="Y687" s="22"/>
      <c r="Z687" s="22"/>
      <c r="AA687" s="22"/>
      <c r="AB687" s="22" t="str" cm="1">
        <f t="array" ref="AB687">IF(IF(AND($P686="",$P687=1),($N$37*-1),0)+IF(AND($Q686="",$Q687=1),($N$38*-1),0)+IF(IF(($K687-$N$48)&lt;1,0,IF(IF(INDEX($AD$176:$AD$905,($K687-$N$48))="",0,INDEX($AD$176:$AD$905,($K687-$N$48)))&gt;0,IF(INDEX($AD$176:$AD$905,($K687-$N$48))="",0,INDEX($AD$176:$AD$905,($K687-$N$48))),0))="",0,IF(($K687-$N$48)&lt;1,0,IF(IF(INDEX($AD$176:$AD$905,($K687-$N$48))="",0,INDEX($AD$176:$AD$905,($K687-$N$48)))&gt;0,IF(INDEX($AD$176:$AD$905,($K687-$N$48))="",0,INDEX($AD$176:$AD$905,($K687-$N$48))),0)))=0,"",IF(AND($P686="",$P687=1),($N$37*-1),0)+IF(AND($Q686="",$Q687=1),($N$38*-1),0)+IF(IF(($K687-$N$48)&lt;1,0,IF(IF(INDEX($AD$176:$AD$905,($K687-$N$48))="",0,INDEX($AD$176:$AD$905,($K687-$N$48)))&gt;0,IF(INDEX($AD$176:$AD$905,($K687-$N$48))="",0,INDEX($AD$176:$AD$905,($K687-$N$48))),0))="",0,IF(($K687-$N$48)&lt;1,0,IF(IF(INDEX($AD$176:$AD$905,($K687-$N$48))="",0,INDEX($AD$176:$AD$905,($K687-$N$48)))&gt;0,IF(INDEX($AD$176:$AD$905,($K687-$N$48))="",0,INDEX($AD$176:$AD$905,($K687-$N$48))),0))))</f>
        <v/>
      </c>
      <c r="AC687" s="22" t="str">
        <f t="shared" si="183"/>
        <v/>
      </c>
      <c r="AD687" s="22" t="str">
        <f t="shared" si="195"/>
        <v/>
      </c>
      <c r="AE687" s="22" t="str" cm="1">
        <f t="array" ref="AE687">IF(($K687-$N$48)&lt;1,"",IF((IF(INDEX($AC$176:$AC$905,($K687-$N$48))="",0,INDEX($AC$176:$AC$905,($K687-$N$48))))=0,"",(IF(INDEX($AC$176:$AC$905,($K687-$N$48))="",0,INDEX($AC$176:$AC$905,($K687-$N$48))))))</f>
        <v/>
      </c>
      <c r="AF687" s="31" t="str">
        <f t="shared" si="184"/>
        <v/>
      </c>
      <c r="AG687" s="31" t="str">
        <f t="shared" si="185"/>
        <v/>
      </c>
      <c r="AH687" s="31" t="str">
        <f t="shared" si="186"/>
        <v/>
      </c>
      <c r="AI687" s="31" t="str">
        <f t="shared" si="187"/>
        <v/>
      </c>
      <c r="AJ687" s="303" t="str">
        <f t="shared" si="188"/>
        <v/>
      </c>
      <c r="AK687" s="139" t="str">
        <f t="shared" si="189"/>
        <v/>
      </c>
      <c r="AM687" s="319"/>
      <c r="AN687" s="40"/>
      <c r="AO687" s="1"/>
    </row>
    <row r="688" spans="7:41" x14ac:dyDescent="0.25">
      <c r="G688" s="235" t="str">
        <f t="shared" si="196"/>
        <v/>
      </c>
      <c r="H688" s="4" t="str">
        <f t="shared" si="197"/>
        <v/>
      </c>
      <c r="I688" s="11" t="str">
        <f t="shared" ref="I688:I751" si="198">CONCATENATE(IF(LEN(ROUNDDOWN(S688,0))=1,CONCATENATE("0",ROUNDDOWN(S688,0)),ROUNDDOWN(S688,0)),".",IF(LEN(ROUND(MOD(S688,1)*100,0))=1,CONCATENATE("0",ROUND(MOD(S688,1)*100,0)),ROUND(MOD(S688,1)*100,0)),IF(N688&lt;&gt;"",".N.",IF(O688&lt;&gt;"",".R.",IF(P688&lt;&gt;"",".O.",IF(Q688&lt;&gt;"",".I.",IF(R688&lt;&gt;"",".D.",""))))),IF(N688&lt;&gt;"",N688,IF(O688&lt;&gt;"",O688,IF(P688&lt;&gt;"",P688,IF(Q688&lt;&gt;"",Q688,IF(R688&lt;&gt;"",IF(MOD(R688,$N$44)=0,$N$44,MOD(R688,$N$44)),""))))))</f>
        <v>09.00</v>
      </c>
      <c r="K688" s="30">
        <v>513</v>
      </c>
      <c r="L688" s="29">
        <f t="shared" si="190"/>
        <v>11371.908376190917</v>
      </c>
      <c r="M688" s="28" t="str">
        <f t="shared" ref="M688:M751" si="199">IFERROR(IF(IF($K688=1,(($M$23*-1)+($M$24*-1)),IF(ISNUMBER(W688),W688,0)+IF(ISNUMBER(X688),X688,0)+IF(ISNUMBER(AB688),AB688,0)+IF(ISNUMBER(AE688),AE688,0)+IF(ISNUMBER(AF688),AF688,0)+IF(ISNUMBER(AG688),AG688,0)+IF(ISNUMBER(AH688),AH688,0)+IF(ISNUMBER(AI688),AI688,0)+IF(ISNUMBER(AK688),AK688,0))=0,"",IF($K688=1,(($M$23*-1)+($M$24*-1)),IF(ISNUMBER(W688),W688,0)+IF(ISNUMBER(X688),X688,0)+IF(ISNUMBER(AB688),AB688,0)+IF(ISNUMBER(AE688),AE688,0)+IF(ISNUMBER(AF688),AF688,0)+IF(ISNUMBER(AG688),AG688,0)+IF(ISNUMBER(AH688),AH688,0)+IF(ISNUMBER(AI688),AI688,0)+IF(ISNUMBER(AK688),AK688,0))),"")</f>
        <v/>
      </c>
      <c r="N688" s="27" t="str">
        <f t="shared" si="191"/>
        <v/>
      </c>
      <c r="O688" s="26" t="str">
        <f>IF(AND($Q687=$O$38,IFERROR(LARGE($V$176:$V687,1)&lt;$N$42,TRUE)),1,IF(AND(ISNUMBER($O687),$O687&lt;$N$32),$O687+1,""))</f>
        <v/>
      </c>
      <c r="P688" s="26" t="str">
        <f t="shared" si="192"/>
        <v/>
      </c>
      <c r="Q688" s="26" t="str">
        <f t="shared" ref="Q688:Q751" si="200">IF($R687=($N$43*$N$44),1,IF(AND(ISNUMBER($Q687),$Q687&lt;$O$38),$Q687+1,""))</f>
        <v/>
      </c>
      <c r="R688" s="24" t="str">
        <f t="shared" si="193"/>
        <v/>
      </c>
      <c r="S688" s="180">
        <f t="shared" si="194"/>
        <v>9</v>
      </c>
      <c r="T688" s="151"/>
      <c r="U688" s="25" t="str">
        <f t="shared" ref="U688:U751" si="201">IF(ISNUMBER($R688),ROUNDUP($R688/$N$44,0),"")</f>
        <v/>
      </c>
      <c r="V688" s="24" t="str">
        <f>IF(AND(ISNUMBER(R687),ISNUMBER(R688)),V687,IF(AND(R687="",ISNUMBER(R688)),IFERROR(LARGE($V$176:$V687,1)+1,0),""))</f>
        <v/>
      </c>
      <c r="W688" s="23" t="str">
        <f t="shared" ref="W688:W751" si="202">IF($O688=1,($M$30*-1),"")</f>
        <v/>
      </c>
      <c r="X688" s="22" t="str">
        <f t="shared" ref="X688:X751" si="203">IF($K688=1,($M$24*-1),IF($O688=1,($M$31*-1),""))</f>
        <v/>
      </c>
      <c r="Y688" s="22"/>
      <c r="Z688" s="22"/>
      <c r="AA688" s="22"/>
      <c r="AB688" s="22" t="str" cm="1">
        <f t="array" ref="AB688">IF(IF(AND($P687="",$P688=1),($N$37*-1),0)+IF(AND($Q687="",$Q688=1),($N$38*-1),0)+IF(IF(($K688-$N$48)&lt;1,0,IF(IF(INDEX($AD$176:$AD$905,($K688-$N$48))="",0,INDEX($AD$176:$AD$905,($K688-$N$48)))&gt;0,IF(INDEX($AD$176:$AD$905,($K688-$N$48))="",0,INDEX($AD$176:$AD$905,($K688-$N$48))),0))="",0,IF(($K688-$N$48)&lt;1,0,IF(IF(INDEX($AD$176:$AD$905,($K688-$N$48))="",0,INDEX($AD$176:$AD$905,($K688-$N$48)))&gt;0,IF(INDEX($AD$176:$AD$905,($K688-$N$48))="",0,INDEX($AD$176:$AD$905,($K688-$N$48))),0)))=0,"",IF(AND($P687="",$P688=1),($N$37*-1),0)+IF(AND($Q687="",$Q688=1),($N$38*-1),0)+IF(IF(($K688-$N$48)&lt;1,0,IF(IF(INDEX($AD$176:$AD$905,($K688-$N$48))="",0,INDEX($AD$176:$AD$905,($K688-$N$48)))&gt;0,IF(INDEX($AD$176:$AD$905,($K688-$N$48))="",0,INDEX($AD$176:$AD$905,($K688-$N$48))),0))="",0,IF(($K688-$N$48)&lt;1,0,IF(IF(INDEX($AD$176:$AD$905,($K688-$N$48))="",0,INDEX($AD$176:$AD$905,($K688-$N$48)))&gt;0,IF(INDEX($AD$176:$AD$905,($K688-$N$48))="",0,INDEX($AD$176:$AD$905,($K688-$N$48))),0))))</f>
        <v/>
      </c>
      <c r="AC688" s="22" t="str">
        <f t="shared" ref="AC688:AC751" si="204">IF(IF(OR(AND(ISNUMBER($U688),IF(ISNUMBER($U689),$U689,0)-IF(ISNUMBER($U688),$U688,0)=1),AND(ISNUMBER($U688),$U689="")),VLOOKUP(IF($U688&gt;$L$63,$L$63,$U688),$L$52:$N$63,COLUMNS($L$52:$N$52),FALSE),0)=0,"",IF(OR(AND(ISNUMBER($U688),IF(ISNUMBER($U689),$U689,0)-IF(ISNUMBER($U688),$U688,0)=1),AND(ISNUMBER($U688),$U689="")),VLOOKUP(IF($U688&gt;$L$63,$L$63,$U688),$L$52:$N$63,COLUMNS($L$52:$N$52),FALSE),0))</f>
        <v/>
      </c>
      <c r="AD688" s="22" t="str">
        <f t="shared" si="195"/>
        <v/>
      </c>
      <c r="AE688" s="22" t="str" cm="1">
        <f t="array" ref="AE688">IF(($K688-$N$48)&lt;1,"",IF((IF(INDEX($AC$176:$AC$905,($K688-$N$48))="",0,INDEX($AC$176:$AC$905,($K688-$N$48))))=0,"",(IF(INDEX($AC$176:$AC$905,($K688-$N$48))="",0,INDEX($AC$176:$AC$905,($K688-$N$48))))))</f>
        <v/>
      </c>
      <c r="AF688" s="31" t="str">
        <f t="shared" ref="AF688:AF751" si="205">IF($O$67="Invoice",IF(AND(ISNUMBER($AC688),ISNUMBER($O$68)),$AC688*$O$68*-1,""),IF($O$67="Payment",IF(AND(ISNUMBER($AE688),ISNUMBER($O$68)),$AE688*$O$68*-1,""),""))</f>
        <v/>
      </c>
      <c r="AG688" s="31" t="str">
        <f t="shared" ref="AG688:AG751" si="206">IF($O$67="Invoice",IF(AND(ISNUMBER($AC688),ISNUMBER($O$69)),$AC688*$O$69*-1,""),IF($O$67="Payment",IF(AND(ISNUMBER($AE688),ISNUMBER($O$69)),$AE688*$O$69*-1,""),""))</f>
        <v/>
      </c>
      <c r="AH688" s="31" t="str">
        <f t="shared" ref="AH688:AH751" si="207">IF($O$67="Invoice",IF(AND(ISNUMBER($AC688),ISNUMBER($O$70)),$AC688*$O$70*-1,""),IF($O$67="Payment",IF(AND(ISNUMBER($AE688),ISNUMBER($O$70)),$AE688*$O$70*-1,""),""))</f>
        <v/>
      </c>
      <c r="AI688" s="31" t="str">
        <f t="shared" ref="AI688:AI751" si="208">IF($O$67="Invoice",IF(AND(ISNUMBER($AC688),ISNUMBER($O$71)),$AC688*$O$71*-1,""),IF($O$67="Payment",IF(AND(ISNUMBER($AE688),ISNUMBER($O$71)),$AE688*$O$71*-1,""),""))</f>
        <v/>
      </c>
      <c r="AJ688" s="303" t="str">
        <f t="shared" ref="AJ688:AJ751" si="209">IF($O$67="Invoice",IF(AND(ISNUMBER($AC688),ISNUMBER($O$72)),$AC688*$O$72*-1,""),IF($O$67="Payment",IF(AND(ISNUMBER($AE688),ISNUMBER($O$72)),$AE688*$O$72*-1,""),""))</f>
        <v/>
      </c>
      <c r="AK688" s="139" t="str">
        <f t="shared" ref="AK688:AK751" si="210">IF($O$67="Invoice",IF(AND(ISNUMBER($AC688),ISNUMBER($O$73)),$AC688*$O$73*-1,""),IF($O$67="Payment",IF(AND(ISNUMBER($AE688),ISNUMBER($O$73)),$AE688*$O$73*-1,""),""))</f>
        <v/>
      </c>
      <c r="AM688" s="319"/>
      <c r="AN688" s="40"/>
      <c r="AO688" s="1"/>
    </row>
    <row r="689" spans="7:41" x14ac:dyDescent="0.25">
      <c r="G689" s="235" t="str">
        <f t="shared" si="196"/>
        <v/>
      </c>
      <c r="H689" s="4" t="str">
        <f t="shared" si="197"/>
        <v/>
      </c>
      <c r="I689" s="11" t="str">
        <f t="shared" si="198"/>
        <v>09.00</v>
      </c>
      <c r="K689" s="30">
        <v>514</v>
      </c>
      <c r="L689" s="29">
        <f t="shared" ref="L689:L752" si="211">IF(ISNUMBER($M689),$M689+$L688,$L688)</f>
        <v>11371.908376190917</v>
      </c>
      <c r="M689" s="28" t="str">
        <f t="shared" si="199"/>
        <v/>
      </c>
      <c r="N689" s="27" t="str">
        <f t="shared" ref="N689:N752" si="212">IF($K688&lt;$N$25,$N688+1,"")</f>
        <v/>
      </c>
      <c r="O689" s="26" t="str">
        <f>IF(AND($Q688=$O$38,IFERROR(LARGE($V$176:$V688,1)&lt;$N$42,TRUE)),1,IF(AND(ISNUMBER($O688),$O688&lt;$N$32),$O688+1,""))</f>
        <v/>
      </c>
      <c r="P689" s="26" t="str">
        <f t="shared" ref="P689:P752" si="213">IF(OR($N688=$N$25,O688=$N$32),1,IF(AND($P688&lt;$O$37,P688&gt;0),P688+1,""))</f>
        <v/>
      </c>
      <c r="Q689" s="26" t="str">
        <f t="shared" si="200"/>
        <v/>
      </c>
      <c r="R689" s="24" t="str">
        <f t="shared" ref="R689:R752" si="214">IF(AND($P688=$O$37,$R688=""),1,IF($R688&lt;($N$43*$N$44),$R688+1,""))</f>
        <v/>
      </c>
      <c r="S689" s="180">
        <f t="shared" si="194"/>
        <v>9</v>
      </c>
      <c r="T689" s="151"/>
      <c r="U689" s="25" t="str">
        <f t="shared" si="201"/>
        <v/>
      </c>
      <c r="V689" s="24" t="str">
        <f>IF(AND(ISNUMBER(R688),ISNUMBER(R689)),V688,IF(AND(R688="",ISNUMBER(R689)),IFERROR(LARGE($V$176:$V688,1)+1,0),""))</f>
        <v/>
      </c>
      <c r="W689" s="23" t="str">
        <f t="shared" si="202"/>
        <v/>
      </c>
      <c r="X689" s="22" t="str">
        <f t="shared" si="203"/>
        <v/>
      </c>
      <c r="Y689" s="22"/>
      <c r="Z689" s="22"/>
      <c r="AA689" s="22"/>
      <c r="AB689" s="22" t="str" cm="1">
        <f t="array" ref="AB689">IF(IF(AND($P688="",$P689=1),($N$37*-1),0)+IF(AND($Q688="",$Q689=1),($N$38*-1),0)+IF(IF(($K689-$N$48)&lt;1,0,IF(IF(INDEX($AD$176:$AD$905,($K689-$N$48))="",0,INDEX($AD$176:$AD$905,($K689-$N$48)))&gt;0,IF(INDEX($AD$176:$AD$905,($K689-$N$48))="",0,INDEX($AD$176:$AD$905,($K689-$N$48))),0))="",0,IF(($K689-$N$48)&lt;1,0,IF(IF(INDEX($AD$176:$AD$905,($K689-$N$48))="",0,INDEX($AD$176:$AD$905,($K689-$N$48)))&gt;0,IF(INDEX($AD$176:$AD$905,($K689-$N$48))="",0,INDEX($AD$176:$AD$905,($K689-$N$48))),0)))=0,"",IF(AND($P688="",$P689=1),($N$37*-1),0)+IF(AND($Q688="",$Q689=1),($N$38*-1),0)+IF(IF(($K689-$N$48)&lt;1,0,IF(IF(INDEX($AD$176:$AD$905,($K689-$N$48))="",0,INDEX($AD$176:$AD$905,($K689-$N$48)))&gt;0,IF(INDEX($AD$176:$AD$905,($K689-$N$48))="",0,INDEX($AD$176:$AD$905,($K689-$N$48))),0))="",0,IF(($K689-$N$48)&lt;1,0,IF(IF(INDEX($AD$176:$AD$905,($K689-$N$48))="",0,INDEX($AD$176:$AD$905,($K689-$N$48)))&gt;0,IF(INDEX($AD$176:$AD$905,($K689-$N$48))="",0,INDEX($AD$176:$AD$905,($K689-$N$48))),0))))</f>
        <v/>
      </c>
      <c r="AC689" s="22" t="str">
        <f t="shared" si="204"/>
        <v/>
      </c>
      <c r="AD689" s="22" t="str">
        <f t="shared" si="195"/>
        <v/>
      </c>
      <c r="AE689" s="22" t="str" cm="1">
        <f t="array" ref="AE689">IF(($K689-$N$48)&lt;1,"",IF((IF(INDEX($AC$176:$AC$905,($K689-$N$48))="",0,INDEX($AC$176:$AC$905,($K689-$N$48))))=0,"",(IF(INDEX($AC$176:$AC$905,($K689-$N$48))="",0,INDEX($AC$176:$AC$905,($K689-$N$48))))))</f>
        <v/>
      </c>
      <c r="AF689" s="31" t="str">
        <f t="shared" si="205"/>
        <v/>
      </c>
      <c r="AG689" s="31" t="str">
        <f t="shared" si="206"/>
        <v/>
      </c>
      <c r="AH689" s="31" t="str">
        <f t="shared" si="207"/>
        <v/>
      </c>
      <c r="AI689" s="31" t="str">
        <f t="shared" si="208"/>
        <v/>
      </c>
      <c r="AJ689" s="303" t="str">
        <f t="shared" si="209"/>
        <v/>
      </c>
      <c r="AK689" s="139" t="str">
        <f t="shared" si="210"/>
        <v/>
      </c>
      <c r="AM689" s="319"/>
      <c r="AN689" s="40"/>
      <c r="AO689" s="1"/>
    </row>
    <row r="690" spans="7:41" x14ac:dyDescent="0.25">
      <c r="G690" s="235" t="str">
        <f t="shared" si="196"/>
        <v/>
      </c>
      <c r="H690" s="4" t="str">
        <f t="shared" si="197"/>
        <v/>
      </c>
      <c r="I690" s="11" t="str">
        <f t="shared" si="198"/>
        <v>09.00</v>
      </c>
      <c r="K690" s="30">
        <v>515</v>
      </c>
      <c r="L690" s="29">
        <f t="shared" si="211"/>
        <v>11371.908376190917</v>
      </c>
      <c r="M690" s="28" t="str">
        <f t="shared" si="199"/>
        <v/>
      </c>
      <c r="N690" s="27" t="str">
        <f t="shared" si="212"/>
        <v/>
      </c>
      <c r="O690" s="26" t="str">
        <f>IF(AND($Q689=$O$38,IFERROR(LARGE($V$176:$V689,1)&lt;$N$42,TRUE)),1,IF(AND(ISNUMBER($O689),$O689&lt;$N$32),$O689+1,""))</f>
        <v/>
      </c>
      <c r="P690" s="26" t="str">
        <f t="shared" si="213"/>
        <v/>
      </c>
      <c r="Q690" s="26" t="str">
        <f t="shared" si="200"/>
        <v/>
      </c>
      <c r="R690" s="24" t="str">
        <f t="shared" si="214"/>
        <v/>
      </c>
      <c r="S690" s="180">
        <f t="shared" si="194"/>
        <v>9</v>
      </c>
      <c r="T690" s="151"/>
      <c r="U690" s="25" t="str">
        <f t="shared" si="201"/>
        <v/>
      </c>
      <c r="V690" s="24" t="str">
        <f>IF(AND(ISNUMBER(R689),ISNUMBER(R690)),V689,IF(AND(R689="",ISNUMBER(R690)),IFERROR(LARGE($V$176:$V689,1)+1,0),""))</f>
        <v/>
      </c>
      <c r="W690" s="23" t="str">
        <f t="shared" si="202"/>
        <v/>
      </c>
      <c r="X690" s="22" t="str">
        <f t="shared" si="203"/>
        <v/>
      </c>
      <c r="Y690" s="22"/>
      <c r="Z690" s="22"/>
      <c r="AA690" s="22"/>
      <c r="AB690" s="22" t="str" cm="1">
        <f t="array" ref="AB690">IF(IF(AND($P689="",$P690=1),($N$37*-1),0)+IF(AND($Q689="",$Q690=1),($N$38*-1),0)+IF(IF(($K690-$N$48)&lt;1,0,IF(IF(INDEX($AD$176:$AD$905,($K690-$N$48))="",0,INDEX($AD$176:$AD$905,($K690-$N$48)))&gt;0,IF(INDEX($AD$176:$AD$905,($K690-$N$48))="",0,INDEX($AD$176:$AD$905,($K690-$N$48))),0))="",0,IF(($K690-$N$48)&lt;1,0,IF(IF(INDEX($AD$176:$AD$905,($K690-$N$48))="",0,INDEX($AD$176:$AD$905,($K690-$N$48)))&gt;0,IF(INDEX($AD$176:$AD$905,($K690-$N$48))="",0,INDEX($AD$176:$AD$905,($K690-$N$48))),0)))=0,"",IF(AND($P689="",$P690=1),($N$37*-1),0)+IF(AND($Q689="",$Q690=1),($N$38*-1),0)+IF(IF(($K690-$N$48)&lt;1,0,IF(IF(INDEX($AD$176:$AD$905,($K690-$N$48))="",0,INDEX($AD$176:$AD$905,($K690-$N$48)))&gt;0,IF(INDEX($AD$176:$AD$905,($K690-$N$48))="",0,INDEX($AD$176:$AD$905,($K690-$N$48))),0))="",0,IF(($K690-$N$48)&lt;1,0,IF(IF(INDEX($AD$176:$AD$905,($K690-$N$48))="",0,INDEX($AD$176:$AD$905,($K690-$N$48)))&gt;0,IF(INDEX($AD$176:$AD$905,($K690-$N$48))="",0,INDEX($AD$176:$AD$905,($K690-$N$48))),0))))</f>
        <v/>
      </c>
      <c r="AC690" s="22" t="str">
        <f t="shared" si="204"/>
        <v/>
      </c>
      <c r="AD690" s="22" t="str">
        <f t="shared" si="195"/>
        <v/>
      </c>
      <c r="AE690" s="22" t="str" cm="1">
        <f t="array" ref="AE690">IF(($K690-$N$48)&lt;1,"",IF((IF(INDEX($AC$176:$AC$905,($K690-$N$48))="",0,INDEX($AC$176:$AC$905,($K690-$N$48))))=0,"",(IF(INDEX($AC$176:$AC$905,($K690-$N$48))="",0,INDEX($AC$176:$AC$905,($K690-$N$48))))))</f>
        <v/>
      </c>
      <c r="AF690" s="31" t="str">
        <f t="shared" si="205"/>
        <v/>
      </c>
      <c r="AG690" s="31" t="str">
        <f t="shared" si="206"/>
        <v/>
      </c>
      <c r="AH690" s="31" t="str">
        <f t="shared" si="207"/>
        <v/>
      </c>
      <c r="AI690" s="31" t="str">
        <f t="shared" si="208"/>
        <v/>
      </c>
      <c r="AJ690" s="303" t="str">
        <f t="shared" si="209"/>
        <v/>
      </c>
      <c r="AK690" s="139" t="str">
        <f t="shared" si="210"/>
        <v/>
      </c>
      <c r="AM690" s="319"/>
      <c r="AN690" s="40"/>
      <c r="AO690" s="1"/>
    </row>
    <row r="691" spans="7:41" x14ac:dyDescent="0.25">
      <c r="G691" s="235" t="str">
        <f t="shared" si="196"/>
        <v/>
      </c>
      <c r="H691" s="4" t="str">
        <f t="shared" si="197"/>
        <v/>
      </c>
      <c r="I691" s="11" t="str">
        <f t="shared" si="198"/>
        <v>09.00</v>
      </c>
      <c r="K691" s="30">
        <v>516</v>
      </c>
      <c r="L691" s="29">
        <f t="shared" si="211"/>
        <v>11371.908376190917</v>
      </c>
      <c r="M691" s="28" t="str">
        <f t="shared" si="199"/>
        <v/>
      </c>
      <c r="N691" s="27" t="str">
        <f t="shared" si="212"/>
        <v/>
      </c>
      <c r="O691" s="26" t="str">
        <f>IF(AND($Q690=$O$38,IFERROR(LARGE($V$176:$V690,1)&lt;$N$42,TRUE)),1,IF(AND(ISNUMBER($O690),$O690&lt;$N$32),$O690+1,""))</f>
        <v/>
      </c>
      <c r="P691" s="26" t="str">
        <f t="shared" si="213"/>
        <v/>
      </c>
      <c r="Q691" s="26" t="str">
        <f t="shared" si="200"/>
        <v/>
      </c>
      <c r="R691" s="24" t="str">
        <f t="shared" si="214"/>
        <v/>
      </c>
      <c r="S691" s="180">
        <f t="shared" si="194"/>
        <v>9</v>
      </c>
      <c r="T691" s="151"/>
      <c r="U691" s="25" t="str">
        <f t="shared" si="201"/>
        <v/>
      </c>
      <c r="V691" s="24" t="str">
        <f>IF(AND(ISNUMBER(R690),ISNUMBER(R691)),V690,IF(AND(R690="",ISNUMBER(R691)),IFERROR(LARGE($V$176:$V690,1)+1,0),""))</f>
        <v/>
      </c>
      <c r="W691" s="23" t="str">
        <f t="shared" si="202"/>
        <v/>
      </c>
      <c r="X691" s="22" t="str">
        <f t="shared" si="203"/>
        <v/>
      </c>
      <c r="Y691" s="22"/>
      <c r="Z691" s="22"/>
      <c r="AA691" s="22"/>
      <c r="AB691" s="22" t="str" cm="1">
        <f t="array" ref="AB691">IF(IF(AND($P690="",$P691=1),($N$37*-1),0)+IF(AND($Q690="",$Q691=1),($N$38*-1),0)+IF(IF(($K691-$N$48)&lt;1,0,IF(IF(INDEX($AD$176:$AD$905,($K691-$N$48))="",0,INDEX($AD$176:$AD$905,($K691-$N$48)))&gt;0,IF(INDEX($AD$176:$AD$905,($K691-$N$48))="",0,INDEX($AD$176:$AD$905,($K691-$N$48))),0))="",0,IF(($K691-$N$48)&lt;1,0,IF(IF(INDEX($AD$176:$AD$905,($K691-$N$48))="",0,INDEX($AD$176:$AD$905,($K691-$N$48)))&gt;0,IF(INDEX($AD$176:$AD$905,($K691-$N$48))="",0,INDEX($AD$176:$AD$905,($K691-$N$48))),0)))=0,"",IF(AND($P690="",$P691=1),($N$37*-1),0)+IF(AND($Q690="",$Q691=1),($N$38*-1),0)+IF(IF(($K691-$N$48)&lt;1,0,IF(IF(INDEX($AD$176:$AD$905,($K691-$N$48))="",0,INDEX($AD$176:$AD$905,($K691-$N$48)))&gt;0,IF(INDEX($AD$176:$AD$905,($K691-$N$48))="",0,INDEX($AD$176:$AD$905,($K691-$N$48))),0))="",0,IF(($K691-$N$48)&lt;1,0,IF(IF(INDEX($AD$176:$AD$905,($K691-$N$48))="",0,INDEX($AD$176:$AD$905,($K691-$N$48)))&gt;0,IF(INDEX($AD$176:$AD$905,($K691-$N$48))="",0,INDEX($AD$176:$AD$905,($K691-$N$48))),0))))</f>
        <v/>
      </c>
      <c r="AC691" s="22" t="str">
        <f t="shared" si="204"/>
        <v/>
      </c>
      <c r="AD691" s="22" t="str">
        <f t="shared" si="195"/>
        <v/>
      </c>
      <c r="AE691" s="22" t="str" cm="1">
        <f t="array" ref="AE691">IF(($K691-$N$48)&lt;1,"",IF((IF(INDEX($AC$176:$AC$905,($K691-$N$48))="",0,INDEX($AC$176:$AC$905,($K691-$N$48))))=0,"",(IF(INDEX($AC$176:$AC$905,($K691-$N$48))="",0,INDEX($AC$176:$AC$905,($K691-$N$48))))))</f>
        <v/>
      </c>
      <c r="AF691" s="31" t="str">
        <f t="shared" si="205"/>
        <v/>
      </c>
      <c r="AG691" s="31" t="str">
        <f t="shared" si="206"/>
        <v/>
      </c>
      <c r="AH691" s="31" t="str">
        <f t="shared" si="207"/>
        <v/>
      </c>
      <c r="AI691" s="31" t="str">
        <f t="shared" si="208"/>
        <v/>
      </c>
      <c r="AJ691" s="303" t="str">
        <f t="shared" si="209"/>
        <v/>
      </c>
      <c r="AK691" s="139" t="str">
        <f t="shared" si="210"/>
        <v/>
      </c>
      <c r="AM691" s="319"/>
      <c r="AN691" s="40"/>
      <c r="AO691" s="1"/>
    </row>
    <row r="692" spans="7:41" x14ac:dyDescent="0.25">
      <c r="G692" s="235" t="str">
        <f t="shared" si="196"/>
        <v/>
      </c>
      <c r="H692" s="4" t="str">
        <f t="shared" si="197"/>
        <v/>
      </c>
      <c r="I692" s="11" t="str">
        <f t="shared" si="198"/>
        <v>09.00</v>
      </c>
      <c r="K692" s="30">
        <v>517</v>
      </c>
      <c r="L692" s="29">
        <f t="shared" si="211"/>
        <v>11371.908376190917</v>
      </c>
      <c r="M692" s="28" t="str">
        <f t="shared" si="199"/>
        <v/>
      </c>
      <c r="N692" s="27" t="str">
        <f t="shared" si="212"/>
        <v/>
      </c>
      <c r="O692" s="26" t="str">
        <f>IF(AND($Q691=$O$38,IFERROR(LARGE($V$176:$V691,1)&lt;$N$42,TRUE)),1,IF(AND(ISNUMBER($O691),$O691&lt;$N$32),$O691+1,""))</f>
        <v/>
      </c>
      <c r="P692" s="26" t="str">
        <f t="shared" si="213"/>
        <v/>
      </c>
      <c r="Q692" s="26" t="str">
        <f t="shared" si="200"/>
        <v/>
      </c>
      <c r="R692" s="24" t="str">
        <f t="shared" si="214"/>
        <v/>
      </c>
      <c r="S692" s="180">
        <f t="shared" si="194"/>
        <v>9</v>
      </c>
      <c r="T692" s="151"/>
      <c r="U692" s="25" t="str">
        <f t="shared" si="201"/>
        <v/>
      </c>
      <c r="V692" s="24" t="str">
        <f>IF(AND(ISNUMBER(R691),ISNUMBER(R692)),V691,IF(AND(R691="",ISNUMBER(R692)),IFERROR(LARGE($V$176:$V691,1)+1,0),""))</f>
        <v/>
      </c>
      <c r="W692" s="23" t="str">
        <f t="shared" si="202"/>
        <v/>
      </c>
      <c r="X692" s="22" t="str">
        <f t="shared" si="203"/>
        <v/>
      </c>
      <c r="Y692" s="22"/>
      <c r="Z692" s="22"/>
      <c r="AA692" s="22"/>
      <c r="AB692" s="22" t="str" cm="1">
        <f t="array" ref="AB692">IF(IF(AND($P691="",$P692=1),($N$37*-1),0)+IF(AND($Q691="",$Q692=1),($N$38*-1),0)+IF(IF(($K692-$N$48)&lt;1,0,IF(IF(INDEX($AD$176:$AD$905,($K692-$N$48))="",0,INDEX($AD$176:$AD$905,($K692-$N$48)))&gt;0,IF(INDEX($AD$176:$AD$905,($K692-$N$48))="",0,INDEX($AD$176:$AD$905,($K692-$N$48))),0))="",0,IF(($K692-$N$48)&lt;1,0,IF(IF(INDEX($AD$176:$AD$905,($K692-$N$48))="",0,INDEX($AD$176:$AD$905,($K692-$N$48)))&gt;0,IF(INDEX($AD$176:$AD$905,($K692-$N$48))="",0,INDEX($AD$176:$AD$905,($K692-$N$48))),0)))=0,"",IF(AND($P691="",$P692=1),($N$37*-1),0)+IF(AND($Q691="",$Q692=1),($N$38*-1),0)+IF(IF(($K692-$N$48)&lt;1,0,IF(IF(INDEX($AD$176:$AD$905,($K692-$N$48))="",0,INDEX($AD$176:$AD$905,($K692-$N$48)))&gt;0,IF(INDEX($AD$176:$AD$905,($K692-$N$48))="",0,INDEX($AD$176:$AD$905,($K692-$N$48))),0))="",0,IF(($K692-$N$48)&lt;1,0,IF(IF(INDEX($AD$176:$AD$905,($K692-$N$48))="",0,INDEX($AD$176:$AD$905,($K692-$N$48)))&gt;0,IF(INDEX($AD$176:$AD$905,($K692-$N$48))="",0,INDEX($AD$176:$AD$905,($K692-$N$48))),0))))</f>
        <v/>
      </c>
      <c r="AC692" s="22" t="str">
        <f t="shared" si="204"/>
        <v/>
      </c>
      <c r="AD692" s="22" t="str">
        <f t="shared" si="195"/>
        <v/>
      </c>
      <c r="AE692" s="22" t="str" cm="1">
        <f t="array" ref="AE692">IF(($K692-$N$48)&lt;1,"",IF((IF(INDEX($AC$176:$AC$905,($K692-$N$48))="",0,INDEX($AC$176:$AC$905,($K692-$N$48))))=0,"",(IF(INDEX($AC$176:$AC$905,($K692-$N$48))="",0,INDEX($AC$176:$AC$905,($K692-$N$48))))))</f>
        <v/>
      </c>
      <c r="AF692" s="31" t="str">
        <f t="shared" si="205"/>
        <v/>
      </c>
      <c r="AG692" s="31" t="str">
        <f t="shared" si="206"/>
        <v/>
      </c>
      <c r="AH692" s="31" t="str">
        <f t="shared" si="207"/>
        <v/>
      </c>
      <c r="AI692" s="31" t="str">
        <f t="shared" si="208"/>
        <v/>
      </c>
      <c r="AJ692" s="303" t="str">
        <f t="shared" si="209"/>
        <v/>
      </c>
      <c r="AK692" s="139" t="str">
        <f t="shared" si="210"/>
        <v/>
      </c>
      <c r="AM692" s="319"/>
      <c r="AN692" s="40"/>
      <c r="AO692" s="1"/>
    </row>
    <row r="693" spans="7:41" x14ac:dyDescent="0.25">
      <c r="G693" s="235" t="str">
        <f t="shared" si="196"/>
        <v/>
      </c>
      <c r="H693" s="4" t="str">
        <f t="shared" si="197"/>
        <v/>
      </c>
      <c r="I693" s="11" t="str">
        <f t="shared" si="198"/>
        <v>09.00</v>
      </c>
      <c r="K693" s="30">
        <v>518</v>
      </c>
      <c r="L693" s="29">
        <f t="shared" si="211"/>
        <v>11371.908376190917</v>
      </c>
      <c r="M693" s="28" t="str">
        <f t="shared" si="199"/>
        <v/>
      </c>
      <c r="N693" s="27" t="str">
        <f t="shared" si="212"/>
        <v/>
      </c>
      <c r="O693" s="26" t="str">
        <f>IF(AND($Q692=$O$38,IFERROR(LARGE($V$176:$V692,1)&lt;$N$42,TRUE)),1,IF(AND(ISNUMBER($O692),$O692&lt;$N$32),$O692+1,""))</f>
        <v/>
      </c>
      <c r="P693" s="26" t="str">
        <f t="shared" si="213"/>
        <v/>
      </c>
      <c r="Q693" s="26" t="str">
        <f t="shared" si="200"/>
        <v/>
      </c>
      <c r="R693" s="24" t="str">
        <f t="shared" si="214"/>
        <v/>
      </c>
      <c r="S693" s="180">
        <f t="shared" si="194"/>
        <v>9</v>
      </c>
      <c r="T693" s="151"/>
      <c r="U693" s="25" t="str">
        <f t="shared" si="201"/>
        <v/>
      </c>
      <c r="V693" s="24" t="str">
        <f>IF(AND(ISNUMBER(R692),ISNUMBER(R693)),V692,IF(AND(R692="",ISNUMBER(R693)),IFERROR(LARGE($V$176:$V692,1)+1,0),""))</f>
        <v/>
      </c>
      <c r="W693" s="23" t="str">
        <f t="shared" si="202"/>
        <v/>
      </c>
      <c r="X693" s="22" t="str">
        <f t="shared" si="203"/>
        <v/>
      </c>
      <c r="Y693" s="22"/>
      <c r="Z693" s="22"/>
      <c r="AA693" s="22"/>
      <c r="AB693" s="22" t="str" cm="1">
        <f t="array" ref="AB693">IF(IF(AND($P692="",$P693=1),($N$37*-1),0)+IF(AND($Q692="",$Q693=1),($N$38*-1),0)+IF(IF(($K693-$N$48)&lt;1,0,IF(IF(INDEX($AD$176:$AD$905,($K693-$N$48))="",0,INDEX($AD$176:$AD$905,($K693-$N$48)))&gt;0,IF(INDEX($AD$176:$AD$905,($K693-$N$48))="",0,INDEX($AD$176:$AD$905,($K693-$N$48))),0))="",0,IF(($K693-$N$48)&lt;1,0,IF(IF(INDEX($AD$176:$AD$905,($K693-$N$48))="",0,INDEX($AD$176:$AD$905,($K693-$N$48)))&gt;0,IF(INDEX($AD$176:$AD$905,($K693-$N$48))="",0,INDEX($AD$176:$AD$905,($K693-$N$48))),0)))=0,"",IF(AND($P692="",$P693=1),($N$37*-1),0)+IF(AND($Q692="",$Q693=1),($N$38*-1),0)+IF(IF(($K693-$N$48)&lt;1,0,IF(IF(INDEX($AD$176:$AD$905,($K693-$N$48))="",0,INDEX($AD$176:$AD$905,($K693-$N$48)))&gt;0,IF(INDEX($AD$176:$AD$905,($K693-$N$48))="",0,INDEX($AD$176:$AD$905,($K693-$N$48))),0))="",0,IF(($K693-$N$48)&lt;1,0,IF(IF(INDEX($AD$176:$AD$905,($K693-$N$48))="",0,INDEX($AD$176:$AD$905,($K693-$N$48)))&gt;0,IF(INDEX($AD$176:$AD$905,($K693-$N$48))="",0,INDEX($AD$176:$AD$905,($K693-$N$48))),0))))</f>
        <v/>
      </c>
      <c r="AC693" s="22" t="str">
        <f t="shared" si="204"/>
        <v/>
      </c>
      <c r="AD693" s="22" t="str">
        <f t="shared" si="195"/>
        <v/>
      </c>
      <c r="AE693" s="22" t="str" cm="1">
        <f t="array" ref="AE693">IF(($K693-$N$48)&lt;1,"",IF((IF(INDEX($AC$176:$AC$905,($K693-$N$48))="",0,INDEX($AC$176:$AC$905,($K693-$N$48))))=0,"",(IF(INDEX($AC$176:$AC$905,($K693-$N$48))="",0,INDEX($AC$176:$AC$905,($K693-$N$48))))))</f>
        <v/>
      </c>
      <c r="AF693" s="31" t="str">
        <f t="shared" si="205"/>
        <v/>
      </c>
      <c r="AG693" s="31" t="str">
        <f t="shared" si="206"/>
        <v/>
      </c>
      <c r="AH693" s="31" t="str">
        <f t="shared" si="207"/>
        <v/>
      </c>
      <c r="AI693" s="31" t="str">
        <f t="shared" si="208"/>
        <v/>
      </c>
      <c r="AJ693" s="303" t="str">
        <f t="shared" si="209"/>
        <v/>
      </c>
      <c r="AK693" s="139" t="str">
        <f t="shared" si="210"/>
        <v/>
      </c>
      <c r="AM693" s="319"/>
      <c r="AN693" s="40"/>
      <c r="AO693" s="1"/>
    </row>
    <row r="694" spans="7:41" x14ac:dyDescent="0.25">
      <c r="G694" s="235" t="str">
        <f t="shared" si="196"/>
        <v/>
      </c>
      <c r="H694" s="4" t="str">
        <f t="shared" si="197"/>
        <v/>
      </c>
      <c r="I694" s="11" t="str">
        <f t="shared" si="198"/>
        <v>09.00</v>
      </c>
      <c r="K694" s="30">
        <v>519</v>
      </c>
      <c r="L694" s="29">
        <f t="shared" si="211"/>
        <v>11371.908376190917</v>
      </c>
      <c r="M694" s="28" t="str">
        <f t="shared" si="199"/>
        <v/>
      </c>
      <c r="N694" s="27" t="str">
        <f t="shared" si="212"/>
        <v/>
      </c>
      <c r="O694" s="26" t="str">
        <f>IF(AND($Q693=$O$38,IFERROR(LARGE($V$176:$V693,1)&lt;$N$42,TRUE)),1,IF(AND(ISNUMBER($O693),$O693&lt;$N$32),$O693+1,""))</f>
        <v/>
      </c>
      <c r="P694" s="26" t="str">
        <f t="shared" si="213"/>
        <v/>
      </c>
      <c r="Q694" s="26" t="str">
        <f t="shared" si="200"/>
        <v/>
      </c>
      <c r="R694" s="24" t="str">
        <f t="shared" si="214"/>
        <v/>
      </c>
      <c r="S694" s="180">
        <f t="shared" si="194"/>
        <v>9</v>
      </c>
      <c r="T694" s="151"/>
      <c r="U694" s="25" t="str">
        <f t="shared" si="201"/>
        <v/>
      </c>
      <c r="V694" s="24" t="str">
        <f>IF(AND(ISNUMBER(R693),ISNUMBER(R694)),V693,IF(AND(R693="",ISNUMBER(R694)),IFERROR(LARGE($V$176:$V693,1)+1,0),""))</f>
        <v/>
      </c>
      <c r="W694" s="23" t="str">
        <f t="shared" si="202"/>
        <v/>
      </c>
      <c r="X694" s="22" t="str">
        <f t="shared" si="203"/>
        <v/>
      </c>
      <c r="Y694" s="22"/>
      <c r="Z694" s="22"/>
      <c r="AA694" s="22"/>
      <c r="AB694" s="22" t="str" cm="1">
        <f t="array" ref="AB694">IF(IF(AND($P693="",$P694=1),($N$37*-1),0)+IF(AND($Q693="",$Q694=1),($N$38*-1),0)+IF(IF(($K694-$N$48)&lt;1,0,IF(IF(INDEX($AD$176:$AD$905,($K694-$N$48))="",0,INDEX($AD$176:$AD$905,($K694-$N$48)))&gt;0,IF(INDEX($AD$176:$AD$905,($K694-$N$48))="",0,INDEX($AD$176:$AD$905,($K694-$N$48))),0))="",0,IF(($K694-$N$48)&lt;1,0,IF(IF(INDEX($AD$176:$AD$905,($K694-$N$48))="",0,INDEX($AD$176:$AD$905,($K694-$N$48)))&gt;0,IF(INDEX($AD$176:$AD$905,($K694-$N$48))="",0,INDEX($AD$176:$AD$905,($K694-$N$48))),0)))=0,"",IF(AND($P693="",$P694=1),($N$37*-1),0)+IF(AND($Q693="",$Q694=1),($N$38*-1),0)+IF(IF(($K694-$N$48)&lt;1,0,IF(IF(INDEX($AD$176:$AD$905,($K694-$N$48))="",0,INDEX($AD$176:$AD$905,($K694-$N$48)))&gt;0,IF(INDEX($AD$176:$AD$905,($K694-$N$48))="",0,INDEX($AD$176:$AD$905,($K694-$N$48))),0))="",0,IF(($K694-$N$48)&lt;1,0,IF(IF(INDEX($AD$176:$AD$905,($K694-$N$48))="",0,INDEX($AD$176:$AD$905,($K694-$N$48)))&gt;0,IF(INDEX($AD$176:$AD$905,($K694-$N$48))="",0,INDEX($AD$176:$AD$905,($K694-$N$48))),0))))</f>
        <v/>
      </c>
      <c r="AC694" s="22" t="str">
        <f t="shared" si="204"/>
        <v/>
      </c>
      <c r="AD694" s="22" t="str">
        <f t="shared" si="195"/>
        <v/>
      </c>
      <c r="AE694" s="22" t="str" cm="1">
        <f t="array" ref="AE694">IF(($K694-$N$48)&lt;1,"",IF((IF(INDEX($AC$176:$AC$905,($K694-$N$48))="",0,INDEX($AC$176:$AC$905,($K694-$N$48))))=0,"",(IF(INDEX($AC$176:$AC$905,($K694-$N$48))="",0,INDEX($AC$176:$AC$905,($K694-$N$48))))))</f>
        <v/>
      </c>
      <c r="AF694" s="31" t="str">
        <f t="shared" si="205"/>
        <v/>
      </c>
      <c r="AG694" s="31" t="str">
        <f t="shared" si="206"/>
        <v/>
      </c>
      <c r="AH694" s="31" t="str">
        <f t="shared" si="207"/>
        <v/>
      </c>
      <c r="AI694" s="31" t="str">
        <f t="shared" si="208"/>
        <v/>
      </c>
      <c r="AJ694" s="303" t="str">
        <f t="shared" si="209"/>
        <v/>
      </c>
      <c r="AK694" s="139" t="str">
        <f t="shared" si="210"/>
        <v/>
      </c>
      <c r="AM694" s="319"/>
      <c r="AN694" s="40"/>
      <c r="AO694" s="1"/>
    </row>
    <row r="695" spans="7:41" x14ac:dyDescent="0.25">
      <c r="G695" s="235" t="str">
        <f t="shared" si="196"/>
        <v/>
      </c>
      <c r="H695" s="4" t="str">
        <f t="shared" si="197"/>
        <v/>
      </c>
      <c r="I695" s="11" t="str">
        <f t="shared" si="198"/>
        <v>09.00</v>
      </c>
      <c r="K695" s="30">
        <v>520</v>
      </c>
      <c r="L695" s="29">
        <f t="shared" si="211"/>
        <v>11371.908376190917</v>
      </c>
      <c r="M695" s="28" t="str">
        <f t="shared" si="199"/>
        <v/>
      </c>
      <c r="N695" s="27" t="str">
        <f t="shared" si="212"/>
        <v/>
      </c>
      <c r="O695" s="26" t="str">
        <f>IF(AND($Q694=$O$38,IFERROR(LARGE($V$176:$V694,1)&lt;$N$42,TRUE)),1,IF(AND(ISNUMBER($O694),$O694&lt;$N$32),$O694+1,""))</f>
        <v/>
      </c>
      <c r="P695" s="26" t="str">
        <f t="shared" si="213"/>
        <v/>
      </c>
      <c r="Q695" s="26" t="str">
        <f t="shared" si="200"/>
        <v/>
      </c>
      <c r="R695" s="24" t="str">
        <f t="shared" si="214"/>
        <v/>
      </c>
      <c r="S695" s="180">
        <f t="shared" si="194"/>
        <v>9</v>
      </c>
      <c r="T695" s="151"/>
      <c r="U695" s="25" t="str">
        <f t="shared" si="201"/>
        <v/>
      </c>
      <c r="V695" s="24" t="str">
        <f>IF(AND(ISNUMBER(R694),ISNUMBER(R695)),V694,IF(AND(R694="",ISNUMBER(R695)),IFERROR(LARGE($V$176:$V694,1)+1,0),""))</f>
        <v/>
      </c>
      <c r="W695" s="23" t="str">
        <f t="shared" si="202"/>
        <v/>
      </c>
      <c r="X695" s="22" t="str">
        <f t="shared" si="203"/>
        <v/>
      </c>
      <c r="Y695" s="22"/>
      <c r="Z695" s="22"/>
      <c r="AA695" s="22"/>
      <c r="AB695" s="22" t="str" cm="1">
        <f t="array" ref="AB695">IF(IF(AND($P694="",$P695=1),($N$37*-1),0)+IF(AND($Q694="",$Q695=1),($N$38*-1),0)+IF(IF(($K695-$N$48)&lt;1,0,IF(IF(INDEX($AD$176:$AD$905,($K695-$N$48))="",0,INDEX($AD$176:$AD$905,($K695-$N$48)))&gt;0,IF(INDEX($AD$176:$AD$905,($K695-$N$48))="",0,INDEX($AD$176:$AD$905,($K695-$N$48))),0))="",0,IF(($K695-$N$48)&lt;1,0,IF(IF(INDEX($AD$176:$AD$905,($K695-$N$48))="",0,INDEX($AD$176:$AD$905,($K695-$N$48)))&gt;0,IF(INDEX($AD$176:$AD$905,($K695-$N$48))="",0,INDEX($AD$176:$AD$905,($K695-$N$48))),0)))=0,"",IF(AND($P694="",$P695=1),($N$37*-1),0)+IF(AND($Q694="",$Q695=1),($N$38*-1),0)+IF(IF(($K695-$N$48)&lt;1,0,IF(IF(INDEX($AD$176:$AD$905,($K695-$N$48))="",0,INDEX($AD$176:$AD$905,($K695-$N$48)))&gt;0,IF(INDEX($AD$176:$AD$905,($K695-$N$48))="",0,INDEX($AD$176:$AD$905,($K695-$N$48))),0))="",0,IF(($K695-$N$48)&lt;1,0,IF(IF(INDEX($AD$176:$AD$905,($K695-$N$48))="",0,INDEX($AD$176:$AD$905,($K695-$N$48)))&gt;0,IF(INDEX($AD$176:$AD$905,($K695-$N$48))="",0,INDEX($AD$176:$AD$905,($K695-$N$48))),0))))</f>
        <v/>
      </c>
      <c r="AC695" s="22" t="str">
        <f t="shared" si="204"/>
        <v/>
      </c>
      <c r="AD695" s="22" t="str">
        <f t="shared" si="195"/>
        <v/>
      </c>
      <c r="AE695" s="22" t="str" cm="1">
        <f t="array" ref="AE695">IF(($K695-$N$48)&lt;1,"",IF((IF(INDEX($AC$176:$AC$905,($K695-$N$48))="",0,INDEX($AC$176:$AC$905,($K695-$N$48))))=0,"",(IF(INDEX($AC$176:$AC$905,($K695-$N$48))="",0,INDEX($AC$176:$AC$905,($K695-$N$48))))))</f>
        <v/>
      </c>
      <c r="AF695" s="31" t="str">
        <f t="shared" si="205"/>
        <v/>
      </c>
      <c r="AG695" s="31" t="str">
        <f t="shared" si="206"/>
        <v/>
      </c>
      <c r="AH695" s="31" t="str">
        <f t="shared" si="207"/>
        <v/>
      </c>
      <c r="AI695" s="31" t="str">
        <f t="shared" si="208"/>
        <v/>
      </c>
      <c r="AJ695" s="303" t="str">
        <f t="shared" si="209"/>
        <v/>
      </c>
      <c r="AK695" s="139" t="str">
        <f t="shared" si="210"/>
        <v/>
      </c>
      <c r="AM695" s="319"/>
      <c r="AN695" s="40"/>
      <c r="AO695" s="1"/>
    </row>
    <row r="696" spans="7:41" x14ac:dyDescent="0.25">
      <c r="G696" s="235" t="str">
        <f t="shared" si="196"/>
        <v/>
      </c>
      <c r="H696" s="4" t="str">
        <f t="shared" si="197"/>
        <v/>
      </c>
      <c r="I696" s="11" t="str">
        <f t="shared" si="198"/>
        <v>09.00</v>
      </c>
      <c r="K696" s="30">
        <v>521</v>
      </c>
      <c r="L696" s="29">
        <f t="shared" si="211"/>
        <v>11371.908376190917</v>
      </c>
      <c r="M696" s="28" t="str">
        <f t="shared" si="199"/>
        <v/>
      </c>
      <c r="N696" s="27" t="str">
        <f t="shared" si="212"/>
        <v/>
      </c>
      <c r="O696" s="26" t="str">
        <f>IF(AND($Q695=$O$38,IFERROR(LARGE($V$176:$V695,1)&lt;$N$42,TRUE)),1,IF(AND(ISNUMBER($O695),$O695&lt;$N$32),$O695+1,""))</f>
        <v/>
      </c>
      <c r="P696" s="26" t="str">
        <f t="shared" si="213"/>
        <v/>
      </c>
      <c r="Q696" s="26" t="str">
        <f t="shared" si="200"/>
        <v/>
      </c>
      <c r="R696" s="24" t="str">
        <f t="shared" si="214"/>
        <v/>
      </c>
      <c r="S696" s="180">
        <f t="shared" si="194"/>
        <v>9</v>
      </c>
      <c r="T696" s="151"/>
      <c r="U696" s="25" t="str">
        <f t="shared" si="201"/>
        <v/>
      </c>
      <c r="V696" s="24" t="str">
        <f>IF(AND(ISNUMBER(R695),ISNUMBER(R696)),V695,IF(AND(R695="",ISNUMBER(R696)),IFERROR(LARGE($V$176:$V695,1)+1,0),""))</f>
        <v/>
      </c>
      <c r="W696" s="23" t="str">
        <f t="shared" si="202"/>
        <v/>
      </c>
      <c r="X696" s="22" t="str">
        <f t="shared" si="203"/>
        <v/>
      </c>
      <c r="Y696" s="22"/>
      <c r="Z696" s="22"/>
      <c r="AA696" s="22"/>
      <c r="AB696" s="22" t="str" cm="1">
        <f t="array" ref="AB696">IF(IF(AND($P695="",$P696=1),($N$37*-1),0)+IF(AND($Q695="",$Q696=1),($N$38*-1),0)+IF(IF(($K696-$N$48)&lt;1,0,IF(IF(INDEX($AD$176:$AD$905,($K696-$N$48))="",0,INDEX($AD$176:$AD$905,($K696-$N$48)))&gt;0,IF(INDEX($AD$176:$AD$905,($K696-$N$48))="",0,INDEX($AD$176:$AD$905,($K696-$N$48))),0))="",0,IF(($K696-$N$48)&lt;1,0,IF(IF(INDEX($AD$176:$AD$905,($K696-$N$48))="",0,INDEX($AD$176:$AD$905,($K696-$N$48)))&gt;0,IF(INDEX($AD$176:$AD$905,($K696-$N$48))="",0,INDEX($AD$176:$AD$905,($K696-$N$48))),0)))=0,"",IF(AND($P695="",$P696=1),($N$37*-1),0)+IF(AND($Q695="",$Q696=1),($N$38*-1),0)+IF(IF(($K696-$N$48)&lt;1,0,IF(IF(INDEX($AD$176:$AD$905,($K696-$N$48))="",0,INDEX($AD$176:$AD$905,($K696-$N$48)))&gt;0,IF(INDEX($AD$176:$AD$905,($K696-$N$48))="",0,INDEX($AD$176:$AD$905,($K696-$N$48))),0))="",0,IF(($K696-$N$48)&lt;1,0,IF(IF(INDEX($AD$176:$AD$905,($K696-$N$48))="",0,INDEX($AD$176:$AD$905,($K696-$N$48)))&gt;0,IF(INDEX($AD$176:$AD$905,($K696-$N$48))="",0,INDEX($AD$176:$AD$905,($K696-$N$48))),0))))</f>
        <v/>
      </c>
      <c r="AC696" s="22" t="str">
        <f t="shared" si="204"/>
        <v/>
      </c>
      <c r="AD696" s="22" t="str">
        <f t="shared" si="195"/>
        <v/>
      </c>
      <c r="AE696" s="22" t="str" cm="1">
        <f t="array" ref="AE696">IF(($K696-$N$48)&lt;1,"",IF((IF(INDEX($AC$176:$AC$905,($K696-$N$48))="",0,INDEX($AC$176:$AC$905,($K696-$N$48))))=0,"",(IF(INDEX($AC$176:$AC$905,($K696-$N$48))="",0,INDEX($AC$176:$AC$905,($K696-$N$48))))))</f>
        <v/>
      </c>
      <c r="AF696" s="31" t="str">
        <f t="shared" si="205"/>
        <v/>
      </c>
      <c r="AG696" s="31" t="str">
        <f t="shared" si="206"/>
        <v/>
      </c>
      <c r="AH696" s="31" t="str">
        <f t="shared" si="207"/>
        <v/>
      </c>
      <c r="AI696" s="31" t="str">
        <f t="shared" si="208"/>
        <v/>
      </c>
      <c r="AJ696" s="303" t="str">
        <f t="shared" si="209"/>
        <v/>
      </c>
      <c r="AK696" s="139" t="str">
        <f t="shared" si="210"/>
        <v/>
      </c>
      <c r="AM696" s="319"/>
      <c r="AN696" s="40"/>
      <c r="AO696" s="1"/>
    </row>
    <row r="697" spans="7:41" x14ac:dyDescent="0.25">
      <c r="G697" s="235" t="str">
        <f t="shared" si="196"/>
        <v/>
      </c>
      <c r="H697" s="4" t="str">
        <f t="shared" si="197"/>
        <v/>
      </c>
      <c r="I697" s="11" t="str">
        <f t="shared" si="198"/>
        <v>09.00</v>
      </c>
      <c r="K697" s="30">
        <v>522</v>
      </c>
      <c r="L697" s="29">
        <f t="shared" si="211"/>
        <v>11371.908376190917</v>
      </c>
      <c r="M697" s="28" t="str">
        <f t="shared" si="199"/>
        <v/>
      </c>
      <c r="N697" s="27" t="str">
        <f t="shared" si="212"/>
        <v/>
      </c>
      <c r="O697" s="26" t="str">
        <f>IF(AND($Q696=$O$38,IFERROR(LARGE($V$176:$V696,1)&lt;$N$42,TRUE)),1,IF(AND(ISNUMBER($O696),$O696&lt;$N$32),$O696+1,""))</f>
        <v/>
      </c>
      <c r="P697" s="26" t="str">
        <f t="shared" si="213"/>
        <v/>
      </c>
      <c r="Q697" s="26" t="str">
        <f t="shared" si="200"/>
        <v/>
      </c>
      <c r="R697" s="24" t="str">
        <f t="shared" si="214"/>
        <v/>
      </c>
      <c r="S697" s="180">
        <f t="shared" si="194"/>
        <v>9</v>
      </c>
      <c r="T697" s="151"/>
      <c r="U697" s="25" t="str">
        <f t="shared" si="201"/>
        <v/>
      </c>
      <c r="V697" s="24" t="str">
        <f>IF(AND(ISNUMBER(R696),ISNUMBER(R697)),V696,IF(AND(R696="",ISNUMBER(R697)),IFERROR(LARGE($V$176:$V696,1)+1,0),""))</f>
        <v/>
      </c>
      <c r="W697" s="23" t="str">
        <f t="shared" si="202"/>
        <v/>
      </c>
      <c r="X697" s="22" t="str">
        <f t="shared" si="203"/>
        <v/>
      </c>
      <c r="Y697" s="22"/>
      <c r="Z697" s="22"/>
      <c r="AA697" s="22"/>
      <c r="AB697" s="22" t="str" cm="1">
        <f t="array" ref="AB697">IF(IF(AND($P696="",$P697=1),($N$37*-1),0)+IF(AND($Q696="",$Q697=1),($N$38*-1),0)+IF(IF(($K697-$N$48)&lt;1,0,IF(IF(INDEX($AD$176:$AD$905,($K697-$N$48))="",0,INDEX($AD$176:$AD$905,($K697-$N$48)))&gt;0,IF(INDEX($AD$176:$AD$905,($K697-$N$48))="",0,INDEX($AD$176:$AD$905,($K697-$N$48))),0))="",0,IF(($K697-$N$48)&lt;1,0,IF(IF(INDEX($AD$176:$AD$905,($K697-$N$48))="",0,INDEX($AD$176:$AD$905,($K697-$N$48)))&gt;0,IF(INDEX($AD$176:$AD$905,($K697-$N$48))="",0,INDEX($AD$176:$AD$905,($K697-$N$48))),0)))=0,"",IF(AND($P696="",$P697=1),($N$37*-1),0)+IF(AND($Q696="",$Q697=1),($N$38*-1),0)+IF(IF(($K697-$N$48)&lt;1,0,IF(IF(INDEX($AD$176:$AD$905,($K697-$N$48))="",0,INDEX($AD$176:$AD$905,($K697-$N$48)))&gt;0,IF(INDEX($AD$176:$AD$905,($K697-$N$48))="",0,INDEX($AD$176:$AD$905,($K697-$N$48))),0))="",0,IF(($K697-$N$48)&lt;1,0,IF(IF(INDEX($AD$176:$AD$905,($K697-$N$48))="",0,INDEX($AD$176:$AD$905,($K697-$N$48)))&gt;0,IF(INDEX($AD$176:$AD$905,($K697-$N$48))="",0,INDEX($AD$176:$AD$905,($K697-$N$48))),0))))</f>
        <v/>
      </c>
      <c r="AC697" s="22" t="str">
        <f t="shared" si="204"/>
        <v/>
      </c>
      <c r="AD697" s="22" t="str">
        <f t="shared" si="195"/>
        <v/>
      </c>
      <c r="AE697" s="22" t="str" cm="1">
        <f t="array" ref="AE697">IF(($K697-$N$48)&lt;1,"",IF((IF(INDEX($AC$176:$AC$905,($K697-$N$48))="",0,INDEX($AC$176:$AC$905,($K697-$N$48))))=0,"",(IF(INDEX($AC$176:$AC$905,($K697-$N$48))="",0,INDEX($AC$176:$AC$905,($K697-$N$48))))))</f>
        <v/>
      </c>
      <c r="AF697" s="31" t="str">
        <f t="shared" si="205"/>
        <v/>
      </c>
      <c r="AG697" s="31" t="str">
        <f t="shared" si="206"/>
        <v/>
      </c>
      <c r="AH697" s="31" t="str">
        <f t="shared" si="207"/>
        <v/>
      </c>
      <c r="AI697" s="31" t="str">
        <f t="shared" si="208"/>
        <v/>
      </c>
      <c r="AJ697" s="303" t="str">
        <f t="shared" si="209"/>
        <v/>
      </c>
      <c r="AK697" s="139" t="str">
        <f t="shared" si="210"/>
        <v/>
      </c>
      <c r="AM697" s="319"/>
      <c r="AN697" s="40"/>
      <c r="AO697" s="1"/>
    </row>
    <row r="698" spans="7:41" x14ac:dyDescent="0.25">
      <c r="G698" s="235" t="str">
        <f t="shared" si="196"/>
        <v/>
      </c>
      <c r="H698" s="4" t="str">
        <f t="shared" si="197"/>
        <v/>
      </c>
      <c r="I698" s="11" t="str">
        <f t="shared" si="198"/>
        <v>09.00</v>
      </c>
      <c r="K698" s="30">
        <v>523</v>
      </c>
      <c r="L698" s="29">
        <f t="shared" si="211"/>
        <v>11371.908376190917</v>
      </c>
      <c r="M698" s="28" t="str">
        <f t="shared" si="199"/>
        <v/>
      </c>
      <c r="N698" s="27" t="str">
        <f t="shared" si="212"/>
        <v/>
      </c>
      <c r="O698" s="26" t="str">
        <f>IF(AND($Q697=$O$38,IFERROR(LARGE($V$176:$V697,1)&lt;$N$42,TRUE)),1,IF(AND(ISNUMBER($O697),$O697&lt;$N$32),$O697+1,""))</f>
        <v/>
      </c>
      <c r="P698" s="26" t="str">
        <f t="shared" si="213"/>
        <v/>
      </c>
      <c r="Q698" s="26" t="str">
        <f t="shared" si="200"/>
        <v/>
      </c>
      <c r="R698" s="24" t="str">
        <f t="shared" si="214"/>
        <v/>
      </c>
      <c r="S698" s="180">
        <f t="shared" si="194"/>
        <v>9</v>
      </c>
      <c r="T698" s="151"/>
      <c r="U698" s="25" t="str">
        <f t="shared" si="201"/>
        <v/>
      </c>
      <c r="V698" s="24" t="str">
        <f>IF(AND(ISNUMBER(R697),ISNUMBER(R698)),V697,IF(AND(R697="",ISNUMBER(R698)),IFERROR(LARGE($V$176:$V697,1)+1,0),""))</f>
        <v/>
      </c>
      <c r="W698" s="23" t="str">
        <f t="shared" si="202"/>
        <v/>
      </c>
      <c r="X698" s="22" t="str">
        <f t="shared" si="203"/>
        <v/>
      </c>
      <c r="Y698" s="22"/>
      <c r="Z698" s="22"/>
      <c r="AA698" s="22"/>
      <c r="AB698" s="22" t="str" cm="1">
        <f t="array" ref="AB698">IF(IF(AND($P697="",$P698=1),($N$37*-1),0)+IF(AND($Q697="",$Q698=1),($N$38*-1),0)+IF(IF(($K698-$N$48)&lt;1,0,IF(IF(INDEX($AD$176:$AD$905,($K698-$N$48))="",0,INDEX($AD$176:$AD$905,($K698-$N$48)))&gt;0,IF(INDEX($AD$176:$AD$905,($K698-$N$48))="",0,INDEX($AD$176:$AD$905,($K698-$N$48))),0))="",0,IF(($K698-$N$48)&lt;1,0,IF(IF(INDEX($AD$176:$AD$905,($K698-$N$48))="",0,INDEX($AD$176:$AD$905,($K698-$N$48)))&gt;0,IF(INDEX($AD$176:$AD$905,($K698-$N$48))="",0,INDEX($AD$176:$AD$905,($K698-$N$48))),0)))=0,"",IF(AND($P697="",$P698=1),($N$37*-1),0)+IF(AND($Q697="",$Q698=1),($N$38*-1),0)+IF(IF(($K698-$N$48)&lt;1,0,IF(IF(INDEX($AD$176:$AD$905,($K698-$N$48))="",0,INDEX($AD$176:$AD$905,($K698-$N$48)))&gt;0,IF(INDEX($AD$176:$AD$905,($K698-$N$48))="",0,INDEX($AD$176:$AD$905,($K698-$N$48))),0))="",0,IF(($K698-$N$48)&lt;1,0,IF(IF(INDEX($AD$176:$AD$905,($K698-$N$48))="",0,INDEX($AD$176:$AD$905,($K698-$N$48)))&gt;0,IF(INDEX($AD$176:$AD$905,($K698-$N$48))="",0,INDEX($AD$176:$AD$905,($K698-$N$48))),0))))</f>
        <v/>
      </c>
      <c r="AC698" s="22" t="str">
        <f t="shared" si="204"/>
        <v/>
      </c>
      <c r="AD698" s="22" t="str">
        <f t="shared" si="195"/>
        <v/>
      </c>
      <c r="AE698" s="22" t="str" cm="1">
        <f t="array" ref="AE698">IF(($K698-$N$48)&lt;1,"",IF((IF(INDEX($AC$176:$AC$905,($K698-$N$48))="",0,INDEX($AC$176:$AC$905,($K698-$N$48))))=0,"",(IF(INDEX($AC$176:$AC$905,($K698-$N$48))="",0,INDEX($AC$176:$AC$905,($K698-$N$48))))))</f>
        <v/>
      </c>
      <c r="AF698" s="31" t="str">
        <f t="shared" si="205"/>
        <v/>
      </c>
      <c r="AG698" s="31" t="str">
        <f t="shared" si="206"/>
        <v/>
      </c>
      <c r="AH698" s="31" t="str">
        <f t="shared" si="207"/>
        <v/>
      </c>
      <c r="AI698" s="31" t="str">
        <f t="shared" si="208"/>
        <v/>
      </c>
      <c r="AJ698" s="303" t="str">
        <f t="shared" si="209"/>
        <v/>
      </c>
      <c r="AK698" s="139" t="str">
        <f t="shared" si="210"/>
        <v/>
      </c>
      <c r="AM698" s="319"/>
      <c r="AN698" s="40"/>
      <c r="AO698" s="1"/>
    </row>
    <row r="699" spans="7:41" x14ac:dyDescent="0.25">
      <c r="G699" s="235" t="str">
        <f t="shared" si="196"/>
        <v/>
      </c>
      <c r="H699" s="4" t="str">
        <f t="shared" si="197"/>
        <v/>
      </c>
      <c r="I699" s="11" t="str">
        <f t="shared" si="198"/>
        <v>09.00</v>
      </c>
      <c r="K699" s="30">
        <v>524</v>
      </c>
      <c r="L699" s="29">
        <f t="shared" si="211"/>
        <v>11371.908376190917</v>
      </c>
      <c r="M699" s="28" t="str">
        <f t="shared" si="199"/>
        <v/>
      </c>
      <c r="N699" s="27" t="str">
        <f t="shared" si="212"/>
        <v/>
      </c>
      <c r="O699" s="26" t="str">
        <f>IF(AND($Q698=$O$38,IFERROR(LARGE($V$176:$V698,1)&lt;$N$42,TRUE)),1,IF(AND(ISNUMBER($O698),$O698&lt;$N$32),$O698+1,""))</f>
        <v/>
      </c>
      <c r="P699" s="26" t="str">
        <f t="shared" si="213"/>
        <v/>
      </c>
      <c r="Q699" s="26" t="str">
        <f t="shared" si="200"/>
        <v/>
      </c>
      <c r="R699" s="24" t="str">
        <f t="shared" si="214"/>
        <v/>
      </c>
      <c r="S699" s="180">
        <f t="shared" si="194"/>
        <v>9</v>
      </c>
      <c r="T699" s="151"/>
      <c r="U699" s="25" t="str">
        <f t="shared" si="201"/>
        <v/>
      </c>
      <c r="V699" s="24" t="str">
        <f>IF(AND(ISNUMBER(R698),ISNUMBER(R699)),V698,IF(AND(R698="",ISNUMBER(R699)),IFERROR(LARGE($V$176:$V698,1)+1,0),""))</f>
        <v/>
      </c>
      <c r="W699" s="23" t="str">
        <f t="shared" si="202"/>
        <v/>
      </c>
      <c r="X699" s="22" t="str">
        <f t="shared" si="203"/>
        <v/>
      </c>
      <c r="Y699" s="22"/>
      <c r="Z699" s="22"/>
      <c r="AA699" s="22"/>
      <c r="AB699" s="22" t="str" cm="1">
        <f t="array" ref="AB699">IF(IF(AND($P698="",$P699=1),($N$37*-1),0)+IF(AND($Q698="",$Q699=1),($N$38*-1),0)+IF(IF(($K699-$N$48)&lt;1,0,IF(IF(INDEX($AD$176:$AD$905,($K699-$N$48))="",0,INDEX($AD$176:$AD$905,($K699-$N$48)))&gt;0,IF(INDEX($AD$176:$AD$905,($K699-$N$48))="",0,INDEX($AD$176:$AD$905,($K699-$N$48))),0))="",0,IF(($K699-$N$48)&lt;1,0,IF(IF(INDEX($AD$176:$AD$905,($K699-$N$48))="",0,INDEX($AD$176:$AD$905,($K699-$N$48)))&gt;0,IF(INDEX($AD$176:$AD$905,($K699-$N$48))="",0,INDEX($AD$176:$AD$905,($K699-$N$48))),0)))=0,"",IF(AND($P698="",$P699=1),($N$37*-1),0)+IF(AND($Q698="",$Q699=1),($N$38*-1),0)+IF(IF(($K699-$N$48)&lt;1,0,IF(IF(INDEX($AD$176:$AD$905,($K699-$N$48))="",0,INDEX($AD$176:$AD$905,($K699-$N$48)))&gt;0,IF(INDEX($AD$176:$AD$905,($K699-$N$48))="",0,INDEX($AD$176:$AD$905,($K699-$N$48))),0))="",0,IF(($K699-$N$48)&lt;1,0,IF(IF(INDEX($AD$176:$AD$905,($K699-$N$48))="",0,INDEX($AD$176:$AD$905,($K699-$N$48)))&gt;0,IF(INDEX($AD$176:$AD$905,($K699-$N$48))="",0,INDEX($AD$176:$AD$905,($K699-$N$48))),0))))</f>
        <v/>
      </c>
      <c r="AC699" s="22" t="str">
        <f t="shared" si="204"/>
        <v/>
      </c>
      <c r="AD699" s="22" t="str">
        <f t="shared" si="195"/>
        <v/>
      </c>
      <c r="AE699" s="22" t="str" cm="1">
        <f t="array" ref="AE699">IF(($K699-$N$48)&lt;1,"",IF((IF(INDEX($AC$176:$AC$905,($K699-$N$48))="",0,INDEX($AC$176:$AC$905,($K699-$N$48))))=0,"",(IF(INDEX($AC$176:$AC$905,($K699-$N$48))="",0,INDEX($AC$176:$AC$905,($K699-$N$48))))))</f>
        <v/>
      </c>
      <c r="AF699" s="31" t="str">
        <f t="shared" si="205"/>
        <v/>
      </c>
      <c r="AG699" s="31" t="str">
        <f t="shared" si="206"/>
        <v/>
      </c>
      <c r="AH699" s="31" t="str">
        <f t="shared" si="207"/>
        <v/>
      </c>
      <c r="AI699" s="31" t="str">
        <f t="shared" si="208"/>
        <v/>
      </c>
      <c r="AJ699" s="303" t="str">
        <f t="shared" si="209"/>
        <v/>
      </c>
      <c r="AK699" s="139" t="str">
        <f t="shared" si="210"/>
        <v/>
      </c>
      <c r="AM699" s="319"/>
      <c r="AN699" s="40"/>
      <c r="AO699" s="1"/>
    </row>
    <row r="700" spans="7:41" x14ac:dyDescent="0.25">
      <c r="G700" s="235" t="str">
        <f t="shared" si="196"/>
        <v/>
      </c>
      <c r="H700" s="4" t="str">
        <f t="shared" si="197"/>
        <v/>
      </c>
      <c r="I700" s="11" t="str">
        <f t="shared" si="198"/>
        <v>09.00</v>
      </c>
      <c r="K700" s="30">
        <v>525</v>
      </c>
      <c r="L700" s="29">
        <f t="shared" si="211"/>
        <v>11371.908376190917</v>
      </c>
      <c r="M700" s="28" t="str">
        <f t="shared" si="199"/>
        <v/>
      </c>
      <c r="N700" s="27" t="str">
        <f t="shared" si="212"/>
        <v/>
      </c>
      <c r="O700" s="26" t="str">
        <f>IF(AND($Q699=$O$38,IFERROR(LARGE($V$176:$V699,1)&lt;$N$42,TRUE)),1,IF(AND(ISNUMBER($O699),$O699&lt;$N$32),$O699+1,""))</f>
        <v/>
      </c>
      <c r="P700" s="26" t="str">
        <f t="shared" si="213"/>
        <v/>
      </c>
      <c r="Q700" s="26" t="str">
        <f t="shared" si="200"/>
        <v/>
      </c>
      <c r="R700" s="24" t="str">
        <f t="shared" si="214"/>
        <v/>
      </c>
      <c r="S700" s="180">
        <f t="shared" ref="S700:S763" si="215">IF($Q700=1,ROUNDDOWN($S699,0)+1,IF($R700=1,$S699+0.01,IF(ISNUMBER($U700),IF(AND($U700&gt;1,($U700-$U699)=1),$S699+0.01,$S699),$S699)))</f>
        <v>9</v>
      </c>
      <c r="T700" s="151"/>
      <c r="U700" s="25" t="str">
        <f t="shared" si="201"/>
        <v/>
      </c>
      <c r="V700" s="24" t="str">
        <f>IF(AND(ISNUMBER(R699),ISNUMBER(R700)),V699,IF(AND(R699="",ISNUMBER(R700)),IFERROR(LARGE($V$176:$V699,1)+1,0),""))</f>
        <v/>
      </c>
      <c r="W700" s="23" t="str">
        <f t="shared" si="202"/>
        <v/>
      </c>
      <c r="X700" s="22" t="str">
        <f t="shared" si="203"/>
        <v/>
      </c>
      <c r="Y700" s="22"/>
      <c r="Z700" s="22"/>
      <c r="AA700" s="22"/>
      <c r="AB700" s="22" t="str" cm="1">
        <f t="array" ref="AB700">IF(IF(AND($P699="",$P700=1),($N$37*-1),0)+IF(AND($Q699="",$Q700=1),($N$38*-1),0)+IF(IF(($K700-$N$48)&lt;1,0,IF(IF(INDEX($AD$176:$AD$905,($K700-$N$48))="",0,INDEX($AD$176:$AD$905,($K700-$N$48)))&gt;0,IF(INDEX($AD$176:$AD$905,($K700-$N$48))="",0,INDEX($AD$176:$AD$905,($K700-$N$48))),0))="",0,IF(($K700-$N$48)&lt;1,0,IF(IF(INDEX($AD$176:$AD$905,($K700-$N$48))="",0,INDEX($AD$176:$AD$905,($K700-$N$48)))&gt;0,IF(INDEX($AD$176:$AD$905,($K700-$N$48))="",0,INDEX($AD$176:$AD$905,($K700-$N$48))),0)))=0,"",IF(AND($P699="",$P700=1),($N$37*-1),0)+IF(AND($Q699="",$Q700=1),($N$38*-1),0)+IF(IF(($K700-$N$48)&lt;1,0,IF(IF(INDEX($AD$176:$AD$905,($K700-$N$48))="",0,INDEX($AD$176:$AD$905,($K700-$N$48)))&gt;0,IF(INDEX($AD$176:$AD$905,($K700-$N$48))="",0,INDEX($AD$176:$AD$905,($K700-$N$48))),0))="",0,IF(($K700-$N$48)&lt;1,0,IF(IF(INDEX($AD$176:$AD$905,($K700-$N$48))="",0,INDEX($AD$176:$AD$905,($K700-$N$48)))&gt;0,IF(INDEX($AD$176:$AD$905,($K700-$N$48))="",0,INDEX($AD$176:$AD$905,($K700-$N$48))),0))))</f>
        <v/>
      </c>
      <c r="AC700" s="22" t="str">
        <f t="shared" si="204"/>
        <v/>
      </c>
      <c r="AD700" s="22" t="str">
        <f t="shared" si="195"/>
        <v/>
      </c>
      <c r="AE700" s="22" t="str" cm="1">
        <f t="array" ref="AE700">IF(($K700-$N$48)&lt;1,"",IF((IF(INDEX($AC$176:$AC$905,($K700-$N$48))="",0,INDEX($AC$176:$AC$905,($K700-$N$48))))=0,"",(IF(INDEX($AC$176:$AC$905,($K700-$N$48))="",0,INDEX($AC$176:$AC$905,($K700-$N$48))))))</f>
        <v/>
      </c>
      <c r="AF700" s="31" t="str">
        <f t="shared" si="205"/>
        <v/>
      </c>
      <c r="AG700" s="31" t="str">
        <f t="shared" si="206"/>
        <v/>
      </c>
      <c r="AH700" s="31" t="str">
        <f t="shared" si="207"/>
        <v/>
      </c>
      <c r="AI700" s="31" t="str">
        <f t="shared" si="208"/>
        <v/>
      </c>
      <c r="AJ700" s="303" t="str">
        <f t="shared" si="209"/>
        <v/>
      </c>
      <c r="AK700" s="139" t="str">
        <f t="shared" si="210"/>
        <v/>
      </c>
      <c r="AM700" s="319"/>
      <c r="AN700" s="40"/>
      <c r="AO700" s="1"/>
    </row>
    <row r="701" spans="7:41" x14ac:dyDescent="0.25">
      <c r="G701" s="235" t="str">
        <f t="shared" si="196"/>
        <v/>
      </c>
      <c r="H701" s="4" t="str">
        <f t="shared" si="197"/>
        <v/>
      </c>
      <c r="I701" s="11" t="str">
        <f t="shared" si="198"/>
        <v>09.00</v>
      </c>
      <c r="K701" s="30">
        <v>526</v>
      </c>
      <c r="L701" s="29">
        <f t="shared" si="211"/>
        <v>11371.908376190917</v>
      </c>
      <c r="M701" s="28" t="str">
        <f t="shared" si="199"/>
        <v/>
      </c>
      <c r="N701" s="27" t="str">
        <f t="shared" si="212"/>
        <v/>
      </c>
      <c r="O701" s="26" t="str">
        <f>IF(AND($Q700=$O$38,IFERROR(LARGE($V$176:$V700,1)&lt;$N$42,TRUE)),1,IF(AND(ISNUMBER($O700),$O700&lt;$N$32),$O700+1,""))</f>
        <v/>
      </c>
      <c r="P701" s="26" t="str">
        <f t="shared" si="213"/>
        <v/>
      </c>
      <c r="Q701" s="26" t="str">
        <f t="shared" si="200"/>
        <v/>
      </c>
      <c r="R701" s="24" t="str">
        <f t="shared" si="214"/>
        <v/>
      </c>
      <c r="S701" s="180">
        <f t="shared" si="215"/>
        <v>9</v>
      </c>
      <c r="T701" s="151"/>
      <c r="U701" s="25" t="str">
        <f t="shared" si="201"/>
        <v/>
      </c>
      <c r="V701" s="24" t="str">
        <f>IF(AND(ISNUMBER(R700),ISNUMBER(R701)),V700,IF(AND(R700="",ISNUMBER(R701)),IFERROR(LARGE($V$176:$V700,1)+1,0),""))</f>
        <v/>
      </c>
      <c r="W701" s="23" t="str">
        <f t="shared" si="202"/>
        <v/>
      </c>
      <c r="X701" s="22" t="str">
        <f t="shared" si="203"/>
        <v/>
      </c>
      <c r="Y701" s="22"/>
      <c r="Z701" s="22"/>
      <c r="AA701" s="22"/>
      <c r="AB701" s="22" t="str" cm="1">
        <f t="array" ref="AB701">IF(IF(AND($P700="",$P701=1),($N$37*-1),0)+IF(AND($Q700="",$Q701=1),($N$38*-1),0)+IF(IF(($K701-$N$48)&lt;1,0,IF(IF(INDEX($AD$176:$AD$905,($K701-$N$48))="",0,INDEX($AD$176:$AD$905,($K701-$N$48)))&gt;0,IF(INDEX($AD$176:$AD$905,($K701-$N$48))="",0,INDEX($AD$176:$AD$905,($K701-$N$48))),0))="",0,IF(($K701-$N$48)&lt;1,0,IF(IF(INDEX($AD$176:$AD$905,($K701-$N$48))="",0,INDEX($AD$176:$AD$905,($K701-$N$48)))&gt;0,IF(INDEX($AD$176:$AD$905,($K701-$N$48))="",0,INDEX($AD$176:$AD$905,($K701-$N$48))),0)))=0,"",IF(AND($P700="",$P701=1),($N$37*-1),0)+IF(AND($Q700="",$Q701=1),($N$38*-1),0)+IF(IF(($K701-$N$48)&lt;1,0,IF(IF(INDEX($AD$176:$AD$905,($K701-$N$48))="",0,INDEX($AD$176:$AD$905,($K701-$N$48)))&gt;0,IF(INDEX($AD$176:$AD$905,($K701-$N$48))="",0,INDEX($AD$176:$AD$905,($K701-$N$48))),0))="",0,IF(($K701-$N$48)&lt;1,0,IF(IF(INDEX($AD$176:$AD$905,($K701-$N$48))="",0,INDEX($AD$176:$AD$905,($K701-$N$48)))&gt;0,IF(INDEX($AD$176:$AD$905,($K701-$N$48))="",0,INDEX($AD$176:$AD$905,($K701-$N$48))),0))))</f>
        <v/>
      </c>
      <c r="AC701" s="22" t="str">
        <f t="shared" si="204"/>
        <v/>
      </c>
      <c r="AD701" s="22" t="str">
        <f t="shared" si="195"/>
        <v/>
      </c>
      <c r="AE701" s="22" t="str" cm="1">
        <f t="array" ref="AE701">IF(($K701-$N$48)&lt;1,"",IF((IF(INDEX($AC$176:$AC$905,($K701-$N$48))="",0,INDEX($AC$176:$AC$905,($K701-$N$48))))=0,"",(IF(INDEX($AC$176:$AC$905,($K701-$N$48))="",0,INDEX($AC$176:$AC$905,($K701-$N$48))))))</f>
        <v/>
      </c>
      <c r="AF701" s="31" t="str">
        <f t="shared" si="205"/>
        <v/>
      </c>
      <c r="AG701" s="31" t="str">
        <f t="shared" si="206"/>
        <v/>
      </c>
      <c r="AH701" s="31" t="str">
        <f t="shared" si="207"/>
        <v/>
      </c>
      <c r="AI701" s="31" t="str">
        <f t="shared" si="208"/>
        <v/>
      </c>
      <c r="AJ701" s="303" t="str">
        <f t="shared" si="209"/>
        <v/>
      </c>
      <c r="AK701" s="139" t="str">
        <f t="shared" si="210"/>
        <v/>
      </c>
      <c r="AM701" s="319"/>
      <c r="AN701" s="40"/>
      <c r="AO701" s="1"/>
    </row>
    <row r="702" spans="7:41" x14ac:dyDescent="0.25">
      <c r="G702" s="235" t="str">
        <f t="shared" si="196"/>
        <v/>
      </c>
      <c r="H702" s="4" t="str">
        <f t="shared" si="197"/>
        <v/>
      </c>
      <c r="I702" s="11" t="str">
        <f t="shared" si="198"/>
        <v>09.00</v>
      </c>
      <c r="K702" s="30">
        <v>527</v>
      </c>
      <c r="L702" s="29">
        <f t="shared" si="211"/>
        <v>11371.908376190917</v>
      </c>
      <c r="M702" s="28" t="str">
        <f t="shared" si="199"/>
        <v/>
      </c>
      <c r="N702" s="27" t="str">
        <f t="shared" si="212"/>
        <v/>
      </c>
      <c r="O702" s="26" t="str">
        <f>IF(AND($Q701=$O$38,IFERROR(LARGE($V$176:$V701,1)&lt;$N$42,TRUE)),1,IF(AND(ISNUMBER($O701),$O701&lt;$N$32),$O701+1,""))</f>
        <v/>
      </c>
      <c r="P702" s="26" t="str">
        <f t="shared" si="213"/>
        <v/>
      </c>
      <c r="Q702" s="26" t="str">
        <f t="shared" si="200"/>
        <v/>
      </c>
      <c r="R702" s="24" t="str">
        <f t="shared" si="214"/>
        <v/>
      </c>
      <c r="S702" s="180">
        <f t="shared" si="215"/>
        <v>9</v>
      </c>
      <c r="T702" s="151"/>
      <c r="U702" s="25" t="str">
        <f t="shared" si="201"/>
        <v/>
      </c>
      <c r="V702" s="24" t="str">
        <f>IF(AND(ISNUMBER(R701),ISNUMBER(R702)),V701,IF(AND(R701="",ISNUMBER(R702)),IFERROR(LARGE($V$176:$V701,1)+1,0),""))</f>
        <v/>
      </c>
      <c r="W702" s="23" t="str">
        <f t="shared" si="202"/>
        <v/>
      </c>
      <c r="X702" s="22" t="str">
        <f t="shared" si="203"/>
        <v/>
      </c>
      <c r="Y702" s="22"/>
      <c r="Z702" s="22"/>
      <c r="AA702" s="22"/>
      <c r="AB702" s="22" t="str" cm="1">
        <f t="array" ref="AB702">IF(IF(AND($P701="",$P702=1),($N$37*-1),0)+IF(AND($Q701="",$Q702=1),($N$38*-1),0)+IF(IF(($K702-$N$48)&lt;1,0,IF(IF(INDEX($AD$176:$AD$905,($K702-$N$48))="",0,INDEX($AD$176:$AD$905,($K702-$N$48)))&gt;0,IF(INDEX($AD$176:$AD$905,($K702-$N$48))="",0,INDEX($AD$176:$AD$905,($K702-$N$48))),0))="",0,IF(($K702-$N$48)&lt;1,0,IF(IF(INDEX($AD$176:$AD$905,($K702-$N$48))="",0,INDEX($AD$176:$AD$905,($K702-$N$48)))&gt;0,IF(INDEX($AD$176:$AD$905,($K702-$N$48))="",0,INDEX($AD$176:$AD$905,($K702-$N$48))),0)))=0,"",IF(AND($P701="",$P702=1),($N$37*-1),0)+IF(AND($Q701="",$Q702=1),($N$38*-1),0)+IF(IF(($K702-$N$48)&lt;1,0,IF(IF(INDEX($AD$176:$AD$905,($K702-$N$48))="",0,INDEX($AD$176:$AD$905,($K702-$N$48)))&gt;0,IF(INDEX($AD$176:$AD$905,($K702-$N$48))="",0,INDEX($AD$176:$AD$905,($K702-$N$48))),0))="",0,IF(($K702-$N$48)&lt;1,0,IF(IF(INDEX($AD$176:$AD$905,($K702-$N$48))="",0,INDEX($AD$176:$AD$905,($K702-$N$48)))&gt;0,IF(INDEX($AD$176:$AD$905,($K702-$N$48))="",0,INDEX($AD$176:$AD$905,($K702-$N$48))),0))))</f>
        <v/>
      </c>
      <c r="AC702" s="22" t="str">
        <f t="shared" si="204"/>
        <v/>
      </c>
      <c r="AD702" s="22" t="str">
        <f t="shared" si="195"/>
        <v/>
      </c>
      <c r="AE702" s="22" t="str" cm="1">
        <f t="array" ref="AE702">IF(($K702-$N$48)&lt;1,"",IF((IF(INDEX($AC$176:$AC$905,($K702-$N$48))="",0,INDEX($AC$176:$AC$905,($K702-$N$48))))=0,"",(IF(INDEX($AC$176:$AC$905,($K702-$N$48))="",0,INDEX($AC$176:$AC$905,($K702-$N$48))))))</f>
        <v/>
      </c>
      <c r="AF702" s="31" t="str">
        <f t="shared" si="205"/>
        <v/>
      </c>
      <c r="AG702" s="31" t="str">
        <f t="shared" si="206"/>
        <v/>
      </c>
      <c r="AH702" s="31" t="str">
        <f t="shared" si="207"/>
        <v/>
      </c>
      <c r="AI702" s="31" t="str">
        <f t="shared" si="208"/>
        <v/>
      </c>
      <c r="AJ702" s="303" t="str">
        <f t="shared" si="209"/>
        <v/>
      </c>
      <c r="AK702" s="139" t="str">
        <f t="shared" si="210"/>
        <v/>
      </c>
      <c r="AM702" s="319"/>
      <c r="AN702" s="40"/>
      <c r="AO702" s="1"/>
    </row>
    <row r="703" spans="7:41" x14ac:dyDescent="0.25">
      <c r="G703" s="235" t="str">
        <f t="shared" si="196"/>
        <v/>
      </c>
      <c r="H703" s="4" t="str">
        <f t="shared" si="197"/>
        <v/>
      </c>
      <c r="I703" s="11" t="str">
        <f t="shared" si="198"/>
        <v>09.00</v>
      </c>
      <c r="K703" s="30">
        <v>528</v>
      </c>
      <c r="L703" s="29">
        <f t="shared" si="211"/>
        <v>11371.908376190917</v>
      </c>
      <c r="M703" s="28" t="str">
        <f t="shared" si="199"/>
        <v/>
      </c>
      <c r="N703" s="27" t="str">
        <f t="shared" si="212"/>
        <v/>
      </c>
      <c r="O703" s="26" t="str">
        <f>IF(AND($Q702=$O$38,IFERROR(LARGE($V$176:$V702,1)&lt;$N$42,TRUE)),1,IF(AND(ISNUMBER($O702),$O702&lt;$N$32),$O702+1,""))</f>
        <v/>
      </c>
      <c r="P703" s="26" t="str">
        <f t="shared" si="213"/>
        <v/>
      </c>
      <c r="Q703" s="26" t="str">
        <f t="shared" si="200"/>
        <v/>
      </c>
      <c r="R703" s="24" t="str">
        <f t="shared" si="214"/>
        <v/>
      </c>
      <c r="S703" s="180">
        <f t="shared" si="215"/>
        <v>9</v>
      </c>
      <c r="T703" s="151"/>
      <c r="U703" s="25" t="str">
        <f t="shared" si="201"/>
        <v/>
      </c>
      <c r="V703" s="24" t="str">
        <f>IF(AND(ISNUMBER(R702),ISNUMBER(R703)),V702,IF(AND(R702="",ISNUMBER(R703)),IFERROR(LARGE($V$176:$V702,1)+1,0),""))</f>
        <v/>
      </c>
      <c r="W703" s="23" t="str">
        <f t="shared" si="202"/>
        <v/>
      </c>
      <c r="X703" s="22" t="str">
        <f t="shared" si="203"/>
        <v/>
      </c>
      <c r="Y703" s="22"/>
      <c r="Z703" s="22"/>
      <c r="AA703" s="22"/>
      <c r="AB703" s="22" t="str" cm="1">
        <f t="array" ref="AB703">IF(IF(AND($P702="",$P703=1),($N$37*-1),0)+IF(AND($Q702="",$Q703=1),($N$38*-1),0)+IF(IF(($K703-$N$48)&lt;1,0,IF(IF(INDEX($AD$176:$AD$905,($K703-$N$48))="",0,INDEX($AD$176:$AD$905,($K703-$N$48)))&gt;0,IF(INDEX($AD$176:$AD$905,($K703-$N$48))="",0,INDEX($AD$176:$AD$905,($K703-$N$48))),0))="",0,IF(($K703-$N$48)&lt;1,0,IF(IF(INDEX($AD$176:$AD$905,($K703-$N$48))="",0,INDEX($AD$176:$AD$905,($K703-$N$48)))&gt;0,IF(INDEX($AD$176:$AD$905,($K703-$N$48))="",0,INDEX($AD$176:$AD$905,($K703-$N$48))),0)))=0,"",IF(AND($P702="",$P703=1),($N$37*-1),0)+IF(AND($Q702="",$Q703=1),($N$38*-1),0)+IF(IF(($K703-$N$48)&lt;1,0,IF(IF(INDEX($AD$176:$AD$905,($K703-$N$48))="",0,INDEX($AD$176:$AD$905,($K703-$N$48)))&gt;0,IF(INDEX($AD$176:$AD$905,($K703-$N$48))="",0,INDEX($AD$176:$AD$905,($K703-$N$48))),0))="",0,IF(($K703-$N$48)&lt;1,0,IF(IF(INDEX($AD$176:$AD$905,($K703-$N$48))="",0,INDEX($AD$176:$AD$905,($K703-$N$48)))&gt;0,IF(INDEX($AD$176:$AD$905,($K703-$N$48))="",0,INDEX($AD$176:$AD$905,($K703-$N$48))),0))))</f>
        <v/>
      </c>
      <c r="AC703" s="22" t="str">
        <f t="shared" si="204"/>
        <v/>
      </c>
      <c r="AD703" s="22" t="str">
        <f t="shared" si="195"/>
        <v/>
      </c>
      <c r="AE703" s="22" t="str" cm="1">
        <f t="array" ref="AE703">IF(($K703-$N$48)&lt;1,"",IF((IF(INDEX($AC$176:$AC$905,($K703-$N$48))="",0,INDEX($AC$176:$AC$905,($K703-$N$48))))=0,"",(IF(INDEX($AC$176:$AC$905,($K703-$N$48))="",0,INDEX($AC$176:$AC$905,($K703-$N$48))))))</f>
        <v/>
      </c>
      <c r="AF703" s="31" t="str">
        <f t="shared" si="205"/>
        <v/>
      </c>
      <c r="AG703" s="31" t="str">
        <f t="shared" si="206"/>
        <v/>
      </c>
      <c r="AH703" s="31" t="str">
        <f t="shared" si="207"/>
        <v/>
      </c>
      <c r="AI703" s="31" t="str">
        <f t="shared" si="208"/>
        <v/>
      </c>
      <c r="AJ703" s="303" t="str">
        <f t="shared" si="209"/>
        <v/>
      </c>
      <c r="AK703" s="139" t="str">
        <f t="shared" si="210"/>
        <v/>
      </c>
      <c r="AM703" s="319"/>
      <c r="AN703" s="40"/>
      <c r="AO703" s="1"/>
    </row>
    <row r="704" spans="7:41" x14ac:dyDescent="0.25">
      <c r="G704" s="235" t="str">
        <f t="shared" si="196"/>
        <v/>
      </c>
      <c r="H704" s="4" t="str">
        <f t="shared" si="197"/>
        <v/>
      </c>
      <c r="I704" s="11" t="str">
        <f t="shared" si="198"/>
        <v>09.00</v>
      </c>
      <c r="K704" s="30">
        <v>529</v>
      </c>
      <c r="L704" s="29">
        <f t="shared" si="211"/>
        <v>11371.908376190917</v>
      </c>
      <c r="M704" s="28" t="str">
        <f t="shared" si="199"/>
        <v/>
      </c>
      <c r="N704" s="27" t="str">
        <f t="shared" si="212"/>
        <v/>
      </c>
      <c r="O704" s="26" t="str">
        <f>IF(AND($Q703=$O$38,IFERROR(LARGE($V$176:$V703,1)&lt;$N$42,TRUE)),1,IF(AND(ISNUMBER($O703),$O703&lt;$N$32),$O703+1,""))</f>
        <v/>
      </c>
      <c r="P704" s="26" t="str">
        <f t="shared" si="213"/>
        <v/>
      </c>
      <c r="Q704" s="26" t="str">
        <f t="shared" si="200"/>
        <v/>
      </c>
      <c r="R704" s="24" t="str">
        <f t="shared" si="214"/>
        <v/>
      </c>
      <c r="S704" s="180">
        <f t="shared" si="215"/>
        <v>9</v>
      </c>
      <c r="T704" s="151"/>
      <c r="U704" s="25" t="str">
        <f t="shared" si="201"/>
        <v/>
      </c>
      <c r="V704" s="24" t="str">
        <f>IF(AND(ISNUMBER(R703),ISNUMBER(R704)),V703,IF(AND(R703="",ISNUMBER(R704)),IFERROR(LARGE($V$176:$V703,1)+1,0),""))</f>
        <v/>
      </c>
      <c r="W704" s="23" t="str">
        <f t="shared" si="202"/>
        <v/>
      </c>
      <c r="X704" s="22" t="str">
        <f t="shared" si="203"/>
        <v/>
      </c>
      <c r="Y704" s="22"/>
      <c r="Z704" s="22"/>
      <c r="AA704" s="22"/>
      <c r="AB704" s="22" t="str" cm="1">
        <f t="array" ref="AB704">IF(IF(AND($P703="",$P704=1),($N$37*-1),0)+IF(AND($Q703="",$Q704=1),($N$38*-1),0)+IF(IF(($K704-$N$48)&lt;1,0,IF(IF(INDEX($AD$176:$AD$905,($K704-$N$48))="",0,INDEX($AD$176:$AD$905,($K704-$N$48)))&gt;0,IF(INDEX($AD$176:$AD$905,($K704-$N$48))="",0,INDEX($AD$176:$AD$905,($K704-$N$48))),0))="",0,IF(($K704-$N$48)&lt;1,0,IF(IF(INDEX($AD$176:$AD$905,($K704-$N$48))="",0,INDEX($AD$176:$AD$905,($K704-$N$48)))&gt;0,IF(INDEX($AD$176:$AD$905,($K704-$N$48))="",0,INDEX($AD$176:$AD$905,($K704-$N$48))),0)))=0,"",IF(AND($P703="",$P704=1),($N$37*-1),0)+IF(AND($Q703="",$Q704=1),($N$38*-1),0)+IF(IF(($K704-$N$48)&lt;1,0,IF(IF(INDEX($AD$176:$AD$905,($K704-$N$48))="",0,INDEX($AD$176:$AD$905,($K704-$N$48)))&gt;0,IF(INDEX($AD$176:$AD$905,($K704-$N$48))="",0,INDEX($AD$176:$AD$905,($K704-$N$48))),0))="",0,IF(($K704-$N$48)&lt;1,0,IF(IF(INDEX($AD$176:$AD$905,($K704-$N$48))="",0,INDEX($AD$176:$AD$905,($K704-$N$48)))&gt;0,IF(INDEX($AD$176:$AD$905,($K704-$N$48))="",0,INDEX($AD$176:$AD$905,($K704-$N$48))),0))))</f>
        <v/>
      </c>
      <c r="AC704" s="22" t="str">
        <f t="shared" si="204"/>
        <v/>
      </c>
      <c r="AD704" s="22" t="str">
        <f t="shared" ref="AD704:AD767" si="216">IF(IF(OR(AND(ISNUMBER($U704),IF(ISNUMBER($U705),$U705,0)-IF(ISNUMBER($U704),$U704,0)=1),AND(ISNUMBER($U704),$U705="")),IF($U704=1,$P$37,0),0)=0,"",IF(OR(AND(ISNUMBER($U704),IF(ISNUMBER($U705),$U705,0)-IF(ISNUMBER($U704),$U704,0)=1),AND(ISNUMBER($U704),$U705="")),IF($U704=1,$P$37,0),0))</f>
        <v/>
      </c>
      <c r="AE704" s="22" t="str" cm="1">
        <f t="array" ref="AE704">IF(($K704-$N$48)&lt;1,"",IF((IF(INDEX($AC$176:$AC$905,($K704-$N$48))="",0,INDEX($AC$176:$AC$905,($K704-$N$48))))=0,"",(IF(INDEX($AC$176:$AC$905,($K704-$N$48))="",0,INDEX($AC$176:$AC$905,($K704-$N$48))))))</f>
        <v/>
      </c>
      <c r="AF704" s="31" t="str">
        <f t="shared" si="205"/>
        <v/>
      </c>
      <c r="AG704" s="31" t="str">
        <f t="shared" si="206"/>
        <v/>
      </c>
      <c r="AH704" s="31" t="str">
        <f t="shared" si="207"/>
        <v/>
      </c>
      <c r="AI704" s="31" t="str">
        <f t="shared" si="208"/>
        <v/>
      </c>
      <c r="AJ704" s="303" t="str">
        <f t="shared" si="209"/>
        <v/>
      </c>
      <c r="AK704" s="139" t="str">
        <f t="shared" si="210"/>
        <v/>
      </c>
      <c r="AM704" s="319"/>
      <c r="AN704" s="40"/>
      <c r="AO704" s="1"/>
    </row>
    <row r="705" spans="7:41" x14ac:dyDescent="0.25">
      <c r="G705" s="235" t="str">
        <f t="shared" si="196"/>
        <v/>
      </c>
      <c r="H705" s="4" t="str">
        <f t="shared" si="197"/>
        <v/>
      </c>
      <c r="I705" s="11" t="str">
        <f t="shared" si="198"/>
        <v>09.00</v>
      </c>
      <c r="K705" s="30">
        <v>530</v>
      </c>
      <c r="L705" s="29">
        <f t="shared" si="211"/>
        <v>11371.908376190917</v>
      </c>
      <c r="M705" s="28" t="str">
        <f t="shared" si="199"/>
        <v/>
      </c>
      <c r="N705" s="27" t="str">
        <f t="shared" si="212"/>
        <v/>
      </c>
      <c r="O705" s="26" t="str">
        <f>IF(AND($Q704=$O$38,IFERROR(LARGE($V$176:$V704,1)&lt;$N$42,TRUE)),1,IF(AND(ISNUMBER($O704),$O704&lt;$N$32),$O704+1,""))</f>
        <v/>
      </c>
      <c r="P705" s="26" t="str">
        <f t="shared" si="213"/>
        <v/>
      </c>
      <c r="Q705" s="26" t="str">
        <f t="shared" si="200"/>
        <v/>
      </c>
      <c r="R705" s="24" t="str">
        <f t="shared" si="214"/>
        <v/>
      </c>
      <c r="S705" s="180">
        <f t="shared" si="215"/>
        <v>9</v>
      </c>
      <c r="T705" s="151"/>
      <c r="U705" s="25" t="str">
        <f t="shared" si="201"/>
        <v/>
      </c>
      <c r="V705" s="24" t="str">
        <f>IF(AND(ISNUMBER(R704),ISNUMBER(R705)),V704,IF(AND(R704="",ISNUMBER(R705)),IFERROR(LARGE($V$176:$V704,1)+1,0),""))</f>
        <v/>
      </c>
      <c r="W705" s="23" t="str">
        <f t="shared" si="202"/>
        <v/>
      </c>
      <c r="X705" s="22" t="str">
        <f t="shared" si="203"/>
        <v/>
      </c>
      <c r="Y705" s="22"/>
      <c r="Z705" s="22"/>
      <c r="AA705" s="22"/>
      <c r="AB705" s="22" t="str" cm="1">
        <f t="array" ref="AB705">IF(IF(AND($P704="",$P705=1),($N$37*-1),0)+IF(AND($Q704="",$Q705=1),($N$38*-1),0)+IF(IF(($K705-$N$48)&lt;1,0,IF(IF(INDEX($AD$176:$AD$905,($K705-$N$48))="",0,INDEX($AD$176:$AD$905,($K705-$N$48)))&gt;0,IF(INDEX($AD$176:$AD$905,($K705-$N$48))="",0,INDEX($AD$176:$AD$905,($K705-$N$48))),0))="",0,IF(($K705-$N$48)&lt;1,0,IF(IF(INDEX($AD$176:$AD$905,($K705-$N$48))="",0,INDEX($AD$176:$AD$905,($K705-$N$48)))&gt;0,IF(INDEX($AD$176:$AD$905,($K705-$N$48))="",0,INDEX($AD$176:$AD$905,($K705-$N$48))),0)))=0,"",IF(AND($P704="",$P705=1),($N$37*-1),0)+IF(AND($Q704="",$Q705=1),($N$38*-1),0)+IF(IF(($K705-$N$48)&lt;1,0,IF(IF(INDEX($AD$176:$AD$905,($K705-$N$48))="",0,INDEX($AD$176:$AD$905,($K705-$N$48)))&gt;0,IF(INDEX($AD$176:$AD$905,($K705-$N$48))="",0,INDEX($AD$176:$AD$905,($K705-$N$48))),0))="",0,IF(($K705-$N$48)&lt;1,0,IF(IF(INDEX($AD$176:$AD$905,($K705-$N$48))="",0,INDEX($AD$176:$AD$905,($K705-$N$48)))&gt;0,IF(INDEX($AD$176:$AD$905,($K705-$N$48))="",0,INDEX($AD$176:$AD$905,($K705-$N$48))),0))))</f>
        <v/>
      </c>
      <c r="AC705" s="22" t="str">
        <f t="shared" si="204"/>
        <v/>
      </c>
      <c r="AD705" s="22" t="str">
        <f t="shared" si="216"/>
        <v/>
      </c>
      <c r="AE705" s="22" t="str" cm="1">
        <f t="array" ref="AE705">IF(($K705-$N$48)&lt;1,"",IF((IF(INDEX($AC$176:$AC$905,($K705-$N$48))="",0,INDEX($AC$176:$AC$905,($K705-$N$48))))=0,"",(IF(INDEX($AC$176:$AC$905,($K705-$N$48))="",0,INDEX($AC$176:$AC$905,($K705-$N$48))))))</f>
        <v/>
      </c>
      <c r="AF705" s="31" t="str">
        <f t="shared" si="205"/>
        <v/>
      </c>
      <c r="AG705" s="31" t="str">
        <f t="shared" si="206"/>
        <v/>
      </c>
      <c r="AH705" s="31" t="str">
        <f t="shared" si="207"/>
        <v/>
      </c>
      <c r="AI705" s="31" t="str">
        <f t="shared" si="208"/>
        <v/>
      </c>
      <c r="AJ705" s="303" t="str">
        <f t="shared" si="209"/>
        <v/>
      </c>
      <c r="AK705" s="139" t="str">
        <f t="shared" si="210"/>
        <v/>
      </c>
      <c r="AM705" s="319"/>
      <c r="AN705" s="40"/>
      <c r="AO705" s="1"/>
    </row>
    <row r="706" spans="7:41" x14ac:dyDescent="0.25">
      <c r="G706" s="235" t="str">
        <f t="shared" si="196"/>
        <v/>
      </c>
      <c r="H706" s="4" t="str">
        <f t="shared" si="197"/>
        <v/>
      </c>
      <c r="I706" s="11" t="str">
        <f t="shared" si="198"/>
        <v>09.00</v>
      </c>
      <c r="K706" s="30">
        <v>531</v>
      </c>
      <c r="L706" s="29">
        <f t="shared" si="211"/>
        <v>11371.908376190917</v>
      </c>
      <c r="M706" s="28" t="str">
        <f t="shared" si="199"/>
        <v/>
      </c>
      <c r="N706" s="27" t="str">
        <f t="shared" si="212"/>
        <v/>
      </c>
      <c r="O706" s="26" t="str">
        <f>IF(AND($Q705=$O$38,IFERROR(LARGE($V$176:$V705,1)&lt;$N$42,TRUE)),1,IF(AND(ISNUMBER($O705),$O705&lt;$N$32),$O705+1,""))</f>
        <v/>
      </c>
      <c r="P706" s="26" t="str">
        <f t="shared" si="213"/>
        <v/>
      </c>
      <c r="Q706" s="26" t="str">
        <f t="shared" si="200"/>
        <v/>
      </c>
      <c r="R706" s="24" t="str">
        <f t="shared" si="214"/>
        <v/>
      </c>
      <c r="S706" s="180">
        <f t="shared" si="215"/>
        <v>9</v>
      </c>
      <c r="T706" s="151"/>
      <c r="U706" s="25" t="str">
        <f t="shared" si="201"/>
        <v/>
      </c>
      <c r="V706" s="24" t="str">
        <f>IF(AND(ISNUMBER(R705),ISNUMBER(R706)),V705,IF(AND(R705="",ISNUMBER(R706)),IFERROR(LARGE($V$176:$V705,1)+1,0),""))</f>
        <v/>
      </c>
      <c r="W706" s="23" t="str">
        <f t="shared" si="202"/>
        <v/>
      </c>
      <c r="X706" s="22" t="str">
        <f t="shared" si="203"/>
        <v/>
      </c>
      <c r="Y706" s="22"/>
      <c r="Z706" s="22"/>
      <c r="AA706" s="22"/>
      <c r="AB706" s="22" t="str" cm="1">
        <f t="array" ref="AB706">IF(IF(AND($P705="",$P706=1),($N$37*-1),0)+IF(AND($Q705="",$Q706=1),($N$38*-1),0)+IF(IF(($K706-$N$48)&lt;1,0,IF(IF(INDEX($AD$176:$AD$905,($K706-$N$48))="",0,INDEX($AD$176:$AD$905,($K706-$N$48)))&gt;0,IF(INDEX($AD$176:$AD$905,($K706-$N$48))="",0,INDEX($AD$176:$AD$905,($K706-$N$48))),0))="",0,IF(($K706-$N$48)&lt;1,0,IF(IF(INDEX($AD$176:$AD$905,($K706-$N$48))="",0,INDEX($AD$176:$AD$905,($K706-$N$48)))&gt;0,IF(INDEX($AD$176:$AD$905,($K706-$N$48))="",0,INDEX($AD$176:$AD$905,($K706-$N$48))),0)))=0,"",IF(AND($P705="",$P706=1),($N$37*-1),0)+IF(AND($Q705="",$Q706=1),($N$38*-1),0)+IF(IF(($K706-$N$48)&lt;1,0,IF(IF(INDEX($AD$176:$AD$905,($K706-$N$48))="",0,INDEX($AD$176:$AD$905,($K706-$N$48)))&gt;0,IF(INDEX($AD$176:$AD$905,($K706-$N$48))="",0,INDEX($AD$176:$AD$905,($K706-$N$48))),0))="",0,IF(($K706-$N$48)&lt;1,0,IF(IF(INDEX($AD$176:$AD$905,($K706-$N$48))="",0,INDEX($AD$176:$AD$905,($K706-$N$48)))&gt;0,IF(INDEX($AD$176:$AD$905,($K706-$N$48))="",0,INDEX($AD$176:$AD$905,($K706-$N$48))),0))))</f>
        <v/>
      </c>
      <c r="AC706" s="22" t="str">
        <f t="shared" si="204"/>
        <v/>
      </c>
      <c r="AD706" s="22" t="str">
        <f t="shared" si="216"/>
        <v/>
      </c>
      <c r="AE706" s="22" t="str" cm="1">
        <f t="array" ref="AE706">IF(($K706-$N$48)&lt;1,"",IF((IF(INDEX($AC$176:$AC$905,($K706-$N$48))="",0,INDEX($AC$176:$AC$905,($K706-$N$48))))=0,"",(IF(INDEX($AC$176:$AC$905,($K706-$N$48))="",0,INDEX($AC$176:$AC$905,($K706-$N$48))))))</f>
        <v/>
      </c>
      <c r="AF706" s="31" t="str">
        <f t="shared" si="205"/>
        <v/>
      </c>
      <c r="AG706" s="31" t="str">
        <f t="shared" si="206"/>
        <v/>
      </c>
      <c r="AH706" s="31" t="str">
        <f t="shared" si="207"/>
        <v/>
      </c>
      <c r="AI706" s="31" t="str">
        <f t="shared" si="208"/>
        <v/>
      </c>
      <c r="AJ706" s="303" t="str">
        <f t="shared" si="209"/>
        <v/>
      </c>
      <c r="AK706" s="139" t="str">
        <f t="shared" si="210"/>
        <v/>
      </c>
      <c r="AM706" s="319"/>
      <c r="AN706" s="40"/>
      <c r="AO706" s="1"/>
    </row>
    <row r="707" spans="7:41" x14ac:dyDescent="0.25">
      <c r="G707" s="235" t="str">
        <f t="shared" si="196"/>
        <v/>
      </c>
      <c r="H707" s="4" t="str">
        <f t="shared" si="197"/>
        <v/>
      </c>
      <c r="I707" s="11" t="str">
        <f t="shared" si="198"/>
        <v>09.00</v>
      </c>
      <c r="K707" s="30">
        <v>532</v>
      </c>
      <c r="L707" s="29">
        <f t="shared" si="211"/>
        <v>11371.908376190917</v>
      </c>
      <c r="M707" s="28" t="str">
        <f t="shared" si="199"/>
        <v/>
      </c>
      <c r="N707" s="27" t="str">
        <f t="shared" si="212"/>
        <v/>
      </c>
      <c r="O707" s="26" t="str">
        <f>IF(AND($Q706=$O$38,IFERROR(LARGE($V$176:$V706,1)&lt;$N$42,TRUE)),1,IF(AND(ISNUMBER($O706),$O706&lt;$N$32),$O706+1,""))</f>
        <v/>
      </c>
      <c r="P707" s="26" t="str">
        <f t="shared" si="213"/>
        <v/>
      </c>
      <c r="Q707" s="26" t="str">
        <f t="shared" si="200"/>
        <v/>
      </c>
      <c r="R707" s="24" t="str">
        <f t="shared" si="214"/>
        <v/>
      </c>
      <c r="S707" s="180">
        <f t="shared" si="215"/>
        <v>9</v>
      </c>
      <c r="T707" s="151"/>
      <c r="U707" s="25" t="str">
        <f t="shared" si="201"/>
        <v/>
      </c>
      <c r="V707" s="24" t="str">
        <f>IF(AND(ISNUMBER(R706),ISNUMBER(R707)),V706,IF(AND(R706="",ISNUMBER(R707)),IFERROR(LARGE($V$176:$V706,1)+1,0),""))</f>
        <v/>
      </c>
      <c r="W707" s="23" t="str">
        <f t="shared" si="202"/>
        <v/>
      </c>
      <c r="X707" s="22" t="str">
        <f t="shared" si="203"/>
        <v/>
      </c>
      <c r="Y707" s="22"/>
      <c r="Z707" s="22"/>
      <c r="AA707" s="22"/>
      <c r="AB707" s="22" t="str" cm="1">
        <f t="array" ref="AB707">IF(IF(AND($P706="",$P707=1),($N$37*-1),0)+IF(AND($Q706="",$Q707=1),($N$38*-1),0)+IF(IF(($K707-$N$48)&lt;1,0,IF(IF(INDEX($AD$176:$AD$905,($K707-$N$48))="",0,INDEX($AD$176:$AD$905,($K707-$N$48)))&gt;0,IF(INDEX($AD$176:$AD$905,($K707-$N$48))="",0,INDEX($AD$176:$AD$905,($K707-$N$48))),0))="",0,IF(($K707-$N$48)&lt;1,0,IF(IF(INDEX($AD$176:$AD$905,($K707-$N$48))="",0,INDEX($AD$176:$AD$905,($K707-$N$48)))&gt;0,IF(INDEX($AD$176:$AD$905,($K707-$N$48))="",0,INDEX($AD$176:$AD$905,($K707-$N$48))),0)))=0,"",IF(AND($P706="",$P707=1),($N$37*-1),0)+IF(AND($Q706="",$Q707=1),($N$38*-1),0)+IF(IF(($K707-$N$48)&lt;1,0,IF(IF(INDEX($AD$176:$AD$905,($K707-$N$48))="",0,INDEX($AD$176:$AD$905,($K707-$N$48)))&gt;0,IF(INDEX($AD$176:$AD$905,($K707-$N$48))="",0,INDEX($AD$176:$AD$905,($K707-$N$48))),0))="",0,IF(($K707-$N$48)&lt;1,0,IF(IF(INDEX($AD$176:$AD$905,($K707-$N$48))="",0,INDEX($AD$176:$AD$905,($K707-$N$48)))&gt;0,IF(INDEX($AD$176:$AD$905,($K707-$N$48))="",0,INDEX($AD$176:$AD$905,($K707-$N$48))),0))))</f>
        <v/>
      </c>
      <c r="AC707" s="22" t="str">
        <f t="shared" si="204"/>
        <v/>
      </c>
      <c r="AD707" s="22" t="str">
        <f t="shared" si="216"/>
        <v/>
      </c>
      <c r="AE707" s="22" t="str" cm="1">
        <f t="array" ref="AE707">IF(($K707-$N$48)&lt;1,"",IF((IF(INDEX($AC$176:$AC$905,($K707-$N$48))="",0,INDEX($AC$176:$AC$905,($K707-$N$48))))=0,"",(IF(INDEX($AC$176:$AC$905,($K707-$N$48))="",0,INDEX($AC$176:$AC$905,($K707-$N$48))))))</f>
        <v/>
      </c>
      <c r="AF707" s="31" t="str">
        <f t="shared" si="205"/>
        <v/>
      </c>
      <c r="AG707" s="31" t="str">
        <f t="shared" si="206"/>
        <v/>
      </c>
      <c r="AH707" s="31" t="str">
        <f t="shared" si="207"/>
        <v/>
      </c>
      <c r="AI707" s="31" t="str">
        <f t="shared" si="208"/>
        <v/>
      </c>
      <c r="AJ707" s="303" t="str">
        <f t="shared" si="209"/>
        <v/>
      </c>
      <c r="AK707" s="139" t="str">
        <f t="shared" si="210"/>
        <v/>
      </c>
      <c r="AM707" s="319"/>
      <c r="AN707" s="40"/>
      <c r="AO707" s="1"/>
    </row>
    <row r="708" spans="7:41" x14ac:dyDescent="0.25">
      <c r="G708" s="235" t="str">
        <f t="shared" si="196"/>
        <v/>
      </c>
      <c r="H708" s="4" t="str">
        <f t="shared" si="197"/>
        <v/>
      </c>
      <c r="I708" s="11" t="str">
        <f t="shared" si="198"/>
        <v>09.00</v>
      </c>
      <c r="K708" s="30">
        <v>533</v>
      </c>
      <c r="L708" s="29">
        <f t="shared" si="211"/>
        <v>11371.908376190917</v>
      </c>
      <c r="M708" s="28" t="str">
        <f t="shared" si="199"/>
        <v/>
      </c>
      <c r="N708" s="27" t="str">
        <f t="shared" si="212"/>
        <v/>
      </c>
      <c r="O708" s="26" t="str">
        <f>IF(AND($Q707=$O$38,IFERROR(LARGE($V$176:$V707,1)&lt;$N$42,TRUE)),1,IF(AND(ISNUMBER($O707),$O707&lt;$N$32),$O707+1,""))</f>
        <v/>
      </c>
      <c r="P708" s="26" t="str">
        <f t="shared" si="213"/>
        <v/>
      </c>
      <c r="Q708" s="26" t="str">
        <f t="shared" si="200"/>
        <v/>
      </c>
      <c r="R708" s="24" t="str">
        <f t="shared" si="214"/>
        <v/>
      </c>
      <c r="S708" s="180">
        <f t="shared" si="215"/>
        <v>9</v>
      </c>
      <c r="T708" s="151"/>
      <c r="U708" s="25" t="str">
        <f t="shared" si="201"/>
        <v/>
      </c>
      <c r="V708" s="24" t="str">
        <f>IF(AND(ISNUMBER(R707),ISNUMBER(R708)),V707,IF(AND(R707="",ISNUMBER(R708)),IFERROR(LARGE($V$176:$V707,1)+1,0),""))</f>
        <v/>
      </c>
      <c r="W708" s="23" t="str">
        <f t="shared" si="202"/>
        <v/>
      </c>
      <c r="X708" s="22" t="str">
        <f t="shared" si="203"/>
        <v/>
      </c>
      <c r="Y708" s="22"/>
      <c r="Z708" s="22"/>
      <c r="AA708" s="22"/>
      <c r="AB708" s="22" t="str" cm="1">
        <f t="array" ref="AB708">IF(IF(AND($P707="",$P708=1),($N$37*-1),0)+IF(AND($Q707="",$Q708=1),($N$38*-1),0)+IF(IF(($K708-$N$48)&lt;1,0,IF(IF(INDEX($AD$176:$AD$905,($K708-$N$48))="",0,INDEX($AD$176:$AD$905,($K708-$N$48)))&gt;0,IF(INDEX($AD$176:$AD$905,($K708-$N$48))="",0,INDEX($AD$176:$AD$905,($K708-$N$48))),0))="",0,IF(($K708-$N$48)&lt;1,0,IF(IF(INDEX($AD$176:$AD$905,($K708-$N$48))="",0,INDEX($AD$176:$AD$905,($K708-$N$48)))&gt;0,IF(INDEX($AD$176:$AD$905,($K708-$N$48))="",0,INDEX($AD$176:$AD$905,($K708-$N$48))),0)))=0,"",IF(AND($P707="",$P708=1),($N$37*-1),0)+IF(AND($Q707="",$Q708=1),($N$38*-1),0)+IF(IF(($K708-$N$48)&lt;1,0,IF(IF(INDEX($AD$176:$AD$905,($K708-$N$48))="",0,INDEX($AD$176:$AD$905,($K708-$N$48)))&gt;0,IF(INDEX($AD$176:$AD$905,($K708-$N$48))="",0,INDEX($AD$176:$AD$905,($K708-$N$48))),0))="",0,IF(($K708-$N$48)&lt;1,0,IF(IF(INDEX($AD$176:$AD$905,($K708-$N$48))="",0,INDEX($AD$176:$AD$905,($K708-$N$48)))&gt;0,IF(INDEX($AD$176:$AD$905,($K708-$N$48))="",0,INDEX($AD$176:$AD$905,($K708-$N$48))),0))))</f>
        <v/>
      </c>
      <c r="AC708" s="22" t="str">
        <f t="shared" si="204"/>
        <v/>
      </c>
      <c r="AD708" s="22" t="str">
        <f t="shared" si="216"/>
        <v/>
      </c>
      <c r="AE708" s="22" t="str" cm="1">
        <f t="array" ref="AE708">IF(($K708-$N$48)&lt;1,"",IF((IF(INDEX($AC$176:$AC$905,($K708-$N$48))="",0,INDEX($AC$176:$AC$905,($K708-$N$48))))=0,"",(IF(INDEX($AC$176:$AC$905,($K708-$N$48))="",0,INDEX($AC$176:$AC$905,($K708-$N$48))))))</f>
        <v/>
      </c>
      <c r="AF708" s="31" t="str">
        <f t="shared" si="205"/>
        <v/>
      </c>
      <c r="AG708" s="31" t="str">
        <f t="shared" si="206"/>
        <v/>
      </c>
      <c r="AH708" s="31" t="str">
        <f t="shared" si="207"/>
        <v/>
      </c>
      <c r="AI708" s="31" t="str">
        <f t="shared" si="208"/>
        <v/>
      </c>
      <c r="AJ708" s="303" t="str">
        <f t="shared" si="209"/>
        <v/>
      </c>
      <c r="AK708" s="139" t="str">
        <f t="shared" si="210"/>
        <v/>
      </c>
      <c r="AM708" s="319"/>
      <c r="AN708" s="40"/>
      <c r="AO708" s="1"/>
    </row>
    <row r="709" spans="7:41" x14ac:dyDescent="0.25">
      <c r="G709" s="235" t="str">
        <f t="shared" si="196"/>
        <v/>
      </c>
      <c r="H709" s="4" t="str">
        <f t="shared" si="197"/>
        <v/>
      </c>
      <c r="I709" s="11" t="str">
        <f t="shared" si="198"/>
        <v>09.00</v>
      </c>
      <c r="K709" s="30">
        <v>534</v>
      </c>
      <c r="L709" s="29">
        <f t="shared" si="211"/>
        <v>11371.908376190917</v>
      </c>
      <c r="M709" s="28" t="str">
        <f t="shared" si="199"/>
        <v/>
      </c>
      <c r="N709" s="27" t="str">
        <f t="shared" si="212"/>
        <v/>
      </c>
      <c r="O709" s="26" t="str">
        <f>IF(AND($Q708=$O$38,IFERROR(LARGE($V$176:$V708,1)&lt;$N$42,TRUE)),1,IF(AND(ISNUMBER($O708),$O708&lt;$N$32),$O708+1,""))</f>
        <v/>
      </c>
      <c r="P709" s="26" t="str">
        <f t="shared" si="213"/>
        <v/>
      </c>
      <c r="Q709" s="26" t="str">
        <f t="shared" si="200"/>
        <v/>
      </c>
      <c r="R709" s="24" t="str">
        <f t="shared" si="214"/>
        <v/>
      </c>
      <c r="S709" s="180">
        <f t="shared" si="215"/>
        <v>9</v>
      </c>
      <c r="T709" s="151"/>
      <c r="U709" s="25" t="str">
        <f t="shared" si="201"/>
        <v/>
      </c>
      <c r="V709" s="24" t="str">
        <f>IF(AND(ISNUMBER(R708),ISNUMBER(R709)),V708,IF(AND(R708="",ISNUMBER(R709)),IFERROR(LARGE($V$176:$V708,1)+1,0),""))</f>
        <v/>
      </c>
      <c r="W709" s="23" t="str">
        <f t="shared" si="202"/>
        <v/>
      </c>
      <c r="X709" s="22" t="str">
        <f t="shared" si="203"/>
        <v/>
      </c>
      <c r="Y709" s="22"/>
      <c r="Z709" s="22"/>
      <c r="AA709" s="22"/>
      <c r="AB709" s="22" t="str" cm="1">
        <f t="array" ref="AB709">IF(IF(AND($P708="",$P709=1),($N$37*-1),0)+IF(AND($Q708="",$Q709=1),($N$38*-1),0)+IF(IF(($K709-$N$48)&lt;1,0,IF(IF(INDEX($AD$176:$AD$905,($K709-$N$48))="",0,INDEX($AD$176:$AD$905,($K709-$N$48)))&gt;0,IF(INDEX($AD$176:$AD$905,($K709-$N$48))="",0,INDEX($AD$176:$AD$905,($K709-$N$48))),0))="",0,IF(($K709-$N$48)&lt;1,0,IF(IF(INDEX($AD$176:$AD$905,($K709-$N$48))="",0,INDEX($AD$176:$AD$905,($K709-$N$48)))&gt;0,IF(INDEX($AD$176:$AD$905,($K709-$N$48))="",0,INDEX($AD$176:$AD$905,($K709-$N$48))),0)))=0,"",IF(AND($P708="",$P709=1),($N$37*-1),0)+IF(AND($Q708="",$Q709=1),($N$38*-1),0)+IF(IF(($K709-$N$48)&lt;1,0,IF(IF(INDEX($AD$176:$AD$905,($K709-$N$48))="",0,INDEX($AD$176:$AD$905,($K709-$N$48)))&gt;0,IF(INDEX($AD$176:$AD$905,($K709-$N$48))="",0,INDEX($AD$176:$AD$905,($K709-$N$48))),0))="",0,IF(($K709-$N$48)&lt;1,0,IF(IF(INDEX($AD$176:$AD$905,($K709-$N$48))="",0,INDEX($AD$176:$AD$905,($K709-$N$48)))&gt;0,IF(INDEX($AD$176:$AD$905,($K709-$N$48))="",0,INDEX($AD$176:$AD$905,($K709-$N$48))),0))))</f>
        <v/>
      </c>
      <c r="AC709" s="22" t="str">
        <f t="shared" si="204"/>
        <v/>
      </c>
      <c r="AD709" s="22" t="str">
        <f t="shared" si="216"/>
        <v/>
      </c>
      <c r="AE709" s="22" t="str" cm="1">
        <f t="array" ref="AE709">IF(($K709-$N$48)&lt;1,"",IF((IF(INDEX($AC$176:$AC$905,($K709-$N$48))="",0,INDEX($AC$176:$AC$905,($K709-$N$48))))=0,"",(IF(INDEX($AC$176:$AC$905,($K709-$N$48))="",0,INDEX($AC$176:$AC$905,($K709-$N$48))))))</f>
        <v/>
      </c>
      <c r="AF709" s="31" t="str">
        <f t="shared" si="205"/>
        <v/>
      </c>
      <c r="AG709" s="31" t="str">
        <f t="shared" si="206"/>
        <v/>
      </c>
      <c r="AH709" s="31" t="str">
        <f t="shared" si="207"/>
        <v/>
      </c>
      <c r="AI709" s="31" t="str">
        <f t="shared" si="208"/>
        <v/>
      </c>
      <c r="AJ709" s="303" t="str">
        <f t="shared" si="209"/>
        <v/>
      </c>
      <c r="AK709" s="139" t="str">
        <f t="shared" si="210"/>
        <v/>
      </c>
      <c r="AM709" s="319"/>
      <c r="AN709" s="40"/>
      <c r="AO709" s="1"/>
    </row>
    <row r="710" spans="7:41" x14ac:dyDescent="0.25">
      <c r="G710" s="235" t="str">
        <f t="shared" si="196"/>
        <v/>
      </c>
      <c r="H710" s="4" t="str">
        <f t="shared" si="197"/>
        <v/>
      </c>
      <c r="I710" s="11" t="str">
        <f t="shared" si="198"/>
        <v>09.00</v>
      </c>
      <c r="K710" s="30">
        <v>535</v>
      </c>
      <c r="L710" s="29">
        <f t="shared" si="211"/>
        <v>11371.908376190917</v>
      </c>
      <c r="M710" s="28" t="str">
        <f t="shared" si="199"/>
        <v/>
      </c>
      <c r="N710" s="27" t="str">
        <f t="shared" si="212"/>
        <v/>
      </c>
      <c r="O710" s="26" t="str">
        <f>IF(AND($Q709=$O$38,IFERROR(LARGE($V$176:$V709,1)&lt;$N$42,TRUE)),1,IF(AND(ISNUMBER($O709),$O709&lt;$N$32),$O709+1,""))</f>
        <v/>
      </c>
      <c r="P710" s="26" t="str">
        <f t="shared" si="213"/>
        <v/>
      </c>
      <c r="Q710" s="26" t="str">
        <f t="shared" si="200"/>
        <v/>
      </c>
      <c r="R710" s="24" t="str">
        <f t="shared" si="214"/>
        <v/>
      </c>
      <c r="S710" s="180">
        <f t="shared" si="215"/>
        <v>9</v>
      </c>
      <c r="T710" s="151"/>
      <c r="U710" s="25" t="str">
        <f t="shared" si="201"/>
        <v/>
      </c>
      <c r="V710" s="24" t="str">
        <f>IF(AND(ISNUMBER(R709),ISNUMBER(R710)),V709,IF(AND(R709="",ISNUMBER(R710)),IFERROR(LARGE($V$176:$V709,1)+1,0),""))</f>
        <v/>
      </c>
      <c r="W710" s="23" t="str">
        <f t="shared" si="202"/>
        <v/>
      </c>
      <c r="X710" s="22" t="str">
        <f t="shared" si="203"/>
        <v/>
      </c>
      <c r="Y710" s="22"/>
      <c r="Z710" s="22"/>
      <c r="AA710" s="22"/>
      <c r="AB710" s="22" t="str" cm="1">
        <f t="array" ref="AB710">IF(IF(AND($P709="",$P710=1),($N$37*-1),0)+IF(AND($Q709="",$Q710=1),($N$38*-1),0)+IF(IF(($K710-$N$48)&lt;1,0,IF(IF(INDEX($AD$176:$AD$905,($K710-$N$48))="",0,INDEX($AD$176:$AD$905,($K710-$N$48)))&gt;0,IF(INDEX($AD$176:$AD$905,($K710-$N$48))="",0,INDEX($AD$176:$AD$905,($K710-$N$48))),0))="",0,IF(($K710-$N$48)&lt;1,0,IF(IF(INDEX($AD$176:$AD$905,($K710-$N$48))="",0,INDEX($AD$176:$AD$905,($K710-$N$48)))&gt;0,IF(INDEX($AD$176:$AD$905,($K710-$N$48))="",0,INDEX($AD$176:$AD$905,($K710-$N$48))),0)))=0,"",IF(AND($P709="",$P710=1),($N$37*-1),0)+IF(AND($Q709="",$Q710=1),($N$38*-1),0)+IF(IF(($K710-$N$48)&lt;1,0,IF(IF(INDEX($AD$176:$AD$905,($K710-$N$48))="",0,INDEX($AD$176:$AD$905,($K710-$N$48)))&gt;0,IF(INDEX($AD$176:$AD$905,($K710-$N$48))="",0,INDEX($AD$176:$AD$905,($K710-$N$48))),0))="",0,IF(($K710-$N$48)&lt;1,0,IF(IF(INDEX($AD$176:$AD$905,($K710-$N$48))="",0,INDEX($AD$176:$AD$905,($K710-$N$48)))&gt;0,IF(INDEX($AD$176:$AD$905,($K710-$N$48))="",0,INDEX($AD$176:$AD$905,($K710-$N$48))),0))))</f>
        <v/>
      </c>
      <c r="AC710" s="22" t="str">
        <f t="shared" si="204"/>
        <v/>
      </c>
      <c r="AD710" s="22" t="str">
        <f t="shared" si="216"/>
        <v/>
      </c>
      <c r="AE710" s="22" t="str" cm="1">
        <f t="array" ref="AE710">IF(($K710-$N$48)&lt;1,"",IF((IF(INDEX($AC$176:$AC$905,($K710-$N$48))="",0,INDEX($AC$176:$AC$905,($K710-$N$48))))=0,"",(IF(INDEX($AC$176:$AC$905,($K710-$N$48))="",0,INDEX($AC$176:$AC$905,($K710-$N$48))))))</f>
        <v/>
      </c>
      <c r="AF710" s="31" t="str">
        <f t="shared" si="205"/>
        <v/>
      </c>
      <c r="AG710" s="31" t="str">
        <f t="shared" si="206"/>
        <v/>
      </c>
      <c r="AH710" s="31" t="str">
        <f t="shared" si="207"/>
        <v/>
      </c>
      <c r="AI710" s="31" t="str">
        <f t="shared" si="208"/>
        <v/>
      </c>
      <c r="AJ710" s="303" t="str">
        <f t="shared" si="209"/>
        <v/>
      </c>
      <c r="AK710" s="139" t="str">
        <f t="shared" si="210"/>
        <v/>
      </c>
      <c r="AM710" s="319"/>
      <c r="AN710" s="40"/>
      <c r="AO710" s="1"/>
    </row>
    <row r="711" spans="7:41" x14ac:dyDescent="0.25">
      <c r="G711" s="235" t="str">
        <f t="shared" si="196"/>
        <v/>
      </c>
      <c r="H711" s="4" t="str">
        <f t="shared" si="197"/>
        <v/>
      </c>
      <c r="I711" s="11" t="str">
        <f t="shared" si="198"/>
        <v>09.00</v>
      </c>
      <c r="K711" s="30">
        <v>536</v>
      </c>
      <c r="L711" s="29">
        <f t="shared" si="211"/>
        <v>11371.908376190917</v>
      </c>
      <c r="M711" s="28" t="str">
        <f t="shared" si="199"/>
        <v/>
      </c>
      <c r="N711" s="27" t="str">
        <f t="shared" si="212"/>
        <v/>
      </c>
      <c r="O711" s="26" t="str">
        <f>IF(AND($Q710=$O$38,IFERROR(LARGE($V$176:$V710,1)&lt;$N$42,TRUE)),1,IF(AND(ISNUMBER($O710),$O710&lt;$N$32),$O710+1,""))</f>
        <v/>
      </c>
      <c r="P711" s="26" t="str">
        <f t="shared" si="213"/>
        <v/>
      </c>
      <c r="Q711" s="26" t="str">
        <f t="shared" si="200"/>
        <v/>
      </c>
      <c r="R711" s="24" t="str">
        <f t="shared" si="214"/>
        <v/>
      </c>
      <c r="S711" s="180">
        <f t="shared" si="215"/>
        <v>9</v>
      </c>
      <c r="T711" s="151"/>
      <c r="U711" s="25" t="str">
        <f t="shared" si="201"/>
        <v/>
      </c>
      <c r="V711" s="24" t="str">
        <f>IF(AND(ISNUMBER(R710),ISNUMBER(R711)),V710,IF(AND(R710="",ISNUMBER(R711)),IFERROR(LARGE($V$176:$V710,1)+1,0),""))</f>
        <v/>
      </c>
      <c r="W711" s="23" t="str">
        <f t="shared" si="202"/>
        <v/>
      </c>
      <c r="X711" s="22" t="str">
        <f t="shared" si="203"/>
        <v/>
      </c>
      <c r="Y711" s="22"/>
      <c r="Z711" s="22"/>
      <c r="AA711" s="22"/>
      <c r="AB711" s="22" t="str" cm="1">
        <f t="array" ref="AB711">IF(IF(AND($P710="",$P711=1),($N$37*-1),0)+IF(AND($Q710="",$Q711=1),($N$38*-1),0)+IF(IF(($K711-$N$48)&lt;1,0,IF(IF(INDEX($AD$176:$AD$905,($K711-$N$48))="",0,INDEX($AD$176:$AD$905,($K711-$N$48)))&gt;0,IF(INDEX($AD$176:$AD$905,($K711-$N$48))="",0,INDEX($AD$176:$AD$905,($K711-$N$48))),0))="",0,IF(($K711-$N$48)&lt;1,0,IF(IF(INDEX($AD$176:$AD$905,($K711-$N$48))="",0,INDEX($AD$176:$AD$905,($K711-$N$48)))&gt;0,IF(INDEX($AD$176:$AD$905,($K711-$N$48))="",0,INDEX($AD$176:$AD$905,($K711-$N$48))),0)))=0,"",IF(AND($P710="",$P711=1),($N$37*-1),0)+IF(AND($Q710="",$Q711=1),($N$38*-1),0)+IF(IF(($K711-$N$48)&lt;1,0,IF(IF(INDEX($AD$176:$AD$905,($K711-$N$48))="",0,INDEX($AD$176:$AD$905,($K711-$N$48)))&gt;0,IF(INDEX($AD$176:$AD$905,($K711-$N$48))="",0,INDEX($AD$176:$AD$905,($K711-$N$48))),0))="",0,IF(($K711-$N$48)&lt;1,0,IF(IF(INDEX($AD$176:$AD$905,($K711-$N$48))="",0,INDEX($AD$176:$AD$905,($K711-$N$48)))&gt;0,IF(INDEX($AD$176:$AD$905,($K711-$N$48))="",0,INDEX($AD$176:$AD$905,($K711-$N$48))),0))))</f>
        <v/>
      </c>
      <c r="AC711" s="22" t="str">
        <f t="shared" si="204"/>
        <v/>
      </c>
      <c r="AD711" s="22" t="str">
        <f t="shared" si="216"/>
        <v/>
      </c>
      <c r="AE711" s="22" t="str" cm="1">
        <f t="array" ref="AE711">IF(($K711-$N$48)&lt;1,"",IF((IF(INDEX($AC$176:$AC$905,($K711-$N$48))="",0,INDEX($AC$176:$AC$905,($K711-$N$48))))=0,"",(IF(INDEX($AC$176:$AC$905,($K711-$N$48))="",0,INDEX($AC$176:$AC$905,($K711-$N$48))))))</f>
        <v/>
      </c>
      <c r="AF711" s="31" t="str">
        <f t="shared" si="205"/>
        <v/>
      </c>
      <c r="AG711" s="31" t="str">
        <f t="shared" si="206"/>
        <v/>
      </c>
      <c r="AH711" s="31" t="str">
        <f t="shared" si="207"/>
        <v/>
      </c>
      <c r="AI711" s="31" t="str">
        <f t="shared" si="208"/>
        <v/>
      </c>
      <c r="AJ711" s="303" t="str">
        <f t="shared" si="209"/>
        <v/>
      </c>
      <c r="AK711" s="139" t="str">
        <f t="shared" si="210"/>
        <v/>
      </c>
      <c r="AM711" s="319"/>
      <c r="AN711" s="40"/>
      <c r="AO711" s="1"/>
    </row>
    <row r="712" spans="7:41" x14ac:dyDescent="0.25">
      <c r="G712" s="235" t="str">
        <f t="shared" si="196"/>
        <v/>
      </c>
      <c r="H712" s="4" t="str">
        <f t="shared" si="197"/>
        <v/>
      </c>
      <c r="I712" s="11" t="str">
        <f t="shared" si="198"/>
        <v>09.00</v>
      </c>
      <c r="K712" s="30">
        <v>537</v>
      </c>
      <c r="L712" s="29">
        <f t="shared" si="211"/>
        <v>11371.908376190917</v>
      </c>
      <c r="M712" s="28" t="str">
        <f t="shared" si="199"/>
        <v/>
      </c>
      <c r="N712" s="27" t="str">
        <f t="shared" si="212"/>
        <v/>
      </c>
      <c r="O712" s="26" t="str">
        <f>IF(AND($Q711=$O$38,IFERROR(LARGE($V$176:$V711,1)&lt;$N$42,TRUE)),1,IF(AND(ISNUMBER($O711),$O711&lt;$N$32),$O711+1,""))</f>
        <v/>
      </c>
      <c r="P712" s="26" t="str">
        <f t="shared" si="213"/>
        <v/>
      </c>
      <c r="Q712" s="26" t="str">
        <f t="shared" si="200"/>
        <v/>
      </c>
      <c r="R712" s="24" t="str">
        <f t="shared" si="214"/>
        <v/>
      </c>
      <c r="S712" s="180">
        <f t="shared" si="215"/>
        <v>9</v>
      </c>
      <c r="T712" s="151"/>
      <c r="U712" s="25" t="str">
        <f t="shared" si="201"/>
        <v/>
      </c>
      <c r="V712" s="24" t="str">
        <f>IF(AND(ISNUMBER(R711),ISNUMBER(R712)),V711,IF(AND(R711="",ISNUMBER(R712)),IFERROR(LARGE($V$176:$V711,1)+1,0),""))</f>
        <v/>
      </c>
      <c r="W712" s="23" t="str">
        <f t="shared" si="202"/>
        <v/>
      </c>
      <c r="X712" s="22" t="str">
        <f t="shared" si="203"/>
        <v/>
      </c>
      <c r="Y712" s="22"/>
      <c r="Z712" s="22"/>
      <c r="AA712" s="22"/>
      <c r="AB712" s="22" t="str" cm="1">
        <f t="array" ref="AB712">IF(IF(AND($P711="",$P712=1),($N$37*-1),0)+IF(AND($Q711="",$Q712=1),($N$38*-1),0)+IF(IF(($K712-$N$48)&lt;1,0,IF(IF(INDEX($AD$176:$AD$905,($K712-$N$48))="",0,INDEX($AD$176:$AD$905,($K712-$N$48)))&gt;0,IF(INDEX($AD$176:$AD$905,($K712-$N$48))="",0,INDEX($AD$176:$AD$905,($K712-$N$48))),0))="",0,IF(($K712-$N$48)&lt;1,0,IF(IF(INDEX($AD$176:$AD$905,($K712-$N$48))="",0,INDEX($AD$176:$AD$905,($K712-$N$48)))&gt;0,IF(INDEX($AD$176:$AD$905,($K712-$N$48))="",0,INDEX($AD$176:$AD$905,($K712-$N$48))),0)))=0,"",IF(AND($P711="",$P712=1),($N$37*-1),0)+IF(AND($Q711="",$Q712=1),($N$38*-1),0)+IF(IF(($K712-$N$48)&lt;1,0,IF(IF(INDEX($AD$176:$AD$905,($K712-$N$48))="",0,INDEX($AD$176:$AD$905,($K712-$N$48)))&gt;0,IF(INDEX($AD$176:$AD$905,($K712-$N$48))="",0,INDEX($AD$176:$AD$905,($K712-$N$48))),0))="",0,IF(($K712-$N$48)&lt;1,0,IF(IF(INDEX($AD$176:$AD$905,($K712-$N$48))="",0,INDEX($AD$176:$AD$905,($K712-$N$48)))&gt;0,IF(INDEX($AD$176:$AD$905,($K712-$N$48))="",0,INDEX($AD$176:$AD$905,($K712-$N$48))),0))))</f>
        <v/>
      </c>
      <c r="AC712" s="22" t="str">
        <f t="shared" si="204"/>
        <v/>
      </c>
      <c r="AD712" s="22" t="str">
        <f t="shared" si="216"/>
        <v/>
      </c>
      <c r="AE712" s="22" t="str" cm="1">
        <f t="array" ref="AE712">IF(($K712-$N$48)&lt;1,"",IF((IF(INDEX($AC$176:$AC$905,($K712-$N$48))="",0,INDEX($AC$176:$AC$905,($K712-$N$48))))=0,"",(IF(INDEX($AC$176:$AC$905,($K712-$N$48))="",0,INDEX($AC$176:$AC$905,($K712-$N$48))))))</f>
        <v/>
      </c>
      <c r="AF712" s="31" t="str">
        <f t="shared" si="205"/>
        <v/>
      </c>
      <c r="AG712" s="31" t="str">
        <f t="shared" si="206"/>
        <v/>
      </c>
      <c r="AH712" s="31" t="str">
        <f t="shared" si="207"/>
        <v/>
      </c>
      <c r="AI712" s="31" t="str">
        <f t="shared" si="208"/>
        <v/>
      </c>
      <c r="AJ712" s="303" t="str">
        <f t="shared" si="209"/>
        <v/>
      </c>
      <c r="AK712" s="139" t="str">
        <f t="shared" si="210"/>
        <v/>
      </c>
      <c r="AM712" s="319"/>
      <c r="AN712" s="40"/>
      <c r="AO712" s="1"/>
    </row>
    <row r="713" spans="7:41" x14ac:dyDescent="0.25">
      <c r="G713" s="235" t="str">
        <f t="shared" si="196"/>
        <v/>
      </c>
      <c r="H713" s="4" t="str">
        <f t="shared" si="197"/>
        <v/>
      </c>
      <c r="I713" s="11" t="str">
        <f t="shared" si="198"/>
        <v>09.00</v>
      </c>
      <c r="K713" s="30">
        <v>538</v>
      </c>
      <c r="L713" s="29">
        <f t="shared" si="211"/>
        <v>11371.908376190917</v>
      </c>
      <c r="M713" s="28" t="str">
        <f t="shared" si="199"/>
        <v/>
      </c>
      <c r="N713" s="27" t="str">
        <f t="shared" si="212"/>
        <v/>
      </c>
      <c r="O713" s="26" t="str">
        <f>IF(AND($Q712=$O$38,IFERROR(LARGE($V$176:$V712,1)&lt;$N$42,TRUE)),1,IF(AND(ISNUMBER($O712),$O712&lt;$N$32),$O712+1,""))</f>
        <v/>
      </c>
      <c r="P713" s="26" t="str">
        <f t="shared" si="213"/>
        <v/>
      </c>
      <c r="Q713" s="26" t="str">
        <f t="shared" si="200"/>
        <v/>
      </c>
      <c r="R713" s="24" t="str">
        <f t="shared" si="214"/>
        <v/>
      </c>
      <c r="S713" s="180">
        <f t="shared" si="215"/>
        <v>9</v>
      </c>
      <c r="T713" s="151"/>
      <c r="U713" s="25" t="str">
        <f t="shared" si="201"/>
        <v/>
      </c>
      <c r="V713" s="24" t="str">
        <f>IF(AND(ISNUMBER(R712),ISNUMBER(R713)),V712,IF(AND(R712="",ISNUMBER(R713)),IFERROR(LARGE($V$176:$V712,1)+1,0),""))</f>
        <v/>
      </c>
      <c r="W713" s="23" t="str">
        <f t="shared" si="202"/>
        <v/>
      </c>
      <c r="X713" s="22" t="str">
        <f t="shared" si="203"/>
        <v/>
      </c>
      <c r="Y713" s="22"/>
      <c r="Z713" s="22"/>
      <c r="AA713" s="22"/>
      <c r="AB713" s="22" t="str" cm="1">
        <f t="array" ref="AB713">IF(IF(AND($P712="",$P713=1),($N$37*-1),0)+IF(AND($Q712="",$Q713=1),($N$38*-1),0)+IF(IF(($K713-$N$48)&lt;1,0,IF(IF(INDEX($AD$176:$AD$905,($K713-$N$48))="",0,INDEX($AD$176:$AD$905,($K713-$N$48)))&gt;0,IF(INDEX($AD$176:$AD$905,($K713-$N$48))="",0,INDEX($AD$176:$AD$905,($K713-$N$48))),0))="",0,IF(($K713-$N$48)&lt;1,0,IF(IF(INDEX($AD$176:$AD$905,($K713-$N$48))="",0,INDEX($AD$176:$AD$905,($K713-$N$48)))&gt;0,IF(INDEX($AD$176:$AD$905,($K713-$N$48))="",0,INDEX($AD$176:$AD$905,($K713-$N$48))),0)))=0,"",IF(AND($P712="",$P713=1),($N$37*-1),0)+IF(AND($Q712="",$Q713=1),($N$38*-1),0)+IF(IF(($K713-$N$48)&lt;1,0,IF(IF(INDEX($AD$176:$AD$905,($K713-$N$48))="",0,INDEX($AD$176:$AD$905,($K713-$N$48)))&gt;0,IF(INDEX($AD$176:$AD$905,($K713-$N$48))="",0,INDEX($AD$176:$AD$905,($K713-$N$48))),0))="",0,IF(($K713-$N$48)&lt;1,0,IF(IF(INDEX($AD$176:$AD$905,($K713-$N$48))="",0,INDEX($AD$176:$AD$905,($K713-$N$48)))&gt;0,IF(INDEX($AD$176:$AD$905,($K713-$N$48))="",0,INDEX($AD$176:$AD$905,($K713-$N$48))),0))))</f>
        <v/>
      </c>
      <c r="AC713" s="22" t="str">
        <f t="shared" si="204"/>
        <v/>
      </c>
      <c r="AD713" s="22" t="str">
        <f t="shared" si="216"/>
        <v/>
      </c>
      <c r="AE713" s="22" t="str" cm="1">
        <f t="array" ref="AE713">IF(($K713-$N$48)&lt;1,"",IF((IF(INDEX($AC$176:$AC$905,($K713-$N$48))="",0,INDEX($AC$176:$AC$905,($K713-$N$48))))=0,"",(IF(INDEX($AC$176:$AC$905,($K713-$N$48))="",0,INDEX($AC$176:$AC$905,($K713-$N$48))))))</f>
        <v/>
      </c>
      <c r="AF713" s="31" t="str">
        <f t="shared" si="205"/>
        <v/>
      </c>
      <c r="AG713" s="31" t="str">
        <f t="shared" si="206"/>
        <v/>
      </c>
      <c r="AH713" s="31" t="str">
        <f t="shared" si="207"/>
        <v/>
      </c>
      <c r="AI713" s="31" t="str">
        <f t="shared" si="208"/>
        <v/>
      </c>
      <c r="AJ713" s="303" t="str">
        <f t="shared" si="209"/>
        <v/>
      </c>
      <c r="AK713" s="139" t="str">
        <f t="shared" si="210"/>
        <v/>
      </c>
      <c r="AM713" s="319"/>
      <c r="AN713" s="40"/>
      <c r="AO713" s="1"/>
    </row>
    <row r="714" spans="7:41" x14ac:dyDescent="0.25">
      <c r="G714" s="235" t="str">
        <f t="shared" si="196"/>
        <v/>
      </c>
      <c r="H714" s="4" t="str">
        <f t="shared" si="197"/>
        <v/>
      </c>
      <c r="I714" s="11" t="str">
        <f t="shared" si="198"/>
        <v>09.00</v>
      </c>
      <c r="K714" s="30">
        <v>539</v>
      </c>
      <c r="L714" s="29">
        <f t="shared" si="211"/>
        <v>11371.908376190917</v>
      </c>
      <c r="M714" s="28" t="str">
        <f t="shared" si="199"/>
        <v/>
      </c>
      <c r="N714" s="27" t="str">
        <f t="shared" si="212"/>
        <v/>
      </c>
      <c r="O714" s="26" t="str">
        <f>IF(AND($Q713=$O$38,IFERROR(LARGE($V$176:$V713,1)&lt;$N$42,TRUE)),1,IF(AND(ISNUMBER($O713),$O713&lt;$N$32),$O713+1,""))</f>
        <v/>
      </c>
      <c r="P714" s="26" t="str">
        <f t="shared" si="213"/>
        <v/>
      </c>
      <c r="Q714" s="26" t="str">
        <f t="shared" si="200"/>
        <v/>
      </c>
      <c r="R714" s="24" t="str">
        <f t="shared" si="214"/>
        <v/>
      </c>
      <c r="S714" s="180">
        <f t="shared" si="215"/>
        <v>9</v>
      </c>
      <c r="T714" s="151"/>
      <c r="U714" s="25" t="str">
        <f t="shared" si="201"/>
        <v/>
      </c>
      <c r="V714" s="24" t="str">
        <f>IF(AND(ISNUMBER(R713),ISNUMBER(R714)),V713,IF(AND(R713="",ISNUMBER(R714)),IFERROR(LARGE($V$176:$V713,1)+1,0),""))</f>
        <v/>
      </c>
      <c r="W714" s="23" t="str">
        <f t="shared" si="202"/>
        <v/>
      </c>
      <c r="X714" s="22" t="str">
        <f t="shared" si="203"/>
        <v/>
      </c>
      <c r="Y714" s="22"/>
      <c r="Z714" s="22"/>
      <c r="AA714" s="22"/>
      <c r="AB714" s="22" t="str" cm="1">
        <f t="array" ref="AB714">IF(IF(AND($P713="",$P714=1),($N$37*-1),0)+IF(AND($Q713="",$Q714=1),($N$38*-1),0)+IF(IF(($K714-$N$48)&lt;1,0,IF(IF(INDEX($AD$176:$AD$905,($K714-$N$48))="",0,INDEX($AD$176:$AD$905,($K714-$N$48)))&gt;0,IF(INDEX($AD$176:$AD$905,($K714-$N$48))="",0,INDEX($AD$176:$AD$905,($K714-$N$48))),0))="",0,IF(($K714-$N$48)&lt;1,0,IF(IF(INDEX($AD$176:$AD$905,($K714-$N$48))="",0,INDEX($AD$176:$AD$905,($K714-$N$48)))&gt;0,IF(INDEX($AD$176:$AD$905,($K714-$N$48))="",0,INDEX($AD$176:$AD$905,($K714-$N$48))),0)))=0,"",IF(AND($P713="",$P714=1),($N$37*-1),0)+IF(AND($Q713="",$Q714=1),($N$38*-1),0)+IF(IF(($K714-$N$48)&lt;1,0,IF(IF(INDEX($AD$176:$AD$905,($K714-$N$48))="",0,INDEX($AD$176:$AD$905,($K714-$N$48)))&gt;0,IF(INDEX($AD$176:$AD$905,($K714-$N$48))="",0,INDEX($AD$176:$AD$905,($K714-$N$48))),0))="",0,IF(($K714-$N$48)&lt;1,0,IF(IF(INDEX($AD$176:$AD$905,($K714-$N$48))="",0,INDEX($AD$176:$AD$905,($K714-$N$48)))&gt;0,IF(INDEX($AD$176:$AD$905,($K714-$N$48))="",0,INDEX($AD$176:$AD$905,($K714-$N$48))),0))))</f>
        <v/>
      </c>
      <c r="AC714" s="22" t="str">
        <f t="shared" si="204"/>
        <v/>
      </c>
      <c r="AD714" s="22" t="str">
        <f t="shared" si="216"/>
        <v/>
      </c>
      <c r="AE714" s="22" t="str" cm="1">
        <f t="array" ref="AE714">IF(($K714-$N$48)&lt;1,"",IF((IF(INDEX($AC$176:$AC$905,($K714-$N$48))="",0,INDEX($AC$176:$AC$905,($K714-$N$48))))=0,"",(IF(INDEX($AC$176:$AC$905,($K714-$N$48))="",0,INDEX($AC$176:$AC$905,($K714-$N$48))))))</f>
        <v/>
      </c>
      <c r="AF714" s="31" t="str">
        <f t="shared" si="205"/>
        <v/>
      </c>
      <c r="AG714" s="31" t="str">
        <f t="shared" si="206"/>
        <v/>
      </c>
      <c r="AH714" s="31" t="str">
        <f t="shared" si="207"/>
        <v/>
      </c>
      <c r="AI714" s="31" t="str">
        <f t="shared" si="208"/>
        <v/>
      </c>
      <c r="AJ714" s="303" t="str">
        <f t="shared" si="209"/>
        <v/>
      </c>
      <c r="AK714" s="139" t="str">
        <f t="shared" si="210"/>
        <v/>
      </c>
      <c r="AM714" s="319"/>
      <c r="AN714" s="40"/>
      <c r="AO714" s="1"/>
    </row>
    <row r="715" spans="7:41" x14ac:dyDescent="0.25">
      <c r="G715" s="235" t="str">
        <f t="shared" si="196"/>
        <v/>
      </c>
      <c r="H715" s="4" t="str">
        <f t="shared" si="197"/>
        <v/>
      </c>
      <c r="I715" s="11" t="str">
        <f t="shared" si="198"/>
        <v>09.00</v>
      </c>
      <c r="K715" s="30">
        <v>540</v>
      </c>
      <c r="L715" s="29">
        <f t="shared" si="211"/>
        <v>11371.908376190917</v>
      </c>
      <c r="M715" s="28" t="str">
        <f t="shared" si="199"/>
        <v/>
      </c>
      <c r="N715" s="27" t="str">
        <f t="shared" si="212"/>
        <v/>
      </c>
      <c r="O715" s="26" t="str">
        <f>IF(AND($Q714=$O$38,IFERROR(LARGE($V$176:$V714,1)&lt;$N$42,TRUE)),1,IF(AND(ISNUMBER($O714),$O714&lt;$N$32),$O714+1,""))</f>
        <v/>
      </c>
      <c r="P715" s="26" t="str">
        <f t="shared" si="213"/>
        <v/>
      </c>
      <c r="Q715" s="26" t="str">
        <f t="shared" si="200"/>
        <v/>
      </c>
      <c r="R715" s="24" t="str">
        <f t="shared" si="214"/>
        <v/>
      </c>
      <c r="S715" s="180">
        <f t="shared" si="215"/>
        <v>9</v>
      </c>
      <c r="T715" s="151"/>
      <c r="U715" s="25" t="str">
        <f t="shared" si="201"/>
        <v/>
      </c>
      <c r="V715" s="24" t="str">
        <f>IF(AND(ISNUMBER(R714),ISNUMBER(R715)),V714,IF(AND(R714="",ISNUMBER(R715)),IFERROR(LARGE($V$176:$V714,1)+1,0),""))</f>
        <v/>
      </c>
      <c r="W715" s="23" t="str">
        <f t="shared" si="202"/>
        <v/>
      </c>
      <c r="X715" s="22" t="str">
        <f t="shared" si="203"/>
        <v/>
      </c>
      <c r="Y715" s="22"/>
      <c r="Z715" s="22"/>
      <c r="AA715" s="22"/>
      <c r="AB715" s="22" t="str" cm="1">
        <f t="array" ref="AB715">IF(IF(AND($P714="",$P715=1),($N$37*-1),0)+IF(AND($Q714="",$Q715=1),($N$38*-1),0)+IF(IF(($K715-$N$48)&lt;1,0,IF(IF(INDEX($AD$176:$AD$905,($K715-$N$48))="",0,INDEX($AD$176:$AD$905,($K715-$N$48)))&gt;0,IF(INDEX($AD$176:$AD$905,($K715-$N$48))="",0,INDEX($AD$176:$AD$905,($K715-$N$48))),0))="",0,IF(($K715-$N$48)&lt;1,0,IF(IF(INDEX($AD$176:$AD$905,($K715-$N$48))="",0,INDEX($AD$176:$AD$905,($K715-$N$48)))&gt;0,IF(INDEX($AD$176:$AD$905,($K715-$N$48))="",0,INDEX($AD$176:$AD$905,($K715-$N$48))),0)))=0,"",IF(AND($P714="",$P715=1),($N$37*-1),0)+IF(AND($Q714="",$Q715=1),($N$38*-1),0)+IF(IF(($K715-$N$48)&lt;1,0,IF(IF(INDEX($AD$176:$AD$905,($K715-$N$48))="",0,INDEX($AD$176:$AD$905,($K715-$N$48)))&gt;0,IF(INDEX($AD$176:$AD$905,($K715-$N$48))="",0,INDEX($AD$176:$AD$905,($K715-$N$48))),0))="",0,IF(($K715-$N$48)&lt;1,0,IF(IF(INDEX($AD$176:$AD$905,($K715-$N$48))="",0,INDEX($AD$176:$AD$905,($K715-$N$48)))&gt;0,IF(INDEX($AD$176:$AD$905,($K715-$N$48))="",0,INDEX($AD$176:$AD$905,($K715-$N$48))),0))))</f>
        <v/>
      </c>
      <c r="AC715" s="22" t="str">
        <f t="shared" si="204"/>
        <v/>
      </c>
      <c r="AD715" s="22" t="str">
        <f t="shared" si="216"/>
        <v/>
      </c>
      <c r="AE715" s="22" t="str" cm="1">
        <f t="array" ref="AE715">IF(($K715-$N$48)&lt;1,"",IF((IF(INDEX($AC$176:$AC$905,($K715-$N$48))="",0,INDEX($AC$176:$AC$905,($K715-$N$48))))=0,"",(IF(INDEX($AC$176:$AC$905,($K715-$N$48))="",0,INDEX($AC$176:$AC$905,($K715-$N$48))))))</f>
        <v/>
      </c>
      <c r="AF715" s="31" t="str">
        <f t="shared" si="205"/>
        <v/>
      </c>
      <c r="AG715" s="31" t="str">
        <f t="shared" si="206"/>
        <v/>
      </c>
      <c r="AH715" s="31" t="str">
        <f t="shared" si="207"/>
        <v/>
      </c>
      <c r="AI715" s="31" t="str">
        <f t="shared" si="208"/>
        <v/>
      </c>
      <c r="AJ715" s="303" t="str">
        <f t="shared" si="209"/>
        <v/>
      </c>
      <c r="AK715" s="139" t="str">
        <f t="shared" si="210"/>
        <v/>
      </c>
      <c r="AM715" s="319"/>
      <c r="AN715" s="40"/>
      <c r="AO715" s="1"/>
    </row>
    <row r="716" spans="7:41" x14ac:dyDescent="0.25">
      <c r="G716" s="235" t="str">
        <f t="shared" si="196"/>
        <v/>
      </c>
      <c r="H716" s="4" t="str">
        <f t="shared" si="197"/>
        <v/>
      </c>
      <c r="I716" s="11" t="str">
        <f t="shared" si="198"/>
        <v>09.00</v>
      </c>
      <c r="K716" s="30">
        <v>541</v>
      </c>
      <c r="L716" s="29">
        <f t="shared" si="211"/>
        <v>11371.908376190917</v>
      </c>
      <c r="M716" s="28" t="str">
        <f t="shared" si="199"/>
        <v/>
      </c>
      <c r="N716" s="27" t="str">
        <f t="shared" si="212"/>
        <v/>
      </c>
      <c r="O716" s="26" t="str">
        <f>IF(AND($Q715=$O$38,IFERROR(LARGE($V$176:$V715,1)&lt;$N$42,TRUE)),1,IF(AND(ISNUMBER($O715),$O715&lt;$N$32),$O715+1,""))</f>
        <v/>
      </c>
      <c r="P716" s="26" t="str">
        <f t="shared" si="213"/>
        <v/>
      </c>
      <c r="Q716" s="26" t="str">
        <f t="shared" si="200"/>
        <v/>
      </c>
      <c r="R716" s="24" t="str">
        <f t="shared" si="214"/>
        <v/>
      </c>
      <c r="S716" s="180">
        <f t="shared" si="215"/>
        <v>9</v>
      </c>
      <c r="T716" s="151"/>
      <c r="U716" s="25" t="str">
        <f t="shared" si="201"/>
        <v/>
      </c>
      <c r="V716" s="24" t="str">
        <f>IF(AND(ISNUMBER(R715),ISNUMBER(R716)),V715,IF(AND(R715="",ISNUMBER(R716)),IFERROR(LARGE($V$176:$V715,1)+1,0),""))</f>
        <v/>
      </c>
      <c r="W716" s="23" t="str">
        <f t="shared" si="202"/>
        <v/>
      </c>
      <c r="X716" s="22" t="str">
        <f t="shared" si="203"/>
        <v/>
      </c>
      <c r="Y716" s="22"/>
      <c r="Z716" s="22"/>
      <c r="AA716" s="22"/>
      <c r="AB716" s="22" t="str" cm="1">
        <f t="array" ref="AB716">IF(IF(AND($P715="",$P716=1),($N$37*-1),0)+IF(AND($Q715="",$Q716=1),($N$38*-1),0)+IF(IF(($K716-$N$48)&lt;1,0,IF(IF(INDEX($AD$176:$AD$905,($K716-$N$48))="",0,INDEX($AD$176:$AD$905,($K716-$N$48)))&gt;0,IF(INDEX($AD$176:$AD$905,($K716-$N$48))="",0,INDEX($AD$176:$AD$905,($K716-$N$48))),0))="",0,IF(($K716-$N$48)&lt;1,0,IF(IF(INDEX($AD$176:$AD$905,($K716-$N$48))="",0,INDEX($AD$176:$AD$905,($K716-$N$48)))&gt;0,IF(INDEX($AD$176:$AD$905,($K716-$N$48))="",0,INDEX($AD$176:$AD$905,($K716-$N$48))),0)))=0,"",IF(AND($P715="",$P716=1),($N$37*-1),0)+IF(AND($Q715="",$Q716=1),($N$38*-1),0)+IF(IF(($K716-$N$48)&lt;1,0,IF(IF(INDEX($AD$176:$AD$905,($K716-$N$48))="",0,INDEX($AD$176:$AD$905,($K716-$N$48)))&gt;0,IF(INDEX($AD$176:$AD$905,($K716-$N$48))="",0,INDEX($AD$176:$AD$905,($K716-$N$48))),0))="",0,IF(($K716-$N$48)&lt;1,0,IF(IF(INDEX($AD$176:$AD$905,($K716-$N$48))="",0,INDEX($AD$176:$AD$905,($K716-$N$48)))&gt;0,IF(INDEX($AD$176:$AD$905,($K716-$N$48))="",0,INDEX($AD$176:$AD$905,($K716-$N$48))),0))))</f>
        <v/>
      </c>
      <c r="AC716" s="22" t="str">
        <f t="shared" si="204"/>
        <v/>
      </c>
      <c r="AD716" s="22" t="str">
        <f t="shared" si="216"/>
        <v/>
      </c>
      <c r="AE716" s="22" t="str" cm="1">
        <f t="array" ref="AE716">IF(($K716-$N$48)&lt;1,"",IF((IF(INDEX($AC$176:$AC$905,($K716-$N$48))="",0,INDEX($AC$176:$AC$905,($K716-$N$48))))=0,"",(IF(INDEX($AC$176:$AC$905,($K716-$N$48))="",0,INDEX($AC$176:$AC$905,($K716-$N$48))))))</f>
        <v/>
      </c>
      <c r="AF716" s="31" t="str">
        <f t="shared" si="205"/>
        <v/>
      </c>
      <c r="AG716" s="31" t="str">
        <f t="shared" si="206"/>
        <v/>
      </c>
      <c r="AH716" s="31" t="str">
        <f t="shared" si="207"/>
        <v/>
      </c>
      <c r="AI716" s="31" t="str">
        <f t="shared" si="208"/>
        <v/>
      </c>
      <c r="AJ716" s="303" t="str">
        <f t="shared" si="209"/>
        <v/>
      </c>
      <c r="AK716" s="139" t="str">
        <f t="shared" si="210"/>
        <v/>
      </c>
      <c r="AM716" s="319"/>
      <c r="AN716" s="40"/>
      <c r="AO716" s="1"/>
    </row>
    <row r="717" spans="7:41" x14ac:dyDescent="0.25">
      <c r="G717" s="235" t="str">
        <f t="shared" si="196"/>
        <v/>
      </c>
      <c r="H717" s="4" t="str">
        <f t="shared" si="197"/>
        <v/>
      </c>
      <c r="I717" s="11" t="str">
        <f t="shared" si="198"/>
        <v>09.00</v>
      </c>
      <c r="K717" s="30">
        <v>542</v>
      </c>
      <c r="L717" s="29">
        <f t="shared" si="211"/>
        <v>11371.908376190917</v>
      </c>
      <c r="M717" s="28" t="str">
        <f t="shared" si="199"/>
        <v/>
      </c>
      <c r="N717" s="27" t="str">
        <f t="shared" si="212"/>
        <v/>
      </c>
      <c r="O717" s="26" t="str">
        <f>IF(AND($Q716=$O$38,IFERROR(LARGE($V$176:$V716,1)&lt;$N$42,TRUE)),1,IF(AND(ISNUMBER($O716),$O716&lt;$N$32),$O716+1,""))</f>
        <v/>
      </c>
      <c r="P717" s="26" t="str">
        <f t="shared" si="213"/>
        <v/>
      </c>
      <c r="Q717" s="26" t="str">
        <f t="shared" si="200"/>
        <v/>
      </c>
      <c r="R717" s="24" t="str">
        <f t="shared" si="214"/>
        <v/>
      </c>
      <c r="S717" s="180">
        <f t="shared" si="215"/>
        <v>9</v>
      </c>
      <c r="T717" s="151"/>
      <c r="U717" s="25" t="str">
        <f t="shared" si="201"/>
        <v/>
      </c>
      <c r="V717" s="24" t="str">
        <f>IF(AND(ISNUMBER(R716),ISNUMBER(R717)),V716,IF(AND(R716="",ISNUMBER(R717)),IFERROR(LARGE($V$176:$V716,1)+1,0),""))</f>
        <v/>
      </c>
      <c r="W717" s="23" t="str">
        <f t="shared" si="202"/>
        <v/>
      </c>
      <c r="X717" s="22" t="str">
        <f t="shared" si="203"/>
        <v/>
      </c>
      <c r="Y717" s="22"/>
      <c r="Z717" s="22"/>
      <c r="AA717" s="22"/>
      <c r="AB717" s="22" t="str" cm="1">
        <f t="array" ref="AB717">IF(IF(AND($P716="",$P717=1),($N$37*-1),0)+IF(AND($Q716="",$Q717=1),($N$38*-1),0)+IF(IF(($K717-$N$48)&lt;1,0,IF(IF(INDEX($AD$176:$AD$905,($K717-$N$48))="",0,INDEX($AD$176:$AD$905,($K717-$N$48)))&gt;0,IF(INDEX($AD$176:$AD$905,($K717-$N$48))="",0,INDEX($AD$176:$AD$905,($K717-$N$48))),0))="",0,IF(($K717-$N$48)&lt;1,0,IF(IF(INDEX($AD$176:$AD$905,($K717-$N$48))="",0,INDEX($AD$176:$AD$905,($K717-$N$48)))&gt;0,IF(INDEX($AD$176:$AD$905,($K717-$N$48))="",0,INDEX($AD$176:$AD$905,($K717-$N$48))),0)))=0,"",IF(AND($P716="",$P717=1),($N$37*-1),0)+IF(AND($Q716="",$Q717=1),($N$38*-1),0)+IF(IF(($K717-$N$48)&lt;1,0,IF(IF(INDEX($AD$176:$AD$905,($K717-$N$48))="",0,INDEX($AD$176:$AD$905,($K717-$N$48)))&gt;0,IF(INDEX($AD$176:$AD$905,($K717-$N$48))="",0,INDEX($AD$176:$AD$905,($K717-$N$48))),0))="",0,IF(($K717-$N$48)&lt;1,0,IF(IF(INDEX($AD$176:$AD$905,($K717-$N$48))="",0,INDEX($AD$176:$AD$905,($K717-$N$48)))&gt;0,IF(INDEX($AD$176:$AD$905,($K717-$N$48))="",0,INDEX($AD$176:$AD$905,($K717-$N$48))),0))))</f>
        <v/>
      </c>
      <c r="AC717" s="22" t="str">
        <f t="shared" si="204"/>
        <v/>
      </c>
      <c r="AD717" s="22" t="str">
        <f t="shared" si="216"/>
        <v/>
      </c>
      <c r="AE717" s="22" t="str" cm="1">
        <f t="array" ref="AE717">IF(($K717-$N$48)&lt;1,"",IF((IF(INDEX($AC$176:$AC$905,($K717-$N$48))="",0,INDEX($AC$176:$AC$905,($K717-$N$48))))=0,"",(IF(INDEX($AC$176:$AC$905,($K717-$N$48))="",0,INDEX($AC$176:$AC$905,($K717-$N$48))))))</f>
        <v/>
      </c>
      <c r="AF717" s="31" t="str">
        <f t="shared" si="205"/>
        <v/>
      </c>
      <c r="AG717" s="31" t="str">
        <f t="shared" si="206"/>
        <v/>
      </c>
      <c r="AH717" s="31" t="str">
        <f t="shared" si="207"/>
        <v/>
      </c>
      <c r="AI717" s="31" t="str">
        <f t="shared" si="208"/>
        <v/>
      </c>
      <c r="AJ717" s="303" t="str">
        <f t="shared" si="209"/>
        <v/>
      </c>
      <c r="AK717" s="139" t="str">
        <f t="shared" si="210"/>
        <v/>
      </c>
      <c r="AM717" s="319"/>
      <c r="AN717" s="40"/>
      <c r="AO717" s="1"/>
    </row>
    <row r="718" spans="7:41" x14ac:dyDescent="0.25">
      <c r="G718" s="235" t="str">
        <f t="shared" ref="G718:G781" si="217">IF(RIGHT(H718,2)=".N","NEW",IF(SUM(N718:R718)=0,"",LEFT(H718,5)))</f>
        <v/>
      </c>
      <c r="H718" s="4" t="str">
        <f t="shared" si="197"/>
        <v/>
      </c>
      <c r="I718" s="11" t="str">
        <f t="shared" si="198"/>
        <v>09.00</v>
      </c>
      <c r="K718" s="30">
        <v>543</v>
      </c>
      <c r="L718" s="29">
        <f t="shared" si="211"/>
        <v>11371.908376190917</v>
      </c>
      <c r="M718" s="28" t="str">
        <f t="shared" si="199"/>
        <v/>
      </c>
      <c r="N718" s="27" t="str">
        <f t="shared" si="212"/>
        <v/>
      </c>
      <c r="O718" s="26" t="str">
        <f>IF(AND($Q717=$O$38,IFERROR(LARGE($V$176:$V717,1)&lt;$N$42,TRUE)),1,IF(AND(ISNUMBER($O717),$O717&lt;$N$32),$O717+1,""))</f>
        <v/>
      </c>
      <c r="P718" s="26" t="str">
        <f t="shared" si="213"/>
        <v/>
      </c>
      <c r="Q718" s="26" t="str">
        <f t="shared" si="200"/>
        <v/>
      </c>
      <c r="R718" s="24" t="str">
        <f t="shared" si="214"/>
        <v/>
      </c>
      <c r="S718" s="180">
        <f t="shared" si="215"/>
        <v>9</v>
      </c>
      <c r="T718" s="151"/>
      <c r="U718" s="25" t="str">
        <f t="shared" si="201"/>
        <v/>
      </c>
      <c r="V718" s="24" t="str">
        <f>IF(AND(ISNUMBER(R717),ISNUMBER(R718)),V717,IF(AND(R717="",ISNUMBER(R718)),IFERROR(LARGE($V$176:$V717,1)+1,0),""))</f>
        <v/>
      </c>
      <c r="W718" s="23" t="str">
        <f t="shared" si="202"/>
        <v/>
      </c>
      <c r="X718" s="22" t="str">
        <f t="shared" si="203"/>
        <v/>
      </c>
      <c r="Y718" s="22"/>
      <c r="Z718" s="22"/>
      <c r="AA718" s="22"/>
      <c r="AB718" s="22" t="str" cm="1">
        <f t="array" ref="AB718">IF(IF(AND($P717="",$P718=1),($N$37*-1),0)+IF(AND($Q717="",$Q718=1),($N$38*-1),0)+IF(IF(($K718-$N$48)&lt;1,0,IF(IF(INDEX($AD$176:$AD$905,($K718-$N$48))="",0,INDEX($AD$176:$AD$905,($K718-$N$48)))&gt;0,IF(INDEX($AD$176:$AD$905,($K718-$N$48))="",0,INDEX($AD$176:$AD$905,($K718-$N$48))),0))="",0,IF(($K718-$N$48)&lt;1,0,IF(IF(INDEX($AD$176:$AD$905,($K718-$N$48))="",0,INDEX($AD$176:$AD$905,($K718-$N$48)))&gt;0,IF(INDEX($AD$176:$AD$905,($K718-$N$48))="",0,INDEX($AD$176:$AD$905,($K718-$N$48))),0)))=0,"",IF(AND($P717="",$P718=1),($N$37*-1),0)+IF(AND($Q717="",$Q718=1),($N$38*-1),0)+IF(IF(($K718-$N$48)&lt;1,0,IF(IF(INDEX($AD$176:$AD$905,($K718-$N$48))="",0,INDEX($AD$176:$AD$905,($K718-$N$48)))&gt;0,IF(INDEX($AD$176:$AD$905,($K718-$N$48))="",0,INDEX($AD$176:$AD$905,($K718-$N$48))),0))="",0,IF(($K718-$N$48)&lt;1,0,IF(IF(INDEX($AD$176:$AD$905,($K718-$N$48))="",0,INDEX($AD$176:$AD$905,($K718-$N$48)))&gt;0,IF(INDEX($AD$176:$AD$905,($K718-$N$48))="",0,INDEX($AD$176:$AD$905,($K718-$N$48))),0))))</f>
        <v/>
      </c>
      <c r="AC718" s="22" t="str">
        <f t="shared" si="204"/>
        <v/>
      </c>
      <c r="AD718" s="22" t="str">
        <f t="shared" si="216"/>
        <v/>
      </c>
      <c r="AE718" s="22" t="str" cm="1">
        <f t="array" ref="AE718">IF(($K718-$N$48)&lt;1,"",IF((IF(INDEX($AC$176:$AC$905,($K718-$N$48))="",0,INDEX($AC$176:$AC$905,($K718-$N$48))))=0,"",(IF(INDEX($AC$176:$AC$905,($K718-$N$48))="",0,INDEX($AC$176:$AC$905,($K718-$N$48))))))</f>
        <v/>
      </c>
      <c r="AF718" s="31" t="str">
        <f t="shared" si="205"/>
        <v/>
      </c>
      <c r="AG718" s="31" t="str">
        <f t="shared" si="206"/>
        <v/>
      </c>
      <c r="AH718" s="31" t="str">
        <f t="shared" si="207"/>
        <v/>
      </c>
      <c r="AI718" s="31" t="str">
        <f t="shared" si="208"/>
        <v/>
      </c>
      <c r="AJ718" s="303" t="str">
        <f t="shared" si="209"/>
        <v/>
      </c>
      <c r="AK718" s="139" t="str">
        <f t="shared" si="210"/>
        <v/>
      </c>
      <c r="AM718" s="319"/>
      <c r="AN718" s="40"/>
      <c r="AO718" s="1"/>
    </row>
    <row r="719" spans="7:41" x14ac:dyDescent="0.25">
      <c r="G719" s="235" t="str">
        <f t="shared" si="217"/>
        <v/>
      </c>
      <c r="H719" s="4" t="str">
        <f t="shared" ref="H719:H782" si="218">IF(SUM(N719:R719)&gt;0,CONCATENATE(IF(LEN(ROUNDDOWN(S719,0))=1,CONCATENATE("0",ROUNDDOWN(S719,0)),ROUNDDOWN(S719,0)),".",IF(LEN(ROUND(MOD(S719,1)*100,0))=1,CONCATENATE("0",ROUND(MOD(S719,1)*100,0)),ROUND(MOD(S719,1)*100,0)),IF(N719&lt;&gt;"",".N",IF(O719&lt;&gt;"",".R",IF(P719&lt;&gt;"",".O",IF(Q719&lt;&gt;"",".I",IF(R719&lt;&gt;"",".D","")))))),"")</f>
        <v/>
      </c>
      <c r="I719" s="11" t="str">
        <f t="shared" si="198"/>
        <v>09.00</v>
      </c>
      <c r="K719" s="30">
        <v>544</v>
      </c>
      <c r="L719" s="29">
        <f t="shared" si="211"/>
        <v>11371.908376190917</v>
      </c>
      <c r="M719" s="28" t="str">
        <f t="shared" si="199"/>
        <v/>
      </c>
      <c r="N719" s="27" t="str">
        <f t="shared" si="212"/>
        <v/>
      </c>
      <c r="O719" s="26" t="str">
        <f>IF(AND($Q718=$O$38,IFERROR(LARGE($V$176:$V718,1)&lt;$N$42,TRUE)),1,IF(AND(ISNUMBER($O718),$O718&lt;$N$32),$O718+1,""))</f>
        <v/>
      </c>
      <c r="P719" s="26" t="str">
        <f t="shared" si="213"/>
        <v/>
      </c>
      <c r="Q719" s="26" t="str">
        <f t="shared" si="200"/>
        <v/>
      </c>
      <c r="R719" s="24" t="str">
        <f t="shared" si="214"/>
        <v/>
      </c>
      <c r="S719" s="180">
        <f t="shared" si="215"/>
        <v>9</v>
      </c>
      <c r="T719" s="151"/>
      <c r="U719" s="25" t="str">
        <f t="shared" si="201"/>
        <v/>
      </c>
      <c r="V719" s="24" t="str">
        <f>IF(AND(ISNUMBER(R718),ISNUMBER(R719)),V718,IF(AND(R718="",ISNUMBER(R719)),IFERROR(LARGE($V$176:$V718,1)+1,0),""))</f>
        <v/>
      </c>
      <c r="W719" s="23" t="str">
        <f t="shared" si="202"/>
        <v/>
      </c>
      <c r="X719" s="22" t="str">
        <f t="shared" si="203"/>
        <v/>
      </c>
      <c r="Y719" s="22"/>
      <c r="Z719" s="22"/>
      <c r="AA719" s="22"/>
      <c r="AB719" s="22" t="str" cm="1">
        <f t="array" ref="AB719">IF(IF(AND($P718="",$P719=1),($N$37*-1),0)+IF(AND($Q718="",$Q719=1),($N$38*-1),0)+IF(IF(($K719-$N$48)&lt;1,0,IF(IF(INDEX($AD$176:$AD$905,($K719-$N$48))="",0,INDEX($AD$176:$AD$905,($K719-$N$48)))&gt;0,IF(INDEX($AD$176:$AD$905,($K719-$N$48))="",0,INDEX($AD$176:$AD$905,($K719-$N$48))),0))="",0,IF(($K719-$N$48)&lt;1,0,IF(IF(INDEX($AD$176:$AD$905,($K719-$N$48))="",0,INDEX($AD$176:$AD$905,($K719-$N$48)))&gt;0,IF(INDEX($AD$176:$AD$905,($K719-$N$48))="",0,INDEX($AD$176:$AD$905,($K719-$N$48))),0)))=0,"",IF(AND($P718="",$P719=1),($N$37*-1),0)+IF(AND($Q718="",$Q719=1),($N$38*-1),0)+IF(IF(($K719-$N$48)&lt;1,0,IF(IF(INDEX($AD$176:$AD$905,($K719-$N$48))="",0,INDEX($AD$176:$AD$905,($K719-$N$48)))&gt;0,IF(INDEX($AD$176:$AD$905,($K719-$N$48))="",0,INDEX($AD$176:$AD$905,($K719-$N$48))),0))="",0,IF(($K719-$N$48)&lt;1,0,IF(IF(INDEX($AD$176:$AD$905,($K719-$N$48))="",0,INDEX($AD$176:$AD$905,($K719-$N$48)))&gt;0,IF(INDEX($AD$176:$AD$905,($K719-$N$48))="",0,INDEX($AD$176:$AD$905,($K719-$N$48))),0))))</f>
        <v/>
      </c>
      <c r="AC719" s="22" t="str">
        <f t="shared" si="204"/>
        <v/>
      </c>
      <c r="AD719" s="22" t="str">
        <f t="shared" si="216"/>
        <v/>
      </c>
      <c r="AE719" s="22" t="str" cm="1">
        <f t="array" ref="AE719">IF(($K719-$N$48)&lt;1,"",IF((IF(INDEX($AC$176:$AC$905,($K719-$N$48))="",0,INDEX($AC$176:$AC$905,($K719-$N$48))))=0,"",(IF(INDEX($AC$176:$AC$905,($K719-$N$48))="",0,INDEX($AC$176:$AC$905,($K719-$N$48))))))</f>
        <v/>
      </c>
      <c r="AF719" s="31" t="str">
        <f t="shared" si="205"/>
        <v/>
      </c>
      <c r="AG719" s="31" t="str">
        <f t="shared" si="206"/>
        <v/>
      </c>
      <c r="AH719" s="31" t="str">
        <f t="shared" si="207"/>
        <v/>
      </c>
      <c r="AI719" s="31" t="str">
        <f t="shared" si="208"/>
        <v/>
      </c>
      <c r="AJ719" s="303" t="str">
        <f t="shared" si="209"/>
        <v/>
      </c>
      <c r="AK719" s="139" t="str">
        <f t="shared" si="210"/>
        <v/>
      </c>
      <c r="AM719" s="319"/>
      <c r="AN719" s="40"/>
      <c r="AO719" s="1"/>
    </row>
    <row r="720" spans="7:41" x14ac:dyDescent="0.25">
      <c r="G720" s="235" t="str">
        <f t="shared" si="217"/>
        <v/>
      </c>
      <c r="H720" s="4" t="str">
        <f t="shared" si="218"/>
        <v/>
      </c>
      <c r="I720" s="11" t="str">
        <f t="shared" si="198"/>
        <v>09.00</v>
      </c>
      <c r="K720" s="30">
        <v>545</v>
      </c>
      <c r="L720" s="29">
        <f t="shared" si="211"/>
        <v>11371.908376190917</v>
      </c>
      <c r="M720" s="28" t="str">
        <f t="shared" si="199"/>
        <v/>
      </c>
      <c r="N720" s="27" t="str">
        <f t="shared" si="212"/>
        <v/>
      </c>
      <c r="O720" s="26" t="str">
        <f>IF(AND($Q719=$O$38,IFERROR(LARGE($V$176:$V719,1)&lt;$N$42,TRUE)),1,IF(AND(ISNUMBER($O719),$O719&lt;$N$32),$O719+1,""))</f>
        <v/>
      </c>
      <c r="P720" s="26" t="str">
        <f t="shared" si="213"/>
        <v/>
      </c>
      <c r="Q720" s="26" t="str">
        <f t="shared" si="200"/>
        <v/>
      </c>
      <c r="R720" s="24" t="str">
        <f t="shared" si="214"/>
        <v/>
      </c>
      <c r="S720" s="180">
        <f t="shared" si="215"/>
        <v>9</v>
      </c>
      <c r="T720" s="151"/>
      <c r="U720" s="25" t="str">
        <f t="shared" si="201"/>
        <v/>
      </c>
      <c r="V720" s="24" t="str">
        <f>IF(AND(ISNUMBER(R719),ISNUMBER(R720)),V719,IF(AND(R719="",ISNUMBER(R720)),IFERROR(LARGE($V$176:$V719,1)+1,0),""))</f>
        <v/>
      </c>
      <c r="W720" s="23" t="str">
        <f t="shared" si="202"/>
        <v/>
      </c>
      <c r="X720" s="22" t="str">
        <f t="shared" si="203"/>
        <v/>
      </c>
      <c r="Y720" s="22"/>
      <c r="Z720" s="22"/>
      <c r="AA720" s="22"/>
      <c r="AB720" s="22" t="str" cm="1">
        <f t="array" ref="AB720">IF(IF(AND($P719="",$P720=1),($N$37*-1),0)+IF(AND($Q719="",$Q720=1),($N$38*-1),0)+IF(IF(($K720-$N$48)&lt;1,0,IF(IF(INDEX($AD$176:$AD$905,($K720-$N$48))="",0,INDEX($AD$176:$AD$905,($K720-$N$48)))&gt;0,IF(INDEX($AD$176:$AD$905,($K720-$N$48))="",0,INDEX($AD$176:$AD$905,($K720-$N$48))),0))="",0,IF(($K720-$N$48)&lt;1,0,IF(IF(INDEX($AD$176:$AD$905,($K720-$N$48))="",0,INDEX($AD$176:$AD$905,($K720-$N$48)))&gt;0,IF(INDEX($AD$176:$AD$905,($K720-$N$48))="",0,INDEX($AD$176:$AD$905,($K720-$N$48))),0)))=0,"",IF(AND($P719="",$P720=1),($N$37*-1),0)+IF(AND($Q719="",$Q720=1),($N$38*-1),0)+IF(IF(($K720-$N$48)&lt;1,0,IF(IF(INDEX($AD$176:$AD$905,($K720-$N$48))="",0,INDEX($AD$176:$AD$905,($K720-$N$48)))&gt;0,IF(INDEX($AD$176:$AD$905,($K720-$N$48))="",0,INDEX($AD$176:$AD$905,($K720-$N$48))),0))="",0,IF(($K720-$N$48)&lt;1,0,IF(IF(INDEX($AD$176:$AD$905,($K720-$N$48))="",0,INDEX($AD$176:$AD$905,($K720-$N$48)))&gt;0,IF(INDEX($AD$176:$AD$905,($K720-$N$48))="",0,INDEX($AD$176:$AD$905,($K720-$N$48))),0))))</f>
        <v/>
      </c>
      <c r="AC720" s="22" t="str">
        <f t="shared" si="204"/>
        <v/>
      </c>
      <c r="AD720" s="22" t="str">
        <f t="shared" si="216"/>
        <v/>
      </c>
      <c r="AE720" s="22" t="str" cm="1">
        <f t="array" ref="AE720">IF(($K720-$N$48)&lt;1,"",IF((IF(INDEX($AC$176:$AC$905,($K720-$N$48))="",0,INDEX($AC$176:$AC$905,($K720-$N$48))))=0,"",(IF(INDEX($AC$176:$AC$905,($K720-$N$48))="",0,INDEX($AC$176:$AC$905,($K720-$N$48))))))</f>
        <v/>
      </c>
      <c r="AF720" s="31" t="str">
        <f t="shared" si="205"/>
        <v/>
      </c>
      <c r="AG720" s="31" t="str">
        <f t="shared" si="206"/>
        <v/>
      </c>
      <c r="AH720" s="31" t="str">
        <f t="shared" si="207"/>
        <v/>
      </c>
      <c r="AI720" s="31" t="str">
        <f t="shared" si="208"/>
        <v/>
      </c>
      <c r="AJ720" s="303" t="str">
        <f t="shared" si="209"/>
        <v/>
      </c>
      <c r="AK720" s="139" t="str">
        <f t="shared" si="210"/>
        <v/>
      </c>
      <c r="AM720" s="319"/>
      <c r="AN720" s="40"/>
      <c r="AO720" s="1"/>
    </row>
    <row r="721" spans="7:41" x14ac:dyDescent="0.25">
      <c r="G721" s="235" t="str">
        <f t="shared" si="217"/>
        <v/>
      </c>
      <c r="H721" s="4" t="str">
        <f t="shared" si="218"/>
        <v/>
      </c>
      <c r="I721" s="11" t="str">
        <f t="shared" si="198"/>
        <v>09.00</v>
      </c>
      <c r="K721" s="30">
        <v>546</v>
      </c>
      <c r="L721" s="29">
        <f t="shared" si="211"/>
        <v>11371.908376190917</v>
      </c>
      <c r="M721" s="28" t="str">
        <f t="shared" si="199"/>
        <v/>
      </c>
      <c r="N721" s="27" t="str">
        <f t="shared" si="212"/>
        <v/>
      </c>
      <c r="O721" s="26" t="str">
        <f>IF(AND($Q720=$O$38,IFERROR(LARGE($V$176:$V720,1)&lt;$N$42,TRUE)),1,IF(AND(ISNUMBER($O720),$O720&lt;$N$32),$O720+1,""))</f>
        <v/>
      </c>
      <c r="P721" s="26" t="str">
        <f t="shared" si="213"/>
        <v/>
      </c>
      <c r="Q721" s="26" t="str">
        <f t="shared" si="200"/>
        <v/>
      </c>
      <c r="R721" s="24" t="str">
        <f t="shared" si="214"/>
        <v/>
      </c>
      <c r="S721" s="180">
        <f t="shared" si="215"/>
        <v>9</v>
      </c>
      <c r="T721" s="151"/>
      <c r="U721" s="25" t="str">
        <f t="shared" si="201"/>
        <v/>
      </c>
      <c r="V721" s="24" t="str">
        <f>IF(AND(ISNUMBER(R720),ISNUMBER(R721)),V720,IF(AND(R720="",ISNUMBER(R721)),IFERROR(LARGE($V$176:$V720,1)+1,0),""))</f>
        <v/>
      </c>
      <c r="W721" s="23" t="str">
        <f t="shared" si="202"/>
        <v/>
      </c>
      <c r="X721" s="22" t="str">
        <f t="shared" si="203"/>
        <v/>
      </c>
      <c r="Y721" s="22"/>
      <c r="Z721" s="22"/>
      <c r="AA721" s="22"/>
      <c r="AB721" s="22" t="str" cm="1">
        <f t="array" ref="AB721">IF(IF(AND($P720="",$P721=1),($N$37*-1),0)+IF(AND($Q720="",$Q721=1),($N$38*-1),0)+IF(IF(($K721-$N$48)&lt;1,0,IF(IF(INDEX($AD$176:$AD$905,($K721-$N$48))="",0,INDEX($AD$176:$AD$905,($K721-$N$48)))&gt;0,IF(INDEX($AD$176:$AD$905,($K721-$N$48))="",0,INDEX($AD$176:$AD$905,($K721-$N$48))),0))="",0,IF(($K721-$N$48)&lt;1,0,IF(IF(INDEX($AD$176:$AD$905,($K721-$N$48))="",0,INDEX($AD$176:$AD$905,($K721-$N$48)))&gt;0,IF(INDEX($AD$176:$AD$905,($K721-$N$48))="",0,INDEX($AD$176:$AD$905,($K721-$N$48))),0)))=0,"",IF(AND($P720="",$P721=1),($N$37*-1),0)+IF(AND($Q720="",$Q721=1),($N$38*-1),0)+IF(IF(($K721-$N$48)&lt;1,0,IF(IF(INDEX($AD$176:$AD$905,($K721-$N$48))="",0,INDEX($AD$176:$AD$905,($K721-$N$48)))&gt;0,IF(INDEX($AD$176:$AD$905,($K721-$N$48))="",0,INDEX($AD$176:$AD$905,($K721-$N$48))),0))="",0,IF(($K721-$N$48)&lt;1,0,IF(IF(INDEX($AD$176:$AD$905,($K721-$N$48))="",0,INDEX($AD$176:$AD$905,($K721-$N$48)))&gt;0,IF(INDEX($AD$176:$AD$905,($K721-$N$48))="",0,INDEX($AD$176:$AD$905,($K721-$N$48))),0))))</f>
        <v/>
      </c>
      <c r="AC721" s="22" t="str">
        <f t="shared" si="204"/>
        <v/>
      </c>
      <c r="AD721" s="22" t="str">
        <f t="shared" si="216"/>
        <v/>
      </c>
      <c r="AE721" s="22" t="str" cm="1">
        <f t="array" ref="AE721">IF(($K721-$N$48)&lt;1,"",IF((IF(INDEX($AC$176:$AC$905,($K721-$N$48))="",0,INDEX($AC$176:$AC$905,($K721-$N$48))))=0,"",(IF(INDEX($AC$176:$AC$905,($K721-$N$48))="",0,INDEX($AC$176:$AC$905,($K721-$N$48))))))</f>
        <v/>
      </c>
      <c r="AF721" s="31" t="str">
        <f t="shared" si="205"/>
        <v/>
      </c>
      <c r="AG721" s="31" t="str">
        <f t="shared" si="206"/>
        <v/>
      </c>
      <c r="AH721" s="31" t="str">
        <f t="shared" si="207"/>
        <v/>
      </c>
      <c r="AI721" s="31" t="str">
        <f t="shared" si="208"/>
        <v/>
      </c>
      <c r="AJ721" s="303" t="str">
        <f t="shared" si="209"/>
        <v/>
      </c>
      <c r="AK721" s="139" t="str">
        <f t="shared" si="210"/>
        <v/>
      </c>
      <c r="AM721" s="319"/>
      <c r="AN721" s="40"/>
      <c r="AO721" s="1"/>
    </row>
    <row r="722" spans="7:41" x14ac:dyDescent="0.25">
      <c r="G722" s="235" t="str">
        <f t="shared" si="217"/>
        <v/>
      </c>
      <c r="H722" s="4" t="str">
        <f t="shared" si="218"/>
        <v/>
      </c>
      <c r="I722" s="11" t="str">
        <f t="shared" si="198"/>
        <v>09.00</v>
      </c>
      <c r="K722" s="30">
        <v>547</v>
      </c>
      <c r="L722" s="29">
        <f t="shared" si="211"/>
        <v>11371.908376190917</v>
      </c>
      <c r="M722" s="28" t="str">
        <f t="shared" si="199"/>
        <v/>
      </c>
      <c r="N722" s="27" t="str">
        <f t="shared" si="212"/>
        <v/>
      </c>
      <c r="O722" s="26" t="str">
        <f>IF(AND($Q721=$O$38,IFERROR(LARGE($V$176:$V721,1)&lt;$N$42,TRUE)),1,IF(AND(ISNUMBER($O721),$O721&lt;$N$32),$O721+1,""))</f>
        <v/>
      </c>
      <c r="P722" s="26" t="str">
        <f t="shared" si="213"/>
        <v/>
      </c>
      <c r="Q722" s="26" t="str">
        <f t="shared" si="200"/>
        <v/>
      </c>
      <c r="R722" s="24" t="str">
        <f t="shared" si="214"/>
        <v/>
      </c>
      <c r="S722" s="180">
        <f t="shared" si="215"/>
        <v>9</v>
      </c>
      <c r="T722" s="151"/>
      <c r="U722" s="25" t="str">
        <f t="shared" si="201"/>
        <v/>
      </c>
      <c r="V722" s="24" t="str">
        <f>IF(AND(ISNUMBER(R721),ISNUMBER(R722)),V721,IF(AND(R721="",ISNUMBER(R722)),IFERROR(LARGE($V$176:$V721,1)+1,0),""))</f>
        <v/>
      </c>
      <c r="W722" s="23" t="str">
        <f t="shared" si="202"/>
        <v/>
      </c>
      <c r="X722" s="22" t="str">
        <f t="shared" si="203"/>
        <v/>
      </c>
      <c r="Y722" s="22"/>
      <c r="Z722" s="22"/>
      <c r="AA722" s="22"/>
      <c r="AB722" s="22" t="str" cm="1">
        <f t="array" ref="AB722">IF(IF(AND($P721="",$P722=1),($N$37*-1),0)+IF(AND($Q721="",$Q722=1),($N$38*-1),0)+IF(IF(($K722-$N$48)&lt;1,0,IF(IF(INDEX($AD$176:$AD$905,($K722-$N$48))="",0,INDEX($AD$176:$AD$905,($K722-$N$48)))&gt;0,IF(INDEX($AD$176:$AD$905,($K722-$N$48))="",0,INDEX($AD$176:$AD$905,($K722-$N$48))),0))="",0,IF(($K722-$N$48)&lt;1,0,IF(IF(INDEX($AD$176:$AD$905,($K722-$N$48))="",0,INDEX($AD$176:$AD$905,($K722-$N$48)))&gt;0,IF(INDEX($AD$176:$AD$905,($K722-$N$48))="",0,INDEX($AD$176:$AD$905,($K722-$N$48))),0)))=0,"",IF(AND($P721="",$P722=1),($N$37*-1),0)+IF(AND($Q721="",$Q722=1),($N$38*-1),0)+IF(IF(($K722-$N$48)&lt;1,0,IF(IF(INDEX($AD$176:$AD$905,($K722-$N$48))="",0,INDEX($AD$176:$AD$905,($K722-$N$48)))&gt;0,IF(INDEX($AD$176:$AD$905,($K722-$N$48))="",0,INDEX($AD$176:$AD$905,($K722-$N$48))),0))="",0,IF(($K722-$N$48)&lt;1,0,IF(IF(INDEX($AD$176:$AD$905,($K722-$N$48))="",0,INDEX($AD$176:$AD$905,($K722-$N$48)))&gt;0,IF(INDEX($AD$176:$AD$905,($K722-$N$48))="",0,INDEX($AD$176:$AD$905,($K722-$N$48))),0))))</f>
        <v/>
      </c>
      <c r="AC722" s="22" t="str">
        <f t="shared" si="204"/>
        <v/>
      </c>
      <c r="AD722" s="22" t="str">
        <f t="shared" si="216"/>
        <v/>
      </c>
      <c r="AE722" s="22" t="str" cm="1">
        <f t="array" ref="AE722">IF(($K722-$N$48)&lt;1,"",IF((IF(INDEX($AC$176:$AC$905,($K722-$N$48))="",0,INDEX($AC$176:$AC$905,($K722-$N$48))))=0,"",(IF(INDEX($AC$176:$AC$905,($K722-$N$48))="",0,INDEX($AC$176:$AC$905,($K722-$N$48))))))</f>
        <v/>
      </c>
      <c r="AF722" s="31" t="str">
        <f t="shared" si="205"/>
        <v/>
      </c>
      <c r="AG722" s="31" t="str">
        <f t="shared" si="206"/>
        <v/>
      </c>
      <c r="AH722" s="31" t="str">
        <f t="shared" si="207"/>
        <v/>
      </c>
      <c r="AI722" s="31" t="str">
        <f t="shared" si="208"/>
        <v/>
      </c>
      <c r="AJ722" s="303" t="str">
        <f t="shared" si="209"/>
        <v/>
      </c>
      <c r="AK722" s="139" t="str">
        <f t="shared" si="210"/>
        <v/>
      </c>
      <c r="AM722" s="319"/>
      <c r="AN722" s="40"/>
      <c r="AO722" s="1"/>
    </row>
    <row r="723" spans="7:41" x14ac:dyDescent="0.25">
      <c r="G723" s="235" t="str">
        <f t="shared" si="217"/>
        <v/>
      </c>
      <c r="H723" s="4" t="str">
        <f t="shared" si="218"/>
        <v/>
      </c>
      <c r="I723" s="11" t="str">
        <f t="shared" si="198"/>
        <v>09.00</v>
      </c>
      <c r="K723" s="30">
        <v>548</v>
      </c>
      <c r="L723" s="29">
        <f t="shared" si="211"/>
        <v>11371.908376190917</v>
      </c>
      <c r="M723" s="28" t="str">
        <f t="shared" si="199"/>
        <v/>
      </c>
      <c r="N723" s="27" t="str">
        <f t="shared" si="212"/>
        <v/>
      </c>
      <c r="O723" s="26" t="str">
        <f>IF(AND($Q722=$O$38,IFERROR(LARGE($V$176:$V722,1)&lt;$N$42,TRUE)),1,IF(AND(ISNUMBER($O722),$O722&lt;$N$32),$O722+1,""))</f>
        <v/>
      </c>
      <c r="P723" s="26" t="str">
        <f t="shared" si="213"/>
        <v/>
      </c>
      <c r="Q723" s="26" t="str">
        <f t="shared" si="200"/>
        <v/>
      </c>
      <c r="R723" s="24" t="str">
        <f t="shared" si="214"/>
        <v/>
      </c>
      <c r="S723" s="180">
        <f t="shared" si="215"/>
        <v>9</v>
      </c>
      <c r="T723" s="151"/>
      <c r="U723" s="25" t="str">
        <f t="shared" si="201"/>
        <v/>
      </c>
      <c r="V723" s="24" t="str">
        <f>IF(AND(ISNUMBER(R722),ISNUMBER(R723)),V722,IF(AND(R722="",ISNUMBER(R723)),IFERROR(LARGE($V$176:$V722,1)+1,0),""))</f>
        <v/>
      </c>
      <c r="W723" s="23" t="str">
        <f t="shared" si="202"/>
        <v/>
      </c>
      <c r="X723" s="22" t="str">
        <f t="shared" si="203"/>
        <v/>
      </c>
      <c r="Y723" s="22"/>
      <c r="Z723" s="22"/>
      <c r="AA723" s="22"/>
      <c r="AB723" s="22" t="str" cm="1">
        <f t="array" ref="AB723">IF(IF(AND($P722="",$P723=1),($N$37*-1),0)+IF(AND($Q722="",$Q723=1),($N$38*-1),0)+IF(IF(($K723-$N$48)&lt;1,0,IF(IF(INDEX($AD$176:$AD$905,($K723-$N$48))="",0,INDEX($AD$176:$AD$905,($K723-$N$48)))&gt;0,IF(INDEX($AD$176:$AD$905,($K723-$N$48))="",0,INDEX($AD$176:$AD$905,($K723-$N$48))),0))="",0,IF(($K723-$N$48)&lt;1,0,IF(IF(INDEX($AD$176:$AD$905,($K723-$N$48))="",0,INDEX($AD$176:$AD$905,($K723-$N$48)))&gt;0,IF(INDEX($AD$176:$AD$905,($K723-$N$48))="",0,INDEX($AD$176:$AD$905,($K723-$N$48))),0)))=0,"",IF(AND($P722="",$P723=1),($N$37*-1),0)+IF(AND($Q722="",$Q723=1),($N$38*-1),0)+IF(IF(($K723-$N$48)&lt;1,0,IF(IF(INDEX($AD$176:$AD$905,($K723-$N$48))="",0,INDEX($AD$176:$AD$905,($K723-$N$48)))&gt;0,IF(INDEX($AD$176:$AD$905,($K723-$N$48))="",0,INDEX($AD$176:$AD$905,($K723-$N$48))),0))="",0,IF(($K723-$N$48)&lt;1,0,IF(IF(INDEX($AD$176:$AD$905,($K723-$N$48))="",0,INDEX($AD$176:$AD$905,($K723-$N$48)))&gt;0,IF(INDEX($AD$176:$AD$905,($K723-$N$48))="",0,INDEX($AD$176:$AD$905,($K723-$N$48))),0))))</f>
        <v/>
      </c>
      <c r="AC723" s="22" t="str">
        <f t="shared" si="204"/>
        <v/>
      </c>
      <c r="AD723" s="22" t="str">
        <f t="shared" si="216"/>
        <v/>
      </c>
      <c r="AE723" s="22" t="str" cm="1">
        <f t="array" ref="AE723">IF(($K723-$N$48)&lt;1,"",IF((IF(INDEX($AC$176:$AC$905,($K723-$N$48))="",0,INDEX($AC$176:$AC$905,($K723-$N$48))))=0,"",(IF(INDEX($AC$176:$AC$905,($K723-$N$48))="",0,INDEX($AC$176:$AC$905,($K723-$N$48))))))</f>
        <v/>
      </c>
      <c r="AF723" s="31" t="str">
        <f t="shared" si="205"/>
        <v/>
      </c>
      <c r="AG723" s="31" t="str">
        <f t="shared" si="206"/>
        <v/>
      </c>
      <c r="AH723" s="31" t="str">
        <f t="shared" si="207"/>
        <v/>
      </c>
      <c r="AI723" s="31" t="str">
        <f t="shared" si="208"/>
        <v/>
      </c>
      <c r="AJ723" s="303" t="str">
        <f t="shared" si="209"/>
        <v/>
      </c>
      <c r="AK723" s="139" t="str">
        <f t="shared" si="210"/>
        <v/>
      </c>
      <c r="AM723" s="319"/>
      <c r="AN723" s="40"/>
      <c r="AO723" s="1"/>
    </row>
    <row r="724" spans="7:41" x14ac:dyDescent="0.25">
      <c r="G724" s="235" t="str">
        <f t="shared" si="217"/>
        <v/>
      </c>
      <c r="H724" s="4" t="str">
        <f t="shared" si="218"/>
        <v/>
      </c>
      <c r="I724" s="11" t="str">
        <f t="shared" si="198"/>
        <v>09.00</v>
      </c>
      <c r="K724" s="30">
        <v>549</v>
      </c>
      <c r="L724" s="29">
        <f t="shared" si="211"/>
        <v>11371.908376190917</v>
      </c>
      <c r="M724" s="28" t="str">
        <f t="shared" si="199"/>
        <v/>
      </c>
      <c r="N724" s="27" t="str">
        <f t="shared" si="212"/>
        <v/>
      </c>
      <c r="O724" s="26" t="str">
        <f>IF(AND($Q723=$O$38,IFERROR(LARGE($V$176:$V723,1)&lt;$N$42,TRUE)),1,IF(AND(ISNUMBER($O723),$O723&lt;$N$32),$O723+1,""))</f>
        <v/>
      </c>
      <c r="P724" s="26" t="str">
        <f t="shared" si="213"/>
        <v/>
      </c>
      <c r="Q724" s="26" t="str">
        <f t="shared" si="200"/>
        <v/>
      </c>
      <c r="R724" s="24" t="str">
        <f t="shared" si="214"/>
        <v/>
      </c>
      <c r="S724" s="180">
        <f t="shared" si="215"/>
        <v>9</v>
      </c>
      <c r="T724" s="151"/>
      <c r="U724" s="25" t="str">
        <f t="shared" si="201"/>
        <v/>
      </c>
      <c r="V724" s="24" t="str">
        <f>IF(AND(ISNUMBER(R723),ISNUMBER(R724)),V723,IF(AND(R723="",ISNUMBER(R724)),IFERROR(LARGE($V$176:$V723,1)+1,0),""))</f>
        <v/>
      </c>
      <c r="W724" s="23" t="str">
        <f t="shared" si="202"/>
        <v/>
      </c>
      <c r="X724" s="22" t="str">
        <f t="shared" si="203"/>
        <v/>
      </c>
      <c r="Y724" s="22"/>
      <c r="Z724" s="22"/>
      <c r="AA724" s="22"/>
      <c r="AB724" s="22" t="str" cm="1">
        <f t="array" ref="AB724">IF(IF(AND($P723="",$P724=1),($N$37*-1),0)+IF(AND($Q723="",$Q724=1),($N$38*-1),0)+IF(IF(($K724-$N$48)&lt;1,0,IF(IF(INDEX($AD$176:$AD$905,($K724-$N$48))="",0,INDEX($AD$176:$AD$905,($K724-$N$48)))&gt;0,IF(INDEX($AD$176:$AD$905,($K724-$N$48))="",0,INDEX($AD$176:$AD$905,($K724-$N$48))),0))="",0,IF(($K724-$N$48)&lt;1,0,IF(IF(INDEX($AD$176:$AD$905,($K724-$N$48))="",0,INDEX($AD$176:$AD$905,($K724-$N$48)))&gt;0,IF(INDEX($AD$176:$AD$905,($K724-$N$48))="",0,INDEX($AD$176:$AD$905,($K724-$N$48))),0)))=0,"",IF(AND($P723="",$P724=1),($N$37*-1),0)+IF(AND($Q723="",$Q724=1),($N$38*-1),0)+IF(IF(($K724-$N$48)&lt;1,0,IF(IF(INDEX($AD$176:$AD$905,($K724-$N$48))="",0,INDEX($AD$176:$AD$905,($K724-$N$48)))&gt;0,IF(INDEX($AD$176:$AD$905,($K724-$N$48))="",0,INDEX($AD$176:$AD$905,($K724-$N$48))),0))="",0,IF(($K724-$N$48)&lt;1,0,IF(IF(INDEX($AD$176:$AD$905,($K724-$N$48))="",0,INDEX($AD$176:$AD$905,($K724-$N$48)))&gt;0,IF(INDEX($AD$176:$AD$905,($K724-$N$48))="",0,INDEX($AD$176:$AD$905,($K724-$N$48))),0))))</f>
        <v/>
      </c>
      <c r="AC724" s="22" t="str">
        <f t="shared" si="204"/>
        <v/>
      </c>
      <c r="AD724" s="22" t="str">
        <f t="shared" si="216"/>
        <v/>
      </c>
      <c r="AE724" s="22" t="str" cm="1">
        <f t="array" ref="AE724">IF(($K724-$N$48)&lt;1,"",IF((IF(INDEX($AC$176:$AC$905,($K724-$N$48))="",0,INDEX($AC$176:$AC$905,($K724-$N$48))))=0,"",(IF(INDEX($AC$176:$AC$905,($K724-$N$48))="",0,INDEX($AC$176:$AC$905,($K724-$N$48))))))</f>
        <v/>
      </c>
      <c r="AF724" s="31" t="str">
        <f t="shared" si="205"/>
        <v/>
      </c>
      <c r="AG724" s="31" t="str">
        <f t="shared" si="206"/>
        <v/>
      </c>
      <c r="AH724" s="31" t="str">
        <f t="shared" si="207"/>
        <v/>
      </c>
      <c r="AI724" s="31" t="str">
        <f t="shared" si="208"/>
        <v/>
      </c>
      <c r="AJ724" s="303" t="str">
        <f t="shared" si="209"/>
        <v/>
      </c>
      <c r="AK724" s="139" t="str">
        <f t="shared" si="210"/>
        <v/>
      </c>
      <c r="AM724" s="319"/>
      <c r="AN724" s="40"/>
      <c r="AO724" s="1"/>
    </row>
    <row r="725" spans="7:41" x14ac:dyDescent="0.25">
      <c r="G725" s="235" t="str">
        <f t="shared" si="217"/>
        <v/>
      </c>
      <c r="H725" s="4" t="str">
        <f t="shared" si="218"/>
        <v/>
      </c>
      <c r="I725" s="11" t="str">
        <f t="shared" si="198"/>
        <v>09.00</v>
      </c>
      <c r="K725" s="30">
        <v>550</v>
      </c>
      <c r="L725" s="29">
        <f t="shared" si="211"/>
        <v>11371.908376190917</v>
      </c>
      <c r="M725" s="28" t="str">
        <f t="shared" si="199"/>
        <v/>
      </c>
      <c r="N725" s="27" t="str">
        <f t="shared" si="212"/>
        <v/>
      </c>
      <c r="O725" s="26" t="str">
        <f>IF(AND($Q724=$O$38,IFERROR(LARGE($V$176:$V724,1)&lt;$N$42,TRUE)),1,IF(AND(ISNUMBER($O724),$O724&lt;$N$32),$O724+1,""))</f>
        <v/>
      </c>
      <c r="P725" s="26" t="str">
        <f t="shared" si="213"/>
        <v/>
      </c>
      <c r="Q725" s="26" t="str">
        <f t="shared" si="200"/>
        <v/>
      </c>
      <c r="R725" s="24" t="str">
        <f t="shared" si="214"/>
        <v/>
      </c>
      <c r="S725" s="180">
        <f t="shared" si="215"/>
        <v>9</v>
      </c>
      <c r="T725" s="151"/>
      <c r="U725" s="25" t="str">
        <f t="shared" si="201"/>
        <v/>
      </c>
      <c r="V725" s="24" t="str">
        <f>IF(AND(ISNUMBER(R724),ISNUMBER(R725)),V724,IF(AND(R724="",ISNUMBER(R725)),IFERROR(LARGE($V$176:$V724,1)+1,0),""))</f>
        <v/>
      </c>
      <c r="W725" s="23" t="str">
        <f t="shared" si="202"/>
        <v/>
      </c>
      <c r="X725" s="22" t="str">
        <f t="shared" si="203"/>
        <v/>
      </c>
      <c r="Y725" s="22"/>
      <c r="Z725" s="22"/>
      <c r="AA725" s="22"/>
      <c r="AB725" s="22" t="str" cm="1">
        <f t="array" ref="AB725">IF(IF(AND($P724="",$P725=1),($N$37*-1),0)+IF(AND($Q724="",$Q725=1),($N$38*-1),0)+IF(IF(($K725-$N$48)&lt;1,0,IF(IF(INDEX($AD$176:$AD$905,($K725-$N$48))="",0,INDEX($AD$176:$AD$905,($K725-$N$48)))&gt;0,IF(INDEX($AD$176:$AD$905,($K725-$N$48))="",0,INDEX($AD$176:$AD$905,($K725-$N$48))),0))="",0,IF(($K725-$N$48)&lt;1,0,IF(IF(INDEX($AD$176:$AD$905,($K725-$N$48))="",0,INDEX($AD$176:$AD$905,($K725-$N$48)))&gt;0,IF(INDEX($AD$176:$AD$905,($K725-$N$48))="",0,INDEX($AD$176:$AD$905,($K725-$N$48))),0)))=0,"",IF(AND($P724="",$P725=1),($N$37*-1),0)+IF(AND($Q724="",$Q725=1),($N$38*-1),0)+IF(IF(($K725-$N$48)&lt;1,0,IF(IF(INDEX($AD$176:$AD$905,($K725-$N$48))="",0,INDEX($AD$176:$AD$905,($K725-$N$48)))&gt;0,IF(INDEX($AD$176:$AD$905,($K725-$N$48))="",0,INDEX($AD$176:$AD$905,($K725-$N$48))),0))="",0,IF(($K725-$N$48)&lt;1,0,IF(IF(INDEX($AD$176:$AD$905,($K725-$N$48))="",0,INDEX($AD$176:$AD$905,($K725-$N$48)))&gt;0,IF(INDEX($AD$176:$AD$905,($K725-$N$48))="",0,INDEX($AD$176:$AD$905,($K725-$N$48))),0))))</f>
        <v/>
      </c>
      <c r="AC725" s="22" t="str">
        <f t="shared" si="204"/>
        <v/>
      </c>
      <c r="AD725" s="22" t="str">
        <f t="shared" si="216"/>
        <v/>
      </c>
      <c r="AE725" s="22" t="str" cm="1">
        <f t="array" ref="AE725">IF(($K725-$N$48)&lt;1,"",IF((IF(INDEX($AC$176:$AC$905,($K725-$N$48))="",0,INDEX($AC$176:$AC$905,($K725-$N$48))))=0,"",(IF(INDEX($AC$176:$AC$905,($K725-$N$48))="",0,INDEX($AC$176:$AC$905,($K725-$N$48))))))</f>
        <v/>
      </c>
      <c r="AF725" s="31" t="str">
        <f t="shared" si="205"/>
        <v/>
      </c>
      <c r="AG725" s="31" t="str">
        <f t="shared" si="206"/>
        <v/>
      </c>
      <c r="AH725" s="31" t="str">
        <f t="shared" si="207"/>
        <v/>
      </c>
      <c r="AI725" s="31" t="str">
        <f t="shared" si="208"/>
        <v/>
      </c>
      <c r="AJ725" s="303" t="str">
        <f t="shared" si="209"/>
        <v/>
      </c>
      <c r="AK725" s="139" t="str">
        <f t="shared" si="210"/>
        <v/>
      </c>
      <c r="AM725" s="319"/>
      <c r="AN725" s="40"/>
      <c r="AO725" s="1"/>
    </row>
    <row r="726" spans="7:41" x14ac:dyDescent="0.25">
      <c r="G726" s="235" t="str">
        <f t="shared" si="217"/>
        <v/>
      </c>
      <c r="H726" s="4" t="str">
        <f t="shared" si="218"/>
        <v/>
      </c>
      <c r="I726" s="11" t="str">
        <f t="shared" si="198"/>
        <v>09.00</v>
      </c>
      <c r="K726" s="30">
        <v>551</v>
      </c>
      <c r="L726" s="29">
        <f t="shared" si="211"/>
        <v>11371.908376190917</v>
      </c>
      <c r="M726" s="28" t="str">
        <f t="shared" si="199"/>
        <v/>
      </c>
      <c r="N726" s="27" t="str">
        <f t="shared" si="212"/>
        <v/>
      </c>
      <c r="O726" s="26" t="str">
        <f>IF(AND($Q725=$O$38,IFERROR(LARGE($V$176:$V725,1)&lt;$N$42,TRUE)),1,IF(AND(ISNUMBER($O725),$O725&lt;$N$32),$O725+1,""))</f>
        <v/>
      </c>
      <c r="P726" s="26" t="str">
        <f t="shared" si="213"/>
        <v/>
      </c>
      <c r="Q726" s="26" t="str">
        <f t="shared" si="200"/>
        <v/>
      </c>
      <c r="R726" s="24" t="str">
        <f t="shared" si="214"/>
        <v/>
      </c>
      <c r="S726" s="180">
        <f t="shared" si="215"/>
        <v>9</v>
      </c>
      <c r="T726" s="151"/>
      <c r="U726" s="25" t="str">
        <f t="shared" si="201"/>
        <v/>
      </c>
      <c r="V726" s="24" t="str">
        <f>IF(AND(ISNUMBER(R725),ISNUMBER(R726)),V725,IF(AND(R725="",ISNUMBER(R726)),IFERROR(LARGE($V$176:$V725,1)+1,0),""))</f>
        <v/>
      </c>
      <c r="W726" s="23" t="str">
        <f t="shared" si="202"/>
        <v/>
      </c>
      <c r="X726" s="22" t="str">
        <f t="shared" si="203"/>
        <v/>
      </c>
      <c r="Y726" s="22"/>
      <c r="Z726" s="22"/>
      <c r="AA726" s="22"/>
      <c r="AB726" s="22" t="str" cm="1">
        <f t="array" ref="AB726">IF(IF(AND($P725="",$P726=1),($N$37*-1),0)+IF(AND($Q725="",$Q726=1),($N$38*-1),0)+IF(IF(($K726-$N$48)&lt;1,0,IF(IF(INDEX($AD$176:$AD$905,($K726-$N$48))="",0,INDEX($AD$176:$AD$905,($K726-$N$48)))&gt;0,IF(INDEX($AD$176:$AD$905,($K726-$N$48))="",0,INDEX($AD$176:$AD$905,($K726-$N$48))),0))="",0,IF(($K726-$N$48)&lt;1,0,IF(IF(INDEX($AD$176:$AD$905,($K726-$N$48))="",0,INDEX($AD$176:$AD$905,($K726-$N$48)))&gt;0,IF(INDEX($AD$176:$AD$905,($K726-$N$48))="",0,INDEX($AD$176:$AD$905,($K726-$N$48))),0)))=0,"",IF(AND($P725="",$P726=1),($N$37*-1),0)+IF(AND($Q725="",$Q726=1),($N$38*-1),0)+IF(IF(($K726-$N$48)&lt;1,0,IF(IF(INDEX($AD$176:$AD$905,($K726-$N$48))="",0,INDEX($AD$176:$AD$905,($K726-$N$48)))&gt;0,IF(INDEX($AD$176:$AD$905,($K726-$N$48))="",0,INDEX($AD$176:$AD$905,($K726-$N$48))),0))="",0,IF(($K726-$N$48)&lt;1,0,IF(IF(INDEX($AD$176:$AD$905,($K726-$N$48))="",0,INDEX($AD$176:$AD$905,($K726-$N$48)))&gt;0,IF(INDEX($AD$176:$AD$905,($K726-$N$48))="",0,INDEX($AD$176:$AD$905,($K726-$N$48))),0))))</f>
        <v/>
      </c>
      <c r="AC726" s="22" t="str">
        <f t="shared" si="204"/>
        <v/>
      </c>
      <c r="AD726" s="22" t="str">
        <f t="shared" si="216"/>
        <v/>
      </c>
      <c r="AE726" s="22" t="str" cm="1">
        <f t="array" ref="AE726">IF(($K726-$N$48)&lt;1,"",IF((IF(INDEX($AC$176:$AC$905,($K726-$N$48))="",0,INDEX($AC$176:$AC$905,($K726-$N$48))))=0,"",(IF(INDEX($AC$176:$AC$905,($K726-$N$48))="",0,INDEX($AC$176:$AC$905,($K726-$N$48))))))</f>
        <v/>
      </c>
      <c r="AF726" s="31" t="str">
        <f t="shared" si="205"/>
        <v/>
      </c>
      <c r="AG726" s="31" t="str">
        <f t="shared" si="206"/>
        <v/>
      </c>
      <c r="AH726" s="31" t="str">
        <f t="shared" si="207"/>
        <v/>
      </c>
      <c r="AI726" s="31" t="str">
        <f t="shared" si="208"/>
        <v/>
      </c>
      <c r="AJ726" s="303" t="str">
        <f t="shared" si="209"/>
        <v/>
      </c>
      <c r="AK726" s="139" t="str">
        <f t="shared" si="210"/>
        <v/>
      </c>
      <c r="AM726" s="319"/>
      <c r="AN726" s="40"/>
      <c r="AO726" s="1"/>
    </row>
    <row r="727" spans="7:41" x14ac:dyDescent="0.25">
      <c r="G727" s="235" t="str">
        <f t="shared" si="217"/>
        <v/>
      </c>
      <c r="H727" s="4" t="str">
        <f t="shared" si="218"/>
        <v/>
      </c>
      <c r="I727" s="11" t="str">
        <f t="shared" si="198"/>
        <v>09.00</v>
      </c>
      <c r="K727" s="30">
        <v>552</v>
      </c>
      <c r="L727" s="29">
        <f t="shared" si="211"/>
        <v>11371.908376190917</v>
      </c>
      <c r="M727" s="28" t="str">
        <f t="shared" si="199"/>
        <v/>
      </c>
      <c r="N727" s="27" t="str">
        <f t="shared" si="212"/>
        <v/>
      </c>
      <c r="O727" s="26" t="str">
        <f>IF(AND($Q726=$O$38,IFERROR(LARGE($V$176:$V726,1)&lt;$N$42,TRUE)),1,IF(AND(ISNUMBER($O726),$O726&lt;$N$32),$O726+1,""))</f>
        <v/>
      </c>
      <c r="P727" s="26" t="str">
        <f t="shared" si="213"/>
        <v/>
      </c>
      <c r="Q727" s="26" t="str">
        <f t="shared" si="200"/>
        <v/>
      </c>
      <c r="R727" s="24" t="str">
        <f t="shared" si="214"/>
        <v/>
      </c>
      <c r="S727" s="180">
        <f t="shared" si="215"/>
        <v>9</v>
      </c>
      <c r="T727" s="151"/>
      <c r="U727" s="25" t="str">
        <f t="shared" si="201"/>
        <v/>
      </c>
      <c r="V727" s="24" t="str">
        <f>IF(AND(ISNUMBER(R726),ISNUMBER(R727)),V726,IF(AND(R726="",ISNUMBER(R727)),IFERROR(LARGE($V$176:$V726,1)+1,0),""))</f>
        <v/>
      </c>
      <c r="W727" s="23" t="str">
        <f t="shared" si="202"/>
        <v/>
      </c>
      <c r="X727" s="22" t="str">
        <f t="shared" si="203"/>
        <v/>
      </c>
      <c r="Y727" s="22"/>
      <c r="Z727" s="22"/>
      <c r="AA727" s="22"/>
      <c r="AB727" s="22" t="str" cm="1">
        <f t="array" ref="AB727">IF(IF(AND($P726="",$P727=1),($N$37*-1),0)+IF(AND($Q726="",$Q727=1),($N$38*-1),0)+IF(IF(($K727-$N$48)&lt;1,0,IF(IF(INDEX($AD$176:$AD$905,($K727-$N$48))="",0,INDEX($AD$176:$AD$905,($K727-$N$48)))&gt;0,IF(INDEX($AD$176:$AD$905,($K727-$N$48))="",0,INDEX($AD$176:$AD$905,($K727-$N$48))),0))="",0,IF(($K727-$N$48)&lt;1,0,IF(IF(INDEX($AD$176:$AD$905,($K727-$N$48))="",0,INDEX($AD$176:$AD$905,($K727-$N$48)))&gt;0,IF(INDEX($AD$176:$AD$905,($K727-$N$48))="",0,INDEX($AD$176:$AD$905,($K727-$N$48))),0)))=0,"",IF(AND($P726="",$P727=1),($N$37*-1),0)+IF(AND($Q726="",$Q727=1),($N$38*-1),0)+IF(IF(($K727-$N$48)&lt;1,0,IF(IF(INDEX($AD$176:$AD$905,($K727-$N$48))="",0,INDEX($AD$176:$AD$905,($K727-$N$48)))&gt;0,IF(INDEX($AD$176:$AD$905,($K727-$N$48))="",0,INDEX($AD$176:$AD$905,($K727-$N$48))),0))="",0,IF(($K727-$N$48)&lt;1,0,IF(IF(INDEX($AD$176:$AD$905,($K727-$N$48))="",0,INDEX($AD$176:$AD$905,($K727-$N$48)))&gt;0,IF(INDEX($AD$176:$AD$905,($K727-$N$48))="",0,INDEX($AD$176:$AD$905,($K727-$N$48))),0))))</f>
        <v/>
      </c>
      <c r="AC727" s="22" t="str">
        <f t="shared" si="204"/>
        <v/>
      </c>
      <c r="AD727" s="22" t="str">
        <f t="shared" si="216"/>
        <v/>
      </c>
      <c r="AE727" s="22" t="str" cm="1">
        <f t="array" ref="AE727">IF(($K727-$N$48)&lt;1,"",IF((IF(INDEX($AC$176:$AC$905,($K727-$N$48))="",0,INDEX($AC$176:$AC$905,($K727-$N$48))))=0,"",(IF(INDEX($AC$176:$AC$905,($K727-$N$48))="",0,INDEX($AC$176:$AC$905,($K727-$N$48))))))</f>
        <v/>
      </c>
      <c r="AF727" s="31" t="str">
        <f t="shared" si="205"/>
        <v/>
      </c>
      <c r="AG727" s="31" t="str">
        <f t="shared" si="206"/>
        <v/>
      </c>
      <c r="AH727" s="31" t="str">
        <f t="shared" si="207"/>
        <v/>
      </c>
      <c r="AI727" s="31" t="str">
        <f t="shared" si="208"/>
        <v/>
      </c>
      <c r="AJ727" s="303" t="str">
        <f t="shared" si="209"/>
        <v/>
      </c>
      <c r="AK727" s="139" t="str">
        <f t="shared" si="210"/>
        <v/>
      </c>
      <c r="AM727" s="319"/>
      <c r="AN727" s="40"/>
      <c r="AO727" s="1"/>
    </row>
    <row r="728" spans="7:41" x14ac:dyDescent="0.25">
      <c r="G728" s="235" t="str">
        <f t="shared" si="217"/>
        <v/>
      </c>
      <c r="H728" s="4" t="str">
        <f t="shared" si="218"/>
        <v/>
      </c>
      <c r="I728" s="11" t="str">
        <f t="shared" si="198"/>
        <v>09.00</v>
      </c>
      <c r="K728" s="30">
        <v>553</v>
      </c>
      <c r="L728" s="29">
        <f t="shared" si="211"/>
        <v>11371.908376190917</v>
      </c>
      <c r="M728" s="28" t="str">
        <f t="shared" si="199"/>
        <v/>
      </c>
      <c r="N728" s="27" t="str">
        <f t="shared" si="212"/>
        <v/>
      </c>
      <c r="O728" s="26" t="str">
        <f>IF(AND($Q727=$O$38,IFERROR(LARGE($V$176:$V727,1)&lt;$N$42,TRUE)),1,IF(AND(ISNUMBER($O727),$O727&lt;$N$32),$O727+1,""))</f>
        <v/>
      </c>
      <c r="P728" s="26" t="str">
        <f t="shared" si="213"/>
        <v/>
      </c>
      <c r="Q728" s="26" t="str">
        <f t="shared" si="200"/>
        <v/>
      </c>
      <c r="R728" s="24" t="str">
        <f t="shared" si="214"/>
        <v/>
      </c>
      <c r="S728" s="180">
        <f t="shared" si="215"/>
        <v>9</v>
      </c>
      <c r="T728" s="151"/>
      <c r="U728" s="25" t="str">
        <f t="shared" si="201"/>
        <v/>
      </c>
      <c r="V728" s="24" t="str">
        <f>IF(AND(ISNUMBER(R727),ISNUMBER(R728)),V727,IF(AND(R727="",ISNUMBER(R728)),IFERROR(LARGE($V$176:$V727,1)+1,0),""))</f>
        <v/>
      </c>
      <c r="W728" s="23" t="str">
        <f t="shared" si="202"/>
        <v/>
      </c>
      <c r="X728" s="22" t="str">
        <f t="shared" si="203"/>
        <v/>
      </c>
      <c r="Y728" s="22"/>
      <c r="Z728" s="22"/>
      <c r="AA728" s="22"/>
      <c r="AB728" s="22" t="str" cm="1">
        <f t="array" ref="AB728">IF(IF(AND($P727="",$P728=1),($N$37*-1),0)+IF(AND($Q727="",$Q728=1),($N$38*-1),0)+IF(IF(($K728-$N$48)&lt;1,0,IF(IF(INDEX($AD$176:$AD$905,($K728-$N$48))="",0,INDEX($AD$176:$AD$905,($K728-$N$48)))&gt;0,IF(INDEX($AD$176:$AD$905,($K728-$N$48))="",0,INDEX($AD$176:$AD$905,($K728-$N$48))),0))="",0,IF(($K728-$N$48)&lt;1,0,IF(IF(INDEX($AD$176:$AD$905,($K728-$N$48))="",0,INDEX($AD$176:$AD$905,($K728-$N$48)))&gt;0,IF(INDEX($AD$176:$AD$905,($K728-$N$48))="",0,INDEX($AD$176:$AD$905,($K728-$N$48))),0)))=0,"",IF(AND($P727="",$P728=1),($N$37*-1),0)+IF(AND($Q727="",$Q728=1),($N$38*-1),0)+IF(IF(($K728-$N$48)&lt;1,0,IF(IF(INDEX($AD$176:$AD$905,($K728-$N$48))="",0,INDEX($AD$176:$AD$905,($K728-$N$48)))&gt;0,IF(INDEX($AD$176:$AD$905,($K728-$N$48))="",0,INDEX($AD$176:$AD$905,($K728-$N$48))),0))="",0,IF(($K728-$N$48)&lt;1,0,IF(IF(INDEX($AD$176:$AD$905,($K728-$N$48))="",0,INDEX($AD$176:$AD$905,($K728-$N$48)))&gt;0,IF(INDEX($AD$176:$AD$905,($K728-$N$48))="",0,INDEX($AD$176:$AD$905,($K728-$N$48))),0))))</f>
        <v/>
      </c>
      <c r="AC728" s="22" t="str">
        <f t="shared" si="204"/>
        <v/>
      </c>
      <c r="AD728" s="22" t="str">
        <f t="shared" si="216"/>
        <v/>
      </c>
      <c r="AE728" s="22" t="str" cm="1">
        <f t="array" ref="AE728">IF(($K728-$N$48)&lt;1,"",IF((IF(INDEX($AC$176:$AC$905,($K728-$N$48))="",0,INDEX($AC$176:$AC$905,($K728-$N$48))))=0,"",(IF(INDEX($AC$176:$AC$905,($K728-$N$48))="",0,INDEX($AC$176:$AC$905,($K728-$N$48))))))</f>
        <v/>
      </c>
      <c r="AF728" s="31" t="str">
        <f t="shared" si="205"/>
        <v/>
      </c>
      <c r="AG728" s="31" t="str">
        <f t="shared" si="206"/>
        <v/>
      </c>
      <c r="AH728" s="31" t="str">
        <f t="shared" si="207"/>
        <v/>
      </c>
      <c r="AI728" s="31" t="str">
        <f t="shared" si="208"/>
        <v/>
      </c>
      <c r="AJ728" s="303" t="str">
        <f t="shared" si="209"/>
        <v/>
      </c>
      <c r="AK728" s="139" t="str">
        <f t="shared" si="210"/>
        <v/>
      </c>
      <c r="AM728" s="319"/>
      <c r="AN728" s="40"/>
      <c r="AO728" s="1"/>
    </row>
    <row r="729" spans="7:41" x14ac:dyDescent="0.25">
      <c r="G729" s="235" t="str">
        <f t="shared" si="217"/>
        <v/>
      </c>
      <c r="H729" s="4" t="str">
        <f t="shared" si="218"/>
        <v/>
      </c>
      <c r="I729" s="11" t="str">
        <f t="shared" si="198"/>
        <v>09.00</v>
      </c>
      <c r="K729" s="30">
        <v>554</v>
      </c>
      <c r="L729" s="29">
        <f t="shared" si="211"/>
        <v>11371.908376190917</v>
      </c>
      <c r="M729" s="28" t="str">
        <f t="shared" si="199"/>
        <v/>
      </c>
      <c r="N729" s="27" t="str">
        <f t="shared" si="212"/>
        <v/>
      </c>
      <c r="O729" s="26" t="str">
        <f>IF(AND($Q728=$O$38,IFERROR(LARGE($V$176:$V728,1)&lt;$N$42,TRUE)),1,IF(AND(ISNUMBER($O728),$O728&lt;$N$32),$O728+1,""))</f>
        <v/>
      </c>
      <c r="P729" s="26" t="str">
        <f t="shared" si="213"/>
        <v/>
      </c>
      <c r="Q729" s="26" t="str">
        <f t="shared" si="200"/>
        <v/>
      </c>
      <c r="R729" s="24" t="str">
        <f t="shared" si="214"/>
        <v/>
      </c>
      <c r="S729" s="180">
        <f t="shared" si="215"/>
        <v>9</v>
      </c>
      <c r="T729" s="151"/>
      <c r="U729" s="25" t="str">
        <f t="shared" si="201"/>
        <v/>
      </c>
      <c r="V729" s="24" t="str">
        <f>IF(AND(ISNUMBER(R728),ISNUMBER(R729)),V728,IF(AND(R728="",ISNUMBER(R729)),IFERROR(LARGE($V$176:$V728,1)+1,0),""))</f>
        <v/>
      </c>
      <c r="W729" s="23" t="str">
        <f t="shared" si="202"/>
        <v/>
      </c>
      <c r="X729" s="22" t="str">
        <f t="shared" si="203"/>
        <v/>
      </c>
      <c r="Y729" s="22"/>
      <c r="Z729" s="22"/>
      <c r="AA729" s="22"/>
      <c r="AB729" s="22" t="str" cm="1">
        <f t="array" ref="AB729">IF(IF(AND($P728="",$P729=1),($N$37*-1),0)+IF(AND($Q728="",$Q729=1),($N$38*-1),0)+IF(IF(($K729-$N$48)&lt;1,0,IF(IF(INDEX($AD$176:$AD$905,($K729-$N$48))="",0,INDEX($AD$176:$AD$905,($K729-$N$48)))&gt;0,IF(INDEX($AD$176:$AD$905,($K729-$N$48))="",0,INDEX($AD$176:$AD$905,($K729-$N$48))),0))="",0,IF(($K729-$N$48)&lt;1,0,IF(IF(INDEX($AD$176:$AD$905,($K729-$N$48))="",0,INDEX($AD$176:$AD$905,($K729-$N$48)))&gt;0,IF(INDEX($AD$176:$AD$905,($K729-$N$48))="",0,INDEX($AD$176:$AD$905,($K729-$N$48))),0)))=0,"",IF(AND($P728="",$P729=1),($N$37*-1),0)+IF(AND($Q728="",$Q729=1),($N$38*-1),0)+IF(IF(($K729-$N$48)&lt;1,0,IF(IF(INDEX($AD$176:$AD$905,($K729-$N$48))="",0,INDEX($AD$176:$AD$905,($K729-$N$48)))&gt;0,IF(INDEX($AD$176:$AD$905,($K729-$N$48))="",0,INDEX($AD$176:$AD$905,($K729-$N$48))),0))="",0,IF(($K729-$N$48)&lt;1,0,IF(IF(INDEX($AD$176:$AD$905,($K729-$N$48))="",0,INDEX($AD$176:$AD$905,($K729-$N$48)))&gt;0,IF(INDEX($AD$176:$AD$905,($K729-$N$48))="",0,INDEX($AD$176:$AD$905,($K729-$N$48))),0))))</f>
        <v/>
      </c>
      <c r="AC729" s="22" t="str">
        <f t="shared" si="204"/>
        <v/>
      </c>
      <c r="AD729" s="22" t="str">
        <f t="shared" si="216"/>
        <v/>
      </c>
      <c r="AE729" s="22" t="str" cm="1">
        <f t="array" ref="AE729">IF(($K729-$N$48)&lt;1,"",IF((IF(INDEX($AC$176:$AC$905,($K729-$N$48))="",0,INDEX($AC$176:$AC$905,($K729-$N$48))))=0,"",(IF(INDEX($AC$176:$AC$905,($K729-$N$48))="",0,INDEX($AC$176:$AC$905,($K729-$N$48))))))</f>
        <v/>
      </c>
      <c r="AF729" s="31" t="str">
        <f t="shared" si="205"/>
        <v/>
      </c>
      <c r="AG729" s="31" t="str">
        <f t="shared" si="206"/>
        <v/>
      </c>
      <c r="AH729" s="31" t="str">
        <f t="shared" si="207"/>
        <v/>
      </c>
      <c r="AI729" s="31" t="str">
        <f t="shared" si="208"/>
        <v/>
      </c>
      <c r="AJ729" s="303" t="str">
        <f t="shared" si="209"/>
        <v/>
      </c>
      <c r="AK729" s="139" t="str">
        <f t="shared" si="210"/>
        <v/>
      </c>
      <c r="AM729" s="319"/>
      <c r="AN729" s="40"/>
      <c r="AO729" s="1"/>
    </row>
    <row r="730" spans="7:41" x14ac:dyDescent="0.25">
      <c r="G730" s="235" t="str">
        <f t="shared" si="217"/>
        <v/>
      </c>
      <c r="H730" s="4" t="str">
        <f t="shared" si="218"/>
        <v/>
      </c>
      <c r="I730" s="11" t="str">
        <f t="shared" si="198"/>
        <v>09.00</v>
      </c>
      <c r="K730" s="30">
        <v>555</v>
      </c>
      <c r="L730" s="29">
        <f t="shared" si="211"/>
        <v>11371.908376190917</v>
      </c>
      <c r="M730" s="28" t="str">
        <f t="shared" si="199"/>
        <v/>
      </c>
      <c r="N730" s="27" t="str">
        <f t="shared" si="212"/>
        <v/>
      </c>
      <c r="O730" s="26" t="str">
        <f>IF(AND($Q729=$O$38,IFERROR(LARGE($V$176:$V729,1)&lt;$N$42,TRUE)),1,IF(AND(ISNUMBER($O729),$O729&lt;$N$32),$O729+1,""))</f>
        <v/>
      </c>
      <c r="P730" s="26" t="str">
        <f t="shared" si="213"/>
        <v/>
      </c>
      <c r="Q730" s="26" t="str">
        <f t="shared" si="200"/>
        <v/>
      </c>
      <c r="R730" s="24" t="str">
        <f t="shared" si="214"/>
        <v/>
      </c>
      <c r="S730" s="180">
        <f t="shared" si="215"/>
        <v>9</v>
      </c>
      <c r="T730" s="151"/>
      <c r="U730" s="25" t="str">
        <f t="shared" si="201"/>
        <v/>
      </c>
      <c r="V730" s="24" t="str">
        <f>IF(AND(ISNUMBER(R729),ISNUMBER(R730)),V729,IF(AND(R729="",ISNUMBER(R730)),IFERROR(LARGE($V$176:$V729,1)+1,0),""))</f>
        <v/>
      </c>
      <c r="W730" s="23" t="str">
        <f t="shared" si="202"/>
        <v/>
      </c>
      <c r="X730" s="22" t="str">
        <f t="shared" si="203"/>
        <v/>
      </c>
      <c r="Y730" s="22"/>
      <c r="Z730" s="22"/>
      <c r="AA730" s="22"/>
      <c r="AB730" s="22" t="str" cm="1">
        <f t="array" ref="AB730">IF(IF(AND($P729="",$P730=1),($N$37*-1),0)+IF(AND($Q729="",$Q730=1),($N$38*-1),0)+IF(IF(($K730-$N$48)&lt;1,0,IF(IF(INDEX($AD$176:$AD$905,($K730-$N$48))="",0,INDEX($AD$176:$AD$905,($K730-$N$48)))&gt;0,IF(INDEX($AD$176:$AD$905,($K730-$N$48))="",0,INDEX($AD$176:$AD$905,($K730-$N$48))),0))="",0,IF(($K730-$N$48)&lt;1,0,IF(IF(INDEX($AD$176:$AD$905,($K730-$N$48))="",0,INDEX($AD$176:$AD$905,($K730-$N$48)))&gt;0,IF(INDEX($AD$176:$AD$905,($K730-$N$48))="",0,INDEX($AD$176:$AD$905,($K730-$N$48))),0)))=0,"",IF(AND($P729="",$P730=1),($N$37*-1),0)+IF(AND($Q729="",$Q730=1),($N$38*-1),0)+IF(IF(($K730-$N$48)&lt;1,0,IF(IF(INDEX($AD$176:$AD$905,($K730-$N$48))="",0,INDEX($AD$176:$AD$905,($K730-$N$48)))&gt;0,IF(INDEX($AD$176:$AD$905,($K730-$N$48))="",0,INDEX($AD$176:$AD$905,($K730-$N$48))),0))="",0,IF(($K730-$N$48)&lt;1,0,IF(IF(INDEX($AD$176:$AD$905,($K730-$N$48))="",0,INDEX($AD$176:$AD$905,($K730-$N$48)))&gt;0,IF(INDEX($AD$176:$AD$905,($K730-$N$48))="",0,INDEX($AD$176:$AD$905,($K730-$N$48))),0))))</f>
        <v/>
      </c>
      <c r="AC730" s="22" t="str">
        <f t="shared" si="204"/>
        <v/>
      </c>
      <c r="AD730" s="22" t="str">
        <f t="shared" si="216"/>
        <v/>
      </c>
      <c r="AE730" s="22" t="str" cm="1">
        <f t="array" ref="AE730">IF(($K730-$N$48)&lt;1,"",IF((IF(INDEX($AC$176:$AC$905,($K730-$N$48))="",0,INDEX($AC$176:$AC$905,($K730-$N$48))))=0,"",(IF(INDEX($AC$176:$AC$905,($K730-$N$48))="",0,INDEX($AC$176:$AC$905,($K730-$N$48))))))</f>
        <v/>
      </c>
      <c r="AF730" s="31" t="str">
        <f t="shared" si="205"/>
        <v/>
      </c>
      <c r="AG730" s="31" t="str">
        <f t="shared" si="206"/>
        <v/>
      </c>
      <c r="AH730" s="31" t="str">
        <f t="shared" si="207"/>
        <v/>
      </c>
      <c r="AI730" s="31" t="str">
        <f t="shared" si="208"/>
        <v/>
      </c>
      <c r="AJ730" s="303" t="str">
        <f t="shared" si="209"/>
        <v/>
      </c>
      <c r="AK730" s="139" t="str">
        <f t="shared" si="210"/>
        <v/>
      </c>
      <c r="AM730" s="319"/>
      <c r="AN730" s="40"/>
      <c r="AO730" s="1"/>
    </row>
    <row r="731" spans="7:41" x14ac:dyDescent="0.25">
      <c r="G731" s="235" t="str">
        <f t="shared" si="217"/>
        <v/>
      </c>
      <c r="H731" s="4" t="str">
        <f t="shared" si="218"/>
        <v/>
      </c>
      <c r="I731" s="11" t="str">
        <f t="shared" si="198"/>
        <v>09.00</v>
      </c>
      <c r="K731" s="30">
        <v>556</v>
      </c>
      <c r="L731" s="29">
        <f t="shared" si="211"/>
        <v>11371.908376190917</v>
      </c>
      <c r="M731" s="28" t="str">
        <f t="shared" si="199"/>
        <v/>
      </c>
      <c r="N731" s="27" t="str">
        <f t="shared" si="212"/>
        <v/>
      </c>
      <c r="O731" s="26" t="str">
        <f>IF(AND($Q730=$O$38,IFERROR(LARGE($V$176:$V730,1)&lt;$N$42,TRUE)),1,IF(AND(ISNUMBER($O730),$O730&lt;$N$32),$O730+1,""))</f>
        <v/>
      </c>
      <c r="P731" s="26" t="str">
        <f t="shared" si="213"/>
        <v/>
      </c>
      <c r="Q731" s="26" t="str">
        <f t="shared" si="200"/>
        <v/>
      </c>
      <c r="R731" s="24" t="str">
        <f t="shared" si="214"/>
        <v/>
      </c>
      <c r="S731" s="180">
        <f t="shared" si="215"/>
        <v>9</v>
      </c>
      <c r="T731" s="151"/>
      <c r="U731" s="25" t="str">
        <f t="shared" si="201"/>
        <v/>
      </c>
      <c r="V731" s="24" t="str">
        <f>IF(AND(ISNUMBER(R730),ISNUMBER(R731)),V730,IF(AND(R730="",ISNUMBER(R731)),IFERROR(LARGE($V$176:$V730,1)+1,0),""))</f>
        <v/>
      </c>
      <c r="W731" s="23" t="str">
        <f t="shared" si="202"/>
        <v/>
      </c>
      <c r="X731" s="22" t="str">
        <f t="shared" si="203"/>
        <v/>
      </c>
      <c r="Y731" s="22"/>
      <c r="Z731" s="22"/>
      <c r="AA731" s="22"/>
      <c r="AB731" s="22" t="str" cm="1">
        <f t="array" ref="AB731">IF(IF(AND($P730="",$P731=1),($N$37*-1),0)+IF(AND($Q730="",$Q731=1),($N$38*-1),0)+IF(IF(($K731-$N$48)&lt;1,0,IF(IF(INDEX($AD$176:$AD$905,($K731-$N$48))="",0,INDEX($AD$176:$AD$905,($K731-$N$48)))&gt;0,IF(INDEX($AD$176:$AD$905,($K731-$N$48))="",0,INDEX($AD$176:$AD$905,($K731-$N$48))),0))="",0,IF(($K731-$N$48)&lt;1,0,IF(IF(INDEX($AD$176:$AD$905,($K731-$N$48))="",0,INDEX($AD$176:$AD$905,($K731-$N$48)))&gt;0,IF(INDEX($AD$176:$AD$905,($K731-$N$48))="",0,INDEX($AD$176:$AD$905,($K731-$N$48))),0)))=0,"",IF(AND($P730="",$P731=1),($N$37*-1),0)+IF(AND($Q730="",$Q731=1),($N$38*-1),0)+IF(IF(($K731-$N$48)&lt;1,0,IF(IF(INDEX($AD$176:$AD$905,($K731-$N$48))="",0,INDEX($AD$176:$AD$905,($K731-$N$48)))&gt;0,IF(INDEX($AD$176:$AD$905,($K731-$N$48))="",0,INDEX($AD$176:$AD$905,($K731-$N$48))),0))="",0,IF(($K731-$N$48)&lt;1,0,IF(IF(INDEX($AD$176:$AD$905,($K731-$N$48))="",0,INDEX($AD$176:$AD$905,($K731-$N$48)))&gt;0,IF(INDEX($AD$176:$AD$905,($K731-$N$48))="",0,INDEX($AD$176:$AD$905,($K731-$N$48))),0))))</f>
        <v/>
      </c>
      <c r="AC731" s="22" t="str">
        <f t="shared" si="204"/>
        <v/>
      </c>
      <c r="AD731" s="22" t="str">
        <f t="shared" si="216"/>
        <v/>
      </c>
      <c r="AE731" s="22" t="str" cm="1">
        <f t="array" ref="AE731">IF(($K731-$N$48)&lt;1,"",IF((IF(INDEX($AC$176:$AC$905,($K731-$N$48))="",0,INDEX($AC$176:$AC$905,($K731-$N$48))))=0,"",(IF(INDEX($AC$176:$AC$905,($K731-$N$48))="",0,INDEX($AC$176:$AC$905,($K731-$N$48))))))</f>
        <v/>
      </c>
      <c r="AF731" s="31" t="str">
        <f t="shared" si="205"/>
        <v/>
      </c>
      <c r="AG731" s="31" t="str">
        <f t="shared" si="206"/>
        <v/>
      </c>
      <c r="AH731" s="31" t="str">
        <f t="shared" si="207"/>
        <v/>
      </c>
      <c r="AI731" s="31" t="str">
        <f t="shared" si="208"/>
        <v/>
      </c>
      <c r="AJ731" s="303" t="str">
        <f t="shared" si="209"/>
        <v/>
      </c>
      <c r="AK731" s="139" t="str">
        <f t="shared" si="210"/>
        <v/>
      </c>
      <c r="AM731" s="319"/>
      <c r="AN731" s="40"/>
      <c r="AO731" s="1"/>
    </row>
    <row r="732" spans="7:41" x14ac:dyDescent="0.25">
      <c r="G732" s="235" t="str">
        <f t="shared" si="217"/>
        <v/>
      </c>
      <c r="H732" s="4" t="str">
        <f t="shared" si="218"/>
        <v/>
      </c>
      <c r="I732" s="11" t="str">
        <f t="shared" si="198"/>
        <v>09.00</v>
      </c>
      <c r="K732" s="30">
        <v>557</v>
      </c>
      <c r="L732" s="29">
        <f t="shared" si="211"/>
        <v>11371.908376190917</v>
      </c>
      <c r="M732" s="28" t="str">
        <f t="shared" si="199"/>
        <v/>
      </c>
      <c r="N732" s="27" t="str">
        <f t="shared" si="212"/>
        <v/>
      </c>
      <c r="O732" s="26" t="str">
        <f>IF(AND($Q731=$O$38,IFERROR(LARGE($V$176:$V731,1)&lt;$N$42,TRUE)),1,IF(AND(ISNUMBER($O731),$O731&lt;$N$32),$O731+1,""))</f>
        <v/>
      </c>
      <c r="P732" s="26" t="str">
        <f t="shared" si="213"/>
        <v/>
      </c>
      <c r="Q732" s="26" t="str">
        <f t="shared" si="200"/>
        <v/>
      </c>
      <c r="R732" s="24" t="str">
        <f t="shared" si="214"/>
        <v/>
      </c>
      <c r="S732" s="180">
        <f t="shared" si="215"/>
        <v>9</v>
      </c>
      <c r="T732" s="151"/>
      <c r="U732" s="25" t="str">
        <f t="shared" si="201"/>
        <v/>
      </c>
      <c r="V732" s="24" t="str">
        <f>IF(AND(ISNUMBER(R731),ISNUMBER(R732)),V731,IF(AND(R731="",ISNUMBER(R732)),IFERROR(LARGE($V$176:$V731,1)+1,0),""))</f>
        <v/>
      </c>
      <c r="W732" s="23" t="str">
        <f t="shared" si="202"/>
        <v/>
      </c>
      <c r="X732" s="22" t="str">
        <f t="shared" si="203"/>
        <v/>
      </c>
      <c r="Y732" s="22"/>
      <c r="Z732" s="22"/>
      <c r="AA732" s="22"/>
      <c r="AB732" s="22" t="str" cm="1">
        <f t="array" ref="AB732">IF(IF(AND($P731="",$P732=1),($N$37*-1),0)+IF(AND($Q731="",$Q732=1),($N$38*-1),0)+IF(IF(($K732-$N$48)&lt;1,0,IF(IF(INDEX($AD$176:$AD$905,($K732-$N$48))="",0,INDEX($AD$176:$AD$905,($K732-$N$48)))&gt;0,IF(INDEX($AD$176:$AD$905,($K732-$N$48))="",0,INDEX($AD$176:$AD$905,($K732-$N$48))),0))="",0,IF(($K732-$N$48)&lt;1,0,IF(IF(INDEX($AD$176:$AD$905,($K732-$N$48))="",0,INDEX($AD$176:$AD$905,($K732-$N$48)))&gt;0,IF(INDEX($AD$176:$AD$905,($K732-$N$48))="",0,INDEX($AD$176:$AD$905,($K732-$N$48))),0)))=0,"",IF(AND($P731="",$P732=1),($N$37*-1),0)+IF(AND($Q731="",$Q732=1),($N$38*-1),0)+IF(IF(($K732-$N$48)&lt;1,0,IF(IF(INDEX($AD$176:$AD$905,($K732-$N$48))="",0,INDEX($AD$176:$AD$905,($K732-$N$48)))&gt;0,IF(INDEX($AD$176:$AD$905,($K732-$N$48))="",0,INDEX($AD$176:$AD$905,($K732-$N$48))),0))="",0,IF(($K732-$N$48)&lt;1,0,IF(IF(INDEX($AD$176:$AD$905,($K732-$N$48))="",0,INDEX($AD$176:$AD$905,($K732-$N$48)))&gt;0,IF(INDEX($AD$176:$AD$905,($K732-$N$48))="",0,INDEX($AD$176:$AD$905,($K732-$N$48))),0))))</f>
        <v/>
      </c>
      <c r="AC732" s="22" t="str">
        <f t="shared" si="204"/>
        <v/>
      </c>
      <c r="AD732" s="22" t="str">
        <f t="shared" si="216"/>
        <v/>
      </c>
      <c r="AE732" s="22" t="str" cm="1">
        <f t="array" ref="AE732">IF(($K732-$N$48)&lt;1,"",IF((IF(INDEX($AC$176:$AC$905,($K732-$N$48))="",0,INDEX($AC$176:$AC$905,($K732-$N$48))))=0,"",(IF(INDEX($AC$176:$AC$905,($K732-$N$48))="",0,INDEX($AC$176:$AC$905,($K732-$N$48))))))</f>
        <v/>
      </c>
      <c r="AF732" s="31" t="str">
        <f t="shared" si="205"/>
        <v/>
      </c>
      <c r="AG732" s="31" t="str">
        <f t="shared" si="206"/>
        <v/>
      </c>
      <c r="AH732" s="31" t="str">
        <f t="shared" si="207"/>
        <v/>
      </c>
      <c r="AI732" s="31" t="str">
        <f t="shared" si="208"/>
        <v/>
      </c>
      <c r="AJ732" s="303" t="str">
        <f t="shared" si="209"/>
        <v/>
      </c>
      <c r="AK732" s="139" t="str">
        <f t="shared" si="210"/>
        <v/>
      </c>
      <c r="AM732" s="319"/>
      <c r="AN732" s="40"/>
      <c r="AO732" s="1"/>
    </row>
    <row r="733" spans="7:41" x14ac:dyDescent="0.25">
      <c r="G733" s="235" t="str">
        <f t="shared" si="217"/>
        <v/>
      </c>
      <c r="H733" s="4" t="str">
        <f t="shared" si="218"/>
        <v/>
      </c>
      <c r="I733" s="11" t="str">
        <f t="shared" si="198"/>
        <v>09.00</v>
      </c>
      <c r="K733" s="30">
        <v>558</v>
      </c>
      <c r="L733" s="29">
        <f t="shared" si="211"/>
        <v>11371.908376190917</v>
      </c>
      <c r="M733" s="28" t="str">
        <f t="shared" si="199"/>
        <v/>
      </c>
      <c r="N733" s="27" t="str">
        <f t="shared" si="212"/>
        <v/>
      </c>
      <c r="O733" s="26" t="str">
        <f>IF(AND($Q732=$O$38,IFERROR(LARGE($V$176:$V732,1)&lt;$N$42,TRUE)),1,IF(AND(ISNUMBER($O732),$O732&lt;$N$32),$O732+1,""))</f>
        <v/>
      </c>
      <c r="P733" s="26" t="str">
        <f t="shared" si="213"/>
        <v/>
      </c>
      <c r="Q733" s="26" t="str">
        <f t="shared" si="200"/>
        <v/>
      </c>
      <c r="R733" s="24" t="str">
        <f t="shared" si="214"/>
        <v/>
      </c>
      <c r="S733" s="180">
        <f t="shared" si="215"/>
        <v>9</v>
      </c>
      <c r="T733" s="151"/>
      <c r="U733" s="25" t="str">
        <f t="shared" si="201"/>
        <v/>
      </c>
      <c r="V733" s="24" t="str">
        <f>IF(AND(ISNUMBER(R732),ISNUMBER(R733)),V732,IF(AND(R732="",ISNUMBER(R733)),IFERROR(LARGE($V$176:$V732,1)+1,0),""))</f>
        <v/>
      </c>
      <c r="W733" s="23" t="str">
        <f t="shared" si="202"/>
        <v/>
      </c>
      <c r="X733" s="22" t="str">
        <f t="shared" si="203"/>
        <v/>
      </c>
      <c r="Y733" s="22"/>
      <c r="Z733" s="22"/>
      <c r="AA733" s="22"/>
      <c r="AB733" s="22" t="str" cm="1">
        <f t="array" ref="AB733">IF(IF(AND($P732="",$P733=1),($N$37*-1),0)+IF(AND($Q732="",$Q733=1),($N$38*-1),0)+IF(IF(($K733-$N$48)&lt;1,0,IF(IF(INDEX($AD$176:$AD$905,($K733-$N$48))="",0,INDEX($AD$176:$AD$905,($K733-$N$48)))&gt;0,IF(INDEX($AD$176:$AD$905,($K733-$N$48))="",0,INDEX($AD$176:$AD$905,($K733-$N$48))),0))="",0,IF(($K733-$N$48)&lt;1,0,IF(IF(INDEX($AD$176:$AD$905,($K733-$N$48))="",0,INDEX($AD$176:$AD$905,($K733-$N$48)))&gt;0,IF(INDEX($AD$176:$AD$905,($K733-$N$48))="",0,INDEX($AD$176:$AD$905,($K733-$N$48))),0)))=0,"",IF(AND($P732="",$P733=1),($N$37*-1),0)+IF(AND($Q732="",$Q733=1),($N$38*-1),0)+IF(IF(($K733-$N$48)&lt;1,0,IF(IF(INDEX($AD$176:$AD$905,($K733-$N$48))="",0,INDEX($AD$176:$AD$905,($K733-$N$48)))&gt;0,IF(INDEX($AD$176:$AD$905,($K733-$N$48))="",0,INDEX($AD$176:$AD$905,($K733-$N$48))),0))="",0,IF(($K733-$N$48)&lt;1,0,IF(IF(INDEX($AD$176:$AD$905,($K733-$N$48))="",0,INDEX($AD$176:$AD$905,($K733-$N$48)))&gt;0,IF(INDEX($AD$176:$AD$905,($K733-$N$48))="",0,INDEX($AD$176:$AD$905,($K733-$N$48))),0))))</f>
        <v/>
      </c>
      <c r="AC733" s="22" t="str">
        <f t="shared" si="204"/>
        <v/>
      </c>
      <c r="AD733" s="22" t="str">
        <f t="shared" si="216"/>
        <v/>
      </c>
      <c r="AE733" s="22" t="str" cm="1">
        <f t="array" ref="AE733">IF(($K733-$N$48)&lt;1,"",IF((IF(INDEX($AC$176:$AC$905,($K733-$N$48))="",0,INDEX($AC$176:$AC$905,($K733-$N$48))))=0,"",(IF(INDEX($AC$176:$AC$905,($K733-$N$48))="",0,INDEX($AC$176:$AC$905,($K733-$N$48))))))</f>
        <v/>
      </c>
      <c r="AF733" s="31" t="str">
        <f t="shared" si="205"/>
        <v/>
      </c>
      <c r="AG733" s="31" t="str">
        <f t="shared" si="206"/>
        <v/>
      </c>
      <c r="AH733" s="31" t="str">
        <f t="shared" si="207"/>
        <v/>
      </c>
      <c r="AI733" s="31" t="str">
        <f t="shared" si="208"/>
        <v/>
      </c>
      <c r="AJ733" s="303" t="str">
        <f t="shared" si="209"/>
        <v/>
      </c>
      <c r="AK733" s="139" t="str">
        <f t="shared" si="210"/>
        <v/>
      </c>
      <c r="AM733" s="319"/>
      <c r="AN733" s="40"/>
      <c r="AO733" s="1"/>
    </row>
    <row r="734" spans="7:41" x14ac:dyDescent="0.25">
      <c r="G734" s="235" t="str">
        <f t="shared" si="217"/>
        <v/>
      </c>
      <c r="H734" s="4" t="str">
        <f t="shared" si="218"/>
        <v/>
      </c>
      <c r="I734" s="11" t="str">
        <f t="shared" si="198"/>
        <v>09.00</v>
      </c>
      <c r="K734" s="30">
        <v>559</v>
      </c>
      <c r="L734" s="29">
        <f t="shared" si="211"/>
        <v>11371.908376190917</v>
      </c>
      <c r="M734" s="28" t="str">
        <f t="shared" si="199"/>
        <v/>
      </c>
      <c r="N734" s="27" t="str">
        <f t="shared" si="212"/>
        <v/>
      </c>
      <c r="O734" s="26" t="str">
        <f>IF(AND($Q733=$O$38,IFERROR(LARGE($V$176:$V733,1)&lt;$N$42,TRUE)),1,IF(AND(ISNUMBER($O733),$O733&lt;$N$32),$O733+1,""))</f>
        <v/>
      </c>
      <c r="P734" s="26" t="str">
        <f t="shared" si="213"/>
        <v/>
      </c>
      <c r="Q734" s="26" t="str">
        <f t="shared" si="200"/>
        <v/>
      </c>
      <c r="R734" s="24" t="str">
        <f t="shared" si="214"/>
        <v/>
      </c>
      <c r="S734" s="180">
        <f t="shared" si="215"/>
        <v>9</v>
      </c>
      <c r="T734" s="151"/>
      <c r="U734" s="25" t="str">
        <f t="shared" si="201"/>
        <v/>
      </c>
      <c r="V734" s="24" t="str">
        <f>IF(AND(ISNUMBER(R733),ISNUMBER(R734)),V733,IF(AND(R733="",ISNUMBER(R734)),IFERROR(LARGE($V$176:$V733,1)+1,0),""))</f>
        <v/>
      </c>
      <c r="W734" s="23" t="str">
        <f t="shared" si="202"/>
        <v/>
      </c>
      <c r="X734" s="22" t="str">
        <f t="shared" si="203"/>
        <v/>
      </c>
      <c r="Y734" s="22"/>
      <c r="Z734" s="22"/>
      <c r="AA734" s="22"/>
      <c r="AB734" s="22" t="str" cm="1">
        <f t="array" ref="AB734">IF(IF(AND($P733="",$P734=1),($N$37*-1),0)+IF(AND($Q733="",$Q734=1),($N$38*-1),0)+IF(IF(($K734-$N$48)&lt;1,0,IF(IF(INDEX($AD$176:$AD$905,($K734-$N$48))="",0,INDEX($AD$176:$AD$905,($K734-$N$48)))&gt;0,IF(INDEX($AD$176:$AD$905,($K734-$N$48))="",0,INDEX($AD$176:$AD$905,($K734-$N$48))),0))="",0,IF(($K734-$N$48)&lt;1,0,IF(IF(INDEX($AD$176:$AD$905,($K734-$N$48))="",0,INDEX($AD$176:$AD$905,($K734-$N$48)))&gt;0,IF(INDEX($AD$176:$AD$905,($K734-$N$48))="",0,INDEX($AD$176:$AD$905,($K734-$N$48))),0)))=0,"",IF(AND($P733="",$P734=1),($N$37*-1),0)+IF(AND($Q733="",$Q734=1),($N$38*-1),0)+IF(IF(($K734-$N$48)&lt;1,0,IF(IF(INDEX($AD$176:$AD$905,($K734-$N$48))="",0,INDEX($AD$176:$AD$905,($K734-$N$48)))&gt;0,IF(INDEX($AD$176:$AD$905,($K734-$N$48))="",0,INDEX($AD$176:$AD$905,($K734-$N$48))),0))="",0,IF(($K734-$N$48)&lt;1,0,IF(IF(INDEX($AD$176:$AD$905,($K734-$N$48))="",0,INDEX($AD$176:$AD$905,($K734-$N$48)))&gt;0,IF(INDEX($AD$176:$AD$905,($K734-$N$48))="",0,INDEX($AD$176:$AD$905,($K734-$N$48))),0))))</f>
        <v/>
      </c>
      <c r="AC734" s="22" t="str">
        <f t="shared" si="204"/>
        <v/>
      </c>
      <c r="AD734" s="22" t="str">
        <f t="shared" si="216"/>
        <v/>
      </c>
      <c r="AE734" s="22" t="str" cm="1">
        <f t="array" ref="AE734">IF(($K734-$N$48)&lt;1,"",IF((IF(INDEX($AC$176:$AC$905,($K734-$N$48))="",0,INDEX($AC$176:$AC$905,($K734-$N$48))))=0,"",(IF(INDEX($AC$176:$AC$905,($K734-$N$48))="",0,INDEX($AC$176:$AC$905,($K734-$N$48))))))</f>
        <v/>
      </c>
      <c r="AF734" s="31" t="str">
        <f t="shared" si="205"/>
        <v/>
      </c>
      <c r="AG734" s="31" t="str">
        <f t="shared" si="206"/>
        <v/>
      </c>
      <c r="AH734" s="31" t="str">
        <f t="shared" si="207"/>
        <v/>
      </c>
      <c r="AI734" s="31" t="str">
        <f t="shared" si="208"/>
        <v/>
      </c>
      <c r="AJ734" s="303" t="str">
        <f t="shared" si="209"/>
        <v/>
      </c>
      <c r="AK734" s="139" t="str">
        <f t="shared" si="210"/>
        <v/>
      </c>
      <c r="AM734" s="319"/>
      <c r="AN734" s="40"/>
      <c r="AO734" s="1"/>
    </row>
    <row r="735" spans="7:41" x14ac:dyDescent="0.25">
      <c r="G735" s="235" t="str">
        <f t="shared" si="217"/>
        <v/>
      </c>
      <c r="H735" s="4" t="str">
        <f t="shared" si="218"/>
        <v/>
      </c>
      <c r="I735" s="11" t="str">
        <f t="shared" si="198"/>
        <v>09.00</v>
      </c>
      <c r="K735" s="30">
        <v>560</v>
      </c>
      <c r="L735" s="29">
        <f t="shared" si="211"/>
        <v>11371.908376190917</v>
      </c>
      <c r="M735" s="28" t="str">
        <f t="shared" si="199"/>
        <v/>
      </c>
      <c r="N735" s="27" t="str">
        <f t="shared" si="212"/>
        <v/>
      </c>
      <c r="O735" s="26" t="str">
        <f>IF(AND($Q734=$O$38,IFERROR(LARGE($V$176:$V734,1)&lt;$N$42,TRUE)),1,IF(AND(ISNUMBER($O734),$O734&lt;$N$32),$O734+1,""))</f>
        <v/>
      </c>
      <c r="P735" s="26" t="str">
        <f t="shared" si="213"/>
        <v/>
      </c>
      <c r="Q735" s="26" t="str">
        <f t="shared" si="200"/>
        <v/>
      </c>
      <c r="R735" s="24" t="str">
        <f t="shared" si="214"/>
        <v/>
      </c>
      <c r="S735" s="180">
        <f t="shared" si="215"/>
        <v>9</v>
      </c>
      <c r="T735" s="151"/>
      <c r="U735" s="25" t="str">
        <f t="shared" si="201"/>
        <v/>
      </c>
      <c r="V735" s="24" t="str">
        <f>IF(AND(ISNUMBER(R734),ISNUMBER(R735)),V734,IF(AND(R734="",ISNUMBER(R735)),IFERROR(LARGE($V$176:$V734,1)+1,0),""))</f>
        <v/>
      </c>
      <c r="W735" s="23" t="str">
        <f t="shared" si="202"/>
        <v/>
      </c>
      <c r="X735" s="22" t="str">
        <f t="shared" si="203"/>
        <v/>
      </c>
      <c r="Y735" s="22"/>
      <c r="Z735" s="22"/>
      <c r="AA735" s="22"/>
      <c r="AB735" s="22" t="str" cm="1">
        <f t="array" ref="AB735">IF(IF(AND($P734="",$P735=1),($N$37*-1),0)+IF(AND($Q734="",$Q735=1),($N$38*-1),0)+IF(IF(($K735-$N$48)&lt;1,0,IF(IF(INDEX($AD$176:$AD$905,($K735-$N$48))="",0,INDEX($AD$176:$AD$905,($K735-$N$48)))&gt;0,IF(INDEX($AD$176:$AD$905,($K735-$N$48))="",0,INDEX($AD$176:$AD$905,($K735-$N$48))),0))="",0,IF(($K735-$N$48)&lt;1,0,IF(IF(INDEX($AD$176:$AD$905,($K735-$N$48))="",0,INDEX($AD$176:$AD$905,($K735-$N$48)))&gt;0,IF(INDEX($AD$176:$AD$905,($K735-$N$48))="",0,INDEX($AD$176:$AD$905,($K735-$N$48))),0)))=0,"",IF(AND($P734="",$P735=1),($N$37*-1),0)+IF(AND($Q734="",$Q735=1),($N$38*-1),0)+IF(IF(($K735-$N$48)&lt;1,0,IF(IF(INDEX($AD$176:$AD$905,($K735-$N$48))="",0,INDEX($AD$176:$AD$905,($K735-$N$48)))&gt;0,IF(INDEX($AD$176:$AD$905,($K735-$N$48))="",0,INDEX($AD$176:$AD$905,($K735-$N$48))),0))="",0,IF(($K735-$N$48)&lt;1,0,IF(IF(INDEX($AD$176:$AD$905,($K735-$N$48))="",0,INDEX($AD$176:$AD$905,($K735-$N$48)))&gt;0,IF(INDEX($AD$176:$AD$905,($K735-$N$48))="",0,INDEX($AD$176:$AD$905,($K735-$N$48))),0))))</f>
        <v/>
      </c>
      <c r="AC735" s="22" t="str">
        <f t="shared" si="204"/>
        <v/>
      </c>
      <c r="AD735" s="22" t="str">
        <f t="shared" si="216"/>
        <v/>
      </c>
      <c r="AE735" s="22" t="str" cm="1">
        <f t="array" ref="AE735">IF(($K735-$N$48)&lt;1,"",IF((IF(INDEX($AC$176:$AC$905,($K735-$N$48))="",0,INDEX($AC$176:$AC$905,($K735-$N$48))))=0,"",(IF(INDEX($AC$176:$AC$905,($K735-$N$48))="",0,INDEX($AC$176:$AC$905,($K735-$N$48))))))</f>
        <v/>
      </c>
      <c r="AF735" s="31" t="str">
        <f t="shared" si="205"/>
        <v/>
      </c>
      <c r="AG735" s="31" t="str">
        <f t="shared" si="206"/>
        <v/>
      </c>
      <c r="AH735" s="31" t="str">
        <f t="shared" si="207"/>
        <v/>
      </c>
      <c r="AI735" s="31" t="str">
        <f t="shared" si="208"/>
        <v/>
      </c>
      <c r="AJ735" s="303" t="str">
        <f t="shared" si="209"/>
        <v/>
      </c>
      <c r="AK735" s="139" t="str">
        <f t="shared" si="210"/>
        <v/>
      </c>
      <c r="AM735" s="319"/>
      <c r="AN735" s="40"/>
      <c r="AO735" s="1"/>
    </row>
    <row r="736" spans="7:41" x14ac:dyDescent="0.25">
      <c r="G736" s="235" t="str">
        <f t="shared" si="217"/>
        <v/>
      </c>
      <c r="H736" s="4" t="str">
        <f t="shared" si="218"/>
        <v/>
      </c>
      <c r="I736" s="11" t="str">
        <f t="shared" si="198"/>
        <v>09.00</v>
      </c>
      <c r="K736" s="30">
        <v>561</v>
      </c>
      <c r="L736" s="29">
        <f t="shared" si="211"/>
        <v>11371.908376190917</v>
      </c>
      <c r="M736" s="28" t="str">
        <f t="shared" si="199"/>
        <v/>
      </c>
      <c r="N736" s="27" t="str">
        <f t="shared" si="212"/>
        <v/>
      </c>
      <c r="O736" s="26" t="str">
        <f>IF(AND($Q735=$O$38,IFERROR(LARGE($V$176:$V735,1)&lt;$N$42,TRUE)),1,IF(AND(ISNUMBER($O735),$O735&lt;$N$32),$O735+1,""))</f>
        <v/>
      </c>
      <c r="P736" s="26" t="str">
        <f t="shared" si="213"/>
        <v/>
      </c>
      <c r="Q736" s="26" t="str">
        <f t="shared" si="200"/>
        <v/>
      </c>
      <c r="R736" s="24" t="str">
        <f t="shared" si="214"/>
        <v/>
      </c>
      <c r="S736" s="180">
        <f t="shared" si="215"/>
        <v>9</v>
      </c>
      <c r="T736" s="151"/>
      <c r="U736" s="25" t="str">
        <f t="shared" si="201"/>
        <v/>
      </c>
      <c r="V736" s="24" t="str">
        <f>IF(AND(ISNUMBER(R735),ISNUMBER(R736)),V735,IF(AND(R735="",ISNUMBER(R736)),IFERROR(LARGE($V$176:$V735,1)+1,0),""))</f>
        <v/>
      </c>
      <c r="W736" s="23" t="str">
        <f t="shared" si="202"/>
        <v/>
      </c>
      <c r="X736" s="22" t="str">
        <f t="shared" si="203"/>
        <v/>
      </c>
      <c r="Y736" s="22"/>
      <c r="Z736" s="22"/>
      <c r="AA736" s="22"/>
      <c r="AB736" s="22" t="str" cm="1">
        <f t="array" ref="AB736">IF(IF(AND($P735="",$P736=1),($N$37*-1),0)+IF(AND($Q735="",$Q736=1),($N$38*-1),0)+IF(IF(($K736-$N$48)&lt;1,0,IF(IF(INDEX($AD$176:$AD$905,($K736-$N$48))="",0,INDEX($AD$176:$AD$905,($K736-$N$48)))&gt;0,IF(INDEX($AD$176:$AD$905,($K736-$N$48))="",0,INDEX($AD$176:$AD$905,($K736-$N$48))),0))="",0,IF(($K736-$N$48)&lt;1,0,IF(IF(INDEX($AD$176:$AD$905,($K736-$N$48))="",0,INDEX($AD$176:$AD$905,($K736-$N$48)))&gt;0,IF(INDEX($AD$176:$AD$905,($K736-$N$48))="",0,INDEX($AD$176:$AD$905,($K736-$N$48))),0)))=0,"",IF(AND($P735="",$P736=1),($N$37*-1),0)+IF(AND($Q735="",$Q736=1),($N$38*-1),0)+IF(IF(($K736-$N$48)&lt;1,0,IF(IF(INDEX($AD$176:$AD$905,($K736-$N$48))="",0,INDEX($AD$176:$AD$905,($K736-$N$48)))&gt;0,IF(INDEX($AD$176:$AD$905,($K736-$N$48))="",0,INDEX($AD$176:$AD$905,($K736-$N$48))),0))="",0,IF(($K736-$N$48)&lt;1,0,IF(IF(INDEX($AD$176:$AD$905,($K736-$N$48))="",0,INDEX($AD$176:$AD$905,($K736-$N$48)))&gt;0,IF(INDEX($AD$176:$AD$905,($K736-$N$48))="",0,INDEX($AD$176:$AD$905,($K736-$N$48))),0))))</f>
        <v/>
      </c>
      <c r="AC736" s="22" t="str">
        <f t="shared" si="204"/>
        <v/>
      </c>
      <c r="AD736" s="22" t="str">
        <f t="shared" si="216"/>
        <v/>
      </c>
      <c r="AE736" s="22" t="str" cm="1">
        <f t="array" ref="AE736">IF(($K736-$N$48)&lt;1,"",IF((IF(INDEX($AC$176:$AC$905,($K736-$N$48))="",0,INDEX($AC$176:$AC$905,($K736-$N$48))))=0,"",(IF(INDEX($AC$176:$AC$905,($K736-$N$48))="",0,INDEX($AC$176:$AC$905,($K736-$N$48))))))</f>
        <v/>
      </c>
      <c r="AF736" s="31" t="str">
        <f t="shared" si="205"/>
        <v/>
      </c>
      <c r="AG736" s="31" t="str">
        <f t="shared" si="206"/>
        <v/>
      </c>
      <c r="AH736" s="31" t="str">
        <f t="shared" si="207"/>
        <v/>
      </c>
      <c r="AI736" s="31" t="str">
        <f t="shared" si="208"/>
        <v/>
      </c>
      <c r="AJ736" s="303" t="str">
        <f t="shared" si="209"/>
        <v/>
      </c>
      <c r="AK736" s="139" t="str">
        <f t="shared" si="210"/>
        <v/>
      </c>
      <c r="AM736" s="319"/>
      <c r="AN736" s="40"/>
      <c r="AO736" s="1"/>
    </row>
    <row r="737" spans="7:41" x14ac:dyDescent="0.25">
      <c r="G737" s="235" t="str">
        <f t="shared" si="217"/>
        <v/>
      </c>
      <c r="H737" s="4" t="str">
        <f t="shared" si="218"/>
        <v/>
      </c>
      <c r="I737" s="11" t="str">
        <f t="shared" si="198"/>
        <v>09.00</v>
      </c>
      <c r="K737" s="30">
        <v>562</v>
      </c>
      <c r="L737" s="29">
        <f t="shared" si="211"/>
        <v>11371.908376190917</v>
      </c>
      <c r="M737" s="28" t="str">
        <f t="shared" si="199"/>
        <v/>
      </c>
      <c r="N737" s="27" t="str">
        <f t="shared" si="212"/>
        <v/>
      </c>
      <c r="O737" s="26" t="str">
        <f>IF(AND($Q736=$O$38,IFERROR(LARGE($V$176:$V736,1)&lt;$N$42,TRUE)),1,IF(AND(ISNUMBER($O736),$O736&lt;$N$32),$O736+1,""))</f>
        <v/>
      </c>
      <c r="P737" s="26" t="str">
        <f t="shared" si="213"/>
        <v/>
      </c>
      <c r="Q737" s="26" t="str">
        <f t="shared" si="200"/>
        <v/>
      </c>
      <c r="R737" s="24" t="str">
        <f t="shared" si="214"/>
        <v/>
      </c>
      <c r="S737" s="180">
        <f t="shared" si="215"/>
        <v>9</v>
      </c>
      <c r="T737" s="151"/>
      <c r="U737" s="25" t="str">
        <f t="shared" si="201"/>
        <v/>
      </c>
      <c r="V737" s="24" t="str">
        <f>IF(AND(ISNUMBER(R736),ISNUMBER(R737)),V736,IF(AND(R736="",ISNUMBER(R737)),IFERROR(LARGE($V$176:$V736,1)+1,0),""))</f>
        <v/>
      </c>
      <c r="W737" s="23" t="str">
        <f t="shared" si="202"/>
        <v/>
      </c>
      <c r="X737" s="22" t="str">
        <f t="shared" si="203"/>
        <v/>
      </c>
      <c r="Y737" s="22"/>
      <c r="Z737" s="22"/>
      <c r="AA737" s="22"/>
      <c r="AB737" s="22" t="str" cm="1">
        <f t="array" ref="AB737">IF(IF(AND($P736="",$P737=1),($N$37*-1),0)+IF(AND($Q736="",$Q737=1),($N$38*-1),0)+IF(IF(($K737-$N$48)&lt;1,0,IF(IF(INDEX($AD$176:$AD$905,($K737-$N$48))="",0,INDEX($AD$176:$AD$905,($K737-$N$48)))&gt;0,IF(INDEX($AD$176:$AD$905,($K737-$N$48))="",0,INDEX($AD$176:$AD$905,($K737-$N$48))),0))="",0,IF(($K737-$N$48)&lt;1,0,IF(IF(INDEX($AD$176:$AD$905,($K737-$N$48))="",0,INDEX($AD$176:$AD$905,($K737-$N$48)))&gt;0,IF(INDEX($AD$176:$AD$905,($K737-$N$48))="",0,INDEX($AD$176:$AD$905,($K737-$N$48))),0)))=0,"",IF(AND($P736="",$P737=1),($N$37*-1),0)+IF(AND($Q736="",$Q737=1),($N$38*-1),0)+IF(IF(($K737-$N$48)&lt;1,0,IF(IF(INDEX($AD$176:$AD$905,($K737-$N$48))="",0,INDEX($AD$176:$AD$905,($K737-$N$48)))&gt;0,IF(INDEX($AD$176:$AD$905,($K737-$N$48))="",0,INDEX($AD$176:$AD$905,($K737-$N$48))),0))="",0,IF(($K737-$N$48)&lt;1,0,IF(IF(INDEX($AD$176:$AD$905,($K737-$N$48))="",0,INDEX($AD$176:$AD$905,($K737-$N$48)))&gt;0,IF(INDEX($AD$176:$AD$905,($K737-$N$48))="",0,INDEX($AD$176:$AD$905,($K737-$N$48))),0))))</f>
        <v/>
      </c>
      <c r="AC737" s="22" t="str">
        <f t="shared" si="204"/>
        <v/>
      </c>
      <c r="AD737" s="22" t="str">
        <f t="shared" si="216"/>
        <v/>
      </c>
      <c r="AE737" s="22" t="str" cm="1">
        <f t="array" ref="AE737">IF(($K737-$N$48)&lt;1,"",IF((IF(INDEX($AC$176:$AC$905,($K737-$N$48))="",0,INDEX($AC$176:$AC$905,($K737-$N$48))))=0,"",(IF(INDEX($AC$176:$AC$905,($K737-$N$48))="",0,INDEX($AC$176:$AC$905,($K737-$N$48))))))</f>
        <v/>
      </c>
      <c r="AF737" s="31" t="str">
        <f t="shared" si="205"/>
        <v/>
      </c>
      <c r="AG737" s="31" t="str">
        <f t="shared" si="206"/>
        <v/>
      </c>
      <c r="AH737" s="31" t="str">
        <f t="shared" si="207"/>
        <v/>
      </c>
      <c r="AI737" s="31" t="str">
        <f t="shared" si="208"/>
        <v/>
      </c>
      <c r="AJ737" s="303" t="str">
        <f t="shared" si="209"/>
        <v/>
      </c>
      <c r="AK737" s="139" t="str">
        <f t="shared" si="210"/>
        <v/>
      </c>
      <c r="AM737" s="319"/>
      <c r="AN737" s="40"/>
      <c r="AO737" s="1"/>
    </row>
    <row r="738" spans="7:41" x14ac:dyDescent="0.25">
      <c r="G738" s="235" t="str">
        <f t="shared" si="217"/>
        <v/>
      </c>
      <c r="H738" s="4" t="str">
        <f t="shared" si="218"/>
        <v/>
      </c>
      <c r="I738" s="11" t="str">
        <f t="shared" si="198"/>
        <v>09.00</v>
      </c>
      <c r="K738" s="30">
        <v>563</v>
      </c>
      <c r="L738" s="29">
        <f t="shared" si="211"/>
        <v>11371.908376190917</v>
      </c>
      <c r="M738" s="28" t="str">
        <f t="shared" si="199"/>
        <v/>
      </c>
      <c r="N738" s="27" t="str">
        <f t="shared" si="212"/>
        <v/>
      </c>
      <c r="O738" s="26" t="str">
        <f>IF(AND($Q737=$O$38,IFERROR(LARGE($V$176:$V737,1)&lt;$N$42,TRUE)),1,IF(AND(ISNUMBER($O737),$O737&lt;$N$32),$O737+1,""))</f>
        <v/>
      </c>
      <c r="P738" s="26" t="str">
        <f t="shared" si="213"/>
        <v/>
      </c>
      <c r="Q738" s="26" t="str">
        <f t="shared" si="200"/>
        <v/>
      </c>
      <c r="R738" s="24" t="str">
        <f t="shared" si="214"/>
        <v/>
      </c>
      <c r="S738" s="180">
        <f t="shared" si="215"/>
        <v>9</v>
      </c>
      <c r="T738" s="151"/>
      <c r="U738" s="25" t="str">
        <f t="shared" si="201"/>
        <v/>
      </c>
      <c r="V738" s="24" t="str">
        <f>IF(AND(ISNUMBER(R737),ISNUMBER(R738)),V737,IF(AND(R737="",ISNUMBER(R738)),IFERROR(LARGE($V$176:$V737,1)+1,0),""))</f>
        <v/>
      </c>
      <c r="W738" s="23" t="str">
        <f t="shared" si="202"/>
        <v/>
      </c>
      <c r="X738" s="22" t="str">
        <f t="shared" si="203"/>
        <v/>
      </c>
      <c r="Y738" s="22"/>
      <c r="Z738" s="22"/>
      <c r="AA738" s="22"/>
      <c r="AB738" s="22" t="str" cm="1">
        <f t="array" ref="AB738">IF(IF(AND($P737="",$P738=1),($N$37*-1),0)+IF(AND($Q737="",$Q738=1),($N$38*-1),0)+IF(IF(($K738-$N$48)&lt;1,0,IF(IF(INDEX($AD$176:$AD$905,($K738-$N$48))="",0,INDEX($AD$176:$AD$905,($K738-$N$48)))&gt;0,IF(INDEX($AD$176:$AD$905,($K738-$N$48))="",0,INDEX($AD$176:$AD$905,($K738-$N$48))),0))="",0,IF(($K738-$N$48)&lt;1,0,IF(IF(INDEX($AD$176:$AD$905,($K738-$N$48))="",0,INDEX($AD$176:$AD$905,($K738-$N$48)))&gt;0,IF(INDEX($AD$176:$AD$905,($K738-$N$48))="",0,INDEX($AD$176:$AD$905,($K738-$N$48))),0)))=0,"",IF(AND($P737="",$P738=1),($N$37*-1),0)+IF(AND($Q737="",$Q738=1),($N$38*-1),0)+IF(IF(($K738-$N$48)&lt;1,0,IF(IF(INDEX($AD$176:$AD$905,($K738-$N$48))="",0,INDEX($AD$176:$AD$905,($K738-$N$48)))&gt;0,IF(INDEX($AD$176:$AD$905,($K738-$N$48))="",0,INDEX($AD$176:$AD$905,($K738-$N$48))),0))="",0,IF(($K738-$N$48)&lt;1,0,IF(IF(INDEX($AD$176:$AD$905,($K738-$N$48))="",0,INDEX($AD$176:$AD$905,($K738-$N$48)))&gt;0,IF(INDEX($AD$176:$AD$905,($K738-$N$48))="",0,INDEX($AD$176:$AD$905,($K738-$N$48))),0))))</f>
        <v/>
      </c>
      <c r="AC738" s="22" t="str">
        <f t="shared" si="204"/>
        <v/>
      </c>
      <c r="AD738" s="22" t="str">
        <f t="shared" si="216"/>
        <v/>
      </c>
      <c r="AE738" s="22" t="str" cm="1">
        <f t="array" ref="AE738">IF(($K738-$N$48)&lt;1,"",IF((IF(INDEX($AC$176:$AC$905,($K738-$N$48))="",0,INDEX($AC$176:$AC$905,($K738-$N$48))))=0,"",(IF(INDEX($AC$176:$AC$905,($K738-$N$48))="",0,INDEX($AC$176:$AC$905,($K738-$N$48))))))</f>
        <v/>
      </c>
      <c r="AF738" s="31" t="str">
        <f t="shared" si="205"/>
        <v/>
      </c>
      <c r="AG738" s="31" t="str">
        <f t="shared" si="206"/>
        <v/>
      </c>
      <c r="AH738" s="31" t="str">
        <f t="shared" si="207"/>
        <v/>
      </c>
      <c r="AI738" s="31" t="str">
        <f t="shared" si="208"/>
        <v/>
      </c>
      <c r="AJ738" s="303" t="str">
        <f t="shared" si="209"/>
        <v/>
      </c>
      <c r="AK738" s="139" t="str">
        <f t="shared" si="210"/>
        <v/>
      </c>
      <c r="AM738" s="319"/>
      <c r="AN738" s="40"/>
      <c r="AO738" s="1"/>
    </row>
    <row r="739" spans="7:41" x14ac:dyDescent="0.25">
      <c r="G739" s="235" t="str">
        <f t="shared" si="217"/>
        <v/>
      </c>
      <c r="H739" s="4" t="str">
        <f t="shared" si="218"/>
        <v/>
      </c>
      <c r="I739" s="11" t="str">
        <f t="shared" si="198"/>
        <v>09.00</v>
      </c>
      <c r="K739" s="30">
        <v>564</v>
      </c>
      <c r="L739" s="29">
        <f t="shared" si="211"/>
        <v>11371.908376190917</v>
      </c>
      <c r="M739" s="28" t="str">
        <f t="shared" si="199"/>
        <v/>
      </c>
      <c r="N739" s="27" t="str">
        <f t="shared" si="212"/>
        <v/>
      </c>
      <c r="O739" s="26" t="str">
        <f>IF(AND($Q738=$O$38,IFERROR(LARGE($V$176:$V738,1)&lt;$N$42,TRUE)),1,IF(AND(ISNUMBER($O738),$O738&lt;$N$32),$O738+1,""))</f>
        <v/>
      </c>
      <c r="P739" s="26" t="str">
        <f t="shared" si="213"/>
        <v/>
      </c>
      <c r="Q739" s="26" t="str">
        <f t="shared" si="200"/>
        <v/>
      </c>
      <c r="R739" s="24" t="str">
        <f t="shared" si="214"/>
        <v/>
      </c>
      <c r="S739" s="180">
        <f t="shared" si="215"/>
        <v>9</v>
      </c>
      <c r="T739" s="151"/>
      <c r="U739" s="25" t="str">
        <f t="shared" si="201"/>
        <v/>
      </c>
      <c r="V739" s="24" t="str">
        <f>IF(AND(ISNUMBER(R738),ISNUMBER(R739)),V738,IF(AND(R738="",ISNUMBER(R739)),IFERROR(LARGE($V$176:$V738,1)+1,0),""))</f>
        <v/>
      </c>
      <c r="W739" s="23" t="str">
        <f t="shared" si="202"/>
        <v/>
      </c>
      <c r="X739" s="22" t="str">
        <f t="shared" si="203"/>
        <v/>
      </c>
      <c r="Y739" s="22"/>
      <c r="Z739" s="22"/>
      <c r="AA739" s="22"/>
      <c r="AB739" s="22" t="str" cm="1">
        <f t="array" ref="AB739">IF(IF(AND($P738="",$P739=1),($N$37*-1),0)+IF(AND($Q738="",$Q739=1),($N$38*-1),0)+IF(IF(($K739-$N$48)&lt;1,0,IF(IF(INDEX($AD$176:$AD$905,($K739-$N$48))="",0,INDEX($AD$176:$AD$905,($K739-$N$48)))&gt;0,IF(INDEX($AD$176:$AD$905,($K739-$N$48))="",0,INDEX($AD$176:$AD$905,($K739-$N$48))),0))="",0,IF(($K739-$N$48)&lt;1,0,IF(IF(INDEX($AD$176:$AD$905,($K739-$N$48))="",0,INDEX($AD$176:$AD$905,($K739-$N$48)))&gt;0,IF(INDEX($AD$176:$AD$905,($K739-$N$48))="",0,INDEX($AD$176:$AD$905,($K739-$N$48))),0)))=0,"",IF(AND($P738="",$P739=1),($N$37*-1),0)+IF(AND($Q738="",$Q739=1),($N$38*-1),0)+IF(IF(($K739-$N$48)&lt;1,0,IF(IF(INDEX($AD$176:$AD$905,($K739-$N$48))="",0,INDEX($AD$176:$AD$905,($K739-$N$48)))&gt;0,IF(INDEX($AD$176:$AD$905,($K739-$N$48))="",0,INDEX($AD$176:$AD$905,($K739-$N$48))),0))="",0,IF(($K739-$N$48)&lt;1,0,IF(IF(INDEX($AD$176:$AD$905,($K739-$N$48))="",0,INDEX($AD$176:$AD$905,($K739-$N$48)))&gt;0,IF(INDEX($AD$176:$AD$905,($K739-$N$48))="",0,INDEX($AD$176:$AD$905,($K739-$N$48))),0))))</f>
        <v/>
      </c>
      <c r="AC739" s="22" t="str">
        <f t="shared" si="204"/>
        <v/>
      </c>
      <c r="AD739" s="22" t="str">
        <f t="shared" si="216"/>
        <v/>
      </c>
      <c r="AE739" s="22" t="str" cm="1">
        <f t="array" ref="AE739">IF(($K739-$N$48)&lt;1,"",IF((IF(INDEX($AC$176:$AC$905,($K739-$N$48))="",0,INDEX($AC$176:$AC$905,($K739-$N$48))))=0,"",(IF(INDEX($AC$176:$AC$905,($K739-$N$48))="",0,INDEX($AC$176:$AC$905,($K739-$N$48))))))</f>
        <v/>
      </c>
      <c r="AF739" s="31" t="str">
        <f t="shared" si="205"/>
        <v/>
      </c>
      <c r="AG739" s="31" t="str">
        <f t="shared" si="206"/>
        <v/>
      </c>
      <c r="AH739" s="31" t="str">
        <f t="shared" si="207"/>
        <v/>
      </c>
      <c r="AI739" s="31" t="str">
        <f t="shared" si="208"/>
        <v/>
      </c>
      <c r="AJ739" s="303" t="str">
        <f t="shared" si="209"/>
        <v/>
      </c>
      <c r="AK739" s="139" t="str">
        <f t="shared" si="210"/>
        <v/>
      </c>
      <c r="AM739" s="319"/>
      <c r="AN739" s="40"/>
      <c r="AO739" s="1"/>
    </row>
    <row r="740" spans="7:41" x14ac:dyDescent="0.25">
      <c r="G740" s="235" t="str">
        <f t="shared" si="217"/>
        <v/>
      </c>
      <c r="H740" s="4" t="str">
        <f t="shared" si="218"/>
        <v/>
      </c>
      <c r="I740" s="11" t="str">
        <f t="shared" si="198"/>
        <v>09.00</v>
      </c>
      <c r="K740" s="30">
        <v>565</v>
      </c>
      <c r="L740" s="29">
        <f t="shared" si="211"/>
        <v>11371.908376190917</v>
      </c>
      <c r="M740" s="28" t="str">
        <f t="shared" si="199"/>
        <v/>
      </c>
      <c r="N740" s="27" t="str">
        <f t="shared" si="212"/>
        <v/>
      </c>
      <c r="O740" s="26" t="str">
        <f>IF(AND($Q739=$O$38,IFERROR(LARGE($V$176:$V739,1)&lt;$N$42,TRUE)),1,IF(AND(ISNUMBER($O739),$O739&lt;$N$32),$O739+1,""))</f>
        <v/>
      </c>
      <c r="P740" s="26" t="str">
        <f t="shared" si="213"/>
        <v/>
      </c>
      <c r="Q740" s="26" t="str">
        <f t="shared" si="200"/>
        <v/>
      </c>
      <c r="R740" s="24" t="str">
        <f t="shared" si="214"/>
        <v/>
      </c>
      <c r="S740" s="180">
        <f t="shared" si="215"/>
        <v>9</v>
      </c>
      <c r="T740" s="151"/>
      <c r="U740" s="25" t="str">
        <f t="shared" si="201"/>
        <v/>
      </c>
      <c r="V740" s="24" t="str">
        <f>IF(AND(ISNUMBER(R739),ISNUMBER(R740)),V739,IF(AND(R739="",ISNUMBER(R740)),IFERROR(LARGE($V$176:$V739,1)+1,0),""))</f>
        <v/>
      </c>
      <c r="W740" s="23" t="str">
        <f t="shared" si="202"/>
        <v/>
      </c>
      <c r="X740" s="22" t="str">
        <f t="shared" si="203"/>
        <v/>
      </c>
      <c r="Y740" s="22"/>
      <c r="Z740" s="22"/>
      <c r="AA740" s="22"/>
      <c r="AB740" s="22" t="str" cm="1">
        <f t="array" ref="AB740">IF(IF(AND($P739="",$P740=1),($N$37*-1),0)+IF(AND($Q739="",$Q740=1),($N$38*-1),0)+IF(IF(($K740-$N$48)&lt;1,0,IF(IF(INDEX($AD$176:$AD$905,($K740-$N$48))="",0,INDEX($AD$176:$AD$905,($K740-$N$48)))&gt;0,IF(INDEX($AD$176:$AD$905,($K740-$N$48))="",0,INDEX($AD$176:$AD$905,($K740-$N$48))),0))="",0,IF(($K740-$N$48)&lt;1,0,IF(IF(INDEX($AD$176:$AD$905,($K740-$N$48))="",0,INDEX($AD$176:$AD$905,($K740-$N$48)))&gt;0,IF(INDEX($AD$176:$AD$905,($K740-$N$48))="",0,INDEX($AD$176:$AD$905,($K740-$N$48))),0)))=0,"",IF(AND($P739="",$P740=1),($N$37*-1),0)+IF(AND($Q739="",$Q740=1),($N$38*-1),0)+IF(IF(($K740-$N$48)&lt;1,0,IF(IF(INDEX($AD$176:$AD$905,($K740-$N$48))="",0,INDEX($AD$176:$AD$905,($K740-$N$48)))&gt;0,IF(INDEX($AD$176:$AD$905,($K740-$N$48))="",0,INDEX($AD$176:$AD$905,($K740-$N$48))),0))="",0,IF(($K740-$N$48)&lt;1,0,IF(IF(INDEX($AD$176:$AD$905,($K740-$N$48))="",0,INDEX($AD$176:$AD$905,($K740-$N$48)))&gt;0,IF(INDEX($AD$176:$AD$905,($K740-$N$48))="",0,INDEX($AD$176:$AD$905,($K740-$N$48))),0))))</f>
        <v/>
      </c>
      <c r="AC740" s="22" t="str">
        <f t="shared" si="204"/>
        <v/>
      </c>
      <c r="AD740" s="22" t="str">
        <f t="shared" si="216"/>
        <v/>
      </c>
      <c r="AE740" s="22" t="str" cm="1">
        <f t="array" ref="AE740">IF(($K740-$N$48)&lt;1,"",IF((IF(INDEX($AC$176:$AC$905,($K740-$N$48))="",0,INDEX($AC$176:$AC$905,($K740-$N$48))))=0,"",(IF(INDEX($AC$176:$AC$905,($K740-$N$48))="",0,INDEX($AC$176:$AC$905,($K740-$N$48))))))</f>
        <v/>
      </c>
      <c r="AF740" s="31" t="str">
        <f t="shared" si="205"/>
        <v/>
      </c>
      <c r="AG740" s="31" t="str">
        <f t="shared" si="206"/>
        <v/>
      </c>
      <c r="AH740" s="31" t="str">
        <f t="shared" si="207"/>
        <v/>
      </c>
      <c r="AI740" s="31" t="str">
        <f t="shared" si="208"/>
        <v/>
      </c>
      <c r="AJ740" s="303" t="str">
        <f t="shared" si="209"/>
        <v/>
      </c>
      <c r="AK740" s="139" t="str">
        <f t="shared" si="210"/>
        <v/>
      </c>
      <c r="AM740" s="319"/>
      <c r="AN740" s="40"/>
      <c r="AO740" s="1"/>
    </row>
    <row r="741" spans="7:41" x14ac:dyDescent="0.25">
      <c r="G741" s="235" t="str">
        <f t="shared" si="217"/>
        <v/>
      </c>
      <c r="H741" s="4" t="str">
        <f t="shared" si="218"/>
        <v/>
      </c>
      <c r="I741" s="11" t="str">
        <f t="shared" si="198"/>
        <v>09.00</v>
      </c>
      <c r="K741" s="30">
        <v>566</v>
      </c>
      <c r="L741" s="29">
        <f t="shared" si="211"/>
        <v>11371.908376190917</v>
      </c>
      <c r="M741" s="28" t="str">
        <f t="shared" si="199"/>
        <v/>
      </c>
      <c r="N741" s="27" t="str">
        <f t="shared" si="212"/>
        <v/>
      </c>
      <c r="O741" s="26" t="str">
        <f>IF(AND($Q740=$O$38,IFERROR(LARGE($V$176:$V740,1)&lt;$N$42,TRUE)),1,IF(AND(ISNUMBER($O740),$O740&lt;$N$32),$O740+1,""))</f>
        <v/>
      </c>
      <c r="P741" s="26" t="str">
        <f t="shared" si="213"/>
        <v/>
      </c>
      <c r="Q741" s="26" t="str">
        <f t="shared" si="200"/>
        <v/>
      </c>
      <c r="R741" s="24" t="str">
        <f t="shared" si="214"/>
        <v/>
      </c>
      <c r="S741" s="180">
        <f t="shared" si="215"/>
        <v>9</v>
      </c>
      <c r="T741" s="151"/>
      <c r="U741" s="25" t="str">
        <f t="shared" si="201"/>
        <v/>
      </c>
      <c r="V741" s="24" t="str">
        <f>IF(AND(ISNUMBER(R740),ISNUMBER(R741)),V740,IF(AND(R740="",ISNUMBER(R741)),IFERROR(LARGE($V$176:$V740,1)+1,0),""))</f>
        <v/>
      </c>
      <c r="W741" s="23" t="str">
        <f t="shared" si="202"/>
        <v/>
      </c>
      <c r="X741" s="22" t="str">
        <f t="shared" si="203"/>
        <v/>
      </c>
      <c r="Y741" s="22"/>
      <c r="Z741" s="22"/>
      <c r="AA741" s="22"/>
      <c r="AB741" s="22" t="str" cm="1">
        <f t="array" ref="AB741">IF(IF(AND($P740="",$P741=1),($N$37*-1),0)+IF(AND($Q740="",$Q741=1),($N$38*-1),0)+IF(IF(($K741-$N$48)&lt;1,0,IF(IF(INDEX($AD$176:$AD$905,($K741-$N$48))="",0,INDEX($AD$176:$AD$905,($K741-$N$48)))&gt;0,IF(INDEX($AD$176:$AD$905,($K741-$N$48))="",0,INDEX($AD$176:$AD$905,($K741-$N$48))),0))="",0,IF(($K741-$N$48)&lt;1,0,IF(IF(INDEX($AD$176:$AD$905,($K741-$N$48))="",0,INDEX($AD$176:$AD$905,($K741-$N$48)))&gt;0,IF(INDEX($AD$176:$AD$905,($K741-$N$48))="",0,INDEX($AD$176:$AD$905,($K741-$N$48))),0)))=0,"",IF(AND($P740="",$P741=1),($N$37*-1),0)+IF(AND($Q740="",$Q741=1),($N$38*-1),0)+IF(IF(($K741-$N$48)&lt;1,0,IF(IF(INDEX($AD$176:$AD$905,($K741-$N$48))="",0,INDEX($AD$176:$AD$905,($K741-$N$48)))&gt;0,IF(INDEX($AD$176:$AD$905,($K741-$N$48))="",0,INDEX($AD$176:$AD$905,($K741-$N$48))),0))="",0,IF(($K741-$N$48)&lt;1,0,IF(IF(INDEX($AD$176:$AD$905,($K741-$N$48))="",0,INDEX($AD$176:$AD$905,($K741-$N$48)))&gt;0,IF(INDEX($AD$176:$AD$905,($K741-$N$48))="",0,INDEX($AD$176:$AD$905,($K741-$N$48))),0))))</f>
        <v/>
      </c>
      <c r="AC741" s="22" t="str">
        <f t="shared" si="204"/>
        <v/>
      </c>
      <c r="AD741" s="22" t="str">
        <f t="shared" si="216"/>
        <v/>
      </c>
      <c r="AE741" s="22" t="str" cm="1">
        <f t="array" ref="AE741">IF(($K741-$N$48)&lt;1,"",IF((IF(INDEX($AC$176:$AC$905,($K741-$N$48))="",0,INDEX($AC$176:$AC$905,($K741-$N$48))))=0,"",(IF(INDEX($AC$176:$AC$905,($K741-$N$48))="",0,INDEX($AC$176:$AC$905,($K741-$N$48))))))</f>
        <v/>
      </c>
      <c r="AF741" s="31" t="str">
        <f t="shared" si="205"/>
        <v/>
      </c>
      <c r="AG741" s="31" t="str">
        <f t="shared" si="206"/>
        <v/>
      </c>
      <c r="AH741" s="31" t="str">
        <f t="shared" si="207"/>
        <v/>
      </c>
      <c r="AI741" s="31" t="str">
        <f t="shared" si="208"/>
        <v/>
      </c>
      <c r="AJ741" s="303" t="str">
        <f t="shared" si="209"/>
        <v/>
      </c>
      <c r="AK741" s="139" t="str">
        <f t="shared" si="210"/>
        <v/>
      </c>
      <c r="AM741" s="319"/>
      <c r="AN741" s="40"/>
      <c r="AO741" s="1"/>
    </row>
    <row r="742" spans="7:41" x14ac:dyDescent="0.25">
      <c r="G742" s="235" t="str">
        <f t="shared" si="217"/>
        <v/>
      </c>
      <c r="H742" s="4" t="str">
        <f t="shared" si="218"/>
        <v/>
      </c>
      <c r="I742" s="11" t="str">
        <f t="shared" si="198"/>
        <v>09.00</v>
      </c>
      <c r="K742" s="30">
        <v>567</v>
      </c>
      <c r="L742" s="29">
        <f t="shared" si="211"/>
        <v>11371.908376190917</v>
      </c>
      <c r="M742" s="28" t="str">
        <f t="shared" si="199"/>
        <v/>
      </c>
      <c r="N742" s="27" t="str">
        <f t="shared" si="212"/>
        <v/>
      </c>
      <c r="O742" s="26" t="str">
        <f>IF(AND($Q741=$O$38,IFERROR(LARGE($V$176:$V741,1)&lt;$N$42,TRUE)),1,IF(AND(ISNUMBER($O741),$O741&lt;$N$32),$O741+1,""))</f>
        <v/>
      </c>
      <c r="P742" s="26" t="str">
        <f t="shared" si="213"/>
        <v/>
      </c>
      <c r="Q742" s="26" t="str">
        <f t="shared" si="200"/>
        <v/>
      </c>
      <c r="R742" s="24" t="str">
        <f t="shared" si="214"/>
        <v/>
      </c>
      <c r="S742" s="180">
        <f t="shared" si="215"/>
        <v>9</v>
      </c>
      <c r="T742" s="151"/>
      <c r="U742" s="25" t="str">
        <f t="shared" si="201"/>
        <v/>
      </c>
      <c r="V742" s="24" t="str">
        <f>IF(AND(ISNUMBER(R741),ISNUMBER(R742)),V741,IF(AND(R741="",ISNUMBER(R742)),IFERROR(LARGE($V$176:$V741,1)+1,0),""))</f>
        <v/>
      </c>
      <c r="W742" s="23" t="str">
        <f t="shared" si="202"/>
        <v/>
      </c>
      <c r="X742" s="22" t="str">
        <f t="shared" si="203"/>
        <v/>
      </c>
      <c r="Y742" s="22"/>
      <c r="Z742" s="22"/>
      <c r="AA742" s="22"/>
      <c r="AB742" s="22" t="str" cm="1">
        <f t="array" ref="AB742">IF(IF(AND($P741="",$P742=1),($N$37*-1),0)+IF(AND($Q741="",$Q742=1),($N$38*-1),0)+IF(IF(($K742-$N$48)&lt;1,0,IF(IF(INDEX($AD$176:$AD$905,($K742-$N$48))="",0,INDEX($AD$176:$AD$905,($K742-$N$48)))&gt;0,IF(INDEX($AD$176:$AD$905,($K742-$N$48))="",0,INDEX($AD$176:$AD$905,($K742-$N$48))),0))="",0,IF(($K742-$N$48)&lt;1,0,IF(IF(INDEX($AD$176:$AD$905,($K742-$N$48))="",0,INDEX($AD$176:$AD$905,($K742-$N$48)))&gt;0,IF(INDEX($AD$176:$AD$905,($K742-$N$48))="",0,INDEX($AD$176:$AD$905,($K742-$N$48))),0)))=0,"",IF(AND($P741="",$P742=1),($N$37*-1),0)+IF(AND($Q741="",$Q742=1),($N$38*-1),0)+IF(IF(($K742-$N$48)&lt;1,0,IF(IF(INDEX($AD$176:$AD$905,($K742-$N$48))="",0,INDEX($AD$176:$AD$905,($K742-$N$48)))&gt;0,IF(INDEX($AD$176:$AD$905,($K742-$N$48))="",0,INDEX($AD$176:$AD$905,($K742-$N$48))),0))="",0,IF(($K742-$N$48)&lt;1,0,IF(IF(INDEX($AD$176:$AD$905,($K742-$N$48))="",0,INDEX($AD$176:$AD$905,($K742-$N$48)))&gt;0,IF(INDEX($AD$176:$AD$905,($K742-$N$48))="",0,INDEX($AD$176:$AD$905,($K742-$N$48))),0))))</f>
        <v/>
      </c>
      <c r="AC742" s="22" t="str">
        <f t="shared" si="204"/>
        <v/>
      </c>
      <c r="AD742" s="22" t="str">
        <f t="shared" si="216"/>
        <v/>
      </c>
      <c r="AE742" s="22" t="str" cm="1">
        <f t="array" ref="AE742">IF(($K742-$N$48)&lt;1,"",IF((IF(INDEX($AC$176:$AC$905,($K742-$N$48))="",0,INDEX($AC$176:$AC$905,($K742-$N$48))))=0,"",(IF(INDEX($AC$176:$AC$905,($K742-$N$48))="",0,INDEX($AC$176:$AC$905,($K742-$N$48))))))</f>
        <v/>
      </c>
      <c r="AF742" s="31" t="str">
        <f t="shared" si="205"/>
        <v/>
      </c>
      <c r="AG742" s="31" t="str">
        <f t="shared" si="206"/>
        <v/>
      </c>
      <c r="AH742" s="31" t="str">
        <f t="shared" si="207"/>
        <v/>
      </c>
      <c r="AI742" s="31" t="str">
        <f t="shared" si="208"/>
        <v/>
      </c>
      <c r="AJ742" s="303" t="str">
        <f t="shared" si="209"/>
        <v/>
      </c>
      <c r="AK742" s="139" t="str">
        <f t="shared" si="210"/>
        <v/>
      </c>
      <c r="AM742" s="319"/>
      <c r="AN742" s="40"/>
      <c r="AO742" s="1"/>
    </row>
    <row r="743" spans="7:41" x14ac:dyDescent="0.25">
      <c r="G743" s="235" t="str">
        <f t="shared" si="217"/>
        <v/>
      </c>
      <c r="H743" s="4" t="str">
        <f t="shared" si="218"/>
        <v/>
      </c>
      <c r="I743" s="11" t="str">
        <f t="shared" si="198"/>
        <v>09.00</v>
      </c>
      <c r="K743" s="30">
        <v>568</v>
      </c>
      <c r="L743" s="29">
        <f t="shared" si="211"/>
        <v>11371.908376190917</v>
      </c>
      <c r="M743" s="28" t="str">
        <f t="shared" si="199"/>
        <v/>
      </c>
      <c r="N743" s="27" t="str">
        <f t="shared" si="212"/>
        <v/>
      </c>
      <c r="O743" s="26" t="str">
        <f>IF(AND($Q742=$O$38,IFERROR(LARGE($V$176:$V742,1)&lt;$N$42,TRUE)),1,IF(AND(ISNUMBER($O742),$O742&lt;$N$32),$O742+1,""))</f>
        <v/>
      </c>
      <c r="P743" s="26" t="str">
        <f t="shared" si="213"/>
        <v/>
      </c>
      <c r="Q743" s="26" t="str">
        <f t="shared" si="200"/>
        <v/>
      </c>
      <c r="R743" s="24" t="str">
        <f t="shared" si="214"/>
        <v/>
      </c>
      <c r="S743" s="180">
        <f t="shared" si="215"/>
        <v>9</v>
      </c>
      <c r="T743" s="151"/>
      <c r="U743" s="25" t="str">
        <f t="shared" si="201"/>
        <v/>
      </c>
      <c r="V743" s="24" t="str">
        <f>IF(AND(ISNUMBER(R742),ISNUMBER(R743)),V742,IF(AND(R742="",ISNUMBER(R743)),IFERROR(LARGE($V$176:$V742,1)+1,0),""))</f>
        <v/>
      </c>
      <c r="W743" s="23" t="str">
        <f t="shared" si="202"/>
        <v/>
      </c>
      <c r="X743" s="22" t="str">
        <f t="shared" si="203"/>
        <v/>
      </c>
      <c r="Y743" s="22"/>
      <c r="Z743" s="22"/>
      <c r="AA743" s="22"/>
      <c r="AB743" s="22" t="str" cm="1">
        <f t="array" ref="AB743">IF(IF(AND($P742="",$P743=1),($N$37*-1),0)+IF(AND($Q742="",$Q743=1),($N$38*-1),0)+IF(IF(($K743-$N$48)&lt;1,0,IF(IF(INDEX($AD$176:$AD$905,($K743-$N$48))="",0,INDEX($AD$176:$AD$905,($K743-$N$48)))&gt;0,IF(INDEX($AD$176:$AD$905,($K743-$N$48))="",0,INDEX($AD$176:$AD$905,($K743-$N$48))),0))="",0,IF(($K743-$N$48)&lt;1,0,IF(IF(INDEX($AD$176:$AD$905,($K743-$N$48))="",0,INDEX($AD$176:$AD$905,($K743-$N$48)))&gt;0,IF(INDEX($AD$176:$AD$905,($K743-$N$48))="",0,INDEX($AD$176:$AD$905,($K743-$N$48))),0)))=0,"",IF(AND($P742="",$P743=1),($N$37*-1),0)+IF(AND($Q742="",$Q743=1),($N$38*-1),0)+IF(IF(($K743-$N$48)&lt;1,0,IF(IF(INDEX($AD$176:$AD$905,($K743-$N$48))="",0,INDEX($AD$176:$AD$905,($K743-$N$48)))&gt;0,IF(INDEX($AD$176:$AD$905,($K743-$N$48))="",0,INDEX($AD$176:$AD$905,($K743-$N$48))),0))="",0,IF(($K743-$N$48)&lt;1,0,IF(IF(INDEX($AD$176:$AD$905,($K743-$N$48))="",0,INDEX($AD$176:$AD$905,($K743-$N$48)))&gt;0,IF(INDEX($AD$176:$AD$905,($K743-$N$48))="",0,INDEX($AD$176:$AD$905,($K743-$N$48))),0))))</f>
        <v/>
      </c>
      <c r="AC743" s="22" t="str">
        <f t="shared" si="204"/>
        <v/>
      </c>
      <c r="AD743" s="22" t="str">
        <f t="shared" si="216"/>
        <v/>
      </c>
      <c r="AE743" s="22" t="str" cm="1">
        <f t="array" ref="AE743">IF(($K743-$N$48)&lt;1,"",IF((IF(INDEX($AC$176:$AC$905,($K743-$N$48))="",0,INDEX($AC$176:$AC$905,($K743-$N$48))))=0,"",(IF(INDEX($AC$176:$AC$905,($K743-$N$48))="",0,INDEX($AC$176:$AC$905,($K743-$N$48))))))</f>
        <v/>
      </c>
      <c r="AF743" s="31" t="str">
        <f t="shared" si="205"/>
        <v/>
      </c>
      <c r="AG743" s="31" t="str">
        <f t="shared" si="206"/>
        <v/>
      </c>
      <c r="AH743" s="31" t="str">
        <f t="shared" si="207"/>
        <v/>
      </c>
      <c r="AI743" s="31" t="str">
        <f t="shared" si="208"/>
        <v/>
      </c>
      <c r="AJ743" s="303" t="str">
        <f t="shared" si="209"/>
        <v/>
      </c>
      <c r="AK743" s="139" t="str">
        <f t="shared" si="210"/>
        <v/>
      </c>
      <c r="AM743" s="319"/>
      <c r="AN743" s="40"/>
      <c r="AO743" s="1"/>
    </row>
    <row r="744" spans="7:41" x14ac:dyDescent="0.25">
      <c r="G744" s="235" t="str">
        <f t="shared" si="217"/>
        <v/>
      </c>
      <c r="H744" s="4" t="str">
        <f t="shared" si="218"/>
        <v/>
      </c>
      <c r="I744" s="11" t="str">
        <f t="shared" si="198"/>
        <v>09.00</v>
      </c>
      <c r="K744" s="30">
        <v>569</v>
      </c>
      <c r="L744" s="29">
        <f t="shared" si="211"/>
        <v>11371.908376190917</v>
      </c>
      <c r="M744" s="28" t="str">
        <f t="shared" si="199"/>
        <v/>
      </c>
      <c r="N744" s="27" t="str">
        <f t="shared" si="212"/>
        <v/>
      </c>
      <c r="O744" s="26" t="str">
        <f>IF(AND($Q743=$O$38,IFERROR(LARGE($V$176:$V743,1)&lt;$N$42,TRUE)),1,IF(AND(ISNUMBER($O743),$O743&lt;$N$32),$O743+1,""))</f>
        <v/>
      </c>
      <c r="P744" s="26" t="str">
        <f t="shared" si="213"/>
        <v/>
      </c>
      <c r="Q744" s="26" t="str">
        <f t="shared" si="200"/>
        <v/>
      </c>
      <c r="R744" s="24" t="str">
        <f t="shared" si="214"/>
        <v/>
      </c>
      <c r="S744" s="180">
        <f t="shared" si="215"/>
        <v>9</v>
      </c>
      <c r="T744" s="151"/>
      <c r="U744" s="25" t="str">
        <f t="shared" si="201"/>
        <v/>
      </c>
      <c r="V744" s="24" t="str">
        <f>IF(AND(ISNUMBER(R743),ISNUMBER(R744)),V743,IF(AND(R743="",ISNUMBER(R744)),IFERROR(LARGE($V$176:$V743,1)+1,0),""))</f>
        <v/>
      </c>
      <c r="W744" s="23" t="str">
        <f t="shared" si="202"/>
        <v/>
      </c>
      <c r="X744" s="22" t="str">
        <f t="shared" si="203"/>
        <v/>
      </c>
      <c r="Y744" s="22"/>
      <c r="Z744" s="22"/>
      <c r="AA744" s="22"/>
      <c r="AB744" s="22" t="str" cm="1">
        <f t="array" ref="AB744">IF(IF(AND($P743="",$P744=1),($N$37*-1),0)+IF(AND($Q743="",$Q744=1),($N$38*-1),0)+IF(IF(($K744-$N$48)&lt;1,0,IF(IF(INDEX($AD$176:$AD$905,($K744-$N$48))="",0,INDEX($AD$176:$AD$905,($K744-$N$48)))&gt;0,IF(INDEX($AD$176:$AD$905,($K744-$N$48))="",0,INDEX($AD$176:$AD$905,($K744-$N$48))),0))="",0,IF(($K744-$N$48)&lt;1,0,IF(IF(INDEX($AD$176:$AD$905,($K744-$N$48))="",0,INDEX($AD$176:$AD$905,($K744-$N$48)))&gt;0,IF(INDEX($AD$176:$AD$905,($K744-$N$48))="",0,INDEX($AD$176:$AD$905,($K744-$N$48))),0)))=0,"",IF(AND($P743="",$P744=1),($N$37*-1),0)+IF(AND($Q743="",$Q744=1),($N$38*-1),0)+IF(IF(($K744-$N$48)&lt;1,0,IF(IF(INDEX($AD$176:$AD$905,($K744-$N$48))="",0,INDEX($AD$176:$AD$905,($K744-$N$48)))&gt;0,IF(INDEX($AD$176:$AD$905,($K744-$N$48))="",0,INDEX($AD$176:$AD$905,($K744-$N$48))),0))="",0,IF(($K744-$N$48)&lt;1,0,IF(IF(INDEX($AD$176:$AD$905,($K744-$N$48))="",0,INDEX($AD$176:$AD$905,($K744-$N$48)))&gt;0,IF(INDEX($AD$176:$AD$905,($K744-$N$48))="",0,INDEX($AD$176:$AD$905,($K744-$N$48))),0))))</f>
        <v/>
      </c>
      <c r="AC744" s="22" t="str">
        <f t="shared" si="204"/>
        <v/>
      </c>
      <c r="AD744" s="22" t="str">
        <f t="shared" si="216"/>
        <v/>
      </c>
      <c r="AE744" s="22" t="str" cm="1">
        <f t="array" ref="AE744">IF(($K744-$N$48)&lt;1,"",IF((IF(INDEX($AC$176:$AC$905,($K744-$N$48))="",0,INDEX($AC$176:$AC$905,($K744-$N$48))))=0,"",(IF(INDEX($AC$176:$AC$905,($K744-$N$48))="",0,INDEX($AC$176:$AC$905,($K744-$N$48))))))</f>
        <v/>
      </c>
      <c r="AF744" s="31" t="str">
        <f t="shared" si="205"/>
        <v/>
      </c>
      <c r="AG744" s="31" t="str">
        <f t="shared" si="206"/>
        <v/>
      </c>
      <c r="AH744" s="31" t="str">
        <f t="shared" si="207"/>
        <v/>
      </c>
      <c r="AI744" s="31" t="str">
        <f t="shared" si="208"/>
        <v/>
      </c>
      <c r="AJ744" s="303" t="str">
        <f t="shared" si="209"/>
        <v/>
      </c>
      <c r="AK744" s="139" t="str">
        <f t="shared" si="210"/>
        <v/>
      </c>
      <c r="AM744" s="319"/>
      <c r="AN744" s="40"/>
      <c r="AO744" s="1"/>
    </row>
    <row r="745" spans="7:41" x14ac:dyDescent="0.25">
      <c r="G745" s="235" t="str">
        <f t="shared" si="217"/>
        <v/>
      </c>
      <c r="H745" s="4" t="str">
        <f t="shared" si="218"/>
        <v/>
      </c>
      <c r="I745" s="11" t="str">
        <f t="shared" si="198"/>
        <v>09.00</v>
      </c>
      <c r="K745" s="30">
        <v>570</v>
      </c>
      <c r="L745" s="29">
        <f t="shared" si="211"/>
        <v>11371.908376190917</v>
      </c>
      <c r="M745" s="28" t="str">
        <f t="shared" si="199"/>
        <v/>
      </c>
      <c r="N745" s="27" t="str">
        <f t="shared" si="212"/>
        <v/>
      </c>
      <c r="O745" s="26" t="str">
        <f>IF(AND($Q744=$O$38,IFERROR(LARGE($V$176:$V744,1)&lt;$N$42,TRUE)),1,IF(AND(ISNUMBER($O744),$O744&lt;$N$32),$O744+1,""))</f>
        <v/>
      </c>
      <c r="P745" s="26" t="str">
        <f t="shared" si="213"/>
        <v/>
      </c>
      <c r="Q745" s="26" t="str">
        <f t="shared" si="200"/>
        <v/>
      </c>
      <c r="R745" s="24" t="str">
        <f t="shared" si="214"/>
        <v/>
      </c>
      <c r="S745" s="180">
        <f t="shared" si="215"/>
        <v>9</v>
      </c>
      <c r="T745" s="151"/>
      <c r="U745" s="25" t="str">
        <f t="shared" si="201"/>
        <v/>
      </c>
      <c r="V745" s="24" t="str">
        <f>IF(AND(ISNUMBER(R744),ISNUMBER(R745)),V744,IF(AND(R744="",ISNUMBER(R745)),IFERROR(LARGE($V$176:$V744,1)+1,0),""))</f>
        <v/>
      </c>
      <c r="W745" s="23" t="str">
        <f t="shared" si="202"/>
        <v/>
      </c>
      <c r="X745" s="22" t="str">
        <f t="shared" si="203"/>
        <v/>
      </c>
      <c r="Y745" s="22"/>
      <c r="Z745" s="22"/>
      <c r="AA745" s="22"/>
      <c r="AB745" s="22" t="str" cm="1">
        <f t="array" ref="AB745">IF(IF(AND($P744="",$P745=1),($N$37*-1),0)+IF(AND($Q744="",$Q745=1),($N$38*-1),0)+IF(IF(($K745-$N$48)&lt;1,0,IF(IF(INDEX($AD$176:$AD$905,($K745-$N$48))="",0,INDEX($AD$176:$AD$905,($K745-$N$48)))&gt;0,IF(INDEX($AD$176:$AD$905,($K745-$N$48))="",0,INDEX($AD$176:$AD$905,($K745-$N$48))),0))="",0,IF(($K745-$N$48)&lt;1,0,IF(IF(INDEX($AD$176:$AD$905,($K745-$N$48))="",0,INDEX($AD$176:$AD$905,($K745-$N$48)))&gt;0,IF(INDEX($AD$176:$AD$905,($K745-$N$48))="",0,INDEX($AD$176:$AD$905,($K745-$N$48))),0)))=0,"",IF(AND($P744="",$P745=1),($N$37*-1),0)+IF(AND($Q744="",$Q745=1),($N$38*-1),0)+IF(IF(($K745-$N$48)&lt;1,0,IF(IF(INDEX($AD$176:$AD$905,($K745-$N$48))="",0,INDEX($AD$176:$AD$905,($K745-$N$48)))&gt;0,IF(INDEX($AD$176:$AD$905,($K745-$N$48))="",0,INDEX($AD$176:$AD$905,($K745-$N$48))),0))="",0,IF(($K745-$N$48)&lt;1,0,IF(IF(INDEX($AD$176:$AD$905,($K745-$N$48))="",0,INDEX($AD$176:$AD$905,($K745-$N$48)))&gt;0,IF(INDEX($AD$176:$AD$905,($K745-$N$48))="",0,INDEX($AD$176:$AD$905,($K745-$N$48))),0))))</f>
        <v/>
      </c>
      <c r="AC745" s="22" t="str">
        <f t="shared" si="204"/>
        <v/>
      </c>
      <c r="AD745" s="22" t="str">
        <f t="shared" si="216"/>
        <v/>
      </c>
      <c r="AE745" s="22" t="str" cm="1">
        <f t="array" ref="AE745">IF(($K745-$N$48)&lt;1,"",IF((IF(INDEX($AC$176:$AC$905,($K745-$N$48))="",0,INDEX($AC$176:$AC$905,($K745-$N$48))))=0,"",(IF(INDEX($AC$176:$AC$905,($K745-$N$48))="",0,INDEX($AC$176:$AC$905,($K745-$N$48))))))</f>
        <v/>
      </c>
      <c r="AF745" s="31" t="str">
        <f t="shared" si="205"/>
        <v/>
      </c>
      <c r="AG745" s="31" t="str">
        <f t="shared" si="206"/>
        <v/>
      </c>
      <c r="AH745" s="31" t="str">
        <f t="shared" si="207"/>
        <v/>
      </c>
      <c r="AI745" s="31" t="str">
        <f t="shared" si="208"/>
        <v/>
      </c>
      <c r="AJ745" s="303" t="str">
        <f t="shared" si="209"/>
        <v/>
      </c>
      <c r="AK745" s="139" t="str">
        <f t="shared" si="210"/>
        <v/>
      </c>
      <c r="AM745" s="319"/>
      <c r="AN745" s="40"/>
      <c r="AO745" s="1"/>
    </row>
    <row r="746" spans="7:41" x14ac:dyDescent="0.25">
      <c r="G746" s="235" t="str">
        <f t="shared" si="217"/>
        <v/>
      </c>
      <c r="H746" s="4" t="str">
        <f t="shared" si="218"/>
        <v/>
      </c>
      <c r="I746" s="11" t="str">
        <f t="shared" si="198"/>
        <v>09.00</v>
      </c>
      <c r="K746" s="30">
        <v>571</v>
      </c>
      <c r="L746" s="29">
        <f t="shared" si="211"/>
        <v>11371.908376190917</v>
      </c>
      <c r="M746" s="28" t="str">
        <f t="shared" si="199"/>
        <v/>
      </c>
      <c r="N746" s="27" t="str">
        <f t="shared" si="212"/>
        <v/>
      </c>
      <c r="O746" s="26" t="str">
        <f>IF(AND($Q745=$O$38,IFERROR(LARGE($V$176:$V745,1)&lt;$N$42,TRUE)),1,IF(AND(ISNUMBER($O745),$O745&lt;$N$32),$O745+1,""))</f>
        <v/>
      </c>
      <c r="P746" s="26" t="str">
        <f t="shared" si="213"/>
        <v/>
      </c>
      <c r="Q746" s="26" t="str">
        <f t="shared" si="200"/>
        <v/>
      </c>
      <c r="R746" s="24" t="str">
        <f t="shared" si="214"/>
        <v/>
      </c>
      <c r="S746" s="180">
        <f t="shared" si="215"/>
        <v>9</v>
      </c>
      <c r="T746" s="151"/>
      <c r="U746" s="25" t="str">
        <f t="shared" si="201"/>
        <v/>
      </c>
      <c r="V746" s="24" t="str">
        <f>IF(AND(ISNUMBER(R745),ISNUMBER(R746)),V745,IF(AND(R745="",ISNUMBER(R746)),IFERROR(LARGE($V$176:$V745,1)+1,0),""))</f>
        <v/>
      </c>
      <c r="W746" s="23" t="str">
        <f t="shared" si="202"/>
        <v/>
      </c>
      <c r="X746" s="22" t="str">
        <f t="shared" si="203"/>
        <v/>
      </c>
      <c r="Y746" s="22"/>
      <c r="Z746" s="22"/>
      <c r="AA746" s="22"/>
      <c r="AB746" s="22" t="str" cm="1">
        <f t="array" ref="AB746">IF(IF(AND($P745="",$P746=1),($N$37*-1),0)+IF(AND($Q745="",$Q746=1),($N$38*-1),0)+IF(IF(($K746-$N$48)&lt;1,0,IF(IF(INDEX($AD$176:$AD$905,($K746-$N$48))="",0,INDEX($AD$176:$AD$905,($K746-$N$48)))&gt;0,IF(INDEX($AD$176:$AD$905,($K746-$N$48))="",0,INDEX($AD$176:$AD$905,($K746-$N$48))),0))="",0,IF(($K746-$N$48)&lt;1,0,IF(IF(INDEX($AD$176:$AD$905,($K746-$N$48))="",0,INDEX($AD$176:$AD$905,($K746-$N$48)))&gt;0,IF(INDEX($AD$176:$AD$905,($K746-$N$48))="",0,INDEX($AD$176:$AD$905,($K746-$N$48))),0)))=0,"",IF(AND($P745="",$P746=1),($N$37*-1),0)+IF(AND($Q745="",$Q746=1),($N$38*-1),0)+IF(IF(($K746-$N$48)&lt;1,0,IF(IF(INDEX($AD$176:$AD$905,($K746-$N$48))="",0,INDEX($AD$176:$AD$905,($K746-$N$48)))&gt;0,IF(INDEX($AD$176:$AD$905,($K746-$N$48))="",0,INDEX($AD$176:$AD$905,($K746-$N$48))),0))="",0,IF(($K746-$N$48)&lt;1,0,IF(IF(INDEX($AD$176:$AD$905,($K746-$N$48))="",0,INDEX($AD$176:$AD$905,($K746-$N$48)))&gt;0,IF(INDEX($AD$176:$AD$905,($K746-$N$48))="",0,INDEX($AD$176:$AD$905,($K746-$N$48))),0))))</f>
        <v/>
      </c>
      <c r="AC746" s="22" t="str">
        <f t="shared" si="204"/>
        <v/>
      </c>
      <c r="AD746" s="22" t="str">
        <f t="shared" si="216"/>
        <v/>
      </c>
      <c r="AE746" s="22" t="str" cm="1">
        <f t="array" ref="AE746">IF(($K746-$N$48)&lt;1,"",IF((IF(INDEX($AC$176:$AC$905,($K746-$N$48))="",0,INDEX($AC$176:$AC$905,($K746-$N$48))))=0,"",(IF(INDEX($AC$176:$AC$905,($K746-$N$48))="",0,INDEX($AC$176:$AC$905,($K746-$N$48))))))</f>
        <v/>
      </c>
      <c r="AF746" s="31" t="str">
        <f t="shared" si="205"/>
        <v/>
      </c>
      <c r="AG746" s="31" t="str">
        <f t="shared" si="206"/>
        <v/>
      </c>
      <c r="AH746" s="31" t="str">
        <f t="shared" si="207"/>
        <v/>
      </c>
      <c r="AI746" s="31" t="str">
        <f t="shared" si="208"/>
        <v/>
      </c>
      <c r="AJ746" s="303" t="str">
        <f t="shared" si="209"/>
        <v/>
      </c>
      <c r="AK746" s="139" t="str">
        <f t="shared" si="210"/>
        <v/>
      </c>
      <c r="AM746" s="319"/>
      <c r="AN746" s="40"/>
      <c r="AO746" s="1"/>
    </row>
    <row r="747" spans="7:41" x14ac:dyDescent="0.25">
      <c r="G747" s="235" t="str">
        <f t="shared" si="217"/>
        <v/>
      </c>
      <c r="H747" s="4" t="str">
        <f t="shared" si="218"/>
        <v/>
      </c>
      <c r="I747" s="11" t="str">
        <f t="shared" si="198"/>
        <v>09.00</v>
      </c>
      <c r="K747" s="30">
        <v>572</v>
      </c>
      <c r="L747" s="29">
        <f t="shared" si="211"/>
        <v>11371.908376190917</v>
      </c>
      <c r="M747" s="28" t="str">
        <f t="shared" si="199"/>
        <v/>
      </c>
      <c r="N747" s="27" t="str">
        <f t="shared" si="212"/>
        <v/>
      </c>
      <c r="O747" s="26" t="str">
        <f>IF(AND($Q746=$O$38,IFERROR(LARGE($V$176:$V746,1)&lt;$N$42,TRUE)),1,IF(AND(ISNUMBER($O746),$O746&lt;$N$32),$O746+1,""))</f>
        <v/>
      </c>
      <c r="P747" s="26" t="str">
        <f t="shared" si="213"/>
        <v/>
      </c>
      <c r="Q747" s="26" t="str">
        <f t="shared" si="200"/>
        <v/>
      </c>
      <c r="R747" s="24" t="str">
        <f t="shared" si="214"/>
        <v/>
      </c>
      <c r="S747" s="180">
        <f t="shared" si="215"/>
        <v>9</v>
      </c>
      <c r="T747" s="151"/>
      <c r="U747" s="25" t="str">
        <f t="shared" si="201"/>
        <v/>
      </c>
      <c r="V747" s="24" t="str">
        <f>IF(AND(ISNUMBER(R746),ISNUMBER(R747)),V746,IF(AND(R746="",ISNUMBER(R747)),IFERROR(LARGE($V$176:$V746,1)+1,0),""))</f>
        <v/>
      </c>
      <c r="W747" s="23" t="str">
        <f t="shared" si="202"/>
        <v/>
      </c>
      <c r="X747" s="22" t="str">
        <f t="shared" si="203"/>
        <v/>
      </c>
      <c r="Y747" s="22"/>
      <c r="Z747" s="22"/>
      <c r="AA747" s="22"/>
      <c r="AB747" s="22" t="str" cm="1">
        <f t="array" ref="AB747">IF(IF(AND($P746="",$P747=1),($N$37*-1),0)+IF(AND($Q746="",$Q747=1),($N$38*-1),0)+IF(IF(($K747-$N$48)&lt;1,0,IF(IF(INDEX($AD$176:$AD$905,($K747-$N$48))="",0,INDEX($AD$176:$AD$905,($K747-$N$48)))&gt;0,IF(INDEX($AD$176:$AD$905,($K747-$N$48))="",0,INDEX($AD$176:$AD$905,($K747-$N$48))),0))="",0,IF(($K747-$N$48)&lt;1,0,IF(IF(INDEX($AD$176:$AD$905,($K747-$N$48))="",0,INDEX($AD$176:$AD$905,($K747-$N$48)))&gt;0,IF(INDEX($AD$176:$AD$905,($K747-$N$48))="",0,INDEX($AD$176:$AD$905,($K747-$N$48))),0)))=0,"",IF(AND($P746="",$P747=1),($N$37*-1),0)+IF(AND($Q746="",$Q747=1),($N$38*-1),0)+IF(IF(($K747-$N$48)&lt;1,0,IF(IF(INDEX($AD$176:$AD$905,($K747-$N$48))="",0,INDEX($AD$176:$AD$905,($K747-$N$48)))&gt;0,IF(INDEX($AD$176:$AD$905,($K747-$N$48))="",0,INDEX($AD$176:$AD$905,($K747-$N$48))),0))="",0,IF(($K747-$N$48)&lt;1,0,IF(IF(INDEX($AD$176:$AD$905,($K747-$N$48))="",0,INDEX($AD$176:$AD$905,($K747-$N$48)))&gt;0,IF(INDEX($AD$176:$AD$905,($K747-$N$48))="",0,INDEX($AD$176:$AD$905,($K747-$N$48))),0))))</f>
        <v/>
      </c>
      <c r="AC747" s="22" t="str">
        <f t="shared" si="204"/>
        <v/>
      </c>
      <c r="AD747" s="22" t="str">
        <f t="shared" si="216"/>
        <v/>
      </c>
      <c r="AE747" s="22" t="str" cm="1">
        <f t="array" ref="AE747">IF(($K747-$N$48)&lt;1,"",IF((IF(INDEX($AC$176:$AC$905,($K747-$N$48))="",0,INDEX($AC$176:$AC$905,($K747-$N$48))))=0,"",(IF(INDEX($AC$176:$AC$905,($K747-$N$48))="",0,INDEX($AC$176:$AC$905,($K747-$N$48))))))</f>
        <v/>
      </c>
      <c r="AF747" s="31" t="str">
        <f t="shared" si="205"/>
        <v/>
      </c>
      <c r="AG747" s="31" t="str">
        <f t="shared" si="206"/>
        <v/>
      </c>
      <c r="AH747" s="31" t="str">
        <f t="shared" si="207"/>
        <v/>
      </c>
      <c r="AI747" s="31" t="str">
        <f t="shared" si="208"/>
        <v/>
      </c>
      <c r="AJ747" s="303" t="str">
        <f t="shared" si="209"/>
        <v/>
      </c>
      <c r="AK747" s="139" t="str">
        <f t="shared" si="210"/>
        <v/>
      </c>
      <c r="AM747" s="319"/>
      <c r="AN747" s="40"/>
      <c r="AO747" s="1"/>
    </row>
    <row r="748" spans="7:41" x14ac:dyDescent="0.25">
      <c r="G748" s="235" t="str">
        <f t="shared" si="217"/>
        <v/>
      </c>
      <c r="H748" s="4" t="str">
        <f t="shared" si="218"/>
        <v/>
      </c>
      <c r="I748" s="11" t="str">
        <f t="shared" si="198"/>
        <v>09.00</v>
      </c>
      <c r="K748" s="30">
        <v>573</v>
      </c>
      <c r="L748" s="29">
        <f t="shared" si="211"/>
        <v>11371.908376190917</v>
      </c>
      <c r="M748" s="28" t="str">
        <f t="shared" si="199"/>
        <v/>
      </c>
      <c r="N748" s="27" t="str">
        <f t="shared" si="212"/>
        <v/>
      </c>
      <c r="O748" s="26" t="str">
        <f>IF(AND($Q747=$O$38,IFERROR(LARGE($V$176:$V747,1)&lt;$N$42,TRUE)),1,IF(AND(ISNUMBER($O747),$O747&lt;$N$32),$O747+1,""))</f>
        <v/>
      </c>
      <c r="P748" s="26" t="str">
        <f t="shared" si="213"/>
        <v/>
      </c>
      <c r="Q748" s="26" t="str">
        <f t="shared" si="200"/>
        <v/>
      </c>
      <c r="R748" s="24" t="str">
        <f t="shared" si="214"/>
        <v/>
      </c>
      <c r="S748" s="180">
        <f t="shared" si="215"/>
        <v>9</v>
      </c>
      <c r="T748" s="151"/>
      <c r="U748" s="25" t="str">
        <f t="shared" si="201"/>
        <v/>
      </c>
      <c r="V748" s="24" t="str">
        <f>IF(AND(ISNUMBER(R747),ISNUMBER(R748)),V747,IF(AND(R747="",ISNUMBER(R748)),IFERROR(LARGE($V$176:$V747,1)+1,0),""))</f>
        <v/>
      </c>
      <c r="W748" s="23" t="str">
        <f t="shared" si="202"/>
        <v/>
      </c>
      <c r="X748" s="22" t="str">
        <f t="shared" si="203"/>
        <v/>
      </c>
      <c r="Y748" s="22"/>
      <c r="Z748" s="22"/>
      <c r="AA748" s="22"/>
      <c r="AB748" s="22" t="str" cm="1">
        <f t="array" ref="AB748">IF(IF(AND($P747="",$P748=1),($N$37*-1),0)+IF(AND($Q747="",$Q748=1),($N$38*-1),0)+IF(IF(($K748-$N$48)&lt;1,0,IF(IF(INDEX($AD$176:$AD$905,($K748-$N$48))="",0,INDEX($AD$176:$AD$905,($K748-$N$48)))&gt;0,IF(INDEX($AD$176:$AD$905,($K748-$N$48))="",0,INDEX($AD$176:$AD$905,($K748-$N$48))),0))="",0,IF(($K748-$N$48)&lt;1,0,IF(IF(INDEX($AD$176:$AD$905,($K748-$N$48))="",0,INDEX($AD$176:$AD$905,($K748-$N$48)))&gt;0,IF(INDEX($AD$176:$AD$905,($K748-$N$48))="",0,INDEX($AD$176:$AD$905,($K748-$N$48))),0)))=0,"",IF(AND($P747="",$P748=1),($N$37*-1),0)+IF(AND($Q747="",$Q748=1),($N$38*-1),0)+IF(IF(($K748-$N$48)&lt;1,0,IF(IF(INDEX($AD$176:$AD$905,($K748-$N$48))="",0,INDEX($AD$176:$AD$905,($K748-$N$48)))&gt;0,IF(INDEX($AD$176:$AD$905,($K748-$N$48))="",0,INDEX($AD$176:$AD$905,($K748-$N$48))),0))="",0,IF(($K748-$N$48)&lt;1,0,IF(IF(INDEX($AD$176:$AD$905,($K748-$N$48))="",0,INDEX($AD$176:$AD$905,($K748-$N$48)))&gt;0,IF(INDEX($AD$176:$AD$905,($K748-$N$48))="",0,INDEX($AD$176:$AD$905,($K748-$N$48))),0))))</f>
        <v/>
      </c>
      <c r="AC748" s="22" t="str">
        <f t="shared" si="204"/>
        <v/>
      </c>
      <c r="AD748" s="22" t="str">
        <f t="shared" si="216"/>
        <v/>
      </c>
      <c r="AE748" s="22" t="str" cm="1">
        <f t="array" ref="AE748">IF(($K748-$N$48)&lt;1,"",IF((IF(INDEX($AC$176:$AC$905,($K748-$N$48))="",0,INDEX($AC$176:$AC$905,($K748-$N$48))))=0,"",(IF(INDEX($AC$176:$AC$905,($K748-$N$48))="",0,INDEX($AC$176:$AC$905,($K748-$N$48))))))</f>
        <v/>
      </c>
      <c r="AF748" s="31" t="str">
        <f t="shared" si="205"/>
        <v/>
      </c>
      <c r="AG748" s="31" t="str">
        <f t="shared" si="206"/>
        <v/>
      </c>
      <c r="AH748" s="31" t="str">
        <f t="shared" si="207"/>
        <v/>
      </c>
      <c r="AI748" s="31" t="str">
        <f t="shared" si="208"/>
        <v/>
      </c>
      <c r="AJ748" s="303" t="str">
        <f t="shared" si="209"/>
        <v/>
      </c>
      <c r="AK748" s="139" t="str">
        <f t="shared" si="210"/>
        <v/>
      </c>
      <c r="AM748" s="319"/>
      <c r="AN748" s="40"/>
      <c r="AO748" s="1"/>
    </row>
    <row r="749" spans="7:41" x14ac:dyDescent="0.25">
      <c r="G749" s="235" t="str">
        <f t="shared" si="217"/>
        <v/>
      </c>
      <c r="H749" s="4" t="str">
        <f t="shared" si="218"/>
        <v/>
      </c>
      <c r="I749" s="11" t="str">
        <f t="shared" si="198"/>
        <v>09.00</v>
      </c>
      <c r="K749" s="30">
        <v>574</v>
      </c>
      <c r="L749" s="29">
        <f t="shared" si="211"/>
        <v>11371.908376190917</v>
      </c>
      <c r="M749" s="28" t="str">
        <f t="shared" si="199"/>
        <v/>
      </c>
      <c r="N749" s="27" t="str">
        <f t="shared" si="212"/>
        <v/>
      </c>
      <c r="O749" s="26" t="str">
        <f>IF(AND($Q748=$O$38,IFERROR(LARGE($V$176:$V748,1)&lt;$N$42,TRUE)),1,IF(AND(ISNUMBER($O748),$O748&lt;$N$32),$O748+1,""))</f>
        <v/>
      </c>
      <c r="P749" s="26" t="str">
        <f t="shared" si="213"/>
        <v/>
      </c>
      <c r="Q749" s="26" t="str">
        <f t="shared" si="200"/>
        <v/>
      </c>
      <c r="R749" s="24" t="str">
        <f t="shared" si="214"/>
        <v/>
      </c>
      <c r="S749" s="180">
        <f t="shared" si="215"/>
        <v>9</v>
      </c>
      <c r="T749" s="151"/>
      <c r="U749" s="25" t="str">
        <f t="shared" si="201"/>
        <v/>
      </c>
      <c r="V749" s="24" t="str">
        <f>IF(AND(ISNUMBER(R748),ISNUMBER(R749)),V748,IF(AND(R748="",ISNUMBER(R749)),IFERROR(LARGE($V$176:$V748,1)+1,0),""))</f>
        <v/>
      </c>
      <c r="W749" s="23" t="str">
        <f t="shared" si="202"/>
        <v/>
      </c>
      <c r="X749" s="22" t="str">
        <f t="shared" si="203"/>
        <v/>
      </c>
      <c r="Y749" s="22"/>
      <c r="Z749" s="22"/>
      <c r="AA749" s="22"/>
      <c r="AB749" s="22" t="str" cm="1">
        <f t="array" ref="AB749">IF(IF(AND($P748="",$P749=1),($N$37*-1),0)+IF(AND($Q748="",$Q749=1),($N$38*-1),0)+IF(IF(($K749-$N$48)&lt;1,0,IF(IF(INDEX($AD$176:$AD$905,($K749-$N$48))="",0,INDEX($AD$176:$AD$905,($K749-$N$48)))&gt;0,IF(INDEX($AD$176:$AD$905,($K749-$N$48))="",0,INDEX($AD$176:$AD$905,($K749-$N$48))),0))="",0,IF(($K749-$N$48)&lt;1,0,IF(IF(INDEX($AD$176:$AD$905,($K749-$N$48))="",0,INDEX($AD$176:$AD$905,($K749-$N$48)))&gt;0,IF(INDEX($AD$176:$AD$905,($K749-$N$48))="",0,INDEX($AD$176:$AD$905,($K749-$N$48))),0)))=0,"",IF(AND($P748="",$P749=1),($N$37*-1),0)+IF(AND($Q748="",$Q749=1),($N$38*-1),0)+IF(IF(($K749-$N$48)&lt;1,0,IF(IF(INDEX($AD$176:$AD$905,($K749-$N$48))="",0,INDEX($AD$176:$AD$905,($K749-$N$48)))&gt;0,IF(INDEX($AD$176:$AD$905,($K749-$N$48))="",0,INDEX($AD$176:$AD$905,($K749-$N$48))),0))="",0,IF(($K749-$N$48)&lt;1,0,IF(IF(INDEX($AD$176:$AD$905,($K749-$N$48))="",0,INDEX($AD$176:$AD$905,($K749-$N$48)))&gt;0,IF(INDEX($AD$176:$AD$905,($K749-$N$48))="",0,INDEX($AD$176:$AD$905,($K749-$N$48))),0))))</f>
        <v/>
      </c>
      <c r="AC749" s="22" t="str">
        <f t="shared" si="204"/>
        <v/>
      </c>
      <c r="AD749" s="22" t="str">
        <f t="shared" si="216"/>
        <v/>
      </c>
      <c r="AE749" s="22" t="str" cm="1">
        <f t="array" ref="AE749">IF(($K749-$N$48)&lt;1,"",IF((IF(INDEX($AC$176:$AC$905,($K749-$N$48))="",0,INDEX($AC$176:$AC$905,($K749-$N$48))))=0,"",(IF(INDEX($AC$176:$AC$905,($K749-$N$48))="",0,INDEX($AC$176:$AC$905,($K749-$N$48))))))</f>
        <v/>
      </c>
      <c r="AF749" s="31" t="str">
        <f t="shared" si="205"/>
        <v/>
      </c>
      <c r="AG749" s="31" t="str">
        <f t="shared" si="206"/>
        <v/>
      </c>
      <c r="AH749" s="31" t="str">
        <f t="shared" si="207"/>
        <v/>
      </c>
      <c r="AI749" s="31" t="str">
        <f t="shared" si="208"/>
        <v/>
      </c>
      <c r="AJ749" s="303" t="str">
        <f t="shared" si="209"/>
        <v/>
      </c>
      <c r="AK749" s="139" t="str">
        <f t="shared" si="210"/>
        <v/>
      </c>
      <c r="AM749" s="319"/>
      <c r="AN749" s="40"/>
      <c r="AO749" s="1"/>
    </row>
    <row r="750" spans="7:41" x14ac:dyDescent="0.25">
      <c r="G750" s="235" t="str">
        <f t="shared" si="217"/>
        <v/>
      </c>
      <c r="H750" s="4" t="str">
        <f t="shared" si="218"/>
        <v/>
      </c>
      <c r="I750" s="11" t="str">
        <f t="shared" si="198"/>
        <v>09.00</v>
      </c>
      <c r="K750" s="30">
        <v>575</v>
      </c>
      <c r="L750" s="29">
        <f t="shared" si="211"/>
        <v>11371.908376190917</v>
      </c>
      <c r="M750" s="28" t="str">
        <f t="shared" si="199"/>
        <v/>
      </c>
      <c r="N750" s="27" t="str">
        <f t="shared" si="212"/>
        <v/>
      </c>
      <c r="O750" s="26" t="str">
        <f>IF(AND($Q749=$O$38,IFERROR(LARGE($V$176:$V749,1)&lt;$N$42,TRUE)),1,IF(AND(ISNUMBER($O749),$O749&lt;$N$32),$O749+1,""))</f>
        <v/>
      </c>
      <c r="P750" s="26" t="str">
        <f t="shared" si="213"/>
        <v/>
      </c>
      <c r="Q750" s="26" t="str">
        <f t="shared" si="200"/>
        <v/>
      </c>
      <c r="R750" s="24" t="str">
        <f t="shared" si="214"/>
        <v/>
      </c>
      <c r="S750" s="180">
        <f t="shared" si="215"/>
        <v>9</v>
      </c>
      <c r="T750" s="151"/>
      <c r="U750" s="25" t="str">
        <f t="shared" si="201"/>
        <v/>
      </c>
      <c r="V750" s="24" t="str">
        <f>IF(AND(ISNUMBER(R749),ISNUMBER(R750)),V749,IF(AND(R749="",ISNUMBER(R750)),IFERROR(LARGE($V$176:$V749,1)+1,0),""))</f>
        <v/>
      </c>
      <c r="W750" s="23" t="str">
        <f t="shared" si="202"/>
        <v/>
      </c>
      <c r="X750" s="22" t="str">
        <f t="shared" si="203"/>
        <v/>
      </c>
      <c r="Y750" s="22"/>
      <c r="Z750" s="22"/>
      <c r="AA750" s="22"/>
      <c r="AB750" s="22" t="str" cm="1">
        <f t="array" ref="AB750">IF(IF(AND($P749="",$P750=1),($N$37*-1),0)+IF(AND($Q749="",$Q750=1),($N$38*-1),0)+IF(IF(($K750-$N$48)&lt;1,0,IF(IF(INDEX($AD$176:$AD$905,($K750-$N$48))="",0,INDEX($AD$176:$AD$905,($K750-$N$48)))&gt;0,IF(INDEX($AD$176:$AD$905,($K750-$N$48))="",0,INDEX($AD$176:$AD$905,($K750-$N$48))),0))="",0,IF(($K750-$N$48)&lt;1,0,IF(IF(INDEX($AD$176:$AD$905,($K750-$N$48))="",0,INDEX($AD$176:$AD$905,($K750-$N$48)))&gt;0,IF(INDEX($AD$176:$AD$905,($K750-$N$48))="",0,INDEX($AD$176:$AD$905,($K750-$N$48))),0)))=0,"",IF(AND($P749="",$P750=1),($N$37*-1),0)+IF(AND($Q749="",$Q750=1),($N$38*-1),0)+IF(IF(($K750-$N$48)&lt;1,0,IF(IF(INDEX($AD$176:$AD$905,($K750-$N$48))="",0,INDEX($AD$176:$AD$905,($K750-$N$48)))&gt;0,IF(INDEX($AD$176:$AD$905,($K750-$N$48))="",0,INDEX($AD$176:$AD$905,($K750-$N$48))),0))="",0,IF(($K750-$N$48)&lt;1,0,IF(IF(INDEX($AD$176:$AD$905,($K750-$N$48))="",0,INDEX($AD$176:$AD$905,($K750-$N$48)))&gt;0,IF(INDEX($AD$176:$AD$905,($K750-$N$48))="",0,INDEX($AD$176:$AD$905,($K750-$N$48))),0))))</f>
        <v/>
      </c>
      <c r="AC750" s="22" t="str">
        <f t="shared" si="204"/>
        <v/>
      </c>
      <c r="AD750" s="22" t="str">
        <f t="shared" si="216"/>
        <v/>
      </c>
      <c r="AE750" s="22" t="str" cm="1">
        <f t="array" ref="AE750">IF(($K750-$N$48)&lt;1,"",IF((IF(INDEX($AC$176:$AC$905,($K750-$N$48))="",0,INDEX($AC$176:$AC$905,($K750-$N$48))))=0,"",(IF(INDEX($AC$176:$AC$905,($K750-$N$48))="",0,INDEX($AC$176:$AC$905,($K750-$N$48))))))</f>
        <v/>
      </c>
      <c r="AF750" s="31" t="str">
        <f t="shared" si="205"/>
        <v/>
      </c>
      <c r="AG750" s="31" t="str">
        <f t="shared" si="206"/>
        <v/>
      </c>
      <c r="AH750" s="31" t="str">
        <f t="shared" si="207"/>
        <v/>
      </c>
      <c r="AI750" s="31" t="str">
        <f t="shared" si="208"/>
        <v/>
      </c>
      <c r="AJ750" s="303" t="str">
        <f t="shared" si="209"/>
        <v/>
      </c>
      <c r="AK750" s="139" t="str">
        <f t="shared" si="210"/>
        <v/>
      </c>
      <c r="AM750" s="319"/>
      <c r="AN750" s="40"/>
      <c r="AO750" s="1"/>
    </row>
    <row r="751" spans="7:41" x14ac:dyDescent="0.25">
      <c r="G751" s="235" t="str">
        <f t="shared" si="217"/>
        <v/>
      </c>
      <c r="H751" s="4" t="str">
        <f t="shared" si="218"/>
        <v/>
      </c>
      <c r="I751" s="11" t="str">
        <f t="shared" si="198"/>
        <v>09.00</v>
      </c>
      <c r="K751" s="30">
        <v>576</v>
      </c>
      <c r="L751" s="29">
        <f t="shared" si="211"/>
        <v>11371.908376190917</v>
      </c>
      <c r="M751" s="28" t="str">
        <f t="shared" si="199"/>
        <v/>
      </c>
      <c r="N751" s="27" t="str">
        <f t="shared" si="212"/>
        <v/>
      </c>
      <c r="O751" s="26" t="str">
        <f>IF(AND($Q750=$O$38,IFERROR(LARGE($V$176:$V750,1)&lt;$N$42,TRUE)),1,IF(AND(ISNUMBER($O750),$O750&lt;$N$32),$O750+1,""))</f>
        <v/>
      </c>
      <c r="P751" s="26" t="str">
        <f t="shared" si="213"/>
        <v/>
      </c>
      <c r="Q751" s="26" t="str">
        <f t="shared" si="200"/>
        <v/>
      </c>
      <c r="R751" s="24" t="str">
        <f t="shared" si="214"/>
        <v/>
      </c>
      <c r="S751" s="180">
        <f t="shared" si="215"/>
        <v>9</v>
      </c>
      <c r="T751" s="151"/>
      <c r="U751" s="25" t="str">
        <f t="shared" si="201"/>
        <v/>
      </c>
      <c r="V751" s="24" t="str">
        <f>IF(AND(ISNUMBER(R750),ISNUMBER(R751)),V750,IF(AND(R750="",ISNUMBER(R751)),IFERROR(LARGE($V$176:$V750,1)+1,0),""))</f>
        <v/>
      </c>
      <c r="W751" s="23" t="str">
        <f t="shared" si="202"/>
        <v/>
      </c>
      <c r="X751" s="22" t="str">
        <f t="shared" si="203"/>
        <v/>
      </c>
      <c r="Y751" s="22"/>
      <c r="Z751" s="22"/>
      <c r="AA751" s="22"/>
      <c r="AB751" s="22" t="str" cm="1">
        <f t="array" ref="AB751">IF(IF(AND($P750="",$P751=1),($N$37*-1),0)+IF(AND($Q750="",$Q751=1),($N$38*-1),0)+IF(IF(($K751-$N$48)&lt;1,0,IF(IF(INDEX($AD$176:$AD$905,($K751-$N$48))="",0,INDEX($AD$176:$AD$905,($K751-$N$48)))&gt;0,IF(INDEX($AD$176:$AD$905,($K751-$N$48))="",0,INDEX($AD$176:$AD$905,($K751-$N$48))),0))="",0,IF(($K751-$N$48)&lt;1,0,IF(IF(INDEX($AD$176:$AD$905,($K751-$N$48))="",0,INDEX($AD$176:$AD$905,($K751-$N$48)))&gt;0,IF(INDEX($AD$176:$AD$905,($K751-$N$48))="",0,INDEX($AD$176:$AD$905,($K751-$N$48))),0)))=0,"",IF(AND($P750="",$P751=1),($N$37*-1),0)+IF(AND($Q750="",$Q751=1),($N$38*-1),0)+IF(IF(($K751-$N$48)&lt;1,0,IF(IF(INDEX($AD$176:$AD$905,($K751-$N$48))="",0,INDEX($AD$176:$AD$905,($K751-$N$48)))&gt;0,IF(INDEX($AD$176:$AD$905,($K751-$N$48))="",0,INDEX($AD$176:$AD$905,($K751-$N$48))),0))="",0,IF(($K751-$N$48)&lt;1,0,IF(IF(INDEX($AD$176:$AD$905,($K751-$N$48))="",0,INDEX($AD$176:$AD$905,($K751-$N$48)))&gt;0,IF(INDEX($AD$176:$AD$905,($K751-$N$48))="",0,INDEX($AD$176:$AD$905,($K751-$N$48))),0))))</f>
        <v/>
      </c>
      <c r="AC751" s="22" t="str">
        <f t="shared" si="204"/>
        <v/>
      </c>
      <c r="AD751" s="22" t="str">
        <f t="shared" si="216"/>
        <v/>
      </c>
      <c r="AE751" s="22" t="str" cm="1">
        <f t="array" ref="AE751">IF(($K751-$N$48)&lt;1,"",IF((IF(INDEX($AC$176:$AC$905,($K751-$N$48))="",0,INDEX($AC$176:$AC$905,($K751-$N$48))))=0,"",(IF(INDEX($AC$176:$AC$905,($K751-$N$48))="",0,INDEX($AC$176:$AC$905,($K751-$N$48))))))</f>
        <v/>
      </c>
      <c r="AF751" s="31" t="str">
        <f t="shared" si="205"/>
        <v/>
      </c>
      <c r="AG751" s="31" t="str">
        <f t="shared" si="206"/>
        <v/>
      </c>
      <c r="AH751" s="31" t="str">
        <f t="shared" si="207"/>
        <v/>
      </c>
      <c r="AI751" s="31" t="str">
        <f t="shared" si="208"/>
        <v/>
      </c>
      <c r="AJ751" s="303" t="str">
        <f t="shared" si="209"/>
        <v/>
      </c>
      <c r="AK751" s="139" t="str">
        <f t="shared" si="210"/>
        <v/>
      </c>
      <c r="AM751" s="319"/>
      <c r="AN751" s="40"/>
      <c r="AO751" s="1"/>
    </row>
    <row r="752" spans="7:41" x14ac:dyDescent="0.25">
      <c r="G752" s="235" t="str">
        <f t="shared" si="217"/>
        <v/>
      </c>
      <c r="H752" s="4" t="str">
        <f t="shared" si="218"/>
        <v/>
      </c>
      <c r="I752" s="11" t="str">
        <f t="shared" ref="I752:I815" si="219">CONCATENATE(IF(LEN(ROUNDDOWN(S752,0))=1,CONCATENATE("0",ROUNDDOWN(S752,0)),ROUNDDOWN(S752,0)),".",IF(LEN(ROUND(MOD(S752,1)*100,0))=1,CONCATENATE("0",ROUND(MOD(S752,1)*100,0)),ROUND(MOD(S752,1)*100,0)),IF(N752&lt;&gt;"",".N.",IF(O752&lt;&gt;"",".R.",IF(P752&lt;&gt;"",".O.",IF(Q752&lt;&gt;"",".I.",IF(R752&lt;&gt;"",".D.",""))))),IF(N752&lt;&gt;"",N752,IF(O752&lt;&gt;"",O752,IF(P752&lt;&gt;"",P752,IF(Q752&lt;&gt;"",Q752,IF(R752&lt;&gt;"",IF(MOD(R752,$N$44)=0,$N$44,MOD(R752,$N$44)),""))))))</f>
        <v>09.00</v>
      </c>
      <c r="K752" s="30">
        <v>577</v>
      </c>
      <c r="L752" s="29">
        <f t="shared" si="211"/>
        <v>11371.908376190917</v>
      </c>
      <c r="M752" s="28" t="str">
        <f t="shared" ref="M752:M815" si="220">IFERROR(IF(IF($K752=1,(($M$23*-1)+($M$24*-1)),IF(ISNUMBER(W752),W752,0)+IF(ISNUMBER(X752),X752,0)+IF(ISNUMBER(AB752),AB752,0)+IF(ISNUMBER(AE752),AE752,0)+IF(ISNUMBER(AF752),AF752,0)+IF(ISNUMBER(AG752),AG752,0)+IF(ISNUMBER(AH752),AH752,0)+IF(ISNUMBER(AI752),AI752,0)+IF(ISNUMBER(AK752),AK752,0))=0,"",IF($K752=1,(($M$23*-1)+($M$24*-1)),IF(ISNUMBER(W752),W752,0)+IF(ISNUMBER(X752),X752,0)+IF(ISNUMBER(AB752),AB752,0)+IF(ISNUMBER(AE752),AE752,0)+IF(ISNUMBER(AF752),AF752,0)+IF(ISNUMBER(AG752),AG752,0)+IF(ISNUMBER(AH752),AH752,0)+IF(ISNUMBER(AI752),AI752,0)+IF(ISNUMBER(AK752),AK752,0))),"")</f>
        <v/>
      </c>
      <c r="N752" s="27" t="str">
        <f t="shared" si="212"/>
        <v/>
      </c>
      <c r="O752" s="26" t="str">
        <f>IF(AND($Q751=$O$38,IFERROR(LARGE($V$176:$V751,1)&lt;$N$42,TRUE)),1,IF(AND(ISNUMBER($O751),$O751&lt;$N$32),$O751+1,""))</f>
        <v/>
      </c>
      <c r="P752" s="26" t="str">
        <f t="shared" si="213"/>
        <v/>
      </c>
      <c r="Q752" s="26" t="str">
        <f t="shared" ref="Q752:Q815" si="221">IF($R751=($N$43*$N$44),1,IF(AND(ISNUMBER($Q751),$Q751&lt;$O$38),$Q751+1,""))</f>
        <v/>
      </c>
      <c r="R752" s="24" t="str">
        <f t="shared" si="214"/>
        <v/>
      </c>
      <c r="S752" s="180">
        <f t="shared" si="215"/>
        <v>9</v>
      </c>
      <c r="T752" s="151"/>
      <c r="U752" s="25" t="str">
        <f t="shared" ref="U752:U815" si="222">IF(ISNUMBER($R752),ROUNDUP($R752/$N$44,0),"")</f>
        <v/>
      </c>
      <c r="V752" s="24" t="str">
        <f>IF(AND(ISNUMBER(R751),ISNUMBER(R752)),V751,IF(AND(R751="",ISNUMBER(R752)),IFERROR(LARGE($V$176:$V751,1)+1,0),""))</f>
        <v/>
      </c>
      <c r="W752" s="23" t="str">
        <f t="shared" ref="W752:W815" si="223">IF($O752=1,($M$30*-1),"")</f>
        <v/>
      </c>
      <c r="X752" s="22" t="str">
        <f t="shared" ref="X752:X815" si="224">IF($K752=1,($M$24*-1),IF($O752=1,($M$31*-1),""))</f>
        <v/>
      </c>
      <c r="Y752" s="22"/>
      <c r="Z752" s="22"/>
      <c r="AA752" s="22"/>
      <c r="AB752" s="22" t="str" cm="1">
        <f t="array" ref="AB752">IF(IF(AND($P751="",$P752=1),($N$37*-1),0)+IF(AND($Q751="",$Q752=1),($N$38*-1),0)+IF(IF(($K752-$N$48)&lt;1,0,IF(IF(INDEX($AD$176:$AD$905,($K752-$N$48))="",0,INDEX($AD$176:$AD$905,($K752-$N$48)))&gt;0,IF(INDEX($AD$176:$AD$905,($K752-$N$48))="",0,INDEX($AD$176:$AD$905,($K752-$N$48))),0))="",0,IF(($K752-$N$48)&lt;1,0,IF(IF(INDEX($AD$176:$AD$905,($K752-$N$48))="",0,INDEX($AD$176:$AD$905,($K752-$N$48)))&gt;0,IF(INDEX($AD$176:$AD$905,($K752-$N$48))="",0,INDEX($AD$176:$AD$905,($K752-$N$48))),0)))=0,"",IF(AND($P751="",$P752=1),($N$37*-1),0)+IF(AND($Q751="",$Q752=1),($N$38*-1),0)+IF(IF(($K752-$N$48)&lt;1,0,IF(IF(INDEX($AD$176:$AD$905,($K752-$N$48))="",0,INDEX($AD$176:$AD$905,($K752-$N$48)))&gt;0,IF(INDEX($AD$176:$AD$905,($K752-$N$48))="",0,INDEX($AD$176:$AD$905,($K752-$N$48))),0))="",0,IF(($K752-$N$48)&lt;1,0,IF(IF(INDEX($AD$176:$AD$905,($K752-$N$48))="",0,INDEX($AD$176:$AD$905,($K752-$N$48)))&gt;0,IF(INDEX($AD$176:$AD$905,($K752-$N$48))="",0,INDEX($AD$176:$AD$905,($K752-$N$48))),0))))</f>
        <v/>
      </c>
      <c r="AC752" s="22" t="str">
        <f t="shared" ref="AC752:AC815" si="225">IF(IF(OR(AND(ISNUMBER($U752),IF(ISNUMBER($U753),$U753,0)-IF(ISNUMBER($U752),$U752,0)=1),AND(ISNUMBER($U752),$U753="")),VLOOKUP(IF($U752&gt;$L$63,$L$63,$U752),$L$52:$N$63,COLUMNS($L$52:$N$52),FALSE),0)=0,"",IF(OR(AND(ISNUMBER($U752),IF(ISNUMBER($U753),$U753,0)-IF(ISNUMBER($U752),$U752,0)=1),AND(ISNUMBER($U752),$U753="")),VLOOKUP(IF($U752&gt;$L$63,$L$63,$U752),$L$52:$N$63,COLUMNS($L$52:$N$52),FALSE),0))</f>
        <v/>
      </c>
      <c r="AD752" s="22" t="str">
        <f t="shared" si="216"/>
        <v/>
      </c>
      <c r="AE752" s="22" t="str" cm="1">
        <f t="array" ref="AE752">IF(($K752-$N$48)&lt;1,"",IF((IF(INDEX($AC$176:$AC$905,($K752-$N$48))="",0,INDEX($AC$176:$AC$905,($K752-$N$48))))=0,"",(IF(INDEX($AC$176:$AC$905,($K752-$N$48))="",0,INDEX($AC$176:$AC$905,($K752-$N$48))))))</f>
        <v/>
      </c>
      <c r="AF752" s="31" t="str">
        <f t="shared" ref="AF752:AF815" si="226">IF($O$67="Invoice",IF(AND(ISNUMBER($AC752),ISNUMBER($O$68)),$AC752*$O$68*-1,""),IF($O$67="Payment",IF(AND(ISNUMBER($AE752),ISNUMBER($O$68)),$AE752*$O$68*-1,""),""))</f>
        <v/>
      </c>
      <c r="AG752" s="31" t="str">
        <f t="shared" ref="AG752:AG815" si="227">IF($O$67="Invoice",IF(AND(ISNUMBER($AC752),ISNUMBER($O$69)),$AC752*$O$69*-1,""),IF($O$67="Payment",IF(AND(ISNUMBER($AE752),ISNUMBER($O$69)),$AE752*$O$69*-1,""),""))</f>
        <v/>
      </c>
      <c r="AH752" s="31" t="str">
        <f t="shared" ref="AH752:AH815" si="228">IF($O$67="Invoice",IF(AND(ISNUMBER($AC752),ISNUMBER($O$70)),$AC752*$O$70*-1,""),IF($O$67="Payment",IF(AND(ISNUMBER($AE752),ISNUMBER($O$70)),$AE752*$O$70*-1,""),""))</f>
        <v/>
      </c>
      <c r="AI752" s="31" t="str">
        <f t="shared" ref="AI752:AI815" si="229">IF($O$67="Invoice",IF(AND(ISNUMBER($AC752),ISNUMBER($O$71)),$AC752*$O$71*-1,""),IF($O$67="Payment",IF(AND(ISNUMBER($AE752),ISNUMBER($O$71)),$AE752*$O$71*-1,""),""))</f>
        <v/>
      </c>
      <c r="AJ752" s="303" t="str">
        <f t="shared" ref="AJ752:AJ815" si="230">IF($O$67="Invoice",IF(AND(ISNUMBER($AC752),ISNUMBER($O$72)),$AC752*$O$72*-1,""),IF($O$67="Payment",IF(AND(ISNUMBER($AE752),ISNUMBER($O$72)),$AE752*$O$72*-1,""),""))</f>
        <v/>
      </c>
      <c r="AK752" s="139" t="str">
        <f t="shared" ref="AK752:AK815" si="231">IF($O$67="Invoice",IF(AND(ISNUMBER($AC752),ISNUMBER($O$73)),$AC752*$O$73*-1,""),IF($O$67="Payment",IF(AND(ISNUMBER($AE752),ISNUMBER($O$73)),$AE752*$O$73*-1,""),""))</f>
        <v/>
      </c>
      <c r="AM752" s="319"/>
      <c r="AN752" s="40"/>
      <c r="AO752" s="1"/>
    </row>
    <row r="753" spans="7:41" x14ac:dyDescent="0.25">
      <c r="G753" s="235" t="str">
        <f t="shared" si="217"/>
        <v/>
      </c>
      <c r="H753" s="4" t="str">
        <f t="shared" si="218"/>
        <v/>
      </c>
      <c r="I753" s="11" t="str">
        <f t="shared" si="219"/>
        <v>09.00</v>
      </c>
      <c r="K753" s="30">
        <v>578</v>
      </c>
      <c r="L753" s="29">
        <f t="shared" ref="L753:L816" si="232">IF(ISNUMBER($M753),$M753+$L752,$L752)</f>
        <v>11371.908376190917</v>
      </c>
      <c r="M753" s="28" t="str">
        <f t="shared" si="220"/>
        <v/>
      </c>
      <c r="N753" s="27" t="str">
        <f t="shared" ref="N753:N816" si="233">IF($K752&lt;$N$25,$N752+1,"")</f>
        <v/>
      </c>
      <c r="O753" s="26" t="str">
        <f>IF(AND($Q752=$O$38,IFERROR(LARGE($V$176:$V752,1)&lt;$N$42,TRUE)),1,IF(AND(ISNUMBER($O752),$O752&lt;$N$32),$O752+1,""))</f>
        <v/>
      </c>
      <c r="P753" s="26" t="str">
        <f t="shared" ref="P753:P816" si="234">IF(OR($N752=$N$25,O752=$N$32),1,IF(AND($P752&lt;$O$37,P752&gt;0),P752+1,""))</f>
        <v/>
      </c>
      <c r="Q753" s="26" t="str">
        <f t="shared" si="221"/>
        <v/>
      </c>
      <c r="R753" s="24" t="str">
        <f t="shared" ref="R753:R816" si="235">IF(AND($P752=$O$37,$R752=""),1,IF($R752&lt;($N$43*$N$44),$R752+1,""))</f>
        <v/>
      </c>
      <c r="S753" s="180">
        <f t="shared" si="215"/>
        <v>9</v>
      </c>
      <c r="T753" s="151"/>
      <c r="U753" s="25" t="str">
        <f t="shared" si="222"/>
        <v/>
      </c>
      <c r="V753" s="24" t="str">
        <f>IF(AND(ISNUMBER(R752),ISNUMBER(R753)),V752,IF(AND(R752="",ISNUMBER(R753)),IFERROR(LARGE($V$176:$V752,1)+1,0),""))</f>
        <v/>
      </c>
      <c r="W753" s="23" t="str">
        <f t="shared" si="223"/>
        <v/>
      </c>
      <c r="X753" s="22" t="str">
        <f t="shared" si="224"/>
        <v/>
      </c>
      <c r="Y753" s="22"/>
      <c r="Z753" s="22"/>
      <c r="AA753" s="22"/>
      <c r="AB753" s="22" t="str" cm="1">
        <f t="array" ref="AB753">IF(IF(AND($P752="",$P753=1),($N$37*-1),0)+IF(AND($Q752="",$Q753=1),($N$38*-1),0)+IF(IF(($K753-$N$48)&lt;1,0,IF(IF(INDEX($AD$176:$AD$905,($K753-$N$48))="",0,INDEX($AD$176:$AD$905,($K753-$N$48)))&gt;0,IF(INDEX($AD$176:$AD$905,($K753-$N$48))="",0,INDEX($AD$176:$AD$905,($K753-$N$48))),0))="",0,IF(($K753-$N$48)&lt;1,0,IF(IF(INDEX($AD$176:$AD$905,($K753-$N$48))="",0,INDEX($AD$176:$AD$905,($K753-$N$48)))&gt;0,IF(INDEX($AD$176:$AD$905,($K753-$N$48))="",0,INDEX($AD$176:$AD$905,($K753-$N$48))),0)))=0,"",IF(AND($P752="",$P753=1),($N$37*-1),0)+IF(AND($Q752="",$Q753=1),($N$38*-1),0)+IF(IF(($K753-$N$48)&lt;1,0,IF(IF(INDEX($AD$176:$AD$905,($K753-$N$48))="",0,INDEX($AD$176:$AD$905,($K753-$N$48)))&gt;0,IF(INDEX($AD$176:$AD$905,($K753-$N$48))="",0,INDEX($AD$176:$AD$905,($K753-$N$48))),0))="",0,IF(($K753-$N$48)&lt;1,0,IF(IF(INDEX($AD$176:$AD$905,($K753-$N$48))="",0,INDEX($AD$176:$AD$905,($K753-$N$48)))&gt;0,IF(INDEX($AD$176:$AD$905,($K753-$N$48))="",0,INDEX($AD$176:$AD$905,($K753-$N$48))),0))))</f>
        <v/>
      </c>
      <c r="AC753" s="22" t="str">
        <f t="shared" si="225"/>
        <v/>
      </c>
      <c r="AD753" s="22" t="str">
        <f t="shared" si="216"/>
        <v/>
      </c>
      <c r="AE753" s="22" t="str" cm="1">
        <f t="array" ref="AE753">IF(($K753-$N$48)&lt;1,"",IF((IF(INDEX($AC$176:$AC$905,($K753-$N$48))="",0,INDEX($AC$176:$AC$905,($K753-$N$48))))=0,"",(IF(INDEX($AC$176:$AC$905,($K753-$N$48))="",0,INDEX($AC$176:$AC$905,($K753-$N$48))))))</f>
        <v/>
      </c>
      <c r="AF753" s="31" t="str">
        <f t="shared" si="226"/>
        <v/>
      </c>
      <c r="AG753" s="31" t="str">
        <f t="shared" si="227"/>
        <v/>
      </c>
      <c r="AH753" s="31" t="str">
        <f t="shared" si="228"/>
        <v/>
      </c>
      <c r="AI753" s="31" t="str">
        <f t="shared" si="229"/>
        <v/>
      </c>
      <c r="AJ753" s="303" t="str">
        <f t="shared" si="230"/>
        <v/>
      </c>
      <c r="AK753" s="139" t="str">
        <f t="shared" si="231"/>
        <v/>
      </c>
      <c r="AM753" s="319"/>
      <c r="AN753" s="40"/>
      <c r="AO753" s="1"/>
    </row>
    <row r="754" spans="7:41" x14ac:dyDescent="0.25">
      <c r="G754" s="235" t="str">
        <f t="shared" si="217"/>
        <v/>
      </c>
      <c r="H754" s="4" t="str">
        <f t="shared" si="218"/>
        <v/>
      </c>
      <c r="I754" s="11" t="str">
        <f t="shared" si="219"/>
        <v>09.00</v>
      </c>
      <c r="K754" s="30">
        <v>579</v>
      </c>
      <c r="L754" s="29">
        <f t="shared" si="232"/>
        <v>11371.908376190917</v>
      </c>
      <c r="M754" s="28" t="str">
        <f t="shared" si="220"/>
        <v/>
      </c>
      <c r="N754" s="27" t="str">
        <f t="shared" si="233"/>
        <v/>
      </c>
      <c r="O754" s="26" t="str">
        <f>IF(AND($Q753=$O$38,IFERROR(LARGE($V$176:$V753,1)&lt;$N$42,TRUE)),1,IF(AND(ISNUMBER($O753),$O753&lt;$N$32),$O753+1,""))</f>
        <v/>
      </c>
      <c r="P754" s="26" t="str">
        <f t="shared" si="234"/>
        <v/>
      </c>
      <c r="Q754" s="26" t="str">
        <f t="shared" si="221"/>
        <v/>
      </c>
      <c r="R754" s="24" t="str">
        <f t="shared" si="235"/>
        <v/>
      </c>
      <c r="S754" s="180">
        <f t="shared" si="215"/>
        <v>9</v>
      </c>
      <c r="T754" s="151"/>
      <c r="U754" s="25" t="str">
        <f t="shared" si="222"/>
        <v/>
      </c>
      <c r="V754" s="24" t="str">
        <f>IF(AND(ISNUMBER(R753),ISNUMBER(R754)),V753,IF(AND(R753="",ISNUMBER(R754)),IFERROR(LARGE($V$176:$V753,1)+1,0),""))</f>
        <v/>
      </c>
      <c r="W754" s="23" t="str">
        <f t="shared" si="223"/>
        <v/>
      </c>
      <c r="X754" s="22" t="str">
        <f t="shared" si="224"/>
        <v/>
      </c>
      <c r="Y754" s="22"/>
      <c r="Z754" s="22"/>
      <c r="AA754" s="22"/>
      <c r="AB754" s="22" t="str" cm="1">
        <f t="array" ref="AB754">IF(IF(AND($P753="",$P754=1),($N$37*-1),0)+IF(AND($Q753="",$Q754=1),($N$38*-1),0)+IF(IF(($K754-$N$48)&lt;1,0,IF(IF(INDEX($AD$176:$AD$905,($K754-$N$48))="",0,INDEX($AD$176:$AD$905,($K754-$N$48)))&gt;0,IF(INDEX($AD$176:$AD$905,($K754-$N$48))="",0,INDEX($AD$176:$AD$905,($K754-$N$48))),0))="",0,IF(($K754-$N$48)&lt;1,0,IF(IF(INDEX($AD$176:$AD$905,($K754-$N$48))="",0,INDEX($AD$176:$AD$905,($K754-$N$48)))&gt;0,IF(INDEX($AD$176:$AD$905,($K754-$N$48))="",0,INDEX($AD$176:$AD$905,($K754-$N$48))),0)))=0,"",IF(AND($P753="",$P754=1),($N$37*-1),0)+IF(AND($Q753="",$Q754=1),($N$38*-1),0)+IF(IF(($K754-$N$48)&lt;1,0,IF(IF(INDEX($AD$176:$AD$905,($K754-$N$48))="",0,INDEX($AD$176:$AD$905,($K754-$N$48)))&gt;0,IF(INDEX($AD$176:$AD$905,($K754-$N$48))="",0,INDEX($AD$176:$AD$905,($K754-$N$48))),0))="",0,IF(($K754-$N$48)&lt;1,0,IF(IF(INDEX($AD$176:$AD$905,($K754-$N$48))="",0,INDEX($AD$176:$AD$905,($K754-$N$48)))&gt;0,IF(INDEX($AD$176:$AD$905,($K754-$N$48))="",0,INDEX($AD$176:$AD$905,($K754-$N$48))),0))))</f>
        <v/>
      </c>
      <c r="AC754" s="22" t="str">
        <f t="shared" si="225"/>
        <v/>
      </c>
      <c r="AD754" s="22" t="str">
        <f t="shared" si="216"/>
        <v/>
      </c>
      <c r="AE754" s="22" t="str" cm="1">
        <f t="array" ref="AE754">IF(($K754-$N$48)&lt;1,"",IF((IF(INDEX($AC$176:$AC$905,($K754-$N$48))="",0,INDEX($AC$176:$AC$905,($K754-$N$48))))=0,"",(IF(INDEX($AC$176:$AC$905,($K754-$N$48))="",0,INDEX($AC$176:$AC$905,($K754-$N$48))))))</f>
        <v/>
      </c>
      <c r="AF754" s="31" t="str">
        <f t="shared" si="226"/>
        <v/>
      </c>
      <c r="AG754" s="31" t="str">
        <f t="shared" si="227"/>
        <v/>
      </c>
      <c r="AH754" s="31" t="str">
        <f t="shared" si="228"/>
        <v/>
      </c>
      <c r="AI754" s="31" t="str">
        <f t="shared" si="229"/>
        <v/>
      </c>
      <c r="AJ754" s="303" t="str">
        <f t="shared" si="230"/>
        <v/>
      </c>
      <c r="AK754" s="139" t="str">
        <f t="shared" si="231"/>
        <v/>
      </c>
      <c r="AM754" s="319"/>
      <c r="AN754" s="40"/>
      <c r="AO754" s="1"/>
    </row>
    <row r="755" spans="7:41" x14ac:dyDescent="0.25">
      <c r="G755" s="235" t="str">
        <f t="shared" si="217"/>
        <v/>
      </c>
      <c r="H755" s="4" t="str">
        <f t="shared" si="218"/>
        <v/>
      </c>
      <c r="I755" s="11" t="str">
        <f t="shared" si="219"/>
        <v>09.00</v>
      </c>
      <c r="K755" s="30">
        <v>580</v>
      </c>
      <c r="L755" s="29">
        <f t="shared" si="232"/>
        <v>11371.908376190917</v>
      </c>
      <c r="M755" s="28" t="str">
        <f t="shared" si="220"/>
        <v/>
      </c>
      <c r="N755" s="27" t="str">
        <f t="shared" si="233"/>
        <v/>
      </c>
      <c r="O755" s="26" t="str">
        <f>IF(AND($Q754=$O$38,IFERROR(LARGE($V$176:$V754,1)&lt;$N$42,TRUE)),1,IF(AND(ISNUMBER($O754),$O754&lt;$N$32),$O754+1,""))</f>
        <v/>
      </c>
      <c r="P755" s="26" t="str">
        <f t="shared" si="234"/>
        <v/>
      </c>
      <c r="Q755" s="26" t="str">
        <f t="shared" si="221"/>
        <v/>
      </c>
      <c r="R755" s="24" t="str">
        <f t="shared" si="235"/>
        <v/>
      </c>
      <c r="S755" s="180">
        <f t="shared" si="215"/>
        <v>9</v>
      </c>
      <c r="T755" s="151"/>
      <c r="U755" s="25" t="str">
        <f t="shared" si="222"/>
        <v/>
      </c>
      <c r="V755" s="24" t="str">
        <f>IF(AND(ISNUMBER(R754),ISNUMBER(R755)),V754,IF(AND(R754="",ISNUMBER(R755)),IFERROR(LARGE($V$176:$V754,1)+1,0),""))</f>
        <v/>
      </c>
      <c r="W755" s="23" t="str">
        <f t="shared" si="223"/>
        <v/>
      </c>
      <c r="X755" s="22" t="str">
        <f t="shared" si="224"/>
        <v/>
      </c>
      <c r="Y755" s="22"/>
      <c r="Z755" s="22"/>
      <c r="AA755" s="22"/>
      <c r="AB755" s="22" t="str" cm="1">
        <f t="array" ref="AB755">IF(IF(AND($P754="",$P755=1),($N$37*-1),0)+IF(AND($Q754="",$Q755=1),($N$38*-1),0)+IF(IF(($K755-$N$48)&lt;1,0,IF(IF(INDEX($AD$176:$AD$905,($K755-$N$48))="",0,INDEX($AD$176:$AD$905,($K755-$N$48)))&gt;0,IF(INDEX($AD$176:$AD$905,($K755-$N$48))="",0,INDEX($AD$176:$AD$905,($K755-$N$48))),0))="",0,IF(($K755-$N$48)&lt;1,0,IF(IF(INDEX($AD$176:$AD$905,($K755-$N$48))="",0,INDEX($AD$176:$AD$905,($K755-$N$48)))&gt;0,IF(INDEX($AD$176:$AD$905,($K755-$N$48))="",0,INDEX($AD$176:$AD$905,($K755-$N$48))),0)))=0,"",IF(AND($P754="",$P755=1),($N$37*-1),0)+IF(AND($Q754="",$Q755=1),($N$38*-1),0)+IF(IF(($K755-$N$48)&lt;1,0,IF(IF(INDEX($AD$176:$AD$905,($K755-$N$48))="",0,INDEX($AD$176:$AD$905,($K755-$N$48)))&gt;0,IF(INDEX($AD$176:$AD$905,($K755-$N$48))="",0,INDEX($AD$176:$AD$905,($K755-$N$48))),0))="",0,IF(($K755-$N$48)&lt;1,0,IF(IF(INDEX($AD$176:$AD$905,($K755-$N$48))="",0,INDEX($AD$176:$AD$905,($K755-$N$48)))&gt;0,IF(INDEX($AD$176:$AD$905,($K755-$N$48))="",0,INDEX($AD$176:$AD$905,($K755-$N$48))),0))))</f>
        <v/>
      </c>
      <c r="AC755" s="22" t="str">
        <f t="shared" si="225"/>
        <v/>
      </c>
      <c r="AD755" s="22" t="str">
        <f t="shared" si="216"/>
        <v/>
      </c>
      <c r="AE755" s="22" t="str" cm="1">
        <f t="array" ref="AE755">IF(($K755-$N$48)&lt;1,"",IF((IF(INDEX($AC$176:$AC$905,($K755-$N$48))="",0,INDEX($AC$176:$AC$905,($K755-$N$48))))=0,"",(IF(INDEX($AC$176:$AC$905,($K755-$N$48))="",0,INDEX($AC$176:$AC$905,($K755-$N$48))))))</f>
        <v/>
      </c>
      <c r="AF755" s="31" t="str">
        <f t="shared" si="226"/>
        <v/>
      </c>
      <c r="AG755" s="31" t="str">
        <f t="shared" si="227"/>
        <v/>
      </c>
      <c r="AH755" s="31" t="str">
        <f t="shared" si="228"/>
        <v/>
      </c>
      <c r="AI755" s="31" t="str">
        <f t="shared" si="229"/>
        <v/>
      </c>
      <c r="AJ755" s="303" t="str">
        <f t="shared" si="230"/>
        <v/>
      </c>
      <c r="AK755" s="139" t="str">
        <f t="shared" si="231"/>
        <v/>
      </c>
      <c r="AM755" s="319"/>
      <c r="AN755" s="40"/>
      <c r="AO755" s="1"/>
    </row>
    <row r="756" spans="7:41" x14ac:dyDescent="0.25">
      <c r="G756" s="235" t="str">
        <f t="shared" si="217"/>
        <v/>
      </c>
      <c r="H756" s="4" t="str">
        <f t="shared" si="218"/>
        <v/>
      </c>
      <c r="I756" s="11" t="str">
        <f t="shared" si="219"/>
        <v>09.00</v>
      </c>
      <c r="K756" s="30">
        <v>581</v>
      </c>
      <c r="L756" s="29">
        <f t="shared" si="232"/>
        <v>11371.908376190917</v>
      </c>
      <c r="M756" s="28" t="str">
        <f t="shared" si="220"/>
        <v/>
      </c>
      <c r="N756" s="27" t="str">
        <f t="shared" si="233"/>
        <v/>
      </c>
      <c r="O756" s="26" t="str">
        <f>IF(AND($Q755=$O$38,IFERROR(LARGE($V$176:$V755,1)&lt;$N$42,TRUE)),1,IF(AND(ISNUMBER($O755),$O755&lt;$N$32),$O755+1,""))</f>
        <v/>
      </c>
      <c r="P756" s="26" t="str">
        <f t="shared" si="234"/>
        <v/>
      </c>
      <c r="Q756" s="26" t="str">
        <f t="shared" si="221"/>
        <v/>
      </c>
      <c r="R756" s="24" t="str">
        <f t="shared" si="235"/>
        <v/>
      </c>
      <c r="S756" s="180">
        <f t="shared" si="215"/>
        <v>9</v>
      </c>
      <c r="T756" s="151"/>
      <c r="U756" s="25" t="str">
        <f t="shared" si="222"/>
        <v/>
      </c>
      <c r="V756" s="24" t="str">
        <f>IF(AND(ISNUMBER(R755),ISNUMBER(R756)),V755,IF(AND(R755="",ISNUMBER(R756)),IFERROR(LARGE($V$176:$V755,1)+1,0),""))</f>
        <v/>
      </c>
      <c r="W756" s="23" t="str">
        <f t="shared" si="223"/>
        <v/>
      </c>
      <c r="X756" s="22" t="str">
        <f t="shared" si="224"/>
        <v/>
      </c>
      <c r="Y756" s="22"/>
      <c r="Z756" s="22"/>
      <c r="AA756" s="22"/>
      <c r="AB756" s="22" t="str" cm="1">
        <f t="array" ref="AB756">IF(IF(AND($P755="",$P756=1),($N$37*-1),0)+IF(AND($Q755="",$Q756=1),($N$38*-1),0)+IF(IF(($K756-$N$48)&lt;1,0,IF(IF(INDEX($AD$176:$AD$905,($K756-$N$48))="",0,INDEX($AD$176:$AD$905,($K756-$N$48)))&gt;0,IF(INDEX($AD$176:$AD$905,($K756-$N$48))="",0,INDEX($AD$176:$AD$905,($K756-$N$48))),0))="",0,IF(($K756-$N$48)&lt;1,0,IF(IF(INDEX($AD$176:$AD$905,($K756-$N$48))="",0,INDEX($AD$176:$AD$905,($K756-$N$48)))&gt;0,IF(INDEX($AD$176:$AD$905,($K756-$N$48))="",0,INDEX($AD$176:$AD$905,($K756-$N$48))),0)))=0,"",IF(AND($P755="",$P756=1),($N$37*-1),0)+IF(AND($Q755="",$Q756=1),($N$38*-1),0)+IF(IF(($K756-$N$48)&lt;1,0,IF(IF(INDEX($AD$176:$AD$905,($K756-$N$48))="",0,INDEX($AD$176:$AD$905,($K756-$N$48)))&gt;0,IF(INDEX($AD$176:$AD$905,($K756-$N$48))="",0,INDEX($AD$176:$AD$905,($K756-$N$48))),0))="",0,IF(($K756-$N$48)&lt;1,0,IF(IF(INDEX($AD$176:$AD$905,($K756-$N$48))="",0,INDEX($AD$176:$AD$905,($K756-$N$48)))&gt;0,IF(INDEX($AD$176:$AD$905,($K756-$N$48))="",0,INDEX($AD$176:$AD$905,($K756-$N$48))),0))))</f>
        <v/>
      </c>
      <c r="AC756" s="22" t="str">
        <f t="shared" si="225"/>
        <v/>
      </c>
      <c r="AD756" s="22" t="str">
        <f t="shared" si="216"/>
        <v/>
      </c>
      <c r="AE756" s="22" t="str" cm="1">
        <f t="array" ref="AE756">IF(($K756-$N$48)&lt;1,"",IF((IF(INDEX($AC$176:$AC$905,($K756-$N$48))="",0,INDEX($AC$176:$AC$905,($K756-$N$48))))=0,"",(IF(INDEX($AC$176:$AC$905,($K756-$N$48))="",0,INDEX($AC$176:$AC$905,($K756-$N$48))))))</f>
        <v/>
      </c>
      <c r="AF756" s="31" t="str">
        <f t="shared" si="226"/>
        <v/>
      </c>
      <c r="AG756" s="31" t="str">
        <f t="shared" si="227"/>
        <v/>
      </c>
      <c r="AH756" s="31" t="str">
        <f t="shared" si="228"/>
        <v/>
      </c>
      <c r="AI756" s="31" t="str">
        <f t="shared" si="229"/>
        <v/>
      </c>
      <c r="AJ756" s="303" t="str">
        <f t="shared" si="230"/>
        <v/>
      </c>
      <c r="AK756" s="139" t="str">
        <f t="shared" si="231"/>
        <v/>
      </c>
      <c r="AM756" s="319"/>
      <c r="AN756" s="40"/>
      <c r="AO756" s="1"/>
    </row>
    <row r="757" spans="7:41" x14ac:dyDescent="0.25">
      <c r="G757" s="235" t="str">
        <f t="shared" si="217"/>
        <v/>
      </c>
      <c r="H757" s="4" t="str">
        <f t="shared" si="218"/>
        <v/>
      </c>
      <c r="I757" s="11" t="str">
        <f t="shared" si="219"/>
        <v>09.00</v>
      </c>
      <c r="K757" s="30">
        <v>582</v>
      </c>
      <c r="L757" s="29">
        <f t="shared" si="232"/>
        <v>11371.908376190917</v>
      </c>
      <c r="M757" s="28" t="str">
        <f t="shared" si="220"/>
        <v/>
      </c>
      <c r="N757" s="27" t="str">
        <f t="shared" si="233"/>
        <v/>
      </c>
      <c r="O757" s="26" t="str">
        <f>IF(AND($Q756=$O$38,IFERROR(LARGE($V$176:$V756,1)&lt;$N$42,TRUE)),1,IF(AND(ISNUMBER($O756),$O756&lt;$N$32),$O756+1,""))</f>
        <v/>
      </c>
      <c r="P757" s="26" t="str">
        <f t="shared" si="234"/>
        <v/>
      </c>
      <c r="Q757" s="26" t="str">
        <f t="shared" si="221"/>
        <v/>
      </c>
      <c r="R757" s="24" t="str">
        <f t="shared" si="235"/>
        <v/>
      </c>
      <c r="S757" s="180">
        <f t="shared" si="215"/>
        <v>9</v>
      </c>
      <c r="T757" s="151"/>
      <c r="U757" s="25" t="str">
        <f t="shared" si="222"/>
        <v/>
      </c>
      <c r="V757" s="24" t="str">
        <f>IF(AND(ISNUMBER(R756),ISNUMBER(R757)),V756,IF(AND(R756="",ISNUMBER(R757)),IFERROR(LARGE($V$176:$V756,1)+1,0),""))</f>
        <v/>
      </c>
      <c r="W757" s="23" t="str">
        <f t="shared" si="223"/>
        <v/>
      </c>
      <c r="X757" s="22" t="str">
        <f t="shared" si="224"/>
        <v/>
      </c>
      <c r="Y757" s="22"/>
      <c r="Z757" s="22"/>
      <c r="AA757" s="22"/>
      <c r="AB757" s="22" t="str" cm="1">
        <f t="array" ref="AB757">IF(IF(AND($P756="",$P757=1),($N$37*-1),0)+IF(AND($Q756="",$Q757=1),($N$38*-1),0)+IF(IF(($K757-$N$48)&lt;1,0,IF(IF(INDEX($AD$176:$AD$905,($K757-$N$48))="",0,INDEX($AD$176:$AD$905,($K757-$N$48)))&gt;0,IF(INDEX($AD$176:$AD$905,($K757-$N$48))="",0,INDEX($AD$176:$AD$905,($K757-$N$48))),0))="",0,IF(($K757-$N$48)&lt;1,0,IF(IF(INDEX($AD$176:$AD$905,($K757-$N$48))="",0,INDEX($AD$176:$AD$905,($K757-$N$48)))&gt;0,IF(INDEX($AD$176:$AD$905,($K757-$N$48))="",0,INDEX($AD$176:$AD$905,($K757-$N$48))),0)))=0,"",IF(AND($P756="",$P757=1),($N$37*-1),0)+IF(AND($Q756="",$Q757=1),($N$38*-1),0)+IF(IF(($K757-$N$48)&lt;1,0,IF(IF(INDEX($AD$176:$AD$905,($K757-$N$48))="",0,INDEX($AD$176:$AD$905,($K757-$N$48)))&gt;0,IF(INDEX($AD$176:$AD$905,($K757-$N$48))="",0,INDEX($AD$176:$AD$905,($K757-$N$48))),0))="",0,IF(($K757-$N$48)&lt;1,0,IF(IF(INDEX($AD$176:$AD$905,($K757-$N$48))="",0,INDEX($AD$176:$AD$905,($K757-$N$48)))&gt;0,IF(INDEX($AD$176:$AD$905,($K757-$N$48))="",0,INDEX($AD$176:$AD$905,($K757-$N$48))),0))))</f>
        <v/>
      </c>
      <c r="AC757" s="22" t="str">
        <f t="shared" si="225"/>
        <v/>
      </c>
      <c r="AD757" s="22" t="str">
        <f t="shared" si="216"/>
        <v/>
      </c>
      <c r="AE757" s="22" t="str" cm="1">
        <f t="array" ref="AE757">IF(($K757-$N$48)&lt;1,"",IF((IF(INDEX($AC$176:$AC$905,($K757-$N$48))="",0,INDEX($AC$176:$AC$905,($K757-$N$48))))=0,"",(IF(INDEX($AC$176:$AC$905,($K757-$N$48))="",0,INDEX($AC$176:$AC$905,($K757-$N$48))))))</f>
        <v/>
      </c>
      <c r="AF757" s="31" t="str">
        <f t="shared" si="226"/>
        <v/>
      </c>
      <c r="AG757" s="31" t="str">
        <f t="shared" si="227"/>
        <v/>
      </c>
      <c r="AH757" s="31" t="str">
        <f t="shared" si="228"/>
        <v/>
      </c>
      <c r="AI757" s="31" t="str">
        <f t="shared" si="229"/>
        <v/>
      </c>
      <c r="AJ757" s="303" t="str">
        <f t="shared" si="230"/>
        <v/>
      </c>
      <c r="AK757" s="139" t="str">
        <f t="shared" si="231"/>
        <v/>
      </c>
      <c r="AM757" s="319"/>
      <c r="AN757" s="40"/>
      <c r="AO757" s="1"/>
    </row>
    <row r="758" spans="7:41" x14ac:dyDescent="0.25">
      <c r="G758" s="235" t="str">
        <f t="shared" si="217"/>
        <v/>
      </c>
      <c r="H758" s="4" t="str">
        <f t="shared" si="218"/>
        <v/>
      </c>
      <c r="I758" s="11" t="str">
        <f t="shared" si="219"/>
        <v>09.00</v>
      </c>
      <c r="K758" s="30">
        <v>583</v>
      </c>
      <c r="L758" s="29">
        <f t="shared" si="232"/>
        <v>11371.908376190917</v>
      </c>
      <c r="M758" s="28" t="str">
        <f t="shared" si="220"/>
        <v/>
      </c>
      <c r="N758" s="27" t="str">
        <f t="shared" si="233"/>
        <v/>
      </c>
      <c r="O758" s="26" t="str">
        <f>IF(AND($Q757=$O$38,IFERROR(LARGE($V$176:$V757,1)&lt;$N$42,TRUE)),1,IF(AND(ISNUMBER($O757),$O757&lt;$N$32),$O757+1,""))</f>
        <v/>
      </c>
      <c r="P758" s="26" t="str">
        <f t="shared" si="234"/>
        <v/>
      </c>
      <c r="Q758" s="26" t="str">
        <f t="shared" si="221"/>
        <v/>
      </c>
      <c r="R758" s="24" t="str">
        <f t="shared" si="235"/>
        <v/>
      </c>
      <c r="S758" s="180">
        <f t="shared" si="215"/>
        <v>9</v>
      </c>
      <c r="T758" s="151"/>
      <c r="U758" s="25" t="str">
        <f t="shared" si="222"/>
        <v/>
      </c>
      <c r="V758" s="24" t="str">
        <f>IF(AND(ISNUMBER(R757),ISNUMBER(R758)),V757,IF(AND(R757="",ISNUMBER(R758)),IFERROR(LARGE($V$176:$V757,1)+1,0),""))</f>
        <v/>
      </c>
      <c r="W758" s="23" t="str">
        <f t="shared" si="223"/>
        <v/>
      </c>
      <c r="X758" s="22" t="str">
        <f t="shared" si="224"/>
        <v/>
      </c>
      <c r="Y758" s="22"/>
      <c r="Z758" s="22"/>
      <c r="AA758" s="22"/>
      <c r="AB758" s="22" t="str" cm="1">
        <f t="array" ref="AB758">IF(IF(AND($P757="",$P758=1),($N$37*-1),0)+IF(AND($Q757="",$Q758=1),($N$38*-1),0)+IF(IF(($K758-$N$48)&lt;1,0,IF(IF(INDEX($AD$176:$AD$905,($K758-$N$48))="",0,INDEX($AD$176:$AD$905,($K758-$N$48)))&gt;0,IF(INDEX($AD$176:$AD$905,($K758-$N$48))="",0,INDEX($AD$176:$AD$905,($K758-$N$48))),0))="",0,IF(($K758-$N$48)&lt;1,0,IF(IF(INDEX($AD$176:$AD$905,($K758-$N$48))="",0,INDEX($AD$176:$AD$905,($K758-$N$48)))&gt;0,IF(INDEX($AD$176:$AD$905,($K758-$N$48))="",0,INDEX($AD$176:$AD$905,($K758-$N$48))),0)))=0,"",IF(AND($P757="",$P758=1),($N$37*-1),0)+IF(AND($Q757="",$Q758=1),($N$38*-1),0)+IF(IF(($K758-$N$48)&lt;1,0,IF(IF(INDEX($AD$176:$AD$905,($K758-$N$48))="",0,INDEX($AD$176:$AD$905,($K758-$N$48)))&gt;0,IF(INDEX($AD$176:$AD$905,($K758-$N$48))="",0,INDEX($AD$176:$AD$905,($K758-$N$48))),0))="",0,IF(($K758-$N$48)&lt;1,0,IF(IF(INDEX($AD$176:$AD$905,($K758-$N$48))="",0,INDEX($AD$176:$AD$905,($K758-$N$48)))&gt;0,IF(INDEX($AD$176:$AD$905,($K758-$N$48))="",0,INDEX($AD$176:$AD$905,($K758-$N$48))),0))))</f>
        <v/>
      </c>
      <c r="AC758" s="22" t="str">
        <f t="shared" si="225"/>
        <v/>
      </c>
      <c r="AD758" s="22" t="str">
        <f t="shared" si="216"/>
        <v/>
      </c>
      <c r="AE758" s="22" t="str" cm="1">
        <f t="array" ref="AE758">IF(($K758-$N$48)&lt;1,"",IF((IF(INDEX($AC$176:$AC$905,($K758-$N$48))="",0,INDEX($AC$176:$AC$905,($K758-$N$48))))=0,"",(IF(INDEX($AC$176:$AC$905,($K758-$N$48))="",0,INDEX($AC$176:$AC$905,($K758-$N$48))))))</f>
        <v/>
      </c>
      <c r="AF758" s="31" t="str">
        <f t="shared" si="226"/>
        <v/>
      </c>
      <c r="AG758" s="31" t="str">
        <f t="shared" si="227"/>
        <v/>
      </c>
      <c r="AH758" s="31" t="str">
        <f t="shared" si="228"/>
        <v/>
      </c>
      <c r="AI758" s="31" t="str">
        <f t="shared" si="229"/>
        <v/>
      </c>
      <c r="AJ758" s="303" t="str">
        <f t="shared" si="230"/>
        <v/>
      </c>
      <c r="AK758" s="139" t="str">
        <f t="shared" si="231"/>
        <v/>
      </c>
      <c r="AM758" s="319"/>
      <c r="AN758" s="40"/>
      <c r="AO758" s="1"/>
    </row>
    <row r="759" spans="7:41" x14ac:dyDescent="0.25">
      <c r="G759" s="235" t="str">
        <f t="shared" si="217"/>
        <v/>
      </c>
      <c r="H759" s="4" t="str">
        <f t="shared" si="218"/>
        <v/>
      </c>
      <c r="I759" s="11" t="str">
        <f t="shared" si="219"/>
        <v>09.00</v>
      </c>
      <c r="K759" s="30">
        <v>584</v>
      </c>
      <c r="L759" s="29">
        <f t="shared" si="232"/>
        <v>11371.908376190917</v>
      </c>
      <c r="M759" s="28" t="str">
        <f t="shared" si="220"/>
        <v/>
      </c>
      <c r="N759" s="27" t="str">
        <f t="shared" si="233"/>
        <v/>
      </c>
      <c r="O759" s="26" t="str">
        <f>IF(AND($Q758=$O$38,IFERROR(LARGE($V$176:$V758,1)&lt;$N$42,TRUE)),1,IF(AND(ISNUMBER($O758),$O758&lt;$N$32),$O758+1,""))</f>
        <v/>
      </c>
      <c r="P759" s="26" t="str">
        <f t="shared" si="234"/>
        <v/>
      </c>
      <c r="Q759" s="26" t="str">
        <f t="shared" si="221"/>
        <v/>
      </c>
      <c r="R759" s="24" t="str">
        <f t="shared" si="235"/>
        <v/>
      </c>
      <c r="S759" s="180">
        <f t="shared" si="215"/>
        <v>9</v>
      </c>
      <c r="T759" s="151"/>
      <c r="U759" s="25" t="str">
        <f t="shared" si="222"/>
        <v/>
      </c>
      <c r="V759" s="24" t="str">
        <f>IF(AND(ISNUMBER(R758),ISNUMBER(R759)),V758,IF(AND(R758="",ISNUMBER(R759)),IFERROR(LARGE($V$176:$V758,1)+1,0),""))</f>
        <v/>
      </c>
      <c r="W759" s="23" t="str">
        <f t="shared" si="223"/>
        <v/>
      </c>
      <c r="X759" s="22" t="str">
        <f t="shared" si="224"/>
        <v/>
      </c>
      <c r="Y759" s="22"/>
      <c r="Z759" s="22"/>
      <c r="AA759" s="22"/>
      <c r="AB759" s="22" t="str" cm="1">
        <f t="array" ref="AB759">IF(IF(AND($P758="",$P759=1),($N$37*-1),0)+IF(AND($Q758="",$Q759=1),($N$38*-1),0)+IF(IF(($K759-$N$48)&lt;1,0,IF(IF(INDEX($AD$176:$AD$905,($K759-$N$48))="",0,INDEX($AD$176:$AD$905,($K759-$N$48)))&gt;0,IF(INDEX($AD$176:$AD$905,($K759-$N$48))="",0,INDEX($AD$176:$AD$905,($K759-$N$48))),0))="",0,IF(($K759-$N$48)&lt;1,0,IF(IF(INDEX($AD$176:$AD$905,($K759-$N$48))="",0,INDEX($AD$176:$AD$905,($K759-$N$48)))&gt;0,IF(INDEX($AD$176:$AD$905,($K759-$N$48))="",0,INDEX($AD$176:$AD$905,($K759-$N$48))),0)))=0,"",IF(AND($P758="",$P759=1),($N$37*-1),0)+IF(AND($Q758="",$Q759=1),($N$38*-1),0)+IF(IF(($K759-$N$48)&lt;1,0,IF(IF(INDEX($AD$176:$AD$905,($K759-$N$48))="",0,INDEX($AD$176:$AD$905,($K759-$N$48)))&gt;0,IF(INDEX($AD$176:$AD$905,($K759-$N$48))="",0,INDEX($AD$176:$AD$905,($K759-$N$48))),0))="",0,IF(($K759-$N$48)&lt;1,0,IF(IF(INDEX($AD$176:$AD$905,($K759-$N$48))="",0,INDEX($AD$176:$AD$905,($K759-$N$48)))&gt;0,IF(INDEX($AD$176:$AD$905,($K759-$N$48))="",0,INDEX($AD$176:$AD$905,($K759-$N$48))),0))))</f>
        <v/>
      </c>
      <c r="AC759" s="22" t="str">
        <f t="shared" si="225"/>
        <v/>
      </c>
      <c r="AD759" s="22" t="str">
        <f t="shared" si="216"/>
        <v/>
      </c>
      <c r="AE759" s="22" t="str" cm="1">
        <f t="array" ref="AE759">IF(($K759-$N$48)&lt;1,"",IF((IF(INDEX($AC$176:$AC$905,($K759-$N$48))="",0,INDEX($AC$176:$AC$905,($K759-$N$48))))=0,"",(IF(INDEX($AC$176:$AC$905,($K759-$N$48))="",0,INDEX($AC$176:$AC$905,($K759-$N$48))))))</f>
        <v/>
      </c>
      <c r="AF759" s="31" t="str">
        <f t="shared" si="226"/>
        <v/>
      </c>
      <c r="AG759" s="31" t="str">
        <f t="shared" si="227"/>
        <v/>
      </c>
      <c r="AH759" s="31" t="str">
        <f t="shared" si="228"/>
        <v/>
      </c>
      <c r="AI759" s="31" t="str">
        <f t="shared" si="229"/>
        <v/>
      </c>
      <c r="AJ759" s="303" t="str">
        <f t="shared" si="230"/>
        <v/>
      </c>
      <c r="AK759" s="139" t="str">
        <f t="shared" si="231"/>
        <v/>
      </c>
      <c r="AM759" s="319"/>
      <c r="AN759" s="40"/>
      <c r="AO759" s="1"/>
    </row>
    <row r="760" spans="7:41" x14ac:dyDescent="0.25">
      <c r="G760" s="235" t="str">
        <f t="shared" si="217"/>
        <v/>
      </c>
      <c r="H760" s="4" t="str">
        <f t="shared" si="218"/>
        <v/>
      </c>
      <c r="I760" s="11" t="str">
        <f t="shared" si="219"/>
        <v>09.00</v>
      </c>
      <c r="K760" s="30">
        <v>585</v>
      </c>
      <c r="L760" s="29">
        <f t="shared" si="232"/>
        <v>11371.908376190917</v>
      </c>
      <c r="M760" s="28" t="str">
        <f t="shared" si="220"/>
        <v/>
      </c>
      <c r="N760" s="27" t="str">
        <f t="shared" si="233"/>
        <v/>
      </c>
      <c r="O760" s="26" t="str">
        <f>IF(AND($Q759=$O$38,IFERROR(LARGE($V$176:$V759,1)&lt;$N$42,TRUE)),1,IF(AND(ISNUMBER($O759),$O759&lt;$N$32),$O759+1,""))</f>
        <v/>
      </c>
      <c r="P760" s="26" t="str">
        <f t="shared" si="234"/>
        <v/>
      </c>
      <c r="Q760" s="26" t="str">
        <f t="shared" si="221"/>
        <v/>
      </c>
      <c r="R760" s="24" t="str">
        <f t="shared" si="235"/>
        <v/>
      </c>
      <c r="S760" s="180">
        <f t="shared" si="215"/>
        <v>9</v>
      </c>
      <c r="T760" s="151"/>
      <c r="U760" s="25" t="str">
        <f t="shared" si="222"/>
        <v/>
      </c>
      <c r="V760" s="24" t="str">
        <f>IF(AND(ISNUMBER(R759),ISNUMBER(R760)),V759,IF(AND(R759="",ISNUMBER(R760)),IFERROR(LARGE($V$176:$V759,1)+1,0),""))</f>
        <v/>
      </c>
      <c r="W760" s="23" t="str">
        <f t="shared" si="223"/>
        <v/>
      </c>
      <c r="X760" s="22" t="str">
        <f t="shared" si="224"/>
        <v/>
      </c>
      <c r="Y760" s="22"/>
      <c r="Z760" s="22"/>
      <c r="AA760" s="22"/>
      <c r="AB760" s="22" t="str" cm="1">
        <f t="array" ref="AB760">IF(IF(AND($P759="",$P760=1),($N$37*-1),0)+IF(AND($Q759="",$Q760=1),($N$38*-1),0)+IF(IF(($K760-$N$48)&lt;1,0,IF(IF(INDEX($AD$176:$AD$905,($K760-$N$48))="",0,INDEX($AD$176:$AD$905,($K760-$N$48)))&gt;0,IF(INDEX($AD$176:$AD$905,($K760-$N$48))="",0,INDEX($AD$176:$AD$905,($K760-$N$48))),0))="",0,IF(($K760-$N$48)&lt;1,0,IF(IF(INDEX($AD$176:$AD$905,($K760-$N$48))="",0,INDEX($AD$176:$AD$905,($K760-$N$48)))&gt;0,IF(INDEX($AD$176:$AD$905,($K760-$N$48))="",0,INDEX($AD$176:$AD$905,($K760-$N$48))),0)))=0,"",IF(AND($P759="",$P760=1),($N$37*-1),0)+IF(AND($Q759="",$Q760=1),($N$38*-1),0)+IF(IF(($K760-$N$48)&lt;1,0,IF(IF(INDEX($AD$176:$AD$905,($K760-$N$48))="",0,INDEX($AD$176:$AD$905,($K760-$N$48)))&gt;0,IF(INDEX($AD$176:$AD$905,($K760-$N$48))="",0,INDEX($AD$176:$AD$905,($K760-$N$48))),0))="",0,IF(($K760-$N$48)&lt;1,0,IF(IF(INDEX($AD$176:$AD$905,($K760-$N$48))="",0,INDEX($AD$176:$AD$905,($K760-$N$48)))&gt;0,IF(INDEX($AD$176:$AD$905,($K760-$N$48))="",0,INDEX($AD$176:$AD$905,($K760-$N$48))),0))))</f>
        <v/>
      </c>
      <c r="AC760" s="22" t="str">
        <f t="shared" si="225"/>
        <v/>
      </c>
      <c r="AD760" s="22" t="str">
        <f t="shared" si="216"/>
        <v/>
      </c>
      <c r="AE760" s="22" t="str" cm="1">
        <f t="array" ref="AE760">IF(($K760-$N$48)&lt;1,"",IF((IF(INDEX($AC$176:$AC$905,($K760-$N$48))="",0,INDEX($AC$176:$AC$905,($K760-$N$48))))=0,"",(IF(INDEX($AC$176:$AC$905,($K760-$N$48))="",0,INDEX($AC$176:$AC$905,($K760-$N$48))))))</f>
        <v/>
      </c>
      <c r="AF760" s="31" t="str">
        <f t="shared" si="226"/>
        <v/>
      </c>
      <c r="AG760" s="31" t="str">
        <f t="shared" si="227"/>
        <v/>
      </c>
      <c r="AH760" s="31" t="str">
        <f t="shared" si="228"/>
        <v/>
      </c>
      <c r="AI760" s="31" t="str">
        <f t="shared" si="229"/>
        <v/>
      </c>
      <c r="AJ760" s="303" t="str">
        <f t="shared" si="230"/>
        <v/>
      </c>
      <c r="AK760" s="139" t="str">
        <f t="shared" si="231"/>
        <v/>
      </c>
      <c r="AM760" s="319"/>
      <c r="AN760" s="40"/>
      <c r="AO760" s="1"/>
    </row>
    <row r="761" spans="7:41" x14ac:dyDescent="0.25">
      <c r="G761" s="235" t="str">
        <f t="shared" si="217"/>
        <v/>
      </c>
      <c r="H761" s="4" t="str">
        <f t="shared" si="218"/>
        <v/>
      </c>
      <c r="I761" s="11" t="str">
        <f t="shared" si="219"/>
        <v>09.00</v>
      </c>
      <c r="K761" s="30">
        <v>586</v>
      </c>
      <c r="L761" s="29">
        <f t="shared" si="232"/>
        <v>11371.908376190917</v>
      </c>
      <c r="M761" s="28" t="str">
        <f t="shared" si="220"/>
        <v/>
      </c>
      <c r="N761" s="27" t="str">
        <f t="shared" si="233"/>
        <v/>
      </c>
      <c r="O761" s="26" t="str">
        <f>IF(AND($Q760=$O$38,IFERROR(LARGE($V$176:$V760,1)&lt;$N$42,TRUE)),1,IF(AND(ISNUMBER($O760),$O760&lt;$N$32),$O760+1,""))</f>
        <v/>
      </c>
      <c r="P761" s="26" t="str">
        <f t="shared" si="234"/>
        <v/>
      </c>
      <c r="Q761" s="26" t="str">
        <f t="shared" si="221"/>
        <v/>
      </c>
      <c r="R761" s="24" t="str">
        <f t="shared" si="235"/>
        <v/>
      </c>
      <c r="S761" s="180">
        <f t="shared" si="215"/>
        <v>9</v>
      </c>
      <c r="T761" s="151"/>
      <c r="U761" s="25" t="str">
        <f t="shared" si="222"/>
        <v/>
      </c>
      <c r="V761" s="24" t="str">
        <f>IF(AND(ISNUMBER(R760),ISNUMBER(R761)),V760,IF(AND(R760="",ISNUMBER(R761)),IFERROR(LARGE($V$176:$V760,1)+1,0),""))</f>
        <v/>
      </c>
      <c r="W761" s="23" t="str">
        <f t="shared" si="223"/>
        <v/>
      </c>
      <c r="X761" s="22" t="str">
        <f t="shared" si="224"/>
        <v/>
      </c>
      <c r="Y761" s="22"/>
      <c r="Z761" s="22"/>
      <c r="AA761" s="22"/>
      <c r="AB761" s="22" t="str" cm="1">
        <f t="array" ref="AB761">IF(IF(AND($P760="",$P761=1),($N$37*-1),0)+IF(AND($Q760="",$Q761=1),($N$38*-1),0)+IF(IF(($K761-$N$48)&lt;1,0,IF(IF(INDEX($AD$176:$AD$905,($K761-$N$48))="",0,INDEX($AD$176:$AD$905,($K761-$N$48)))&gt;0,IF(INDEX($AD$176:$AD$905,($K761-$N$48))="",0,INDEX($AD$176:$AD$905,($K761-$N$48))),0))="",0,IF(($K761-$N$48)&lt;1,0,IF(IF(INDEX($AD$176:$AD$905,($K761-$N$48))="",0,INDEX($AD$176:$AD$905,($K761-$N$48)))&gt;0,IF(INDEX($AD$176:$AD$905,($K761-$N$48))="",0,INDEX($AD$176:$AD$905,($K761-$N$48))),0)))=0,"",IF(AND($P760="",$P761=1),($N$37*-1),0)+IF(AND($Q760="",$Q761=1),($N$38*-1),0)+IF(IF(($K761-$N$48)&lt;1,0,IF(IF(INDEX($AD$176:$AD$905,($K761-$N$48))="",0,INDEX($AD$176:$AD$905,($K761-$N$48)))&gt;0,IF(INDEX($AD$176:$AD$905,($K761-$N$48))="",0,INDEX($AD$176:$AD$905,($K761-$N$48))),0))="",0,IF(($K761-$N$48)&lt;1,0,IF(IF(INDEX($AD$176:$AD$905,($K761-$N$48))="",0,INDEX($AD$176:$AD$905,($K761-$N$48)))&gt;0,IF(INDEX($AD$176:$AD$905,($K761-$N$48))="",0,INDEX($AD$176:$AD$905,($K761-$N$48))),0))))</f>
        <v/>
      </c>
      <c r="AC761" s="22" t="str">
        <f t="shared" si="225"/>
        <v/>
      </c>
      <c r="AD761" s="22" t="str">
        <f t="shared" si="216"/>
        <v/>
      </c>
      <c r="AE761" s="22" t="str" cm="1">
        <f t="array" ref="AE761">IF(($K761-$N$48)&lt;1,"",IF((IF(INDEX($AC$176:$AC$905,($K761-$N$48))="",0,INDEX($AC$176:$AC$905,($K761-$N$48))))=0,"",(IF(INDEX($AC$176:$AC$905,($K761-$N$48))="",0,INDEX($AC$176:$AC$905,($K761-$N$48))))))</f>
        <v/>
      </c>
      <c r="AF761" s="31" t="str">
        <f t="shared" si="226"/>
        <v/>
      </c>
      <c r="AG761" s="31" t="str">
        <f t="shared" si="227"/>
        <v/>
      </c>
      <c r="AH761" s="31" t="str">
        <f t="shared" si="228"/>
        <v/>
      </c>
      <c r="AI761" s="31" t="str">
        <f t="shared" si="229"/>
        <v/>
      </c>
      <c r="AJ761" s="303" t="str">
        <f t="shared" si="230"/>
        <v/>
      </c>
      <c r="AK761" s="139" t="str">
        <f t="shared" si="231"/>
        <v/>
      </c>
      <c r="AM761" s="319"/>
      <c r="AN761" s="40"/>
      <c r="AO761" s="1"/>
    </row>
    <row r="762" spans="7:41" x14ac:dyDescent="0.25">
      <c r="G762" s="235" t="str">
        <f t="shared" si="217"/>
        <v/>
      </c>
      <c r="H762" s="4" t="str">
        <f t="shared" si="218"/>
        <v/>
      </c>
      <c r="I762" s="11" t="str">
        <f t="shared" si="219"/>
        <v>09.00</v>
      </c>
      <c r="K762" s="30">
        <v>587</v>
      </c>
      <c r="L762" s="29">
        <f t="shared" si="232"/>
        <v>11371.908376190917</v>
      </c>
      <c r="M762" s="28" t="str">
        <f t="shared" si="220"/>
        <v/>
      </c>
      <c r="N762" s="27" t="str">
        <f t="shared" si="233"/>
        <v/>
      </c>
      <c r="O762" s="26" t="str">
        <f>IF(AND($Q761=$O$38,IFERROR(LARGE($V$176:$V761,1)&lt;$N$42,TRUE)),1,IF(AND(ISNUMBER($O761),$O761&lt;$N$32),$O761+1,""))</f>
        <v/>
      </c>
      <c r="P762" s="26" t="str">
        <f t="shared" si="234"/>
        <v/>
      </c>
      <c r="Q762" s="26" t="str">
        <f t="shared" si="221"/>
        <v/>
      </c>
      <c r="R762" s="24" t="str">
        <f t="shared" si="235"/>
        <v/>
      </c>
      <c r="S762" s="180">
        <f t="shared" si="215"/>
        <v>9</v>
      </c>
      <c r="T762" s="151"/>
      <c r="U762" s="25" t="str">
        <f t="shared" si="222"/>
        <v/>
      </c>
      <c r="V762" s="24" t="str">
        <f>IF(AND(ISNUMBER(R761),ISNUMBER(R762)),V761,IF(AND(R761="",ISNUMBER(R762)),IFERROR(LARGE($V$176:$V761,1)+1,0),""))</f>
        <v/>
      </c>
      <c r="W762" s="23" t="str">
        <f t="shared" si="223"/>
        <v/>
      </c>
      <c r="X762" s="22" t="str">
        <f t="shared" si="224"/>
        <v/>
      </c>
      <c r="Y762" s="22"/>
      <c r="Z762" s="22"/>
      <c r="AA762" s="22"/>
      <c r="AB762" s="22" t="str" cm="1">
        <f t="array" ref="AB762">IF(IF(AND($P761="",$P762=1),($N$37*-1),0)+IF(AND($Q761="",$Q762=1),($N$38*-1),0)+IF(IF(($K762-$N$48)&lt;1,0,IF(IF(INDEX($AD$176:$AD$905,($K762-$N$48))="",0,INDEX($AD$176:$AD$905,($K762-$N$48)))&gt;0,IF(INDEX($AD$176:$AD$905,($K762-$N$48))="",0,INDEX($AD$176:$AD$905,($K762-$N$48))),0))="",0,IF(($K762-$N$48)&lt;1,0,IF(IF(INDEX($AD$176:$AD$905,($K762-$N$48))="",0,INDEX($AD$176:$AD$905,($K762-$N$48)))&gt;0,IF(INDEX($AD$176:$AD$905,($K762-$N$48))="",0,INDEX($AD$176:$AD$905,($K762-$N$48))),0)))=0,"",IF(AND($P761="",$P762=1),($N$37*-1),0)+IF(AND($Q761="",$Q762=1),($N$38*-1),0)+IF(IF(($K762-$N$48)&lt;1,0,IF(IF(INDEX($AD$176:$AD$905,($K762-$N$48))="",0,INDEX($AD$176:$AD$905,($K762-$N$48)))&gt;0,IF(INDEX($AD$176:$AD$905,($K762-$N$48))="",0,INDEX($AD$176:$AD$905,($K762-$N$48))),0))="",0,IF(($K762-$N$48)&lt;1,0,IF(IF(INDEX($AD$176:$AD$905,($K762-$N$48))="",0,INDEX($AD$176:$AD$905,($K762-$N$48)))&gt;0,IF(INDEX($AD$176:$AD$905,($K762-$N$48))="",0,INDEX($AD$176:$AD$905,($K762-$N$48))),0))))</f>
        <v/>
      </c>
      <c r="AC762" s="22" t="str">
        <f t="shared" si="225"/>
        <v/>
      </c>
      <c r="AD762" s="22" t="str">
        <f t="shared" si="216"/>
        <v/>
      </c>
      <c r="AE762" s="22" t="str" cm="1">
        <f t="array" ref="AE762">IF(($K762-$N$48)&lt;1,"",IF((IF(INDEX($AC$176:$AC$905,($K762-$N$48))="",0,INDEX($AC$176:$AC$905,($K762-$N$48))))=0,"",(IF(INDEX($AC$176:$AC$905,($K762-$N$48))="",0,INDEX($AC$176:$AC$905,($K762-$N$48))))))</f>
        <v/>
      </c>
      <c r="AF762" s="31" t="str">
        <f t="shared" si="226"/>
        <v/>
      </c>
      <c r="AG762" s="31" t="str">
        <f t="shared" si="227"/>
        <v/>
      </c>
      <c r="AH762" s="31" t="str">
        <f t="shared" si="228"/>
        <v/>
      </c>
      <c r="AI762" s="31" t="str">
        <f t="shared" si="229"/>
        <v/>
      </c>
      <c r="AJ762" s="303" t="str">
        <f t="shared" si="230"/>
        <v/>
      </c>
      <c r="AK762" s="139" t="str">
        <f t="shared" si="231"/>
        <v/>
      </c>
      <c r="AM762" s="319"/>
      <c r="AN762" s="40"/>
      <c r="AO762" s="1"/>
    </row>
    <row r="763" spans="7:41" x14ac:dyDescent="0.25">
      <c r="G763" s="235" t="str">
        <f t="shared" si="217"/>
        <v/>
      </c>
      <c r="H763" s="4" t="str">
        <f t="shared" si="218"/>
        <v/>
      </c>
      <c r="I763" s="11" t="str">
        <f t="shared" si="219"/>
        <v>09.00</v>
      </c>
      <c r="K763" s="30">
        <v>588</v>
      </c>
      <c r="L763" s="29">
        <f t="shared" si="232"/>
        <v>11371.908376190917</v>
      </c>
      <c r="M763" s="28" t="str">
        <f t="shared" si="220"/>
        <v/>
      </c>
      <c r="N763" s="27" t="str">
        <f t="shared" si="233"/>
        <v/>
      </c>
      <c r="O763" s="26" t="str">
        <f>IF(AND($Q762=$O$38,IFERROR(LARGE($V$176:$V762,1)&lt;$N$42,TRUE)),1,IF(AND(ISNUMBER($O762),$O762&lt;$N$32),$O762+1,""))</f>
        <v/>
      </c>
      <c r="P763" s="26" t="str">
        <f t="shared" si="234"/>
        <v/>
      </c>
      <c r="Q763" s="26" t="str">
        <f t="shared" si="221"/>
        <v/>
      </c>
      <c r="R763" s="24" t="str">
        <f t="shared" si="235"/>
        <v/>
      </c>
      <c r="S763" s="180">
        <f t="shared" si="215"/>
        <v>9</v>
      </c>
      <c r="T763" s="151"/>
      <c r="U763" s="25" t="str">
        <f t="shared" si="222"/>
        <v/>
      </c>
      <c r="V763" s="24" t="str">
        <f>IF(AND(ISNUMBER(R762),ISNUMBER(R763)),V762,IF(AND(R762="",ISNUMBER(R763)),IFERROR(LARGE($V$176:$V762,1)+1,0),""))</f>
        <v/>
      </c>
      <c r="W763" s="23" t="str">
        <f t="shared" si="223"/>
        <v/>
      </c>
      <c r="X763" s="22" t="str">
        <f t="shared" si="224"/>
        <v/>
      </c>
      <c r="Y763" s="22"/>
      <c r="Z763" s="22"/>
      <c r="AA763" s="22"/>
      <c r="AB763" s="22" t="str" cm="1">
        <f t="array" ref="AB763">IF(IF(AND($P762="",$P763=1),($N$37*-1),0)+IF(AND($Q762="",$Q763=1),($N$38*-1),0)+IF(IF(($K763-$N$48)&lt;1,0,IF(IF(INDEX($AD$176:$AD$905,($K763-$N$48))="",0,INDEX($AD$176:$AD$905,($K763-$N$48)))&gt;0,IF(INDEX($AD$176:$AD$905,($K763-$N$48))="",0,INDEX($AD$176:$AD$905,($K763-$N$48))),0))="",0,IF(($K763-$N$48)&lt;1,0,IF(IF(INDEX($AD$176:$AD$905,($K763-$N$48))="",0,INDEX($AD$176:$AD$905,($K763-$N$48)))&gt;0,IF(INDEX($AD$176:$AD$905,($K763-$N$48))="",0,INDEX($AD$176:$AD$905,($K763-$N$48))),0)))=0,"",IF(AND($P762="",$P763=1),($N$37*-1),0)+IF(AND($Q762="",$Q763=1),($N$38*-1),0)+IF(IF(($K763-$N$48)&lt;1,0,IF(IF(INDEX($AD$176:$AD$905,($K763-$N$48))="",0,INDEX($AD$176:$AD$905,($K763-$N$48)))&gt;0,IF(INDEX($AD$176:$AD$905,($K763-$N$48))="",0,INDEX($AD$176:$AD$905,($K763-$N$48))),0))="",0,IF(($K763-$N$48)&lt;1,0,IF(IF(INDEX($AD$176:$AD$905,($K763-$N$48))="",0,INDEX($AD$176:$AD$905,($K763-$N$48)))&gt;0,IF(INDEX($AD$176:$AD$905,($K763-$N$48))="",0,INDEX($AD$176:$AD$905,($K763-$N$48))),0))))</f>
        <v/>
      </c>
      <c r="AC763" s="22" t="str">
        <f t="shared" si="225"/>
        <v/>
      </c>
      <c r="AD763" s="22" t="str">
        <f t="shared" si="216"/>
        <v/>
      </c>
      <c r="AE763" s="22" t="str" cm="1">
        <f t="array" ref="AE763">IF(($K763-$N$48)&lt;1,"",IF((IF(INDEX($AC$176:$AC$905,($K763-$N$48))="",0,INDEX($AC$176:$AC$905,($K763-$N$48))))=0,"",(IF(INDEX($AC$176:$AC$905,($K763-$N$48))="",0,INDEX($AC$176:$AC$905,($K763-$N$48))))))</f>
        <v/>
      </c>
      <c r="AF763" s="31" t="str">
        <f t="shared" si="226"/>
        <v/>
      </c>
      <c r="AG763" s="31" t="str">
        <f t="shared" si="227"/>
        <v/>
      </c>
      <c r="AH763" s="31" t="str">
        <f t="shared" si="228"/>
        <v/>
      </c>
      <c r="AI763" s="31" t="str">
        <f t="shared" si="229"/>
        <v/>
      </c>
      <c r="AJ763" s="303" t="str">
        <f t="shared" si="230"/>
        <v/>
      </c>
      <c r="AK763" s="139" t="str">
        <f t="shared" si="231"/>
        <v/>
      </c>
      <c r="AM763" s="319"/>
      <c r="AN763" s="40"/>
      <c r="AO763" s="1"/>
    </row>
    <row r="764" spans="7:41" x14ac:dyDescent="0.25">
      <c r="G764" s="235" t="str">
        <f t="shared" si="217"/>
        <v/>
      </c>
      <c r="H764" s="4" t="str">
        <f t="shared" si="218"/>
        <v/>
      </c>
      <c r="I764" s="11" t="str">
        <f t="shared" si="219"/>
        <v>09.00</v>
      </c>
      <c r="K764" s="30">
        <v>589</v>
      </c>
      <c r="L764" s="29">
        <f t="shared" si="232"/>
        <v>11371.908376190917</v>
      </c>
      <c r="M764" s="28" t="str">
        <f t="shared" si="220"/>
        <v/>
      </c>
      <c r="N764" s="27" t="str">
        <f t="shared" si="233"/>
        <v/>
      </c>
      <c r="O764" s="26" t="str">
        <f>IF(AND($Q763=$O$38,IFERROR(LARGE($V$176:$V763,1)&lt;$N$42,TRUE)),1,IF(AND(ISNUMBER($O763),$O763&lt;$N$32),$O763+1,""))</f>
        <v/>
      </c>
      <c r="P764" s="26" t="str">
        <f t="shared" si="234"/>
        <v/>
      </c>
      <c r="Q764" s="26" t="str">
        <f t="shared" si="221"/>
        <v/>
      </c>
      <c r="R764" s="24" t="str">
        <f t="shared" si="235"/>
        <v/>
      </c>
      <c r="S764" s="180">
        <f t="shared" ref="S764:S827" si="236">IF($Q764=1,ROUNDDOWN($S763,0)+1,IF($R764=1,$S763+0.01,IF(ISNUMBER($U764),IF(AND($U764&gt;1,($U764-$U763)=1),$S763+0.01,$S763),$S763)))</f>
        <v>9</v>
      </c>
      <c r="T764" s="151"/>
      <c r="U764" s="25" t="str">
        <f t="shared" si="222"/>
        <v/>
      </c>
      <c r="V764" s="24" t="str">
        <f>IF(AND(ISNUMBER(R763),ISNUMBER(R764)),V763,IF(AND(R763="",ISNUMBER(R764)),IFERROR(LARGE($V$176:$V763,1)+1,0),""))</f>
        <v/>
      </c>
      <c r="W764" s="23" t="str">
        <f t="shared" si="223"/>
        <v/>
      </c>
      <c r="X764" s="22" t="str">
        <f t="shared" si="224"/>
        <v/>
      </c>
      <c r="Y764" s="22"/>
      <c r="Z764" s="22"/>
      <c r="AA764" s="22"/>
      <c r="AB764" s="22" t="str" cm="1">
        <f t="array" ref="AB764">IF(IF(AND($P763="",$P764=1),($N$37*-1),0)+IF(AND($Q763="",$Q764=1),($N$38*-1),0)+IF(IF(($K764-$N$48)&lt;1,0,IF(IF(INDEX($AD$176:$AD$905,($K764-$N$48))="",0,INDEX($AD$176:$AD$905,($K764-$N$48)))&gt;0,IF(INDEX($AD$176:$AD$905,($K764-$N$48))="",0,INDEX($AD$176:$AD$905,($K764-$N$48))),0))="",0,IF(($K764-$N$48)&lt;1,0,IF(IF(INDEX($AD$176:$AD$905,($K764-$N$48))="",0,INDEX($AD$176:$AD$905,($K764-$N$48)))&gt;0,IF(INDEX($AD$176:$AD$905,($K764-$N$48))="",0,INDEX($AD$176:$AD$905,($K764-$N$48))),0)))=0,"",IF(AND($P763="",$P764=1),($N$37*-1),0)+IF(AND($Q763="",$Q764=1),($N$38*-1),0)+IF(IF(($K764-$N$48)&lt;1,0,IF(IF(INDEX($AD$176:$AD$905,($K764-$N$48))="",0,INDEX($AD$176:$AD$905,($K764-$N$48)))&gt;0,IF(INDEX($AD$176:$AD$905,($K764-$N$48))="",0,INDEX($AD$176:$AD$905,($K764-$N$48))),0))="",0,IF(($K764-$N$48)&lt;1,0,IF(IF(INDEX($AD$176:$AD$905,($K764-$N$48))="",0,INDEX($AD$176:$AD$905,($K764-$N$48)))&gt;0,IF(INDEX($AD$176:$AD$905,($K764-$N$48))="",0,INDEX($AD$176:$AD$905,($K764-$N$48))),0))))</f>
        <v/>
      </c>
      <c r="AC764" s="22" t="str">
        <f t="shared" si="225"/>
        <v/>
      </c>
      <c r="AD764" s="22" t="str">
        <f t="shared" si="216"/>
        <v/>
      </c>
      <c r="AE764" s="22" t="str" cm="1">
        <f t="array" ref="AE764">IF(($K764-$N$48)&lt;1,"",IF((IF(INDEX($AC$176:$AC$905,($K764-$N$48))="",0,INDEX($AC$176:$AC$905,($K764-$N$48))))=0,"",(IF(INDEX($AC$176:$AC$905,($K764-$N$48))="",0,INDEX($AC$176:$AC$905,($K764-$N$48))))))</f>
        <v/>
      </c>
      <c r="AF764" s="31" t="str">
        <f t="shared" si="226"/>
        <v/>
      </c>
      <c r="AG764" s="31" t="str">
        <f t="shared" si="227"/>
        <v/>
      </c>
      <c r="AH764" s="31" t="str">
        <f t="shared" si="228"/>
        <v/>
      </c>
      <c r="AI764" s="31" t="str">
        <f t="shared" si="229"/>
        <v/>
      </c>
      <c r="AJ764" s="303" t="str">
        <f t="shared" si="230"/>
        <v/>
      </c>
      <c r="AK764" s="139" t="str">
        <f t="shared" si="231"/>
        <v/>
      </c>
      <c r="AM764" s="319"/>
      <c r="AN764" s="40"/>
      <c r="AO764" s="1"/>
    </row>
    <row r="765" spans="7:41" x14ac:dyDescent="0.25">
      <c r="G765" s="235" t="str">
        <f t="shared" si="217"/>
        <v/>
      </c>
      <c r="H765" s="4" t="str">
        <f t="shared" si="218"/>
        <v/>
      </c>
      <c r="I765" s="11" t="str">
        <f t="shared" si="219"/>
        <v>09.00</v>
      </c>
      <c r="K765" s="30">
        <v>590</v>
      </c>
      <c r="L765" s="29">
        <f t="shared" si="232"/>
        <v>11371.908376190917</v>
      </c>
      <c r="M765" s="28" t="str">
        <f t="shared" si="220"/>
        <v/>
      </c>
      <c r="N765" s="27" t="str">
        <f t="shared" si="233"/>
        <v/>
      </c>
      <c r="O765" s="26" t="str">
        <f>IF(AND($Q764=$O$38,IFERROR(LARGE($V$176:$V764,1)&lt;$N$42,TRUE)),1,IF(AND(ISNUMBER($O764),$O764&lt;$N$32),$O764+1,""))</f>
        <v/>
      </c>
      <c r="P765" s="26" t="str">
        <f t="shared" si="234"/>
        <v/>
      </c>
      <c r="Q765" s="26" t="str">
        <f t="shared" si="221"/>
        <v/>
      </c>
      <c r="R765" s="24" t="str">
        <f t="shared" si="235"/>
        <v/>
      </c>
      <c r="S765" s="180">
        <f t="shared" si="236"/>
        <v>9</v>
      </c>
      <c r="T765" s="151"/>
      <c r="U765" s="25" t="str">
        <f t="shared" si="222"/>
        <v/>
      </c>
      <c r="V765" s="24" t="str">
        <f>IF(AND(ISNUMBER(R764),ISNUMBER(R765)),V764,IF(AND(R764="",ISNUMBER(R765)),IFERROR(LARGE($V$176:$V764,1)+1,0),""))</f>
        <v/>
      </c>
      <c r="W765" s="23" t="str">
        <f t="shared" si="223"/>
        <v/>
      </c>
      <c r="X765" s="22" t="str">
        <f t="shared" si="224"/>
        <v/>
      </c>
      <c r="Y765" s="22"/>
      <c r="Z765" s="22"/>
      <c r="AA765" s="22"/>
      <c r="AB765" s="22" t="str" cm="1">
        <f t="array" ref="AB765">IF(IF(AND($P764="",$P765=1),($N$37*-1),0)+IF(AND($Q764="",$Q765=1),($N$38*-1),0)+IF(IF(($K765-$N$48)&lt;1,0,IF(IF(INDEX($AD$176:$AD$905,($K765-$N$48))="",0,INDEX($AD$176:$AD$905,($K765-$N$48)))&gt;0,IF(INDEX($AD$176:$AD$905,($K765-$N$48))="",0,INDEX($AD$176:$AD$905,($K765-$N$48))),0))="",0,IF(($K765-$N$48)&lt;1,0,IF(IF(INDEX($AD$176:$AD$905,($K765-$N$48))="",0,INDEX($AD$176:$AD$905,($K765-$N$48)))&gt;0,IF(INDEX($AD$176:$AD$905,($K765-$N$48))="",0,INDEX($AD$176:$AD$905,($K765-$N$48))),0)))=0,"",IF(AND($P764="",$P765=1),($N$37*-1),0)+IF(AND($Q764="",$Q765=1),($N$38*-1),0)+IF(IF(($K765-$N$48)&lt;1,0,IF(IF(INDEX($AD$176:$AD$905,($K765-$N$48))="",0,INDEX($AD$176:$AD$905,($K765-$N$48)))&gt;0,IF(INDEX($AD$176:$AD$905,($K765-$N$48))="",0,INDEX($AD$176:$AD$905,($K765-$N$48))),0))="",0,IF(($K765-$N$48)&lt;1,0,IF(IF(INDEX($AD$176:$AD$905,($K765-$N$48))="",0,INDEX($AD$176:$AD$905,($K765-$N$48)))&gt;0,IF(INDEX($AD$176:$AD$905,($K765-$N$48))="",0,INDEX($AD$176:$AD$905,($K765-$N$48))),0))))</f>
        <v/>
      </c>
      <c r="AC765" s="22" t="str">
        <f t="shared" si="225"/>
        <v/>
      </c>
      <c r="AD765" s="22" t="str">
        <f t="shared" si="216"/>
        <v/>
      </c>
      <c r="AE765" s="22" t="str" cm="1">
        <f t="array" ref="AE765">IF(($K765-$N$48)&lt;1,"",IF((IF(INDEX($AC$176:$AC$905,($K765-$N$48))="",0,INDEX($AC$176:$AC$905,($K765-$N$48))))=0,"",(IF(INDEX($AC$176:$AC$905,($K765-$N$48))="",0,INDEX($AC$176:$AC$905,($K765-$N$48))))))</f>
        <v/>
      </c>
      <c r="AF765" s="31" t="str">
        <f t="shared" si="226"/>
        <v/>
      </c>
      <c r="AG765" s="31" t="str">
        <f t="shared" si="227"/>
        <v/>
      </c>
      <c r="AH765" s="31" t="str">
        <f t="shared" si="228"/>
        <v/>
      </c>
      <c r="AI765" s="31" t="str">
        <f t="shared" si="229"/>
        <v/>
      </c>
      <c r="AJ765" s="303" t="str">
        <f t="shared" si="230"/>
        <v/>
      </c>
      <c r="AK765" s="139" t="str">
        <f t="shared" si="231"/>
        <v/>
      </c>
      <c r="AM765" s="319"/>
      <c r="AN765" s="40"/>
      <c r="AO765" s="1"/>
    </row>
    <row r="766" spans="7:41" x14ac:dyDescent="0.25">
      <c r="G766" s="235" t="str">
        <f t="shared" si="217"/>
        <v/>
      </c>
      <c r="H766" s="4" t="str">
        <f t="shared" si="218"/>
        <v/>
      </c>
      <c r="I766" s="11" t="str">
        <f t="shared" si="219"/>
        <v>09.00</v>
      </c>
      <c r="K766" s="30">
        <v>591</v>
      </c>
      <c r="L766" s="29">
        <f t="shared" si="232"/>
        <v>11371.908376190917</v>
      </c>
      <c r="M766" s="28" t="str">
        <f t="shared" si="220"/>
        <v/>
      </c>
      <c r="N766" s="27" t="str">
        <f t="shared" si="233"/>
        <v/>
      </c>
      <c r="O766" s="26" t="str">
        <f>IF(AND($Q765=$O$38,IFERROR(LARGE($V$176:$V765,1)&lt;$N$42,TRUE)),1,IF(AND(ISNUMBER($O765),$O765&lt;$N$32),$O765+1,""))</f>
        <v/>
      </c>
      <c r="P766" s="26" t="str">
        <f t="shared" si="234"/>
        <v/>
      </c>
      <c r="Q766" s="26" t="str">
        <f t="shared" si="221"/>
        <v/>
      </c>
      <c r="R766" s="24" t="str">
        <f t="shared" si="235"/>
        <v/>
      </c>
      <c r="S766" s="180">
        <f t="shared" si="236"/>
        <v>9</v>
      </c>
      <c r="T766" s="151"/>
      <c r="U766" s="25" t="str">
        <f t="shared" si="222"/>
        <v/>
      </c>
      <c r="V766" s="24" t="str">
        <f>IF(AND(ISNUMBER(R765),ISNUMBER(R766)),V765,IF(AND(R765="",ISNUMBER(R766)),IFERROR(LARGE($V$176:$V765,1)+1,0),""))</f>
        <v/>
      </c>
      <c r="W766" s="23" t="str">
        <f t="shared" si="223"/>
        <v/>
      </c>
      <c r="X766" s="22" t="str">
        <f t="shared" si="224"/>
        <v/>
      </c>
      <c r="Y766" s="22"/>
      <c r="Z766" s="22"/>
      <c r="AA766" s="22"/>
      <c r="AB766" s="22" t="str" cm="1">
        <f t="array" ref="AB766">IF(IF(AND($P765="",$P766=1),($N$37*-1),0)+IF(AND($Q765="",$Q766=1),($N$38*-1),0)+IF(IF(($K766-$N$48)&lt;1,0,IF(IF(INDEX($AD$176:$AD$905,($K766-$N$48))="",0,INDEX($AD$176:$AD$905,($K766-$N$48)))&gt;0,IF(INDEX($AD$176:$AD$905,($K766-$N$48))="",0,INDEX($AD$176:$AD$905,($K766-$N$48))),0))="",0,IF(($K766-$N$48)&lt;1,0,IF(IF(INDEX($AD$176:$AD$905,($K766-$N$48))="",0,INDEX($AD$176:$AD$905,($K766-$N$48)))&gt;0,IF(INDEX($AD$176:$AD$905,($K766-$N$48))="",0,INDEX($AD$176:$AD$905,($K766-$N$48))),0)))=0,"",IF(AND($P765="",$P766=1),($N$37*-1),0)+IF(AND($Q765="",$Q766=1),($N$38*-1),0)+IF(IF(($K766-$N$48)&lt;1,0,IF(IF(INDEX($AD$176:$AD$905,($K766-$N$48))="",0,INDEX($AD$176:$AD$905,($K766-$N$48)))&gt;0,IF(INDEX($AD$176:$AD$905,($K766-$N$48))="",0,INDEX($AD$176:$AD$905,($K766-$N$48))),0))="",0,IF(($K766-$N$48)&lt;1,0,IF(IF(INDEX($AD$176:$AD$905,($K766-$N$48))="",0,INDEX($AD$176:$AD$905,($K766-$N$48)))&gt;0,IF(INDEX($AD$176:$AD$905,($K766-$N$48))="",0,INDEX($AD$176:$AD$905,($K766-$N$48))),0))))</f>
        <v/>
      </c>
      <c r="AC766" s="22" t="str">
        <f t="shared" si="225"/>
        <v/>
      </c>
      <c r="AD766" s="22" t="str">
        <f t="shared" si="216"/>
        <v/>
      </c>
      <c r="AE766" s="22" t="str" cm="1">
        <f t="array" ref="AE766">IF(($K766-$N$48)&lt;1,"",IF((IF(INDEX($AC$176:$AC$905,($K766-$N$48))="",0,INDEX($AC$176:$AC$905,($K766-$N$48))))=0,"",(IF(INDEX($AC$176:$AC$905,($K766-$N$48))="",0,INDEX($AC$176:$AC$905,($K766-$N$48))))))</f>
        <v/>
      </c>
      <c r="AF766" s="31" t="str">
        <f t="shared" si="226"/>
        <v/>
      </c>
      <c r="AG766" s="31" t="str">
        <f t="shared" si="227"/>
        <v/>
      </c>
      <c r="AH766" s="31" t="str">
        <f t="shared" si="228"/>
        <v/>
      </c>
      <c r="AI766" s="31" t="str">
        <f t="shared" si="229"/>
        <v/>
      </c>
      <c r="AJ766" s="303" t="str">
        <f t="shared" si="230"/>
        <v/>
      </c>
      <c r="AK766" s="139" t="str">
        <f t="shared" si="231"/>
        <v/>
      </c>
      <c r="AM766" s="319"/>
      <c r="AN766" s="40"/>
      <c r="AO766" s="1"/>
    </row>
    <row r="767" spans="7:41" x14ac:dyDescent="0.25">
      <c r="G767" s="235" t="str">
        <f t="shared" si="217"/>
        <v/>
      </c>
      <c r="H767" s="4" t="str">
        <f t="shared" si="218"/>
        <v/>
      </c>
      <c r="I767" s="11" t="str">
        <f t="shared" si="219"/>
        <v>09.00</v>
      </c>
      <c r="K767" s="30">
        <v>592</v>
      </c>
      <c r="L767" s="29">
        <f t="shared" si="232"/>
        <v>11371.908376190917</v>
      </c>
      <c r="M767" s="28" t="str">
        <f t="shared" si="220"/>
        <v/>
      </c>
      <c r="N767" s="27" t="str">
        <f t="shared" si="233"/>
        <v/>
      </c>
      <c r="O767" s="26" t="str">
        <f>IF(AND($Q766=$O$38,IFERROR(LARGE($V$176:$V766,1)&lt;$N$42,TRUE)),1,IF(AND(ISNUMBER($O766),$O766&lt;$N$32),$O766+1,""))</f>
        <v/>
      </c>
      <c r="P767" s="26" t="str">
        <f t="shared" si="234"/>
        <v/>
      </c>
      <c r="Q767" s="26" t="str">
        <f t="shared" si="221"/>
        <v/>
      </c>
      <c r="R767" s="24" t="str">
        <f t="shared" si="235"/>
        <v/>
      </c>
      <c r="S767" s="180">
        <f t="shared" si="236"/>
        <v>9</v>
      </c>
      <c r="T767" s="151"/>
      <c r="U767" s="25" t="str">
        <f t="shared" si="222"/>
        <v/>
      </c>
      <c r="V767" s="24" t="str">
        <f>IF(AND(ISNUMBER(R766),ISNUMBER(R767)),V766,IF(AND(R766="",ISNUMBER(R767)),IFERROR(LARGE($V$176:$V766,1)+1,0),""))</f>
        <v/>
      </c>
      <c r="W767" s="23" t="str">
        <f t="shared" si="223"/>
        <v/>
      </c>
      <c r="X767" s="22" t="str">
        <f t="shared" si="224"/>
        <v/>
      </c>
      <c r="Y767" s="22"/>
      <c r="Z767" s="22"/>
      <c r="AA767" s="22"/>
      <c r="AB767" s="22" t="str" cm="1">
        <f t="array" ref="AB767">IF(IF(AND($P766="",$P767=1),($N$37*-1),0)+IF(AND($Q766="",$Q767=1),($N$38*-1),0)+IF(IF(($K767-$N$48)&lt;1,0,IF(IF(INDEX($AD$176:$AD$905,($K767-$N$48))="",0,INDEX($AD$176:$AD$905,($K767-$N$48)))&gt;0,IF(INDEX($AD$176:$AD$905,($K767-$N$48))="",0,INDEX($AD$176:$AD$905,($K767-$N$48))),0))="",0,IF(($K767-$N$48)&lt;1,0,IF(IF(INDEX($AD$176:$AD$905,($K767-$N$48))="",0,INDEX($AD$176:$AD$905,($K767-$N$48)))&gt;0,IF(INDEX($AD$176:$AD$905,($K767-$N$48))="",0,INDEX($AD$176:$AD$905,($K767-$N$48))),0)))=0,"",IF(AND($P766="",$P767=1),($N$37*-1),0)+IF(AND($Q766="",$Q767=1),($N$38*-1),0)+IF(IF(($K767-$N$48)&lt;1,0,IF(IF(INDEX($AD$176:$AD$905,($K767-$N$48))="",0,INDEX($AD$176:$AD$905,($K767-$N$48)))&gt;0,IF(INDEX($AD$176:$AD$905,($K767-$N$48))="",0,INDEX($AD$176:$AD$905,($K767-$N$48))),0))="",0,IF(($K767-$N$48)&lt;1,0,IF(IF(INDEX($AD$176:$AD$905,($K767-$N$48))="",0,INDEX($AD$176:$AD$905,($K767-$N$48)))&gt;0,IF(INDEX($AD$176:$AD$905,($K767-$N$48))="",0,INDEX($AD$176:$AD$905,($K767-$N$48))),0))))</f>
        <v/>
      </c>
      <c r="AC767" s="22" t="str">
        <f t="shared" si="225"/>
        <v/>
      </c>
      <c r="AD767" s="22" t="str">
        <f t="shared" si="216"/>
        <v/>
      </c>
      <c r="AE767" s="22" t="str" cm="1">
        <f t="array" ref="AE767">IF(($K767-$N$48)&lt;1,"",IF((IF(INDEX($AC$176:$AC$905,($K767-$N$48))="",0,INDEX($AC$176:$AC$905,($K767-$N$48))))=0,"",(IF(INDEX($AC$176:$AC$905,($K767-$N$48))="",0,INDEX($AC$176:$AC$905,($K767-$N$48))))))</f>
        <v/>
      </c>
      <c r="AF767" s="31" t="str">
        <f t="shared" si="226"/>
        <v/>
      </c>
      <c r="AG767" s="31" t="str">
        <f t="shared" si="227"/>
        <v/>
      </c>
      <c r="AH767" s="31" t="str">
        <f t="shared" si="228"/>
        <v/>
      </c>
      <c r="AI767" s="31" t="str">
        <f t="shared" si="229"/>
        <v/>
      </c>
      <c r="AJ767" s="303" t="str">
        <f t="shared" si="230"/>
        <v/>
      </c>
      <c r="AK767" s="139" t="str">
        <f t="shared" si="231"/>
        <v/>
      </c>
      <c r="AM767" s="319"/>
      <c r="AN767" s="40"/>
      <c r="AO767" s="1"/>
    </row>
    <row r="768" spans="7:41" x14ac:dyDescent="0.25">
      <c r="G768" s="235" t="str">
        <f t="shared" si="217"/>
        <v/>
      </c>
      <c r="H768" s="4" t="str">
        <f t="shared" si="218"/>
        <v/>
      </c>
      <c r="I768" s="11" t="str">
        <f t="shared" si="219"/>
        <v>09.00</v>
      </c>
      <c r="K768" s="30">
        <v>593</v>
      </c>
      <c r="L768" s="29">
        <f t="shared" si="232"/>
        <v>11371.908376190917</v>
      </c>
      <c r="M768" s="28" t="str">
        <f t="shared" si="220"/>
        <v/>
      </c>
      <c r="N768" s="27" t="str">
        <f t="shared" si="233"/>
        <v/>
      </c>
      <c r="O768" s="26" t="str">
        <f>IF(AND($Q767=$O$38,IFERROR(LARGE($V$176:$V767,1)&lt;$N$42,TRUE)),1,IF(AND(ISNUMBER($O767),$O767&lt;$N$32),$O767+1,""))</f>
        <v/>
      </c>
      <c r="P768" s="26" t="str">
        <f t="shared" si="234"/>
        <v/>
      </c>
      <c r="Q768" s="26" t="str">
        <f t="shared" si="221"/>
        <v/>
      </c>
      <c r="R768" s="24" t="str">
        <f t="shared" si="235"/>
        <v/>
      </c>
      <c r="S768" s="180">
        <f t="shared" si="236"/>
        <v>9</v>
      </c>
      <c r="T768" s="151"/>
      <c r="U768" s="25" t="str">
        <f t="shared" si="222"/>
        <v/>
      </c>
      <c r="V768" s="24" t="str">
        <f>IF(AND(ISNUMBER(R767),ISNUMBER(R768)),V767,IF(AND(R767="",ISNUMBER(R768)),IFERROR(LARGE($V$176:$V767,1)+1,0),""))</f>
        <v/>
      </c>
      <c r="W768" s="23" t="str">
        <f t="shared" si="223"/>
        <v/>
      </c>
      <c r="X768" s="22" t="str">
        <f t="shared" si="224"/>
        <v/>
      </c>
      <c r="Y768" s="22"/>
      <c r="Z768" s="22"/>
      <c r="AA768" s="22"/>
      <c r="AB768" s="22" t="str" cm="1">
        <f t="array" ref="AB768">IF(IF(AND($P767="",$P768=1),($N$37*-1),0)+IF(AND($Q767="",$Q768=1),($N$38*-1),0)+IF(IF(($K768-$N$48)&lt;1,0,IF(IF(INDEX($AD$176:$AD$905,($K768-$N$48))="",0,INDEX($AD$176:$AD$905,($K768-$N$48)))&gt;0,IF(INDEX($AD$176:$AD$905,($K768-$N$48))="",0,INDEX($AD$176:$AD$905,($K768-$N$48))),0))="",0,IF(($K768-$N$48)&lt;1,0,IF(IF(INDEX($AD$176:$AD$905,($K768-$N$48))="",0,INDEX($AD$176:$AD$905,($K768-$N$48)))&gt;0,IF(INDEX($AD$176:$AD$905,($K768-$N$48))="",0,INDEX($AD$176:$AD$905,($K768-$N$48))),0)))=0,"",IF(AND($P767="",$P768=1),($N$37*-1),0)+IF(AND($Q767="",$Q768=1),($N$38*-1),0)+IF(IF(($K768-$N$48)&lt;1,0,IF(IF(INDEX($AD$176:$AD$905,($K768-$N$48))="",0,INDEX($AD$176:$AD$905,($K768-$N$48)))&gt;0,IF(INDEX($AD$176:$AD$905,($K768-$N$48))="",0,INDEX($AD$176:$AD$905,($K768-$N$48))),0))="",0,IF(($K768-$N$48)&lt;1,0,IF(IF(INDEX($AD$176:$AD$905,($K768-$N$48))="",0,INDEX($AD$176:$AD$905,($K768-$N$48)))&gt;0,IF(INDEX($AD$176:$AD$905,($K768-$N$48))="",0,INDEX($AD$176:$AD$905,($K768-$N$48))),0))))</f>
        <v/>
      </c>
      <c r="AC768" s="22" t="str">
        <f t="shared" si="225"/>
        <v/>
      </c>
      <c r="AD768" s="22" t="str">
        <f t="shared" ref="AD768:AD831" si="237">IF(IF(OR(AND(ISNUMBER($U768),IF(ISNUMBER($U769),$U769,0)-IF(ISNUMBER($U768),$U768,0)=1),AND(ISNUMBER($U768),$U769="")),IF($U768=1,$P$37,0),0)=0,"",IF(OR(AND(ISNUMBER($U768),IF(ISNUMBER($U769),$U769,0)-IF(ISNUMBER($U768),$U768,0)=1),AND(ISNUMBER($U768),$U769="")),IF($U768=1,$P$37,0),0))</f>
        <v/>
      </c>
      <c r="AE768" s="22" t="str" cm="1">
        <f t="array" ref="AE768">IF(($K768-$N$48)&lt;1,"",IF((IF(INDEX($AC$176:$AC$905,($K768-$N$48))="",0,INDEX($AC$176:$AC$905,($K768-$N$48))))=0,"",(IF(INDEX($AC$176:$AC$905,($K768-$N$48))="",0,INDEX($AC$176:$AC$905,($K768-$N$48))))))</f>
        <v/>
      </c>
      <c r="AF768" s="31" t="str">
        <f t="shared" si="226"/>
        <v/>
      </c>
      <c r="AG768" s="31" t="str">
        <f t="shared" si="227"/>
        <v/>
      </c>
      <c r="AH768" s="31" t="str">
        <f t="shared" si="228"/>
        <v/>
      </c>
      <c r="AI768" s="31" t="str">
        <f t="shared" si="229"/>
        <v/>
      </c>
      <c r="AJ768" s="303" t="str">
        <f t="shared" si="230"/>
        <v/>
      </c>
      <c r="AK768" s="139" t="str">
        <f t="shared" si="231"/>
        <v/>
      </c>
      <c r="AM768" s="319"/>
      <c r="AN768" s="40"/>
      <c r="AO768" s="1"/>
    </row>
    <row r="769" spans="7:41" x14ac:dyDescent="0.25">
      <c r="G769" s="235" t="str">
        <f t="shared" si="217"/>
        <v/>
      </c>
      <c r="H769" s="4" t="str">
        <f t="shared" si="218"/>
        <v/>
      </c>
      <c r="I769" s="11" t="str">
        <f t="shared" si="219"/>
        <v>09.00</v>
      </c>
      <c r="K769" s="30">
        <v>594</v>
      </c>
      <c r="L769" s="29">
        <f t="shared" si="232"/>
        <v>11371.908376190917</v>
      </c>
      <c r="M769" s="28" t="str">
        <f t="shared" si="220"/>
        <v/>
      </c>
      <c r="N769" s="27" t="str">
        <f t="shared" si="233"/>
        <v/>
      </c>
      <c r="O769" s="26" t="str">
        <f>IF(AND($Q768=$O$38,IFERROR(LARGE($V$176:$V768,1)&lt;$N$42,TRUE)),1,IF(AND(ISNUMBER($O768),$O768&lt;$N$32),$O768+1,""))</f>
        <v/>
      </c>
      <c r="P769" s="26" t="str">
        <f t="shared" si="234"/>
        <v/>
      </c>
      <c r="Q769" s="26" t="str">
        <f t="shared" si="221"/>
        <v/>
      </c>
      <c r="R769" s="24" t="str">
        <f t="shared" si="235"/>
        <v/>
      </c>
      <c r="S769" s="180">
        <f t="shared" si="236"/>
        <v>9</v>
      </c>
      <c r="T769" s="151"/>
      <c r="U769" s="25" t="str">
        <f t="shared" si="222"/>
        <v/>
      </c>
      <c r="V769" s="24" t="str">
        <f>IF(AND(ISNUMBER(R768),ISNUMBER(R769)),V768,IF(AND(R768="",ISNUMBER(R769)),IFERROR(LARGE($V$176:$V768,1)+1,0),""))</f>
        <v/>
      </c>
      <c r="W769" s="23" t="str">
        <f t="shared" si="223"/>
        <v/>
      </c>
      <c r="X769" s="22" t="str">
        <f t="shared" si="224"/>
        <v/>
      </c>
      <c r="Y769" s="22"/>
      <c r="Z769" s="22"/>
      <c r="AA769" s="22"/>
      <c r="AB769" s="22" t="str" cm="1">
        <f t="array" ref="AB769">IF(IF(AND($P768="",$P769=1),($N$37*-1),0)+IF(AND($Q768="",$Q769=1),($N$38*-1),0)+IF(IF(($K769-$N$48)&lt;1,0,IF(IF(INDEX($AD$176:$AD$905,($K769-$N$48))="",0,INDEX($AD$176:$AD$905,($K769-$N$48)))&gt;0,IF(INDEX($AD$176:$AD$905,($K769-$N$48))="",0,INDEX($AD$176:$AD$905,($K769-$N$48))),0))="",0,IF(($K769-$N$48)&lt;1,0,IF(IF(INDEX($AD$176:$AD$905,($K769-$N$48))="",0,INDEX($AD$176:$AD$905,($K769-$N$48)))&gt;0,IF(INDEX($AD$176:$AD$905,($K769-$N$48))="",0,INDEX($AD$176:$AD$905,($K769-$N$48))),0)))=0,"",IF(AND($P768="",$P769=1),($N$37*-1),0)+IF(AND($Q768="",$Q769=1),($N$38*-1),0)+IF(IF(($K769-$N$48)&lt;1,0,IF(IF(INDEX($AD$176:$AD$905,($K769-$N$48))="",0,INDEX($AD$176:$AD$905,($K769-$N$48)))&gt;0,IF(INDEX($AD$176:$AD$905,($K769-$N$48))="",0,INDEX($AD$176:$AD$905,($K769-$N$48))),0))="",0,IF(($K769-$N$48)&lt;1,0,IF(IF(INDEX($AD$176:$AD$905,($K769-$N$48))="",0,INDEX($AD$176:$AD$905,($K769-$N$48)))&gt;0,IF(INDEX($AD$176:$AD$905,($K769-$N$48))="",0,INDEX($AD$176:$AD$905,($K769-$N$48))),0))))</f>
        <v/>
      </c>
      <c r="AC769" s="22" t="str">
        <f t="shared" si="225"/>
        <v/>
      </c>
      <c r="AD769" s="22" t="str">
        <f t="shared" si="237"/>
        <v/>
      </c>
      <c r="AE769" s="22" t="str" cm="1">
        <f t="array" ref="AE769">IF(($K769-$N$48)&lt;1,"",IF((IF(INDEX($AC$176:$AC$905,($K769-$N$48))="",0,INDEX($AC$176:$AC$905,($K769-$N$48))))=0,"",(IF(INDEX($AC$176:$AC$905,($K769-$N$48))="",0,INDEX($AC$176:$AC$905,($K769-$N$48))))))</f>
        <v/>
      </c>
      <c r="AF769" s="31" t="str">
        <f t="shared" si="226"/>
        <v/>
      </c>
      <c r="AG769" s="31" t="str">
        <f t="shared" si="227"/>
        <v/>
      </c>
      <c r="AH769" s="31" t="str">
        <f t="shared" si="228"/>
        <v/>
      </c>
      <c r="AI769" s="31" t="str">
        <f t="shared" si="229"/>
        <v/>
      </c>
      <c r="AJ769" s="303" t="str">
        <f t="shared" si="230"/>
        <v/>
      </c>
      <c r="AK769" s="139" t="str">
        <f t="shared" si="231"/>
        <v/>
      </c>
      <c r="AM769" s="319"/>
      <c r="AN769" s="40"/>
      <c r="AO769" s="1"/>
    </row>
    <row r="770" spans="7:41" x14ac:dyDescent="0.25">
      <c r="G770" s="235" t="str">
        <f t="shared" si="217"/>
        <v/>
      </c>
      <c r="H770" s="4" t="str">
        <f t="shared" si="218"/>
        <v/>
      </c>
      <c r="I770" s="11" t="str">
        <f t="shared" si="219"/>
        <v>09.00</v>
      </c>
      <c r="K770" s="30">
        <v>595</v>
      </c>
      <c r="L770" s="29">
        <f t="shared" si="232"/>
        <v>11371.908376190917</v>
      </c>
      <c r="M770" s="28" t="str">
        <f t="shared" si="220"/>
        <v/>
      </c>
      <c r="N770" s="27" t="str">
        <f t="shared" si="233"/>
        <v/>
      </c>
      <c r="O770" s="26" t="str">
        <f>IF(AND($Q769=$O$38,IFERROR(LARGE($V$176:$V769,1)&lt;$N$42,TRUE)),1,IF(AND(ISNUMBER($O769),$O769&lt;$N$32),$O769+1,""))</f>
        <v/>
      </c>
      <c r="P770" s="26" t="str">
        <f t="shared" si="234"/>
        <v/>
      </c>
      <c r="Q770" s="26" t="str">
        <f t="shared" si="221"/>
        <v/>
      </c>
      <c r="R770" s="24" t="str">
        <f t="shared" si="235"/>
        <v/>
      </c>
      <c r="S770" s="180">
        <f t="shared" si="236"/>
        <v>9</v>
      </c>
      <c r="T770" s="151"/>
      <c r="U770" s="25" t="str">
        <f t="shared" si="222"/>
        <v/>
      </c>
      <c r="V770" s="24" t="str">
        <f>IF(AND(ISNUMBER(R769),ISNUMBER(R770)),V769,IF(AND(R769="",ISNUMBER(R770)),IFERROR(LARGE($V$176:$V769,1)+1,0),""))</f>
        <v/>
      </c>
      <c r="W770" s="23" t="str">
        <f t="shared" si="223"/>
        <v/>
      </c>
      <c r="X770" s="22" t="str">
        <f t="shared" si="224"/>
        <v/>
      </c>
      <c r="Y770" s="22"/>
      <c r="Z770" s="22"/>
      <c r="AA770" s="22"/>
      <c r="AB770" s="22" t="str" cm="1">
        <f t="array" ref="AB770">IF(IF(AND($P769="",$P770=1),($N$37*-1),0)+IF(AND($Q769="",$Q770=1),($N$38*-1),0)+IF(IF(($K770-$N$48)&lt;1,0,IF(IF(INDEX($AD$176:$AD$905,($K770-$N$48))="",0,INDEX($AD$176:$AD$905,($K770-$N$48)))&gt;0,IF(INDEX($AD$176:$AD$905,($K770-$N$48))="",0,INDEX($AD$176:$AD$905,($K770-$N$48))),0))="",0,IF(($K770-$N$48)&lt;1,0,IF(IF(INDEX($AD$176:$AD$905,($K770-$N$48))="",0,INDEX($AD$176:$AD$905,($K770-$N$48)))&gt;0,IF(INDEX($AD$176:$AD$905,($K770-$N$48))="",0,INDEX($AD$176:$AD$905,($K770-$N$48))),0)))=0,"",IF(AND($P769="",$P770=1),($N$37*-1),0)+IF(AND($Q769="",$Q770=1),($N$38*-1),0)+IF(IF(($K770-$N$48)&lt;1,0,IF(IF(INDEX($AD$176:$AD$905,($K770-$N$48))="",0,INDEX($AD$176:$AD$905,($K770-$N$48)))&gt;0,IF(INDEX($AD$176:$AD$905,($K770-$N$48))="",0,INDEX($AD$176:$AD$905,($K770-$N$48))),0))="",0,IF(($K770-$N$48)&lt;1,0,IF(IF(INDEX($AD$176:$AD$905,($K770-$N$48))="",0,INDEX($AD$176:$AD$905,($K770-$N$48)))&gt;0,IF(INDEX($AD$176:$AD$905,($K770-$N$48))="",0,INDEX($AD$176:$AD$905,($K770-$N$48))),0))))</f>
        <v/>
      </c>
      <c r="AC770" s="22" t="str">
        <f t="shared" si="225"/>
        <v/>
      </c>
      <c r="AD770" s="22" t="str">
        <f t="shared" si="237"/>
        <v/>
      </c>
      <c r="AE770" s="22" t="str" cm="1">
        <f t="array" ref="AE770">IF(($K770-$N$48)&lt;1,"",IF((IF(INDEX($AC$176:$AC$905,($K770-$N$48))="",0,INDEX($AC$176:$AC$905,($K770-$N$48))))=0,"",(IF(INDEX($AC$176:$AC$905,($K770-$N$48))="",0,INDEX($AC$176:$AC$905,($K770-$N$48))))))</f>
        <v/>
      </c>
      <c r="AF770" s="31" t="str">
        <f t="shared" si="226"/>
        <v/>
      </c>
      <c r="AG770" s="31" t="str">
        <f t="shared" si="227"/>
        <v/>
      </c>
      <c r="AH770" s="31" t="str">
        <f t="shared" si="228"/>
        <v/>
      </c>
      <c r="AI770" s="31" t="str">
        <f t="shared" si="229"/>
        <v/>
      </c>
      <c r="AJ770" s="303" t="str">
        <f t="shared" si="230"/>
        <v/>
      </c>
      <c r="AK770" s="139" t="str">
        <f t="shared" si="231"/>
        <v/>
      </c>
      <c r="AM770" s="319"/>
      <c r="AN770" s="40"/>
      <c r="AO770" s="1"/>
    </row>
    <row r="771" spans="7:41" x14ac:dyDescent="0.25">
      <c r="G771" s="235" t="str">
        <f t="shared" si="217"/>
        <v/>
      </c>
      <c r="H771" s="4" t="str">
        <f t="shared" si="218"/>
        <v/>
      </c>
      <c r="I771" s="11" t="str">
        <f t="shared" si="219"/>
        <v>09.00</v>
      </c>
      <c r="K771" s="30">
        <v>596</v>
      </c>
      <c r="L771" s="29">
        <f t="shared" si="232"/>
        <v>11371.908376190917</v>
      </c>
      <c r="M771" s="28" t="str">
        <f t="shared" si="220"/>
        <v/>
      </c>
      <c r="N771" s="27" t="str">
        <f t="shared" si="233"/>
        <v/>
      </c>
      <c r="O771" s="26" t="str">
        <f>IF(AND($Q770=$O$38,IFERROR(LARGE($V$176:$V770,1)&lt;$N$42,TRUE)),1,IF(AND(ISNUMBER($O770),$O770&lt;$N$32),$O770+1,""))</f>
        <v/>
      </c>
      <c r="P771" s="26" t="str">
        <f t="shared" si="234"/>
        <v/>
      </c>
      <c r="Q771" s="26" t="str">
        <f t="shared" si="221"/>
        <v/>
      </c>
      <c r="R771" s="24" t="str">
        <f t="shared" si="235"/>
        <v/>
      </c>
      <c r="S771" s="180">
        <f t="shared" si="236"/>
        <v>9</v>
      </c>
      <c r="T771" s="151"/>
      <c r="U771" s="25" t="str">
        <f t="shared" si="222"/>
        <v/>
      </c>
      <c r="V771" s="24" t="str">
        <f>IF(AND(ISNUMBER(R770),ISNUMBER(R771)),V770,IF(AND(R770="",ISNUMBER(R771)),IFERROR(LARGE($V$176:$V770,1)+1,0),""))</f>
        <v/>
      </c>
      <c r="W771" s="23" t="str">
        <f t="shared" si="223"/>
        <v/>
      </c>
      <c r="X771" s="22" t="str">
        <f t="shared" si="224"/>
        <v/>
      </c>
      <c r="Y771" s="22"/>
      <c r="Z771" s="22"/>
      <c r="AA771" s="22"/>
      <c r="AB771" s="22" t="str" cm="1">
        <f t="array" ref="AB771">IF(IF(AND($P770="",$P771=1),($N$37*-1),0)+IF(AND($Q770="",$Q771=1),($N$38*-1),0)+IF(IF(($K771-$N$48)&lt;1,0,IF(IF(INDEX($AD$176:$AD$905,($K771-$N$48))="",0,INDEX($AD$176:$AD$905,($K771-$N$48)))&gt;0,IF(INDEX($AD$176:$AD$905,($K771-$N$48))="",0,INDEX($AD$176:$AD$905,($K771-$N$48))),0))="",0,IF(($K771-$N$48)&lt;1,0,IF(IF(INDEX($AD$176:$AD$905,($K771-$N$48))="",0,INDEX($AD$176:$AD$905,($K771-$N$48)))&gt;0,IF(INDEX($AD$176:$AD$905,($K771-$N$48))="",0,INDEX($AD$176:$AD$905,($K771-$N$48))),0)))=0,"",IF(AND($P770="",$P771=1),($N$37*-1),0)+IF(AND($Q770="",$Q771=1),($N$38*-1),0)+IF(IF(($K771-$N$48)&lt;1,0,IF(IF(INDEX($AD$176:$AD$905,($K771-$N$48))="",0,INDEX($AD$176:$AD$905,($K771-$N$48)))&gt;0,IF(INDEX($AD$176:$AD$905,($K771-$N$48))="",0,INDEX($AD$176:$AD$905,($K771-$N$48))),0))="",0,IF(($K771-$N$48)&lt;1,0,IF(IF(INDEX($AD$176:$AD$905,($K771-$N$48))="",0,INDEX($AD$176:$AD$905,($K771-$N$48)))&gt;0,IF(INDEX($AD$176:$AD$905,($K771-$N$48))="",0,INDEX($AD$176:$AD$905,($K771-$N$48))),0))))</f>
        <v/>
      </c>
      <c r="AC771" s="22" t="str">
        <f t="shared" si="225"/>
        <v/>
      </c>
      <c r="AD771" s="22" t="str">
        <f t="shared" si="237"/>
        <v/>
      </c>
      <c r="AE771" s="22" t="str" cm="1">
        <f t="array" ref="AE771">IF(($K771-$N$48)&lt;1,"",IF((IF(INDEX($AC$176:$AC$905,($K771-$N$48))="",0,INDEX($AC$176:$AC$905,($K771-$N$48))))=0,"",(IF(INDEX($AC$176:$AC$905,($K771-$N$48))="",0,INDEX($AC$176:$AC$905,($K771-$N$48))))))</f>
        <v/>
      </c>
      <c r="AF771" s="31" t="str">
        <f t="shared" si="226"/>
        <v/>
      </c>
      <c r="AG771" s="31" t="str">
        <f t="shared" si="227"/>
        <v/>
      </c>
      <c r="AH771" s="31" t="str">
        <f t="shared" si="228"/>
        <v/>
      </c>
      <c r="AI771" s="31" t="str">
        <f t="shared" si="229"/>
        <v/>
      </c>
      <c r="AJ771" s="303" t="str">
        <f t="shared" si="230"/>
        <v/>
      </c>
      <c r="AK771" s="139" t="str">
        <f t="shared" si="231"/>
        <v/>
      </c>
      <c r="AM771" s="319"/>
      <c r="AN771" s="40"/>
      <c r="AO771" s="1"/>
    </row>
    <row r="772" spans="7:41" x14ac:dyDescent="0.25">
      <c r="G772" s="235" t="str">
        <f t="shared" si="217"/>
        <v/>
      </c>
      <c r="H772" s="4" t="str">
        <f t="shared" si="218"/>
        <v/>
      </c>
      <c r="I772" s="11" t="str">
        <f t="shared" si="219"/>
        <v>09.00</v>
      </c>
      <c r="K772" s="30">
        <v>597</v>
      </c>
      <c r="L772" s="29">
        <f t="shared" si="232"/>
        <v>11371.908376190917</v>
      </c>
      <c r="M772" s="28" t="str">
        <f t="shared" si="220"/>
        <v/>
      </c>
      <c r="N772" s="27" t="str">
        <f t="shared" si="233"/>
        <v/>
      </c>
      <c r="O772" s="26" t="str">
        <f>IF(AND($Q771=$O$38,IFERROR(LARGE($V$176:$V771,1)&lt;$N$42,TRUE)),1,IF(AND(ISNUMBER($O771),$O771&lt;$N$32),$O771+1,""))</f>
        <v/>
      </c>
      <c r="P772" s="26" t="str">
        <f t="shared" si="234"/>
        <v/>
      </c>
      <c r="Q772" s="26" t="str">
        <f t="shared" si="221"/>
        <v/>
      </c>
      <c r="R772" s="24" t="str">
        <f t="shared" si="235"/>
        <v/>
      </c>
      <c r="S772" s="180">
        <f t="shared" si="236"/>
        <v>9</v>
      </c>
      <c r="T772" s="151"/>
      <c r="U772" s="25" t="str">
        <f t="shared" si="222"/>
        <v/>
      </c>
      <c r="V772" s="24" t="str">
        <f>IF(AND(ISNUMBER(R771),ISNUMBER(R772)),V771,IF(AND(R771="",ISNUMBER(R772)),IFERROR(LARGE($V$176:$V771,1)+1,0),""))</f>
        <v/>
      </c>
      <c r="W772" s="23" t="str">
        <f t="shared" si="223"/>
        <v/>
      </c>
      <c r="X772" s="22" t="str">
        <f t="shared" si="224"/>
        <v/>
      </c>
      <c r="Y772" s="22"/>
      <c r="Z772" s="22"/>
      <c r="AA772" s="22"/>
      <c r="AB772" s="22" t="str" cm="1">
        <f t="array" ref="AB772">IF(IF(AND($P771="",$P772=1),($N$37*-1),0)+IF(AND($Q771="",$Q772=1),($N$38*-1),0)+IF(IF(($K772-$N$48)&lt;1,0,IF(IF(INDEX($AD$176:$AD$905,($K772-$N$48))="",0,INDEX($AD$176:$AD$905,($K772-$N$48)))&gt;0,IF(INDEX($AD$176:$AD$905,($K772-$N$48))="",0,INDEX($AD$176:$AD$905,($K772-$N$48))),0))="",0,IF(($K772-$N$48)&lt;1,0,IF(IF(INDEX($AD$176:$AD$905,($K772-$N$48))="",0,INDEX($AD$176:$AD$905,($K772-$N$48)))&gt;0,IF(INDEX($AD$176:$AD$905,($K772-$N$48))="",0,INDEX($AD$176:$AD$905,($K772-$N$48))),0)))=0,"",IF(AND($P771="",$P772=1),($N$37*-1),0)+IF(AND($Q771="",$Q772=1),($N$38*-1),0)+IF(IF(($K772-$N$48)&lt;1,0,IF(IF(INDEX($AD$176:$AD$905,($K772-$N$48))="",0,INDEX($AD$176:$AD$905,($K772-$N$48)))&gt;0,IF(INDEX($AD$176:$AD$905,($K772-$N$48))="",0,INDEX($AD$176:$AD$905,($K772-$N$48))),0))="",0,IF(($K772-$N$48)&lt;1,0,IF(IF(INDEX($AD$176:$AD$905,($K772-$N$48))="",0,INDEX($AD$176:$AD$905,($K772-$N$48)))&gt;0,IF(INDEX($AD$176:$AD$905,($K772-$N$48))="",0,INDEX($AD$176:$AD$905,($K772-$N$48))),0))))</f>
        <v/>
      </c>
      <c r="AC772" s="22" t="str">
        <f t="shared" si="225"/>
        <v/>
      </c>
      <c r="AD772" s="22" t="str">
        <f t="shared" si="237"/>
        <v/>
      </c>
      <c r="AE772" s="22" t="str" cm="1">
        <f t="array" ref="AE772">IF(($K772-$N$48)&lt;1,"",IF((IF(INDEX($AC$176:$AC$905,($K772-$N$48))="",0,INDEX($AC$176:$AC$905,($K772-$N$48))))=0,"",(IF(INDEX($AC$176:$AC$905,($K772-$N$48))="",0,INDEX($AC$176:$AC$905,($K772-$N$48))))))</f>
        <v/>
      </c>
      <c r="AF772" s="31" t="str">
        <f t="shared" si="226"/>
        <v/>
      </c>
      <c r="AG772" s="31" t="str">
        <f t="shared" si="227"/>
        <v/>
      </c>
      <c r="AH772" s="31" t="str">
        <f t="shared" si="228"/>
        <v/>
      </c>
      <c r="AI772" s="31" t="str">
        <f t="shared" si="229"/>
        <v/>
      </c>
      <c r="AJ772" s="303" t="str">
        <f t="shared" si="230"/>
        <v/>
      </c>
      <c r="AK772" s="139" t="str">
        <f t="shared" si="231"/>
        <v/>
      </c>
      <c r="AM772" s="319"/>
      <c r="AN772" s="40"/>
      <c r="AO772" s="1"/>
    </row>
    <row r="773" spans="7:41" x14ac:dyDescent="0.25">
      <c r="G773" s="235" t="str">
        <f t="shared" si="217"/>
        <v/>
      </c>
      <c r="H773" s="4" t="str">
        <f t="shared" si="218"/>
        <v/>
      </c>
      <c r="I773" s="11" t="str">
        <f t="shared" si="219"/>
        <v>09.00</v>
      </c>
      <c r="K773" s="30">
        <v>598</v>
      </c>
      <c r="L773" s="29">
        <f t="shared" si="232"/>
        <v>11371.908376190917</v>
      </c>
      <c r="M773" s="28" t="str">
        <f t="shared" si="220"/>
        <v/>
      </c>
      <c r="N773" s="27" t="str">
        <f t="shared" si="233"/>
        <v/>
      </c>
      <c r="O773" s="26" t="str">
        <f>IF(AND($Q772=$O$38,IFERROR(LARGE($V$176:$V772,1)&lt;$N$42,TRUE)),1,IF(AND(ISNUMBER($O772),$O772&lt;$N$32),$O772+1,""))</f>
        <v/>
      </c>
      <c r="P773" s="26" t="str">
        <f t="shared" si="234"/>
        <v/>
      </c>
      <c r="Q773" s="26" t="str">
        <f t="shared" si="221"/>
        <v/>
      </c>
      <c r="R773" s="24" t="str">
        <f t="shared" si="235"/>
        <v/>
      </c>
      <c r="S773" s="180">
        <f t="shared" si="236"/>
        <v>9</v>
      </c>
      <c r="T773" s="151"/>
      <c r="U773" s="25" t="str">
        <f t="shared" si="222"/>
        <v/>
      </c>
      <c r="V773" s="24" t="str">
        <f>IF(AND(ISNUMBER(R772),ISNUMBER(R773)),V772,IF(AND(R772="",ISNUMBER(R773)),IFERROR(LARGE($V$176:$V772,1)+1,0),""))</f>
        <v/>
      </c>
      <c r="W773" s="23" t="str">
        <f t="shared" si="223"/>
        <v/>
      </c>
      <c r="X773" s="22" t="str">
        <f t="shared" si="224"/>
        <v/>
      </c>
      <c r="Y773" s="22"/>
      <c r="Z773" s="22"/>
      <c r="AA773" s="22"/>
      <c r="AB773" s="22" t="str" cm="1">
        <f t="array" ref="AB773">IF(IF(AND($P772="",$P773=1),($N$37*-1),0)+IF(AND($Q772="",$Q773=1),($N$38*-1),0)+IF(IF(($K773-$N$48)&lt;1,0,IF(IF(INDEX($AD$176:$AD$905,($K773-$N$48))="",0,INDEX($AD$176:$AD$905,($K773-$N$48)))&gt;0,IF(INDEX($AD$176:$AD$905,($K773-$N$48))="",0,INDEX($AD$176:$AD$905,($K773-$N$48))),0))="",0,IF(($K773-$N$48)&lt;1,0,IF(IF(INDEX($AD$176:$AD$905,($K773-$N$48))="",0,INDEX($AD$176:$AD$905,($K773-$N$48)))&gt;0,IF(INDEX($AD$176:$AD$905,($K773-$N$48))="",0,INDEX($AD$176:$AD$905,($K773-$N$48))),0)))=0,"",IF(AND($P772="",$P773=1),($N$37*-1),0)+IF(AND($Q772="",$Q773=1),($N$38*-1),0)+IF(IF(($K773-$N$48)&lt;1,0,IF(IF(INDEX($AD$176:$AD$905,($K773-$N$48))="",0,INDEX($AD$176:$AD$905,($K773-$N$48)))&gt;0,IF(INDEX($AD$176:$AD$905,($K773-$N$48))="",0,INDEX($AD$176:$AD$905,($K773-$N$48))),0))="",0,IF(($K773-$N$48)&lt;1,0,IF(IF(INDEX($AD$176:$AD$905,($K773-$N$48))="",0,INDEX($AD$176:$AD$905,($K773-$N$48)))&gt;0,IF(INDEX($AD$176:$AD$905,($K773-$N$48))="",0,INDEX($AD$176:$AD$905,($K773-$N$48))),0))))</f>
        <v/>
      </c>
      <c r="AC773" s="22" t="str">
        <f t="shared" si="225"/>
        <v/>
      </c>
      <c r="AD773" s="22" t="str">
        <f t="shared" si="237"/>
        <v/>
      </c>
      <c r="AE773" s="22" t="str" cm="1">
        <f t="array" ref="AE773">IF(($K773-$N$48)&lt;1,"",IF((IF(INDEX($AC$176:$AC$905,($K773-$N$48))="",0,INDEX($AC$176:$AC$905,($K773-$N$48))))=0,"",(IF(INDEX($AC$176:$AC$905,($K773-$N$48))="",0,INDEX($AC$176:$AC$905,($K773-$N$48))))))</f>
        <v/>
      </c>
      <c r="AF773" s="31" t="str">
        <f t="shared" si="226"/>
        <v/>
      </c>
      <c r="AG773" s="31" t="str">
        <f t="shared" si="227"/>
        <v/>
      </c>
      <c r="AH773" s="31" t="str">
        <f t="shared" si="228"/>
        <v/>
      </c>
      <c r="AI773" s="31" t="str">
        <f t="shared" si="229"/>
        <v/>
      </c>
      <c r="AJ773" s="303" t="str">
        <f t="shared" si="230"/>
        <v/>
      </c>
      <c r="AK773" s="139" t="str">
        <f t="shared" si="231"/>
        <v/>
      </c>
      <c r="AM773" s="319"/>
      <c r="AN773" s="40"/>
      <c r="AO773" s="1"/>
    </row>
    <row r="774" spans="7:41" x14ac:dyDescent="0.25">
      <c r="G774" s="235" t="str">
        <f t="shared" si="217"/>
        <v/>
      </c>
      <c r="H774" s="4" t="str">
        <f t="shared" si="218"/>
        <v/>
      </c>
      <c r="I774" s="11" t="str">
        <f t="shared" si="219"/>
        <v>09.00</v>
      </c>
      <c r="K774" s="30">
        <v>599</v>
      </c>
      <c r="L774" s="29">
        <f t="shared" si="232"/>
        <v>11371.908376190917</v>
      </c>
      <c r="M774" s="28" t="str">
        <f t="shared" si="220"/>
        <v/>
      </c>
      <c r="N774" s="27" t="str">
        <f t="shared" si="233"/>
        <v/>
      </c>
      <c r="O774" s="26" t="str">
        <f>IF(AND($Q773=$O$38,IFERROR(LARGE($V$176:$V773,1)&lt;$N$42,TRUE)),1,IF(AND(ISNUMBER($O773),$O773&lt;$N$32),$O773+1,""))</f>
        <v/>
      </c>
      <c r="P774" s="26" t="str">
        <f t="shared" si="234"/>
        <v/>
      </c>
      <c r="Q774" s="26" t="str">
        <f t="shared" si="221"/>
        <v/>
      </c>
      <c r="R774" s="24" t="str">
        <f t="shared" si="235"/>
        <v/>
      </c>
      <c r="S774" s="180">
        <f t="shared" si="236"/>
        <v>9</v>
      </c>
      <c r="T774" s="151"/>
      <c r="U774" s="25" t="str">
        <f t="shared" si="222"/>
        <v/>
      </c>
      <c r="V774" s="24" t="str">
        <f>IF(AND(ISNUMBER(R773),ISNUMBER(R774)),V773,IF(AND(R773="",ISNUMBER(R774)),IFERROR(LARGE($V$176:$V773,1)+1,0),""))</f>
        <v/>
      </c>
      <c r="W774" s="23" t="str">
        <f t="shared" si="223"/>
        <v/>
      </c>
      <c r="X774" s="22" t="str">
        <f t="shared" si="224"/>
        <v/>
      </c>
      <c r="Y774" s="22"/>
      <c r="Z774" s="22"/>
      <c r="AA774" s="22"/>
      <c r="AB774" s="22" t="str" cm="1">
        <f t="array" ref="AB774">IF(IF(AND($P773="",$P774=1),($N$37*-1),0)+IF(AND($Q773="",$Q774=1),($N$38*-1),0)+IF(IF(($K774-$N$48)&lt;1,0,IF(IF(INDEX($AD$176:$AD$905,($K774-$N$48))="",0,INDEX($AD$176:$AD$905,($K774-$N$48)))&gt;0,IF(INDEX($AD$176:$AD$905,($K774-$N$48))="",0,INDEX($AD$176:$AD$905,($K774-$N$48))),0))="",0,IF(($K774-$N$48)&lt;1,0,IF(IF(INDEX($AD$176:$AD$905,($K774-$N$48))="",0,INDEX($AD$176:$AD$905,($K774-$N$48)))&gt;0,IF(INDEX($AD$176:$AD$905,($K774-$N$48))="",0,INDEX($AD$176:$AD$905,($K774-$N$48))),0)))=0,"",IF(AND($P773="",$P774=1),($N$37*-1),0)+IF(AND($Q773="",$Q774=1),($N$38*-1),0)+IF(IF(($K774-$N$48)&lt;1,0,IF(IF(INDEX($AD$176:$AD$905,($K774-$N$48))="",0,INDEX($AD$176:$AD$905,($K774-$N$48)))&gt;0,IF(INDEX($AD$176:$AD$905,($K774-$N$48))="",0,INDEX($AD$176:$AD$905,($K774-$N$48))),0))="",0,IF(($K774-$N$48)&lt;1,0,IF(IF(INDEX($AD$176:$AD$905,($K774-$N$48))="",0,INDEX($AD$176:$AD$905,($K774-$N$48)))&gt;0,IF(INDEX($AD$176:$AD$905,($K774-$N$48))="",0,INDEX($AD$176:$AD$905,($K774-$N$48))),0))))</f>
        <v/>
      </c>
      <c r="AC774" s="22" t="str">
        <f t="shared" si="225"/>
        <v/>
      </c>
      <c r="AD774" s="22" t="str">
        <f t="shared" si="237"/>
        <v/>
      </c>
      <c r="AE774" s="22" t="str" cm="1">
        <f t="array" ref="AE774">IF(($K774-$N$48)&lt;1,"",IF((IF(INDEX($AC$176:$AC$905,($K774-$N$48))="",0,INDEX($AC$176:$AC$905,($K774-$N$48))))=0,"",(IF(INDEX($AC$176:$AC$905,($K774-$N$48))="",0,INDEX($AC$176:$AC$905,($K774-$N$48))))))</f>
        <v/>
      </c>
      <c r="AF774" s="31" t="str">
        <f t="shared" si="226"/>
        <v/>
      </c>
      <c r="AG774" s="31" t="str">
        <f t="shared" si="227"/>
        <v/>
      </c>
      <c r="AH774" s="31" t="str">
        <f t="shared" si="228"/>
        <v/>
      </c>
      <c r="AI774" s="31" t="str">
        <f t="shared" si="229"/>
        <v/>
      </c>
      <c r="AJ774" s="303" t="str">
        <f t="shared" si="230"/>
        <v/>
      </c>
      <c r="AK774" s="139" t="str">
        <f t="shared" si="231"/>
        <v/>
      </c>
      <c r="AM774" s="319"/>
      <c r="AN774" s="40"/>
      <c r="AO774" s="1"/>
    </row>
    <row r="775" spans="7:41" x14ac:dyDescent="0.25">
      <c r="G775" s="235" t="str">
        <f t="shared" si="217"/>
        <v/>
      </c>
      <c r="H775" s="4" t="str">
        <f t="shared" si="218"/>
        <v/>
      </c>
      <c r="I775" s="11" t="str">
        <f t="shared" si="219"/>
        <v>09.00</v>
      </c>
      <c r="K775" s="30">
        <v>600</v>
      </c>
      <c r="L775" s="29">
        <f t="shared" si="232"/>
        <v>11371.908376190917</v>
      </c>
      <c r="M775" s="28" t="str">
        <f t="shared" si="220"/>
        <v/>
      </c>
      <c r="N775" s="27" t="str">
        <f t="shared" si="233"/>
        <v/>
      </c>
      <c r="O775" s="26" t="str">
        <f>IF(AND($Q774=$O$38,IFERROR(LARGE($V$176:$V774,1)&lt;$N$42,TRUE)),1,IF(AND(ISNUMBER($O774),$O774&lt;$N$32),$O774+1,""))</f>
        <v/>
      </c>
      <c r="P775" s="26" t="str">
        <f t="shared" si="234"/>
        <v/>
      </c>
      <c r="Q775" s="26" t="str">
        <f t="shared" si="221"/>
        <v/>
      </c>
      <c r="R775" s="24" t="str">
        <f t="shared" si="235"/>
        <v/>
      </c>
      <c r="S775" s="180">
        <f t="shared" si="236"/>
        <v>9</v>
      </c>
      <c r="T775" s="151"/>
      <c r="U775" s="25" t="str">
        <f t="shared" si="222"/>
        <v/>
      </c>
      <c r="V775" s="24" t="str">
        <f>IF(AND(ISNUMBER(R774),ISNUMBER(R775)),V774,IF(AND(R774="",ISNUMBER(R775)),IFERROR(LARGE($V$176:$V774,1)+1,0),""))</f>
        <v/>
      </c>
      <c r="W775" s="23" t="str">
        <f t="shared" si="223"/>
        <v/>
      </c>
      <c r="X775" s="22" t="str">
        <f t="shared" si="224"/>
        <v/>
      </c>
      <c r="Y775" s="22"/>
      <c r="Z775" s="22"/>
      <c r="AA775" s="22"/>
      <c r="AB775" s="22" t="str" cm="1">
        <f t="array" ref="AB775">IF(IF(AND($P774="",$P775=1),($N$37*-1),0)+IF(AND($Q774="",$Q775=1),($N$38*-1),0)+IF(IF(($K775-$N$48)&lt;1,0,IF(IF(INDEX($AD$176:$AD$905,($K775-$N$48))="",0,INDEX($AD$176:$AD$905,($K775-$N$48)))&gt;0,IF(INDEX($AD$176:$AD$905,($K775-$N$48))="",0,INDEX($AD$176:$AD$905,($K775-$N$48))),0))="",0,IF(($K775-$N$48)&lt;1,0,IF(IF(INDEX($AD$176:$AD$905,($K775-$N$48))="",0,INDEX($AD$176:$AD$905,($K775-$N$48)))&gt;0,IF(INDEX($AD$176:$AD$905,($K775-$N$48))="",0,INDEX($AD$176:$AD$905,($K775-$N$48))),0)))=0,"",IF(AND($P774="",$P775=1),($N$37*-1),0)+IF(AND($Q774="",$Q775=1),($N$38*-1),0)+IF(IF(($K775-$N$48)&lt;1,0,IF(IF(INDEX($AD$176:$AD$905,($K775-$N$48))="",0,INDEX($AD$176:$AD$905,($K775-$N$48)))&gt;0,IF(INDEX($AD$176:$AD$905,($K775-$N$48))="",0,INDEX($AD$176:$AD$905,($K775-$N$48))),0))="",0,IF(($K775-$N$48)&lt;1,0,IF(IF(INDEX($AD$176:$AD$905,($K775-$N$48))="",0,INDEX($AD$176:$AD$905,($K775-$N$48)))&gt;0,IF(INDEX($AD$176:$AD$905,($K775-$N$48))="",0,INDEX($AD$176:$AD$905,($K775-$N$48))),0))))</f>
        <v/>
      </c>
      <c r="AC775" s="22" t="str">
        <f t="shared" si="225"/>
        <v/>
      </c>
      <c r="AD775" s="22" t="str">
        <f t="shared" si="237"/>
        <v/>
      </c>
      <c r="AE775" s="22" t="str" cm="1">
        <f t="array" ref="AE775">IF(($K775-$N$48)&lt;1,"",IF((IF(INDEX($AC$176:$AC$905,($K775-$N$48))="",0,INDEX($AC$176:$AC$905,($K775-$N$48))))=0,"",(IF(INDEX($AC$176:$AC$905,($K775-$N$48))="",0,INDEX($AC$176:$AC$905,($K775-$N$48))))))</f>
        <v/>
      </c>
      <c r="AF775" s="31" t="str">
        <f t="shared" si="226"/>
        <v/>
      </c>
      <c r="AG775" s="31" t="str">
        <f t="shared" si="227"/>
        <v/>
      </c>
      <c r="AH775" s="31" t="str">
        <f t="shared" si="228"/>
        <v/>
      </c>
      <c r="AI775" s="31" t="str">
        <f t="shared" si="229"/>
        <v/>
      </c>
      <c r="AJ775" s="303" t="str">
        <f t="shared" si="230"/>
        <v/>
      </c>
      <c r="AK775" s="139" t="str">
        <f t="shared" si="231"/>
        <v/>
      </c>
      <c r="AM775" s="319"/>
      <c r="AN775" s="40"/>
      <c r="AO775" s="1"/>
    </row>
    <row r="776" spans="7:41" x14ac:dyDescent="0.25">
      <c r="G776" s="235" t="str">
        <f t="shared" si="217"/>
        <v/>
      </c>
      <c r="H776" s="4" t="str">
        <f t="shared" si="218"/>
        <v/>
      </c>
      <c r="I776" s="11" t="str">
        <f t="shared" si="219"/>
        <v>09.00</v>
      </c>
      <c r="K776" s="30">
        <v>601</v>
      </c>
      <c r="L776" s="29">
        <f t="shared" si="232"/>
        <v>11371.908376190917</v>
      </c>
      <c r="M776" s="28" t="str">
        <f t="shared" si="220"/>
        <v/>
      </c>
      <c r="N776" s="27" t="str">
        <f t="shared" si="233"/>
        <v/>
      </c>
      <c r="O776" s="26" t="str">
        <f>IF(AND($Q775=$O$38,IFERROR(LARGE($V$176:$V775,1)&lt;$N$42,TRUE)),1,IF(AND(ISNUMBER($O775),$O775&lt;$N$32),$O775+1,""))</f>
        <v/>
      </c>
      <c r="P776" s="26" t="str">
        <f t="shared" si="234"/>
        <v/>
      </c>
      <c r="Q776" s="26" t="str">
        <f t="shared" si="221"/>
        <v/>
      </c>
      <c r="R776" s="24" t="str">
        <f t="shared" si="235"/>
        <v/>
      </c>
      <c r="S776" s="180">
        <f t="shared" si="236"/>
        <v>9</v>
      </c>
      <c r="T776" s="151"/>
      <c r="U776" s="25" t="str">
        <f t="shared" si="222"/>
        <v/>
      </c>
      <c r="V776" s="24" t="str">
        <f>IF(AND(ISNUMBER(R775),ISNUMBER(R776)),V775,IF(AND(R775="",ISNUMBER(R776)),IFERROR(LARGE($V$176:$V775,1)+1,0),""))</f>
        <v/>
      </c>
      <c r="W776" s="23" t="str">
        <f t="shared" si="223"/>
        <v/>
      </c>
      <c r="X776" s="22" t="str">
        <f t="shared" si="224"/>
        <v/>
      </c>
      <c r="Y776" s="22"/>
      <c r="Z776" s="22"/>
      <c r="AA776" s="22"/>
      <c r="AB776" s="22" t="str" cm="1">
        <f t="array" ref="AB776">IF(IF(AND($P775="",$P776=1),($N$37*-1),0)+IF(AND($Q775="",$Q776=1),($N$38*-1),0)+IF(IF(($K776-$N$48)&lt;1,0,IF(IF(INDEX($AD$176:$AD$905,($K776-$N$48))="",0,INDEX($AD$176:$AD$905,($K776-$N$48)))&gt;0,IF(INDEX($AD$176:$AD$905,($K776-$N$48))="",0,INDEX($AD$176:$AD$905,($K776-$N$48))),0))="",0,IF(($K776-$N$48)&lt;1,0,IF(IF(INDEX($AD$176:$AD$905,($K776-$N$48))="",0,INDEX($AD$176:$AD$905,($K776-$N$48)))&gt;0,IF(INDEX($AD$176:$AD$905,($K776-$N$48))="",0,INDEX($AD$176:$AD$905,($K776-$N$48))),0)))=0,"",IF(AND($P775="",$P776=1),($N$37*-1),0)+IF(AND($Q775="",$Q776=1),($N$38*-1),0)+IF(IF(($K776-$N$48)&lt;1,0,IF(IF(INDEX($AD$176:$AD$905,($K776-$N$48))="",0,INDEX($AD$176:$AD$905,($K776-$N$48)))&gt;0,IF(INDEX($AD$176:$AD$905,($K776-$N$48))="",0,INDEX($AD$176:$AD$905,($K776-$N$48))),0))="",0,IF(($K776-$N$48)&lt;1,0,IF(IF(INDEX($AD$176:$AD$905,($K776-$N$48))="",0,INDEX($AD$176:$AD$905,($K776-$N$48)))&gt;0,IF(INDEX($AD$176:$AD$905,($K776-$N$48))="",0,INDEX($AD$176:$AD$905,($K776-$N$48))),0))))</f>
        <v/>
      </c>
      <c r="AC776" s="22" t="str">
        <f t="shared" si="225"/>
        <v/>
      </c>
      <c r="AD776" s="22" t="str">
        <f t="shared" si="237"/>
        <v/>
      </c>
      <c r="AE776" s="22" t="str" cm="1">
        <f t="array" ref="AE776">IF(($K776-$N$48)&lt;1,"",IF((IF(INDEX($AC$176:$AC$905,($K776-$N$48))="",0,INDEX($AC$176:$AC$905,($K776-$N$48))))=0,"",(IF(INDEX($AC$176:$AC$905,($K776-$N$48))="",0,INDEX($AC$176:$AC$905,($K776-$N$48))))))</f>
        <v/>
      </c>
      <c r="AF776" s="31" t="str">
        <f t="shared" si="226"/>
        <v/>
      </c>
      <c r="AG776" s="31" t="str">
        <f t="shared" si="227"/>
        <v/>
      </c>
      <c r="AH776" s="31" t="str">
        <f t="shared" si="228"/>
        <v/>
      </c>
      <c r="AI776" s="31" t="str">
        <f t="shared" si="229"/>
        <v/>
      </c>
      <c r="AJ776" s="303" t="str">
        <f t="shared" si="230"/>
        <v/>
      </c>
      <c r="AK776" s="139" t="str">
        <f t="shared" si="231"/>
        <v/>
      </c>
      <c r="AM776" s="319"/>
      <c r="AN776" s="40"/>
      <c r="AO776" s="1"/>
    </row>
    <row r="777" spans="7:41" x14ac:dyDescent="0.25">
      <c r="G777" s="235" t="str">
        <f t="shared" si="217"/>
        <v/>
      </c>
      <c r="H777" s="4" t="str">
        <f t="shared" si="218"/>
        <v/>
      </c>
      <c r="I777" s="11" t="str">
        <f t="shared" si="219"/>
        <v>09.00</v>
      </c>
      <c r="K777" s="30">
        <v>602</v>
      </c>
      <c r="L777" s="29">
        <f t="shared" si="232"/>
        <v>11371.908376190917</v>
      </c>
      <c r="M777" s="28" t="str">
        <f t="shared" si="220"/>
        <v/>
      </c>
      <c r="N777" s="27" t="str">
        <f t="shared" si="233"/>
        <v/>
      </c>
      <c r="O777" s="26" t="str">
        <f>IF(AND($Q776=$O$38,IFERROR(LARGE($V$176:$V776,1)&lt;$N$42,TRUE)),1,IF(AND(ISNUMBER($O776),$O776&lt;$N$32),$O776+1,""))</f>
        <v/>
      </c>
      <c r="P777" s="26" t="str">
        <f t="shared" si="234"/>
        <v/>
      </c>
      <c r="Q777" s="26" t="str">
        <f t="shared" si="221"/>
        <v/>
      </c>
      <c r="R777" s="24" t="str">
        <f t="shared" si="235"/>
        <v/>
      </c>
      <c r="S777" s="180">
        <f t="shared" si="236"/>
        <v>9</v>
      </c>
      <c r="T777" s="151"/>
      <c r="U777" s="25" t="str">
        <f t="shared" si="222"/>
        <v/>
      </c>
      <c r="V777" s="24" t="str">
        <f>IF(AND(ISNUMBER(R776),ISNUMBER(R777)),V776,IF(AND(R776="",ISNUMBER(R777)),IFERROR(LARGE($V$176:$V776,1)+1,0),""))</f>
        <v/>
      </c>
      <c r="W777" s="23" t="str">
        <f t="shared" si="223"/>
        <v/>
      </c>
      <c r="X777" s="22" t="str">
        <f t="shared" si="224"/>
        <v/>
      </c>
      <c r="Y777" s="22"/>
      <c r="Z777" s="22"/>
      <c r="AA777" s="22"/>
      <c r="AB777" s="22" t="str" cm="1">
        <f t="array" ref="AB777">IF(IF(AND($P776="",$P777=1),($N$37*-1),0)+IF(AND($Q776="",$Q777=1),($N$38*-1),0)+IF(IF(($K777-$N$48)&lt;1,0,IF(IF(INDEX($AD$176:$AD$905,($K777-$N$48))="",0,INDEX($AD$176:$AD$905,($K777-$N$48)))&gt;0,IF(INDEX($AD$176:$AD$905,($K777-$N$48))="",0,INDEX($AD$176:$AD$905,($K777-$N$48))),0))="",0,IF(($K777-$N$48)&lt;1,0,IF(IF(INDEX($AD$176:$AD$905,($K777-$N$48))="",0,INDEX($AD$176:$AD$905,($K777-$N$48)))&gt;0,IF(INDEX($AD$176:$AD$905,($K777-$N$48))="",0,INDEX($AD$176:$AD$905,($K777-$N$48))),0)))=0,"",IF(AND($P776="",$P777=1),($N$37*-1),0)+IF(AND($Q776="",$Q777=1),($N$38*-1),0)+IF(IF(($K777-$N$48)&lt;1,0,IF(IF(INDEX($AD$176:$AD$905,($K777-$N$48))="",0,INDEX($AD$176:$AD$905,($K777-$N$48)))&gt;0,IF(INDEX($AD$176:$AD$905,($K777-$N$48))="",0,INDEX($AD$176:$AD$905,($K777-$N$48))),0))="",0,IF(($K777-$N$48)&lt;1,0,IF(IF(INDEX($AD$176:$AD$905,($K777-$N$48))="",0,INDEX($AD$176:$AD$905,($K777-$N$48)))&gt;0,IF(INDEX($AD$176:$AD$905,($K777-$N$48))="",0,INDEX($AD$176:$AD$905,($K777-$N$48))),0))))</f>
        <v/>
      </c>
      <c r="AC777" s="22" t="str">
        <f t="shared" si="225"/>
        <v/>
      </c>
      <c r="AD777" s="22" t="str">
        <f t="shared" si="237"/>
        <v/>
      </c>
      <c r="AE777" s="22" t="str" cm="1">
        <f t="array" ref="AE777">IF(($K777-$N$48)&lt;1,"",IF((IF(INDEX($AC$176:$AC$905,($K777-$N$48))="",0,INDEX($AC$176:$AC$905,($K777-$N$48))))=0,"",(IF(INDEX($AC$176:$AC$905,($K777-$N$48))="",0,INDEX($AC$176:$AC$905,($K777-$N$48))))))</f>
        <v/>
      </c>
      <c r="AF777" s="31" t="str">
        <f t="shared" si="226"/>
        <v/>
      </c>
      <c r="AG777" s="31" t="str">
        <f t="shared" si="227"/>
        <v/>
      </c>
      <c r="AH777" s="31" t="str">
        <f t="shared" si="228"/>
        <v/>
      </c>
      <c r="AI777" s="31" t="str">
        <f t="shared" si="229"/>
        <v/>
      </c>
      <c r="AJ777" s="303" t="str">
        <f t="shared" si="230"/>
        <v/>
      </c>
      <c r="AK777" s="139" t="str">
        <f t="shared" si="231"/>
        <v/>
      </c>
      <c r="AM777" s="319"/>
      <c r="AN777" s="40"/>
      <c r="AO777" s="1"/>
    </row>
    <row r="778" spans="7:41" x14ac:dyDescent="0.25">
      <c r="G778" s="235" t="str">
        <f t="shared" si="217"/>
        <v/>
      </c>
      <c r="H778" s="4" t="str">
        <f t="shared" si="218"/>
        <v/>
      </c>
      <c r="I778" s="11" t="str">
        <f t="shared" si="219"/>
        <v>09.00</v>
      </c>
      <c r="K778" s="30">
        <v>603</v>
      </c>
      <c r="L778" s="29">
        <f t="shared" si="232"/>
        <v>11371.908376190917</v>
      </c>
      <c r="M778" s="28" t="str">
        <f t="shared" si="220"/>
        <v/>
      </c>
      <c r="N778" s="27" t="str">
        <f t="shared" si="233"/>
        <v/>
      </c>
      <c r="O778" s="26" t="str">
        <f>IF(AND($Q777=$O$38,IFERROR(LARGE($V$176:$V777,1)&lt;$N$42,TRUE)),1,IF(AND(ISNUMBER($O777),$O777&lt;$N$32),$O777+1,""))</f>
        <v/>
      </c>
      <c r="P778" s="26" t="str">
        <f t="shared" si="234"/>
        <v/>
      </c>
      <c r="Q778" s="26" t="str">
        <f t="shared" si="221"/>
        <v/>
      </c>
      <c r="R778" s="24" t="str">
        <f t="shared" si="235"/>
        <v/>
      </c>
      <c r="S778" s="180">
        <f t="shared" si="236"/>
        <v>9</v>
      </c>
      <c r="T778" s="151"/>
      <c r="U778" s="25" t="str">
        <f t="shared" si="222"/>
        <v/>
      </c>
      <c r="V778" s="24" t="str">
        <f>IF(AND(ISNUMBER(R777),ISNUMBER(R778)),V777,IF(AND(R777="",ISNUMBER(R778)),IFERROR(LARGE($V$176:$V777,1)+1,0),""))</f>
        <v/>
      </c>
      <c r="W778" s="23" t="str">
        <f t="shared" si="223"/>
        <v/>
      </c>
      <c r="X778" s="22" t="str">
        <f t="shared" si="224"/>
        <v/>
      </c>
      <c r="Y778" s="22"/>
      <c r="Z778" s="22"/>
      <c r="AA778" s="22"/>
      <c r="AB778" s="22" t="str" cm="1">
        <f t="array" ref="AB778">IF(IF(AND($P777="",$P778=1),($N$37*-1),0)+IF(AND($Q777="",$Q778=1),($N$38*-1),0)+IF(IF(($K778-$N$48)&lt;1,0,IF(IF(INDEX($AD$176:$AD$905,($K778-$N$48))="",0,INDEX($AD$176:$AD$905,($K778-$N$48)))&gt;0,IF(INDEX($AD$176:$AD$905,($K778-$N$48))="",0,INDEX($AD$176:$AD$905,($K778-$N$48))),0))="",0,IF(($K778-$N$48)&lt;1,0,IF(IF(INDEX($AD$176:$AD$905,($K778-$N$48))="",0,INDEX($AD$176:$AD$905,($K778-$N$48)))&gt;0,IF(INDEX($AD$176:$AD$905,($K778-$N$48))="",0,INDEX($AD$176:$AD$905,($K778-$N$48))),0)))=0,"",IF(AND($P777="",$P778=1),($N$37*-1),0)+IF(AND($Q777="",$Q778=1),($N$38*-1),0)+IF(IF(($K778-$N$48)&lt;1,0,IF(IF(INDEX($AD$176:$AD$905,($K778-$N$48))="",0,INDEX($AD$176:$AD$905,($K778-$N$48)))&gt;0,IF(INDEX($AD$176:$AD$905,($K778-$N$48))="",0,INDEX($AD$176:$AD$905,($K778-$N$48))),0))="",0,IF(($K778-$N$48)&lt;1,0,IF(IF(INDEX($AD$176:$AD$905,($K778-$N$48))="",0,INDEX($AD$176:$AD$905,($K778-$N$48)))&gt;0,IF(INDEX($AD$176:$AD$905,($K778-$N$48))="",0,INDEX($AD$176:$AD$905,($K778-$N$48))),0))))</f>
        <v/>
      </c>
      <c r="AC778" s="22" t="str">
        <f t="shared" si="225"/>
        <v/>
      </c>
      <c r="AD778" s="22" t="str">
        <f t="shared" si="237"/>
        <v/>
      </c>
      <c r="AE778" s="22" t="str" cm="1">
        <f t="array" ref="AE778">IF(($K778-$N$48)&lt;1,"",IF((IF(INDEX($AC$176:$AC$905,($K778-$N$48))="",0,INDEX($AC$176:$AC$905,($K778-$N$48))))=0,"",(IF(INDEX($AC$176:$AC$905,($K778-$N$48))="",0,INDEX($AC$176:$AC$905,($K778-$N$48))))))</f>
        <v/>
      </c>
      <c r="AF778" s="31" t="str">
        <f t="shared" si="226"/>
        <v/>
      </c>
      <c r="AG778" s="31" t="str">
        <f t="shared" si="227"/>
        <v/>
      </c>
      <c r="AH778" s="31" t="str">
        <f t="shared" si="228"/>
        <v/>
      </c>
      <c r="AI778" s="31" t="str">
        <f t="shared" si="229"/>
        <v/>
      </c>
      <c r="AJ778" s="303" t="str">
        <f t="shared" si="230"/>
        <v/>
      </c>
      <c r="AK778" s="139" t="str">
        <f t="shared" si="231"/>
        <v/>
      </c>
      <c r="AM778" s="319"/>
      <c r="AN778" s="40"/>
      <c r="AO778" s="1"/>
    </row>
    <row r="779" spans="7:41" x14ac:dyDescent="0.25">
      <c r="G779" s="235" t="str">
        <f t="shared" si="217"/>
        <v/>
      </c>
      <c r="H779" s="4" t="str">
        <f t="shared" si="218"/>
        <v/>
      </c>
      <c r="I779" s="11" t="str">
        <f t="shared" si="219"/>
        <v>09.00</v>
      </c>
      <c r="K779" s="30">
        <v>604</v>
      </c>
      <c r="L779" s="29">
        <f t="shared" si="232"/>
        <v>11371.908376190917</v>
      </c>
      <c r="M779" s="28" t="str">
        <f t="shared" si="220"/>
        <v/>
      </c>
      <c r="N779" s="27" t="str">
        <f t="shared" si="233"/>
        <v/>
      </c>
      <c r="O779" s="26" t="str">
        <f>IF(AND($Q778=$O$38,IFERROR(LARGE($V$176:$V778,1)&lt;$N$42,TRUE)),1,IF(AND(ISNUMBER($O778),$O778&lt;$N$32),$O778+1,""))</f>
        <v/>
      </c>
      <c r="P779" s="26" t="str">
        <f t="shared" si="234"/>
        <v/>
      </c>
      <c r="Q779" s="26" t="str">
        <f t="shared" si="221"/>
        <v/>
      </c>
      <c r="R779" s="24" t="str">
        <f t="shared" si="235"/>
        <v/>
      </c>
      <c r="S779" s="180">
        <f t="shared" si="236"/>
        <v>9</v>
      </c>
      <c r="T779" s="151"/>
      <c r="U779" s="25" t="str">
        <f t="shared" si="222"/>
        <v/>
      </c>
      <c r="V779" s="24" t="str">
        <f>IF(AND(ISNUMBER(R778),ISNUMBER(R779)),V778,IF(AND(R778="",ISNUMBER(R779)),IFERROR(LARGE($V$176:$V778,1)+1,0),""))</f>
        <v/>
      </c>
      <c r="W779" s="23" t="str">
        <f t="shared" si="223"/>
        <v/>
      </c>
      <c r="X779" s="22" t="str">
        <f t="shared" si="224"/>
        <v/>
      </c>
      <c r="Y779" s="22"/>
      <c r="Z779" s="22"/>
      <c r="AA779" s="22"/>
      <c r="AB779" s="22" t="str" cm="1">
        <f t="array" ref="AB779">IF(IF(AND($P778="",$P779=1),($N$37*-1),0)+IF(AND($Q778="",$Q779=1),($N$38*-1),0)+IF(IF(($K779-$N$48)&lt;1,0,IF(IF(INDEX($AD$176:$AD$905,($K779-$N$48))="",0,INDEX($AD$176:$AD$905,($K779-$N$48)))&gt;0,IF(INDEX($AD$176:$AD$905,($K779-$N$48))="",0,INDEX($AD$176:$AD$905,($K779-$N$48))),0))="",0,IF(($K779-$N$48)&lt;1,0,IF(IF(INDEX($AD$176:$AD$905,($K779-$N$48))="",0,INDEX($AD$176:$AD$905,($K779-$N$48)))&gt;0,IF(INDEX($AD$176:$AD$905,($K779-$N$48))="",0,INDEX($AD$176:$AD$905,($K779-$N$48))),0)))=0,"",IF(AND($P778="",$P779=1),($N$37*-1),0)+IF(AND($Q778="",$Q779=1),($N$38*-1),0)+IF(IF(($K779-$N$48)&lt;1,0,IF(IF(INDEX($AD$176:$AD$905,($K779-$N$48))="",0,INDEX($AD$176:$AD$905,($K779-$N$48)))&gt;0,IF(INDEX($AD$176:$AD$905,($K779-$N$48))="",0,INDEX($AD$176:$AD$905,($K779-$N$48))),0))="",0,IF(($K779-$N$48)&lt;1,0,IF(IF(INDEX($AD$176:$AD$905,($K779-$N$48))="",0,INDEX($AD$176:$AD$905,($K779-$N$48)))&gt;0,IF(INDEX($AD$176:$AD$905,($K779-$N$48))="",0,INDEX($AD$176:$AD$905,($K779-$N$48))),0))))</f>
        <v/>
      </c>
      <c r="AC779" s="22" t="str">
        <f t="shared" si="225"/>
        <v/>
      </c>
      <c r="AD779" s="22" t="str">
        <f t="shared" si="237"/>
        <v/>
      </c>
      <c r="AE779" s="22" t="str" cm="1">
        <f t="array" ref="AE779">IF(($K779-$N$48)&lt;1,"",IF((IF(INDEX($AC$176:$AC$905,($K779-$N$48))="",0,INDEX($AC$176:$AC$905,($K779-$N$48))))=0,"",(IF(INDEX($AC$176:$AC$905,($K779-$N$48))="",0,INDEX($AC$176:$AC$905,($K779-$N$48))))))</f>
        <v/>
      </c>
      <c r="AF779" s="31" t="str">
        <f t="shared" si="226"/>
        <v/>
      </c>
      <c r="AG779" s="31" t="str">
        <f t="shared" si="227"/>
        <v/>
      </c>
      <c r="AH779" s="31" t="str">
        <f t="shared" si="228"/>
        <v/>
      </c>
      <c r="AI779" s="31" t="str">
        <f t="shared" si="229"/>
        <v/>
      </c>
      <c r="AJ779" s="303" t="str">
        <f t="shared" si="230"/>
        <v/>
      </c>
      <c r="AK779" s="139" t="str">
        <f t="shared" si="231"/>
        <v/>
      </c>
      <c r="AM779" s="319"/>
      <c r="AN779" s="40"/>
      <c r="AO779" s="1"/>
    </row>
    <row r="780" spans="7:41" x14ac:dyDescent="0.25">
      <c r="G780" s="235" t="str">
        <f t="shared" si="217"/>
        <v/>
      </c>
      <c r="H780" s="4" t="str">
        <f t="shared" si="218"/>
        <v/>
      </c>
      <c r="I780" s="11" t="str">
        <f t="shared" si="219"/>
        <v>09.00</v>
      </c>
      <c r="K780" s="30">
        <v>605</v>
      </c>
      <c r="L780" s="29">
        <f t="shared" si="232"/>
        <v>11371.908376190917</v>
      </c>
      <c r="M780" s="28" t="str">
        <f t="shared" si="220"/>
        <v/>
      </c>
      <c r="N780" s="27" t="str">
        <f t="shared" si="233"/>
        <v/>
      </c>
      <c r="O780" s="26" t="str">
        <f>IF(AND($Q779=$O$38,IFERROR(LARGE($V$176:$V779,1)&lt;$N$42,TRUE)),1,IF(AND(ISNUMBER($O779),$O779&lt;$N$32),$O779+1,""))</f>
        <v/>
      </c>
      <c r="P780" s="26" t="str">
        <f t="shared" si="234"/>
        <v/>
      </c>
      <c r="Q780" s="26" t="str">
        <f t="shared" si="221"/>
        <v/>
      </c>
      <c r="R780" s="24" t="str">
        <f t="shared" si="235"/>
        <v/>
      </c>
      <c r="S780" s="180">
        <f t="shared" si="236"/>
        <v>9</v>
      </c>
      <c r="T780" s="151"/>
      <c r="U780" s="25" t="str">
        <f t="shared" si="222"/>
        <v/>
      </c>
      <c r="V780" s="24" t="str">
        <f>IF(AND(ISNUMBER(R779),ISNUMBER(R780)),V779,IF(AND(R779="",ISNUMBER(R780)),IFERROR(LARGE($V$176:$V779,1)+1,0),""))</f>
        <v/>
      </c>
      <c r="W780" s="23" t="str">
        <f t="shared" si="223"/>
        <v/>
      </c>
      <c r="X780" s="22" t="str">
        <f t="shared" si="224"/>
        <v/>
      </c>
      <c r="Y780" s="22"/>
      <c r="Z780" s="22"/>
      <c r="AA780" s="22"/>
      <c r="AB780" s="22" t="str" cm="1">
        <f t="array" ref="AB780">IF(IF(AND($P779="",$P780=1),($N$37*-1),0)+IF(AND($Q779="",$Q780=1),($N$38*-1),0)+IF(IF(($K780-$N$48)&lt;1,0,IF(IF(INDEX($AD$176:$AD$905,($K780-$N$48))="",0,INDEX($AD$176:$AD$905,($K780-$N$48)))&gt;0,IF(INDEX($AD$176:$AD$905,($K780-$N$48))="",0,INDEX($AD$176:$AD$905,($K780-$N$48))),0))="",0,IF(($K780-$N$48)&lt;1,0,IF(IF(INDEX($AD$176:$AD$905,($K780-$N$48))="",0,INDEX($AD$176:$AD$905,($K780-$N$48)))&gt;0,IF(INDEX($AD$176:$AD$905,($K780-$N$48))="",0,INDEX($AD$176:$AD$905,($K780-$N$48))),0)))=0,"",IF(AND($P779="",$P780=1),($N$37*-1),0)+IF(AND($Q779="",$Q780=1),($N$38*-1),0)+IF(IF(($K780-$N$48)&lt;1,0,IF(IF(INDEX($AD$176:$AD$905,($K780-$N$48))="",0,INDEX($AD$176:$AD$905,($K780-$N$48)))&gt;0,IF(INDEX($AD$176:$AD$905,($K780-$N$48))="",0,INDEX($AD$176:$AD$905,($K780-$N$48))),0))="",0,IF(($K780-$N$48)&lt;1,0,IF(IF(INDEX($AD$176:$AD$905,($K780-$N$48))="",0,INDEX($AD$176:$AD$905,($K780-$N$48)))&gt;0,IF(INDEX($AD$176:$AD$905,($K780-$N$48))="",0,INDEX($AD$176:$AD$905,($K780-$N$48))),0))))</f>
        <v/>
      </c>
      <c r="AC780" s="22" t="str">
        <f t="shared" si="225"/>
        <v/>
      </c>
      <c r="AD780" s="22" t="str">
        <f t="shared" si="237"/>
        <v/>
      </c>
      <c r="AE780" s="22" t="str" cm="1">
        <f t="array" ref="AE780">IF(($K780-$N$48)&lt;1,"",IF((IF(INDEX($AC$176:$AC$905,($K780-$N$48))="",0,INDEX($AC$176:$AC$905,($K780-$N$48))))=0,"",(IF(INDEX($AC$176:$AC$905,($K780-$N$48))="",0,INDEX($AC$176:$AC$905,($K780-$N$48))))))</f>
        <v/>
      </c>
      <c r="AF780" s="31" t="str">
        <f t="shared" si="226"/>
        <v/>
      </c>
      <c r="AG780" s="31" t="str">
        <f t="shared" si="227"/>
        <v/>
      </c>
      <c r="AH780" s="31" t="str">
        <f t="shared" si="228"/>
        <v/>
      </c>
      <c r="AI780" s="31" t="str">
        <f t="shared" si="229"/>
        <v/>
      </c>
      <c r="AJ780" s="303" t="str">
        <f t="shared" si="230"/>
        <v/>
      </c>
      <c r="AK780" s="139" t="str">
        <f t="shared" si="231"/>
        <v/>
      </c>
      <c r="AM780" s="319"/>
      <c r="AN780" s="40"/>
      <c r="AO780" s="1"/>
    </row>
    <row r="781" spans="7:41" x14ac:dyDescent="0.25">
      <c r="G781" s="235" t="str">
        <f t="shared" si="217"/>
        <v/>
      </c>
      <c r="H781" s="4" t="str">
        <f t="shared" si="218"/>
        <v/>
      </c>
      <c r="I781" s="11" t="str">
        <f t="shared" si="219"/>
        <v>09.00</v>
      </c>
      <c r="K781" s="30">
        <v>606</v>
      </c>
      <c r="L781" s="29">
        <f t="shared" si="232"/>
        <v>11371.908376190917</v>
      </c>
      <c r="M781" s="28" t="str">
        <f t="shared" si="220"/>
        <v/>
      </c>
      <c r="N781" s="27" t="str">
        <f t="shared" si="233"/>
        <v/>
      </c>
      <c r="O781" s="26" t="str">
        <f>IF(AND($Q780=$O$38,IFERROR(LARGE($V$176:$V780,1)&lt;$N$42,TRUE)),1,IF(AND(ISNUMBER($O780),$O780&lt;$N$32),$O780+1,""))</f>
        <v/>
      </c>
      <c r="P781" s="26" t="str">
        <f t="shared" si="234"/>
        <v/>
      </c>
      <c r="Q781" s="26" t="str">
        <f t="shared" si="221"/>
        <v/>
      </c>
      <c r="R781" s="24" t="str">
        <f t="shared" si="235"/>
        <v/>
      </c>
      <c r="S781" s="180">
        <f t="shared" si="236"/>
        <v>9</v>
      </c>
      <c r="T781" s="151"/>
      <c r="U781" s="25" t="str">
        <f t="shared" si="222"/>
        <v/>
      </c>
      <c r="V781" s="24" t="str">
        <f>IF(AND(ISNUMBER(R780),ISNUMBER(R781)),V780,IF(AND(R780="",ISNUMBER(R781)),IFERROR(LARGE($V$176:$V780,1)+1,0),""))</f>
        <v/>
      </c>
      <c r="W781" s="23" t="str">
        <f t="shared" si="223"/>
        <v/>
      </c>
      <c r="X781" s="22" t="str">
        <f t="shared" si="224"/>
        <v/>
      </c>
      <c r="Y781" s="22"/>
      <c r="Z781" s="22"/>
      <c r="AA781" s="22"/>
      <c r="AB781" s="22" t="str" cm="1">
        <f t="array" ref="AB781">IF(IF(AND($P780="",$P781=1),($N$37*-1),0)+IF(AND($Q780="",$Q781=1),($N$38*-1),0)+IF(IF(($K781-$N$48)&lt;1,0,IF(IF(INDEX($AD$176:$AD$905,($K781-$N$48))="",0,INDEX($AD$176:$AD$905,($K781-$N$48)))&gt;0,IF(INDEX($AD$176:$AD$905,($K781-$N$48))="",0,INDEX($AD$176:$AD$905,($K781-$N$48))),0))="",0,IF(($K781-$N$48)&lt;1,0,IF(IF(INDEX($AD$176:$AD$905,($K781-$N$48))="",0,INDEX($AD$176:$AD$905,($K781-$N$48)))&gt;0,IF(INDEX($AD$176:$AD$905,($K781-$N$48))="",0,INDEX($AD$176:$AD$905,($K781-$N$48))),0)))=0,"",IF(AND($P780="",$P781=1),($N$37*-1),0)+IF(AND($Q780="",$Q781=1),($N$38*-1),0)+IF(IF(($K781-$N$48)&lt;1,0,IF(IF(INDEX($AD$176:$AD$905,($K781-$N$48))="",0,INDEX($AD$176:$AD$905,($K781-$N$48)))&gt;0,IF(INDEX($AD$176:$AD$905,($K781-$N$48))="",0,INDEX($AD$176:$AD$905,($K781-$N$48))),0))="",0,IF(($K781-$N$48)&lt;1,0,IF(IF(INDEX($AD$176:$AD$905,($K781-$N$48))="",0,INDEX($AD$176:$AD$905,($K781-$N$48)))&gt;0,IF(INDEX($AD$176:$AD$905,($K781-$N$48))="",0,INDEX($AD$176:$AD$905,($K781-$N$48))),0))))</f>
        <v/>
      </c>
      <c r="AC781" s="22" t="str">
        <f t="shared" si="225"/>
        <v/>
      </c>
      <c r="AD781" s="22" t="str">
        <f t="shared" si="237"/>
        <v/>
      </c>
      <c r="AE781" s="22" t="str" cm="1">
        <f t="array" ref="AE781">IF(($K781-$N$48)&lt;1,"",IF((IF(INDEX($AC$176:$AC$905,($K781-$N$48))="",0,INDEX($AC$176:$AC$905,($K781-$N$48))))=0,"",(IF(INDEX($AC$176:$AC$905,($K781-$N$48))="",0,INDEX($AC$176:$AC$905,($K781-$N$48))))))</f>
        <v/>
      </c>
      <c r="AF781" s="31" t="str">
        <f t="shared" si="226"/>
        <v/>
      </c>
      <c r="AG781" s="31" t="str">
        <f t="shared" si="227"/>
        <v/>
      </c>
      <c r="AH781" s="31" t="str">
        <f t="shared" si="228"/>
        <v/>
      </c>
      <c r="AI781" s="31" t="str">
        <f t="shared" si="229"/>
        <v/>
      </c>
      <c r="AJ781" s="303" t="str">
        <f t="shared" si="230"/>
        <v/>
      </c>
      <c r="AK781" s="139" t="str">
        <f t="shared" si="231"/>
        <v/>
      </c>
      <c r="AM781" s="319"/>
      <c r="AN781" s="40"/>
      <c r="AO781" s="1"/>
    </row>
    <row r="782" spans="7:41" x14ac:dyDescent="0.25">
      <c r="G782" s="235" t="str">
        <f t="shared" ref="G782:G845" si="238">IF(RIGHT(H782,2)=".N","NEW",IF(SUM(N782:R782)=0,"",LEFT(H782,5)))</f>
        <v/>
      </c>
      <c r="H782" s="4" t="str">
        <f t="shared" si="218"/>
        <v/>
      </c>
      <c r="I782" s="11" t="str">
        <f t="shared" si="219"/>
        <v>09.00</v>
      </c>
      <c r="K782" s="30">
        <v>607</v>
      </c>
      <c r="L782" s="29">
        <f t="shared" si="232"/>
        <v>11371.908376190917</v>
      </c>
      <c r="M782" s="28" t="str">
        <f t="shared" si="220"/>
        <v/>
      </c>
      <c r="N782" s="27" t="str">
        <f t="shared" si="233"/>
        <v/>
      </c>
      <c r="O782" s="26" t="str">
        <f>IF(AND($Q781=$O$38,IFERROR(LARGE($V$176:$V781,1)&lt;$N$42,TRUE)),1,IF(AND(ISNUMBER($O781),$O781&lt;$N$32),$O781+1,""))</f>
        <v/>
      </c>
      <c r="P782" s="26" t="str">
        <f t="shared" si="234"/>
        <v/>
      </c>
      <c r="Q782" s="26" t="str">
        <f t="shared" si="221"/>
        <v/>
      </c>
      <c r="R782" s="24" t="str">
        <f t="shared" si="235"/>
        <v/>
      </c>
      <c r="S782" s="180">
        <f t="shared" si="236"/>
        <v>9</v>
      </c>
      <c r="T782" s="151"/>
      <c r="U782" s="25" t="str">
        <f t="shared" si="222"/>
        <v/>
      </c>
      <c r="V782" s="24" t="str">
        <f>IF(AND(ISNUMBER(R781),ISNUMBER(R782)),V781,IF(AND(R781="",ISNUMBER(R782)),IFERROR(LARGE($V$176:$V781,1)+1,0),""))</f>
        <v/>
      </c>
      <c r="W782" s="23" t="str">
        <f t="shared" si="223"/>
        <v/>
      </c>
      <c r="X782" s="22" t="str">
        <f t="shared" si="224"/>
        <v/>
      </c>
      <c r="Y782" s="22"/>
      <c r="Z782" s="22"/>
      <c r="AA782" s="22"/>
      <c r="AB782" s="22" t="str" cm="1">
        <f t="array" ref="AB782">IF(IF(AND($P781="",$P782=1),($N$37*-1),0)+IF(AND($Q781="",$Q782=1),($N$38*-1),0)+IF(IF(($K782-$N$48)&lt;1,0,IF(IF(INDEX($AD$176:$AD$905,($K782-$N$48))="",0,INDEX($AD$176:$AD$905,($K782-$N$48)))&gt;0,IF(INDEX($AD$176:$AD$905,($K782-$N$48))="",0,INDEX($AD$176:$AD$905,($K782-$N$48))),0))="",0,IF(($K782-$N$48)&lt;1,0,IF(IF(INDEX($AD$176:$AD$905,($K782-$N$48))="",0,INDEX($AD$176:$AD$905,($K782-$N$48)))&gt;0,IF(INDEX($AD$176:$AD$905,($K782-$N$48))="",0,INDEX($AD$176:$AD$905,($K782-$N$48))),0)))=0,"",IF(AND($P781="",$P782=1),($N$37*-1),0)+IF(AND($Q781="",$Q782=1),($N$38*-1),0)+IF(IF(($K782-$N$48)&lt;1,0,IF(IF(INDEX($AD$176:$AD$905,($K782-$N$48))="",0,INDEX($AD$176:$AD$905,($K782-$N$48)))&gt;0,IF(INDEX($AD$176:$AD$905,($K782-$N$48))="",0,INDEX($AD$176:$AD$905,($K782-$N$48))),0))="",0,IF(($K782-$N$48)&lt;1,0,IF(IF(INDEX($AD$176:$AD$905,($K782-$N$48))="",0,INDEX($AD$176:$AD$905,($K782-$N$48)))&gt;0,IF(INDEX($AD$176:$AD$905,($K782-$N$48))="",0,INDEX($AD$176:$AD$905,($K782-$N$48))),0))))</f>
        <v/>
      </c>
      <c r="AC782" s="22" t="str">
        <f t="shared" si="225"/>
        <v/>
      </c>
      <c r="AD782" s="22" t="str">
        <f t="shared" si="237"/>
        <v/>
      </c>
      <c r="AE782" s="22" t="str" cm="1">
        <f t="array" ref="AE782">IF(($K782-$N$48)&lt;1,"",IF((IF(INDEX($AC$176:$AC$905,($K782-$N$48))="",0,INDEX($AC$176:$AC$905,($K782-$N$48))))=0,"",(IF(INDEX($AC$176:$AC$905,($K782-$N$48))="",0,INDEX($AC$176:$AC$905,($K782-$N$48))))))</f>
        <v/>
      </c>
      <c r="AF782" s="31" t="str">
        <f t="shared" si="226"/>
        <v/>
      </c>
      <c r="AG782" s="31" t="str">
        <f t="shared" si="227"/>
        <v/>
      </c>
      <c r="AH782" s="31" t="str">
        <f t="shared" si="228"/>
        <v/>
      </c>
      <c r="AI782" s="31" t="str">
        <f t="shared" si="229"/>
        <v/>
      </c>
      <c r="AJ782" s="303" t="str">
        <f t="shared" si="230"/>
        <v/>
      </c>
      <c r="AK782" s="139" t="str">
        <f t="shared" si="231"/>
        <v/>
      </c>
      <c r="AM782" s="319"/>
      <c r="AN782" s="40"/>
      <c r="AO782" s="1"/>
    </row>
    <row r="783" spans="7:41" x14ac:dyDescent="0.25">
      <c r="G783" s="235" t="str">
        <f t="shared" si="238"/>
        <v/>
      </c>
      <c r="H783" s="4" t="str">
        <f t="shared" ref="H783:H846" si="239">IF(SUM(N783:R783)&gt;0,CONCATENATE(IF(LEN(ROUNDDOWN(S783,0))=1,CONCATENATE("0",ROUNDDOWN(S783,0)),ROUNDDOWN(S783,0)),".",IF(LEN(ROUND(MOD(S783,1)*100,0))=1,CONCATENATE("0",ROUND(MOD(S783,1)*100,0)),ROUND(MOD(S783,1)*100,0)),IF(N783&lt;&gt;"",".N",IF(O783&lt;&gt;"",".R",IF(P783&lt;&gt;"",".O",IF(Q783&lt;&gt;"",".I",IF(R783&lt;&gt;"",".D","")))))),"")</f>
        <v/>
      </c>
      <c r="I783" s="11" t="str">
        <f t="shared" si="219"/>
        <v>09.00</v>
      </c>
      <c r="K783" s="30">
        <v>608</v>
      </c>
      <c r="L783" s="29">
        <f t="shared" si="232"/>
        <v>11371.908376190917</v>
      </c>
      <c r="M783" s="28" t="str">
        <f t="shared" si="220"/>
        <v/>
      </c>
      <c r="N783" s="27" t="str">
        <f t="shared" si="233"/>
        <v/>
      </c>
      <c r="O783" s="26" t="str">
        <f>IF(AND($Q782=$O$38,IFERROR(LARGE($V$176:$V782,1)&lt;$N$42,TRUE)),1,IF(AND(ISNUMBER($O782),$O782&lt;$N$32),$O782+1,""))</f>
        <v/>
      </c>
      <c r="P783" s="26" t="str">
        <f t="shared" si="234"/>
        <v/>
      </c>
      <c r="Q783" s="26" t="str">
        <f t="shared" si="221"/>
        <v/>
      </c>
      <c r="R783" s="24" t="str">
        <f t="shared" si="235"/>
        <v/>
      </c>
      <c r="S783" s="180">
        <f t="shared" si="236"/>
        <v>9</v>
      </c>
      <c r="T783" s="151"/>
      <c r="U783" s="25" t="str">
        <f t="shared" si="222"/>
        <v/>
      </c>
      <c r="V783" s="24" t="str">
        <f>IF(AND(ISNUMBER(R782),ISNUMBER(R783)),V782,IF(AND(R782="",ISNUMBER(R783)),IFERROR(LARGE($V$176:$V782,1)+1,0),""))</f>
        <v/>
      </c>
      <c r="W783" s="23" t="str">
        <f t="shared" si="223"/>
        <v/>
      </c>
      <c r="X783" s="22" t="str">
        <f t="shared" si="224"/>
        <v/>
      </c>
      <c r="Y783" s="22"/>
      <c r="Z783" s="22"/>
      <c r="AA783" s="22"/>
      <c r="AB783" s="22" t="str" cm="1">
        <f t="array" ref="AB783">IF(IF(AND($P782="",$P783=1),($N$37*-1),0)+IF(AND($Q782="",$Q783=1),($N$38*-1),0)+IF(IF(($K783-$N$48)&lt;1,0,IF(IF(INDEX($AD$176:$AD$905,($K783-$N$48))="",0,INDEX($AD$176:$AD$905,($K783-$N$48)))&gt;0,IF(INDEX($AD$176:$AD$905,($K783-$N$48))="",0,INDEX($AD$176:$AD$905,($K783-$N$48))),0))="",0,IF(($K783-$N$48)&lt;1,0,IF(IF(INDEX($AD$176:$AD$905,($K783-$N$48))="",0,INDEX($AD$176:$AD$905,($K783-$N$48)))&gt;0,IF(INDEX($AD$176:$AD$905,($K783-$N$48))="",0,INDEX($AD$176:$AD$905,($K783-$N$48))),0)))=0,"",IF(AND($P782="",$P783=1),($N$37*-1),0)+IF(AND($Q782="",$Q783=1),($N$38*-1),0)+IF(IF(($K783-$N$48)&lt;1,0,IF(IF(INDEX($AD$176:$AD$905,($K783-$N$48))="",0,INDEX($AD$176:$AD$905,($K783-$N$48)))&gt;0,IF(INDEX($AD$176:$AD$905,($K783-$N$48))="",0,INDEX($AD$176:$AD$905,($K783-$N$48))),0))="",0,IF(($K783-$N$48)&lt;1,0,IF(IF(INDEX($AD$176:$AD$905,($K783-$N$48))="",0,INDEX($AD$176:$AD$905,($K783-$N$48)))&gt;0,IF(INDEX($AD$176:$AD$905,($K783-$N$48))="",0,INDEX($AD$176:$AD$905,($K783-$N$48))),0))))</f>
        <v/>
      </c>
      <c r="AC783" s="22" t="str">
        <f t="shared" si="225"/>
        <v/>
      </c>
      <c r="AD783" s="22" t="str">
        <f t="shared" si="237"/>
        <v/>
      </c>
      <c r="AE783" s="22" t="str" cm="1">
        <f t="array" ref="AE783">IF(($K783-$N$48)&lt;1,"",IF((IF(INDEX($AC$176:$AC$905,($K783-$N$48))="",0,INDEX($AC$176:$AC$905,($K783-$N$48))))=0,"",(IF(INDEX($AC$176:$AC$905,($K783-$N$48))="",0,INDEX($AC$176:$AC$905,($K783-$N$48))))))</f>
        <v/>
      </c>
      <c r="AF783" s="31" t="str">
        <f t="shared" si="226"/>
        <v/>
      </c>
      <c r="AG783" s="31" t="str">
        <f t="shared" si="227"/>
        <v/>
      </c>
      <c r="AH783" s="31" t="str">
        <f t="shared" si="228"/>
        <v/>
      </c>
      <c r="AI783" s="31" t="str">
        <f t="shared" si="229"/>
        <v/>
      </c>
      <c r="AJ783" s="303" t="str">
        <f t="shared" si="230"/>
        <v/>
      </c>
      <c r="AK783" s="139" t="str">
        <f t="shared" si="231"/>
        <v/>
      </c>
      <c r="AM783" s="319"/>
      <c r="AN783" s="40"/>
      <c r="AO783" s="1"/>
    </row>
    <row r="784" spans="7:41" x14ac:dyDescent="0.25">
      <c r="G784" s="235" t="str">
        <f t="shared" si="238"/>
        <v/>
      </c>
      <c r="H784" s="4" t="str">
        <f t="shared" si="239"/>
        <v/>
      </c>
      <c r="I784" s="11" t="str">
        <f t="shared" si="219"/>
        <v>09.00</v>
      </c>
      <c r="K784" s="30">
        <v>609</v>
      </c>
      <c r="L784" s="29">
        <f t="shared" si="232"/>
        <v>11371.908376190917</v>
      </c>
      <c r="M784" s="28" t="str">
        <f t="shared" si="220"/>
        <v/>
      </c>
      <c r="N784" s="27" t="str">
        <f t="shared" si="233"/>
        <v/>
      </c>
      <c r="O784" s="26" t="str">
        <f>IF(AND($Q783=$O$38,IFERROR(LARGE($V$176:$V783,1)&lt;$N$42,TRUE)),1,IF(AND(ISNUMBER($O783),$O783&lt;$N$32),$O783+1,""))</f>
        <v/>
      </c>
      <c r="P784" s="26" t="str">
        <f t="shared" si="234"/>
        <v/>
      </c>
      <c r="Q784" s="26" t="str">
        <f t="shared" si="221"/>
        <v/>
      </c>
      <c r="R784" s="24" t="str">
        <f t="shared" si="235"/>
        <v/>
      </c>
      <c r="S784" s="180">
        <f t="shared" si="236"/>
        <v>9</v>
      </c>
      <c r="T784" s="151"/>
      <c r="U784" s="25" t="str">
        <f t="shared" si="222"/>
        <v/>
      </c>
      <c r="V784" s="24" t="str">
        <f>IF(AND(ISNUMBER(R783),ISNUMBER(R784)),V783,IF(AND(R783="",ISNUMBER(R784)),IFERROR(LARGE($V$176:$V783,1)+1,0),""))</f>
        <v/>
      </c>
      <c r="W784" s="23" t="str">
        <f t="shared" si="223"/>
        <v/>
      </c>
      <c r="X784" s="22" t="str">
        <f t="shared" si="224"/>
        <v/>
      </c>
      <c r="Y784" s="22"/>
      <c r="Z784" s="22"/>
      <c r="AA784" s="22"/>
      <c r="AB784" s="22" t="str" cm="1">
        <f t="array" ref="AB784">IF(IF(AND($P783="",$P784=1),($N$37*-1),0)+IF(AND($Q783="",$Q784=1),($N$38*-1),0)+IF(IF(($K784-$N$48)&lt;1,0,IF(IF(INDEX($AD$176:$AD$905,($K784-$N$48))="",0,INDEX($AD$176:$AD$905,($K784-$N$48)))&gt;0,IF(INDEX($AD$176:$AD$905,($K784-$N$48))="",0,INDEX($AD$176:$AD$905,($K784-$N$48))),0))="",0,IF(($K784-$N$48)&lt;1,0,IF(IF(INDEX($AD$176:$AD$905,($K784-$N$48))="",0,INDEX($AD$176:$AD$905,($K784-$N$48)))&gt;0,IF(INDEX($AD$176:$AD$905,($K784-$N$48))="",0,INDEX($AD$176:$AD$905,($K784-$N$48))),0)))=0,"",IF(AND($P783="",$P784=1),($N$37*-1),0)+IF(AND($Q783="",$Q784=1),($N$38*-1),0)+IF(IF(($K784-$N$48)&lt;1,0,IF(IF(INDEX($AD$176:$AD$905,($K784-$N$48))="",0,INDEX($AD$176:$AD$905,($K784-$N$48)))&gt;0,IF(INDEX($AD$176:$AD$905,($K784-$N$48))="",0,INDEX($AD$176:$AD$905,($K784-$N$48))),0))="",0,IF(($K784-$N$48)&lt;1,0,IF(IF(INDEX($AD$176:$AD$905,($K784-$N$48))="",0,INDEX($AD$176:$AD$905,($K784-$N$48)))&gt;0,IF(INDEX($AD$176:$AD$905,($K784-$N$48))="",0,INDEX($AD$176:$AD$905,($K784-$N$48))),0))))</f>
        <v/>
      </c>
      <c r="AC784" s="22" t="str">
        <f t="shared" si="225"/>
        <v/>
      </c>
      <c r="AD784" s="22" t="str">
        <f t="shared" si="237"/>
        <v/>
      </c>
      <c r="AE784" s="22" t="str" cm="1">
        <f t="array" ref="AE784">IF(($K784-$N$48)&lt;1,"",IF((IF(INDEX($AC$176:$AC$905,($K784-$N$48))="",0,INDEX($AC$176:$AC$905,($K784-$N$48))))=0,"",(IF(INDEX($AC$176:$AC$905,($K784-$N$48))="",0,INDEX($AC$176:$AC$905,($K784-$N$48))))))</f>
        <v/>
      </c>
      <c r="AF784" s="31" t="str">
        <f t="shared" si="226"/>
        <v/>
      </c>
      <c r="AG784" s="31" t="str">
        <f t="shared" si="227"/>
        <v/>
      </c>
      <c r="AH784" s="31" t="str">
        <f t="shared" si="228"/>
        <v/>
      </c>
      <c r="AI784" s="31" t="str">
        <f t="shared" si="229"/>
        <v/>
      </c>
      <c r="AJ784" s="303" t="str">
        <f t="shared" si="230"/>
        <v/>
      </c>
      <c r="AK784" s="139" t="str">
        <f t="shared" si="231"/>
        <v/>
      </c>
      <c r="AM784" s="319"/>
      <c r="AN784" s="40"/>
      <c r="AO784" s="1"/>
    </row>
    <row r="785" spans="7:41" x14ac:dyDescent="0.25">
      <c r="G785" s="235" t="str">
        <f t="shared" si="238"/>
        <v/>
      </c>
      <c r="H785" s="4" t="str">
        <f t="shared" si="239"/>
        <v/>
      </c>
      <c r="I785" s="11" t="str">
        <f t="shared" si="219"/>
        <v>09.00</v>
      </c>
      <c r="K785" s="30">
        <v>610</v>
      </c>
      <c r="L785" s="29">
        <f t="shared" si="232"/>
        <v>11371.908376190917</v>
      </c>
      <c r="M785" s="28" t="str">
        <f t="shared" si="220"/>
        <v/>
      </c>
      <c r="N785" s="27" t="str">
        <f t="shared" si="233"/>
        <v/>
      </c>
      <c r="O785" s="26" t="str">
        <f>IF(AND($Q784=$O$38,IFERROR(LARGE($V$176:$V784,1)&lt;$N$42,TRUE)),1,IF(AND(ISNUMBER($O784),$O784&lt;$N$32),$O784+1,""))</f>
        <v/>
      </c>
      <c r="P785" s="26" t="str">
        <f t="shared" si="234"/>
        <v/>
      </c>
      <c r="Q785" s="26" t="str">
        <f t="shared" si="221"/>
        <v/>
      </c>
      <c r="R785" s="24" t="str">
        <f t="shared" si="235"/>
        <v/>
      </c>
      <c r="S785" s="180">
        <f t="shared" si="236"/>
        <v>9</v>
      </c>
      <c r="T785" s="151"/>
      <c r="U785" s="25" t="str">
        <f t="shared" si="222"/>
        <v/>
      </c>
      <c r="V785" s="24" t="str">
        <f>IF(AND(ISNUMBER(R784),ISNUMBER(R785)),V784,IF(AND(R784="",ISNUMBER(R785)),IFERROR(LARGE($V$176:$V784,1)+1,0),""))</f>
        <v/>
      </c>
      <c r="W785" s="23" t="str">
        <f t="shared" si="223"/>
        <v/>
      </c>
      <c r="X785" s="22" t="str">
        <f t="shared" si="224"/>
        <v/>
      </c>
      <c r="Y785" s="22"/>
      <c r="Z785" s="22"/>
      <c r="AA785" s="22"/>
      <c r="AB785" s="22" t="str" cm="1">
        <f t="array" ref="AB785">IF(IF(AND($P784="",$P785=1),($N$37*-1),0)+IF(AND($Q784="",$Q785=1),($N$38*-1),0)+IF(IF(($K785-$N$48)&lt;1,0,IF(IF(INDEX($AD$176:$AD$905,($K785-$N$48))="",0,INDEX($AD$176:$AD$905,($K785-$N$48)))&gt;0,IF(INDEX($AD$176:$AD$905,($K785-$N$48))="",0,INDEX($AD$176:$AD$905,($K785-$N$48))),0))="",0,IF(($K785-$N$48)&lt;1,0,IF(IF(INDEX($AD$176:$AD$905,($K785-$N$48))="",0,INDEX($AD$176:$AD$905,($K785-$N$48)))&gt;0,IF(INDEX($AD$176:$AD$905,($K785-$N$48))="",0,INDEX($AD$176:$AD$905,($K785-$N$48))),0)))=0,"",IF(AND($P784="",$P785=1),($N$37*-1),0)+IF(AND($Q784="",$Q785=1),($N$38*-1),0)+IF(IF(($K785-$N$48)&lt;1,0,IF(IF(INDEX($AD$176:$AD$905,($K785-$N$48))="",0,INDEX($AD$176:$AD$905,($K785-$N$48)))&gt;0,IF(INDEX($AD$176:$AD$905,($K785-$N$48))="",0,INDEX($AD$176:$AD$905,($K785-$N$48))),0))="",0,IF(($K785-$N$48)&lt;1,0,IF(IF(INDEX($AD$176:$AD$905,($K785-$N$48))="",0,INDEX($AD$176:$AD$905,($K785-$N$48)))&gt;0,IF(INDEX($AD$176:$AD$905,($K785-$N$48))="",0,INDEX($AD$176:$AD$905,($K785-$N$48))),0))))</f>
        <v/>
      </c>
      <c r="AC785" s="22" t="str">
        <f t="shared" si="225"/>
        <v/>
      </c>
      <c r="AD785" s="22" t="str">
        <f t="shared" si="237"/>
        <v/>
      </c>
      <c r="AE785" s="22" t="str" cm="1">
        <f t="array" ref="AE785">IF(($K785-$N$48)&lt;1,"",IF((IF(INDEX($AC$176:$AC$905,($K785-$N$48))="",0,INDEX($AC$176:$AC$905,($K785-$N$48))))=0,"",(IF(INDEX($AC$176:$AC$905,($K785-$N$48))="",0,INDEX($AC$176:$AC$905,($K785-$N$48))))))</f>
        <v/>
      </c>
      <c r="AF785" s="31" t="str">
        <f t="shared" si="226"/>
        <v/>
      </c>
      <c r="AG785" s="31" t="str">
        <f t="shared" si="227"/>
        <v/>
      </c>
      <c r="AH785" s="31" t="str">
        <f t="shared" si="228"/>
        <v/>
      </c>
      <c r="AI785" s="31" t="str">
        <f t="shared" si="229"/>
        <v/>
      </c>
      <c r="AJ785" s="303" t="str">
        <f t="shared" si="230"/>
        <v/>
      </c>
      <c r="AK785" s="139" t="str">
        <f t="shared" si="231"/>
        <v/>
      </c>
      <c r="AM785" s="319"/>
      <c r="AN785" s="40"/>
      <c r="AO785" s="1"/>
    </row>
    <row r="786" spans="7:41" x14ac:dyDescent="0.25">
      <c r="G786" s="235" t="str">
        <f t="shared" si="238"/>
        <v/>
      </c>
      <c r="H786" s="4" t="str">
        <f t="shared" si="239"/>
        <v/>
      </c>
      <c r="I786" s="11" t="str">
        <f t="shared" si="219"/>
        <v>09.00</v>
      </c>
      <c r="K786" s="30">
        <v>611</v>
      </c>
      <c r="L786" s="29">
        <f t="shared" si="232"/>
        <v>11371.908376190917</v>
      </c>
      <c r="M786" s="28" t="str">
        <f t="shared" si="220"/>
        <v/>
      </c>
      <c r="N786" s="27" t="str">
        <f t="shared" si="233"/>
        <v/>
      </c>
      <c r="O786" s="26" t="str">
        <f>IF(AND($Q785=$O$38,IFERROR(LARGE($V$176:$V785,1)&lt;$N$42,TRUE)),1,IF(AND(ISNUMBER($O785),$O785&lt;$N$32),$O785+1,""))</f>
        <v/>
      </c>
      <c r="P786" s="26" t="str">
        <f t="shared" si="234"/>
        <v/>
      </c>
      <c r="Q786" s="26" t="str">
        <f t="shared" si="221"/>
        <v/>
      </c>
      <c r="R786" s="24" t="str">
        <f t="shared" si="235"/>
        <v/>
      </c>
      <c r="S786" s="180">
        <f t="shared" si="236"/>
        <v>9</v>
      </c>
      <c r="T786" s="151"/>
      <c r="U786" s="25" t="str">
        <f t="shared" si="222"/>
        <v/>
      </c>
      <c r="V786" s="24" t="str">
        <f>IF(AND(ISNUMBER(R785),ISNUMBER(R786)),V785,IF(AND(R785="",ISNUMBER(R786)),IFERROR(LARGE($V$176:$V785,1)+1,0),""))</f>
        <v/>
      </c>
      <c r="W786" s="23" t="str">
        <f t="shared" si="223"/>
        <v/>
      </c>
      <c r="X786" s="22" t="str">
        <f t="shared" si="224"/>
        <v/>
      </c>
      <c r="Y786" s="22"/>
      <c r="Z786" s="22"/>
      <c r="AA786" s="22"/>
      <c r="AB786" s="22" t="str" cm="1">
        <f t="array" ref="AB786">IF(IF(AND($P785="",$P786=1),($N$37*-1),0)+IF(AND($Q785="",$Q786=1),($N$38*-1),0)+IF(IF(($K786-$N$48)&lt;1,0,IF(IF(INDEX($AD$176:$AD$905,($K786-$N$48))="",0,INDEX($AD$176:$AD$905,($K786-$N$48)))&gt;0,IF(INDEX($AD$176:$AD$905,($K786-$N$48))="",0,INDEX($AD$176:$AD$905,($K786-$N$48))),0))="",0,IF(($K786-$N$48)&lt;1,0,IF(IF(INDEX($AD$176:$AD$905,($K786-$N$48))="",0,INDEX($AD$176:$AD$905,($K786-$N$48)))&gt;0,IF(INDEX($AD$176:$AD$905,($K786-$N$48))="",0,INDEX($AD$176:$AD$905,($K786-$N$48))),0)))=0,"",IF(AND($P785="",$P786=1),($N$37*-1),0)+IF(AND($Q785="",$Q786=1),($N$38*-1),0)+IF(IF(($K786-$N$48)&lt;1,0,IF(IF(INDEX($AD$176:$AD$905,($K786-$N$48))="",0,INDEX($AD$176:$AD$905,($K786-$N$48)))&gt;0,IF(INDEX($AD$176:$AD$905,($K786-$N$48))="",0,INDEX($AD$176:$AD$905,($K786-$N$48))),0))="",0,IF(($K786-$N$48)&lt;1,0,IF(IF(INDEX($AD$176:$AD$905,($K786-$N$48))="",0,INDEX($AD$176:$AD$905,($K786-$N$48)))&gt;0,IF(INDEX($AD$176:$AD$905,($K786-$N$48))="",0,INDEX($AD$176:$AD$905,($K786-$N$48))),0))))</f>
        <v/>
      </c>
      <c r="AC786" s="22" t="str">
        <f t="shared" si="225"/>
        <v/>
      </c>
      <c r="AD786" s="22" t="str">
        <f t="shared" si="237"/>
        <v/>
      </c>
      <c r="AE786" s="22" t="str" cm="1">
        <f t="array" ref="AE786">IF(($K786-$N$48)&lt;1,"",IF((IF(INDEX($AC$176:$AC$905,($K786-$N$48))="",0,INDEX($AC$176:$AC$905,($K786-$N$48))))=0,"",(IF(INDEX($AC$176:$AC$905,($K786-$N$48))="",0,INDEX($AC$176:$AC$905,($K786-$N$48))))))</f>
        <v/>
      </c>
      <c r="AF786" s="31" t="str">
        <f t="shared" si="226"/>
        <v/>
      </c>
      <c r="AG786" s="31" t="str">
        <f t="shared" si="227"/>
        <v/>
      </c>
      <c r="AH786" s="31" t="str">
        <f t="shared" si="228"/>
        <v/>
      </c>
      <c r="AI786" s="31" t="str">
        <f t="shared" si="229"/>
        <v/>
      </c>
      <c r="AJ786" s="303" t="str">
        <f t="shared" si="230"/>
        <v/>
      </c>
      <c r="AK786" s="139" t="str">
        <f t="shared" si="231"/>
        <v/>
      </c>
      <c r="AM786" s="319"/>
      <c r="AN786" s="40"/>
      <c r="AO786" s="1"/>
    </row>
    <row r="787" spans="7:41" x14ac:dyDescent="0.25">
      <c r="G787" s="235" t="str">
        <f t="shared" si="238"/>
        <v/>
      </c>
      <c r="H787" s="4" t="str">
        <f t="shared" si="239"/>
        <v/>
      </c>
      <c r="I787" s="11" t="str">
        <f t="shared" si="219"/>
        <v>09.00</v>
      </c>
      <c r="K787" s="30">
        <v>612</v>
      </c>
      <c r="L787" s="29">
        <f t="shared" si="232"/>
        <v>11371.908376190917</v>
      </c>
      <c r="M787" s="28" t="str">
        <f t="shared" si="220"/>
        <v/>
      </c>
      <c r="N787" s="27" t="str">
        <f t="shared" si="233"/>
        <v/>
      </c>
      <c r="O787" s="26" t="str">
        <f>IF(AND($Q786=$O$38,IFERROR(LARGE($V$176:$V786,1)&lt;$N$42,TRUE)),1,IF(AND(ISNUMBER($O786),$O786&lt;$N$32),$O786+1,""))</f>
        <v/>
      </c>
      <c r="P787" s="26" t="str">
        <f t="shared" si="234"/>
        <v/>
      </c>
      <c r="Q787" s="26" t="str">
        <f t="shared" si="221"/>
        <v/>
      </c>
      <c r="R787" s="24" t="str">
        <f t="shared" si="235"/>
        <v/>
      </c>
      <c r="S787" s="180">
        <f t="shared" si="236"/>
        <v>9</v>
      </c>
      <c r="T787" s="151"/>
      <c r="U787" s="25" t="str">
        <f t="shared" si="222"/>
        <v/>
      </c>
      <c r="V787" s="24" t="str">
        <f>IF(AND(ISNUMBER(R786),ISNUMBER(R787)),V786,IF(AND(R786="",ISNUMBER(R787)),IFERROR(LARGE($V$176:$V786,1)+1,0),""))</f>
        <v/>
      </c>
      <c r="W787" s="23" t="str">
        <f t="shared" si="223"/>
        <v/>
      </c>
      <c r="X787" s="22" t="str">
        <f t="shared" si="224"/>
        <v/>
      </c>
      <c r="Y787" s="22"/>
      <c r="Z787" s="22"/>
      <c r="AA787" s="22"/>
      <c r="AB787" s="22" t="str" cm="1">
        <f t="array" ref="AB787">IF(IF(AND($P786="",$P787=1),($N$37*-1),0)+IF(AND($Q786="",$Q787=1),($N$38*-1),0)+IF(IF(($K787-$N$48)&lt;1,0,IF(IF(INDEX($AD$176:$AD$905,($K787-$N$48))="",0,INDEX($AD$176:$AD$905,($K787-$N$48)))&gt;0,IF(INDEX($AD$176:$AD$905,($K787-$N$48))="",0,INDEX($AD$176:$AD$905,($K787-$N$48))),0))="",0,IF(($K787-$N$48)&lt;1,0,IF(IF(INDEX($AD$176:$AD$905,($K787-$N$48))="",0,INDEX($AD$176:$AD$905,($K787-$N$48)))&gt;0,IF(INDEX($AD$176:$AD$905,($K787-$N$48))="",0,INDEX($AD$176:$AD$905,($K787-$N$48))),0)))=0,"",IF(AND($P786="",$P787=1),($N$37*-1),0)+IF(AND($Q786="",$Q787=1),($N$38*-1),0)+IF(IF(($K787-$N$48)&lt;1,0,IF(IF(INDEX($AD$176:$AD$905,($K787-$N$48))="",0,INDEX($AD$176:$AD$905,($K787-$N$48)))&gt;0,IF(INDEX($AD$176:$AD$905,($K787-$N$48))="",0,INDEX($AD$176:$AD$905,($K787-$N$48))),0))="",0,IF(($K787-$N$48)&lt;1,0,IF(IF(INDEX($AD$176:$AD$905,($K787-$N$48))="",0,INDEX($AD$176:$AD$905,($K787-$N$48)))&gt;0,IF(INDEX($AD$176:$AD$905,($K787-$N$48))="",0,INDEX($AD$176:$AD$905,($K787-$N$48))),0))))</f>
        <v/>
      </c>
      <c r="AC787" s="22" t="str">
        <f t="shared" si="225"/>
        <v/>
      </c>
      <c r="AD787" s="22" t="str">
        <f t="shared" si="237"/>
        <v/>
      </c>
      <c r="AE787" s="22" t="str" cm="1">
        <f t="array" ref="AE787">IF(($K787-$N$48)&lt;1,"",IF((IF(INDEX($AC$176:$AC$905,($K787-$N$48))="",0,INDEX($AC$176:$AC$905,($K787-$N$48))))=0,"",(IF(INDEX($AC$176:$AC$905,($K787-$N$48))="",0,INDEX($AC$176:$AC$905,($K787-$N$48))))))</f>
        <v/>
      </c>
      <c r="AF787" s="31" t="str">
        <f t="shared" si="226"/>
        <v/>
      </c>
      <c r="AG787" s="31" t="str">
        <f t="shared" si="227"/>
        <v/>
      </c>
      <c r="AH787" s="31" t="str">
        <f t="shared" si="228"/>
        <v/>
      </c>
      <c r="AI787" s="31" t="str">
        <f t="shared" si="229"/>
        <v/>
      </c>
      <c r="AJ787" s="303" t="str">
        <f t="shared" si="230"/>
        <v/>
      </c>
      <c r="AK787" s="139" t="str">
        <f t="shared" si="231"/>
        <v/>
      </c>
      <c r="AM787" s="319"/>
      <c r="AN787" s="40"/>
      <c r="AO787" s="1"/>
    </row>
    <row r="788" spans="7:41" x14ac:dyDescent="0.25">
      <c r="G788" s="235" t="str">
        <f t="shared" si="238"/>
        <v/>
      </c>
      <c r="H788" s="4" t="str">
        <f t="shared" si="239"/>
        <v/>
      </c>
      <c r="I788" s="11" t="str">
        <f t="shared" si="219"/>
        <v>09.00</v>
      </c>
      <c r="K788" s="30">
        <v>613</v>
      </c>
      <c r="L788" s="29">
        <f t="shared" si="232"/>
        <v>11371.908376190917</v>
      </c>
      <c r="M788" s="28" t="str">
        <f t="shared" si="220"/>
        <v/>
      </c>
      <c r="N788" s="27" t="str">
        <f t="shared" si="233"/>
        <v/>
      </c>
      <c r="O788" s="26" t="str">
        <f>IF(AND($Q787=$O$38,IFERROR(LARGE($V$176:$V787,1)&lt;$N$42,TRUE)),1,IF(AND(ISNUMBER($O787),$O787&lt;$N$32),$O787+1,""))</f>
        <v/>
      </c>
      <c r="P788" s="26" t="str">
        <f t="shared" si="234"/>
        <v/>
      </c>
      <c r="Q788" s="26" t="str">
        <f t="shared" si="221"/>
        <v/>
      </c>
      <c r="R788" s="24" t="str">
        <f t="shared" si="235"/>
        <v/>
      </c>
      <c r="S788" s="180">
        <f t="shared" si="236"/>
        <v>9</v>
      </c>
      <c r="T788" s="151"/>
      <c r="U788" s="25" t="str">
        <f t="shared" si="222"/>
        <v/>
      </c>
      <c r="V788" s="24" t="str">
        <f>IF(AND(ISNUMBER(R787),ISNUMBER(R788)),V787,IF(AND(R787="",ISNUMBER(R788)),IFERROR(LARGE($V$176:$V787,1)+1,0),""))</f>
        <v/>
      </c>
      <c r="W788" s="23" t="str">
        <f t="shared" si="223"/>
        <v/>
      </c>
      <c r="X788" s="22" t="str">
        <f t="shared" si="224"/>
        <v/>
      </c>
      <c r="Y788" s="22"/>
      <c r="Z788" s="22"/>
      <c r="AA788" s="22"/>
      <c r="AB788" s="22" t="str" cm="1">
        <f t="array" ref="AB788">IF(IF(AND($P787="",$P788=1),($N$37*-1),0)+IF(AND($Q787="",$Q788=1),($N$38*-1),0)+IF(IF(($K788-$N$48)&lt;1,0,IF(IF(INDEX($AD$176:$AD$905,($K788-$N$48))="",0,INDEX($AD$176:$AD$905,($K788-$N$48)))&gt;0,IF(INDEX($AD$176:$AD$905,($K788-$N$48))="",0,INDEX($AD$176:$AD$905,($K788-$N$48))),0))="",0,IF(($K788-$N$48)&lt;1,0,IF(IF(INDEX($AD$176:$AD$905,($K788-$N$48))="",0,INDEX($AD$176:$AD$905,($K788-$N$48)))&gt;0,IF(INDEX($AD$176:$AD$905,($K788-$N$48))="",0,INDEX($AD$176:$AD$905,($K788-$N$48))),0)))=0,"",IF(AND($P787="",$P788=1),($N$37*-1),0)+IF(AND($Q787="",$Q788=1),($N$38*-1),0)+IF(IF(($K788-$N$48)&lt;1,0,IF(IF(INDEX($AD$176:$AD$905,($K788-$N$48))="",0,INDEX($AD$176:$AD$905,($K788-$N$48)))&gt;0,IF(INDEX($AD$176:$AD$905,($K788-$N$48))="",0,INDEX($AD$176:$AD$905,($K788-$N$48))),0))="",0,IF(($K788-$N$48)&lt;1,0,IF(IF(INDEX($AD$176:$AD$905,($K788-$N$48))="",0,INDEX($AD$176:$AD$905,($K788-$N$48)))&gt;0,IF(INDEX($AD$176:$AD$905,($K788-$N$48))="",0,INDEX($AD$176:$AD$905,($K788-$N$48))),0))))</f>
        <v/>
      </c>
      <c r="AC788" s="22" t="str">
        <f t="shared" si="225"/>
        <v/>
      </c>
      <c r="AD788" s="22" t="str">
        <f t="shared" si="237"/>
        <v/>
      </c>
      <c r="AE788" s="22" t="str" cm="1">
        <f t="array" ref="AE788">IF(($K788-$N$48)&lt;1,"",IF((IF(INDEX($AC$176:$AC$905,($K788-$N$48))="",0,INDEX($AC$176:$AC$905,($K788-$N$48))))=0,"",(IF(INDEX($AC$176:$AC$905,($K788-$N$48))="",0,INDEX($AC$176:$AC$905,($K788-$N$48))))))</f>
        <v/>
      </c>
      <c r="AF788" s="31" t="str">
        <f t="shared" si="226"/>
        <v/>
      </c>
      <c r="AG788" s="31" t="str">
        <f t="shared" si="227"/>
        <v/>
      </c>
      <c r="AH788" s="31" t="str">
        <f t="shared" si="228"/>
        <v/>
      </c>
      <c r="AI788" s="31" t="str">
        <f t="shared" si="229"/>
        <v/>
      </c>
      <c r="AJ788" s="303" t="str">
        <f t="shared" si="230"/>
        <v/>
      </c>
      <c r="AK788" s="139" t="str">
        <f t="shared" si="231"/>
        <v/>
      </c>
      <c r="AM788" s="319"/>
      <c r="AN788" s="40"/>
      <c r="AO788" s="1"/>
    </row>
    <row r="789" spans="7:41" x14ac:dyDescent="0.25">
      <c r="G789" s="235" t="str">
        <f t="shared" si="238"/>
        <v/>
      </c>
      <c r="H789" s="4" t="str">
        <f t="shared" si="239"/>
        <v/>
      </c>
      <c r="I789" s="11" t="str">
        <f t="shared" si="219"/>
        <v>09.00</v>
      </c>
      <c r="K789" s="30">
        <v>614</v>
      </c>
      <c r="L789" s="29">
        <f t="shared" si="232"/>
        <v>11371.908376190917</v>
      </c>
      <c r="M789" s="28" t="str">
        <f t="shared" si="220"/>
        <v/>
      </c>
      <c r="N789" s="27" t="str">
        <f t="shared" si="233"/>
        <v/>
      </c>
      <c r="O789" s="26" t="str">
        <f>IF(AND($Q788=$O$38,IFERROR(LARGE($V$176:$V788,1)&lt;$N$42,TRUE)),1,IF(AND(ISNUMBER($O788),$O788&lt;$N$32),$O788+1,""))</f>
        <v/>
      </c>
      <c r="P789" s="26" t="str">
        <f t="shared" si="234"/>
        <v/>
      </c>
      <c r="Q789" s="26" t="str">
        <f t="shared" si="221"/>
        <v/>
      </c>
      <c r="R789" s="24" t="str">
        <f t="shared" si="235"/>
        <v/>
      </c>
      <c r="S789" s="180">
        <f t="shared" si="236"/>
        <v>9</v>
      </c>
      <c r="T789" s="151"/>
      <c r="U789" s="25" t="str">
        <f t="shared" si="222"/>
        <v/>
      </c>
      <c r="V789" s="24" t="str">
        <f>IF(AND(ISNUMBER(R788),ISNUMBER(R789)),V788,IF(AND(R788="",ISNUMBER(R789)),IFERROR(LARGE($V$176:$V788,1)+1,0),""))</f>
        <v/>
      </c>
      <c r="W789" s="23" t="str">
        <f t="shared" si="223"/>
        <v/>
      </c>
      <c r="X789" s="22" t="str">
        <f t="shared" si="224"/>
        <v/>
      </c>
      <c r="Y789" s="22"/>
      <c r="Z789" s="22"/>
      <c r="AA789" s="22"/>
      <c r="AB789" s="22" t="str" cm="1">
        <f t="array" ref="AB789">IF(IF(AND($P788="",$P789=1),($N$37*-1),0)+IF(AND($Q788="",$Q789=1),($N$38*-1),0)+IF(IF(($K789-$N$48)&lt;1,0,IF(IF(INDEX($AD$176:$AD$905,($K789-$N$48))="",0,INDEX($AD$176:$AD$905,($K789-$N$48)))&gt;0,IF(INDEX($AD$176:$AD$905,($K789-$N$48))="",0,INDEX($AD$176:$AD$905,($K789-$N$48))),0))="",0,IF(($K789-$N$48)&lt;1,0,IF(IF(INDEX($AD$176:$AD$905,($K789-$N$48))="",0,INDEX($AD$176:$AD$905,($K789-$N$48)))&gt;0,IF(INDEX($AD$176:$AD$905,($K789-$N$48))="",0,INDEX($AD$176:$AD$905,($K789-$N$48))),0)))=0,"",IF(AND($P788="",$P789=1),($N$37*-1),0)+IF(AND($Q788="",$Q789=1),($N$38*-1),0)+IF(IF(($K789-$N$48)&lt;1,0,IF(IF(INDEX($AD$176:$AD$905,($K789-$N$48))="",0,INDEX($AD$176:$AD$905,($K789-$N$48)))&gt;0,IF(INDEX($AD$176:$AD$905,($K789-$N$48))="",0,INDEX($AD$176:$AD$905,($K789-$N$48))),0))="",0,IF(($K789-$N$48)&lt;1,0,IF(IF(INDEX($AD$176:$AD$905,($K789-$N$48))="",0,INDEX($AD$176:$AD$905,($K789-$N$48)))&gt;0,IF(INDEX($AD$176:$AD$905,($K789-$N$48))="",0,INDEX($AD$176:$AD$905,($K789-$N$48))),0))))</f>
        <v/>
      </c>
      <c r="AC789" s="22" t="str">
        <f t="shared" si="225"/>
        <v/>
      </c>
      <c r="AD789" s="22" t="str">
        <f t="shared" si="237"/>
        <v/>
      </c>
      <c r="AE789" s="22" t="str" cm="1">
        <f t="array" ref="AE789">IF(($K789-$N$48)&lt;1,"",IF((IF(INDEX($AC$176:$AC$905,($K789-$N$48))="",0,INDEX($AC$176:$AC$905,($K789-$N$48))))=0,"",(IF(INDEX($AC$176:$AC$905,($K789-$N$48))="",0,INDEX($AC$176:$AC$905,($K789-$N$48))))))</f>
        <v/>
      </c>
      <c r="AF789" s="31" t="str">
        <f t="shared" si="226"/>
        <v/>
      </c>
      <c r="AG789" s="31" t="str">
        <f t="shared" si="227"/>
        <v/>
      </c>
      <c r="AH789" s="31" t="str">
        <f t="shared" si="228"/>
        <v/>
      </c>
      <c r="AI789" s="31" t="str">
        <f t="shared" si="229"/>
        <v/>
      </c>
      <c r="AJ789" s="303" t="str">
        <f t="shared" si="230"/>
        <v/>
      </c>
      <c r="AK789" s="139" t="str">
        <f t="shared" si="231"/>
        <v/>
      </c>
      <c r="AM789" s="319"/>
      <c r="AN789" s="40"/>
      <c r="AO789" s="1"/>
    </row>
    <row r="790" spans="7:41" x14ac:dyDescent="0.25">
      <c r="G790" s="235" t="str">
        <f t="shared" si="238"/>
        <v/>
      </c>
      <c r="H790" s="4" t="str">
        <f t="shared" si="239"/>
        <v/>
      </c>
      <c r="I790" s="11" t="str">
        <f t="shared" si="219"/>
        <v>09.00</v>
      </c>
      <c r="K790" s="30">
        <v>615</v>
      </c>
      <c r="L790" s="29">
        <f t="shared" si="232"/>
        <v>11371.908376190917</v>
      </c>
      <c r="M790" s="28" t="str">
        <f t="shared" si="220"/>
        <v/>
      </c>
      <c r="N790" s="27" t="str">
        <f t="shared" si="233"/>
        <v/>
      </c>
      <c r="O790" s="26" t="str">
        <f>IF(AND($Q789=$O$38,IFERROR(LARGE($V$176:$V789,1)&lt;$N$42,TRUE)),1,IF(AND(ISNUMBER($O789),$O789&lt;$N$32),$O789+1,""))</f>
        <v/>
      </c>
      <c r="P790" s="26" t="str">
        <f t="shared" si="234"/>
        <v/>
      </c>
      <c r="Q790" s="26" t="str">
        <f t="shared" si="221"/>
        <v/>
      </c>
      <c r="R790" s="24" t="str">
        <f t="shared" si="235"/>
        <v/>
      </c>
      <c r="S790" s="180">
        <f t="shared" si="236"/>
        <v>9</v>
      </c>
      <c r="T790" s="151"/>
      <c r="U790" s="25" t="str">
        <f t="shared" si="222"/>
        <v/>
      </c>
      <c r="V790" s="24" t="str">
        <f>IF(AND(ISNUMBER(R789),ISNUMBER(R790)),V789,IF(AND(R789="",ISNUMBER(R790)),IFERROR(LARGE($V$176:$V789,1)+1,0),""))</f>
        <v/>
      </c>
      <c r="W790" s="23" t="str">
        <f t="shared" si="223"/>
        <v/>
      </c>
      <c r="X790" s="22" t="str">
        <f t="shared" si="224"/>
        <v/>
      </c>
      <c r="Y790" s="22"/>
      <c r="Z790" s="22"/>
      <c r="AA790" s="22"/>
      <c r="AB790" s="22" t="str" cm="1">
        <f t="array" ref="AB790">IF(IF(AND($P789="",$P790=1),($N$37*-1),0)+IF(AND($Q789="",$Q790=1),($N$38*-1),0)+IF(IF(($K790-$N$48)&lt;1,0,IF(IF(INDEX($AD$176:$AD$905,($K790-$N$48))="",0,INDEX($AD$176:$AD$905,($K790-$N$48)))&gt;0,IF(INDEX($AD$176:$AD$905,($K790-$N$48))="",0,INDEX($AD$176:$AD$905,($K790-$N$48))),0))="",0,IF(($K790-$N$48)&lt;1,0,IF(IF(INDEX($AD$176:$AD$905,($K790-$N$48))="",0,INDEX($AD$176:$AD$905,($K790-$N$48)))&gt;0,IF(INDEX($AD$176:$AD$905,($K790-$N$48))="",0,INDEX($AD$176:$AD$905,($K790-$N$48))),0)))=0,"",IF(AND($P789="",$P790=1),($N$37*-1),0)+IF(AND($Q789="",$Q790=1),($N$38*-1),0)+IF(IF(($K790-$N$48)&lt;1,0,IF(IF(INDEX($AD$176:$AD$905,($K790-$N$48))="",0,INDEX($AD$176:$AD$905,($K790-$N$48)))&gt;0,IF(INDEX($AD$176:$AD$905,($K790-$N$48))="",0,INDEX($AD$176:$AD$905,($K790-$N$48))),0))="",0,IF(($K790-$N$48)&lt;1,0,IF(IF(INDEX($AD$176:$AD$905,($K790-$N$48))="",0,INDEX($AD$176:$AD$905,($K790-$N$48)))&gt;0,IF(INDEX($AD$176:$AD$905,($K790-$N$48))="",0,INDEX($AD$176:$AD$905,($K790-$N$48))),0))))</f>
        <v/>
      </c>
      <c r="AC790" s="22" t="str">
        <f t="shared" si="225"/>
        <v/>
      </c>
      <c r="AD790" s="22" t="str">
        <f t="shared" si="237"/>
        <v/>
      </c>
      <c r="AE790" s="22" t="str" cm="1">
        <f t="array" ref="AE790">IF(($K790-$N$48)&lt;1,"",IF((IF(INDEX($AC$176:$AC$905,($K790-$N$48))="",0,INDEX($AC$176:$AC$905,($K790-$N$48))))=0,"",(IF(INDEX($AC$176:$AC$905,($K790-$N$48))="",0,INDEX($AC$176:$AC$905,($K790-$N$48))))))</f>
        <v/>
      </c>
      <c r="AF790" s="31" t="str">
        <f t="shared" si="226"/>
        <v/>
      </c>
      <c r="AG790" s="31" t="str">
        <f t="shared" si="227"/>
        <v/>
      </c>
      <c r="AH790" s="31" t="str">
        <f t="shared" si="228"/>
        <v/>
      </c>
      <c r="AI790" s="31" t="str">
        <f t="shared" si="229"/>
        <v/>
      </c>
      <c r="AJ790" s="303" t="str">
        <f t="shared" si="230"/>
        <v/>
      </c>
      <c r="AK790" s="139" t="str">
        <f t="shared" si="231"/>
        <v/>
      </c>
      <c r="AM790" s="319"/>
      <c r="AN790" s="40"/>
      <c r="AO790" s="1"/>
    </row>
    <row r="791" spans="7:41" x14ac:dyDescent="0.25">
      <c r="G791" s="235" t="str">
        <f t="shared" si="238"/>
        <v/>
      </c>
      <c r="H791" s="4" t="str">
        <f t="shared" si="239"/>
        <v/>
      </c>
      <c r="I791" s="11" t="str">
        <f t="shared" si="219"/>
        <v>09.00</v>
      </c>
      <c r="K791" s="30">
        <v>616</v>
      </c>
      <c r="L791" s="29">
        <f t="shared" si="232"/>
        <v>11371.908376190917</v>
      </c>
      <c r="M791" s="28" t="str">
        <f t="shared" si="220"/>
        <v/>
      </c>
      <c r="N791" s="27" t="str">
        <f t="shared" si="233"/>
        <v/>
      </c>
      <c r="O791" s="26" t="str">
        <f>IF(AND($Q790=$O$38,IFERROR(LARGE($V$176:$V790,1)&lt;$N$42,TRUE)),1,IF(AND(ISNUMBER($O790),$O790&lt;$N$32),$O790+1,""))</f>
        <v/>
      </c>
      <c r="P791" s="26" t="str">
        <f t="shared" si="234"/>
        <v/>
      </c>
      <c r="Q791" s="26" t="str">
        <f t="shared" si="221"/>
        <v/>
      </c>
      <c r="R791" s="24" t="str">
        <f t="shared" si="235"/>
        <v/>
      </c>
      <c r="S791" s="180">
        <f t="shared" si="236"/>
        <v>9</v>
      </c>
      <c r="T791" s="151"/>
      <c r="U791" s="25" t="str">
        <f t="shared" si="222"/>
        <v/>
      </c>
      <c r="V791" s="24" t="str">
        <f>IF(AND(ISNUMBER(R790),ISNUMBER(R791)),V790,IF(AND(R790="",ISNUMBER(R791)),IFERROR(LARGE($V$176:$V790,1)+1,0),""))</f>
        <v/>
      </c>
      <c r="W791" s="23" t="str">
        <f t="shared" si="223"/>
        <v/>
      </c>
      <c r="X791" s="22" t="str">
        <f t="shared" si="224"/>
        <v/>
      </c>
      <c r="Y791" s="22"/>
      <c r="Z791" s="22"/>
      <c r="AA791" s="22"/>
      <c r="AB791" s="22" t="str" cm="1">
        <f t="array" ref="AB791">IF(IF(AND($P790="",$P791=1),($N$37*-1),0)+IF(AND($Q790="",$Q791=1),($N$38*-1),0)+IF(IF(($K791-$N$48)&lt;1,0,IF(IF(INDEX($AD$176:$AD$905,($K791-$N$48))="",0,INDEX($AD$176:$AD$905,($K791-$N$48)))&gt;0,IF(INDEX($AD$176:$AD$905,($K791-$N$48))="",0,INDEX($AD$176:$AD$905,($K791-$N$48))),0))="",0,IF(($K791-$N$48)&lt;1,0,IF(IF(INDEX($AD$176:$AD$905,($K791-$N$48))="",0,INDEX($AD$176:$AD$905,($K791-$N$48)))&gt;0,IF(INDEX($AD$176:$AD$905,($K791-$N$48))="",0,INDEX($AD$176:$AD$905,($K791-$N$48))),0)))=0,"",IF(AND($P790="",$P791=1),($N$37*-1),0)+IF(AND($Q790="",$Q791=1),($N$38*-1),0)+IF(IF(($K791-$N$48)&lt;1,0,IF(IF(INDEX($AD$176:$AD$905,($K791-$N$48))="",0,INDEX($AD$176:$AD$905,($K791-$N$48)))&gt;0,IF(INDEX($AD$176:$AD$905,($K791-$N$48))="",0,INDEX($AD$176:$AD$905,($K791-$N$48))),0))="",0,IF(($K791-$N$48)&lt;1,0,IF(IF(INDEX($AD$176:$AD$905,($K791-$N$48))="",0,INDEX($AD$176:$AD$905,($K791-$N$48)))&gt;0,IF(INDEX($AD$176:$AD$905,($K791-$N$48))="",0,INDEX($AD$176:$AD$905,($K791-$N$48))),0))))</f>
        <v/>
      </c>
      <c r="AC791" s="22" t="str">
        <f t="shared" si="225"/>
        <v/>
      </c>
      <c r="AD791" s="22" t="str">
        <f t="shared" si="237"/>
        <v/>
      </c>
      <c r="AE791" s="22" t="str" cm="1">
        <f t="array" ref="AE791">IF(($K791-$N$48)&lt;1,"",IF((IF(INDEX($AC$176:$AC$905,($K791-$N$48))="",0,INDEX($AC$176:$AC$905,($K791-$N$48))))=0,"",(IF(INDEX($AC$176:$AC$905,($K791-$N$48))="",0,INDEX($AC$176:$AC$905,($K791-$N$48))))))</f>
        <v/>
      </c>
      <c r="AF791" s="31" t="str">
        <f t="shared" si="226"/>
        <v/>
      </c>
      <c r="AG791" s="31" t="str">
        <f t="shared" si="227"/>
        <v/>
      </c>
      <c r="AH791" s="31" t="str">
        <f t="shared" si="228"/>
        <v/>
      </c>
      <c r="AI791" s="31" t="str">
        <f t="shared" si="229"/>
        <v/>
      </c>
      <c r="AJ791" s="303" t="str">
        <f t="shared" si="230"/>
        <v/>
      </c>
      <c r="AK791" s="139" t="str">
        <f t="shared" si="231"/>
        <v/>
      </c>
      <c r="AM791" s="319"/>
      <c r="AN791" s="40"/>
      <c r="AO791" s="1"/>
    </row>
    <row r="792" spans="7:41" x14ac:dyDescent="0.25">
      <c r="G792" s="235" t="str">
        <f t="shared" si="238"/>
        <v/>
      </c>
      <c r="H792" s="4" t="str">
        <f t="shared" si="239"/>
        <v/>
      </c>
      <c r="I792" s="11" t="str">
        <f t="shared" si="219"/>
        <v>09.00</v>
      </c>
      <c r="K792" s="30">
        <v>617</v>
      </c>
      <c r="L792" s="29">
        <f t="shared" si="232"/>
        <v>11371.908376190917</v>
      </c>
      <c r="M792" s="28" t="str">
        <f t="shared" si="220"/>
        <v/>
      </c>
      <c r="N792" s="27" t="str">
        <f t="shared" si="233"/>
        <v/>
      </c>
      <c r="O792" s="26" t="str">
        <f>IF(AND($Q791=$O$38,IFERROR(LARGE($V$176:$V791,1)&lt;$N$42,TRUE)),1,IF(AND(ISNUMBER($O791),$O791&lt;$N$32),$O791+1,""))</f>
        <v/>
      </c>
      <c r="P792" s="26" t="str">
        <f t="shared" si="234"/>
        <v/>
      </c>
      <c r="Q792" s="26" t="str">
        <f t="shared" si="221"/>
        <v/>
      </c>
      <c r="R792" s="24" t="str">
        <f t="shared" si="235"/>
        <v/>
      </c>
      <c r="S792" s="180">
        <f t="shared" si="236"/>
        <v>9</v>
      </c>
      <c r="T792" s="151"/>
      <c r="U792" s="25" t="str">
        <f t="shared" si="222"/>
        <v/>
      </c>
      <c r="V792" s="24" t="str">
        <f>IF(AND(ISNUMBER(R791),ISNUMBER(R792)),V791,IF(AND(R791="",ISNUMBER(R792)),IFERROR(LARGE($V$176:$V791,1)+1,0),""))</f>
        <v/>
      </c>
      <c r="W792" s="23" t="str">
        <f t="shared" si="223"/>
        <v/>
      </c>
      <c r="X792" s="22" t="str">
        <f t="shared" si="224"/>
        <v/>
      </c>
      <c r="Y792" s="22"/>
      <c r="Z792" s="22"/>
      <c r="AA792" s="22"/>
      <c r="AB792" s="22" t="str" cm="1">
        <f t="array" ref="AB792">IF(IF(AND($P791="",$P792=1),($N$37*-1),0)+IF(AND($Q791="",$Q792=1),($N$38*-1),0)+IF(IF(($K792-$N$48)&lt;1,0,IF(IF(INDEX($AD$176:$AD$905,($K792-$N$48))="",0,INDEX($AD$176:$AD$905,($K792-$N$48)))&gt;0,IF(INDEX($AD$176:$AD$905,($K792-$N$48))="",0,INDEX($AD$176:$AD$905,($K792-$N$48))),0))="",0,IF(($K792-$N$48)&lt;1,0,IF(IF(INDEX($AD$176:$AD$905,($K792-$N$48))="",0,INDEX($AD$176:$AD$905,($K792-$N$48)))&gt;0,IF(INDEX($AD$176:$AD$905,($K792-$N$48))="",0,INDEX($AD$176:$AD$905,($K792-$N$48))),0)))=0,"",IF(AND($P791="",$P792=1),($N$37*-1),0)+IF(AND($Q791="",$Q792=1),($N$38*-1),0)+IF(IF(($K792-$N$48)&lt;1,0,IF(IF(INDEX($AD$176:$AD$905,($K792-$N$48))="",0,INDEX($AD$176:$AD$905,($K792-$N$48)))&gt;0,IF(INDEX($AD$176:$AD$905,($K792-$N$48))="",0,INDEX($AD$176:$AD$905,($K792-$N$48))),0))="",0,IF(($K792-$N$48)&lt;1,0,IF(IF(INDEX($AD$176:$AD$905,($K792-$N$48))="",0,INDEX($AD$176:$AD$905,($K792-$N$48)))&gt;0,IF(INDEX($AD$176:$AD$905,($K792-$N$48))="",0,INDEX($AD$176:$AD$905,($K792-$N$48))),0))))</f>
        <v/>
      </c>
      <c r="AC792" s="22" t="str">
        <f t="shared" si="225"/>
        <v/>
      </c>
      <c r="AD792" s="22" t="str">
        <f t="shared" si="237"/>
        <v/>
      </c>
      <c r="AE792" s="22" t="str" cm="1">
        <f t="array" ref="AE792">IF(($K792-$N$48)&lt;1,"",IF((IF(INDEX($AC$176:$AC$905,($K792-$N$48))="",0,INDEX($AC$176:$AC$905,($K792-$N$48))))=0,"",(IF(INDEX($AC$176:$AC$905,($K792-$N$48))="",0,INDEX($AC$176:$AC$905,($K792-$N$48))))))</f>
        <v/>
      </c>
      <c r="AF792" s="31" t="str">
        <f t="shared" si="226"/>
        <v/>
      </c>
      <c r="AG792" s="31" t="str">
        <f t="shared" si="227"/>
        <v/>
      </c>
      <c r="AH792" s="31" t="str">
        <f t="shared" si="228"/>
        <v/>
      </c>
      <c r="AI792" s="31" t="str">
        <f t="shared" si="229"/>
        <v/>
      </c>
      <c r="AJ792" s="303" t="str">
        <f t="shared" si="230"/>
        <v/>
      </c>
      <c r="AK792" s="139" t="str">
        <f t="shared" si="231"/>
        <v/>
      </c>
      <c r="AM792" s="319"/>
      <c r="AN792" s="40"/>
      <c r="AO792" s="1"/>
    </row>
    <row r="793" spans="7:41" x14ac:dyDescent="0.25">
      <c r="G793" s="235" t="str">
        <f t="shared" si="238"/>
        <v/>
      </c>
      <c r="H793" s="4" t="str">
        <f t="shared" si="239"/>
        <v/>
      </c>
      <c r="I793" s="11" t="str">
        <f t="shared" si="219"/>
        <v>09.00</v>
      </c>
      <c r="K793" s="30">
        <v>618</v>
      </c>
      <c r="L793" s="29">
        <f t="shared" si="232"/>
        <v>11371.908376190917</v>
      </c>
      <c r="M793" s="28" t="str">
        <f t="shared" si="220"/>
        <v/>
      </c>
      <c r="N793" s="27" t="str">
        <f t="shared" si="233"/>
        <v/>
      </c>
      <c r="O793" s="26" t="str">
        <f>IF(AND($Q792=$O$38,IFERROR(LARGE($V$176:$V792,1)&lt;$N$42,TRUE)),1,IF(AND(ISNUMBER($O792),$O792&lt;$N$32),$O792+1,""))</f>
        <v/>
      </c>
      <c r="P793" s="26" t="str">
        <f t="shared" si="234"/>
        <v/>
      </c>
      <c r="Q793" s="26" t="str">
        <f t="shared" si="221"/>
        <v/>
      </c>
      <c r="R793" s="24" t="str">
        <f t="shared" si="235"/>
        <v/>
      </c>
      <c r="S793" s="180">
        <f t="shared" si="236"/>
        <v>9</v>
      </c>
      <c r="T793" s="151"/>
      <c r="U793" s="25" t="str">
        <f t="shared" si="222"/>
        <v/>
      </c>
      <c r="V793" s="24" t="str">
        <f>IF(AND(ISNUMBER(R792),ISNUMBER(R793)),V792,IF(AND(R792="",ISNUMBER(R793)),IFERROR(LARGE($V$176:$V792,1)+1,0),""))</f>
        <v/>
      </c>
      <c r="W793" s="23" t="str">
        <f t="shared" si="223"/>
        <v/>
      </c>
      <c r="X793" s="22" t="str">
        <f t="shared" si="224"/>
        <v/>
      </c>
      <c r="Y793" s="22"/>
      <c r="Z793" s="22"/>
      <c r="AA793" s="22"/>
      <c r="AB793" s="22" t="str" cm="1">
        <f t="array" ref="AB793">IF(IF(AND($P792="",$P793=1),($N$37*-1),0)+IF(AND($Q792="",$Q793=1),($N$38*-1),0)+IF(IF(($K793-$N$48)&lt;1,0,IF(IF(INDEX($AD$176:$AD$905,($K793-$N$48))="",0,INDEX($AD$176:$AD$905,($K793-$N$48)))&gt;0,IF(INDEX($AD$176:$AD$905,($K793-$N$48))="",0,INDEX($AD$176:$AD$905,($K793-$N$48))),0))="",0,IF(($K793-$N$48)&lt;1,0,IF(IF(INDEX($AD$176:$AD$905,($K793-$N$48))="",0,INDEX($AD$176:$AD$905,($K793-$N$48)))&gt;0,IF(INDEX($AD$176:$AD$905,($K793-$N$48))="",0,INDEX($AD$176:$AD$905,($K793-$N$48))),0)))=0,"",IF(AND($P792="",$P793=1),($N$37*-1),0)+IF(AND($Q792="",$Q793=1),($N$38*-1),0)+IF(IF(($K793-$N$48)&lt;1,0,IF(IF(INDEX($AD$176:$AD$905,($K793-$N$48))="",0,INDEX($AD$176:$AD$905,($K793-$N$48)))&gt;0,IF(INDEX($AD$176:$AD$905,($K793-$N$48))="",0,INDEX($AD$176:$AD$905,($K793-$N$48))),0))="",0,IF(($K793-$N$48)&lt;1,0,IF(IF(INDEX($AD$176:$AD$905,($K793-$N$48))="",0,INDEX($AD$176:$AD$905,($K793-$N$48)))&gt;0,IF(INDEX($AD$176:$AD$905,($K793-$N$48))="",0,INDEX($AD$176:$AD$905,($K793-$N$48))),0))))</f>
        <v/>
      </c>
      <c r="AC793" s="22" t="str">
        <f t="shared" si="225"/>
        <v/>
      </c>
      <c r="AD793" s="22" t="str">
        <f t="shared" si="237"/>
        <v/>
      </c>
      <c r="AE793" s="22" t="str" cm="1">
        <f t="array" ref="AE793">IF(($K793-$N$48)&lt;1,"",IF((IF(INDEX($AC$176:$AC$905,($K793-$N$48))="",0,INDEX($AC$176:$AC$905,($K793-$N$48))))=0,"",(IF(INDEX($AC$176:$AC$905,($K793-$N$48))="",0,INDEX($AC$176:$AC$905,($K793-$N$48))))))</f>
        <v/>
      </c>
      <c r="AF793" s="31" t="str">
        <f t="shared" si="226"/>
        <v/>
      </c>
      <c r="AG793" s="31" t="str">
        <f t="shared" si="227"/>
        <v/>
      </c>
      <c r="AH793" s="31" t="str">
        <f t="shared" si="228"/>
        <v/>
      </c>
      <c r="AI793" s="31" t="str">
        <f t="shared" si="229"/>
        <v/>
      </c>
      <c r="AJ793" s="303" t="str">
        <f t="shared" si="230"/>
        <v/>
      </c>
      <c r="AK793" s="139" t="str">
        <f t="shared" si="231"/>
        <v/>
      </c>
      <c r="AM793" s="319"/>
      <c r="AN793" s="40"/>
      <c r="AO793" s="1"/>
    </row>
    <row r="794" spans="7:41" x14ac:dyDescent="0.25">
      <c r="G794" s="235" t="str">
        <f t="shared" si="238"/>
        <v/>
      </c>
      <c r="H794" s="4" t="str">
        <f t="shared" si="239"/>
        <v/>
      </c>
      <c r="I794" s="11" t="str">
        <f t="shared" si="219"/>
        <v>09.00</v>
      </c>
      <c r="K794" s="30">
        <v>619</v>
      </c>
      <c r="L794" s="29">
        <f t="shared" si="232"/>
        <v>11371.908376190917</v>
      </c>
      <c r="M794" s="28" t="str">
        <f t="shared" si="220"/>
        <v/>
      </c>
      <c r="N794" s="27" t="str">
        <f t="shared" si="233"/>
        <v/>
      </c>
      <c r="O794" s="26" t="str">
        <f>IF(AND($Q793=$O$38,IFERROR(LARGE($V$176:$V793,1)&lt;$N$42,TRUE)),1,IF(AND(ISNUMBER($O793),$O793&lt;$N$32),$O793+1,""))</f>
        <v/>
      </c>
      <c r="P794" s="26" t="str">
        <f t="shared" si="234"/>
        <v/>
      </c>
      <c r="Q794" s="26" t="str">
        <f t="shared" si="221"/>
        <v/>
      </c>
      <c r="R794" s="24" t="str">
        <f t="shared" si="235"/>
        <v/>
      </c>
      <c r="S794" s="180">
        <f t="shared" si="236"/>
        <v>9</v>
      </c>
      <c r="T794" s="151"/>
      <c r="U794" s="25" t="str">
        <f t="shared" si="222"/>
        <v/>
      </c>
      <c r="V794" s="24" t="str">
        <f>IF(AND(ISNUMBER(R793),ISNUMBER(R794)),V793,IF(AND(R793="",ISNUMBER(R794)),IFERROR(LARGE($V$176:$V793,1)+1,0),""))</f>
        <v/>
      </c>
      <c r="W794" s="23" t="str">
        <f t="shared" si="223"/>
        <v/>
      </c>
      <c r="X794" s="22" t="str">
        <f t="shared" si="224"/>
        <v/>
      </c>
      <c r="Y794" s="22"/>
      <c r="Z794" s="22"/>
      <c r="AA794" s="22"/>
      <c r="AB794" s="22" t="str" cm="1">
        <f t="array" ref="AB794">IF(IF(AND($P793="",$P794=1),($N$37*-1),0)+IF(AND($Q793="",$Q794=1),($N$38*-1),0)+IF(IF(($K794-$N$48)&lt;1,0,IF(IF(INDEX($AD$176:$AD$905,($K794-$N$48))="",0,INDEX($AD$176:$AD$905,($K794-$N$48)))&gt;0,IF(INDEX($AD$176:$AD$905,($K794-$N$48))="",0,INDEX($AD$176:$AD$905,($K794-$N$48))),0))="",0,IF(($K794-$N$48)&lt;1,0,IF(IF(INDEX($AD$176:$AD$905,($K794-$N$48))="",0,INDEX($AD$176:$AD$905,($K794-$N$48)))&gt;0,IF(INDEX($AD$176:$AD$905,($K794-$N$48))="",0,INDEX($AD$176:$AD$905,($K794-$N$48))),0)))=0,"",IF(AND($P793="",$P794=1),($N$37*-1),0)+IF(AND($Q793="",$Q794=1),($N$38*-1),0)+IF(IF(($K794-$N$48)&lt;1,0,IF(IF(INDEX($AD$176:$AD$905,($K794-$N$48))="",0,INDEX($AD$176:$AD$905,($K794-$N$48)))&gt;0,IF(INDEX($AD$176:$AD$905,($K794-$N$48))="",0,INDEX($AD$176:$AD$905,($K794-$N$48))),0))="",0,IF(($K794-$N$48)&lt;1,0,IF(IF(INDEX($AD$176:$AD$905,($K794-$N$48))="",0,INDEX($AD$176:$AD$905,($K794-$N$48)))&gt;0,IF(INDEX($AD$176:$AD$905,($K794-$N$48))="",0,INDEX($AD$176:$AD$905,($K794-$N$48))),0))))</f>
        <v/>
      </c>
      <c r="AC794" s="22" t="str">
        <f t="shared" si="225"/>
        <v/>
      </c>
      <c r="AD794" s="22" t="str">
        <f t="shared" si="237"/>
        <v/>
      </c>
      <c r="AE794" s="22" t="str" cm="1">
        <f t="array" ref="AE794">IF(($K794-$N$48)&lt;1,"",IF((IF(INDEX($AC$176:$AC$905,($K794-$N$48))="",0,INDEX($AC$176:$AC$905,($K794-$N$48))))=0,"",(IF(INDEX($AC$176:$AC$905,($K794-$N$48))="",0,INDEX($AC$176:$AC$905,($K794-$N$48))))))</f>
        <v/>
      </c>
      <c r="AF794" s="31" t="str">
        <f t="shared" si="226"/>
        <v/>
      </c>
      <c r="AG794" s="31" t="str">
        <f t="shared" si="227"/>
        <v/>
      </c>
      <c r="AH794" s="31" t="str">
        <f t="shared" si="228"/>
        <v/>
      </c>
      <c r="AI794" s="31" t="str">
        <f t="shared" si="229"/>
        <v/>
      </c>
      <c r="AJ794" s="303" t="str">
        <f t="shared" si="230"/>
        <v/>
      </c>
      <c r="AK794" s="139" t="str">
        <f t="shared" si="231"/>
        <v/>
      </c>
      <c r="AM794" s="319"/>
      <c r="AN794" s="40"/>
      <c r="AO794" s="1"/>
    </row>
    <row r="795" spans="7:41" x14ac:dyDescent="0.25">
      <c r="G795" s="235" t="str">
        <f t="shared" si="238"/>
        <v/>
      </c>
      <c r="H795" s="4" t="str">
        <f t="shared" si="239"/>
        <v/>
      </c>
      <c r="I795" s="11" t="str">
        <f t="shared" si="219"/>
        <v>09.00</v>
      </c>
      <c r="K795" s="30">
        <v>620</v>
      </c>
      <c r="L795" s="29">
        <f t="shared" si="232"/>
        <v>11371.908376190917</v>
      </c>
      <c r="M795" s="28" t="str">
        <f t="shared" si="220"/>
        <v/>
      </c>
      <c r="N795" s="27" t="str">
        <f t="shared" si="233"/>
        <v/>
      </c>
      <c r="O795" s="26" t="str">
        <f>IF(AND($Q794=$O$38,IFERROR(LARGE($V$176:$V794,1)&lt;$N$42,TRUE)),1,IF(AND(ISNUMBER($O794),$O794&lt;$N$32),$O794+1,""))</f>
        <v/>
      </c>
      <c r="P795" s="26" t="str">
        <f t="shared" si="234"/>
        <v/>
      </c>
      <c r="Q795" s="26" t="str">
        <f t="shared" si="221"/>
        <v/>
      </c>
      <c r="R795" s="24" t="str">
        <f t="shared" si="235"/>
        <v/>
      </c>
      <c r="S795" s="180">
        <f t="shared" si="236"/>
        <v>9</v>
      </c>
      <c r="T795" s="151"/>
      <c r="U795" s="25" t="str">
        <f t="shared" si="222"/>
        <v/>
      </c>
      <c r="V795" s="24" t="str">
        <f>IF(AND(ISNUMBER(R794),ISNUMBER(R795)),V794,IF(AND(R794="",ISNUMBER(R795)),IFERROR(LARGE($V$176:$V794,1)+1,0),""))</f>
        <v/>
      </c>
      <c r="W795" s="23" t="str">
        <f t="shared" si="223"/>
        <v/>
      </c>
      <c r="X795" s="22" t="str">
        <f t="shared" si="224"/>
        <v/>
      </c>
      <c r="Y795" s="22"/>
      <c r="Z795" s="22"/>
      <c r="AA795" s="22"/>
      <c r="AB795" s="22" t="str" cm="1">
        <f t="array" ref="AB795">IF(IF(AND($P794="",$P795=1),($N$37*-1),0)+IF(AND($Q794="",$Q795=1),($N$38*-1),0)+IF(IF(($K795-$N$48)&lt;1,0,IF(IF(INDEX($AD$176:$AD$905,($K795-$N$48))="",0,INDEX($AD$176:$AD$905,($K795-$N$48)))&gt;0,IF(INDEX($AD$176:$AD$905,($K795-$N$48))="",0,INDEX($AD$176:$AD$905,($K795-$N$48))),0))="",0,IF(($K795-$N$48)&lt;1,0,IF(IF(INDEX($AD$176:$AD$905,($K795-$N$48))="",0,INDEX($AD$176:$AD$905,($K795-$N$48)))&gt;0,IF(INDEX($AD$176:$AD$905,($K795-$N$48))="",0,INDEX($AD$176:$AD$905,($K795-$N$48))),0)))=0,"",IF(AND($P794="",$P795=1),($N$37*-1),0)+IF(AND($Q794="",$Q795=1),($N$38*-1),0)+IF(IF(($K795-$N$48)&lt;1,0,IF(IF(INDEX($AD$176:$AD$905,($K795-$N$48))="",0,INDEX($AD$176:$AD$905,($K795-$N$48)))&gt;0,IF(INDEX($AD$176:$AD$905,($K795-$N$48))="",0,INDEX($AD$176:$AD$905,($K795-$N$48))),0))="",0,IF(($K795-$N$48)&lt;1,0,IF(IF(INDEX($AD$176:$AD$905,($K795-$N$48))="",0,INDEX($AD$176:$AD$905,($K795-$N$48)))&gt;0,IF(INDEX($AD$176:$AD$905,($K795-$N$48))="",0,INDEX($AD$176:$AD$905,($K795-$N$48))),0))))</f>
        <v/>
      </c>
      <c r="AC795" s="22" t="str">
        <f t="shared" si="225"/>
        <v/>
      </c>
      <c r="AD795" s="22" t="str">
        <f t="shared" si="237"/>
        <v/>
      </c>
      <c r="AE795" s="22" t="str" cm="1">
        <f t="array" ref="AE795">IF(($K795-$N$48)&lt;1,"",IF((IF(INDEX($AC$176:$AC$905,($K795-$N$48))="",0,INDEX($AC$176:$AC$905,($K795-$N$48))))=0,"",(IF(INDEX($AC$176:$AC$905,($K795-$N$48))="",0,INDEX($AC$176:$AC$905,($K795-$N$48))))))</f>
        <v/>
      </c>
      <c r="AF795" s="31" t="str">
        <f t="shared" si="226"/>
        <v/>
      </c>
      <c r="AG795" s="31" t="str">
        <f t="shared" si="227"/>
        <v/>
      </c>
      <c r="AH795" s="31" t="str">
        <f t="shared" si="228"/>
        <v/>
      </c>
      <c r="AI795" s="31" t="str">
        <f t="shared" si="229"/>
        <v/>
      </c>
      <c r="AJ795" s="303" t="str">
        <f t="shared" si="230"/>
        <v/>
      </c>
      <c r="AK795" s="139" t="str">
        <f t="shared" si="231"/>
        <v/>
      </c>
      <c r="AM795" s="319"/>
      <c r="AN795" s="40"/>
      <c r="AO795" s="1"/>
    </row>
    <row r="796" spans="7:41" x14ac:dyDescent="0.25">
      <c r="G796" s="235" t="str">
        <f t="shared" si="238"/>
        <v/>
      </c>
      <c r="H796" s="4" t="str">
        <f t="shared" si="239"/>
        <v/>
      </c>
      <c r="I796" s="11" t="str">
        <f t="shared" si="219"/>
        <v>09.00</v>
      </c>
      <c r="K796" s="30">
        <v>621</v>
      </c>
      <c r="L796" s="29">
        <f t="shared" si="232"/>
        <v>11371.908376190917</v>
      </c>
      <c r="M796" s="28" t="str">
        <f t="shared" si="220"/>
        <v/>
      </c>
      <c r="N796" s="27" t="str">
        <f t="shared" si="233"/>
        <v/>
      </c>
      <c r="O796" s="26" t="str">
        <f>IF(AND($Q795=$O$38,IFERROR(LARGE($V$176:$V795,1)&lt;$N$42,TRUE)),1,IF(AND(ISNUMBER($O795),$O795&lt;$N$32),$O795+1,""))</f>
        <v/>
      </c>
      <c r="P796" s="26" t="str">
        <f t="shared" si="234"/>
        <v/>
      </c>
      <c r="Q796" s="26" t="str">
        <f t="shared" si="221"/>
        <v/>
      </c>
      <c r="R796" s="24" t="str">
        <f t="shared" si="235"/>
        <v/>
      </c>
      <c r="S796" s="180">
        <f t="shared" si="236"/>
        <v>9</v>
      </c>
      <c r="T796" s="151"/>
      <c r="U796" s="25" t="str">
        <f t="shared" si="222"/>
        <v/>
      </c>
      <c r="V796" s="24" t="str">
        <f>IF(AND(ISNUMBER(R795),ISNUMBER(R796)),V795,IF(AND(R795="",ISNUMBER(R796)),IFERROR(LARGE($V$176:$V795,1)+1,0),""))</f>
        <v/>
      </c>
      <c r="W796" s="23" t="str">
        <f t="shared" si="223"/>
        <v/>
      </c>
      <c r="X796" s="22" t="str">
        <f t="shared" si="224"/>
        <v/>
      </c>
      <c r="Y796" s="22"/>
      <c r="Z796" s="22"/>
      <c r="AA796" s="22"/>
      <c r="AB796" s="22" t="str" cm="1">
        <f t="array" ref="AB796">IF(IF(AND($P795="",$P796=1),($N$37*-1),0)+IF(AND($Q795="",$Q796=1),($N$38*-1),0)+IF(IF(($K796-$N$48)&lt;1,0,IF(IF(INDEX($AD$176:$AD$905,($K796-$N$48))="",0,INDEX($AD$176:$AD$905,($K796-$N$48)))&gt;0,IF(INDEX($AD$176:$AD$905,($K796-$N$48))="",0,INDEX($AD$176:$AD$905,($K796-$N$48))),0))="",0,IF(($K796-$N$48)&lt;1,0,IF(IF(INDEX($AD$176:$AD$905,($K796-$N$48))="",0,INDEX($AD$176:$AD$905,($K796-$N$48)))&gt;0,IF(INDEX($AD$176:$AD$905,($K796-$N$48))="",0,INDEX($AD$176:$AD$905,($K796-$N$48))),0)))=0,"",IF(AND($P795="",$P796=1),($N$37*-1),0)+IF(AND($Q795="",$Q796=1),($N$38*-1),0)+IF(IF(($K796-$N$48)&lt;1,0,IF(IF(INDEX($AD$176:$AD$905,($K796-$N$48))="",0,INDEX($AD$176:$AD$905,($K796-$N$48)))&gt;0,IF(INDEX($AD$176:$AD$905,($K796-$N$48))="",0,INDEX($AD$176:$AD$905,($K796-$N$48))),0))="",0,IF(($K796-$N$48)&lt;1,0,IF(IF(INDEX($AD$176:$AD$905,($K796-$N$48))="",0,INDEX($AD$176:$AD$905,($K796-$N$48)))&gt;0,IF(INDEX($AD$176:$AD$905,($K796-$N$48))="",0,INDEX($AD$176:$AD$905,($K796-$N$48))),0))))</f>
        <v/>
      </c>
      <c r="AC796" s="22" t="str">
        <f t="shared" si="225"/>
        <v/>
      </c>
      <c r="AD796" s="22" t="str">
        <f t="shared" si="237"/>
        <v/>
      </c>
      <c r="AE796" s="22" t="str" cm="1">
        <f t="array" ref="AE796">IF(($K796-$N$48)&lt;1,"",IF((IF(INDEX($AC$176:$AC$905,($K796-$N$48))="",0,INDEX($AC$176:$AC$905,($K796-$N$48))))=0,"",(IF(INDEX($AC$176:$AC$905,($K796-$N$48))="",0,INDEX($AC$176:$AC$905,($K796-$N$48))))))</f>
        <v/>
      </c>
      <c r="AF796" s="31" t="str">
        <f t="shared" si="226"/>
        <v/>
      </c>
      <c r="AG796" s="31" t="str">
        <f t="shared" si="227"/>
        <v/>
      </c>
      <c r="AH796" s="31" t="str">
        <f t="shared" si="228"/>
        <v/>
      </c>
      <c r="AI796" s="31" t="str">
        <f t="shared" si="229"/>
        <v/>
      </c>
      <c r="AJ796" s="303" t="str">
        <f t="shared" si="230"/>
        <v/>
      </c>
      <c r="AK796" s="139" t="str">
        <f t="shared" si="231"/>
        <v/>
      </c>
      <c r="AM796" s="319"/>
      <c r="AN796" s="40"/>
      <c r="AO796" s="1"/>
    </row>
    <row r="797" spans="7:41" x14ac:dyDescent="0.25">
      <c r="G797" s="235" t="str">
        <f t="shared" si="238"/>
        <v/>
      </c>
      <c r="H797" s="4" t="str">
        <f t="shared" si="239"/>
        <v/>
      </c>
      <c r="I797" s="11" t="str">
        <f t="shared" si="219"/>
        <v>09.00</v>
      </c>
      <c r="K797" s="30">
        <v>622</v>
      </c>
      <c r="L797" s="29">
        <f t="shared" si="232"/>
        <v>11371.908376190917</v>
      </c>
      <c r="M797" s="28" t="str">
        <f t="shared" si="220"/>
        <v/>
      </c>
      <c r="N797" s="27" t="str">
        <f t="shared" si="233"/>
        <v/>
      </c>
      <c r="O797" s="26" t="str">
        <f>IF(AND($Q796=$O$38,IFERROR(LARGE($V$176:$V796,1)&lt;$N$42,TRUE)),1,IF(AND(ISNUMBER($O796),$O796&lt;$N$32),$O796+1,""))</f>
        <v/>
      </c>
      <c r="P797" s="26" t="str">
        <f t="shared" si="234"/>
        <v/>
      </c>
      <c r="Q797" s="26" t="str">
        <f t="shared" si="221"/>
        <v/>
      </c>
      <c r="R797" s="24" t="str">
        <f t="shared" si="235"/>
        <v/>
      </c>
      <c r="S797" s="180">
        <f t="shared" si="236"/>
        <v>9</v>
      </c>
      <c r="T797" s="151"/>
      <c r="U797" s="25" t="str">
        <f t="shared" si="222"/>
        <v/>
      </c>
      <c r="V797" s="24" t="str">
        <f>IF(AND(ISNUMBER(R796),ISNUMBER(R797)),V796,IF(AND(R796="",ISNUMBER(R797)),IFERROR(LARGE($V$176:$V796,1)+1,0),""))</f>
        <v/>
      </c>
      <c r="W797" s="23" t="str">
        <f t="shared" si="223"/>
        <v/>
      </c>
      <c r="X797" s="22" t="str">
        <f t="shared" si="224"/>
        <v/>
      </c>
      <c r="Y797" s="22"/>
      <c r="Z797" s="22"/>
      <c r="AA797" s="22"/>
      <c r="AB797" s="22" t="str" cm="1">
        <f t="array" ref="AB797">IF(IF(AND($P796="",$P797=1),($N$37*-1),0)+IF(AND($Q796="",$Q797=1),($N$38*-1),0)+IF(IF(($K797-$N$48)&lt;1,0,IF(IF(INDEX($AD$176:$AD$905,($K797-$N$48))="",0,INDEX($AD$176:$AD$905,($K797-$N$48)))&gt;0,IF(INDEX($AD$176:$AD$905,($K797-$N$48))="",0,INDEX($AD$176:$AD$905,($K797-$N$48))),0))="",0,IF(($K797-$N$48)&lt;1,0,IF(IF(INDEX($AD$176:$AD$905,($K797-$N$48))="",0,INDEX($AD$176:$AD$905,($K797-$N$48)))&gt;0,IF(INDEX($AD$176:$AD$905,($K797-$N$48))="",0,INDEX($AD$176:$AD$905,($K797-$N$48))),0)))=0,"",IF(AND($P796="",$P797=1),($N$37*-1),0)+IF(AND($Q796="",$Q797=1),($N$38*-1),0)+IF(IF(($K797-$N$48)&lt;1,0,IF(IF(INDEX($AD$176:$AD$905,($K797-$N$48))="",0,INDEX($AD$176:$AD$905,($K797-$N$48)))&gt;0,IF(INDEX($AD$176:$AD$905,($K797-$N$48))="",0,INDEX($AD$176:$AD$905,($K797-$N$48))),0))="",0,IF(($K797-$N$48)&lt;1,0,IF(IF(INDEX($AD$176:$AD$905,($K797-$N$48))="",0,INDEX($AD$176:$AD$905,($K797-$N$48)))&gt;0,IF(INDEX($AD$176:$AD$905,($K797-$N$48))="",0,INDEX($AD$176:$AD$905,($K797-$N$48))),0))))</f>
        <v/>
      </c>
      <c r="AC797" s="22" t="str">
        <f t="shared" si="225"/>
        <v/>
      </c>
      <c r="AD797" s="22" t="str">
        <f t="shared" si="237"/>
        <v/>
      </c>
      <c r="AE797" s="22" t="str" cm="1">
        <f t="array" ref="AE797">IF(($K797-$N$48)&lt;1,"",IF((IF(INDEX($AC$176:$AC$905,($K797-$N$48))="",0,INDEX($AC$176:$AC$905,($K797-$N$48))))=0,"",(IF(INDEX($AC$176:$AC$905,($K797-$N$48))="",0,INDEX($AC$176:$AC$905,($K797-$N$48))))))</f>
        <v/>
      </c>
      <c r="AF797" s="31" t="str">
        <f t="shared" si="226"/>
        <v/>
      </c>
      <c r="AG797" s="31" t="str">
        <f t="shared" si="227"/>
        <v/>
      </c>
      <c r="AH797" s="31" t="str">
        <f t="shared" si="228"/>
        <v/>
      </c>
      <c r="AI797" s="31" t="str">
        <f t="shared" si="229"/>
        <v/>
      </c>
      <c r="AJ797" s="303" t="str">
        <f t="shared" si="230"/>
        <v/>
      </c>
      <c r="AK797" s="139" t="str">
        <f t="shared" si="231"/>
        <v/>
      </c>
      <c r="AM797" s="319"/>
      <c r="AN797" s="40"/>
      <c r="AO797" s="1"/>
    </row>
    <row r="798" spans="7:41" x14ac:dyDescent="0.25">
      <c r="G798" s="235" t="str">
        <f t="shared" si="238"/>
        <v/>
      </c>
      <c r="H798" s="4" t="str">
        <f t="shared" si="239"/>
        <v/>
      </c>
      <c r="I798" s="11" t="str">
        <f t="shared" si="219"/>
        <v>09.00</v>
      </c>
      <c r="K798" s="30">
        <v>623</v>
      </c>
      <c r="L798" s="29">
        <f t="shared" si="232"/>
        <v>11371.908376190917</v>
      </c>
      <c r="M798" s="28" t="str">
        <f t="shared" si="220"/>
        <v/>
      </c>
      <c r="N798" s="27" t="str">
        <f t="shared" si="233"/>
        <v/>
      </c>
      <c r="O798" s="26" t="str">
        <f>IF(AND($Q797=$O$38,IFERROR(LARGE($V$176:$V797,1)&lt;$N$42,TRUE)),1,IF(AND(ISNUMBER($O797),$O797&lt;$N$32),$O797+1,""))</f>
        <v/>
      </c>
      <c r="P798" s="26" t="str">
        <f t="shared" si="234"/>
        <v/>
      </c>
      <c r="Q798" s="26" t="str">
        <f t="shared" si="221"/>
        <v/>
      </c>
      <c r="R798" s="24" t="str">
        <f t="shared" si="235"/>
        <v/>
      </c>
      <c r="S798" s="180">
        <f t="shared" si="236"/>
        <v>9</v>
      </c>
      <c r="T798" s="151"/>
      <c r="U798" s="25" t="str">
        <f t="shared" si="222"/>
        <v/>
      </c>
      <c r="V798" s="24" t="str">
        <f>IF(AND(ISNUMBER(R797),ISNUMBER(R798)),V797,IF(AND(R797="",ISNUMBER(R798)),IFERROR(LARGE($V$176:$V797,1)+1,0),""))</f>
        <v/>
      </c>
      <c r="W798" s="23" t="str">
        <f t="shared" si="223"/>
        <v/>
      </c>
      <c r="X798" s="22" t="str">
        <f t="shared" si="224"/>
        <v/>
      </c>
      <c r="Y798" s="22"/>
      <c r="Z798" s="22"/>
      <c r="AA798" s="22"/>
      <c r="AB798" s="22" t="str" cm="1">
        <f t="array" ref="AB798">IF(IF(AND($P797="",$P798=1),($N$37*-1),0)+IF(AND($Q797="",$Q798=1),($N$38*-1),0)+IF(IF(($K798-$N$48)&lt;1,0,IF(IF(INDEX($AD$176:$AD$905,($K798-$N$48))="",0,INDEX($AD$176:$AD$905,($K798-$N$48)))&gt;0,IF(INDEX($AD$176:$AD$905,($K798-$N$48))="",0,INDEX($AD$176:$AD$905,($K798-$N$48))),0))="",0,IF(($K798-$N$48)&lt;1,0,IF(IF(INDEX($AD$176:$AD$905,($K798-$N$48))="",0,INDEX($AD$176:$AD$905,($K798-$N$48)))&gt;0,IF(INDEX($AD$176:$AD$905,($K798-$N$48))="",0,INDEX($AD$176:$AD$905,($K798-$N$48))),0)))=0,"",IF(AND($P797="",$P798=1),($N$37*-1),0)+IF(AND($Q797="",$Q798=1),($N$38*-1),0)+IF(IF(($K798-$N$48)&lt;1,0,IF(IF(INDEX($AD$176:$AD$905,($K798-$N$48))="",0,INDEX($AD$176:$AD$905,($K798-$N$48)))&gt;0,IF(INDEX($AD$176:$AD$905,($K798-$N$48))="",0,INDEX($AD$176:$AD$905,($K798-$N$48))),0))="",0,IF(($K798-$N$48)&lt;1,0,IF(IF(INDEX($AD$176:$AD$905,($K798-$N$48))="",0,INDEX($AD$176:$AD$905,($K798-$N$48)))&gt;0,IF(INDEX($AD$176:$AD$905,($K798-$N$48))="",0,INDEX($AD$176:$AD$905,($K798-$N$48))),0))))</f>
        <v/>
      </c>
      <c r="AC798" s="22" t="str">
        <f t="shared" si="225"/>
        <v/>
      </c>
      <c r="AD798" s="22" t="str">
        <f t="shared" si="237"/>
        <v/>
      </c>
      <c r="AE798" s="22" t="str" cm="1">
        <f t="array" ref="AE798">IF(($K798-$N$48)&lt;1,"",IF((IF(INDEX($AC$176:$AC$905,($K798-$N$48))="",0,INDEX($AC$176:$AC$905,($K798-$N$48))))=0,"",(IF(INDEX($AC$176:$AC$905,($K798-$N$48))="",0,INDEX($AC$176:$AC$905,($K798-$N$48))))))</f>
        <v/>
      </c>
      <c r="AF798" s="31" t="str">
        <f t="shared" si="226"/>
        <v/>
      </c>
      <c r="AG798" s="31" t="str">
        <f t="shared" si="227"/>
        <v/>
      </c>
      <c r="AH798" s="31" t="str">
        <f t="shared" si="228"/>
        <v/>
      </c>
      <c r="AI798" s="31" t="str">
        <f t="shared" si="229"/>
        <v/>
      </c>
      <c r="AJ798" s="303" t="str">
        <f t="shared" si="230"/>
        <v/>
      </c>
      <c r="AK798" s="139" t="str">
        <f t="shared" si="231"/>
        <v/>
      </c>
      <c r="AM798" s="319"/>
      <c r="AN798" s="40"/>
      <c r="AO798" s="1"/>
    </row>
    <row r="799" spans="7:41" x14ac:dyDescent="0.25">
      <c r="G799" s="235" t="str">
        <f t="shared" si="238"/>
        <v/>
      </c>
      <c r="H799" s="4" t="str">
        <f t="shared" si="239"/>
        <v/>
      </c>
      <c r="I799" s="11" t="str">
        <f t="shared" si="219"/>
        <v>09.00</v>
      </c>
      <c r="K799" s="30">
        <v>624</v>
      </c>
      <c r="L799" s="29">
        <f t="shared" si="232"/>
        <v>11371.908376190917</v>
      </c>
      <c r="M799" s="28" t="str">
        <f t="shared" si="220"/>
        <v/>
      </c>
      <c r="N799" s="27" t="str">
        <f t="shared" si="233"/>
        <v/>
      </c>
      <c r="O799" s="26" t="str">
        <f>IF(AND($Q798=$O$38,IFERROR(LARGE($V$176:$V798,1)&lt;$N$42,TRUE)),1,IF(AND(ISNUMBER($O798),$O798&lt;$N$32),$O798+1,""))</f>
        <v/>
      </c>
      <c r="P799" s="26" t="str">
        <f t="shared" si="234"/>
        <v/>
      </c>
      <c r="Q799" s="26" t="str">
        <f t="shared" si="221"/>
        <v/>
      </c>
      <c r="R799" s="24" t="str">
        <f t="shared" si="235"/>
        <v/>
      </c>
      <c r="S799" s="180">
        <f t="shared" si="236"/>
        <v>9</v>
      </c>
      <c r="T799" s="151"/>
      <c r="U799" s="25" t="str">
        <f t="shared" si="222"/>
        <v/>
      </c>
      <c r="V799" s="24" t="str">
        <f>IF(AND(ISNUMBER(R798),ISNUMBER(R799)),V798,IF(AND(R798="",ISNUMBER(R799)),IFERROR(LARGE($V$176:$V798,1)+1,0),""))</f>
        <v/>
      </c>
      <c r="W799" s="23" t="str">
        <f t="shared" si="223"/>
        <v/>
      </c>
      <c r="X799" s="22" t="str">
        <f t="shared" si="224"/>
        <v/>
      </c>
      <c r="Y799" s="22"/>
      <c r="Z799" s="22"/>
      <c r="AA799" s="22"/>
      <c r="AB799" s="22" t="str" cm="1">
        <f t="array" ref="AB799">IF(IF(AND($P798="",$P799=1),($N$37*-1),0)+IF(AND($Q798="",$Q799=1),($N$38*-1),0)+IF(IF(($K799-$N$48)&lt;1,0,IF(IF(INDEX($AD$176:$AD$905,($K799-$N$48))="",0,INDEX($AD$176:$AD$905,($K799-$N$48)))&gt;0,IF(INDEX($AD$176:$AD$905,($K799-$N$48))="",0,INDEX($AD$176:$AD$905,($K799-$N$48))),0))="",0,IF(($K799-$N$48)&lt;1,0,IF(IF(INDEX($AD$176:$AD$905,($K799-$N$48))="",0,INDEX($AD$176:$AD$905,($K799-$N$48)))&gt;0,IF(INDEX($AD$176:$AD$905,($K799-$N$48))="",0,INDEX($AD$176:$AD$905,($K799-$N$48))),0)))=0,"",IF(AND($P798="",$P799=1),($N$37*-1),0)+IF(AND($Q798="",$Q799=1),($N$38*-1),0)+IF(IF(($K799-$N$48)&lt;1,0,IF(IF(INDEX($AD$176:$AD$905,($K799-$N$48))="",0,INDEX($AD$176:$AD$905,($K799-$N$48)))&gt;0,IF(INDEX($AD$176:$AD$905,($K799-$N$48))="",0,INDEX($AD$176:$AD$905,($K799-$N$48))),0))="",0,IF(($K799-$N$48)&lt;1,0,IF(IF(INDEX($AD$176:$AD$905,($K799-$N$48))="",0,INDEX($AD$176:$AD$905,($K799-$N$48)))&gt;0,IF(INDEX($AD$176:$AD$905,($K799-$N$48))="",0,INDEX($AD$176:$AD$905,($K799-$N$48))),0))))</f>
        <v/>
      </c>
      <c r="AC799" s="22" t="str">
        <f t="shared" si="225"/>
        <v/>
      </c>
      <c r="AD799" s="22" t="str">
        <f t="shared" si="237"/>
        <v/>
      </c>
      <c r="AE799" s="22" t="str" cm="1">
        <f t="array" ref="AE799">IF(($K799-$N$48)&lt;1,"",IF((IF(INDEX($AC$176:$AC$905,($K799-$N$48))="",0,INDEX($AC$176:$AC$905,($K799-$N$48))))=0,"",(IF(INDEX($AC$176:$AC$905,($K799-$N$48))="",0,INDEX($AC$176:$AC$905,($K799-$N$48))))))</f>
        <v/>
      </c>
      <c r="AF799" s="31" t="str">
        <f t="shared" si="226"/>
        <v/>
      </c>
      <c r="AG799" s="31" t="str">
        <f t="shared" si="227"/>
        <v/>
      </c>
      <c r="AH799" s="31" t="str">
        <f t="shared" si="228"/>
        <v/>
      </c>
      <c r="AI799" s="31" t="str">
        <f t="shared" si="229"/>
        <v/>
      </c>
      <c r="AJ799" s="303" t="str">
        <f t="shared" si="230"/>
        <v/>
      </c>
      <c r="AK799" s="139" t="str">
        <f t="shared" si="231"/>
        <v/>
      </c>
      <c r="AM799" s="319"/>
      <c r="AN799" s="40"/>
      <c r="AO799" s="1"/>
    </row>
    <row r="800" spans="7:41" x14ac:dyDescent="0.25">
      <c r="G800" s="235" t="str">
        <f t="shared" si="238"/>
        <v/>
      </c>
      <c r="H800" s="4" t="str">
        <f t="shared" si="239"/>
        <v/>
      </c>
      <c r="I800" s="11" t="str">
        <f t="shared" si="219"/>
        <v>09.00</v>
      </c>
      <c r="K800" s="30">
        <v>625</v>
      </c>
      <c r="L800" s="29">
        <f t="shared" si="232"/>
        <v>11371.908376190917</v>
      </c>
      <c r="M800" s="28" t="str">
        <f t="shared" si="220"/>
        <v/>
      </c>
      <c r="N800" s="27" t="str">
        <f t="shared" si="233"/>
        <v/>
      </c>
      <c r="O800" s="26" t="str">
        <f>IF(AND($Q799=$O$38,IFERROR(LARGE($V$176:$V799,1)&lt;$N$42,TRUE)),1,IF(AND(ISNUMBER($O799),$O799&lt;$N$32),$O799+1,""))</f>
        <v/>
      </c>
      <c r="P800" s="26" t="str">
        <f t="shared" si="234"/>
        <v/>
      </c>
      <c r="Q800" s="26" t="str">
        <f t="shared" si="221"/>
        <v/>
      </c>
      <c r="R800" s="24" t="str">
        <f t="shared" si="235"/>
        <v/>
      </c>
      <c r="S800" s="180">
        <f t="shared" si="236"/>
        <v>9</v>
      </c>
      <c r="T800" s="151"/>
      <c r="U800" s="25" t="str">
        <f t="shared" si="222"/>
        <v/>
      </c>
      <c r="V800" s="24" t="str">
        <f>IF(AND(ISNUMBER(R799),ISNUMBER(R800)),V799,IF(AND(R799="",ISNUMBER(R800)),IFERROR(LARGE($V$176:$V799,1)+1,0),""))</f>
        <v/>
      </c>
      <c r="W800" s="23" t="str">
        <f t="shared" si="223"/>
        <v/>
      </c>
      <c r="X800" s="22" t="str">
        <f t="shared" si="224"/>
        <v/>
      </c>
      <c r="Y800" s="22"/>
      <c r="Z800" s="22"/>
      <c r="AA800" s="22"/>
      <c r="AB800" s="22" t="str" cm="1">
        <f t="array" ref="AB800">IF(IF(AND($P799="",$P800=1),($N$37*-1),0)+IF(AND($Q799="",$Q800=1),($N$38*-1),0)+IF(IF(($K800-$N$48)&lt;1,0,IF(IF(INDEX($AD$176:$AD$905,($K800-$N$48))="",0,INDEX($AD$176:$AD$905,($K800-$N$48)))&gt;0,IF(INDEX($AD$176:$AD$905,($K800-$N$48))="",0,INDEX($AD$176:$AD$905,($K800-$N$48))),0))="",0,IF(($K800-$N$48)&lt;1,0,IF(IF(INDEX($AD$176:$AD$905,($K800-$N$48))="",0,INDEX($AD$176:$AD$905,($K800-$N$48)))&gt;0,IF(INDEX($AD$176:$AD$905,($K800-$N$48))="",0,INDEX($AD$176:$AD$905,($K800-$N$48))),0)))=0,"",IF(AND($P799="",$P800=1),($N$37*-1),0)+IF(AND($Q799="",$Q800=1),($N$38*-1),0)+IF(IF(($K800-$N$48)&lt;1,0,IF(IF(INDEX($AD$176:$AD$905,($K800-$N$48))="",0,INDEX($AD$176:$AD$905,($K800-$N$48)))&gt;0,IF(INDEX($AD$176:$AD$905,($K800-$N$48))="",0,INDEX($AD$176:$AD$905,($K800-$N$48))),0))="",0,IF(($K800-$N$48)&lt;1,0,IF(IF(INDEX($AD$176:$AD$905,($K800-$N$48))="",0,INDEX($AD$176:$AD$905,($K800-$N$48)))&gt;0,IF(INDEX($AD$176:$AD$905,($K800-$N$48))="",0,INDEX($AD$176:$AD$905,($K800-$N$48))),0))))</f>
        <v/>
      </c>
      <c r="AC800" s="22" t="str">
        <f t="shared" si="225"/>
        <v/>
      </c>
      <c r="AD800" s="22" t="str">
        <f t="shared" si="237"/>
        <v/>
      </c>
      <c r="AE800" s="22" t="str" cm="1">
        <f t="array" ref="AE800">IF(($K800-$N$48)&lt;1,"",IF((IF(INDEX($AC$176:$AC$905,($K800-$N$48))="",0,INDEX($AC$176:$AC$905,($K800-$N$48))))=0,"",(IF(INDEX($AC$176:$AC$905,($K800-$N$48))="",0,INDEX($AC$176:$AC$905,($K800-$N$48))))))</f>
        <v/>
      </c>
      <c r="AF800" s="31" t="str">
        <f t="shared" si="226"/>
        <v/>
      </c>
      <c r="AG800" s="31" t="str">
        <f t="shared" si="227"/>
        <v/>
      </c>
      <c r="AH800" s="31" t="str">
        <f t="shared" si="228"/>
        <v/>
      </c>
      <c r="AI800" s="31" t="str">
        <f t="shared" si="229"/>
        <v/>
      </c>
      <c r="AJ800" s="303" t="str">
        <f t="shared" si="230"/>
        <v/>
      </c>
      <c r="AK800" s="139" t="str">
        <f t="shared" si="231"/>
        <v/>
      </c>
      <c r="AM800" s="319"/>
      <c r="AN800" s="40"/>
      <c r="AO800" s="1"/>
    </row>
    <row r="801" spans="7:41" x14ac:dyDescent="0.25">
      <c r="G801" s="235" t="str">
        <f t="shared" si="238"/>
        <v/>
      </c>
      <c r="H801" s="4" t="str">
        <f t="shared" si="239"/>
        <v/>
      </c>
      <c r="I801" s="11" t="str">
        <f t="shared" si="219"/>
        <v>09.00</v>
      </c>
      <c r="K801" s="30">
        <v>626</v>
      </c>
      <c r="L801" s="29">
        <f t="shared" si="232"/>
        <v>11371.908376190917</v>
      </c>
      <c r="M801" s="28" t="str">
        <f t="shared" si="220"/>
        <v/>
      </c>
      <c r="N801" s="27" t="str">
        <f t="shared" si="233"/>
        <v/>
      </c>
      <c r="O801" s="26" t="str">
        <f>IF(AND($Q800=$O$38,IFERROR(LARGE($V$176:$V800,1)&lt;$N$42,TRUE)),1,IF(AND(ISNUMBER($O800),$O800&lt;$N$32),$O800+1,""))</f>
        <v/>
      </c>
      <c r="P801" s="26" t="str">
        <f t="shared" si="234"/>
        <v/>
      </c>
      <c r="Q801" s="26" t="str">
        <f t="shared" si="221"/>
        <v/>
      </c>
      <c r="R801" s="24" t="str">
        <f t="shared" si="235"/>
        <v/>
      </c>
      <c r="S801" s="180">
        <f t="shared" si="236"/>
        <v>9</v>
      </c>
      <c r="T801" s="151"/>
      <c r="U801" s="25" t="str">
        <f t="shared" si="222"/>
        <v/>
      </c>
      <c r="V801" s="24" t="str">
        <f>IF(AND(ISNUMBER(R800),ISNUMBER(R801)),V800,IF(AND(R800="",ISNUMBER(R801)),IFERROR(LARGE($V$176:$V800,1)+1,0),""))</f>
        <v/>
      </c>
      <c r="W801" s="23" t="str">
        <f t="shared" si="223"/>
        <v/>
      </c>
      <c r="X801" s="22" t="str">
        <f t="shared" si="224"/>
        <v/>
      </c>
      <c r="Y801" s="22"/>
      <c r="Z801" s="22"/>
      <c r="AA801" s="22"/>
      <c r="AB801" s="22" t="str" cm="1">
        <f t="array" ref="AB801">IF(IF(AND($P800="",$P801=1),($N$37*-1),0)+IF(AND($Q800="",$Q801=1),($N$38*-1),0)+IF(IF(($K801-$N$48)&lt;1,0,IF(IF(INDEX($AD$176:$AD$905,($K801-$N$48))="",0,INDEX($AD$176:$AD$905,($K801-$N$48)))&gt;0,IF(INDEX($AD$176:$AD$905,($K801-$N$48))="",0,INDEX($AD$176:$AD$905,($K801-$N$48))),0))="",0,IF(($K801-$N$48)&lt;1,0,IF(IF(INDEX($AD$176:$AD$905,($K801-$N$48))="",0,INDEX($AD$176:$AD$905,($K801-$N$48)))&gt;0,IF(INDEX($AD$176:$AD$905,($K801-$N$48))="",0,INDEX($AD$176:$AD$905,($K801-$N$48))),0)))=0,"",IF(AND($P800="",$P801=1),($N$37*-1),0)+IF(AND($Q800="",$Q801=1),($N$38*-1),0)+IF(IF(($K801-$N$48)&lt;1,0,IF(IF(INDEX($AD$176:$AD$905,($K801-$N$48))="",0,INDEX($AD$176:$AD$905,($K801-$N$48)))&gt;0,IF(INDEX($AD$176:$AD$905,($K801-$N$48))="",0,INDEX($AD$176:$AD$905,($K801-$N$48))),0))="",0,IF(($K801-$N$48)&lt;1,0,IF(IF(INDEX($AD$176:$AD$905,($K801-$N$48))="",0,INDEX($AD$176:$AD$905,($K801-$N$48)))&gt;0,IF(INDEX($AD$176:$AD$905,($K801-$N$48))="",0,INDEX($AD$176:$AD$905,($K801-$N$48))),0))))</f>
        <v/>
      </c>
      <c r="AC801" s="22" t="str">
        <f t="shared" si="225"/>
        <v/>
      </c>
      <c r="AD801" s="22" t="str">
        <f t="shared" si="237"/>
        <v/>
      </c>
      <c r="AE801" s="22" t="str" cm="1">
        <f t="array" ref="AE801">IF(($K801-$N$48)&lt;1,"",IF((IF(INDEX($AC$176:$AC$905,($K801-$N$48))="",0,INDEX($AC$176:$AC$905,($K801-$N$48))))=0,"",(IF(INDEX($AC$176:$AC$905,($K801-$N$48))="",0,INDEX($AC$176:$AC$905,($K801-$N$48))))))</f>
        <v/>
      </c>
      <c r="AF801" s="31" t="str">
        <f t="shared" si="226"/>
        <v/>
      </c>
      <c r="AG801" s="31" t="str">
        <f t="shared" si="227"/>
        <v/>
      </c>
      <c r="AH801" s="31" t="str">
        <f t="shared" si="228"/>
        <v/>
      </c>
      <c r="AI801" s="31" t="str">
        <f t="shared" si="229"/>
        <v/>
      </c>
      <c r="AJ801" s="303" t="str">
        <f t="shared" si="230"/>
        <v/>
      </c>
      <c r="AK801" s="139" t="str">
        <f t="shared" si="231"/>
        <v/>
      </c>
      <c r="AM801" s="319"/>
      <c r="AN801" s="40"/>
      <c r="AO801" s="1"/>
    </row>
    <row r="802" spans="7:41" x14ac:dyDescent="0.25">
      <c r="G802" s="235" t="str">
        <f t="shared" si="238"/>
        <v/>
      </c>
      <c r="H802" s="4" t="str">
        <f t="shared" si="239"/>
        <v/>
      </c>
      <c r="I802" s="11" t="str">
        <f t="shared" si="219"/>
        <v>09.00</v>
      </c>
      <c r="K802" s="30">
        <v>627</v>
      </c>
      <c r="L802" s="29">
        <f t="shared" si="232"/>
        <v>11371.908376190917</v>
      </c>
      <c r="M802" s="28" t="str">
        <f t="shared" si="220"/>
        <v/>
      </c>
      <c r="N802" s="27" t="str">
        <f t="shared" si="233"/>
        <v/>
      </c>
      <c r="O802" s="26" t="str">
        <f>IF(AND($Q801=$O$38,IFERROR(LARGE($V$176:$V801,1)&lt;$N$42,TRUE)),1,IF(AND(ISNUMBER($O801),$O801&lt;$N$32),$O801+1,""))</f>
        <v/>
      </c>
      <c r="P802" s="26" t="str">
        <f t="shared" si="234"/>
        <v/>
      </c>
      <c r="Q802" s="26" t="str">
        <f t="shared" si="221"/>
        <v/>
      </c>
      <c r="R802" s="24" t="str">
        <f t="shared" si="235"/>
        <v/>
      </c>
      <c r="S802" s="180">
        <f t="shared" si="236"/>
        <v>9</v>
      </c>
      <c r="T802" s="151"/>
      <c r="U802" s="25" t="str">
        <f t="shared" si="222"/>
        <v/>
      </c>
      <c r="V802" s="24" t="str">
        <f>IF(AND(ISNUMBER(R801),ISNUMBER(R802)),V801,IF(AND(R801="",ISNUMBER(R802)),IFERROR(LARGE($V$176:$V801,1)+1,0),""))</f>
        <v/>
      </c>
      <c r="W802" s="23" t="str">
        <f t="shared" si="223"/>
        <v/>
      </c>
      <c r="X802" s="22" t="str">
        <f t="shared" si="224"/>
        <v/>
      </c>
      <c r="Y802" s="22"/>
      <c r="Z802" s="22"/>
      <c r="AA802" s="22"/>
      <c r="AB802" s="22" t="str" cm="1">
        <f t="array" ref="AB802">IF(IF(AND($P801="",$P802=1),($N$37*-1),0)+IF(AND($Q801="",$Q802=1),($N$38*-1),0)+IF(IF(($K802-$N$48)&lt;1,0,IF(IF(INDEX($AD$176:$AD$905,($K802-$N$48))="",0,INDEX($AD$176:$AD$905,($K802-$N$48)))&gt;0,IF(INDEX($AD$176:$AD$905,($K802-$N$48))="",0,INDEX($AD$176:$AD$905,($K802-$N$48))),0))="",0,IF(($K802-$N$48)&lt;1,0,IF(IF(INDEX($AD$176:$AD$905,($K802-$N$48))="",0,INDEX($AD$176:$AD$905,($K802-$N$48)))&gt;0,IF(INDEX($AD$176:$AD$905,($K802-$N$48))="",0,INDEX($AD$176:$AD$905,($K802-$N$48))),0)))=0,"",IF(AND($P801="",$P802=1),($N$37*-1),0)+IF(AND($Q801="",$Q802=1),($N$38*-1),0)+IF(IF(($K802-$N$48)&lt;1,0,IF(IF(INDEX($AD$176:$AD$905,($K802-$N$48))="",0,INDEX($AD$176:$AD$905,($K802-$N$48)))&gt;0,IF(INDEX($AD$176:$AD$905,($K802-$N$48))="",0,INDEX($AD$176:$AD$905,($K802-$N$48))),0))="",0,IF(($K802-$N$48)&lt;1,0,IF(IF(INDEX($AD$176:$AD$905,($K802-$N$48))="",0,INDEX($AD$176:$AD$905,($K802-$N$48)))&gt;0,IF(INDEX($AD$176:$AD$905,($K802-$N$48))="",0,INDEX($AD$176:$AD$905,($K802-$N$48))),0))))</f>
        <v/>
      </c>
      <c r="AC802" s="22" t="str">
        <f t="shared" si="225"/>
        <v/>
      </c>
      <c r="AD802" s="22" t="str">
        <f t="shared" si="237"/>
        <v/>
      </c>
      <c r="AE802" s="22" t="str" cm="1">
        <f t="array" ref="AE802">IF(($K802-$N$48)&lt;1,"",IF((IF(INDEX($AC$176:$AC$905,($K802-$N$48))="",0,INDEX($AC$176:$AC$905,($K802-$N$48))))=0,"",(IF(INDEX($AC$176:$AC$905,($K802-$N$48))="",0,INDEX($AC$176:$AC$905,($K802-$N$48))))))</f>
        <v/>
      </c>
      <c r="AF802" s="31" t="str">
        <f t="shared" si="226"/>
        <v/>
      </c>
      <c r="AG802" s="31" t="str">
        <f t="shared" si="227"/>
        <v/>
      </c>
      <c r="AH802" s="31" t="str">
        <f t="shared" si="228"/>
        <v/>
      </c>
      <c r="AI802" s="31" t="str">
        <f t="shared" si="229"/>
        <v/>
      </c>
      <c r="AJ802" s="303" t="str">
        <f t="shared" si="230"/>
        <v/>
      </c>
      <c r="AK802" s="139" t="str">
        <f t="shared" si="231"/>
        <v/>
      </c>
      <c r="AM802" s="319"/>
      <c r="AN802" s="40"/>
      <c r="AO802" s="1"/>
    </row>
    <row r="803" spans="7:41" x14ac:dyDescent="0.25">
      <c r="G803" s="235" t="str">
        <f t="shared" si="238"/>
        <v/>
      </c>
      <c r="H803" s="4" t="str">
        <f t="shared" si="239"/>
        <v/>
      </c>
      <c r="I803" s="11" t="str">
        <f t="shared" si="219"/>
        <v>09.00</v>
      </c>
      <c r="K803" s="30">
        <v>628</v>
      </c>
      <c r="L803" s="29">
        <f t="shared" si="232"/>
        <v>11371.908376190917</v>
      </c>
      <c r="M803" s="28" t="str">
        <f t="shared" si="220"/>
        <v/>
      </c>
      <c r="N803" s="27" t="str">
        <f t="shared" si="233"/>
        <v/>
      </c>
      <c r="O803" s="26" t="str">
        <f>IF(AND($Q802=$O$38,IFERROR(LARGE($V$176:$V802,1)&lt;$N$42,TRUE)),1,IF(AND(ISNUMBER($O802),$O802&lt;$N$32),$O802+1,""))</f>
        <v/>
      </c>
      <c r="P803" s="26" t="str">
        <f t="shared" si="234"/>
        <v/>
      </c>
      <c r="Q803" s="26" t="str">
        <f t="shared" si="221"/>
        <v/>
      </c>
      <c r="R803" s="24" t="str">
        <f t="shared" si="235"/>
        <v/>
      </c>
      <c r="S803" s="180">
        <f t="shared" si="236"/>
        <v>9</v>
      </c>
      <c r="T803" s="151"/>
      <c r="U803" s="25" t="str">
        <f t="shared" si="222"/>
        <v/>
      </c>
      <c r="V803" s="24" t="str">
        <f>IF(AND(ISNUMBER(R802),ISNUMBER(R803)),V802,IF(AND(R802="",ISNUMBER(R803)),IFERROR(LARGE($V$176:$V802,1)+1,0),""))</f>
        <v/>
      </c>
      <c r="W803" s="23" t="str">
        <f t="shared" si="223"/>
        <v/>
      </c>
      <c r="X803" s="22" t="str">
        <f t="shared" si="224"/>
        <v/>
      </c>
      <c r="Y803" s="22"/>
      <c r="Z803" s="22"/>
      <c r="AA803" s="22"/>
      <c r="AB803" s="22" t="str" cm="1">
        <f t="array" ref="AB803">IF(IF(AND($P802="",$P803=1),($N$37*-1),0)+IF(AND($Q802="",$Q803=1),($N$38*-1),0)+IF(IF(($K803-$N$48)&lt;1,0,IF(IF(INDEX($AD$176:$AD$905,($K803-$N$48))="",0,INDEX($AD$176:$AD$905,($K803-$N$48)))&gt;0,IF(INDEX($AD$176:$AD$905,($K803-$N$48))="",0,INDEX($AD$176:$AD$905,($K803-$N$48))),0))="",0,IF(($K803-$N$48)&lt;1,0,IF(IF(INDEX($AD$176:$AD$905,($K803-$N$48))="",0,INDEX($AD$176:$AD$905,($K803-$N$48)))&gt;0,IF(INDEX($AD$176:$AD$905,($K803-$N$48))="",0,INDEX($AD$176:$AD$905,($K803-$N$48))),0)))=0,"",IF(AND($P802="",$P803=1),($N$37*-1),0)+IF(AND($Q802="",$Q803=1),($N$38*-1),0)+IF(IF(($K803-$N$48)&lt;1,0,IF(IF(INDEX($AD$176:$AD$905,($K803-$N$48))="",0,INDEX($AD$176:$AD$905,($K803-$N$48)))&gt;0,IF(INDEX($AD$176:$AD$905,($K803-$N$48))="",0,INDEX($AD$176:$AD$905,($K803-$N$48))),0))="",0,IF(($K803-$N$48)&lt;1,0,IF(IF(INDEX($AD$176:$AD$905,($K803-$N$48))="",0,INDEX($AD$176:$AD$905,($K803-$N$48)))&gt;0,IF(INDEX($AD$176:$AD$905,($K803-$N$48))="",0,INDEX($AD$176:$AD$905,($K803-$N$48))),0))))</f>
        <v/>
      </c>
      <c r="AC803" s="22" t="str">
        <f t="shared" si="225"/>
        <v/>
      </c>
      <c r="AD803" s="22" t="str">
        <f t="shared" si="237"/>
        <v/>
      </c>
      <c r="AE803" s="22" t="str" cm="1">
        <f t="array" ref="AE803">IF(($K803-$N$48)&lt;1,"",IF((IF(INDEX($AC$176:$AC$905,($K803-$N$48))="",0,INDEX($AC$176:$AC$905,($K803-$N$48))))=0,"",(IF(INDEX($AC$176:$AC$905,($K803-$N$48))="",0,INDEX($AC$176:$AC$905,($K803-$N$48))))))</f>
        <v/>
      </c>
      <c r="AF803" s="31" t="str">
        <f t="shared" si="226"/>
        <v/>
      </c>
      <c r="AG803" s="31" t="str">
        <f t="shared" si="227"/>
        <v/>
      </c>
      <c r="AH803" s="31" t="str">
        <f t="shared" si="228"/>
        <v/>
      </c>
      <c r="AI803" s="31" t="str">
        <f t="shared" si="229"/>
        <v/>
      </c>
      <c r="AJ803" s="303" t="str">
        <f t="shared" si="230"/>
        <v/>
      </c>
      <c r="AK803" s="139" t="str">
        <f t="shared" si="231"/>
        <v/>
      </c>
      <c r="AM803" s="319"/>
      <c r="AN803" s="40"/>
      <c r="AO803" s="1"/>
    </row>
    <row r="804" spans="7:41" x14ac:dyDescent="0.25">
      <c r="G804" s="235" t="str">
        <f t="shared" si="238"/>
        <v/>
      </c>
      <c r="H804" s="4" t="str">
        <f t="shared" si="239"/>
        <v/>
      </c>
      <c r="I804" s="11" t="str">
        <f t="shared" si="219"/>
        <v>09.00</v>
      </c>
      <c r="K804" s="30">
        <v>629</v>
      </c>
      <c r="L804" s="29">
        <f t="shared" si="232"/>
        <v>11371.908376190917</v>
      </c>
      <c r="M804" s="28" t="str">
        <f t="shared" si="220"/>
        <v/>
      </c>
      <c r="N804" s="27" t="str">
        <f t="shared" si="233"/>
        <v/>
      </c>
      <c r="O804" s="26" t="str">
        <f>IF(AND($Q803=$O$38,IFERROR(LARGE($V$176:$V803,1)&lt;$N$42,TRUE)),1,IF(AND(ISNUMBER($O803),$O803&lt;$N$32),$O803+1,""))</f>
        <v/>
      </c>
      <c r="P804" s="26" t="str">
        <f t="shared" si="234"/>
        <v/>
      </c>
      <c r="Q804" s="26" t="str">
        <f t="shared" si="221"/>
        <v/>
      </c>
      <c r="R804" s="24" t="str">
        <f t="shared" si="235"/>
        <v/>
      </c>
      <c r="S804" s="180">
        <f t="shared" si="236"/>
        <v>9</v>
      </c>
      <c r="T804" s="151"/>
      <c r="U804" s="25" t="str">
        <f t="shared" si="222"/>
        <v/>
      </c>
      <c r="V804" s="24" t="str">
        <f>IF(AND(ISNUMBER(R803),ISNUMBER(R804)),V803,IF(AND(R803="",ISNUMBER(R804)),IFERROR(LARGE($V$176:$V803,1)+1,0),""))</f>
        <v/>
      </c>
      <c r="W804" s="23" t="str">
        <f t="shared" si="223"/>
        <v/>
      </c>
      <c r="X804" s="22" t="str">
        <f t="shared" si="224"/>
        <v/>
      </c>
      <c r="Y804" s="22"/>
      <c r="Z804" s="22"/>
      <c r="AA804" s="22"/>
      <c r="AB804" s="22" t="str" cm="1">
        <f t="array" ref="AB804">IF(IF(AND($P803="",$P804=1),($N$37*-1),0)+IF(AND($Q803="",$Q804=1),($N$38*-1),0)+IF(IF(($K804-$N$48)&lt;1,0,IF(IF(INDEX($AD$176:$AD$905,($K804-$N$48))="",0,INDEX($AD$176:$AD$905,($K804-$N$48)))&gt;0,IF(INDEX($AD$176:$AD$905,($K804-$N$48))="",0,INDEX($AD$176:$AD$905,($K804-$N$48))),0))="",0,IF(($K804-$N$48)&lt;1,0,IF(IF(INDEX($AD$176:$AD$905,($K804-$N$48))="",0,INDEX($AD$176:$AD$905,($K804-$N$48)))&gt;0,IF(INDEX($AD$176:$AD$905,($K804-$N$48))="",0,INDEX($AD$176:$AD$905,($K804-$N$48))),0)))=0,"",IF(AND($P803="",$P804=1),($N$37*-1),0)+IF(AND($Q803="",$Q804=1),($N$38*-1),0)+IF(IF(($K804-$N$48)&lt;1,0,IF(IF(INDEX($AD$176:$AD$905,($K804-$N$48))="",0,INDEX($AD$176:$AD$905,($K804-$N$48)))&gt;0,IF(INDEX($AD$176:$AD$905,($K804-$N$48))="",0,INDEX($AD$176:$AD$905,($K804-$N$48))),0))="",0,IF(($K804-$N$48)&lt;1,0,IF(IF(INDEX($AD$176:$AD$905,($K804-$N$48))="",0,INDEX($AD$176:$AD$905,($K804-$N$48)))&gt;0,IF(INDEX($AD$176:$AD$905,($K804-$N$48))="",0,INDEX($AD$176:$AD$905,($K804-$N$48))),0))))</f>
        <v/>
      </c>
      <c r="AC804" s="22" t="str">
        <f t="shared" si="225"/>
        <v/>
      </c>
      <c r="AD804" s="22" t="str">
        <f t="shared" si="237"/>
        <v/>
      </c>
      <c r="AE804" s="22" t="str" cm="1">
        <f t="array" ref="AE804">IF(($K804-$N$48)&lt;1,"",IF((IF(INDEX($AC$176:$AC$905,($K804-$N$48))="",0,INDEX($AC$176:$AC$905,($K804-$N$48))))=0,"",(IF(INDEX($AC$176:$AC$905,($K804-$N$48))="",0,INDEX($AC$176:$AC$905,($K804-$N$48))))))</f>
        <v/>
      </c>
      <c r="AF804" s="31" t="str">
        <f t="shared" si="226"/>
        <v/>
      </c>
      <c r="AG804" s="31" t="str">
        <f t="shared" si="227"/>
        <v/>
      </c>
      <c r="AH804" s="31" t="str">
        <f t="shared" si="228"/>
        <v/>
      </c>
      <c r="AI804" s="31" t="str">
        <f t="shared" si="229"/>
        <v/>
      </c>
      <c r="AJ804" s="303" t="str">
        <f t="shared" si="230"/>
        <v/>
      </c>
      <c r="AK804" s="139" t="str">
        <f t="shared" si="231"/>
        <v/>
      </c>
      <c r="AM804" s="319"/>
      <c r="AN804" s="40"/>
      <c r="AO804" s="1"/>
    </row>
    <row r="805" spans="7:41" x14ac:dyDescent="0.25">
      <c r="G805" s="235" t="str">
        <f t="shared" si="238"/>
        <v/>
      </c>
      <c r="H805" s="4" t="str">
        <f t="shared" si="239"/>
        <v/>
      </c>
      <c r="I805" s="11" t="str">
        <f t="shared" si="219"/>
        <v>09.00</v>
      </c>
      <c r="K805" s="30">
        <v>630</v>
      </c>
      <c r="L805" s="29">
        <f t="shared" si="232"/>
        <v>11371.908376190917</v>
      </c>
      <c r="M805" s="28" t="str">
        <f t="shared" si="220"/>
        <v/>
      </c>
      <c r="N805" s="27" t="str">
        <f t="shared" si="233"/>
        <v/>
      </c>
      <c r="O805" s="26" t="str">
        <f>IF(AND($Q804=$O$38,IFERROR(LARGE($V$176:$V804,1)&lt;$N$42,TRUE)),1,IF(AND(ISNUMBER($O804),$O804&lt;$N$32),$O804+1,""))</f>
        <v/>
      </c>
      <c r="P805" s="26" t="str">
        <f t="shared" si="234"/>
        <v/>
      </c>
      <c r="Q805" s="26" t="str">
        <f t="shared" si="221"/>
        <v/>
      </c>
      <c r="R805" s="24" t="str">
        <f t="shared" si="235"/>
        <v/>
      </c>
      <c r="S805" s="180">
        <f t="shared" si="236"/>
        <v>9</v>
      </c>
      <c r="T805" s="151"/>
      <c r="U805" s="25" t="str">
        <f t="shared" si="222"/>
        <v/>
      </c>
      <c r="V805" s="24" t="str">
        <f>IF(AND(ISNUMBER(R804),ISNUMBER(R805)),V804,IF(AND(R804="",ISNUMBER(R805)),IFERROR(LARGE($V$176:$V804,1)+1,0),""))</f>
        <v/>
      </c>
      <c r="W805" s="23" t="str">
        <f t="shared" si="223"/>
        <v/>
      </c>
      <c r="X805" s="22" t="str">
        <f t="shared" si="224"/>
        <v/>
      </c>
      <c r="Y805" s="22"/>
      <c r="Z805" s="22"/>
      <c r="AA805" s="22"/>
      <c r="AB805" s="22" t="str" cm="1">
        <f t="array" ref="AB805">IF(IF(AND($P804="",$P805=1),($N$37*-1),0)+IF(AND($Q804="",$Q805=1),($N$38*-1),0)+IF(IF(($K805-$N$48)&lt;1,0,IF(IF(INDEX($AD$176:$AD$905,($K805-$N$48))="",0,INDEX($AD$176:$AD$905,($K805-$N$48)))&gt;0,IF(INDEX($AD$176:$AD$905,($K805-$N$48))="",0,INDEX($AD$176:$AD$905,($K805-$N$48))),0))="",0,IF(($K805-$N$48)&lt;1,0,IF(IF(INDEX($AD$176:$AD$905,($K805-$N$48))="",0,INDEX($AD$176:$AD$905,($K805-$N$48)))&gt;0,IF(INDEX($AD$176:$AD$905,($K805-$N$48))="",0,INDEX($AD$176:$AD$905,($K805-$N$48))),0)))=0,"",IF(AND($P804="",$P805=1),($N$37*-1),0)+IF(AND($Q804="",$Q805=1),($N$38*-1),0)+IF(IF(($K805-$N$48)&lt;1,0,IF(IF(INDEX($AD$176:$AD$905,($K805-$N$48))="",0,INDEX($AD$176:$AD$905,($K805-$N$48)))&gt;0,IF(INDEX($AD$176:$AD$905,($K805-$N$48))="",0,INDEX($AD$176:$AD$905,($K805-$N$48))),0))="",0,IF(($K805-$N$48)&lt;1,0,IF(IF(INDEX($AD$176:$AD$905,($K805-$N$48))="",0,INDEX($AD$176:$AD$905,($K805-$N$48)))&gt;0,IF(INDEX($AD$176:$AD$905,($K805-$N$48))="",0,INDEX($AD$176:$AD$905,($K805-$N$48))),0))))</f>
        <v/>
      </c>
      <c r="AC805" s="22" t="str">
        <f t="shared" si="225"/>
        <v/>
      </c>
      <c r="AD805" s="22" t="str">
        <f t="shared" si="237"/>
        <v/>
      </c>
      <c r="AE805" s="22" t="str" cm="1">
        <f t="array" ref="AE805">IF(($K805-$N$48)&lt;1,"",IF((IF(INDEX($AC$176:$AC$905,($K805-$N$48))="",0,INDEX($AC$176:$AC$905,($K805-$N$48))))=0,"",(IF(INDEX($AC$176:$AC$905,($K805-$N$48))="",0,INDEX($AC$176:$AC$905,($K805-$N$48))))))</f>
        <v/>
      </c>
      <c r="AF805" s="31" t="str">
        <f t="shared" si="226"/>
        <v/>
      </c>
      <c r="AG805" s="31" t="str">
        <f t="shared" si="227"/>
        <v/>
      </c>
      <c r="AH805" s="31" t="str">
        <f t="shared" si="228"/>
        <v/>
      </c>
      <c r="AI805" s="31" t="str">
        <f t="shared" si="229"/>
        <v/>
      </c>
      <c r="AJ805" s="303" t="str">
        <f t="shared" si="230"/>
        <v/>
      </c>
      <c r="AK805" s="139" t="str">
        <f t="shared" si="231"/>
        <v/>
      </c>
      <c r="AM805" s="319"/>
      <c r="AN805" s="40"/>
      <c r="AO805" s="1"/>
    </row>
    <row r="806" spans="7:41" x14ac:dyDescent="0.25">
      <c r="G806" s="235" t="str">
        <f t="shared" si="238"/>
        <v/>
      </c>
      <c r="H806" s="4" t="str">
        <f t="shared" si="239"/>
        <v/>
      </c>
      <c r="I806" s="11" t="str">
        <f t="shared" si="219"/>
        <v>09.00</v>
      </c>
      <c r="K806" s="30">
        <v>631</v>
      </c>
      <c r="L806" s="29">
        <f t="shared" si="232"/>
        <v>11371.908376190917</v>
      </c>
      <c r="M806" s="28" t="str">
        <f t="shared" si="220"/>
        <v/>
      </c>
      <c r="N806" s="27" t="str">
        <f t="shared" si="233"/>
        <v/>
      </c>
      <c r="O806" s="26" t="str">
        <f>IF(AND($Q805=$O$38,IFERROR(LARGE($V$176:$V805,1)&lt;$N$42,TRUE)),1,IF(AND(ISNUMBER($O805),$O805&lt;$N$32),$O805+1,""))</f>
        <v/>
      </c>
      <c r="P806" s="26" t="str">
        <f t="shared" si="234"/>
        <v/>
      </c>
      <c r="Q806" s="26" t="str">
        <f t="shared" si="221"/>
        <v/>
      </c>
      <c r="R806" s="24" t="str">
        <f t="shared" si="235"/>
        <v/>
      </c>
      <c r="S806" s="180">
        <f t="shared" si="236"/>
        <v>9</v>
      </c>
      <c r="T806" s="151"/>
      <c r="U806" s="25" t="str">
        <f t="shared" si="222"/>
        <v/>
      </c>
      <c r="V806" s="24" t="str">
        <f>IF(AND(ISNUMBER(R805),ISNUMBER(R806)),V805,IF(AND(R805="",ISNUMBER(R806)),IFERROR(LARGE($V$176:$V805,1)+1,0),""))</f>
        <v/>
      </c>
      <c r="W806" s="23" t="str">
        <f t="shared" si="223"/>
        <v/>
      </c>
      <c r="X806" s="22" t="str">
        <f t="shared" si="224"/>
        <v/>
      </c>
      <c r="Y806" s="22"/>
      <c r="Z806" s="22"/>
      <c r="AA806" s="22"/>
      <c r="AB806" s="22" t="str" cm="1">
        <f t="array" ref="AB806">IF(IF(AND($P805="",$P806=1),($N$37*-1),0)+IF(AND($Q805="",$Q806=1),($N$38*-1),0)+IF(IF(($K806-$N$48)&lt;1,0,IF(IF(INDEX($AD$176:$AD$905,($K806-$N$48))="",0,INDEX($AD$176:$AD$905,($K806-$N$48)))&gt;0,IF(INDEX($AD$176:$AD$905,($K806-$N$48))="",0,INDEX($AD$176:$AD$905,($K806-$N$48))),0))="",0,IF(($K806-$N$48)&lt;1,0,IF(IF(INDEX($AD$176:$AD$905,($K806-$N$48))="",0,INDEX($AD$176:$AD$905,($K806-$N$48)))&gt;0,IF(INDEX($AD$176:$AD$905,($K806-$N$48))="",0,INDEX($AD$176:$AD$905,($K806-$N$48))),0)))=0,"",IF(AND($P805="",$P806=1),($N$37*-1),0)+IF(AND($Q805="",$Q806=1),($N$38*-1),0)+IF(IF(($K806-$N$48)&lt;1,0,IF(IF(INDEX($AD$176:$AD$905,($K806-$N$48))="",0,INDEX($AD$176:$AD$905,($K806-$N$48)))&gt;0,IF(INDEX($AD$176:$AD$905,($K806-$N$48))="",0,INDEX($AD$176:$AD$905,($K806-$N$48))),0))="",0,IF(($K806-$N$48)&lt;1,0,IF(IF(INDEX($AD$176:$AD$905,($K806-$N$48))="",0,INDEX($AD$176:$AD$905,($K806-$N$48)))&gt;0,IF(INDEX($AD$176:$AD$905,($K806-$N$48))="",0,INDEX($AD$176:$AD$905,($K806-$N$48))),0))))</f>
        <v/>
      </c>
      <c r="AC806" s="22" t="str">
        <f t="shared" si="225"/>
        <v/>
      </c>
      <c r="AD806" s="22" t="str">
        <f t="shared" si="237"/>
        <v/>
      </c>
      <c r="AE806" s="22" t="str" cm="1">
        <f t="array" ref="AE806">IF(($K806-$N$48)&lt;1,"",IF((IF(INDEX($AC$176:$AC$905,($K806-$N$48))="",0,INDEX($AC$176:$AC$905,($K806-$N$48))))=0,"",(IF(INDEX($AC$176:$AC$905,($K806-$N$48))="",0,INDEX($AC$176:$AC$905,($K806-$N$48))))))</f>
        <v/>
      </c>
      <c r="AF806" s="31" t="str">
        <f t="shared" si="226"/>
        <v/>
      </c>
      <c r="AG806" s="31" t="str">
        <f t="shared" si="227"/>
        <v/>
      </c>
      <c r="AH806" s="31" t="str">
        <f t="shared" si="228"/>
        <v/>
      </c>
      <c r="AI806" s="31" t="str">
        <f t="shared" si="229"/>
        <v/>
      </c>
      <c r="AJ806" s="303" t="str">
        <f t="shared" si="230"/>
        <v/>
      </c>
      <c r="AK806" s="139" t="str">
        <f t="shared" si="231"/>
        <v/>
      </c>
      <c r="AM806" s="319"/>
      <c r="AN806" s="40"/>
      <c r="AO806" s="1"/>
    </row>
    <row r="807" spans="7:41" x14ac:dyDescent="0.25">
      <c r="G807" s="235" t="str">
        <f t="shared" si="238"/>
        <v/>
      </c>
      <c r="H807" s="4" t="str">
        <f t="shared" si="239"/>
        <v/>
      </c>
      <c r="I807" s="11" t="str">
        <f t="shared" si="219"/>
        <v>09.00</v>
      </c>
      <c r="K807" s="30">
        <v>632</v>
      </c>
      <c r="L807" s="29">
        <f t="shared" si="232"/>
        <v>11371.908376190917</v>
      </c>
      <c r="M807" s="28" t="str">
        <f t="shared" si="220"/>
        <v/>
      </c>
      <c r="N807" s="27" t="str">
        <f t="shared" si="233"/>
        <v/>
      </c>
      <c r="O807" s="26" t="str">
        <f>IF(AND($Q806=$O$38,IFERROR(LARGE($V$176:$V806,1)&lt;$N$42,TRUE)),1,IF(AND(ISNUMBER($O806),$O806&lt;$N$32),$O806+1,""))</f>
        <v/>
      </c>
      <c r="P807" s="26" t="str">
        <f t="shared" si="234"/>
        <v/>
      </c>
      <c r="Q807" s="26" t="str">
        <f t="shared" si="221"/>
        <v/>
      </c>
      <c r="R807" s="24" t="str">
        <f t="shared" si="235"/>
        <v/>
      </c>
      <c r="S807" s="180">
        <f t="shared" si="236"/>
        <v>9</v>
      </c>
      <c r="T807" s="151"/>
      <c r="U807" s="25" t="str">
        <f t="shared" si="222"/>
        <v/>
      </c>
      <c r="V807" s="24" t="str">
        <f>IF(AND(ISNUMBER(R806),ISNUMBER(R807)),V806,IF(AND(R806="",ISNUMBER(R807)),IFERROR(LARGE($V$176:$V806,1)+1,0),""))</f>
        <v/>
      </c>
      <c r="W807" s="23" t="str">
        <f t="shared" si="223"/>
        <v/>
      </c>
      <c r="X807" s="22" t="str">
        <f t="shared" si="224"/>
        <v/>
      </c>
      <c r="Y807" s="22"/>
      <c r="Z807" s="22"/>
      <c r="AA807" s="22"/>
      <c r="AB807" s="22" t="str" cm="1">
        <f t="array" ref="AB807">IF(IF(AND($P806="",$P807=1),($N$37*-1),0)+IF(AND($Q806="",$Q807=1),($N$38*-1),0)+IF(IF(($K807-$N$48)&lt;1,0,IF(IF(INDEX($AD$176:$AD$905,($K807-$N$48))="",0,INDEX($AD$176:$AD$905,($K807-$N$48)))&gt;0,IF(INDEX($AD$176:$AD$905,($K807-$N$48))="",0,INDEX($AD$176:$AD$905,($K807-$N$48))),0))="",0,IF(($K807-$N$48)&lt;1,0,IF(IF(INDEX($AD$176:$AD$905,($K807-$N$48))="",0,INDEX($AD$176:$AD$905,($K807-$N$48)))&gt;0,IF(INDEX($AD$176:$AD$905,($K807-$N$48))="",0,INDEX($AD$176:$AD$905,($K807-$N$48))),0)))=0,"",IF(AND($P806="",$P807=1),($N$37*-1),0)+IF(AND($Q806="",$Q807=1),($N$38*-1),0)+IF(IF(($K807-$N$48)&lt;1,0,IF(IF(INDEX($AD$176:$AD$905,($K807-$N$48))="",0,INDEX($AD$176:$AD$905,($K807-$N$48)))&gt;0,IF(INDEX($AD$176:$AD$905,($K807-$N$48))="",0,INDEX($AD$176:$AD$905,($K807-$N$48))),0))="",0,IF(($K807-$N$48)&lt;1,0,IF(IF(INDEX($AD$176:$AD$905,($K807-$N$48))="",0,INDEX($AD$176:$AD$905,($K807-$N$48)))&gt;0,IF(INDEX($AD$176:$AD$905,($K807-$N$48))="",0,INDEX($AD$176:$AD$905,($K807-$N$48))),0))))</f>
        <v/>
      </c>
      <c r="AC807" s="22" t="str">
        <f t="shared" si="225"/>
        <v/>
      </c>
      <c r="AD807" s="22" t="str">
        <f t="shared" si="237"/>
        <v/>
      </c>
      <c r="AE807" s="22" t="str" cm="1">
        <f t="array" ref="AE807">IF(($K807-$N$48)&lt;1,"",IF((IF(INDEX($AC$176:$AC$905,($K807-$N$48))="",0,INDEX($AC$176:$AC$905,($K807-$N$48))))=0,"",(IF(INDEX($AC$176:$AC$905,($K807-$N$48))="",0,INDEX($AC$176:$AC$905,($K807-$N$48))))))</f>
        <v/>
      </c>
      <c r="AF807" s="31" t="str">
        <f t="shared" si="226"/>
        <v/>
      </c>
      <c r="AG807" s="31" t="str">
        <f t="shared" si="227"/>
        <v/>
      </c>
      <c r="AH807" s="31" t="str">
        <f t="shared" si="228"/>
        <v/>
      </c>
      <c r="AI807" s="31" t="str">
        <f t="shared" si="229"/>
        <v/>
      </c>
      <c r="AJ807" s="303" t="str">
        <f t="shared" si="230"/>
        <v/>
      </c>
      <c r="AK807" s="139" t="str">
        <f t="shared" si="231"/>
        <v/>
      </c>
      <c r="AM807" s="319"/>
      <c r="AN807" s="40"/>
      <c r="AO807" s="1"/>
    </row>
    <row r="808" spans="7:41" x14ac:dyDescent="0.25">
      <c r="G808" s="235" t="str">
        <f t="shared" si="238"/>
        <v/>
      </c>
      <c r="H808" s="4" t="str">
        <f t="shared" si="239"/>
        <v/>
      </c>
      <c r="I808" s="11" t="str">
        <f t="shared" si="219"/>
        <v>09.00</v>
      </c>
      <c r="K808" s="30">
        <v>633</v>
      </c>
      <c r="L808" s="29">
        <f t="shared" si="232"/>
        <v>11371.908376190917</v>
      </c>
      <c r="M808" s="28" t="str">
        <f t="shared" si="220"/>
        <v/>
      </c>
      <c r="N808" s="27" t="str">
        <f t="shared" si="233"/>
        <v/>
      </c>
      <c r="O808" s="26" t="str">
        <f>IF(AND($Q807=$O$38,IFERROR(LARGE($V$176:$V807,1)&lt;$N$42,TRUE)),1,IF(AND(ISNUMBER($O807),$O807&lt;$N$32),$O807+1,""))</f>
        <v/>
      </c>
      <c r="P808" s="26" t="str">
        <f t="shared" si="234"/>
        <v/>
      </c>
      <c r="Q808" s="26" t="str">
        <f t="shared" si="221"/>
        <v/>
      </c>
      <c r="R808" s="24" t="str">
        <f t="shared" si="235"/>
        <v/>
      </c>
      <c r="S808" s="180">
        <f t="shared" si="236"/>
        <v>9</v>
      </c>
      <c r="T808" s="151"/>
      <c r="U808" s="25" t="str">
        <f t="shared" si="222"/>
        <v/>
      </c>
      <c r="V808" s="24" t="str">
        <f>IF(AND(ISNUMBER(R807),ISNUMBER(R808)),V807,IF(AND(R807="",ISNUMBER(R808)),IFERROR(LARGE($V$176:$V807,1)+1,0),""))</f>
        <v/>
      </c>
      <c r="W808" s="23" t="str">
        <f t="shared" si="223"/>
        <v/>
      </c>
      <c r="X808" s="22" t="str">
        <f t="shared" si="224"/>
        <v/>
      </c>
      <c r="Y808" s="22"/>
      <c r="Z808" s="22"/>
      <c r="AA808" s="22"/>
      <c r="AB808" s="22" t="str" cm="1">
        <f t="array" ref="AB808">IF(IF(AND($P807="",$P808=1),($N$37*-1),0)+IF(AND($Q807="",$Q808=1),($N$38*-1),0)+IF(IF(($K808-$N$48)&lt;1,0,IF(IF(INDEX($AD$176:$AD$905,($K808-$N$48))="",0,INDEX($AD$176:$AD$905,($K808-$N$48)))&gt;0,IF(INDEX($AD$176:$AD$905,($K808-$N$48))="",0,INDEX($AD$176:$AD$905,($K808-$N$48))),0))="",0,IF(($K808-$N$48)&lt;1,0,IF(IF(INDEX($AD$176:$AD$905,($K808-$N$48))="",0,INDEX($AD$176:$AD$905,($K808-$N$48)))&gt;0,IF(INDEX($AD$176:$AD$905,($K808-$N$48))="",0,INDEX($AD$176:$AD$905,($K808-$N$48))),0)))=0,"",IF(AND($P807="",$P808=1),($N$37*-1),0)+IF(AND($Q807="",$Q808=1),($N$38*-1),0)+IF(IF(($K808-$N$48)&lt;1,0,IF(IF(INDEX($AD$176:$AD$905,($K808-$N$48))="",0,INDEX($AD$176:$AD$905,($K808-$N$48)))&gt;0,IF(INDEX($AD$176:$AD$905,($K808-$N$48))="",0,INDEX($AD$176:$AD$905,($K808-$N$48))),0))="",0,IF(($K808-$N$48)&lt;1,0,IF(IF(INDEX($AD$176:$AD$905,($K808-$N$48))="",0,INDEX($AD$176:$AD$905,($K808-$N$48)))&gt;0,IF(INDEX($AD$176:$AD$905,($K808-$N$48))="",0,INDEX($AD$176:$AD$905,($K808-$N$48))),0))))</f>
        <v/>
      </c>
      <c r="AC808" s="22" t="str">
        <f t="shared" si="225"/>
        <v/>
      </c>
      <c r="AD808" s="22" t="str">
        <f t="shared" si="237"/>
        <v/>
      </c>
      <c r="AE808" s="22" t="str" cm="1">
        <f t="array" ref="AE808">IF(($K808-$N$48)&lt;1,"",IF((IF(INDEX($AC$176:$AC$905,($K808-$N$48))="",0,INDEX($AC$176:$AC$905,($K808-$N$48))))=0,"",(IF(INDEX($AC$176:$AC$905,($K808-$N$48))="",0,INDEX($AC$176:$AC$905,($K808-$N$48))))))</f>
        <v/>
      </c>
      <c r="AF808" s="31" t="str">
        <f t="shared" si="226"/>
        <v/>
      </c>
      <c r="AG808" s="31" t="str">
        <f t="shared" si="227"/>
        <v/>
      </c>
      <c r="AH808" s="31" t="str">
        <f t="shared" si="228"/>
        <v/>
      </c>
      <c r="AI808" s="31" t="str">
        <f t="shared" si="229"/>
        <v/>
      </c>
      <c r="AJ808" s="303" t="str">
        <f t="shared" si="230"/>
        <v/>
      </c>
      <c r="AK808" s="139" t="str">
        <f t="shared" si="231"/>
        <v/>
      </c>
      <c r="AM808" s="319"/>
      <c r="AN808" s="40"/>
      <c r="AO808" s="1"/>
    </row>
    <row r="809" spans="7:41" x14ac:dyDescent="0.25">
      <c r="G809" s="235" t="str">
        <f t="shared" si="238"/>
        <v/>
      </c>
      <c r="H809" s="4" t="str">
        <f t="shared" si="239"/>
        <v/>
      </c>
      <c r="I809" s="11" t="str">
        <f t="shared" si="219"/>
        <v>09.00</v>
      </c>
      <c r="K809" s="30">
        <v>634</v>
      </c>
      <c r="L809" s="29">
        <f t="shared" si="232"/>
        <v>11371.908376190917</v>
      </c>
      <c r="M809" s="28" t="str">
        <f t="shared" si="220"/>
        <v/>
      </c>
      <c r="N809" s="27" t="str">
        <f t="shared" si="233"/>
        <v/>
      </c>
      <c r="O809" s="26" t="str">
        <f>IF(AND($Q808=$O$38,IFERROR(LARGE($V$176:$V808,1)&lt;$N$42,TRUE)),1,IF(AND(ISNUMBER($O808),$O808&lt;$N$32),$O808+1,""))</f>
        <v/>
      </c>
      <c r="P809" s="26" t="str">
        <f t="shared" si="234"/>
        <v/>
      </c>
      <c r="Q809" s="26" t="str">
        <f t="shared" si="221"/>
        <v/>
      </c>
      <c r="R809" s="24" t="str">
        <f t="shared" si="235"/>
        <v/>
      </c>
      <c r="S809" s="180">
        <f t="shared" si="236"/>
        <v>9</v>
      </c>
      <c r="T809" s="151"/>
      <c r="U809" s="25" t="str">
        <f t="shared" si="222"/>
        <v/>
      </c>
      <c r="V809" s="24" t="str">
        <f>IF(AND(ISNUMBER(R808),ISNUMBER(R809)),V808,IF(AND(R808="",ISNUMBER(R809)),IFERROR(LARGE($V$176:$V808,1)+1,0),""))</f>
        <v/>
      </c>
      <c r="W809" s="23" t="str">
        <f t="shared" si="223"/>
        <v/>
      </c>
      <c r="X809" s="22" t="str">
        <f t="shared" si="224"/>
        <v/>
      </c>
      <c r="Y809" s="22"/>
      <c r="Z809" s="22"/>
      <c r="AA809" s="22"/>
      <c r="AB809" s="22" t="str" cm="1">
        <f t="array" ref="AB809">IF(IF(AND($P808="",$P809=1),($N$37*-1),0)+IF(AND($Q808="",$Q809=1),($N$38*-1),0)+IF(IF(($K809-$N$48)&lt;1,0,IF(IF(INDEX($AD$176:$AD$905,($K809-$N$48))="",0,INDEX($AD$176:$AD$905,($K809-$N$48)))&gt;0,IF(INDEX($AD$176:$AD$905,($K809-$N$48))="",0,INDEX($AD$176:$AD$905,($K809-$N$48))),0))="",0,IF(($K809-$N$48)&lt;1,0,IF(IF(INDEX($AD$176:$AD$905,($K809-$N$48))="",0,INDEX($AD$176:$AD$905,($K809-$N$48)))&gt;0,IF(INDEX($AD$176:$AD$905,($K809-$N$48))="",0,INDEX($AD$176:$AD$905,($K809-$N$48))),0)))=0,"",IF(AND($P808="",$P809=1),($N$37*-1),0)+IF(AND($Q808="",$Q809=1),($N$38*-1),0)+IF(IF(($K809-$N$48)&lt;1,0,IF(IF(INDEX($AD$176:$AD$905,($K809-$N$48))="",0,INDEX($AD$176:$AD$905,($K809-$N$48)))&gt;0,IF(INDEX($AD$176:$AD$905,($K809-$N$48))="",0,INDEX($AD$176:$AD$905,($K809-$N$48))),0))="",0,IF(($K809-$N$48)&lt;1,0,IF(IF(INDEX($AD$176:$AD$905,($K809-$N$48))="",0,INDEX($AD$176:$AD$905,($K809-$N$48)))&gt;0,IF(INDEX($AD$176:$AD$905,($K809-$N$48))="",0,INDEX($AD$176:$AD$905,($K809-$N$48))),0))))</f>
        <v/>
      </c>
      <c r="AC809" s="22" t="str">
        <f t="shared" si="225"/>
        <v/>
      </c>
      <c r="AD809" s="22" t="str">
        <f t="shared" si="237"/>
        <v/>
      </c>
      <c r="AE809" s="22" t="str" cm="1">
        <f t="array" ref="AE809">IF(($K809-$N$48)&lt;1,"",IF((IF(INDEX($AC$176:$AC$905,($K809-$N$48))="",0,INDEX($AC$176:$AC$905,($K809-$N$48))))=0,"",(IF(INDEX($AC$176:$AC$905,($K809-$N$48))="",0,INDEX($AC$176:$AC$905,($K809-$N$48))))))</f>
        <v/>
      </c>
      <c r="AF809" s="31" t="str">
        <f t="shared" si="226"/>
        <v/>
      </c>
      <c r="AG809" s="31" t="str">
        <f t="shared" si="227"/>
        <v/>
      </c>
      <c r="AH809" s="31" t="str">
        <f t="shared" si="228"/>
        <v/>
      </c>
      <c r="AI809" s="31" t="str">
        <f t="shared" si="229"/>
        <v/>
      </c>
      <c r="AJ809" s="303" t="str">
        <f t="shared" si="230"/>
        <v/>
      </c>
      <c r="AK809" s="139" t="str">
        <f t="shared" si="231"/>
        <v/>
      </c>
      <c r="AM809" s="319"/>
      <c r="AN809" s="40"/>
      <c r="AO809" s="1"/>
    </row>
    <row r="810" spans="7:41" x14ac:dyDescent="0.25">
      <c r="G810" s="235" t="str">
        <f t="shared" si="238"/>
        <v/>
      </c>
      <c r="H810" s="4" t="str">
        <f t="shared" si="239"/>
        <v/>
      </c>
      <c r="I810" s="11" t="str">
        <f t="shared" si="219"/>
        <v>09.00</v>
      </c>
      <c r="K810" s="30">
        <v>635</v>
      </c>
      <c r="L810" s="29">
        <f t="shared" si="232"/>
        <v>11371.908376190917</v>
      </c>
      <c r="M810" s="28" t="str">
        <f t="shared" si="220"/>
        <v/>
      </c>
      <c r="N810" s="27" t="str">
        <f t="shared" si="233"/>
        <v/>
      </c>
      <c r="O810" s="26" t="str">
        <f>IF(AND($Q809=$O$38,IFERROR(LARGE($V$176:$V809,1)&lt;$N$42,TRUE)),1,IF(AND(ISNUMBER($O809),$O809&lt;$N$32),$O809+1,""))</f>
        <v/>
      </c>
      <c r="P810" s="26" t="str">
        <f t="shared" si="234"/>
        <v/>
      </c>
      <c r="Q810" s="26" t="str">
        <f t="shared" si="221"/>
        <v/>
      </c>
      <c r="R810" s="24" t="str">
        <f t="shared" si="235"/>
        <v/>
      </c>
      <c r="S810" s="180">
        <f t="shared" si="236"/>
        <v>9</v>
      </c>
      <c r="T810" s="151"/>
      <c r="U810" s="25" t="str">
        <f t="shared" si="222"/>
        <v/>
      </c>
      <c r="V810" s="24" t="str">
        <f>IF(AND(ISNUMBER(R809),ISNUMBER(R810)),V809,IF(AND(R809="",ISNUMBER(R810)),IFERROR(LARGE($V$176:$V809,1)+1,0),""))</f>
        <v/>
      </c>
      <c r="W810" s="23" t="str">
        <f t="shared" si="223"/>
        <v/>
      </c>
      <c r="X810" s="22" t="str">
        <f t="shared" si="224"/>
        <v/>
      </c>
      <c r="Y810" s="22"/>
      <c r="Z810" s="22"/>
      <c r="AA810" s="22"/>
      <c r="AB810" s="22" t="str" cm="1">
        <f t="array" ref="AB810">IF(IF(AND($P809="",$P810=1),($N$37*-1),0)+IF(AND($Q809="",$Q810=1),($N$38*-1),0)+IF(IF(($K810-$N$48)&lt;1,0,IF(IF(INDEX($AD$176:$AD$905,($K810-$N$48))="",0,INDEX($AD$176:$AD$905,($K810-$N$48)))&gt;0,IF(INDEX($AD$176:$AD$905,($K810-$N$48))="",0,INDEX($AD$176:$AD$905,($K810-$N$48))),0))="",0,IF(($K810-$N$48)&lt;1,0,IF(IF(INDEX($AD$176:$AD$905,($K810-$N$48))="",0,INDEX($AD$176:$AD$905,($K810-$N$48)))&gt;0,IF(INDEX($AD$176:$AD$905,($K810-$N$48))="",0,INDEX($AD$176:$AD$905,($K810-$N$48))),0)))=0,"",IF(AND($P809="",$P810=1),($N$37*-1),0)+IF(AND($Q809="",$Q810=1),($N$38*-1),0)+IF(IF(($K810-$N$48)&lt;1,0,IF(IF(INDEX($AD$176:$AD$905,($K810-$N$48))="",0,INDEX($AD$176:$AD$905,($K810-$N$48)))&gt;0,IF(INDEX($AD$176:$AD$905,($K810-$N$48))="",0,INDEX($AD$176:$AD$905,($K810-$N$48))),0))="",0,IF(($K810-$N$48)&lt;1,0,IF(IF(INDEX($AD$176:$AD$905,($K810-$N$48))="",0,INDEX($AD$176:$AD$905,($K810-$N$48)))&gt;0,IF(INDEX($AD$176:$AD$905,($K810-$N$48))="",0,INDEX($AD$176:$AD$905,($K810-$N$48))),0))))</f>
        <v/>
      </c>
      <c r="AC810" s="22" t="str">
        <f t="shared" si="225"/>
        <v/>
      </c>
      <c r="AD810" s="22" t="str">
        <f t="shared" si="237"/>
        <v/>
      </c>
      <c r="AE810" s="22" t="str" cm="1">
        <f t="array" ref="AE810">IF(($K810-$N$48)&lt;1,"",IF((IF(INDEX($AC$176:$AC$905,($K810-$N$48))="",0,INDEX($AC$176:$AC$905,($K810-$N$48))))=0,"",(IF(INDEX($AC$176:$AC$905,($K810-$N$48))="",0,INDEX($AC$176:$AC$905,($K810-$N$48))))))</f>
        <v/>
      </c>
      <c r="AF810" s="31" t="str">
        <f t="shared" si="226"/>
        <v/>
      </c>
      <c r="AG810" s="31" t="str">
        <f t="shared" si="227"/>
        <v/>
      </c>
      <c r="AH810" s="31" t="str">
        <f t="shared" si="228"/>
        <v/>
      </c>
      <c r="AI810" s="31" t="str">
        <f t="shared" si="229"/>
        <v/>
      </c>
      <c r="AJ810" s="303" t="str">
        <f t="shared" si="230"/>
        <v/>
      </c>
      <c r="AK810" s="139" t="str">
        <f t="shared" si="231"/>
        <v/>
      </c>
      <c r="AM810" s="319"/>
      <c r="AN810" s="40"/>
      <c r="AO810" s="1"/>
    </row>
    <row r="811" spans="7:41" x14ac:dyDescent="0.25">
      <c r="G811" s="235" t="str">
        <f t="shared" si="238"/>
        <v/>
      </c>
      <c r="H811" s="4" t="str">
        <f t="shared" si="239"/>
        <v/>
      </c>
      <c r="I811" s="11" t="str">
        <f t="shared" si="219"/>
        <v>09.00</v>
      </c>
      <c r="K811" s="30">
        <v>636</v>
      </c>
      <c r="L811" s="29">
        <f t="shared" si="232"/>
        <v>11371.908376190917</v>
      </c>
      <c r="M811" s="28" t="str">
        <f t="shared" si="220"/>
        <v/>
      </c>
      <c r="N811" s="27" t="str">
        <f t="shared" si="233"/>
        <v/>
      </c>
      <c r="O811" s="26" t="str">
        <f>IF(AND($Q810=$O$38,IFERROR(LARGE($V$176:$V810,1)&lt;$N$42,TRUE)),1,IF(AND(ISNUMBER($O810),$O810&lt;$N$32),$O810+1,""))</f>
        <v/>
      </c>
      <c r="P811" s="26" t="str">
        <f t="shared" si="234"/>
        <v/>
      </c>
      <c r="Q811" s="26" t="str">
        <f t="shared" si="221"/>
        <v/>
      </c>
      <c r="R811" s="24" t="str">
        <f t="shared" si="235"/>
        <v/>
      </c>
      <c r="S811" s="180">
        <f t="shared" si="236"/>
        <v>9</v>
      </c>
      <c r="T811" s="151"/>
      <c r="U811" s="25" t="str">
        <f t="shared" si="222"/>
        <v/>
      </c>
      <c r="V811" s="24" t="str">
        <f>IF(AND(ISNUMBER(R810),ISNUMBER(R811)),V810,IF(AND(R810="",ISNUMBER(R811)),IFERROR(LARGE($V$176:$V810,1)+1,0),""))</f>
        <v/>
      </c>
      <c r="W811" s="23" t="str">
        <f t="shared" si="223"/>
        <v/>
      </c>
      <c r="X811" s="22" t="str">
        <f t="shared" si="224"/>
        <v/>
      </c>
      <c r="Y811" s="22"/>
      <c r="Z811" s="22"/>
      <c r="AA811" s="22"/>
      <c r="AB811" s="22" t="str" cm="1">
        <f t="array" ref="AB811">IF(IF(AND($P810="",$P811=1),($N$37*-1),0)+IF(AND($Q810="",$Q811=1),($N$38*-1),0)+IF(IF(($K811-$N$48)&lt;1,0,IF(IF(INDEX($AD$176:$AD$905,($K811-$N$48))="",0,INDEX($AD$176:$AD$905,($K811-$N$48)))&gt;0,IF(INDEX($AD$176:$AD$905,($K811-$N$48))="",0,INDEX($AD$176:$AD$905,($K811-$N$48))),0))="",0,IF(($K811-$N$48)&lt;1,0,IF(IF(INDEX($AD$176:$AD$905,($K811-$N$48))="",0,INDEX($AD$176:$AD$905,($K811-$N$48)))&gt;0,IF(INDEX($AD$176:$AD$905,($K811-$N$48))="",0,INDEX($AD$176:$AD$905,($K811-$N$48))),0)))=0,"",IF(AND($P810="",$P811=1),($N$37*-1),0)+IF(AND($Q810="",$Q811=1),($N$38*-1),0)+IF(IF(($K811-$N$48)&lt;1,0,IF(IF(INDEX($AD$176:$AD$905,($K811-$N$48))="",0,INDEX($AD$176:$AD$905,($K811-$N$48)))&gt;0,IF(INDEX($AD$176:$AD$905,($K811-$N$48))="",0,INDEX($AD$176:$AD$905,($K811-$N$48))),0))="",0,IF(($K811-$N$48)&lt;1,0,IF(IF(INDEX($AD$176:$AD$905,($K811-$N$48))="",0,INDEX($AD$176:$AD$905,($K811-$N$48)))&gt;0,IF(INDEX($AD$176:$AD$905,($K811-$N$48))="",0,INDEX($AD$176:$AD$905,($K811-$N$48))),0))))</f>
        <v/>
      </c>
      <c r="AC811" s="22" t="str">
        <f t="shared" si="225"/>
        <v/>
      </c>
      <c r="AD811" s="22" t="str">
        <f t="shared" si="237"/>
        <v/>
      </c>
      <c r="AE811" s="22" t="str" cm="1">
        <f t="array" ref="AE811">IF(($K811-$N$48)&lt;1,"",IF((IF(INDEX($AC$176:$AC$905,($K811-$N$48))="",0,INDEX($AC$176:$AC$905,($K811-$N$48))))=0,"",(IF(INDEX($AC$176:$AC$905,($K811-$N$48))="",0,INDEX($AC$176:$AC$905,($K811-$N$48))))))</f>
        <v/>
      </c>
      <c r="AF811" s="31" t="str">
        <f t="shared" si="226"/>
        <v/>
      </c>
      <c r="AG811" s="31" t="str">
        <f t="shared" si="227"/>
        <v/>
      </c>
      <c r="AH811" s="31" t="str">
        <f t="shared" si="228"/>
        <v/>
      </c>
      <c r="AI811" s="31" t="str">
        <f t="shared" si="229"/>
        <v/>
      </c>
      <c r="AJ811" s="303" t="str">
        <f t="shared" si="230"/>
        <v/>
      </c>
      <c r="AK811" s="139" t="str">
        <f t="shared" si="231"/>
        <v/>
      </c>
      <c r="AM811" s="319"/>
      <c r="AN811" s="40"/>
      <c r="AO811" s="1"/>
    </row>
    <row r="812" spans="7:41" x14ac:dyDescent="0.25">
      <c r="G812" s="235" t="str">
        <f t="shared" si="238"/>
        <v/>
      </c>
      <c r="H812" s="4" t="str">
        <f t="shared" si="239"/>
        <v/>
      </c>
      <c r="I812" s="11" t="str">
        <f t="shared" si="219"/>
        <v>09.00</v>
      </c>
      <c r="K812" s="30">
        <v>637</v>
      </c>
      <c r="L812" s="29">
        <f t="shared" si="232"/>
        <v>11371.908376190917</v>
      </c>
      <c r="M812" s="28" t="str">
        <f t="shared" si="220"/>
        <v/>
      </c>
      <c r="N812" s="27" t="str">
        <f t="shared" si="233"/>
        <v/>
      </c>
      <c r="O812" s="26" t="str">
        <f>IF(AND($Q811=$O$38,IFERROR(LARGE($V$176:$V811,1)&lt;$N$42,TRUE)),1,IF(AND(ISNUMBER($O811),$O811&lt;$N$32),$O811+1,""))</f>
        <v/>
      </c>
      <c r="P812" s="26" t="str">
        <f t="shared" si="234"/>
        <v/>
      </c>
      <c r="Q812" s="26" t="str">
        <f t="shared" si="221"/>
        <v/>
      </c>
      <c r="R812" s="24" t="str">
        <f t="shared" si="235"/>
        <v/>
      </c>
      <c r="S812" s="180">
        <f t="shared" si="236"/>
        <v>9</v>
      </c>
      <c r="T812" s="151"/>
      <c r="U812" s="25" t="str">
        <f t="shared" si="222"/>
        <v/>
      </c>
      <c r="V812" s="24" t="str">
        <f>IF(AND(ISNUMBER(R811),ISNUMBER(R812)),V811,IF(AND(R811="",ISNUMBER(R812)),IFERROR(LARGE($V$176:$V811,1)+1,0),""))</f>
        <v/>
      </c>
      <c r="W812" s="23" t="str">
        <f t="shared" si="223"/>
        <v/>
      </c>
      <c r="X812" s="22" t="str">
        <f t="shared" si="224"/>
        <v/>
      </c>
      <c r="Y812" s="22"/>
      <c r="Z812" s="22"/>
      <c r="AA812" s="22"/>
      <c r="AB812" s="22" t="str" cm="1">
        <f t="array" ref="AB812">IF(IF(AND($P811="",$P812=1),($N$37*-1),0)+IF(AND($Q811="",$Q812=1),($N$38*-1),0)+IF(IF(($K812-$N$48)&lt;1,0,IF(IF(INDEX($AD$176:$AD$905,($K812-$N$48))="",0,INDEX($AD$176:$AD$905,($K812-$N$48)))&gt;0,IF(INDEX($AD$176:$AD$905,($K812-$N$48))="",0,INDEX($AD$176:$AD$905,($K812-$N$48))),0))="",0,IF(($K812-$N$48)&lt;1,0,IF(IF(INDEX($AD$176:$AD$905,($K812-$N$48))="",0,INDEX($AD$176:$AD$905,($K812-$N$48)))&gt;0,IF(INDEX($AD$176:$AD$905,($K812-$N$48))="",0,INDEX($AD$176:$AD$905,($K812-$N$48))),0)))=0,"",IF(AND($P811="",$P812=1),($N$37*-1),0)+IF(AND($Q811="",$Q812=1),($N$38*-1),0)+IF(IF(($K812-$N$48)&lt;1,0,IF(IF(INDEX($AD$176:$AD$905,($K812-$N$48))="",0,INDEX($AD$176:$AD$905,($K812-$N$48)))&gt;0,IF(INDEX($AD$176:$AD$905,($K812-$N$48))="",0,INDEX($AD$176:$AD$905,($K812-$N$48))),0))="",0,IF(($K812-$N$48)&lt;1,0,IF(IF(INDEX($AD$176:$AD$905,($K812-$N$48))="",0,INDEX($AD$176:$AD$905,($K812-$N$48)))&gt;0,IF(INDEX($AD$176:$AD$905,($K812-$N$48))="",0,INDEX($AD$176:$AD$905,($K812-$N$48))),0))))</f>
        <v/>
      </c>
      <c r="AC812" s="22" t="str">
        <f t="shared" si="225"/>
        <v/>
      </c>
      <c r="AD812" s="22" t="str">
        <f t="shared" si="237"/>
        <v/>
      </c>
      <c r="AE812" s="22" t="str" cm="1">
        <f t="array" ref="AE812">IF(($K812-$N$48)&lt;1,"",IF((IF(INDEX($AC$176:$AC$905,($K812-$N$48))="",0,INDEX($AC$176:$AC$905,($K812-$N$48))))=0,"",(IF(INDEX($AC$176:$AC$905,($K812-$N$48))="",0,INDEX($AC$176:$AC$905,($K812-$N$48))))))</f>
        <v/>
      </c>
      <c r="AF812" s="31" t="str">
        <f t="shared" si="226"/>
        <v/>
      </c>
      <c r="AG812" s="31" t="str">
        <f t="shared" si="227"/>
        <v/>
      </c>
      <c r="AH812" s="31" t="str">
        <f t="shared" si="228"/>
        <v/>
      </c>
      <c r="AI812" s="31" t="str">
        <f t="shared" si="229"/>
        <v/>
      </c>
      <c r="AJ812" s="303" t="str">
        <f t="shared" si="230"/>
        <v/>
      </c>
      <c r="AK812" s="139" t="str">
        <f t="shared" si="231"/>
        <v/>
      </c>
      <c r="AM812" s="319"/>
      <c r="AN812" s="40"/>
      <c r="AO812" s="1"/>
    </row>
    <row r="813" spans="7:41" x14ac:dyDescent="0.25">
      <c r="G813" s="235" t="str">
        <f t="shared" si="238"/>
        <v/>
      </c>
      <c r="H813" s="4" t="str">
        <f t="shared" si="239"/>
        <v/>
      </c>
      <c r="I813" s="11" t="str">
        <f t="shared" si="219"/>
        <v>09.00</v>
      </c>
      <c r="K813" s="30">
        <v>638</v>
      </c>
      <c r="L813" s="29">
        <f t="shared" si="232"/>
        <v>11371.908376190917</v>
      </c>
      <c r="M813" s="28" t="str">
        <f t="shared" si="220"/>
        <v/>
      </c>
      <c r="N813" s="27" t="str">
        <f t="shared" si="233"/>
        <v/>
      </c>
      <c r="O813" s="26" t="str">
        <f>IF(AND($Q812=$O$38,IFERROR(LARGE($V$176:$V812,1)&lt;$N$42,TRUE)),1,IF(AND(ISNUMBER($O812),$O812&lt;$N$32),$O812+1,""))</f>
        <v/>
      </c>
      <c r="P813" s="26" t="str">
        <f t="shared" si="234"/>
        <v/>
      </c>
      <c r="Q813" s="26" t="str">
        <f t="shared" si="221"/>
        <v/>
      </c>
      <c r="R813" s="24" t="str">
        <f t="shared" si="235"/>
        <v/>
      </c>
      <c r="S813" s="180">
        <f t="shared" si="236"/>
        <v>9</v>
      </c>
      <c r="T813" s="151"/>
      <c r="U813" s="25" t="str">
        <f t="shared" si="222"/>
        <v/>
      </c>
      <c r="V813" s="24" t="str">
        <f>IF(AND(ISNUMBER(R812),ISNUMBER(R813)),V812,IF(AND(R812="",ISNUMBER(R813)),IFERROR(LARGE($V$176:$V812,1)+1,0),""))</f>
        <v/>
      </c>
      <c r="W813" s="23" t="str">
        <f t="shared" si="223"/>
        <v/>
      </c>
      <c r="X813" s="22" t="str">
        <f t="shared" si="224"/>
        <v/>
      </c>
      <c r="Y813" s="22"/>
      <c r="Z813" s="22"/>
      <c r="AA813" s="22"/>
      <c r="AB813" s="22" t="str" cm="1">
        <f t="array" ref="AB813">IF(IF(AND($P812="",$P813=1),($N$37*-1),0)+IF(AND($Q812="",$Q813=1),($N$38*-1),0)+IF(IF(($K813-$N$48)&lt;1,0,IF(IF(INDEX($AD$176:$AD$905,($K813-$N$48))="",0,INDEX($AD$176:$AD$905,($K813-$N$48)))&gt;0,IF(INDEX($AD$176:$AD$905,($K813-$N$48))="",0,INDEX($AD$176:$AD$905,($K813-$N$48))),0))="",0,IF(($K813-$N$48)&lt;1,0,IF(IF(INDEX($AD$176:$AD$905,($K813-$N$48))="",0,INDEX($AD$176:$AD$905,($K813-$N$48)))&gt;0,IF(INDEX($AD$176:$AD$905,($K813-$N$48))="",0,INDEX($AD$176:$AD$905,($K813-$N$48))),0)))=0,"",IF(AND($P812="",$P813=1),($N$37*-1),0)+IF(AND($Q812="",$Q813=1),($N$38*-1),0)+IF(IF(($K813-$N$48)&lt;1,0,IF(IF(INDEX($AD$176:$AD$905,($K813-$N$48))="",0,INDEX($AD$176:$AD$905,($K813-$N$48)))&gt;0,IF(INDEX($AD$176:$AD$905,($K813-$N$48))="",0,INDEX($AD$176:$AD$905,($K813-$N$48))),0))="",0,IF(($K813-$N$48)&lt;1,0,IF(IF(INDEX($AD$176:$AD$905,($K813-$N$48))="",0,INDEX($AD$176:$AD$905,($K813-$N$48)))&gt;0,IF(INDEX($AD$176:$AD$905,($K813-$N$48))="",0,INDEX($AD$176:$AD$905,($K813-$N$48))),0))))</f>
        <v/>
      </c>
      <c r="AC813" s="22" t="str">
        <f t="shared" si="225"/>
        <v/>
      </c>
      <c r="AD813" s="22" t="str">
        <f t="shared" si="237"/>
        <v/>
      </c>
      <c r="AE813" s="22" t="str" cm="1">
        <f t="array" ref="AE813">IF(($K813-$N$48)&lt;1,"",IF((IF(INDEX($AC$176:$AC$905,($K813-$N$48))="",0,INDEX($AC$176:$AC$905,($K813-$N$48))))=0,"",(IF(INDEX($AC$176:$AC$905,($K813-$N$48))="",0,INDEX($AC$176:$AC$905,($K813-$N$48))))))</f>
        <v/>
      </c>
      <c r="AF813" s="31" t="str">
        <f t="shared" si="226"/>
        <v/>
      </c>
      <c r="AG813" s="31" t="str">
        <f t="shared" si="227"/>
        <v/>
      </c>
      <c r="AH813" s="31" t="str">
        <f t="shared" si="228"/>
        <v/>
      </c>
      <c r="AI813" s="31" t="str">
        <f t="shared" si="229"/>
        <v/>
      </c>
      <c r="AJ813" s="303" t="str">
        <f t="shared" si="230"/>
        <v/>
      </c>
      <c r="AK813" s="139" t="str">
        <f t="shared" si="231"/>
        <v/>
      </c>
      <c r="AM813" s="319"/>
      <c r="AN813" s="40"/>
      <c r="AO813" s="1"/>
    </row>
    <row r="814" spans="7:41" x14ac:dyDescent="0.25">
      <c r="G814" s="235" t="str">
        <f t="shared" si="238"/>
        <v/>
      </c>
      <c r="H814" s="4" t="str">
        <f t="shared" si="239"/>
        <v/>
      </c>
      <c r="I814" s="11" t="str">
        <f t="shared" si="219"/>
        <v>09.00</v>
      </c>
      <c r="K814" s="30">
        <v>639</v>
      </c>
      <c r="L814" s="29">
        <f t="shared" si="232"/>
        <v>11371.908376190917</v>
      </c>
      <c r="M814" s="28" t="str">
        <f t="shared" si="220"/>
        <v/>
      </c>
      <c r="N814" s="27" t="str">
        <f t="shared" si="233"/>
        <v/>
      </c>
      <c r="O814" s="26" t="str">
        <f>IF(AND($Q813=$O$38,IFERROR(LARGE($V$176:$V813,1)&lt;$N$42,TRUE)),1,IF(AND(ISNUMBER($O813),$O813&lt;$N$32),$O813+1,""))</f>
        <v/>
      </c>
      <c r="P814" s="26" t="str">
        <f t="shared" si="234"/>
        <v/>
      </c>
      <c r="Q814" s="26" t="str">
        <f t="shared" si="221"/>
        <v/>
      </c>
      <c r="R814" s="24" t="str">
        <f t="shared" si="235"/>
        <v/>
      </c>
      <c r="S814" s="180">
        <f t="shared" si="236"/>
        <v>9</v>
      </c>
      <c r="T814" s="151"/>
      <c r="U814" s="25" t="str">
        <f t="shared" si="222"/>
        <v/>
      </c>
      <c r="V814" s="24" t="str">
        <f>IF(AND(ISNUMBER(R813),ISNUMBER(R814)),V813,IF(AND(R813="",ISNUMBER(R814)),IFERROR(LARGE($V$176:$V813,1)+1,0),""))</f>
        <v/>
      </c>
      <c r="W814" s="23" t="str">
        <f t="shared" si="223"/>
        <v/>
      </c>
      <c r="X814" s="22" t="str">
        <f t="shared" si="224"/>
        <v/>
      </c>
      <c r="Y814" s="22"/>
      <c r="Z814" s="22"/>
      <c r="AA814" s="22"/>
      <c r="AB814" s="22" t="str" cm="1">
        <f t="array" ref="AB814">IF(IF(AND($P813="",$P814=1),($N$37*-1),0)+IF(AND($Q813="",$Q814=1),($N$38*-1),0)+IF(IF(($K814-$N$48)&lt;1,0,IF(IF(INDEX($AD$176:$AD$905,($K814-$N$48))="",0,INDEX($AD$176:$AD$905,($K814-$N$48)))&gt;0,IF(INDEX($AD$176:$AD$905,($K814-$N$48))="",0,INDEX($AD$176:$AD$905,($K814-$N$48))),0))="",0,IF(($K814-$N$48)&lt;1,0,IF(IF(INDEX($AD$176:$AD$905,($K814-$N$48))="",0,INDEX($AD$176:$AD$905,($K814-$N$48)))&gt;0,IF(INDEX($AD$176:$AD$905,($K814-$N$48))="",0,INDEX($AD$176:$AD$905,($K814-$N$48))),0)))=0,"",IF(AND($P813="",$P814=1),($N$37*-1),0)+IF(AND($Q813="",$Q814=1),($N$38*-1),0)+IF(IF(($K814-$N$48)&lt;1,0,IF(IF(INDEX($AD$176:$AD$905,($K814-$N$48))="",0,INDEX($AD$176:$AD$905,($K814-$N$48)))&gt;0,IF(INDEX($AD$176:$AD$905,($K814-$N$48))="",0,INDEX($AD$176:$AD$905,($K814-$N$48))),0))="",0,IF(($K814-$N$48)&lt;1,0,IF(IF(INDEX($AD$176:$AD$905,($K814-$N$48))="",0,INDEX($AD$176:$AD$905,($K814-$N$48)))&gt;0,IF(INDEX($AD$176:$AD$905,($K814-$N$48))="",0,INDEX($AD$176:$AD$905,($K814-$N$48))),0))))</f>
        <v/>
      </c>
      <c r="AC814" s="22" t="str">
        <f t="shared" si="225"/>
        <v/>
      </c>
      <c r="AD814" s="22" t="str">
        <f t="shared" si="237"/>
        <v/>
      </c>
      <c r="AE814" s="22" t="str" cm="1">
        <f t="array" ref="AE814">IF(($K814-$N$48)&lt;1,"",IF((IF(INDEX($AC$176:$AC$905,($K814-$N$48))="",0,INDEX($AC$176:$AC$905,($K814-$N$48))))=0,"",(IF(INDEX($AC$176:$AC$905,($K814-$N$48))="",0,INDEX($AC$176:$AC$905,($K814-$N$48))))))</f>
        <v/>
      </c>
      <c r="AF814" s="31" t="str">
        <f t="shared" si="226"/>
        <v/>
      </c>
      <c r="AG814" s="31" t="str">
        <f t="shared" si="227"/>
        <v/>
      </c>
      <c r="AH814" s="31" t="str">
        <f t="shared" si="228"/>
        <v/>
      </c>
      <c r="AI814" s="31" t="str">
        <f t="shared" si="229"/>
        <v/>
      </c>
      <c r="AJ814" s="303" t="str">
        <f t="shared" si="230"/>
        <v/>
      </c>
      <c r="AK814" s="139" t="str">
        <f t="shared" si="231"/>
        <v/>
      </c>
      <c r="AM814" s="319"/>
      <c r="AN814" s="40"/>
      <c r="AO814" s="1"/>
    </row>
    <row r="815" spans="7:41" x14ac:dyDescent="0.25">
      <c r="G815" s="235" t="str">
        <f t="shared" si="238"/>
        <v/>
      </c>
      <c r="H815" s="4" t="str">
        <f t="shared" si="239"/>
        <v/>
      </c>
      <c r="I815" s="11" t="str">
        <f t="shared" si="219"/>
        <v>09.00</v>
      </c>
      <c r="K815" s="30">
        <v>640</v>
      </c>
      <c r="L815" s="29">
        <f t="shared" si="232"/>
        <v>11371.908376190917</v>
      </c>
      <c r="M815" s="28" t="str">
        <f t="shared" si="220"/>
        <v/>
      </c>
      <c r="N815" s="27" t="str">
        <f t="shared" si="233"/>
        <v/>
      </c>
      <c r="O815" s="26" t="str">
        <f>IF(AND($Q814=$O$38,IFERROR(LARGE($V$176:$V814,1)&lt;$N$42,TRUE)),1,IF(AND(ISNUMBER($O814),$O814&lt;$N$32),$O814+1,""))</f>
        <v/>
      </c>
      <c r="P815" s="26" t="str">
        <f t="shared" si="234"/>
        <v/>
      </c>
      <c r="Q815" s="26" t="str">
        <f t="shared" si="221"/>
        <v/>
      </c>
      <c r="R815" s="24" t="str">
        <f t="shared" si="235"/>
        <v/>
      </c>
      <c r="S815" s="180">
        <f t="shared" si="236"/>
        <v>9</v>
      </c>
      <c r="T815" s="151"/>
      <c r="U815" s="25" t="str">
        <f t="shared" si="222"/>
        <v/>
      </c>
      <c r="V815" s="24" t="str">
        <f>IF(AND(ISNUMBER(R814),ISNUMBER(R815)),V814,IF(AND(R814="",ISNUMBER(R815)),IFERROR(LARGE($V$176:$V814,1)+1,0),""))</f>
        <v/>
      </c>
      <c r="W815" s="23" t="str">
        <f t="shared" si="223"/>
        <v/>
      </c>
      <c r="X815" s="22" t="str">
        <f t="shared" si="224"/>
        <v/>
      </c>
      <c r="Y815" s="22"/>
      <c r="Z815" s="22"/>
      <c r="AA815" s="22"/>
      <c r="AB815" s="22" t="str" cm="1">
        <f t="array" ref="AB815">IF(IF(AND($P814="",$P815=1),($N$37*-1),0)+IF(AND($Q814="",$Q815=1),($N$38*-1),0)+IF(IF(($K815-$N$48)&lt;1,0,IF(IF(INDEX($AD$176:$AD$905,($K815-$N$48))="",0,INDEX($AD$176:$AD$905,($K815-$N$48)))&gt;0,IF(INDEX($AD$176:$AD$905,($K815-$N$48))="",0,INDEX($AD$176:$AD$905,($K815-$N$48))),0))="",0,IF(($K815-$N$48)&lt;1,0,IF(IF(INDEX($AD$176:$AD$905,($K815-$N$48))="",0,INDEX($AD$176:$AD$905,($K815-$N$48)))&gt;0,IF(INDEX($AD$176:$AD$905,($K815-$N$48))="",0,INDEX($AD$176:$AD$905,($K815-$N$48))),0)))=0,"",IF(AND($P814="",$P815=1),($N$37*-1),0)+IF(AND($Q814="",$Q815=1),($N$38*-1),0)+IF(IF(($K815-$N$48)&lt;1,0,IF(IF(INDEX($AD$176:$AD$905,($K815-$N$48))="",0,INDEX($AD$176:$AD$905,($K815-$N$48)))&gt;0,IF(INDEX($AD$176:$AD$905,($K815-$N$48))="",0,INDEX($AD$176:$AD$905,($K815-$N$48))),0))="",0,IF(($K815-$N$48)&lt;1,0,IF(IF(INDEX($AD$176:$AD$905,($K815-$N$48))="",0,INDEX($AD$176:$AD$905,($K815-$N$48)))&gt;0,IF(INDEX($AD$176:$AD$905,($K815-$N$48))="",0,INDEX($AD$176:$AD$905,($K815-$N$48))),0))))</f>
        <v/>
      </c>
      <c r="AC815" s="22" t="str">
        <f t="shared" si="225"/>
        <v/>
      </c>
      <c r="AD815" s="22" t="str">
        <f t="shared" si="237"/>
        <v/>
      </c>
      <c r="AE815" s="22" t="str" cm="1">
        <f t="array" ref="AE815">IF(($K815-$N$48)&lt;1,"",IF((IF(INDEX($AC$176:$AC$905,($K815-$N$48))="",0,INDEX($AC$176:$AC$905,($K815-$N$48))))=0,"",(IF(INDEX($AC$176:$AC$905,($K815-$N$48))="",0,INDEX($AC$176:$AC$905,($K815-$N$48))))))</f>
        <v/>
      </c>
      <c r="AF815" s="31" t="str">
        <f t="shared" si="226"/>
        <v/>
      </c>
      <c r="AG815" s="31" t="str">
        <f t="shared" si="227"/>
        <v/>
      </c>
      <c r="AH815" s="31" t="str">
        <f t="shared" si="228"/>
        <v/>
      </c>
      <c r="AI815" s="31" t="str">
        <f t="shared" si="229"/>
        <v/>
      </c>
      <c r="AJ815" s="303" t="str">
        <f t="shared" si="230"/>
        <v/>
      </c>
      <c r="AK815" s="139" t="str">
        <f t="shared" si="231"/>
        <v/>
      </c>
      <c r="AM815" s="319"/>
      <c r="AN815" s="40"/>
      <c r="AO815" s="1"/>
    </row>
    <row r="816" spans="7:41" x14ac:dyDescent="0.25">
      <c r="G816" s="235" t="str">
        <f t="shared" si="238"/>
        <v/>
      </c>
      <c r="H816" s="4" t="str">
        <f t="shared" si="239"/>
        <v/>
      </c>
      <c r="I816" s="11" t="str">
        <f t="shared" ref="I816:I879" si="240">CONCATENATE(IF(LEN(ROUNDDOWN(S816,0))=1,CONCATENATE("0",ROUNDDOWN(S816,0)),ROUNDDOWN(S816,0)),".",IF(LEN(ROUND(MOD(S816,1)*100,0))=1,CONCATENATE("0",ROUND(MOD(S816,1)*100,0)),ROUND(MOD(S816,1)*100,0)),IF(N816&lt;&gt;"",".N.",IF(O816&lt;&gt;"",".R.",IF(P816&lt;&gt;"",".O.",IF(Q816&lt;&gt;"",".I.",IF(R816&lt;&gt;"",".D.",""))))),IF(N816&lt;&gt;"",N816,IF(O816&lt;&gt;"",O816,IF(P816&lt;&gt;"",P816,IF(Q816&lt;&gt;"",Q816,IF(R816&lt;&gt;"",IF(MOD(R816,$N$44)=0,$N$44,MOD(R816,$N$44)),""))))))</f>
        <v>09.00</v>
      </c>
      <c r="K816" s="30">
        <v>641</v>
      </c>
      <c r="L816" s="29">
        <f t="shared" si="232"/>
        <v>11371.908376190917</v>
      </c>
      <c r="M816" s="28" t="str">
        <f t="shared" ref="M816:M879" si="241">IFERROR(IF(IF($K816=1,(($M$23*-1)+($M$24*-1)),IF(ISNUMBER(W816),W816,0)+IF(ISNUMBER(X816),X816,0)+IF(ISNUMBER(AB816),AB816,0)+IF(ISNUMBER(AE816),AE816,0)+IF(ISNUMBER(AF816),AF816,0)+IF(ISNUMBER(AG816),AG816,0)+IF(ISNUMBER(AH816),AH816,0)+IF(ISNUMBER(AI816),AI816,0)+IF(ISNUMBER(AK816),AK816,0))=0,"",IF($K816=1,(($M$23*-1)+($M$24*-1)),IF(ISNUMBER(W816),W816,0)+IF(ISNUMBER(X816),X816,0)+IF(ISNUMBER(AB816),AB816,0)+IF(ISNUMBER(AE816),AE816,0)+IF(ISNUMBER(AF816),AF816,0)+IF(ISNUMBER(AG816),AG816,0)+IF(ISNUMBER(AH816),AH816,0)+IF(ISNUMBER(AI816),AI816,0)+IF(ISNUMBER(AK816),AK816,0))),"")</f>
        <v/>
      </c>
      <c r="N816" s="27" t="str">
        <f t="shared" si="233"/>
        <v/>
      </c>
      <c r="O816" s="26" t="str">
        <f>IF(AND($Q815=$O$38,IFERROR(LARGE($V$176:$V815,1)&lt;$N$42,TRUE)),1,IF(AND(ISNUMBER($O815),$O815&lt;$N$32),$O815+1,""))</f>
        <v/>
      </c>
      <c r="P816" s="26" t="str">
        <f t="shared" si="234"/>
        <v/>
      </c>
      <c r="Q816" s="26" t="str">
        <f t="shared" ref="Q816:Q879" si="242">IF($R815=($N$43*$N$44),1,IF(AND(ISNUMBER($Q815),$Q815&lt;$O$38),$Q815+1,""))</f>
        <v/>
      </c>
      <c r="R816" s="24" t="str">
        <f t="shared" si="235"/>
        <v/>
      </c>
      <c r="S816" s="180">
        <f t="shared" si="236"/>
        <v>9</v>
      </c>
      <c r="T816" s="151"/>
      <c r="U816" s="25" t="str">
        <f t="shared" ref="U816:U879" si="243">IF(ISNUMBER($R816),ROUNDUP($R816/$N$44,0),"")</f>
        <v/>
      </c>
      <c r="V816" s="24" t="str">
        <f>IF(AND(ISNUMBER(R815),ISNUMBER(R816)),V815,IF(AND(R815="",ISNUMBER(R816)),IFERROR(LARGE($V$176:$V815,1)+1,0),""))</f>
        <v/>
      </c>
      <c r="W816" s="23" t="str">
        <f t="shared" ref="W816:W879" si="244">IF($O816=1,($M$30*-1),"")</f>
        <v/>
      </c>
      <c r="X816" s="22" t="str">
        <f t="shared" ref="X816:X879" si="245">IF($K816=1,($M$24*-1),IF($O816=1,($M$31*-1),""))</f>
        <v/>
      </c>
      <c r="Y816" s="22"/>
      <c r="Z816" s="22"/>
      <c r="AA816" s="22"/>
      <c r="AB816" s="22" t="str" cm="1">
        <f t="array" ref="AB816">IF(IF(AND($P815="",$P816=1),($N$37*-1),0)+IF(AND($Q815="",$Q816=1),($N$38*-1),0)+IF(IF(($K816-$N$48)&lt;1,0,IF(IF(INDEX($AD$176:$AD$905,($K816-$N$48))="",0,INDEX($AD$176:$AD$905,($K816-$N$48)))&gt;0,IF(INDEX($AD$176:$AD$905,($K816-$N$48))="",0,INDEX($AD$176:$AD$905,($K816-$N$48))),0))="",0,IF(($K816-$N$48)&lt;1,0,IF(IF(INDEX($AD$176:$AD$905,($K816-$N$48))="",0,INDEX($AD$176:$AD$905,($K816-$N$48)))&gt;0,IF(INDEX($AD$176:$AD$905,($K816-$N$48))="",0,INDEX($AD$176:$AD$905,($K816-$N$48))),0)))=0,"",IF(AND($P815="",$P816=1),($N$37*-1),0)+IF(AND($Q815="",$Q816=1),($N$38*-1),0)+IF(IF(($K816-$N$48)&lt;1,0,IF(IF(INDEX($AD$176:$AD$905,($K816-$N$48))="",0,INDEX($AD$176:$AD$905,($K816-$N$48)))&gt;0,IF(INDEX($AD$176:$AD$905,($K816-$N$48))="",0,INDEX($AD$176:$AD$905,($K816-$N$48))),0))="",0,IF(($K816-$N$48)&lt;1,0,IF(IF(INDEX($AD$176:$AD$905,($K816-$N$48))="",0,INDEX($AD$176:$AD$905,($K816-$N$48)))&gt;0,IF(INDEX($AD$176:$AD$905,($K816-$N$48))="",0,INDEX($AD$176:$AD$905,($K816-$N$48))),0))))</f>
        <v/>
      </c>
      <c r="AC816" s="22" t="str">
        <f t="shared" ref="AC816:AC879" si="246">IF(IF(OR(AND(ISNUMBER($U816),IF(ISNUMBER($U817),$U817,0)-IF(ISNUMBER($U816),$U816,0)=1),AND(ISNUMBER($U816),$U817="")),VLOOKUP(IF($U816&gt;$L$63,$L$63,$U816),$L$52:$N$63,COLUMNS($L$52:$N$52),FALSE),0)=0,"",IF(OR(AND(ISNUMBER($U816),IF(ISNUMBER($U817),$U817,0)-IF(ISNUMBER($U816),$U816,0)=1),AND(ISNUMBER($U816),$U817="")),VLOOKUP(IF($U816&gt;$L$63,$L$63,$U816),$L$52:$N$63,COLUMNS($L$52:$N$52),FALSE),0))</f>
        <v/>
      </c>
      <c r="AD816" s="22" t="str">
        <f t="shared" si="237"/>
        <v/>
      </c>
      <c r="AE816" s="22" t="str" cm="1">
        <f t="array" ref="AE816">IF(($K816-$N$48)&lt;1,"",IF((IF(INDEX($AC$176:$AC$905,($K816-$N$48))="",0,INDEX($AC$176:$AC$905,($K816-$N$48))))=0,"",(IF(INDEX($AC$176:$AC$905,($K816-$N$48))="",0,INDEX($AC$176:$AC$905,($K816-$N$48))))))</f>
        <v/>
      </c>
      <c r="AF816" s="31" t="str">
        <f t="shared" ref="AF816:AF879" si="247">IF($O$67="Invoice",IF(AND(ISNUMBER($AC816),ISNUMBER($O$68)),$AC816*$O$68*-1,""),IF($O$67="Payment",IF(AND(ISNUMBER($AE816),ISNUMBER($O$68)),$AE816*$O$68*-1,""),""))</f>
        <v/>
      </c>
      <c r="AG816" s="31" t="str">
        <f t="shared" ref="AG816:AG879" si="248">IF($O$67="Invoice",IF(AND(ISNUMBER($AC816),ISNUMBER($O$69)),$AC816*$O$69*-1,""),IF($O$67="Payment",IF(AND(ISNUMBER($AE816),ISNUMBER($O$69)),$AE816*$O$69*-1,""),""))</f>
        <v/>
      </c>
      <c r="AH816" s="31" t="str">
        <f t="shared" ref="AH816:AH879" si="249">IF($O$67="Invoice",IF(AND(ISNUMBER($AC816),ISNUMBER($O$70)),$AC816*$O$70*-1,""),IF($O$67="Payment",IF(AND(ISNUMBER($AE816),ISNUMBER($O$70)),$AE816*$O$70*-1,""),""))</f>
        <v/>
      </c>
      <c r="AI816" s="31" t="str">
        <f t="shared" ref="AI816:AI879" si="250">IF($O$67="Invoice",IF(AND(ISNUMBER($AC816),ISNUMBER($O$71)),$AC816*$O$71*-1,""),IF($O$67="Payment",IF(AND(ISNUMBER($AE816),ISNUMBER($O$71)),$AE816*$O$71*-1,""),""))</f>
        <v/>
      </c>
      <c r="AJ816" s="303" t="str">
        <f t="shared" ref="AJ816:AJ879" si="251">IF($O$67="Invoice",IF(AND(ISNUMBER($AC816),ISNUMBER($O$72)),$AC816*$O$72*-1,""),IF($O$67="Payment",IF(AND(ISNUMBER($AE816),ISNUMBER($O$72)),$AE816*$O$72*-1,""),""))</f>
        <v/>
      </c>
      <c r="AK816" s="139" t="str">
        <f t="shared" ref="AK816:AK879" si="252">IF($O$67="Invoice",IF(AND(ISNUMBER($AC816),ISNUMBER($O$73)),$AC816*$O$73*-1,""),IF($O$67="Payment",IF(AND(ISNUMBER($AE816),ISNUMBER($O$73)),$AE816*$O$73*-1,""),""))</f>
        <v/>
      </c>
      <c r="AM816" s="319"/>
      <c r="AN816" s="40"/>
      <c r="AO816" s="1"/>
    </row>
    <row r="817" spans="7:41" x14ac:dyDescent="0.25">
      <c r="G817" s="235" t="str">
        <f t="shared" si="238"/>
        <v/>
      </c>
      <c r="H817" s="4" t="str">
        <f t="shared" si="239"/>
        <v/>
      </c>
      <c r="I817" s="11" t="str">
        <f t="shared" si="240"/>
        <v>09.00</v>
      </c>
      <c r="K817" s="30">
        <v>642</v>
      </c>
      <c r="L817" s="29">
        <f t="shared" ref="L817:L880" si="253">IF(ISNUMBER($M817),$M817+$L816,$L816)</f>
        <v>11371.908376190917</v>
      </c>
      <c r="M817" s="28" t="str">
        <f t="shared" si="241"/>
        <v/>
      </c>
      <c r="N817" s="27" t="str">
        <f t="shared" ref="N817:N880" si="254">IF($K816&lt;$N$25,$N816+1,"")</f>
        <v/>
      </c>
      <c r="O817" s="26" t="str">
        <f>IF(AND($Q816=$O$38,IFERROR(LARGE($V$176:$V816,1)&lt;$N$42,TRUE)),1,IF(AND(ISNUMBER($O816),$O816&lt;$N$32),$O816+1,""))</f>
        <v/>
      </c>
      <c r="P817" s="26" t="str">
        <f t="shared" ref="P817:P880" si="255">IF(OR($N816=$N$25,O816=$N$32),1,IF(AND($P816&lt;$O$37,P816&gt;0),P816+1,""))</f>
        <v/>
      </c>
      <c r="Q817" s="26" t="str">
        <f t="shared" si="242"/>
        <v/>
      </c>
      <c r="R817" s="24" t="str">
        <f t="shared" ref="R817:R880" si="256">IF(AND($P816=$O$37,$R816=""),1,IF($R816&lt;($N$43*$N$44),$R816+1,""))</f>
        <v/>
      </c>
      <c r="S817" s="180">
        <f t="shared" si="236"/>
        <v>9</v>
      </c>
      <c r="T817" s="151"/>
      <c r="U817" s="25" t="str">
        <f t="shared" si="243"/>
        <v/>
      </c>
      <c r="V817" s="24" t="str">
        <f>IF(AND(ISNUMBER(R816),ISNUMBER(R817)),V816,IF(AND(R816="",ISNUMBER(R817)),IFERROR(LARGE($V$176:$V816,1)+1,0),""))</f>
        <v/>
      </c>
      <c r="W817" s="23" t="str">
        <f t="shared" si="244"/>
        <v/>
      </c>
      <c r="X817" s="22" t="str">
        <f t="shared" si="245"/>
        <v/>
      </c>
      <c r="Y817" s="22"/>
      <c r="Z817" s="22"/>
      <c r="AA817" s="22"/>
      <c r="AB817" s="22" t="str" cm="1">
        <f t="array" ref="AB817">IF(IF(AND($P816="",$P817=1),($N$37*-1),0)+IF(AND($Q816="",$Q817=1),($N$38*-1),0)+IF(IF(($K817-$N$48)&lt;1,0,IF(IF(INDEX($AD$176:$AD$905,($K817-$N$48))="",0,INDEX($AD$176:$AD$905,($K817-$N$48)))&gt;0,IF(INDEX($AD$176:$AD$905,($K817-$N$48))="",0,INDEX($AD$176:$AD$905,($K817-$N$48))),0))="",0,IF(($K817-$N$48)&lt;1,0,IF(IF(INDEX($AD$176:$AD$905,($K817-$N$48))="",0,INDEX($AD$176:$AD$905,($K817-$N$48)))&gt;0,IF(INDEX($AD$176:$AD$905,($K817-$N$48))="",0,INDEX($AD$176:$AD$905,($K817-$N$48))),0)))=0,"",IF(AND($P816="",$P817=1),($N$37*-1),0)+IF(AND($Q816="",$Q817=1),($N$38*-1),0)+IF(IF(($K817-$N$48)&lt;1,0,IF(IF(INDEX($AD$176:$AD$905,($K817-$N$48))="",0,INDEX($AD$176:$AD$905,($K817-$N$48)))&gt;0,IF(INDEX($AD$176:$AD$905,($K817-$N$48))="",0,INDEX($AD$176:$AD$905,($K817-$N$48))),0))="",0,IF(($K817-$N$48)&lt;1,0,IF(IF(INDEX($AD$176:$AD$905,($K817-$N$48))="",0,INDEX($AD$176:$AD$905,($K817-$N$48)))&gt;0,IF(INDEX($AD$176:$AD$905,($K817-$N$48))="",0,INDEX($AD$176:$AD$905,($K817-$N$48))),0))))</f>
        <v/>
      </c>
      <c r="AC817" s="22" t="str">
        <f t="shared" si="246"/>
        <v/>
      </c>
      <c r="AD817" s="22" t="str">
        <f t="shared" si="237"/>
        <v/>
      </c>
      <c r="AE817" s="22" t="str" cm="1">
        <f t="array" ref="AE817">IF(($K817-$N$48)&lt;1,"",IF((IF(INDEX($AC$176:$AC$905,($K817-$N$48))="",0,INDEX($AC$176:$AC$905,($K817-$N$48))))=0,"",(IF(INDEX($AC$176:$AC$905,($K817-$N$48))="",0,INDEX($AC$176:$AC$905,($K817-$N$48))))))</f>
        <v/>
      </c>
      <c r="AF817" s="31" t="str">
        <f t="shared" si="247"/>
        <v/>
      </c>
      <c r="AG817" s="31" t="str">
        <f t="shared" si="248"/>
        <v/>
      </c>
      <c r="AH817" s="31" t="str">
        <f t="shared" si="249"/>
        <v/>
      </c>
      <c r="AI817" s="31" t="str">
        <f t="shared" si="250"/>
        <v/>
      </c>
      <c r="AJ817" s="303" t="str">
        <f t="shared" si="251"/>
        <v/>
      </c>
      <c r="AK817" s="139" t="str">
        <f t="shared" si="252"/>
        <v/>
      </c>
      <c r="AM817" s="319"/>
      <c r="AN817" s="40"/>
      <c r="AO817" s="1"/>
    </row>
    <row r="818" spans="7:41" x14ac:dyDescent="0.25">
      <c r="G818" s="235" t="str">
        <f t="shared" si="238"/>
        <v/>
      </c>
      <c r="H818" s="4" t="str">
        <f t="shared" si="239"/>
        <v/>
      </c>
      <c r="I818" s="11" t="str">
        <f t="shared" si="240"/>
        <v>09.00</v>
      </c>
      <c r="K818" s="30">
        <v>643</v>
      </c>
      <c r="L818" s="29">
        <f t="shared" si="253"/>
        <v>11371.908376190917</v>
      </c>
      <c r="M818" s="28" t="str">
        <f t="shared" si="241"/>
        <v/>
      </c>
      <c r="N818" s="27" t="str">
        <f t="shared" si="254"/>
        <v/>
      </c>
      <c r="O818" s="26" t="str">
        <f>IF(AND($Q817=$O$38,IFERROR(LARGE($V$176:$V817,1)&lt;$N$42,TRUE)),1,IF(AND(ISNUMBER($O817),$O817&lt;$N$32),$O817+1,""))</f>
        <v/>
      </c>
      <c r="P818" s="26" t="str">
        <f t="shared" si="255"/>
        <v/>
      </c>
      <c r="Q818" s="26" t="str">
        <f t="shared" si="242"/>
        <v/>
      </c>
      <c r="R818" s="24" t="str">
        <f t="shared" si="256"/>
        <v/>
      </c>
      <c r="S818" s="180">
        <f t="shared" si="236"/>
        <v>9</v>
      </c>
      <c r="T818" s="151"/>
      <c r="U818" s="25" t="str">
        <f t="shared" si="243"/>
        <v/>
      </c>
      <c r="V818" s="24" t="str">
        <f>IF(AND(ISNUMBER(R817),ISNUMBER(R818)),V817,IF(AND(R817="",ISNUMBER(R818)),IFERROR(LARGE($V$176:$V817,1)+1,0),""))</f>
        <v/>
      </c>
      <c r="W818" s="23" t="str">
        <f t="shared" si="244"/>
        <v/>
      </c>
      <c r="X818" s="22" t="str">
        <f t="shared" si="245"/>
        <v/>
      </c>
      <c r="Y818" s="22"/>
      <c r="Z818" s="22"/>
      <c r="AA818" s="22"/>
      <c r="AB818" s="22" t="str" cm="1">
        <f t="array" ref="AB818">IF(IF(AND($P817="",$P818=1),($N$37*-1),0)+IF(AND($Q817="",$Q818=1),($N$38*-1),0)+IF(IF(($K818-$N$48)&lt;1,0,IF(IF(INDEX($AD$176:$AD$905,($K818-$N$48))="",0,INDEX($AD$176:$AD$905,($K818-$N$48)))&gt;0,IF(INDEX($AD$176:$AD$905,($K818-$N$48))="",0,INDEX($AD$176:$AD$905,($K818-$N$48))),0))="",0,IF(($K818-$N$48)&lt;1,0,IF(IF(INDEX($AD$176:$AD$905,($K818-$N$48))="",0,INDEX($AD$176:$AD$905,($K818-$N$48)))&gt;0,IF(INDEX($AD$176:$AD$905,($K818-$N$48))="",0,INDEX($AD$176:$AD$905,($K818-$N$48))),0)))=0,"",IF(AND($P817="",$P818=1),($N$37*-1),0)+IF(AND($Q817="",$Q818=1),($N$38*-1),0)+IF(IF(($K818-$N$48)&lt;1,0,IF(IF(INDEX($AD$176:$AD$905,($K818-$N$48))="",0,INDEX($AD$176:$AD$905,($K818-$N$48)))&gt;0,IF(INDEX($AD$176:$AD$905,($K818-$N$48))="",0,INDEX($AD$176:$AD$905,($K818-$N$48))),0))="",0,IF(($K818-$N$48)&lt;1,0,IF(IF(INDEX($AD$176:$AD$905,($K818-$N$48))="",0,INDEX($AD$176:$AD$905,($K818-$N$48)))&gt;0,IF(INDEX($AD$176:$AD$905,($K818-$N$48))="",0,INDEX($AD$176:$AD$905,($K818-$N$48))),0))))</f>
        <v/>
      </c>
      <c r="AC818" s="22" t="str">
        <f t="shared" si="246"/>
        <v/>
      </c>
      <c r="AD818" s="22" t="str">
        <f t="shared" si="237"/>
        <v/>
      </c>
      <c r="AE818" s="22" t="str" cm="1">
        <f t="array" ref="AE818">IF(($K818-$N$48)&lt;1,"",IF((IF(INDEX($AC$176:$AC$905,($K818-$N$48))="",0,INDEX($AC$176:$AC$905,($K818-$N$48))))=0,"",(IF(INDEX($AC$176:$AC$905,($K818-$N$48))="",0,INDEX($AC$176:$AC$905,($K818-$N$48))))))</f>
        <v/>
      </c>
      <c r="AF818" s="31" t="str">
        <f t="shared" si="247"/>
        <v/>
      </c>
      <c r="AG818" s="31" t="str">
        <f t="shared" si="248"/>
        <v/>
      </c>
      <c r="AH818" s="31" t="str">
        <f t="shared" si="249"/>
        <v/>
      </c>
      <c r="AI818" s="31" t="str">
        <f t="shared" si="250"/>
        <v/>
      </c>
      <c r="AJ818" s="303" t="str">
        <f t="shared" si="251"/>
        <v/>
      </c>
      <c r="AK818" s="139" t="str">
        <f t="shared" si="252"/>
        <v/>
      </c>
      <c r="AM818" s="319"/>
      <c r="AN818" s="40"/>
      <c r="AO818" s="1"/>
    </row>
    <row r="819" spans="7:41" x14ac:dyDescent="0.25">
      <c r="G819" s="235" t="str">
        <f t="shared" si="238"/>
        <v/>
      </c>
      <c r="H819" s="4" t="str">
        <f t="shared" si="239"/>
        <v/>
      </c>
      <c r="I819" s="11" t="str">
        <f t="shared" si="240"/>
        <v>09.00</v>
      </c>
      <c r="K819" s="30">
        <v>644</v>
      </c>
      <c r="L819" s="29">
        <f t="shared" si="253"/>
        <v>11371.908376190917</v>
      </c>
      <c r="M819" s="28" t="str">
        <f t="shared" si="241"/>
        <v/>
      </c>
      <c r="N819" s="27" t="str">
        <f t="shared" si="254"/>
        <v/>
      </c>
      <c r="O819" s="26" t="str">
        <f>IF(AND($Q818=$O$38,IFERROR(LARGE($V$176:$V818,1)&lt;$N$42,TRUE)),1,IF(AND(ISNUMBER($O818),$O818&lt;$N$32),$O818+1,""))</f>
        <v/>
      </c>
      <c r="P819" s="26" t="str">
        <f t="shared" si="255"/>
        <v/>
      </c>
      <c r="Q819" s="26" t="str">
        <f t="shared" si="242"/>
        <v/>
      </c>
      <c r="R819" s="24" t="str">
        <f t="shared" si="256"/>
        <v/>
      </c>
      <c r="S819" s="180">
        <f t="shared" si="236"/>
        <v>9</v>
      </c>
      <c r="T819" s="151"/>
      <c r="U819" s="25" t="str">
        <f t="shared" si="243"/>
        <v/>
      </c>
      <c r="V819" s="24" t="str">
        <f>IF(AND(ISNUMBER(R818),ISNUMBER(R819)),V818,IF(AND(R818="",ISNUMBER(R819)),IFERROR(LARGE($V$176:$V818,1)+1,0),""))</f>
        <v/>
      </c>
      <c r="W819" s="23" t="str">
        <f t="shared" si="244"/>
        <v/>
      </c>
      <c r="X819" s="22" t="str">
        <f t="shared" si="245"/>
        <v/>
      </c>
      <c r="Y819" s="22"/>
      <c r="Z819" s="22"/>
      <c r="AA819" s="22"/>
      <c r="AB819" s="22" t="str" cm="1">
        <f t="array" ref="AB819">IF(IF(AND($P818="",$P819=1),($N$37*-1),0)+IF(AND($Q818="",$Q819=1),($N$38*-1),0)+IF(IF(($K819-$N$48)&lt;1,0,IF(IF(INDEX($AD$176:$AD$905,($K819-$N$48))="",0,INDEX($AD$176:$AD$905,($K819-$N$48)))&gt;0,IF(INDEX($AD$176:$AD$905,($K819-$N$48))="",0,INDEX($AD$176:$AD$905,($K819-$N$48))),0))="",0,IF(($K819-$N$48)&lt;1,0,IF(IF(INDEX($AD$176:$AD$905,($K819-$N$48))="",0,INDEX($AD$176:$AD$905,($K819-$N$48)))&gt;0,IF(INDEX($AD$176:$AD$905,($K819-$N$48))="",0,INDEX($AD$176:$AD$905,($K819-$N$48))),0)))=0,"",IF(AND($P818="",$P819=1),($N$37*-1),0)+IF(AND($Q818="",$Q819=1),($N$38*-1),0)+IF(IF(($K819-$N$48)&lt;1,0,IF(IF(INDEX($AD$176:$AD$905,($K819-$N$48))="",0,INDEX($AD$176:$AD$905,($K819-$N$48)))&gt;0,IF(INDEX($AD$176:$AD$905,($K819-$N$48))="",0,INDEX($AD$176:$AD$905,($K819-$N$48))),0))="",0,IF(($K819-$N$48)&lt;1,0,IF(IF(INDEX($AD$176:$AD$905,($K819-$N$48))="",0,INDEX($AD$176:$AD$905,($K819-$N$48)))&gt;0,IF(INDEX($AD$176:$AD$905,($K819-$N$48))="",0,INDEX($AD$176:$AD$905,($K819-$N$48))),0))))</f>
        <v/>
      </c>
      <c r="AC819" s="22" t="str">
        <f t="shared" si="246"/>
        <v/>
      </c>
      <c r="AD819" s="22" t="str">
        <f t="shared" si="237"/>
        <v/>
      </c>
      <c r="AE819" s="22" t="str" cm="1">
        <f t="array" ref="AE819">IF(($K819-$N$48)&lt;1,"",IF((IF(INDEX($AC$176:$AC$905,($K819-$N$48))="",0,INDEX($AC$176:$AC$905,($K819-$N$48))))=0,"",(IF(INDEX($AC$176:$AC$905,($K819-$N$48))="",0,INDEX($AC$176:$AC$905,($K819-$N$48))))))</f>
        <v/>
      </c>
      <c r="AF819" s="31" t="str">
        <f t="shared" si="247"/>
        <v/>
      </c>
      <c r="AG819" s="31" t="str">
        <f t="shared" si="248"/>
        <v/>
      </c>
      <c r="AH819" s="31" t="str">
        <f t="shared" si="249"/>
        <v/>
      </c>
      <c r="AI819" s="31" t="str">
        <f t="shared" si="250"/>
        <v/>
      </c>
      <c r="AJ819" s="303" t="str">
        <f t="shared" si="251"/>
        <v/>
      </c>
      <c r="AK819" s="139" t="str">
        <f t="shared" si="252"/>
        <v/>
      </c>
    </row>
    <row r="820" spans="7:41" x14ac:dyDescent="0.25">
      <c r="G820" s="235" t="str">
        <f t="shared" si="238"/>
        <v/>
      </c>
      <c r="H820" s="4" t="str">
        <f t="shared" si="239"/>
        <v/>
      </c>
      <c r="I820" s="11" t="str">
        <f t="shared" si="240"/>
        <v>09.00</v>
      </c>
      <c r="K820" s="30">
        <v>645</v>
      </c>
      <c r="L820" s="29">
        <f t="shared" si="253"/>
        <v>11371.908376190917</v>
      </c>
      <c r="M820" s="28" t="str">
        <f t="shared" si="241"/>
        <v/>
      </c>
      <c r="N820" s="27" t="str">
        <f t="shared" si="254"/>
        <v/>
      </c>
      <c r="O820" s="26" t="str">
        <f>IF(AND($Q819=$O$38,IFERROR(LARGE($V$176:$V819,1)&lt;$N$42,TRUE)),1,IF(AND(ISNUMBER($O819),$O819&lt;$N$32),$O819+1,""))</f>
        <v/>
      </c>
      <c r="P820" s="26" t="str">
        <f t="shared" si="255"/>
        <v/>
      </c>
      <c r="Q820" s="26" t="str">
        <f t="shared" si="242"/>
        <v/>
      </c>
      <c r="R820" s="24" t="str">
        <f t="shared" si="256"/>
        <v/>
      </c>
      <c r="S820" s="180">
        <f t="shared" si="236"/>
        <v>9</v>
      </c>
      <c r="T820" s="151"/>
      <c r="U820" s="25" t="str">
        <f t="shared" si="243"/>
        <v/>
      </c>
      <c r="V820" s="24" t="str">
        <f>IF(AND(ISNUMBER(R819),ISNUMBER(R820)),V819,IF(AND(R819="",ISNUMBER(R820)),IFERROR(LARGE($V$176:$V819,1)+1,0),""))</f>
        <v/>
      </c>
      <c r="W820" s="23" t="str">
        <f t="shared" si="244"/>
        <v/>
      </c>
      <c r="X820" s="22" t="str">
        <f t="shared" si="245"/>
        <v/>
      </c>
      <c r="Y820" s="22"/>
      <c r="Z820" s="22"/>
      <c r="AA820" s="22"/>
      <c r="AB820" s="22" t="str" cm="1">
        <f t="array" ref="AB820">IF(IF(AND($P819="",$P820=1),($N$37*-1),0)+IF(AND($Q819="",$Q820=1),($N$38*-1),0)+IF(IF(($K820-$N$48)&lt;1,0,IF(IF(INDEX($AD$176:$AD$905,($K820-$N$48))="",0,INDEX($AD$176:$AD$905,($K820-$N$48)))&gt;0,IF(INDEX($AD$176:$AD$905,($K820-$N$48))="",0,INDEX($AD$176:$AD$905,($K820-$N$48))),0))="",0,IF(($K820-$N$48)&lt;1,0,IF(IF(INDEX($AD$176:$AD$905,($K820-$N$48))="",0,INDEX($AD$176:$AD$905,($K820-$N$48)))&gt;0,IF(INDEX($AD$176:$AD$905,($K820-$N$48))="",0,INDEX($AD$176:$AD$905,($K820-$N$48))),0)))=0,"",IF(AND($P819="",$P820=1),($N$37*-1),0)+IF(AND($Q819="",$Q820=1),($N$38*-1),0)+IF(IF(($K820-$N$48)&lt;1,0,IF(IF(INDEX($AD$176:$AD$905,($K820-$N$48))="",0,INDEX($AD$176:$AD$905,($K820-$N$48)))&gt;0,IF(INDEX($AD$176:$AD$905,($K820-$N$48))="",0,INDEX($AD$176:$AD$905,($K820-$N$48))),0))="",0,IF(($K820-$N$48)&lt;1,0,IF(IF(INDEX($AD$176:$AD$905,($K820-$N$48))="",0,INDEX($AD$176:$AD$905,($K820-$N$48)))&gt;0,IF(INDEX($AD$176:$AD$905,($K820-$N$48))="",0,INDEX($AD$176:$AD$905,($K820-$N$48))),0))))</f>
        <v/>
      </c>
      <c r="AC820" s="22" t="str">
        <f t="shared" si="246"/>
        <v/>
      </c>
      <c r="AD820" s="22" t="str">
        <f t="shared" si="237"/>
        <v/>
      </c>
      <c r="AE820" s="22" t="str" cm="1">
        <f t="array" ref="AE820">IF(($K820-$N$48)&lt;1,"",IF((IF(INDEX($AC$176:$AC$905,($K820-$N$48))="",0,INDEX($AC$176:$AC$905,($K820-$N$48))))=0,"",(IF(INDEX($AC$176:$AC$905,($K820-$N$48))="",0,INDEX($AC$176:$AC$905,($K820-$N$48))))))</f>
        <v/>
      </c>
      <c r="AF820" s="31" t="str">
        <f t="shared" si="247"/>
        <v/>
      </c>
      <c r="AG820" s="31" t="str">
        <f t="shared" si="248"/>
        <v/>
      </c>
      <c r="AH820" s="31" t="str">
        <f t="shared" si="249"/>
        <v/>
      </c>
      <c r="AI820" s="31" t="str">
        <f t="shared" si="250"/>
        <v/>
      </c>
      <c r="AJ820" s="303" t="str">
        <f t="shared" si="251"/>
        <v/>
      </c>
      <c r="AK820" s="139" t="str">
        <f t="shared" si="252"/>
        <v/>
      </c>
    </row>
    <row r="821" spans="7:41" x14ac:dyDescent="0.25">
      <c r="G821" s="235" t="str">
        <f t="shared" si="238"/>
        <v/>
      </c>
      <c r="H821" s="4" t="str">
        <f t="shared" si="239"/>
        <v/>
      </c>
      <c r="I821" s="11" t="str">
        <f t="shared" si="240"/>
        <v>09.00</v>
      </c>
      <c r="K821" s="30">
        <v>646</v>
      </c>
      <c r="L821" s="29">
        <f t="shared" si="253"/>
        <v>11371.908376190917</v>
      </c>
      <c r="M821" s="28" t="str">
        <f t="shared" si="241"/>
        <v/>
      </c>
      <c r="N821" s="27" t="str">
        <f t="shared" si="254"/>
        <v/>
      </c>
      <c r="O821" s="26" t="str">
        <f>IF(AND($Q820=$O$38,IFERROR(LARGE($V$176:$V820,1)&lt;$N$42,TRUE)),1,IF(AND(ISNUMBER($O820),$O820&lt;$N$32),$O820+1,""))</f>
        <v/>
      </c>
      <c r="P821" s="26" t="str">
        <f t="shared" si="255"/>
        <v/>
      </c>
      <c r="Q821" s="26" t="str">
        <f t="shared" si="242"/>
        <v/>
      </c>
      <c r="R821" s="24" t="str">
        <f t="shared" si="256"/>
        <v/>
      </c>
      <c r="S821" s="180">
        <f t="shared" si="236"/>
        <v>9</v>
      </c>
      <c r="T821" s="151"/>
      <c r="U821" s="25" t="str">
        <f t="shared" si="243"/>
        <v/>
      </c>
      <c r="V821" s="24" t="str">
        <f>IF(AND(ISNUMBER(R820),ISNUMBER(R821)),V820,IF(AND(R820="",ISNUMBER(R821)),IFERROR(LARGE($V$176:$V820,1)+1,0),""))</f>
        <v/>
      </c>
      <c r="W821" s="23" t="str">
        <f t="shared" si="244"/>
        <v/>
      </c>
      <c r="X821" s="22" t="str">
        <f t="shared" si="245"/>
        <v/>
      </c>
      <c r="Y821" s="22"/>
      <c r="Z821" s="22"/>
      <c r="AA821" s="22"/>
      <c r="AB821" s="22" t="str" cm="1">
        <f t="array" ref="AB821">IF(IF(AND($P820="",$P821=1),($N$37*-1),0)+IF(AND($Q820="",$Q821=1),($N$38*-1),0)+IF(IF(($K821-$N$48)&lt;1,0,IF(IF(INDEX($AD$176:$AD$905,($K821-$N$48))="",0,INDEX($AD$176:$AD$905,($K821-$N$48)))&gt;0,IF(INDEX($AD$176:$AD$905,($K821-$N$48))="",0,INDEX($AD$176:$AD$905,($K821-$N$48))),0))="",0,IF(($K821-$N$48)&lt;1,0,IF(IF(INDEX($AD$176:$AD$905,($K821-$N$48))="",0,INDEX($AD$176:$AD$905,($K821-$N$48)))&gt;0,IF(INDEX($AD$176:$AD$905,($K821-$N$48))="",0,INDEX($AD$176:$AD$905,($K821-$N$48))),0)))=0,"",IF(AND($P820="",$P821=1),($N$37*-1),0)+IF(AND($Q820="",$Q821=1),($N$38*-1),0)+IF(IF(($K821-$N$48)&lt;1,0,IF(IF(INDEX($AD$176:$AD$905,($K821-$N$48))="",0,INDEX($AD$176:$AD$905,($K821-$N$48)))&gt;0,IF(INDEX($AD$176:$AD$905,($K821-$N$48))="",0,INDEX($AD$176:$AD$905,($K821-$N$48))),0))="",0,IF(($K821-$N$48)&lt;1,0,IF(IF(INDEX($AD$176:$AD$905,($K821-$N$48))="",0,INDEX($AD$176:$AD$905,($K821-$N$48)))&gt;0,IF(INDEX($AD$176:$AD$905,($K821-$N$48))="",0,INDEX($AD$176:$AD$905,($K821-$N$48))),0))))</f>
        <v/>
      </c>
      <c r="AC821" s="22" t="str">
        <f t="shared" si="246"/>
        <v/>
      </c>
      <c r="AD821" s="22" t="str">
        <f t="shared" si="237"/>
        <v/>
      </c>
      <c r="AE821" s="22" t="str" cm="1">
        <f t="array" ref="AE821">IF(($K821-$N$48)&lt;1,"",IF((IF(INDEX($AC$176:$AC$905,($K821-$N$48))="",0,INDEX($AC$176:$AC$905,($K821-$N$48))))=0,"",(IF(INDEX($AC$176:$AC$905,($K821-$N$48))="",0,INDEX($AC$176:$AC$905,($K821-$N$48))))))</f>
        <v/>
      </c>
      <c r="AF821" s="31" t="str">
        <f t="shared" si="247"/>
        <v/>
      </c>
      <c r="AG821" s="31" t="str">
        <f t="shared" si="248"/>
        <v/>
      </c>
      <c r="AH821" s="31" t="str">
        <f t="shared" si="249"/>
        <v/>
      </c>
      <c r="AI821" s="31" t="str">
        <f t="shared" si="250"/>
        <v/>
      </c>
      <c r="AJ821" s="303" t="str">
        <f t="shared" si="251"/>
        <v/>
      </c>
      <c r="AK821" s="139" t="str">
        <f t="shared" si="252"/>
        <v/>
      </c>
    </row>
    <row r="822" spans="7:41" x14ac:dyDescent="0.25">
      <c r="G822" s="235" t="str">
        <f t="shared" si="238"/>
        <v/>
      </c>
      <c r="H822" s="4" t="str">
        <f t="shared" si="239"/>
        <v/>
      </c>
      <c r="I822" s="11" t="str">
        <f t="shared" si="240"/>
        <v>09.00</v>
      </c>
      <c r="K822" s="30">
        <v>647</v>
      </c>
      <c r="L822" s="29">
        <f t="shared" si="253"/>
        <v>11371.908376190917</v>
      </c>
      <c r="M822" s="28" t="str">
        <f t="shared" si="241"/>
        <v/>
      </c>
      <c r="N822" s="27" t="str">
        <f t="shared" si="254"/>
        <v/>
      </c>
      <c r="O822" s="26" t="str">
        <f>IF(AND($Q821=$O$38,IFERROR(LARGE($V$176:$V821,1)&lt;$N$42,TRUE)),1,IF(AND(ISNUMBER($O821),$O821&lt;$N$32),$O821+1,""))</f>
        <v/>
      </c>
      <c r="P822" s="26" t="str">
        <f t="shared" si="255"/>
        <v/>
      </c>
      <c r="Q822" s="26" t="str">
        <f t="shared" si="242"/>
        <v/>
      </c>
      <c r="R822" s="24" t="str">
        <f t="shared" si="256"/>
        <v/>
      </c>
      <c r="S822" s="180">
        <f t="shared" si="236"/>
        <v>9</v>
      </c>
      <c r="T822" s="151"/>
      <c r="U822" s="25" t="str">
        <f t="shared" si="243"/>
        <v/>
      </c>
      <c r="V822" s="24" t="str">
        <f>IF(AND(ISNUMBER(R821),ISNUMBER(R822)),V821,IF(AND(R821="",ISNUMBER(R822)),IFERROR(LARGE($V$176:$V821,1)+1,0),""))</f>
        <v/>
      </c>
      <c r="W822" s="23" t="str">
        <f t="shared" si="244"/>
        <v/>
      </c>
      <c r="X822" s="22" t="str">
        <f t="shared" si="245"/>
        <v/>
      </c>
      <c r="Y822" s="22"/>
      <c r="Z822" s="22"/>
      <c r="AA822" s="22"/>
      <c r="AB822" s="22" t="str" cm="1">
        <f t="array" ref="AB822">IF(IF(AND($P821="",$P822=1),($N$37*-1),0)+IF(AND($Q821="",$Q822=1),($N$38*-1),0)+IF(IF(($K822-$N$48)&lt;1,0,IF(IF(INDEX($AD$176:$AD$905,($K822-$N$48))="",0,INDEX($AD$176:$AD$905,($K822-$N$48)))&gt;0,IF(INDEX($AD$176:$AD$905,($K822-$N$48))="",0,INDEX($AD$176:$AD$905,($K822-$N$48))),0))="",0,IF(($K822-$N$48)&lt;1,0,IF(IF(INDEX($AD$176:$AD$905,($K822-$N$48))="",0,INDEX($AD$176:$AD$905,($K822-$N$48)))&gt;0,IF(INDEX($AD$176:$AD$905,($K822-$N$48))="",0,INDEX($AD$176:$AD$905,($K822-$N$48))),0)))=0,"",IF(AND($P821="",$P822=1),($N$37*-1),0)+IF(AND($Q821="",$Q822=1),($N$38*-1),0)+IF(IF(($K822-$N$48)&lt;1,0,IF(IF(INDEX($AD$176:$AD$905,($K822-$N$48))="",0,INDEX($AD$176:$AD$905,($K822-$N$48)))&gt;0,IF(INDEX($AD$176:$AD$905,($K822-$N$48))="",0,INDEX($AD$176:$AD$905,($K822-$N$48))),0))="",0,IF(($K822-$N$48)&lt;1,0,IF(IF(INDEX($AD$176:$AD$905,($K822-$N$48))="",0,INDEX($AD$176:$AD$905,($K822-$N$48)))&gt;0,IF(INDEX($AD$176:$AD$905,($K822-$N$48))="",0,INDEX($AD$176:$AD$905,($K822-$N$48))),0))))</f>
        <v/>
      </c>
      <c r="AC822" s="22" t="str">
        <f t="shared" si="246"/>
        <v/>
      </c>
      <c r="AD822" s="22" t="str">
        <f t="shared" si="237"/>
        <v/>
      </c>
      <c r="AE822" s="22" t="str" cm="1">
        <f t="array" ref="AE822">IF(($K822-$N$48)&lt;1,"",IF((IF(INDEX($AC$176:$AC$905,($K822-$N$48))="",0,INDEX($AC$176:$AC$905,($K822-$N$48))))=0,"",(IF(INDEX($AC$176:$AC$905,($K822-$N$48))="",0,INDEX($AC$176:$AC$905,($K822-$N$48))))))</f>
        <v/>
      </c>
      <c r="AF822" s="31" t="str">
        <f t="shared" si="247"/>
        <v/>
      </c>
      <c r="AG822" s="31" t="str">
        <f t="shared" si="248"/>
        <v/>
      </c>
      <c r="AH822" s="31" t="str">
        <f t="shared" si="249"/>
        <v/>
      </c>
      <c r="AI822" s="31" t="str">
        <f t="shared" si="250"/>
        <v/>
      </c>
      <c r="AJ822" s="303" t="str">
        <f t="shared" si="251"/>
        <v/>
      </c>
      <c r="AK822" s="139" t="str">
        <f t="shared" si="252"/>
        <v/>
      </c>
    </row>
    <row r="823" spans="7:41" x14ac:dyDescent="0.25">
      <c r="G823" s="235" t="str">
        <f t="shared" si="238"/>
        <v/>
      </c>
      <c r="H823" s="4" t="str">
        <f t="shared" si="239"/>
        <v/>
      </c>
      <c r="I823" s="11" t="str">
        <f t="shared" si="240"/>
        <v>09.00</v>
      </c>
      <c r="K823" s="30">
        <v>648</v>
      </c>
      <c r="L823" s="29">
        <f t="shared" si="253"/>
        <v>11371.908376190917</v>
      </c>
      <c r="M823" s="28" t="str">
        <f t="shared" si="241"/>
        <v/>
      </c>
      <c r="N823" s="27" t="str">
        <f t="shared" si="254"/>
        <v/>
      </c>
      <c r="O823" s="26" t="str">
        <f>IF(AND($Q822=$O$38,IFERROR(LARGE($V$176:$V822,1)&lt;$N$42,TRUE)),1,IF(AND(ISNUMBER($O822),$O822&lt;$N$32),$O822+1,""))</f>
        <v/>
      </c>
      <c r="P823" s="26" t="str">
        <f t="shared" si="255"/>
        <v/>
      </c>
      <c r="Q823" s="26" t="str">
        <f t="shared" si="242"/>
        <v/>
      </c>
      <c r="R823" s="24" t="str">
        <f t="shared" si="256"/>
        <v/>
      </c>
      <c r="S823" s="180">
        <f t="shared" si="236"/>
        <v>9</v>
      </c>
      <c r="T823" s="151"/>
      <c r="U823" s="25" t="str">
        <f t="shared" si="243"/>
        <v/>
      </c>
      <c r="V823" s="24" t="str">
        <f>IF(AND(ISNUMBER(R822),ISNUMBER(R823)),V822,IF(AND(R822="",ISNUMBER(R823)),IFERROR(LARGE($V$176:$V822,1)+1,0),""))</f>
        <v/>
      </c>
      <c r="W823" s="23" t="str">
        <f t="shared" si="244"/>
        <v/>
      </c>
      <c r="X823" s="22" t="str">
        <f t="shared" si="245"/>
        <v/>
      </c>
      <c r="Y823" s="22"/>
      <c r="Z823" s="22"/>
      <c r="AA823" s="22"/>
      <c r="AB823" s="22" t="str" cm="1">
        <f t="array" ref="AB823">IF(IF(AND($P822="",$P823=1),($N$37*-1),0)+IF(AND($Q822="",$Q823=1),($N$38*-1),0)+IF(IF(($K823-$N$48)&lt;1,0,IF(IF(INDEX($AD$176:$AD$905,($K823-$N$48))="",0,INDEX($AD$176:$AD$905,($K823-$N$48)))&gt;0,IF(INDEX($AD$176:$AD$905,($K823-$N$48))="",0,INDEX($AD$176:$AD$905,($K823-$N$48))),0))="",0,IF(($K823-$N$48)&lt;1,0,IF(IF(INDEX($AD$176:$AD$905,($K823-$N$48))="",0,INDEX($AD$176:$AD$905,($K823-$N$48)))&gt;0,IF(INDEX($AD$176:$AD$905,($K823-$N$48))="",0,INDEX($AD$176:$AD$905,($K823-$N$48))),0)))=0,"",IF(AND($P822="",$P823=1),($N$37*-1),0)+IF(AND($Q822="",$Q823=1),($N$38*-1),0)+IF(IF(($K823-$N$48)&lt;1,0,IF(IF(INDEX($AD$176:$AD$905,($K823-$N$48))="",0,INDEX($AD$176:$AD$905,($K823-$N$48)))&gt;0,IF(INDEX($AD$176:$AD$905,($K823-$N$48))="",0,INDEX($AD$176:$AD$905,($K823-$N$48))),0))="",0,IF(($K823-$N$48)&lt;1,0,IF(IF(INDEX($AD$176:$AD$905,($K823-$N$48))="",0,INDEX($AD$176:$AD$905,($K823-$N$48)))&gt;0,IF(INDEX($AD$176:$AD$905,($K823-$N$48))="",0,INDEX($AD$176:$AD$905,($K823-$N$48))),0))))</f>
        <v/>
      </c>
      <c r="AC823" s="22" t="str">
        <f t="shared" si="246"/>
        <v/>
      </c>
      <c r="AD823" s="22" t="str">
        <f t="shared" si="237"/>
        <v/>
      </c>
      <c r="AE823" s="22" t="str" cm="1">
        <f t="array" ref="AE823">IF(($K823-$N$48)&lt;1,"",IF((IF(INDEX($AC$176:$AC$905,($K823-$N$48))="",0,INDEX($AC$176:$AC$905,($K823-$N$48))))=0,"",(IF(INDEX($AC$176:$AC$905,($K823-$N$48))="",0,INDEX($AC$176:$AC$905,($K823-$N$48))))))</f>
        <v/>
      </c>
      <c r="AF823" s="31" t="str">
        <f t="shared" si="247"/>
        <v/>
      </c>
      <c r="AG823" s="31" t="str">
        <f t="shared" si="248"/>
        <v/>
      </c>
      <c r="AH823" s="31" t="str">
        <f t="shared" si="249"/>
        <v/>
      </c>
      <c r="AI823" s="31" t="str">
        <f t="shared" si="250"/>
        <v/>
      </c>
      <c r="AJ823" s="303" t="str">
        <f t="shared" si="251"/>
        <v/>
      </c>
      <c r="AK823" s="139" t="str">
        <f t="shared" si="252"/>
        <v/>
      </c>
    </row>
    <row r="824" spans="7:41" x14ac:dyDescent="0.25">
      <c r="G824" s="235" t="str">
        <f t="shared" si="238"/>
        <v/>
      </c>
      <c r="H824" s="4" t="str">
        <f t="shared" si="239"/>
        <v/>
      </c>
      <c r="I824" s="11" t="str">
        <f t="shared" si="240"/>
        <v>09.00</v>
      </c>
      <c r="K824" s="30">
        <v>649</v>
      </c>
      <c r="L824" s="29">
        <f t="shared" si="253"/>
        <v>11371.908376190917</v>
      </c>
      <c r="M824" s="28" t="str">
        <f t="shared" si="241"/>
        <v/>
      </c>
      <c r="N824" s="27" t="str">
        <f t="shared" si="254"/>
        <v/>
      </c>
      <c r="O824" s="26" t="str">
        <f>IF(AND($Q823=$O$38,IFERROR(LARGE($V$176:$V823,1)&lt;$N$42,TRUE)),1,IF(AND(ISNUMBER($O823),$O823&lt;$N$32),$O823+1,""))</f>
        <v/>
      </c>
      <c r="P824" s="26" t="str">
        <f t="shared" si="255"/>
        <v/>
      </c>
      <c r="Q824" s="26" t="str">
        <f t="shared" si="242"/>
        <v/>
      </c>
      <c r="R824" s="24" t="str">
        <f t="shared" si="256"/>
        <v/>
      </c>
      <c r="S824" s="180">
        <f t="shared" si="236"/>
        <v>9</v>
      </c>
      <c r="T824" s="151"/>
      <c r="U824" s="25" t="str">
        <f t="shared" si="243"/>
        <v/>
      </c>
      <c r="V824" s="24" t="str">
        <f>IF(AND(ISNUMBER(R823),ISNUMBER(R824)),V823,IF(AND(R823="",ISNUMBER(R824)),IFERROR(LARGE($V$176:$V823,1)+1,0),""))</f>
        <v/>
      </c>
      <c r="W824" s="23" t="str">
        <f t="shared" si="244"/>
        <v/>
      </c>
      <c r="X824" s="22" t="str">
        <f t="shared" si="245"/>
        <v/>
      </c>
      <c r="Y824" s="22"/>
      <c r="Z824" s="22"/>
      <c r="AA824" s="22"/>
      <c r="AB824" s="22" t="str" cm="1">
        <f t="array" ref="AB824">IF(IF(AND($P823="",$P824=1),($N$37*-1),0)+IF(AND($Q823="",$Q824=1),($N$38*-1),0)+IF(IF(($K824-$N$48)&lt;1,0,IF(IF(INDEX($AD$176:$AD$905,($K824-$N$48))="",0,INDEX($AD$176:$AD$905,($K824-$N$48)))&gt;0,IF(INDEX($AD$176:$AD$905,($K824-$N$48))="",0,INDEX($AD$176:$AD$905,($K824-$N$48))),0))="",0,IF(($K824-$N$48)&lt;1,0,IF(IF(INDEX($AD$176:$AD$905,($K824-$N$48))="",0,INDEX($AD$176:$AD$905,($K824-$N$48)))&gt;0,IF(INDEX($AD$176:$AD$905,($K824-$N$48))="",0,INDEX($AD$176:$AD$905,($K824-$N$48))),0)))=0,"",IF(AND($P823="",$P824=1),($N$37*-1),0)+IF(AND($Q823="",$Q824=1),($N$38*-1),0)+IF(IF(($K824-$N$48)&lt;1,0,IF(IF(INDEX($AD$176:$AD$905,($K824-$N$48))="",0,INDEX($AD$176:$AD$905,($K824-$N$48)))&gt;0,IF(INDEX($AD$176:$AD$905,($K824-$N$48))="",0,INDEX($AD$176:$AD$905,($K824-$N$48))),0))="",0,IF(($K824-$N$48)&lt;1,0,IF(IF(INDEX($AD$176:$AD$905,($K824-$N$48))="",0,INDEX($AD$176:$AD$905,($K824-$N$48)))&gt;0,IF(INDEX($AD$176:$AD$905,($K824-$N$48))="",0,INDEX($AD$176:$AD$905,($K824-$N$48))),0))))</f>
        <v/>
      </c>
      <c r="AC824" s="22" t="str">
        <f t="shared" si="246"/>
        <v/>
      </c>
      <c r="AD824" s="22" t="str">
        <f t="shared" si="237"/>
        <v/>
      </c>
      <c r="AE824" s="22" t="str" cm="1">
        <f t="array" ref="AE824">IF(($K824-$N$48)&lt;1,"",IF((IF(INDEX($AC$176:$AC$905,($K824-$N$48))="",0,INDEX($AC$176:$AC$905,($K824-$N$48))))=0,"",(IF(INDEX($AC$176:$AC$905,($K824-$N$48))="",0,INDEX($AC$176:$AC$905,($K824-$N$48))))))</f>
        <v/>
      </c>
      <c r="AF824" s="31" t="str">
        <f t="shared" si="247"/>
        <v/>
      </c>
      <c r="AG824" s="31" t="str">
        <f t="shared" si="248"/>
        <v/>
      </c>
      <c r="AH824" s="31" t="str">
        <f t="shared" si="249"/>
        <v/>
      </c>
      <c r="AI824" s="31" t="str">
        <f t="shared" si="250"/>
        <v/>
      </c>
      <c r="AJ824" s="303" t="str">
        <f t="shared" si="251"/>
        <v/>
      </c>
      <c r="AK824" s="139" t="str">
        <f t="shared" si="252"/>
        <v/>
      </c>
    </row>
    <row r="825" spans="7:41" x14ac:dyDescent="0.25">
      <c r="G825" s="235" t="str">
        <f t="shared" si="238"/>
        <v/>
      </c>
      <c r="H825" s="4" t="str">
        <f t="shared" si="239"/>
        <v/>
      </c>
      <c r="I825" s="11" t="str">
        <f t="shared" si="240"/>
        <v>09.00</v>
      </c>
      <c r="K825" s="30">
        <v>650</v>
      </c>
      <c r="L825" s="29">
        <f t="shared" si="253"/>
        <v>11371.908376190917</v>
      </c>
      <c r="M825" s="28" t="str">
        <f t="shared" si="241"/>
        <v/>
      </c>
      <c r="N825" s="27" t="str">
        <f t="shared" si="254"/>
        <v/>
      </c>
      <c r="O825" s="26" t="str">
        <f>IF(AND($Q824=$O$38,IFERROR(LARGE($V$176:$V824,1)&lt;$N$42,TRUE)),1,IF(AND(ISNUMBER($O824),$O824&lt;$N$32),$O824+1,""))</f>
        <v/>
      </c>
      <c r="P825" s="26" t="str">
        <f t="shared" si="255"/>
        <v/>
      </c>
      <c r="Q825" s="26" t="str">
        <f t="shared" si="242"/>
        <v/>
      </c>
      <c r="R825" s="24" t="str">
        <f t="shared" si="256"/>
        <v/>
      </c>
      <c r="S825" s="180">
        <f t="shared" si="236"/>
        <v>9</v>
      </c>
      <c r="T825" s="151"/>
      <c r="U825" s="25" t="str">
        <f t="shared" si="243"/>
        <v/>
      </c>
      <c r="V825" s="24" t="str">
        <f>IF(AND(ISNUMBER(R824),ISNUMBER(R825)),V824,IF(AND(R824="",ISNUMBER(R825)),IFERROR(LARGE($V$176:$V824,1)+1,0),""))</f>
        <v/>
      </c>
      <c r="W825" s="23" t="str">
        <f t="shared" si="244"/>
        <v/>
      </c>
      <c r="X825" s="22" t="str">
        <f t="shared" si="245"/>
        <v/>
      </c>
      <c r="Y825" s="22"/>
      <c r="Z825" s="22"/>
      <c r="AA825" s="22"/>
      <c r="AB825" s="22" t="str" cm="1">
        <f t="array" ref="AB825">IF(IF(AND($P824="",$P825=1),($N$37*-1),0)+IF(AND($Q824="",$Q825=1),($N$38*-1),0)+IF(IF(($K825-$N$48)&lt;1,0,IF(IF(INDEX($AD$176:$AD$905,($K825-$N$48))="",0,INDEX($AD$176:$AD$905,($K825-$N$48)))&gt;0,IF(INDEX($AD$176:$AD$905,($K825-$N$48))="",0,INDEX($AD$176:$AD$905,($K825-$N$48))),0))="",0,IF(($K825-$N$48)&lt;1,0,IF(IF(INDEX($AD$176:$AD$905,($K825-$N$48))="",0,INDEX($AD$176:$AD$905,($K825-$N$48)))&gt;0,IF(INDEX($AD$176:$AD$905,($K825-$N$48))="",0,INDEX($AD$176:$AD$905,($K825-$N$48))),0)))=0,"",IF(AND($P824="",$P825=1),($N$37*-1),0)+IF(AND($Q824="",$Q825=1),($N$38*-1),0)+IF(IF(($K825-$N$48)&lt;1,0,IF(IF(INDEX($AD$176:$AD$905,($K825-$N$48))="",0,INDEX($AD$176:$AD$905,($K825-$N$48)))&gt;0,IF(INDEX($AD$176:$AD$905,($K825-$N$48))="",0,INDEX($AD$176:$AD$905,($K825-$N$48))),0))="",0,IF(($K825-$N$48)&lt;1,0,IF(IF(INDEX($AD$176:$AD$905,($K825-$N$48))="",0,INDEX($AD$176:$AD$905,($K825-$N$48)))&gt;0,IF(INDEX($AD$176:$AD$905,($K825-$N$48))="",0,INDEX($AD$176:$AD$905,($K825-$N$48))),0))))</f>
        <v/>
      </c>
      <c r="AC825" s="22" t="str">
        <f t="shared" si="246"/>
        <v/>
      </c>
      <c r="AD825" s="22" t="str">
        <f t="shared" si="237"/>
        <v/>
      </c>
      <c r="AE825" s="22" t="str" cm="1">
        <f t="array" ref="AE825">IF(($K825-$N$48)&lt;1,"",IF((IF(INDEX($AC$176:$AC$905,($K825-$N$48))="",0,INDEX($AC$176:$AC$905,($K825-$N$48))))=0,"",(IF(INDEX($AC$176:$AC$905,($K825-$N$48))="",0,INDEX($AC$176:$AC$905,($K825-$N$48))))))</f>
        <v/>
      </c>
      <c r="AF825" s="31" t="str">
        <f t="shared" si="247"/>
        <v/>
      </c>
      <c r="AG825" s="31" t="str">
        <f t="shared" si="248"/>
        <v/>
      </c>
      <c r="AH825" s="31" t="str">
        <f t="shared" si="249"/>
        <v/>
      </c>
      <c r="AI825" s="31" t="str">
        <f t="shared" si="250"/>
        <v/>
      </c>
      <c r="AJ825" s="303" t="str">
        <f t="shared" si="251"/>
        <v/>
      </c>
      <c r="AK825" s="139" t="str">
        <f t="shared" si="252"/>
        <v/>
      </c>
    </row>
    <row r="826" spans="7:41" x14ac:dyDescent="0.25">
      <c r="G826" s="235" t="str">
        <f t="shared" si="238"/>
        <v/>
      </c>
      <c r="H826" s="4" t="str">
        <f t="shared" si="239"/>
        <v/>
      </c>
      <c r="I826" s="11" t="str">
        <f t="shared" si="240"/>
        <v>09.00</v>
      </c>
      <c r="K826" s="30">
        <v>651</v>
      </c>
      <c r="L826" s="29">
        <f t="shared" si="253"/>
        <v>11371.908376190917</v>
      </c>
      <c r="M826" s="28" t="str">
        <f t="shared" si="241"/>
        <v/>
      </c>
      <c r="N826" s="27" t="str">
        <f t="shared" si="254"/>
        <v/>
      </c>
      <c r="O826" s="26" t="str">
        <f>IF(AND($Q825=$O$38,IFERROR(LARGE($V$176:$V825,1)&lt;$N$42,TRUE)),1,IF(AND(ISNUMBER($O825),$O825&lt;$N$32),$O825+1,""))</f>
        <v/>
      </c>
      <c r="P826" s="26" t="str">
        <f t="shared" si="255"/>
        <v/>
      </c>
      <c r="Q826" s="26" t="str">
        <f t="shared" si="242"/>
        <v/>
      </c>
      <c r="R826" s="24" t="str">
        <f t="shared" si="256"/>
        <v/>
      </c>
      <c r="S826" s="180">
        <f t="shared" si="236"/>
        <v>9</v>
      </c>
      <c r="T826" s="151"/>
      <c r="U826" s="25" t="str">
        <f t="shared" si="243"/>
        <v/>
      </c>
      <c r="V826" s="24" t="str">
        <f>IF(AND(ISNUMBER(R825),ISNUMBER(R826)),V825,IF(AND(R825="",ISNUMBER(R826)),IFERROR(LARGE($V$176:$V825,1)+1,0),""))</f>
        <v/>
      </c>
      <c r="W826" s="23" t="str">
        <f t="shared" si="244"/>
        <v/>
      </c>
      <c r="X826" s="22" t="str">
        <f t="shared" si="245"/>
        <v/>
      </c>
      <c r="Y826" s="22"/>
      <c r="Z826" s="22"/>
      <c r="AA826" s="22"/>
      <c r="AB826" s="22" t="str" cm="1">
        <f t="array" ref="AB826">IF(IF(AND($P825="",$P826=1),($N$37*-1),0)+IF(AND($Q825="",$Q826=1),($N$38*-1),0)+IF(IF(($K826-$N$48)&lt;1,0,IF(IF(INDEX($AD$176:$AD$905,($K826-$N$48))="",0,INDEX($AD$176:$AD$905,($K826-$N$48)))&gt;0,IF(INDEX($AD$176:$AD$905,($K826-$N$48))="",0,INDEX($AD$176:$AD$905,($K826-$N$48))),0))="",0,IF(($K826-$N$48)&lt;1,0,IF(IF(INDEX($AD$176:$AD$905,($K826-$N$48))="",0,INDEX($AD$176:$AD$905,($K826-$N$48)))&gt;0,IF(INDEX($AD$176:$AD$905,($K826-$N$48))="",0,INDEX($AD$176:$AD$905,($K826-$N$48))),0)))=0,"",IF(AND($P825="",$P826=1),($N$37*-1),0)+IF(AND($Q825="",$Q826=1),($N$38*-1),0)+IF(IF(($K826-$N$48)&lt;1,0,IF(IF(INDEX($AD$176:$AD$905,($K826-$N$48))="",0,INDEX($AD$176:$AD$905,($K826-$N$48)))&gt;0,IF(INDEX($AD$176:$AD$905,($K826-$N$48))="",0,INDEX($AD$176:$AD$905,($K826-$N$48))),0))="",0,IF(($K826-$N$48)&lt;1,0,IF(IF(INDEX($AD$176:$AD$905,($K826-$N$48))="",0,INDEX($AD$176:$AD$905,($K826-$N$48)))&gt;0,IF(INDEX($AD$176:$AD$905,($K826-$N$48))="",0,INDEX($AD$176:$AD$905,($K826-$N$48))),0))))</f>
        <v/>
      </c>
      <c r="AC826" s="22" t="str">
        <f t="shared" si="246"/>
        <v/>
      </c>
      <c r="AD826" s="22" t="str">
        <f t="shared" si="237"/>
        <v/>
      </c>
      <c r="AE826" s="22" t="str" cm="1">
        <f t="array" ref="AE826">IF(($K826-$N$48)&lt;1,"",IF((IF(INDEX($AC$176:$AC$905,($K826-$N$48))="",0,INDEX($AC$176:$AC$905,($K826-$N$48))))=0,"",(IF(INDEX($AC$176:$AC$905,($K826-$N$48))="",0,INDEX($AC$176:$AC$905,($K826-$N$48))))))</f>
        <v/>
      </c>
      <c r="AF826" s="31" t="str">
        <f t="shared" si="247"/>
        <v/>
      </c>
      <c r="AG826" s="31" t="str">
        <f t="shared" si="248"/>
        <v/>
      </c>
      <c r="AH826" s="31" t="str">
        <f t="shared" si="249"/>
        <v/>
      </c>
      <c r="AI826" s="31" t="str">
        <f t="shared" si="250"/>
        <v/>
      </c>
      <c r="AJ826" s="303" t="str">
        <f t="shared" si="251"/>
        <v/>
      </c>
      <c r="AK826" s="139" t="str">
        <f t="shared" si="252"/>
        <v/>
      </c>
    </row>
    <row r="827" spans="7:41" x14ac:dyDescent="0.25">
      <c r="G827" s="235" t="str">
        <f t="shared" si="238"/>
        <v/>
      </c>
      <c r="H827" s="4" t="str">
        <f t="shared" si="239"/>
        <v/>
      </c>
      <c r="I827" s="11" t="str">
        <f t="shared" si="240"/>
        <v>09.00</v>
      </c>
      <c r="K827" s="30">
        <v>652</v>
      </c>
      <c r="L827" s="29">
        <f t="shared" si="253"/>
        <v>11371.908376190917</v>
      </c>
      <c r="M827" s="28" t="str">
        <f t="shared" si="241"/>
        <v/>
      </c>
      <c r="N827" s="27" t="str">
        <f t="shared" si="254"/>
        <v/>
      </c>
      <c r="O827" s="26" t="str">
        <f>IF(AND($Q826=$O$38,IFERROR(LARGE($V$176:$V826,1)&lt;$N$42,TRUE)),1,IF(AND(ISNUMBER($O826),$O826&lt;$N$32),$O826+1,""))</f>
        <v/>
      </c>
      <c r="P827" s="26" t="str">
        <f t="shared" si="255"/>
        <v/>
      </c>
      <c r="Q827" s="26" t="str">
        <f t="shared" si="242"/>
        <v/>
      </c>
      <c r="R827" s="24" t="str">
        <f t="shared" si="256"/>
        <v/>
      </c>
      <c r="S827" s="180">
        <f t="shared" si="236"/>
        <v>9</v>
      </c>
      <c r="T827" s="151"/>
      <c r="U827" s="25" t="str">
        <f t="shared" si="243"/>
        <v/>
      </c>
      <c r="V827" s="24" t="str">
        <f>IF(AND(ISNUMBER(R826),ISNUMBER(R827)),V826,IF(AND(R826="",ISNUMBER(R827)),IFERROR(LARGE($V$176:$V826,1)+1,0),""))</f>
        <v/>
      </c>
      <c r="W827" s="23" t="str">
        <f t="shared" si="244"/>
        <v/>
      </c>
      <c r="X827" s="22" t="str">
        <f t="shared" si="245"/>
        <v/>
      </c>
      <c r="Y827" s="22"/>
      <c r="Z827" s="22"/>
      <c r="AA827" s="22"/>
      <c r="AB827" s="22" t="str" cm="1">
        <f t="array" ref="AB827">IF(IF(AND($P826="",$P827=1),($N$37*-1),0)+IF(AND($Q826="",$Q827=1),($N$38*-1),0)+IF(IF(($K827-$N$48)&lt;1,0,IF(IF(INDEX($AD$176:$AD$905,($K827-$N$48))="",0,INDEX($AD$176:$AD$905,($K827-$N$48)))&gt;0,IF(INDEX($AD$176:$AD$905,($K827-$N$48))="",0,INDEX($AD$176:$AD$905,($K827-$N$48))),0))="",0,IF(($K827-$N$48)&lt;1,0,IF(IF(INDEX($AD$176:$AD$905,($K827-$N$48))="",0,INDEX($AD$176:$AD$905,($K827-$N$48)))&gt;0,IF(INDEX($AD$176:$AD$905,($K827-$N$48))="",0,INDEX($AD$176:$AD$905,($K827-$N$48))),0)))=0,"",IF(AND($P826="",$P827=1),($N$37*-1),0)+IF(AND($Q826="",$Q827=1),($N$38*-1),0)+IF(IF(($K827-$N$48)&lt;1,0,IF(IF(INDEX($AD$176:$AD$905,($K827-$N$48))="",0,INDEX($AD$176:$AD$905,($K827-$N$48)))&gt;0,IF(INDEX($AD$176:$AD$905,($K827-$N$48))="",0,INDEX($AD$176:$AD$905,($K827-$N$48))),0))="",0,IF(($K827-$N$48)&lt;1,0,IF(IF(INDEX($AD$176:$AD$905,($K827-$N$48))="",0,INDEX($AD$176:$AD$905,($K827-$N$48)))&gt;0,IF(INDEX($AD$176:$AD$905,($K827-$N$48))="",0,INDEX($AD$176:$AD$905,($K827-$N$48))),0))))</f>
        <v/>
      </c>
      <c r="AC827" s="22" t="str">
        <f t="shared" si="246"/>
        <v/>
      </c>
      <c r="AD827" s="22" t="str">
        <f t="shared" si="237"/>
        <v/>
      </c>
      <c r="AE827" s="22" t="str" cm="1">
        <f t="array" ref="AE827">IF(($K827-$N$48)&lt;1,"",IF((IF(INDEX($AC$176:$AC$905,($K827-$N$48))="",0,INDEX($AC$176:$AC$905,($K827-$N$48))))=0,"",(IF(INDEX($AC$176:$AC$905,($K827-$N$48))="",0,INDEX($AC$176:$AC$905,($K827-$N$48))))))</f>
        <v/>
      </c>
      <c r="AF827" s="31" t="str">
        <f t="shared" si="247"/>
        <v/>
      </c>
      <c r="AG827" s="31" t="str">
        <f t="shared" si="248"/>
        <v/>
      </c>
      <c r="AH827" s="31" t="str">
        <f t="shared" si="249"/>
        <v/>
      </c>
      <c r="AI827" s="31" t="str">
        <f t="shared" si="250"/>
        <v/>
      </c>
      <c r="AJ827" s="303" t="str">
        <f t="shared" si="251"/>
        <v/>
      </c>
      <c r="AK827" s="139" t="str">
        <f t="shared" si="252"/>
        <v/>
      </c>
    </row>
    <row r="828" spans="7:41" x14ac:dyDescent="0.25">
      <c r="G828" s="235" t="str">
        <f t="shared" si="238"/>
        <v/>
      </c>
      <c r="H828" s="4" t="str">
        <f t="shared" si="239"/>
        <v/>
      </c>
      <c r="I828" s="11" t="str">
        <f t="shared" si="240"/>
        <v>09.00</v>
      </c>
      <c r="K828" s="30">
        <v>653</v>
      </c>
      <c r="L828" s="29">
        <f t="shared" si="253"/>
        <v>11371.908376190917</v>
      </c>
      <c r="M828" s="28" t="str">
        <f t="shared" si="241"/>
        <v/>
      </c>
      <c r="N828" s="27" t="str">
        <f t="shared" si="254"/>
        <v/>
      </c>
      <c r="O828" s="26" t="str">
        <f>IF(AND($Q827=$O$38,IFERROR(LARGE($V$176:$V827,1)&lt;$N$42,TRUE)),1,IF(AND(ISNUMBER($O827),$O827&lt;$N$32),$O827+1,""))</f>
        <v/>
      </c>
      <c r="P828" s="26" t="str">
        <f t="shared" si="255"/>
        <v/>
      </c>
      <c r="Q828" s="26" t="str">
        <f t="shared" si="242"/>
        <v/>
      </c>
      <c r="R828" s="24" t="str">
        <f t="shared" si="256"/>
        <v/>
      </c>
      <c r="S828" s="180">
        <f t="shared" ref="S828:S891" si="257">IF($Q828=1,ROUNDDOWN($S827,0)+1,IF($R828=1,$S827+0.01,IF(ISNUMBER($U828),IF(AND($U828&gt;1,($U828-$U827)=1),$S827+0.01,$S827),$S827)))</f>
        <v>9</v>
      </c>
      <c r="T828" s="151"/>
      <c r="U828" s="25" t="str">
        <f t="shared" si="243"/>
        <v/>
      </c>
      <c r="V828" s="24" t="str">
        <f>IF(AND(ISNUMBER(R827),ISNUMBER(R828)),V827,IF(AND(R827="",ISNUMBER(R828)),IFERROR(LARGE($V$176:$V827,1)+1,0),""))</f>
        <v/>
      </c>
      <c r="W828" s="23" t="str">
        <f t="shared" si="244"/>
        <v/>
      </c>
      <c r="X828" s="22" t="str">
        <f t="shared" si="245"/>
        <v/>
      </c>
      <c r="Y828" s="22"/>
      <c r="Z828" s="22"/>
      <c r="AA828" s="22"/>
      <c r="AB828" s="22" t="str" cm="1">
        <f t="array" ref="AB828">IF(IF(AND($P827="",$P828=1),($N$37*-1),0)+IF(AND($Q827="",$Q828=1),($N$38*-1),0)+IF(IF(($K828-$N$48)&lt;1,0,IF(IF(INDEX($AD$176:$AD$905,($K828-$N$48))="",0,INDEX($AD$176:$AD$905,($K828-$N$48)))&gt;0,IF(INDEX($AD$176:$AD$905,($K828-$N$48))="",0,INDEX($AD$176:$AD$905,($K828-$N$48))),0))="",0,IF(($K828-$N$48)&lt;1,0,IF(IF(INDEX($AD$176:$AD$905,($K828-$N$48))="",0,INDEX($AD$176:$AD$905,($K828-$N$48)))&gt;0,IF(INDEX($AD$176:$AD$905,($K828-$N$48))="",0,INDEX($AD$176:$AD$905,($K828-$N$48))),0)))=0,"",IF(AND($P827="",$P828=1),($N$37*-1),0)+IF(AND($Q827="",$Q828=1),($N$38*-1),0)+IF(IF(($K828-$N$48)&lt;1,0,IF(IF(INDEX($AD$176:$AD$905,($K828-$N$48))="",0,INDEX($AD$176:$AD$905,($K828-$N$48)))&gt;0,IF(INDEX($AD$176:$AD$905,($K828-$N$48))="",0,INDEX($AD$176:$AD$905,($K828-$N$48))),0))="",0,IF(($K828-$N$48)&lt;1,0,IF(IF(INDEX($AD$176:$AD$905,($K828-$N$48))="",0,INDEX($AD$176:$AD$905,($K828-$N$48)))&gt;0,IF(INDEX($AD$176:$AD$905,($K828-$N$48))="",0,INDEX($AD$176:$AD$905,($K828-$N$48))),0))))</f>
        <v/>
      </c>
      <c r="AC828" s="22" t="str">
        <f t="shared" si="246"/>
        <v/>
      </c>
      <c r="AD828" s="22" t="str">
        <f t="shared" si="237"/>
        <v/>
      </c>
      <c r="AE828" s="22" t="str" cm="1">
        <f t="array" ref="AE828">IF(($K828-$N$48)&lt;1,"",IF((IF(INDEX($AC$176:$AC$905,($K828-$N$48))="",0,INDEX($AC$176:$AC$905,($K828-$N$48))))=0,"",(IF(INDEX($AC$176:$AC$905,($K828-$N$48))="",0,INDEX($AC$176:$AC$905,($K828-$N$48))))))</f>
        <v/>
      </c>
      <c r="AF828" s="31" t="str">
        <f t="shared" si="247"/>
        <v/>
      </c>
      <c r="AG828" s="31" t="str">
        <f t="shared" si="248"/>
        <v/>
      </c>
      <c r="AH828" s="31" t="str">
        <f t="shared" si="249"/>
        <v/>
      </c>
      <c r="AI828" s="31" t="str">
        <f t="shared" si="250"/>
        <v/>
      </c>
      <c r="AJ828" s="303" t="str">
        <f t="shared" si="251"/>
        <v/>
      </c>
      <c r="AK828" s="139" t="str">
        <f t="shared" si="252"/>
        <v/>
      </c>
    </row>
    <row r="829" spans="7:41" x14ac:dyDescent="0.25">
      <c r="G829" s="235" t="str">
        <f t="shared" si="238"/>
        <v/>
      </c>
      <c r="H829" s="4" t="str">
        <f t="shared" si="239"/>
        <v/>
      </c>
      <c r="I829" s="11" t="str">
        <f t="shared" si="240"/>
        <v>09.00</v>
      </c>
      <c r="K829" s="30">
        <v>654</v>
      </c>
      <c r="L829" s="29">
        <f t="shared" si="253"/>
        <v>11371.908376190917</v>
      </c>
      <c r="M829" s="28" t="str">
        <f t="shared" si="241"/>
        <v/>
      </c>
      <c r="N829" s="27" t="str">
        <f t="shared" si="254"/>
        <v/>
      </c>
      <c r="O829" s="26" t="str">
        <f>IF(AND($Q828=$O$38,IFERROR(LARGE($V$176:$V828,1)&lt;$N$42,TRUE)),1,IF(AND(ISNUMBER($O828),$O828&lt;$N$32),$O828+1,""))</f>
        <v/>
      </c>
      <c r="P829" s="26" t="str">
        <f t="shared" si="255"/>
        <v/>
      </c>
      <c r="Q829" s="26" t="str">
        <f t="shared" si="242"/>
        <v/>
      </c>
      <c r="R829" s="24" t="str">
        <f t="shared" si="256"/>
        <v/>
      </c>
      <c r="S829" s="180">
        <f t="shared" si="257"/>
        <v>9</v>
      </c>
      <c r="T829" s="151"/>
      <c r="U829" s="25" t="str">
        <f t="shared" si="243"/>
        <v/>
      </c>
      <c r="V829" s="24" t="str">
        <f>IF(AND(ISNUMBER(R828),ISNUMBER(R829)),V828,IF(AND(R828="",ISNUMBER(R829)),IFERROR(LARGE($V$176:$V828,1)+1,0),""))</f>
        <v/>
      </c>
      <c r="W829" s="23" t="str">
        <f t="shared" si="244"/>
        <v/>
      </c>
      <c r="X829" s="22" t="str">
        <f t="shared" si="245"/>
        <v/>
      </c>
      <c r="Y829" s="22"/>
      <c r="Z829" s="22"/>
      <c r="AA829" s="22"/>
      <c r="AB829" s="22" t="str" cm="1">
        <f t="array" ref="AB829">IF(IF(AND($P828="",$P829=1),($N$37*-1),0)+IF(AND($Q828="",$Q829=1),($N$38*-1),0)+IF(IF(($K829-$N$48)&lt;1,0,IF(IF(INDEX($AD$176:$AD$905,($K829-$N$48))="",0,INDEX($AD$176:$AD$905,($K829-$N$48)))&gt;0,IF(INDEX($AD$176:$AD$905,($K829-$N$48))="",0,INDEX($AD$176:$AD$905,($K829-$N$48))),0))="",0,IF(($K829-$N$48)&lt;1,0,IF(IF(INDEX($AD$176:$AD$905,($K829-$N$48))="",0,INDEX($AD$176:$AD$905,($K829-$N$48)))&gt;0,IF(INDEX($AD$176:$AD$905,($K829-$N$48))="",0,INDEX($AD$176:$AD$905,($K829-$N$48))),0)))=0,"",IF(AND($P828="",$P829=1),($N$37*-1),0)+IF(AND($Q828="",$Q829=1),($N$38*-1),0)+IF(IF(($K829-$N$48)&lt;1,0,IF(IF(INDEX($AD$176:$AD$905,($K829-$N$48))="",0,INDEX($AD$176:$AD$905,($K829-$N$48)))&gt;0,IF(INDEX($AD$176:$AD$905,($K829-$N$48))="",0,INDEX($AD$176:$AD$905,($K829-$N$48))),0))="",0,IF(($K829-$N$48)&lt;1,0,IF(IF(INDEX($AD$176:$AD$905,($K829-$N$48))="",0,INDEX($AD$176:$AD$905,($K829-$N$48)))&gt;0,IF(INDEX($AD$176:$AD$905,($K829-$N$48))="",0,INDEX($AD$176:$AD$905,($K829-$N$48))),0))))</f>
        <v/>
      </c>
      <c r="AC829" s="22" t="str">
        <f t="shared" si="246"/>
        <v/>
      </c>
      <c r="AD829" s="22" t="str">
        <f t="shared" si="237"/>
        <v/>
      </c>
      <c r="AE829" s="22" t="str" cm="1">
        <f t="array" ref="AE829">IF(($K829-$N$48)&lt;1,"",IF((IF(INDEX($AC$176:$AC$905,($K829-$N$48))="",0,INDEX($AC$176:$AC$905,($K829-$N$48))))=0,"",(IF(INDEX($AC$176:$AC$905,($K829-$N$48))="",0,INDEX($AC$176:$AC$905,($K829-$N$48))))))</f>
        <v/>
      </c>
      <c r="AF829" s="31" t="str">
        <f t="shared" si="247"/>
        <v/>
      </c>
      <c r="AG829" s="31" t="str">
        <f t="shared" si="248"/>
        <v/>
      </c>
      <c r="AH829" s="31" t="str">
        <f t="shared" si="249"/>
        <v/>
      </c>
      <c r="AI829" s="31" t="str">
        <f t="shared" si="250"/>
        <v/>
      </c>
      <c r="AJ829" s="303" t="str">
        <f t="shared" si="251"/>
        <v/>
      </c>
      <c r="AK829" s="139" t="str">
        <f t="shared" si="252"/>
        <v/>
      </c>
    </row>
    <row r="830" spans="7:41" x14ac:dyDescent="0.25">
      <c r="G830" s="235" t="str">
        <f t="shared" si="238"/>
        <v/>
      </c>
      <c r="H830" s="4" t="str">
        <f t="shared" si="239"/>
        <v/>
      </c>
      <c r="I830" s="11" t="str">
        <f t="shared" si="240"/>
        <v>09.00</v>
      </c>
      <c r="K830" s="30">
        <v>655</v>
      </c>
      <c r="L830" s="29">
        <f t="shared" si="253"/>
        <v>11371.908376190917</v>
      </c>
      <c r="M830" s="28" t="str">
        <f t="shared" si="241"/>
        <v/>
      </c>
      <c r="N830" s="27" t="str">
        <f t="shared" si="254"/>
        <v/>
      </c>
      <c r="O830" s="26" t="str">
        <f>IF(AND($Q829=$O$38,IFERROR(LARGE($V$176:$V829,1)&lt;$N$42,TRUE)),1,IF(AND(ISNUMBER($O829),$O829&lt;$N$32),$O829+1,""))</f>
        <v/>
      </c>
      <c r="P830" s="26" t="str">
        <f t="shared" si="255"/>
        <v/>
      </c>
      <c r="Q830" s="26" t="str">
        <f t="shared" si="242"/>
        <v/>
      </c>
      <c r="R830" s="24" t="str">
        <f t="shared" si="256"/>
        <v/>
      </c>
      <c r="S830" s="180">
        <f t="shared" si="257"/>
        <v>9</v>
      </c>
      <c r="T830" s="151"/>
      <c r="U830" s="25" t="str">
        <f t="shared" si="243"/>
        <v/>
      </c>
      <c r="V830" s="24" t="str">
        <f>IF(AND(ISNUMBER(R829),ISNUMBER(R830)),V829,IF(AND(R829="",ISNUMBER(R830)),IFERROR(LARGE($V$176:$V829,1)+1,0),""))</f>
        <v/>
      </c>
      <c r="W830" s="23" t="str">
        <f t="shared" si="244"/>
        <v/>
      </c>
      <c r="X830" s="22" t="str">
        <f t="shared" si="245"/>
        <v/>
      </c>
      <c r="Y830" s="22"/>
      <c r="Z830" s="22"/>
      <c r="AA830" s="22"/>
      <c r="AB830" s="22" t="str" cm="1">
        <f t="array" ref="AB830">IF(IF(AND($P829="",$P830=1),($N$37*-1),0)+IF(AND($Q829="",$Q830=1),($N$38*-1),0)+IF(IF(($K830-$N$48)&lt;1,0,IF(IF(INDEX($AD$176:$AD$905,($K830-$N$48))="",0,INDEX($AD$176:$AD$905,($K830-$N$48)))&gt;0,IF(INDEX($AD$176:$AD$905,($K830-$N$48))="",0,INDEX($AD$176:$AD$905,($K830-$N$48))),0))="",0,IF(($K830-$N$48)&lt;1,0,IF(IF(INDEX($AD$176:$AD$905,($K830-$N$48))="",0,INDEX($AD$176:$AD$905,($K830-$N$48)))&gt;0,IF(INDEX($AD$176:$AD$905,($K830-$N$48))="",0,INDEX($AD$176:$AD$905,($K830-$N$48))),0)))=0,"",IF(AND($P829="",$P830=1),($N$37*-1),0)+IF(AND($Q829="",$Q830=1),($N$38*-1),0)+IF(IF(($K830-$N$48)&lt;1,0,IF(IF(INDEX($AD$176:$AD$905,($K830-$N$48))="",0,INDEX($AD$176:$AD$905,($K830-$N$48)))&gt;0,IF(INDEX($AD$176:$AD$905,($K830-$N$48))="",0,INDEX($AD$176:$AD$905,($K830-$N$48))),0))="",0,IF(($K830-$N$48)&lt;1,0,IF(IF(INDEX($AD$176:$AD$905,($K830-$N$48))="",0,INDEX($AD$176:$AD$905,($K830-$N$48)))&gt;0,IF(INDEX($AD$176:$AD$905,($K830-$N$48))="",0,INDEX($AD$176:$AD$905,($K830-$N$48))),0))))</f>
        <v/>
      </c>
      <c r="AC830" s="22" t="str">
        <f t="shared" si="246"/>
        <v/>
      </c>
      <c r="AD830" s="22" t="str">
        <f t="shared" si="237"/>
        <v/>
      </c>
      <c r="AE830" s="22" t="str" cm="1">
        <f t="array" ref="AE830">IF(($K830-$N$48)&lt;1,"",IF((IF(INDEX($AC$176:$AC$905,($K830-$N$48))="",0,INDEX($AC$176:$AC$905,($K830-$N$48))))=0,"",(IF(INDEX($AC$176:$AC$905,($K830-$N$48))="",0,INDEX($AC$176:$AC$905,($K830-$N$48))))))</f>
        <v/>
      </c>
      <c r="AF830" s="31" t="str">
        <f t="shared" si="247"/>
        <v/>
      </c>
      <c r="AG830" s="31" t="str">
        <f t="shared" si="248"/>
        <v/>
      </c>
      <c r="AH830" s="31" t="str">
        <f t="shared" si="249"/>
        <v/>
      </c>
      <c r="AI830" s="31" t="str">
        <f t="shared" si="250"/>
        <v/>
      </c>
      <c r="AJ830" s="303" t="str">
        <f t="shared" si="251"/>
        <v/>
      </c>
      <c r="AK830" s="139" t="str">
        <f t="shared" si="252"/>
        <v/>
      </c>
      <c r="AL830" s="319"/>
    </row>
    <row r="831" spans="7:41" x14ac:dyDescent="0.25">
      <c r="G831" s="235" t="str">
        <f t="shared" si="238"/>
        <v/>
      </c>
      <c r="H831" s="4" t="str">
        <f t="shared" si="239"/>
        <v/>
      </c>
      <c r="I831" s="11" t="str">
        <f t="shared" si="240"/>
        <v>09.00</v>
      </c>
      <c r="K831" s="30">
        <v>656</v>
      </c>
      <c r="L831" s="29">
        <f t="shared" si="253"/>
        <v>11371.908376190917</v>
      </c>
      <c r="M831" s="28" t="str">
        <f t="shared" si="241"/>
        <v/>
      </c>
      <c r="N831" s="27" t="str">
        <f t="shared" si="254"/>
        <v/>
      </c>
      <c r="O831" s="26" t="str">
        <f>IF(AND($Q830=$O$38,IFERROR(LARGE($V$176:$V830,1)&lt;$N$42,TRUE)),1,IF(AND(ISNUMBER($O830),$O830&lt;$N$32),$O830+1,""))</f>
        <v/>
      </c>
      <c r="P831" s="26" t="str">
        <f t="shared" si="255"/>
        <v/>
      </c>
      <c r="Q831" s="26" t="str">
        <f t="shared" si="242"/>
        <v/>
      </c>
      <c r="R831" s="24" t="str">
        <f t="shared" si="256"/>
        <v/>
      </c>
      <c r="S831" s="180">
        <f t="shared" si="257"/>
        <v>9</v>
      </c>
      <c r="T831" s="151"/>
      <c r="U831" s="25" t="str">
        <f t="shared" si="243"/>
        <v/>
      </c>
      <c r="V831" s="24" t="str">
        <f>IF(AND(ISNUMBER(R830),ISNUMBER(R831)),V830,IF(AND(R830="",ISNUMBER(R831)),IFERROR(LARGE($V$176:$V830,1)+1,0),""))</f>
        <v/>
      </c>
      <c r="W831" s="23" t="str">
        <f t="shared" si="244"/>
        <v/>
      </c>
      <c r="X831" s="22" t="str">
        <f t="shared" si="245"/>
        <v/>
      </c>
      <c r="Y831" s="22"/>
      <c r="Z831" s="22"/>
      <c r="AA831" s="22"/>
      <c r="AB831" s="22" t="str" cm="1">
        <f t="array" ref="AB831">IF(IF(AND($P830="",$P831=1),($N$37*-1),0)+IF(AND($Q830="",$Q831=1),($N$38*-1),0)+IF(IF(($K831-$N$48)&lt;1,0,IF(IF(INDEX($AD$176:$AD$905,($K831-$N$48))="",0,INDEX($AD$176:$AD$905,($K831-$N$48)))&gt;0,IF(INDEX($AD$176:$AD$905,($K831-$N$48))="",0,INDEX($AD$176:$AD$905,($K831-$N$48))),0))="",0,IF(($K831-$N$48)&lt;1,0,IF(IF(INDEX($AD$176:$AD$905,($K831-$N$48))="",0,INDEX($AD$176:$AD$905,($K831-$N$48)))&gt;0,IF(INDEX($AD$176:$AD$905,($K831-$N$48))="",0,INDEX($AD$176:$AD$905,($K831-$N$48))),0)))=0,"",IF(AND($P830="",$P831=1),($N$37*-1),0)+IF(AND($Q830="",$Q831=1),($N$38*-1),0)+IF(IF(($K831-$N$48)&lt;1,0,IF(IF(INDEX($AD$176:$AD$905,($K831-$N$48))="",0,INDEX($AD$176:$AD$905,($K831-$N$48)))&gt;0,IF(INDEX($AD$176:$AD$905,($K831-$N$48))="",0,INDEX($AD$176:$AD$905,($K831-$N$48))),0))="",0,IF(($K831-$N$48)&lt;1,0,IF(IF(INDEX($AD$176:$AD$905,($K831-$N$48))="",0,INDEX($AD$176:$AD$905,($K831-$N$48)))&gt;0,IF(INDEX($AD$176:$AD$905,($K831-$N$48))="",0,INDEX($AD$176:$AD$905,($K831-$N$48))),0))))</f>
        <v/>
      </c>
      <c r="AC831" s="22" t="str">
        <f t="shared" si="246"/>
        <v/>
      </c>
      <c r="AD831" s="22" t="str">
        <f t="shared" si="237"/>
        <v/>
      </c>
      <c r="AE831" s="22" t="str" cm="1">
        <f t="array" ref="AE831">IF(($K831-$N$48)&lt;1,"",IF((IF(INDEX($AC$176:$AC$905,($K831-$N$48))="",0,INDEX($AC$176:$AC$905,($K831-$N$48))))=0,"",(IF(INDEX($AC$176:$AC$905,($K831-$N$48))="",0,INDEX($AC$176:$AC$905,($K831-$N$48))))))</f>
        <v/>
      </c>
      <c r="AF831" s="31" t="str">
        <f t="shared" si="247"/>
        <v/>
      </c>
      <c r="AG831" s="31" t="str">
        <f t="shared" si="248"/>
        <v/>
      </c>
      <c r="AH831" s="31" t="str">
        <f t="shared" si="249"/>
        <v/>
      </c>
      <c r="AI831" s="31" t="str">
        <f t="shared" si="250"/>
        <v/>
      </c>
      <c r="AJ831" s="303" t="str">
        <f t="shared" si="251"/>
        <v/>
      </c>
      <c r="AK831" s="139" t="str">
        <f t="shared" si="252"/>
        <v/>
      </c>
    </row>
    <row r="832" spans="7:41" x14ac:dyDescent="0.25">
      <c r="G832" s="235" t="str">
        <f t="shared" si="238"/>
        <v/>
      </c>
      <c r="H832" s="4" t="str">
        <f t="shared" si="239"/>
        <v/>
      </c>
      <c r="I832" s="11" t="str">
        <f t="shared" si="240"/>
        <v>09.00</v>
      </c>
      <c r="K832" s="30">
        <v>657</v>
      </c>
      <c r="L832" s="29">
        <f t="shared" si="253"/>
        <v>11371.908376190917</v>
      </c>
      <c r="M832" s="28" t="str">
        <f t="shared" si="241"/>
        <v/>
      </c>
      <c r="N832" s="27" t="str">
        <f t="shared" si="254"/>
        <v/>
      </c>
      <c r="O832" s="26" t="str">
        <f>IF(AND($Q831=$O$38,IFERROR(LARGE($V$176:$V831,1)&lt;$N$42,TRUE)),1,IF(AND(ISNUMBER($O831),$O831&lt;$N$32),$O831+1,""))</f>
        <v/>
      </c>
      <c r="P832" s="26" t="str">
        <f t="shared" si="255"/>
        <v/>
      </c>
      <c r="Q832" s="26" t="str">
        <f t="shared" si="242"/>
        <v/>
      </c>
      <c r="R832" s="24" t="str">
        <f t="shared" si="256"/>
        <v/>
      </c>
      <c r="S832" s="180">
        <f t="shared" si="257"/>
        <v>9</v>
      </c>
      <c r="T832" s="151"/>
      <c r="U832" s="25" t="str">
        <f t="shared" si="243"/>
        <v/>
      </c>
      <c r="V832" s="24" t="str">
        <f>IF(AND(ISNUMBER(R831),ISNUMBER(R832)),V831,IF(AND(R831="",ISNUMBER(R832)),IFERROR(LARGE($V$176:$V831,1)+1,0),""))</f>
        <v/>
      </c>
      <c r="W832" s="23" t="str">
        <f t="shared" si="244"/>
        <v/>
      </c>
      <c r="X832" s="22" t="str">
        <f t="shared" si="245"/>
        <v/>
      </c>
      <c r="Y832" s="22"/>
      <c r="Z832" s="22"/>
      <c r="AA832" s="22"/>
      <c r="AB832" s="22" t="str" cm="1">
        <f t="array" ref="AB832">IF(IF(AND($P831="",$P832=1),($N$37*-1),0)+IF(AND($Q831="",$Q832=1),($N$38*-1),0)+IF(IF(($K832-$N$48)&lt;1,0,IF(IF(INDEX($AD$176:$AD$905,($K832-$N$48))="",0,INDEX($AD$176:$AD$905,($K832-$N$48)))&gt;0,IF(INDEX($AD$176:$AD$905,($K832-$N$48))="",0,INDEX($AD$176:$AD$905,($K832-$N$48))),0))="",0,IF(($K832-$N$48)&lt;1,0,IF(IF(INDEX($AD$176:$AD$905,($K832-$N$48))="",0,INDEX($AD$176:$AD$905,($K832-$N$48)))&gt;0,IF(INDEX($AD$176:$AD$905,($K832-$N$48))="",0,INDEX($AD$176:$AD$905,($K832-$N$48))),0)))=0,"",IF(AND($P831="",$P832=1),($N$37*-1),0)+IF(AND($Q831="",$Q832=1),($N$38*-1),0)+IF(IF(($K832-$N$48)&lt;1,0,IF(IF(INDEX($AD$176:$AD$905,($K832-$N$48))="",0,INDEX($AD$176:$AD$905,($K832-$N$48)))&gt;0,IF(INDEX($AD$176:$AD$905,($K832-$N$48))="",0,INDEX($AD$176:$AD$905,($K832-$N$48))),0))="",0,IF(($K832-$N$48)&lt;1,0,IF(IF(INDEX($AD$176:$AD$905,($K832-$N$48))="",0,INDEX($AD$176:$AD$905,($K832-$N$48)))&gt;0,IF(INDEX($AD$176:$AD$905,($K832-$N$48))="",0,INDEX($AD$176:$AD$905,($K832-$N$48))),0))))</f>
        <v/>
      </c>
      <c r="AC832" s="22" t="str">
        <f t="shared" si="246"/>
        <v/>
      </c>
      <c r="AD832" s="22" t="str">
        <f t="shared" ref="AD832:AD895" si="258">IF(IF(OR(AND(ISNUMBER($U832),IF(ISNUMBER($U833),$U833,0)-IF(ISNUMBER($U832),$U832,0)=1),AND(ISNUMBER($U832),$U833="")),IF($U832=1,$P$37,0),0)=0,"",IF(OR(AND(ISNUMBER($U832),IF(ISNUMBER($U833),$U833,0)-IF(ISNUMBER($U832),$U832,0)=1),AND(ISNUMBER($U832),$U833="")),IF($U832=1,$P$37,0),0))</f>
        <v/>
      </c>
      <c r="AE832" s="22" t="str" cm="1">
        <f t="array" ref="AE832">IF(($K832-$N$48)&lt;1,"",IF((IF(INDEX($AC$176:$AC$905,($K832-$N$48))="",0,INDEX($AC$176:$AC$905,($K832-$N$48))))=0,"",(IF(INDEX($AC$176:$AC$905,($K832-$N$48))="",0,INDEX($AC$176:$AC$905,($K832-$N$48))))))</f>
        <v/>
      </c>
      <c r="AF832" s="31" t="str">
        <f t="shared" si="247"/>
        <v/>
      </c>
      <c r="AG832" s="31" t="str">
        <f t="shared" si="248"/>
        <v/>
      </c>
      <c r="AH832" s="31" t="str">
        <f t="shared" si="249"/>
        <v/>
      </c>
      <c r="AI832" s="31" t="str">
        <f t="shared" si="250"/>
        <v/>
      </c>
      <c r="AJ832" s="303" t="str">
        <f t="shared" si="251"/>
        <v/>
      </c>
      <c r="AK832" s="139" t="str">
        <f t="shared" si="252"/>
        <v/>
      </c>
    </row>
    <row r="833" spans="7:37" x14ac:dyDescent="0.25">
      <c r="G833" s="235" t="str">
        <f t="shared" si="238"/>
        <v/>
      </c>
      <c r="H833" s="4" t="str">
        <f t="shared" si="239"/>
        <v/>
      </c>
      <c r="I833" s="11" t="str">
        <f t="shared" si="240"/>
        <v>09.00</v>
      </c>
      <c r="K833" s="30">
        <v>658</v>
      </c>
      <c r="L833" s="29">
        <f t="shared" si="253"/>
        <v>11371.908376190917</v>
      </c>
      <c r="M833" s="28" t="str">
        <f t="shared" si="241"/>
        <v/>
      </c>
      <c r="N833" s="27" t="str">
        <f t="shared" si="254"/>
        <v/>
      </c>
      <c r="O833" s="26" t="str">
        <f>IF(AND($Q832=$O$38,IFERROR(LARGE($V$176:$V832,1)&lt;$N$42,TRUE)),1,IF(AND(ISNUMBER($O832),$O832&lt;$N$32),$O832+1,""))</f>
        <v/>
      </c>
      <c r="P833" s="26" t="str">
        <f t="shared" si="255"/>
        <v/>
      </c>
      <c r="Q833" s="26" t="str">
        <f t="shared" si="242"/>
        <v/>
      </c>
      <c r="R833" s="24" t="str">
        <f t="shared" si="256"/>
        <v/>
      </c>
      <c r="S833" s="180">
        <f t="shared" si="257"/>
        <v>9</v>
      </c>
      <c r="T833" s="151"/>
      <c r="U833" s="25" t="str">
        <f t="shared" si="243"/>
        <v/>
      </c>
      <c r="V833" s="24" t="str">
        <f>IF(AND(ISNUMBER(R832),ISNUMBER(R833)),V832,IF(AND(R832="",ISNUMBER(R833)),IFERROR(LARGE($V$176:$V832,1)+1,0),""))</f>
        <v/>
      </c>
      <c r="W833" s="23" t="str">
        <f t="shared" si="244"/>
        <v/>
      </c>
      <c r="X833" s="22" t="str">
        <f t="shared" si="245"/>
        <v/>
      </c>
      <c r="Y833" s="22"/>
      <c r="Z833" s="22"/>
      <c r="AA833" s="22"/>
      <c r="AB833" s="22" t="str" cm="1">
        <f t="array" ref="AB833">IF(IF(AND($P832="",$P833=1),($N$37*-1),0)+IF(AND($Q832="",$Q833=1),($N$38*-1),0)+IF(IF(($K833-$N$48)&lt;1,0,IF(IF(INDEX($AD$176:$AD$905,($K833-$N$48))="",0,INDEX($AD$176:$AD$905,($K833-$N$48)))&gt;0,IF(INDEX($AD$176:$AD$905,($K833-$N$48))="",0,INDEX($AD$176:$AD$905,($K833-$N$48))),0))="",0,IF(($K833-$N$48)&lt;1,0,IF(IF(INDEX($AD$176:$AD$905,($K833-$N$48))="",0,INDEX($AD$176:$AD$905,($K833-$N$48)))&gt;0,IF(INDEX($AD$176:$AD$905,($K833-$N$48))="",0,INDEX($AD$176:$AD$905,($K833-$N$48))),0)))=0,"",IF(AND($P832="",$P833=1),($N$37*-1),0)+IF(AND($Q832="",$Q833=1),($N$38*-1),0)+IF(IF(($K833-$N$48)&lt;1,0,IF(IF(INDEX($AD$176:$AD$905,($K833-$N$48))="",0,INDEX($AD$176:$AD$905,($K833-$N$48)))&gt;0,IF(INDEX($AD$176:$AD$905,($K833-$N$48))="",0,INDEX($AD$176:$AD$905,($K833-$N$48))),0))="",0,IF(($K833-$N$48)&lt;1,0,IF(IF(INDEX($AD$176:$AD$905,($K833-$N$48))="",0,INDEX($AD$176:$AD$905,($K833-$N$48)))&gt;0,IF(INDEX($AD$176:$AD$905,($K833-$N$48))="",0,INDEX($AD$176:$AD$905,($K833-$N$48))),0))))</f>
        <v/>
      </c>
      <c r="AC833" s="22" t="str">
        <f t="shared" si="246"/>
        <v/>
      </c>
      <c r="AD833" s="22" t="str">
        <f t="shared" si="258"/>
        <v/>
      </c>
      <c r="AE833" s="22" t="str" cm="1">
        <f t="array" ref="AE833">IF(($K833-$N$48)&lt;1,"",IF((IF(INDEX($AC$176:$AC$905,($K833-$N$48))="",0,INDEX($AC$176:$AC$905,($K833-$N$48))))=0,"",(IF(INDEX($AC$176:$AC$905,($K833-$N$48))="",0,INDEX($AC$176:$AC$905,($K833-$N$48))))))</f>
        <v/>
      </c>
      <c r="AF833" s="31" t="str">
        <f t="shared" si="247"/>
        <v/>
      </c>
      <c r="AG833" s="31" t="str">
        <f t="shared" si="248"/>
        <v/>
      </c>
      <c r="AH833" s="31" t="str">
        <f t="shared" si="249"/>
        <v/>
      </c>
      <c r="AI833" s="31" t="str">
        <f t="shared" si="250"/>
        <v/>
      </c>
      <c r="AJ833" s="303" t="str">
        <f t="shared" si="251"/>
        <v/>
      </c>
      <c r="AK833" s="139" t="str">
        <f t="shared" si="252"/>
        <v/>
      </c>
    </row>
    <row r="834" spans="7:37" x14ac:dyDescent="0.25">
      <c r="G834" s="235" t="str">
        <f t="shared" si="238"/>
        <v/>
      </c>
      <c r="H834" s="4" t="str">
        <f t="shared" si="239"/>
        <v/>
      </c>
      <c r="I834" s="11" t="str">
        <f t="shared" si="240"/>
        <v>09.00</v>
      </c>
      <c r="K834" s="30">
        <v>659</v>
      </c>
      <c r="L834" s="29">
        <f t="shared" si="253"/>
        <v>11371.908376190917</v>
      </c>
      <c r="M834" s="28" t="str">
        <f t="shared" si="241"/>
        <v/>
      </c>
      <c r="N834" s="27" t="str">
        <f t="shared" si="254"/>
        <v/>
      </c>
      <c r="O834" s="26" t="str">
        <f>IF(AND($Q833=$O$38,IFERROR(LARGE($V$176:$V833,1)&lt;$N$42,TRUE)),1,IF(AND(ISNUMBER($O833),$O833&lt;$N$32),$O833+1,""))</f>
        <v/>
      </c>
      <c r="P834" s="26" t="str">
        <f t="shared" si="255"/>
        <v/>
      </c>
      <c r="Q834" s="26" t="str">
        <f t="shared" si="242"/>
        <v/>
      </c>
      <c r="R834" s="24" t="str">
        <f t="shared" si="256"/>
        <v/>
      </c>
      <c r="S834" s="180">
        <f t="shared" si="257"/>
        <v>9</v>
      </c>
      <c r="T834" s="151"/>
      <c r="U834" s="25" t="str">
        <f t="shared" si="243"/>
        <v/>
      </c>
      <c r="V834" s="24" t="str">
        <f>IF(AND(ISNUMBER(R833),ISNUMBER(R834)),V833,IF(AND(R833="",ISNUMBER(R834)),IFERROR(LARGE($V$176:$V833,1)+1,0),""))</f>
        <v/>
      </c>
      <c r="W834" s="23" t="str">
        <f t="shared" si="244"/>
        <v/>
      </c>
      <c r="X834" s="22" t="str">
        <f t="shared" si="245"/>
        <v/>
      </c>
      <c r="Y834" s="22"/>
      <c r="Z834" s="22"/>
      <c r="AA834" s="22"/>
      <c r="AB834" s="22" t="str" cm="1">
        <f t="array" ref="AB834">IF(IF(AND($P833="",$P834=1),($N$37*-1),0)+IF(AND($Q833="",$Q834=1),($N$38*-1),0)+IF(IF(($K834-$N$48)&lt;1,0,IF(IF(INDEX($AD$176:$AD$905,($K834-$N$48))="",0,INDEX($AD$176:$AD$905,($K834-$N$48)))&gt;0,IF(INDEX($AD$176:$AD$905,($K834-$N$48))="",0,INDEX($AD$176:$AD$905,($K834-$N$48))),0))="",0,IF(($K834-$N$48)&lt;1,0,IF(IF(INDEX($AD$176:$AD$905,($K834-$N$48))="",0,INDEX($AD$176:$AD$905,($K834-$N$48)))&gt;0,IF(INDEX($AD$176:$AD$905,($K834-$N$48))="",0,INDEX($AD$176:$AD$905,($K834-$N$48))),0)))=0,"",IF(AND($P833="",$P834=1),($N$37*-1),0)+IF(AND($Q833="",$Q834=1),($N$38*-1),0)+IF(IF(($K834-$N$48)&lt;1,0,IF(IF(INDEX($AD$176:$AD$905,($K834-$N$48))="",0,INDEX($AD$176:$AD$905,($K834-$N$48)))&gt;0,IF(INDEX($AD$176:$AD$905,($K834-$N$48))="",0,INDEX($AD$176:$AD$905,($K834-$N$48))),0))="",0,IF(($K834-$N$48)&lt;1,0,IF(IF(INDEX($AD$176:$AD$905,($K834-$N$48))="",0,INDEX($AD$176:$AD$905,($K834-$N$48)))&gt;0,IF(INDEX($AD$176:$AD$905,($K834-$N$48))="",0,INDEX($AD$176:$AD$905,($K834-$N$48))),0))))</f>
        <v/>
      </c>
      <c r="AC834" s="22" t="str">
        <f t="shared" si="246"/>
        <v/>
      </c>
      <c r="AD834" s="22" t="str">
        <f t="shared" si="258"/>
        <v/>
      </c>
      <c r="AE834" s="22" t="str" cm="1">
        <f t="array" ref="AE834">IF(($K834-$N$48)&lt;1,"",IF((IF(INDEX($AC$176:$AC$905,($K834-$N$48))="",0,INDEX($AC$176:$AC$905,($K834-$N$48))))=0,"",(IF(INDEX($AC$176:$AC$905,($K834-$N$48))="",0,INDEX($AC$176:$AC$905,($K834-$N$48))))))</f>
        <v/>
      </c>
      <c r="AF834" s="31" t="str">
        <f t="shared" si="247"/>
        <v/>
      </c>
      <c r="AG834" s="31" t="str">
        <f t="shared" si="248"/>
        <v/>
      </c>
      <c r="AH834" s="31" t="str">
        <f t="shared" si="249"/>
        <v/>
      </c>
      <c r="AI834" s="31" t="str">
        <f t="shared" si="250"/>
        <v/>
      </c>
      <c r="AJ834" s="303" t="str">
        <f t="shared" si="251"/>
        <v/>
      </c>
      <c r="AK834" s="139" t="str">
        <f t="shared" si="252"/>
        <v/>
      </c>
    </row>
    <row r="835" spans="7:37" x14ac:dyDescent="0.25">
      <c r="G835" s="235" t="str">
        <f t="shared" si="238"/>
        <v/>
      </c>
      <c r="H835" s="4" t="str">
        <f t="shared" si="239"/>
        <v/>
      </c>
      <c r="I835" s="11" t="str">
        <f t="shared" si="240"/>
        <v>09.00</v>
      </c>
      <c r="K835" s="30">
        <v>660</v>
      </c>
      <c r="L835" s="29">
        <f t="shared" si="253"/>
        <v>11371.908376190917</v>
      </c>
      <c r="M835" s="28" t="str">
        <f t="shared" si="241"/>
        <v/>
      </c>
      <c r="N835" s="27" t="str">
        <f t="shared" si="254"/>
        <v/>
      </c>
      <c r="O835" s="26" t="str">
        <f>IF(AND($Q834=$O$38,IFERROR(LARGE($V$176:$V834,1)&lt;$N$42,TRUE)),1,IF(AND(ISNUMBER($O834),$O834&lt;$N$32),$O834+1,""))</f>
        <v/>
      </c>
      <c r="P835" s="26" t="str">
        <f t="shared" si="255"/>
        <v/>
      </c>
      <c r="Q835" s="26" t="str">
        <f t="shared" si="242"/>
        <v/>
      </c>
      <c r="R835" s="24" t="str">
        <f t="shared" si="256"/>
        <v/>
      </c>
      <c r="S835" s="180">
        <f t="shared" si="257"/>
        <v>9</v>
      </c>
      <c r="T835" s="151"/>
      <c r="U835" s="25" t="str">
        <f t="shared" si="243"/>
        <v/>
      </c>
      <c r="V835" s="24" t="str">
        <f>IF(AND(ISNUMBER(R834),ISNUMBER(R835)),V834,IF(AND(R834="",ISNUMBER(R835)),IFERROR(LARGE($V$176:$V834,1)+1,0),""))</f>
        <v/>
      </c>
      <c r="W835" s="23" t="str">
        <f t="shared" si="244"/>
        <v/>
      </c>
      <c r="X835" s="22" t="str">
        <f t="shared" si="245"/>
        <v/>
      </c>
      <c r="Y835" s="22"/>
      <c r="Z835" s="22"/>
      <c r="AA835" s="22"/>
      <c r="AB835" s="22" t="str" cm="1">
        <f t="array" ref="AB835">IF(IF(AND($P834="",$P835=1),($N$37*-1),0)+IF(AND($Q834="",$Q835=1),($N$38*-1),0)+IF(IF(($K835-$N$48)&lt;1,0,IF(IF(INDEX($AD$176:$AD$905,($K835-$N$48))="",0,INDEX($AD$176:$AD$905,($K835-$N$48)))&gt;0,IF(INDEX($AD$176:$AD$905,($K835-$N$48))="",0,INDEX($AD$176:$AD$905,($K835-$N$48))),0))="",0,IF(($K835-$N$48)&lt;1,0,IF(IF(INDEX($AD$176:$AD$905,($K835-$N$48))="",0,INDEX($AD$176:$AD$905,($K835-$N$48)))&gt;0,IF(INDEX($AD$176:$AD$905,($K835-$N$48))="",0,INDEX($AD$176:$AD$905,($K835-$N$48))),0)))=0,"",IF(AND($P834="",$P835=1),($N$37*-1),0)+IF(AND($Q834="",$Q835=1),($N$38*-1),0)+IF(IF(($K835-$N$48)&lt;1,0,IF(IF(INDEX($AD$176:$AD$905,($K835-$N$48))="",0,INDEX($AD$176:$AD$905,($K835-$N$48)))&gt;0,IF(INDEX($AD$176:$AD$905,($K835-$N$48))="",0,INDEX($AD$176:$AD$905,($K835-$N$48))),0))="",0,IF(($K835-$N$48)&lt;1,0,IF(IF(INDEX($AD$176:$AD$905,($K835-$N$48))="",0,INDEX($AD$176:$AD$905,($K835-$N$48)))&gt;0,IF(INDEX($AD$176:$AD$905,($K835-$N$48))="",0,INDEX($AD$176:$AD$905,($K835-$N$48))),0))))</f>
        <v/>
      </c>
      <c r="AC835" s="22" t="str">
        <f t="shared" si="246"/>
        <v/>
      </c>
      <c r="AD835" s="22" t="str">
        <f t="shared" si="258"/>
        <v/>
      </c>
      <c r="AE835" s="22" t="str" cm="1">
        <f t="array" ref="AE835">IF(($K835-$N$48)&lt;1,"",IF((IF(INDEX($AC$176:$AC$905,($K835-$N$48))="",0,INDEX($AC$176:$AC$905,($K835-$N$48))))=0,"",(IF(INDEX($AC$176:$AC$905,($K835-$N$48))="",0,INDEX($AC$176:$AC$905,($K835-$N$48))))))</f>
        <v/>
      </c>
      <c r="AF835" s="31" t="str">
        <f t="shared" si="247"/>
        <v/>
      </c>
      <c r="AG835" s="31" t="str">
        <f t="shared" si="248"/>
        <v/>
      </c>
      <c r="AH835" s="31" t="str">
        <f t="shared" si="249"/>
        <v/>
      </c>
      <c r="AI835" s="31" t="str">
        <f t="shared" si="250"/>
        <v/>
      </c>
      <c r="AJ835" s="303" t="str">
        <f t="shared" si="251"/>
        <v/>
      </c>
      <c r="AK835" s="139" t="str">
        <f t="shared" si="252"/>
        <v/>
      </c>
    </row>
    <row r="836" spans="7:37" x14ac:dyDescent="0.25">
      <c r="G836" s="235" t="str">
        <f t="shared" si="238"/>
        <v/>
      </c>
      <c r="H836" s="4" t="str">
        <f t="shared" si="239"/>
        <v/>
      </c>
      <c r="I836" s="11" t="str">
        <f t="shared" si="240"/>
        <v>09.00</v>
      </c>
      <c r="K836" s="30">
        <v>661</v>
      </c>
      <c r="L836" s="29">
        <f t="shared" si="253"/>
        <v>11371.908376190917</v>
      </c>
      <c r="M836" s="28" t="str">
        <f t="shared" si="241"/>
        <v/>
      </c>
      <c r="N836" s="27" t="str">
        <f t="shared" si="254"/>
        <v/>
      </c>
      <c r="O836" s="26" t="str">
        <f>IF(AND($Q835=$O$38,IFERROR(LARGE($V$176:$V835,1)&lt;$N$42,TRUE)),1,IF(AND(ISNUMBER($O835),$O835&lt;$N$32),$O835+1,""))</f>
        <v/>
      </c>
      <c r="P836" s="26" t="str">
        <f t="shared" si="255"/>
        <v/>
      </c>
      <c r="Q836" s="26" t="str">
        <f t="shared" si="242"/>
        <v/>
      </c>
      <c r="R836" s="24" t="str">
        <f t="shared" si="256"/>
        <v/>
      </c>
      <c r="S836" s="180">
        <f t="shared" si="257"/>
        <v>9</v>
      </c>
      <c r="T836" s="151"/>
      <c r="U836" s="25" t="str">
        <f t="shared" si="243"/>
        <v/>
      </c>
      <c r="V836" s="24" t="str">
        <f>IF(AND(ISNUMBER(R835),ISNUMBER(R836)),V835,IF(AND(R835="",ISNUMBER(R836)),IFERROR(LARGE($V$176:$V835,1)+1,0),""))</f>
        <v/>
      </c>
      <c r="W836" s="23" t="str">
        <f t="shared" si="244"/>
        <v/>
      </c>
      <c r="X836" s="22" t="str">
        <f t="shared" si="245"/>
        <v/>
      </c>
      <c r="Y836" s="22"/>
      <c r="Z836" s="22"/>
      <c r="AA836" s="22"/>
      <c r="AB836" s="22" t="str" cm="1">
        <f t="array" ref="AB836">IF(IF(AND($P835="",$P836=1),($N$37*-1),0)+IF(AND($Q835="",$Q836=1),($N$38*-1),0)+IF(IF(($K836-$N$48)&lt;1,0,IF(IF(INDEX($AD$176:$AD$905,($K836-$N$48))="",0,INDEX($AD$176:$AD$905,($K836-$N$48)))&gt;0,IF(INDEX($AD$176:$AD$905,($K836-$N$48))="",0,INDEX($AD$176:$AD$905,($K836-$N$48))),0))="",0,IF(($K836-$N$48)&lt;1,0,IF(IF(INDEX($AD$176:$AD$905,($K836-$N$48))="",0,INDEX($AD$176:$AD$905,($K836-$N$48)))&gt;0,IF(INDEX($AD$176:$AD$905,($K836-$N$48))="",0,INDEX($AD$176:$AD$905,($K836-$N$48))),0)))=0,"",IF(AND($P835="",$P836=1),($N$37*-1),0)+IF(AND($Q835="",$Q836=1),($N$38*-1),0)+IF(IF(($K836-$N$48)&lt;1,0,IF(IF(INDEX($AD$176:$AD$905,($K836-$N$48))="",0,INDEX($AD$176:$AD$905,($K836-$N$48)))&gt;0,IF(INDEX($AD$176:$AD$905,($K836-$N$48))="",0,INDEX($AD$176:$AD$905,($K836-$N$48))),0))="",0,IF(($K836-$N$48)&lt;1,0,IF(IF(INDEX($AD$176:$AD$905,($K836-$N$48))="",0,INDEX($AD$176:$AD$905,($K836-$N$48)))&gt;0,IF(INDEX($AD$176:$AD$905,($K836-$N$48))="",0,INDEX($AD$176:$AD$905,($K836-$N$48))),0))))</f>
        <v/>
      </c>
      <c r="AC836" s="22" t="str">
        <f t="shared" si="246"/>
        <v/>
      </c>
      <c r="AD836" s="22" t="str">
        <f t="shared" si="258"/>
        <v/>
      </c>
      <c r="AE836" s="22" t="str" cm="1">
        <f t="array" ref="AE836">IF(($K836-$N$48)&lt;1,"",IF((IF(INDEX($AC$176:$AC$905,($K836-$N$48))="",0,INDEX($AC$176:$AC$905,($K836-$N$48))))=0,"",(IF(INDEX($AC$176:$AC$905,($K836-$N$48))="",0,INDEX($AC$176:$AC$905,($K836-$N$48))))))</f>
        <v/>
      </c>
      <c r="AF836" s="31" t="str">
        <f t="shared" si="247"/>
        <v/>
      </c>
      <c r="AG836" s="31" t="str">
        <f t="shared" si="248"/>
        <v/>
      </c>
      <c r="AH836" s="31" t="str">
        <f t="shared" si="249"/>
        <v/>
      </c>
      <c r="AI836" s="31" t="str">
        <f t="shared" si="250"/>
        <v/>
      </c>
      <c r="AJ836" s="303" t="str">
        <f t="shared" si="251"/>
        <v/>
      </c>
      <c r="AK836" s="139" t="str">
        <f t="shared" si="252"/>
        <v/>
      </c>
    </row>
    <row r="837" spans="7:37" x14ac:dyDescent="0.25">
      <c r="G837" s="235" t="str">
        <f t="shared" si="238"/>
        <v/>
      </c>
      <c r="H837" s="4" t="str">
        <f t="shared" si="239"/>
        <v/>
      </c>
      <c r="I837" s="11" t="str">
        <f t="shared" si="240"/>
        <v>09.00</v>
      </c>
      <c r="K837" s="30">
        <v>662</v>
      </c>
      <c r="L837" s="29">
        <f t="shared" si="253"/>
        <v>11371.908376190917</v>
      </c>
      <c r="M837" s="28" t="str">
        <f t="shared" si="241"/>
        <v/>
      </c>
      <c r="N837" s="27" t="str">
        <f t="shared" si="254"/>
        <v/>
      </c>
      <c r="O837" s="26" t="str">
        <f>IF(AND($Q836=$O$38,IFERROR(LARGE($V$176:$V836,1)&lt;$N$42,TRUE)),1,IF(AND(ISNUMBER($O836),$O836&lt;$N$32),$O836+1,""))</f>
        <v/>
      </c>
      <c r="P837" s="26" t="str">
        <f t="shared" si="255"/>
        <v/>
      </c>
      <c r="Q837" s="26" t="str">
        <f t="shared" si="242"/>
        <v/>
      </c>
      <c r="R837" s="24" t="str">
        <f t="shared" si="256"/>
        <v/>
      </c>
      <c r="S837" s="180">
        <f t="shared" si="257"/>
        <v>9</v>
      </c>
      <c r="T837" s="151"/>
      <c r="U837" s="25" t="str">
        <f t="shared" si="243"/>
        <v/>
      </c>
      <c r="V837" s="24" t="str">
        <f>IF(AND(ISNUMBER(R836),ISNUMBER(R837)),V836,IF(AND(R836="",ISNUMBER(R837)),IFERROR(LARGE($V$176:$V836,1)+1,0),""))</f>
        <v/>
      </c>
      <c r="W837" s="23" t="str">
        <f t="shared" si="244"/>
        <v/>
      </c>
      <c r="X837" s="22" t="str">
        <f t="shared" si="245"/>
        <v/>
      </c>
      <c r="Y837" s="22"/>
      <c r="Z837" s="22"/>
      <c r="AA837" s="22"/>
      <c r="AB837" s="22" t="str" cm="1">
        <f t="array" ref="AB837">IF(IF(AND($P836="",$P837=1),($N$37*-1),0)+IF(AND($Q836="",$Q837=1),($N$38*-1),0)+IF(IF(($K837-$N$48)&lt;1,0,IF(IF(INDEX($AD$176:$AD$905,($K837-$N$48))="",0,INDEX($AD$176:$AD$905,($K837-$N$48)))&gt;0,IF(INDEX($AD$176:$AD$905,($K837-$N$48))="",0,INDEX($AD$176:$AD$905,($K837-$N$48))),0))="",0,IF(($K837-$N$48)&lt;1,0,IF(IF(INDEX($AD$176:$AD$905,($K837-$N$48))="",0,INDEX($AD$176:$AD$905,($K837-$N$48)))&gt;0,IF(INDEX($AD$176:$AD$905,($K837-$N$48))="",0,INDEX($AD$176:$AD$905,($K837-$N$48))),0)))=0,"",IF(AND($P836="",$P837=1),($N$37*-1),0)+IF(AND($Q836="",$Q837=1),($N$38*-1),0)+IF(IF(($K837-$N$48)&lt;1,0,IF(IF(INDEX($AD$176:$AD$905,($K837-$N$48))="",0,INDEX($AD$176:$AD$905,($K837-$N$48)))&gt;0,IF(INDEX($AD$176:$AD$905,($K837-$N$48))="",0,INDEX($AD$176:$AD$905,($K837-$N$48))),0))="",0,IF(($K837-$N$48)&lt;1,0,IF(IF(INDEX($AD$176:$AD$905,($K837-$N$48))="",0,INDEX($AD$176:$AD$905,($K837-$N$48)))&gt;0,IF(INDEX($AD$176:$AD$905,($K837-$N$48))="",0,INDEX($AD$176:$AD$905,($K837-$N$48))),0))))</f>
        <v/>
      </c>
      <c r="AC837" s="22" t="str">
        <f t="shared" si="246"/>
        <v/>
      </c>
      <c r="AD837" s="22" t="str">
        <f t="shared" si="258"/>
        <v/>
      </c>
      <c r="AE837" s="22" t="str" cm="1">
        <f t="array" ref="AE837">IF(($K837-$N$48)&lt;1,"",IF((IF(INDEX($AC$176:$AC$905,($K837-$N$48))="",0,INDEX($AC$176:$AC$905,($K837-$N$48))))=0,"",(IF(INDEX($AC$176:$AC$905,($K837-$N$48))="",0,INDEX($AC$176:$AC$905,($K837-$N$48))))))</f>
        <v/>
      </c>
      <c r="AF837" s="31" t="str">
        <f t="shared" si="247"/>
        <v/>
      </c>
      <c r="AG837" s="31" t="str">
        <f t="shared" si="248"/>
        <v/>
      </c>
      <c r="AH837" s="31" t="str">
        <f t="shared" si="249"/>
        <v/>
      </c>
      <c r="AI837" s="31" t="str">
        <f t="shared" si="250"/>
        <v/>
      </c>
      <c r="AJ837" s="303" t="str">
        <f t="shared" si="251"/>
        <v/>
      </c>
      <c r="AK837" s="139" t="str">
        <f t="shared" si="252"/>
        <v/>
      </c>
    </row>
    <row r="838" spans="7:37" x14ac:dyDescent="0.25">
      <c r="G838" s="235" t="str">
        <f t="shared" si="238"/>
        <v/>
      </c>
      <c r="H838" s="4" t="str">
        <f t="shared" si="239"/>
        <v/>
      </c>
      <c r="I838" s="11" t="str">
        <f t="shared" si="240"/>
        <v>09.00</v>
      </c>
      <c r="K838" s="30">
        <v>663</v>
      </c>
      <c r="L838" s="29">
        <f t="shared" si="253"/>
        <v>11371.908376190917</v>
      </c>
      <c r="M838" s="28" t="str">
        <f t="shared" si="241"/>
        <v/>
      </c>
      <c r="N838" s="27" t="str">
        <f t="shared" si="254"/>
        <v/>
      </c>
      <c r="O838" s="26" t="str">
        <f>IF(AND($Q837=$O$38,IFERROR(LARGE($V$176:$V837,1)&lt;$N$42,TRUE)),1,IF(AND(ISNUMBER($O837),$O837&lt;$N$32),$O837+1,""))</f>
        <v/>
      </c>
      <c r="P838" s="26" t="str">
        <f t="shared" si="255"/>
        <v/>
      </c>
      <c r="Q838" s="26" t="str">
        <f t="shared" si="242"/>
        <v/>
      </c>
      <c r="R838" s="24" t="str">
        <f t="shared" si="256"/>
        <v/>
      </c>
      <c r="S838" s="180">
        <f t="shared" si="257"/>
        <v>9</v>
      </c>
      <c r="T838" s="151"/>
      <c r="U838" s="25" t="str">
        <f t="shared" si="243"/>
        <v/>
      </c>
      <c r="V838" s="24" t="str">
        <f>IF(AND(ISNUMBER(R837),ISNUMBER(R838)),V837,IF(AND(R837="",ISNUMBER(R838)),IFERROR(LARGE($V$176:$V837,1)+1,0),""))</f>
        <v/>
      </c>
      <c r="W838" s="23" t="str">
        <f t="shared" si="244"/>
        <v/>
      </c>
      <c r="X838" s="22" t="str">
        <f t="shared" si="245"/>
        <v/>
      </c>
      <c r="Y838" s="22"/>
      <c r="Z838" s="22"/>
      <c r="AA838" s="22"/>
      <c r="AB838" s="22" t="str" cm="1">
        <f t="array" ref="AB838">IF(IF(AND($P837="",$P838=1),($N$37*-1),0)+IF(AND($Q837="",$Q838=1),($N$38*-1),0)+IF(IF(($K838-$N$48)&lt;1,0,IF(IF(INDEX($AD$176:$AD$905,($K838-$N$48))="",0,INDEX($AD$176:$AD$905,($K838-$N$48)))&gt;0,IF(INDEX($AD$176:$AD$905,($K838-$N$48))="",0,INDEX($AD$176:$AD$905,($K838-$N$48))),0))="",0,IF(($K838-$N$48)&lt;1,0,IF(IF(INDEX($AD$176:$AD$905,($K838-$N$48))="",0,INDEX($AD$176:$AD$905,($K838-$N$48)))&gt;0,IF(INDEX($AD$176:$AD$905,($K838-$N$48))="",0,INDEX($AD$176:$AD$905,($K838-$N$48))),0)))=0,"",IF(AND($P837="",$P838=1),($N$37*-1),0)+IF(AND($Q837="",$Q838=1),($N$38*-1),0)+IF(IF(($K838-$N$48)&lt;1,0,IF(IF(INDEX($AD$176:$AD$905,($K838-$N$48))="",0,INDEX($AD$176:$AD$905,($K838-$N$48)))&gt;0,IF(INDEX($AD$176:$AD$905,($K838-$N$48))="",0,INDEX($AD$176:$AD$905,($K838-$N$48))),0))="",0,IF(($K838-$N$48)&lt;1,0,IF(IF(INDEX($AD$176:$AD$905,($K838-$N$48))="",0,INDEX($AD$176:$AD$905,($K838-$N$48)))&gt;0,IF(INDEX($AD$176:$AD$905,($K838-$N$48))="",0,INDEX($AD$176:$AD$905,($K838-$N$48))),0))))</f>
        <v/>
      </c>
      <c r="AC838" s="22" t="str">
        <f t="shared" si="246"/>
        <v/>
      </c>
      <c r="AD838" s="22" t="str">
        <f t="shared" si="258"/>
        <v/>
      </c>
      <c r="AE838" s="22" t="str" cm="1">
        <f t="array" ref="AE838">IF(($K838-$N$48)&lt;1,"",IF((IF(INDEX($AC$176:$AC$905,($K838-$N$48))="",0,INDEX($AC$176:$AC$905,($K838-$N$48))))=0,"",(IF(INDEX($AC$176:$AC$905,($K838-$N$48))="",0,INDEX($AC$176:$AC$905,($K838-$N$48))))))</f>
        <v/>
      </c>
      <c r="AF838" s="31" t="str">
        <f t="shared" si="247"/>
        <v/>
      </c>
      <c r="AG838" s="31" t="str">
        <f t="shared" si="248"/>
        <v/>
      </c>
      <c r="AH838" s="31" t="str">
        <f t="shared" si="249"/>
        <v/>
      </c>
      <c r="AI838" s="31" t="str">
        <f t="shared" si="250"/>
        <v/>
      </c>
      <c r="AJ838" s="303" t="str">
        <f t="shared" si="251"/>
        <v/>
      </c>
      <c r="AK838" s="139" t="str">
        <f t="shared" si="252"/>
        <v/>
      </c>
    </row>
    <row r="839" spans="7:37" x14ac:dyDescent="0.25">
      <c r="G839" s="235" t="str">
        <f t="shared" si="238"/>
        <v/>
      </c>
      <c r="H839" s="4" t="str">
        <f t="shared" si="239"/>
        <v/>
      </c>
      <c r="I839" s="11" t="str">
        <f t="shared" si="240"/>
        <v>09.00</v>
      </c>
      <c r="K839" s="30">
        <v>664</v>
      </c>
      <c r="L839" s="29">
        <f t="shared" si="253"/>
        <v>11371.908376190917</v>
      </c>
      <c r="M839" s="28" t="str">
        <f t="shared" si="241"/>
        <v/>
      </c>
      <c r="N839" s="27" t="str">
        <f t="shared" si="254"/>
        <v/>
      </c>
      <c r="O839" s="26" t="str">
        <f>IF(AND($Q838=$O$38,IFERROR(LARGE($V$176:$V838,1)&lt;$N$42,TRUE)),1,IF(AND(ISNUMBER($O838),$O838&lt;$N$32),$O838+1,""))</f>
        <v/>
      </c>
      <c r="P839" s="26" t="str">
        <f t="shared" si="255"/>
        <v/>
      </c>
      <c r="Q839" s="26" t="str">
        <f t="shared" si="242"/>
        <v/>
      </c>
      <c r="R839" s="24" t="str">
        <f t="shared" si="256"/>
        <v/>
      </c>
      <c r="S839" s="180">
        <f t="shared" si="257"/>
        <v>9</v>
      </c>
      <c r="T839" s="151"/>
      <c r="U839" s="25" t="str">
        <f t="shared" si="243"/>
        <v/>
      </c>
      <c r="V839" s="24" t="str">
        <f>IF(AND(ISNUMBER(R838),ISNUMBER(R839)),V838,IF(AND(R838="",ISNUMBER(R839)),IFERROR(LARGE($V$176:$V838,1)+1,0),""))</f>
        <v/>
      </c>
      <c r="W839" s="23" t="str">
        <f t="shared" si="244"/>
        <v/>
      </c>
      <c r="X839" s="22" t="str">
        <f t="shared" si="245"/>
        <v/>
      </c>
      <c r="Y839" s="22"/>
      <c r="Z839" s="22"/>
      <c r="AA839" s="22"/>
      <c r="AB839" s="22" t="str" cm="1">
        <f t="array" ref="AB839">IF(IF(AND($P838="",$P839=1),($N$37*-1),0)+IF(AND($Q838="",$Q839=1),($N$38*-1),0)+IF(IF(($K839-$N$48)&lt;1,0,IF(IF(INDEX($AD$176:$AD$905,($K839-$N$48))="",0,INDEX($AD$176:$AD$905,($K839-$N$48)))&gt;0,IF(INDEX($AD$176:$AD$905,($K839-$N$48))="",0,INDEX($AD$176:$AD$905,($K839-$N$48))),0))="",0,IF(($K839-$N$48)&lt;1,0,IF(IF(INDEX($AD$176:$AD$905,($K839-$N$48))="",0,INDEX($AD$176:$AD$905,($K839-$N$48)))&gt;0,IF(INDEX($AD$176:$AD$905,($K839-$N$48))="",0,INDEX($AD$176:$AD$905,($K839-$N$48))),0)))=0,"",IF(AND($P838="",$P839=1),($N$37*-1),0)+IF(AND($Q838="",$Q839=1),($N$38*-1),0)+IF(IF(($K839-$N$48)&lt;1,0,IF(IF(INDEX($AD$176:$AD$905,($K839-$N$48))="",0,INDEX($AD$176:$AD$905,($K839-$N$48)))&gt;0,IF(INDEX($AD$176:$AD$905,($K839-$N$48))="",0,INDEX($AD$176:$AD$905,($K839-$N$48))),0))="",0,IF(($K839-$N$48)&lt;1,0,IF(IF(INDEX($AD$176:$AD$905,($K839-$N$48))="",0,INDEX($AD$176:$AD$905,($K839-$N$48)))&gt;0,IF(INDEX($AD$176:$AD$905,($K839-$N$48))="",0,INDEX($AD$176:$AD$905,($K839-$N$48))),0))))</f>
        <v/>
      </c>
      <c r="AC839" s="22" t="str">
        <f t="shared" si="246"/>
        <v/>
      </c>
      <c r="AD839" s="22" t="str">
        <f t="shared" si="258"/>
        <v/>
      </c>
      <c r="AE839" s="22" t="str" cm="1">
        <f t="array" ref="AE839">IF(($K839-$N$48)&lt;1,"",IF((IF(INDEX($AC$176:$AC$905,($K839-$N$48))="",0,INDEX($AC$176:$AC$905,($K839-$N$48))))=0,"",(IF(INDEX($AC$176:$AC$905,($K839-$N$48))="",0,INDEX($AC$176:$AC$905,($K839-$N$48))))))</f>
        <v/>
      </c>
      <c r="AF839" s="31" t="str">
        <f t="shared" si="247"/>
        <v/>
      </c>
      <c r="AG839" s="31" t="str">
        <f t="shared" si="248"/>
        <v/>
      </c>
      <c r="AH839" s="31" t="str">
        <f t="shared" si="249"/>
        <v/>
      </c>
      <c r="AI839" s="31" t="str">
        <f t="shared" si="250"/>
        <v/>
      </c>
      <c r="AJ839" s="303" t="str">
        <f t="shared" si="251"/>
        <v/>
      </c>
      <c r="AK839" s="139" t="str">
        <f t="shared" si="252"/>
        <v/>
      </c>
    </row>
    <row r="840" spans="7:37" x14ac:dyDescent="0.25">
      <c r="G840" s="235" t="str">
        <f t="shared" si="238"/>
        <v/>
      </c>
      <c r="H840" s="4" t="str">
        <f t="shared" si="239"/>
        <v/>
      </c>
      <c r="I840" s="11" t="str">
        <f t="shared" si="240"/>
        <v>09.00</v>
      </c>
      <c r="K840" s="30">
        <v>665</v>
      </c>
      <c r="L840" s="29">
        <f t="shared" si="253"/>
        <v>11371.908376190917</v>
      </c>
      <c r="M840" s="28" t="str">
        <f t="shared" si="241"/>
        <v/>
      </c>
      <c r="N840" s="27" t="str">
        <f t="shared" si="254"/>
        <v/>
      </c>
      <c r="O840" s="26" t="str">
        <f>IF(AND($Q839=$O$38,IFERROR(LARGE($V$176:$V839,1)&lt;$N$42,TRUE)),1,IF(AND(ISNUMBER($O839),$O839&lt;$N$32),$O839+1,""))</f>
        <v/>
      </c>
      <c r="P840" s="26" t="str">
        <f t="shared" si="255"/>
        <v/>
      </c>
      <c r="Q840" s="26" t="str">
        <f t="shared" si="242"/>
        <v/>
      </c>
      <c r="R840" s="24" t="str">
        <f t="shared" si="256"/>
        <v/>
      </c>
      <c r="S840" s="180">
        <f t="shared" si="257"/>
        <v>9</v>
      </c>
      <c r="T840" s="151"/>
      <c r="U840" s="25" t="str">
        <f t="shared" si="243"/>
        <v/>
      </c>
      <c r="V840" s="24" t="str">
        <f>IF(AND(ISNUMBER(R839),ISNUMBER(R840)),V839,IF(AND(R839="",ISNUMBER(R840)),IFERROR(LARGE($V$176:$V839,1)+1,0),""))</f>
        <v/>
      </c>
      <c r="W840" s="23" t="str">
        <f t="shared" si="244"/>
        <v/>
      </c>
      <c r="X840" s="22" t="str">
        <f t="shared" si="245"/>
        <v/>
      </c>
      <c r="Y840" s="22"/>
      <c r="Z840" s="22"/>
      <c r="AA840" s="22"/>
      <c r="AB840" s="22" t="str" cm="1">
        <f t="array" ref="AB840">IF(IF(AND($P839="",$P840=1),($N$37*-1),0)+IF(AND($Q839="",$Q840=1),($N$38*-1),0)+IF(IF(($K840-$N$48)&lt;1,0,IF(IF(INDEX($AD$176:$AD$905,($K840-$N$48))="",0,INDEX($AD$176:$AD$905,($K840-$N$48)))&gt;0,IF(INDEX($AD$176:$AD$905,($K840-$N$48))="",0,INDEX($AD$176:$AD$905,($K840-$N$48))),0))="",0,IF(($K840-$N$48)&lt;1,0,IF(IF(INDEX($AD$176:$AD$905,($K840-$N$48))="",0,INDEX($AD$176:$AD$905,($K840-$N$48)))&gt;0,IF(INDEX($AD$176:$AD$905,($K840-$N$48))="",0,INDEX($AD$176:$AD$905,($K840-$N$48))),0)))=0,"",IF(AND($P839="",$P840=1),($N$37*-1),0)+IF(AND($Q839="",$Q840=1),($N$38*-1),0)+IF(IF(($K840-$N$48)&lt;1,0,IF(IF(INDEX($AD$176:$AD$905,($K840-$N$48))="",0,INDEX($AD$176:$AD$905,($K840-$N$48)))&gt;0,IF(INDEX($AD$176:$AD$905,($K840-$N$48))="",0,INDEX($AD$176:$AD$905,($K840-$N$48))),0))="",0,IF(($K840-$N$48)&lt;1,0,IF(IF(INDEX($AD$176:$AD$905,($K840-$N$48))="",0,INDEX($AD$176:$AD$905,($K840-$N$48)))&gt;0,IF(INDEX($AD$176:$AD$905,($K840-$N$48))="",0,INDEX($AD$176:$AD$905,($K840-$N$48))),0))))</f>
        <v/>
      </c>
      <c r="AC840" s="22" t="str">
        <f t="shared" si="246"/>
        <v/>
      </c>
      <c r="AD840" s="22" t="str">
        <f t="shared" si="258"/>
        <v/>
      </c>
      <c r="AE840" s="22" t="str" cm="1">
        <f t="array" ref="AE840">IF(($K840-$N$48)&lt;1,"",IF((IF(INDEX($AC$176:$AC$905,($K840-$N$48))="",0,INDEX($AC$176:$AC$905,($K840-$N$48))))=0,"",(IF(INDEX($AC$176:$AC$905,($K840-$N$48))="",0,INDEX($AC$176:$AC$905,($K840-$N$48))))))</f>
        <v/>
      </c>
      <c r="AF840" s="31" t="str">
        <f t="shared" si="247"/>
        <v/>
      </c>
      <c r="AG840" s="31" t="str">
        <f t="shared" si="248"/>
        <v/>
      </c>
      <c r="AH840" s="31" t="str">
        <f t="shared" si="249"/>
        <v/>
      </c>
      <c r="AI840" s="31" t="str">
        <f t="shared" si="250"/>
        <v/>
      </c>
      <c r="AJ840" s="303" t="str">
        <f t="shared" si="251"/>
        <v/>
      </c>
      <c r="AK840" s="139" t="str">
        <f t="shared" si="252"/>
        <v/>
      </c>
    </row>
    <row r="841" spans="7:37" x14ac:dyDescent="0.25">
      <c r="G841" s="235" t="str">
        <f t="shared" si="238"/>
        <v/>
      </c>
      <c r="H841" s="4" t="str">
        <f t="shared" si="239"/>
        <v/>
      </c>
      <c r="I841" s="11" t="str">
        <f t="shared" si="240"/>
        <v>09.00</v>
      </c>
      <c r="K841" s="30">
        <v>666</v>
      </c>
      <c r="L841" s="29">
        <f t="shared" si="253"/>
        <v>11371.908376190917</v>
      </c>
      <c r="M841" s="28" t="str">
        <f t="shared" si="241"/>
        <v/>
      </c>
      <c r="N841" s="27" t="str">
        <f t="shared" si="254"/>
        <v/>
      </c>
      <c r="O841" s="26" t="str">
        <f>IF(AND($Q840=$O$38,IFERROR(LARGE($V$176:$V840,1)&lt;$N$42,TRUE)),1,IF(AND(ISNUMBER($O840),$O840&lt;$N$32),$O840+1,""))</f>
        <v/>
      </c>
      <c r="P841" s="26" t="str">
        <f t="shared" si="255"/>
        <v/>
      </c>
      <c r="Q841" s="26" t="str">
        <f t="shared" si="242"/>
        <v/>
      </c>
      <c r="R841" s="24" t="str">
        <f t="shared" si="256"/>
        <v/>
      </c>
      <c r="S841" s="180">
        <f t="shared" si="257"/>
        <v>9</v>
      </c>
      <c r="T841" s="151"/>
      <c r="U841" s="25" t="str">
        <f t="shared" si="243"/>
        <v/>
      </c>
      <c r="V841" s="24" t="str">
        <f>IF(AND(ISNUMBER(R840),ISNUMBER(R841)),V840,IF(AND(R840="",ISNUMBER(R841)),IFERROR(LARGE($V$176:$V840,1)+1,0),""))</f>
        <v/>
      </c>
      <c r="W841" s="23" t="str">
        <f t="shared" si="244"/>
        <v/>
      </c>
      <c r="X841" s="22" t="str">
        <f t="shared" si="245"/>
        <v/>
      </c>
      <c r="Y841" s="22"/>
      <c r="Z841" s="22"/>
      <c r="AA841" s="22"/>
      <c r="AB841" s="22" t="str" cm="1">
        <f t="array" ref="AB841">IF(IF(AND($P840="",$P841=1),($N$37*-1),0)+IF(AND($Q840="",$Q841=1),($N$38*-1),0)+IF(IF(($K841-$N$48)&lt;1,0,IF(IF(INDEX($AD$176:$AD$905,($K841-$N$48))="",0,INDEX($AD$176:$AD$905,($K841-$N$48)))&gt;0,IF(INDEX($AD$176:$AD$905,($K841-$N$48))="",0,INDEX($AD$176:$AD$905,($K841-$N$48))),0))="",0,IF(($K841-$N$48)&lt;1,0,IF(IF(INDEX($AD$176:$AD$905,($K841-$N$48))="",0,INDEX($AD$176:$AD$905,($K841-$N$48)))&gt;0,IF(INDEX($AD$176:$AD$905,($K841-$N$48))="",0,INDEX($AD$176:$AD$905,($K841-$N$48))),0)))=0,"",IF(AND($P840="",$P841=1),($N$37*-1),0)+IF(AND($Q840="",$Q841=1),($N$38*-1),0)+IF(IF(($K841-$N$48)&lt;1,0,IF(IF(INDEX($AD$176:$AD$905,($K841-$N$48))="",0,INDEX($AD$176:$AD$905,($K841-$N$48)))&gt;0,IF(INDEX($AD$176:$AD$905,($K841-$N$48))="",0,INDEX($AD$176:$AD$905,($K841-$N$48))),0))="",0,IF(($K841-$N$48)&lt;1,0,IF(IF(INDEX($AD$176:$AD$905,($K841-$N$48))="",0,INDEX($AD$176:$AD$905,($K841-$N$48)))&gt;0,IF(INDEX($AD$176:$AD$905,($K841-$N$48))="",0,INDEX($AD$176:$AD$905,($K841-$N$48))),0))))</f>
        <v/>
      </c>
      <c r="AC841" s="22" t="str">
        <f t="shared" si="246"/>
        <v/>
      </c>
      <c r="AD841" s="22" t="str">
        <f t="shared" si="258"/>
        <v/>
      </c>
      <c r="AE841" s="22" t="str" cm="1">
        <f t="array" ref="AE841">IF(($K841-$N$48)&lt;1,"",IF((IF(INDEX($AC$176:$AC$905,($K841-$N$48))="",0,INDEX($AC$176:$AC$905,($K841-$N$48))))=0,"",(IF(INDEX($AC$176:$AC$905,($K841-$N$48))="",0,INDEX($AC$176:$AC$905,($K841-$N$48))))))</f>
        <v/>
      </c>
      <c r="AF841" s="31" t="str">
        <f t="shared" si="247"/>
        <v/>
      </c>
      <c r="AG841" s="31" t="str">
        <f t="shared" si="248"/>
        <v/>
      </c>
      <c r="AH841" s="31" t="str">
        <f t="shared" si="249"/>
        <v/>
      </c>
      <c r="AI841" s="31" t="str">
        <f t="shared" si="250"/>
        <v/>
      </c>
      <c r="AJ841" s="303" t="str">
        <f t="shared" si="251"/>
        <v/>
      </c>
      <c r="AK841" s="139" t="str">
        <f t="shared" si="252"/>
        <v/>
      </c>
    </row>
    <row r="842" spans="7:37" x14ac:dyDescent="0.25">
      <c r="G842" s="235" t="str">
        <f t="shared" si="238"/>
        <v/>
      </c>
      <c r="H842" s="4" t="str">
        <f t="shared" si="239"/>
        <v/>
      </c>
      <c r="I842" s="11" t="str">
        <f t="shared" si="240"/>
        <v>09.00</v>
      </c>
      <c r="K842" s="30">
        <v>667</v>
      </c>
      <c r="L842" s="29">
        <f t="shared" si="253"/>
        <v>11371.908376190917</v>
      </c>
      <c r="M842" s="28" t="str">
        <f t="shared" si="241"/>
        <v/>
      </c>
      <c r="N842" s="27" t="str">
        <f t="shared" si="254"/>
        <v/>
      </c>
      <c r="O842" s="26" t="str">
        <f>IF(AND($Q841=$O$38,IFERROR(LARGE($V$176:$V841,1)&lt;$N$42,TRUE)),1,IF(AND(ISNUMBER($O841),$O841&lt;$N$32),$O841+1,""))</f>
        <v/>
      </c>
      <c r="P842" s="26" t="str">
        <f t="shared" si="255"/>
        <v/>
      </c>
      <c r="Q842" s="26" t="str">
        <f t="shared" si="242"/>
        <v/>
      </c>
      <c r="R842" s="24" t="str">
        <f t="shared" si="256"/>
        <v/>
      </c>
      <c r="S842" s="180">
        <f t="shared" si="257"/>
        <v>9</v>
      </c>
      <c r="T842" s="151"/>
      <c r="U842" s="25" t="str">
        <f t="shared" si="243"/>
        <v/>
      </c>
      <c r="V842" s="24" t="str">
        <f>IF(AND(ISNUMBER(R841),ISNUMBER(R842)),V841,IF(AND(R841="",ISNUMBER(R842)),IFERROR(LARGE($V$176:$V841,1)+1,0),""))</f>
        <v/>
      </c>
      <c r="W842" s="23" t="str">
        <f t="shared" si="244"/>
        <v/>
      </c>
      <c r="X842" s="22" t="str">
        <f t="shared" si="245"/>
        <v/>
      </c>
      <c r="Y842" s="22"/>
      <c r="Z842" s="22"/>
      <c r="AA842" s="22"/>
      <c r="AB842" s="22" t="str" cm="1">
        <f t="array" ref="AB842">IF(IF(AND($P841="",$P842=1),($N$37*-1),0)+IF(AND($Q841="",$Q842=1),($N$38*-1),0)+IF(IF(($K842-$N$48)&lt;1,0,IF(IF(INDEX($AD$176:$AD$905,($K842-$N$48))="",0,INDEX($AD$176:$AD$905,($K842-$N$48)))&gt;0,IF(INDEX($AD$176:$AD$905,($K842-$N$48))="",0,INDEX($AD$176:$AD$905,($K842-$N$48))),0))="",0,IF(($K842-$N$48)&lt;1,0,IF(IF(INDEX($AD$176:$AD$905,($K842-$N$48))="",0,INDEX($AD$176:$AD$905,($K842-$N$48)))&gt;0,IF(INDEX($AD$176:$AD$905,($K842-$N$48))="",0,INDEX($AD$176:$AD$905,($K842-$N$48))),0)))=0,"",IF(AND($P841="",$P842=1),($N$37*-1),0)+IF(AND($Q841="",$Q842=1),($N$38*-1),0)+IF(IF(($K842-$N$48)&lt;1,0,IF(IF(INDEX($AD$176:$AD$905,($K842-$N$48))="",0,INDEX($AD$176:$AD$905,($K842-$N$48)))&gt;0,IF(INDEX($AD$176:$AD$905,($K842-$N$48))="",0,INDEX($AD$176:$AD$905,($K842-$N$48))),0))="",0,IF(($K842-$N$48)&lt;1,0,IF(IF(INDEX($AD$176:$AD$905,($K842-$N$48))="",0,INDEX($AD$176:$AD$905,($K842-$N$48)))&gt;0,IF(INDEX($AD$176:$AD$905,($K842-$N$48))="",0,INDEX($AD$176:$AD$905,($K842-$N$48))),0))))</f>
        <v/>
      </c>
      <c r="AC842" s="22" t="str">
        <f t="shared" si="246"/>
        <v/>
      </c>
      <c r="AD842" s="22" t="str">
        <f t="shared" si="258"/>
        <v/>
      </c>
      <c r="AE842" s="22" t="str" cm="1">
        <f t="array" ref="AE842">IF(($K842-$N$48)&lt;1,"",IF((IF(INDEX($AC$176:$AC$905,($K842-$N$48))="",0,INDEX($AC$176:$AC$905,($K842-$N$48))))=0,"",(IF(INDEX($AC$176:$AC$905,($K842-$N$48))="",0,INDEX($AC$176:$AC$905,($K842-$N$48))))))</f>
        <v/>
      </c>
      <c r="AF842" s="31" t="str">
        <f t="shared" si="247"/>
        <v/>
      </c>
      <c r="AG842" s="31" t="str">
        <f t="shared" si="248"/>
        <v/>
      </c>
      <c r="AH842" s="31" t="str">
        <f t="shared" si="249"/>
        <v/>
      </c>
      <c r="AI842" s="31" t="str">
        <f t="shared" si="250"/>
        <v/>
      </c>
      <c r="AJ842" s="303" t="str">
        <f t="shared" si="251"/>
        <v/>
      </c>
      <c r="AK842" s="139" t="str">
        <f t="shared" si="252"/>
        <v/>
      </c>
    </row>
    <row r="843" spans="7:37" x14ac:dyDescent="0.25">
      <c r="G843" s="235" t="str">
        <f t="shared" si="238"/>
        <v/>
      </c>
      <c r="H843" s="4" t="str">
        <f t="shared" si="239"/>
        <v/>
      </c>
      <c r="I843" s="11" t="str">
        <f t="shared" si="240"/>
        <v>09.00</v>
      </c>
      <c r="K843" s="30">
        <v>668</v>
      </c>
      <c r="L843" s="29">
        <f t="shared" si="253"/>
        <v>11371.908376190917</v>
      </c>
      <c r="M843" s="28" t="str">
        <f t="shared" si="241"/>
        <v/>
      </c>
      <c r="N843" s="27" t="str">
        <f t="shared" si="254"/>
        <v/>
      </c>
      <c r="O843" s="26" t="str">
        <f>IF(AND($Q842=$O$38,IFERROR(LARGE($V$176:$V842,1)&lt;$N$42,TRUE)),1,IF(AND(ISNUMBER($O842),$O842&lt;$N$32),$O842+1,""))</f>
        <v/>
      </c>
      <c r="P843" s="26" t="str">
        <f t="shared" si="255"/>
        <v/>
      </c>
      <c r="Q843" s="26" t="str">
        <f t="shared" si="242"/>
        <v/>
      </c>
      <c r="R843" s="24" t="str">
        <f t="shared" si="256"/>
        <v/>
      </c>
      <c r="S843" s="180">
        <f t="shared" si="257"/>
        <v>9</v>
      </c>
      <c r="T843" s="151"/>
      <c r="U843" s="25" t="str">
        <f t="shared" si="243"/>
        <v/>
      </c>
      <c r="V843" s="24" t="str">
        <f>IF(AND(ISNUMBER(R842),ISNUMBER(R843)),V842,IF(AND(R842="",ISNUMBER(R843)),IFERROR(LARGE($V$176:$V842,1)+1,0),""))</f>
        <v/>
      </c>
      <c r="W843" s="23" t="str">
        <f t="shared" si="244"/>
        <v/>
      </c>
      <c r="X843" s="22" t="str">
        <f t="shared" si="245"/>
        <v/>
      </c>
      <c r="Y843" s="22"/>
      <c r="Z843" s="22"/>
      <c r="AA843" s="22"/>
      <c r="AB843" s="22" t="str" cm="1">
        <f t="array" ref="AB843">IF(IF(AND($P842="",$P843=1),($N$37*-1),0)+IF(AND($Q842="",$Q843=1),($N$38*-1),0)+IF(IF(($K843-$N$48)&lt;1,0,IF(IF(INDEX($AD$176:$AD$905,($K843-$N$48))="",0,INDEX($AD$176:$AD$905,($K843-$N$48)))&gt;0,IF(INDEX($AD$176:$AD$905,($K843-$N$48))="",0,INDEX($AD$176:$AD$905,($K843-$N$48))),0))="",0,IF(($K843-$N$48)&lt;1,0,IF(IF(INDEX($AD$176:$AD$905,($K843-$N$48))="",0,INDEX($AD$176:$AD$905,($K843-$N$48)))&gt;0,IF(INDEX($AD$176:$AD$905,($K843-$N$48))="",0,INDEX($AD$176:$AD$905,($K843-$N$48))),0)))=0,"",IF(AND($P842="",$P843=1),($N$37*-1),0)+IF(AND($Q842="",$Q843=1),($N$38*-1),0)+IF(IF(($K843-$N$48)&lt;1,0,IF(IF(INDEX($AD$176:$AD$905,($K843-$N$48))="",0,INDEX($AD$176:$AD$905,($K843-$N$48)))&gt;0,IF(INDEX($AD$176:$AD$905,($K843-$N$48))="",0,INDEX($AD$176:$AD$905,($K843-$N$48))),0))="",0,IF(($K843-$N$48)&lt;1,0,IF(IF(INDEX($AD$176:$AD$905,($K843-$N$48))="",0,INDEX($AD$176:$AD$905,($K843-$N$48)))&gt;0,IF(INDEX($AD$176:$AD$905,($K843-$N$48))="",0,INDEX($AD$176:$AD$905,($K843-$N$48))),0))))</f>
        <v/>
      </c>
      <c r="AC843" s="22" t="str">
        <f t="shared" si="246"/>
        <v/>
      </c>
      <c r="AD843" s="22" t="str">
        <f t="shared" si="258"/>
        <v/>
      </c>
      <c r="AE843" s="22" t="str" cm="1">
        <f t="array" ref="AE843">IF(($K843-$N$48)&lt;1,"",IF((IF(INDEX($AC$176:$AC$905,($K843-$N$48))="",0,INDEX($AC$176:$AC$905,($K843-$N$48))))=0,"",(IF(INDEX($AC$176:$AC$905,($K843-$N$48))="",0,INDEX($AC$176:$AC$905,($K843-$N$48))))))</f>
        <v/>
      </c>
      <c r="AF843" s="31" t="str">
        <f t="shared" si="247"/>
        <v/>
      </c>
      <c r="AG843" s="31" t="str">
        <f t="shared" si="248"/>
        <v/>
      </c>
      <c r="AH843" s="31" t="str">
        <f t="shared" si="249"/>
        <v/>
      </c>
      <c r="AI843" s="31" t="str">
        <f t="shared" si="250"/>
        <v/>
      </c>
      <c r="AJ843" s="303" t="str">
        <f t="shared" si="251"/>
        <v/>
      </c>
      <c r="AK843" s="139" t="str">
        <f t="shared" si="252"/>
        <v/>
      </c>
    </row>
    <row r="844" spans="7:37" x14ac:dyDescent="0.25">
      <c r="G844" s="235" t="str">
        <f t="shared" si="238"/>
        <v/>
      </c>
      <c r="H844" s="4" t="str">
        <f t="shared" si="239"/>
        <v/>
      </c>
      <c r="I844" s="11" t="str">
        <f t="shared" si="240"/>
        <v>09.00</v>
      </c>
      <c r="K844" s="30">
        <v>669</v>
      </c>
      <c r="L844" s="29">
        <f t="shared" si="253"/>
        <v>11371.908376190917</v>
      </c>
      <c r="M844" s="28" t="str">
        <f t="shared" si="241"/>
        <v/>
      </c>
      <c r="N844" s="27" t="str">
        <f t="shared" si="254"/>
        <v/>
      </c>
      <c r="O844" s="26" t="str">
        <f>IF(AND($Q843=$O$38,IFERROR(LARGE($V$176:$V843,1)&lt;$N$42,TRUE)),1,IF(AND(ISNUMBER($O843),$O843&lt;$N$32),$O843+1,""))</f>
        <v/>
      </c>
      <c r="P844" s="26" t="str">
        <f t="shared" si="255"/>
        <v/>
      </c>
      <c r="Q844" s="26" t="str">
        <f t="shared" si="242"/>
        <v/>
      </c>
      <c r="R844" s="24" t="str">
        <f t="shared" si="256"/>
        <v/>
      </c>
      <c r="S844" s="180">
        <f t="shared" si="257"/>
        <v>9</v>
      </c>
      <c r="T844" s="151"/>
      <c r="U844" s="25" t="str">
        <f t="shared" si="243"/>
        <v/>
      </c>
      <c r="V844" s="24" t="str">
        <f>IF(AND(ISNUMBER(R843),ISNUMBER(R844)),V843,IF(AND(R843="",ISNUMBER(R844)),IFERROR(LARGE($V$176:$V843,1)+1,0),""))</f>
        <v/>
      </c>
      <c r="W844" s="23" t="str">
        <f t="shared" si="244"/>
        <v/>
      </c>
      <c r="X844" s="22" t="str">
        <f t="shared" si="245"/>
        <v/>
      </c>
      <c r="Y844" s="22"/>
      <c r="Z844" s="22"/>
      <c r="AA844" s="22"/>
      <c r="AB844" s="22" t="str" cm="1">
        <f t="array" ref="AB844">IF(IF(AND($P843="",$P844=1),($N$37*-1),0)+IF(AND($Q843="",$Q844=1),($N$38*-1),0)+IF(IF(($K844-$N$48)&lt;1,0,IF(IF(INDEX($AD$176:$AD$905,($K844-$N$48))="",0,INDEX($AD$176:$AD$905,($K844-$N$48)))&gt;0,IF(INDEX($AD$176:$AD$905,($K844-$N$48))="",0,INDEX($AD$176:$AD$905,($K844-$N$48))),0))="",0,IF(($K844-$N$48)&lt;1,0,IF(IF(INDEX($AD$176:$AD$905,($K844-$N$48))="",0,INDEX($AD$176:$AD$905,($K844-$N$48)))&gt;0,IF(INDEX($AD$176:$AD$905,($K844-$N$48))="",0,INDEX($AD$176:$AD$905,($K844-$N$48))),0)))=0,"",IF(AND($P843="",$P844=1),($N$37*-1),0)+IF(AND($Q843="",$Q844=1),($N$38*-1),0)+IF(IF(($K844-$N$48)&lt;1,0,IF(IF(INDEX($AD$176:$AD$905,($K844-$N$48))="",0,INDEX($AD$176:$AD$905,($K844-$N$48)))&gt;0,IF(INDEX($AD$176:$AD$905,($K844-$N$48))="",0,INDEX($AD$176:$AD$905,($K844-$N$48))),0))="",0,IF(($K844-$N$48)&lt;1,0,IF(IF(INDEX($AD$176:$AD$905,($K844-$N$48))="",0,INDEX($AD$176:$AD$905,($K844-$N$48)))&gt;0,IF(INDEX($AD$176:$AD$905,($K844-$N$48))="",0,INDEX($AD$176:$AD$905,($K844-$N$48))),0))))</f>
        <v/>
      </c>
      <c r="AC844" s="22" t="str">
        <f t="shared" si="246"/>
        <v/>
      </c>
      <c r="AD844" s="22" t="str">
        <f t="shared" si="258"/>
        <v/>
      </c>
      <c r="AE844" s="22" t="str" cm="1">
        <f t="array" ref="AE844">IF(($K844-$N$48)&lt;1,"",IF((IF(INDEX($AC$176:$AC$905,($K844-$N$48))="",0,INDEX($AC$176:$AC$905,($K844-$N$48))))=0,"",(IF(INDEX($AC$176:$AC$905,($K844-$N$48))="",0,INDEX($AC$176:$AC$905,($K844-$N$48))))))</f>
        <v/>
      </c>
      <c r="AF844" s="31" t="str">
        <f t="shared" si="247"/>
        <v/>
      </c>
      <c r="AG844" s="31" t="str">
        <f t="shared" si="248"/>
        <v/>
      </c>
      <c r="AH844" s="31" t="str">
        <f t="shared" si="249"/>
        <v/>
      </c>
      <c r="AI844" s="31" t="str">
        <f t="shared" si="250"/>
        <v/>
      </c>
      <c r="AJ844" s="303" t="str">
        <f t="shared" si="251"/>
        <v/>
      </c>
      <c r="AK844" s="139" t="str">
        <f t="shared" si="252"/>
        <v/>
      </c>
    </row>
    <row r="845" spans="7:37" x14ac:dyDescent="0.25">
      <c r="G845" s="235" t="str">
        <f t="shared" si="238"/>
        <v/>
      </c>
      <c r="H845" s="4" t="str">
        <f t="shared" si="239"/>
        <v/>
      </c>
      <c r="I845" s="11" t="str">
        <f t="shared" si="240"/>
        <v>09.00</v>
      </c>
      <c r="K845" s="30">
        <v>670</v>
      </c>
      <c r="L845" s="29">
        <f t="shared" si="253"/>
        <v>11371.908376190917</v>
      </c>
      <c r="M845" s="28" t="str">
        <f t="shared" si="241"/>
        <v/>
      </c>
      <c r="N845" s="27" t="str">
        <f t="shared" si="254"/>
        <v/>
      </c>
      <c r="O845" s="26" t="str">
        <f>IF(AND($Q844=$O$38,IFERROR(LARGE($V$176:$V844,1)&lt;$N$42,TRUE)),1,IF(AND(ISNUMBER($O844),$O844&lt;$N$32),$O844+1,""))</f>
        <v/>
      </c>
      <c r="P845" s="26" t="str">
        <f t="shared" si="255"/>
        <v/>
      </c>
      <c r="Q845" s="26" t="str">
        <f t="shared" si="242"/>
        <v/>
      </c>
      <c r="R845" s="24" t="str">
        <f t="shared" si="256"/>
        <v/>
      </c>
      <c r="S845" s="180">
        <f t="shared" si="257"/>
        <v>9</v>
      </c>
      <c r="T845" s="151"/>
      <c r="U845" s="25" t="str">
        <f t="shared" si="243"/>
        <v/>
      </c>
      <c r="V845" s="24" t="str">
        <f>IF(AND(ISNUMBER(R844),ISNUMBER(R845)),V844,IF(AND(R844="",ISNUMBER(R845)),IFERROR(LARGE($V$176:$V844,1)+1,0),""))</f>
        <v/>
      </c>
      <c r="W845" s="23" t="str">
        <f t="shared" si="244"/>
        <v/>
      </c>
      <c r="X845" s="22" t="str">
        <f t="shared" si="245"/>
        <v/>
      </c>
      <c r="Y845" s="22"/>
      <c r="Z845" s="22"/>
      <c r="AA845" s="22"/>
      <c r="AB845" s="22" t="str" cm="1">
        <f t="array" ref="AB845">IF(IF(AND($P844="",$P845=1),($N$37*-1),0)+IF(AND($Q844="",$Q845=1),($N$38*-1),0)+IF(IF(($K845-$N$48)&lt;1,0,IF(IF(INDEX($AD$176:$AD$905,($K845-$N$48))="",0,INDEX($AD$176:$AD$905,($K845-$N$48)))&gt;0,IF(INDEX($AD$176:$AD$905,($K845-$N$48))="",0,INDEX($AD$176:$AD$905,($K845-$N$48))),0))="",0,IF(($K845-$N$48)&lt;1,0,IF(IF(INDEX($AD$176:$AD$905,($K845-$N$48))="",0,INDEX($AD$176:$AD$905,($K845-$N$48)))&gt;0,IF(INDEX($AD$176:$AD$905,($K845-$N$48))="",0,INDEX($AD$176:$AD$905,($K845-$N$48))),0)))=0,"",IF(AND($P844="",$P845=1),($N$37*-1),0)+IF(AND($Q844="",$Q845=1),($N$38*-1),0)+IF(IF(($K845-$N$48)&lt;1,0,IF(IF(INDEX($AD$176:$AD$905,($K845-$N$48))="",0,INDEX($AD$176:$AD$905,($K845-$N$48)))&gt;0,IF(INDEX($AD$176:$AD$905,($K845-$N$48))="",0,INDEX($AD$176:$AD$905,($K845-$N$48))),0))="",0,IF(($K845-$N$48)&lt;1,0,IF(IF(INDEX($AD$176:$AD$905,($K845-$N$48))="",0,INDEX($AD$176:$AD$905,($K845-$N$48)))&gt;0,IF(INDEX($AD$176:$AD$905,($K845-$N$48))="",0,INDEX($AD$176:$AD$905,($K845-$N$48))),0))))</f>
        <v/>
      </c>
      <c r="AC845" s="22" t="str">
        <f t="shared" si="246"/>
        <v/>
      </c>
      <c r="AD845" s="22" t="str">
        <f t="shared" si="258"/>
        <v/>
      </c>
      <c r="AE845" s="22" t="str" cm="1">
        <f t="array" ref="AE845">IF(($K845-$N$48)&lt;1,"",IF((IF(INDEX($AC$176:$AC$905,($K845-$N$48))="",0,INDEX($AC$176:$AC$905,($K845-$N$48))))=0,"",(IF(INDEX($AC$176:$AC$905,($K845-$N$48))="",0,INDEX($AC$176:$AC$905,($K845-$N$48))))))</f>
        <v/>
      </c>
      <c r="AF845" s="31" t="str">
        <f t="shared" si="247"/>
        <v/>
      </c>
      <c r="AG845" s="31" t="str">
        <f t="shared" si="248"/>
        <v/>
      </c>
      <c r="AH845" s="31" t="str">
        <f t="shared" si="249"/>
        <v/>
      </c>
      <c r="AI845" s="31" t="str">
        <f t="shared" si="250"/>
        <v/>
      </c>
      <c r="AJ845" s="303" t="str">
        <f t="shared" si="251"/>
        <v/>
      </c>
      <c r="AK845" s="139" t="str">
        <f t="shared" si="252"/>
        <v/>
      </c>
    </row>
    <row r="846" spans="7:37" x14ac:dyDescent="0.25">
      <c r="G846" s="235" t="str">
        <f t="shared" ref="G846:G892" si="259">IF(RIGHT(H846,2)=".N","NEW",IF(SUM(N846:R846)=0,"",LEFT(H846,5)))</f>
        <v/>
      </c>
      <c r="H846" s="4" t="str">
        <f t="shared" si="239"/>
        <v/>
      </c>
      <c r="I846" s="11" t="str">
        <f t="shared" si="240"/>
        <v>09.00</v>
      </c>
      <c r="K846" s="30">
        <v>671</v>
      </c>
      <c r="L846" s="29">
        <f t="shared" si="253"/>
        <v>11371.908376190917</v>
      </c>
      <c r="M846" s="28" t="str">
        <f t="shared" si="241"/>
        <v/>
      </c>
      <c r="N846" s="27" t="str">
        <f t="shared" si="254"/>
        <v/>
      </c>
      <c r="O846" s="26" t="str">
        <f>IF(AND($Q845=$O$38,IFERROR(LARGE($V$176:$V845,1)&lt;$N$42,TRUE)),1,IF(AND(ISNUMBER($O845),$O845&lt;$N$32),$O845+1,""))</f>
        <v/>
      </c>
      <c r="P846" s="26" t="str">
        <f t="shared" si="255"/>
        <v/>
      </c>
      <c r="Q846" s="26" t="str">
        <f t="shared" si="242"/>
        <v/>
      </c>
      <c r="R846" s="24" t="str">
        <f t="shared" si="256"/>
        <v/>
      </c>
      <c r="S846" s="180">
        <f t="shared" si="257"/>
        <v>9</v>
      </c>
      <c r="T846" s="151"/>
      <c r="U846" s="25" t="str">
        <f t="shared" si="243"/>
        <v/>
      </c>
      <c r="V846" s="24" t="str">
        <f>IF(AND(ISNUMBER(R845),ISNUMBER(R846)),V845,IF(AND(R845="",ISNUMBER(R846)),IFERROR(LARGE($V$176:$V845,1)+1,0),""))</f>
        <v/>
      </c>
      <c r="W846" s="23" t="str">
        <f t="shared" si="244"/>
        <v/>
      </c>
      <c r="X846" s="22" t="str">
        <f t="shared" si="245"/>
        <v/>
      </c>
      <c r="Y846" s="22"/>
      <c r="Z846" s="22"/>
      <c r="AA846" s="22"/>
      <c r="AB846" s="22" t="str" cm="1">
        <f t="array" ref="AB846">IF(IF(AND($P845="",$P846=1),($N$37*-1),0)+IF(AND($Q845="",$Q846=1),($N$38*-1),0)+IF(IF(($K846-$N$48)&lt;1,0,IF(IF(INDEX($AD$176:$AD$905,($K846-$N$48))="",0,INDEX($AD$176:$AD$905,($K846-$N$48)))&gt;0,IF(INDEX($AD$176:$AD$905,($K846-$N$48))="",0,INDEX($AD$176:$AD$905,($K846-$N$48))),0))="",0,IF(($K846-$N$48)&lt;1,0,IF(IF(INDEX($AD$176:$AD$905,($K846-$N$48))="",0,INDEX($AD$176:$AD$905,($K846-$N$48)))&gt;0,IF(INDEX($AD$176:$AD$905,($K846-$N$48))="",0,INDEX($AD$176:$AD$905,($K846-$N$48))),0)))=0,"",IF(AND($P845="",$P846=1),($N$37*-1),0)+IF(AND($Q845="",$Q846=1),($N$38*-1),0)+IF(IF(($K846-$N$48)&lt;1,0,IF(IF(INDEX($AD$176:$AD$905,($K846-$N$48))="",0,INDEX($AD$176:$AD$905,($K846-$N$48)))&gt;0,IF(INDEX($AD$176:$AD$905,($K846-$N$48))="",0,INDEX($AD$176:$AD$905,($K846-$N$48))),0))="",0,IF(($K846-$N$48)&lt;1,0,IF(IF(INDEX($AD$176:$AD$905,($K846-$N$48))="",0,INDEX($AD$176:$AD$905,($K846-$N$48)))&gt;0,IF(INDEX($AD$176:$AD$905,($K846-$N$48))="",0,INDEX($AD$176:$AD$905,($K846-$N$48))),0))))</f>
        <v/>
      </c>
      <c r="AC846" s="22" t="str">
        <f t="shared" si="246"/>
        <v/>
      </c>
      <c r="AD846" s="22" t="str">
        <f t="shared" si="258"/>
        <v/>
      </c>
      <c r="AE846" s="22" t="str" cm="1">
        <f t="array" ref="AE846">IF(($K846-$N$48)&lt;1,"",IF((IF(INDEX($AC$176:$AC$905,($K846-$N$48))="",0,INDEX($AC$176:$AC$905,($K846-$N$48))))=0,"",(IF(INDEX($AC$176:$AC$905,($K846-$N$48))="",0,INDEX($AC$176:$AC$905,($K846-$N$48))))))</f>
        <v/>
      </c>
      <c r="AF846" s="31" t="str">
        <f t="shared" si="247"/>
        <v/>
      </c>
      <c r="AG846" s="31" t="str">
        <f t="shared" si="248"/>
        <v/>
      </c>
      <c r="AH846" s="31" t="str">
        <f t="shared" si="249"/>
        <v/>
      </c>
      <c r="AI846" s="31" t="str">
        <f t="shared" si="250"/>
        <v/>
      </c>
      <c r="AJ846" s="303" t="str">
        <f t="shared" si="251"/>
        <v/>
      </c>
      <c r="AK846" s="139" t="str">
        <f t="shared" si="252"/>
        <v/>
      </c>
    </row>
    <row r="847" spans="7:37" x14ac:dyDescent="0.25">
      <c r="G847" s="235" t="str">
        <f t="shared" si="259"/>
        <v/>
      </c>
      <c r="H847" s="4" t="str">
        <f t="shared" ref="H847:H905" si="260">IF(SUM(N847:R847)&gt;0,CONCATENATE(IF(LEN(ROUNDDOWN(S847,0))=1,CONCATENATE("0",ROUNDDOWN(S847,0)),ROUNDDOWN(S847,0)),".",IF(LEN(ROUND(MOD(S847,1)*100,0))=1,CONCATENATE("0",ROUND(MOD(S847,1)*100,0)),ROUND(MOD(S847,1)*100,0)),IF(N847&lt;&gt;"",".N",IF(O847&lt;&gt;"",".R",IF(P847&lt;&gt;"",".O",IF(Q847&lt;&gt;"",".I",IF(R847&lt;&gt;"",".D","")))))),"")</f>
        <v/>
      </c>
      <c r="I847" s="11" t="str">
        <f t="shared" si="240"/>
        <v>09.00</v>
      </c>
      <c r="K847" s="30">
        <v>672</v>
      </c>
      <c r="L847" s="29">
        <f t="shared" si="253"/>
        <v>11371.908376190917</v>
      </c>
      <c r="M847" s="28" t="str">
        <f t="shared" si="241"/>
        <v/>
      </c>
      <c r="N847" s="27" t="str">
        <f t="shared" si="254"/>
        <v/>
      </c>
      <c r="O847" s="26" t="str">
        <f>IF(AND($Q846=$O$38,IFERROR(LARGE($V$176:$V846,1)&lt;$N$42,TRUE)),1,IF(AND(ISNUMBER($O846),$O846&lt;$N$32),$O846+1,""))</f>
        <v/>
      </c>
      <c r="P847" s="26" t="str">
        <f t="shared" si="255"/>
        <v/>
      </c>
      <c r="Q847" s="26" t="str">
        <f t="shared" si="242"/>
        <v/>
      </c>
      <c r="R847" s="24" t="str">
        <f t="shared" si="256"/>
        <v/>
      </c>
      <c r="S847" s="180">
        <f t="shared" si="257"/>
        <v>9</v>
      </c>
      <c r="T847" s="151"/>
      <c r="U847" s="25" t="str">
        <f t="shared" si="243"/>
        <v/>
      </c>
      <c r="V847" s="24" t="str">
        <f>IF(AND(ISNUMBER(R846),ISNUMBER(R847)),V846,IF(AND(R846="",ISNUMBER(R847)),IFERROR(LARGE($V$176:$V846,1)+1,0),""))</f>
        <v/>
      </c>
      <c r="W847" s="23" t="str">
        <f t="shared" si="244"/>
        <v/>
      </c>
      <c r="X847" s="22" t="str">
        <f t="shared" si="245"/>
        <v/>
      </c>
      <c r="Y847" s="22"/>
      <c r="Z847" s="22"/>
      <c r="AA847" s="22"/>
      <c r="AB847" s="22" t="str" cm="1">
        <f t="array" ref="AB847">IF(IF(AND($P846="",$P847=1),($N$37*-1),0)+IF(AND($Q846="",$Q847=1),($N$38*-1),0)+IF(IF(($K847-$N$48)&lt;1,0,IF(IF(INDEX($AD$176:$AD$905,($K847-$N$48))="",0,INDEX($AD$176:$AD$905,($K847-$N$48)))&gt;0,IF(INDEX($AD$176:$AD$905,($K847-$N$48))="",0,INDEX($AD$176:$AD$905,($K847-$N$48))),0))="",0,IF(($K847-$N$48)&lt;1,0,IF(IF(INDEX($AD$176:$AD$905,($K847-$N$48))="",0,INDEX($AD$176:$AD$905,($K847-$N$48)))&gt;0,IF(INDEX($AD$176:$AD$905,($K847-$N$48))="",0,INDEX($AD$176:$AD$905,($K847-$N$48))),0)))=0,"",IF(AND($P846="",$P847=1),($N$37*-1),0)+IF(AND($Q846="",$Q847=1),($N$38*-1),0)+IF(IF(($K847-$N$48)&lt;1,0,IF(IF(INDEX($AD$176:$AD$905,($K847-$N$48))="",0,INDEX($AD$176:$AD$905,($K847-$N$48)))&gt;0,IF(INDEX($AD$176:$AD$905,($K847-$N$48))="",0,INDEX($AD$176:$AD$905,($K847-$N$48))),0))="",0,IF(($K847-$N$48)&lt;1,0,IF(IF(INDEX($AD$176:$AD$905,($K847-$N$48))="",0,INDEX($AD$176:$AD$905,($K847-$N$48)))&gt;0,IF(INDEX($AD$176:$AD$905,($K847-$N$48))="",0,INDEX($AD$176:$AD$905,($K847-$N$48))),0))))</f>
        <v/>
      </c>
      <c r="AC847" s="22" t="str">
        <f t="shared" si="246"/>
        <v/>
      </c>
      <c r="AD847" s="22" t="str">
        <f t="shared" si="258"/>
        <v/>
      </c>
      <c r="AE847" s="22" t="str" cm="1">
        <f t="array" ref="AE847">IF(($K847-$N$48)&lt;1,"",IF((IF(INDEX($AC$176:$AC$905,($K847-$N$48))="",0,INDEX($AC$176:$AC$905,($K847-$N$48))))=0,"",(IF(INDEX($AC$176:$AC$905,($K847-$N$48))="",0,INDEX($AC$176:$AC$905,($K847-$N$48))))))</f>
        <v/>
      </c>
      <c r="AF847" s="31" t="str">
        <f t="shared" si="247"/>
        <v/>
      </c>
      <c r="AG847" s="31" t="str">
        <f t="shared" si="248"/>
        <v/>
      </c>
      <c r="AH847" s="31" t="str">
        <f t="shared" si="249"/>
        <v/>
      </c>
      <c r="AI847" s="31" t="str">
        <f t="shared" si="250"/>
        <v/>
      </c>
      <c r="AJ847" s="303" t="str">
        <f t="shared" si="251"/>
        <v/>
      </c>
      <c r="AK847" s="139" t="str">
        <f t="shared" si="252"/>
        <v/>
      </c>
    </row>
    <row r="848" spans="7:37" x14ac:dyDescent="0.25">
      <c r="G848" s="235" t="str">
        <f t="shared" si="259"/>
        <v/>
      </c>
      <c r="H848" s="4" t="str">
        <f t="shared" si="260"/>
        <v/>
      </c>
      <c r="I848" s="11" t="str">
        <f t="shared" si="240"/>
        <v>09.00</v>
      </c>
      <c r="K848" s="30">
        <v>673</v>
      </c>
      <c r="L848" s="29">
        <f t="shared" si="253"/>
        <v>11371.908376190917</v>
      </c>
      <c r="M848" s="28" t="str">
        <f t="shared" si="241"/>
        <v/>
      </c>
      <c r="N848" s="27" t="str">
        <f t="shared" si="254"/>
        <v/>
      </c>
      <c r="O848" s="26" t="str">
        <f>IF(AND($Q847=$O$38,IFERROR(LARGE($V$176:$V847,1)&lt;$N$42,TRUE)),1,IF(AND(ISNUMBER($O847),$O847&lt;$N$32),$O847+1,""))</f>
        <v/>
      </c>
      <c r="P848" s="26" t="str">
        <f t="shared" si="255"/>
        <v/>
      </c>
      <c r="Q848" s="26" t="str">
        <f t="shared" si="242"/>
        <v/>
      </c>
      <c r="R848" s="24" t="str">
        <f t="shared" si="256"/>
        <v/>
      </c>
      <c r="S848" s="180">
        <f t="shared" si="257"/>
        <v>9</v>
      </c>
      <c r="T848" s="151"/>
      <c r="U848" s="25" t="str">
        <f t="shared" si="243"/>
        <v/>
      </c>
      <c r="V848" s="24" t="str">
        <f>IF(AND(ISNUMBER(R847),ISNUMBER(R848)),V847,IF(AND(R847="",ISNUMBER(R848)),IFERROR(LARGE($V$176:$V847,1)+1,0),""))</f>
        <v/>
      </c>
      <c r="W848" s="23" t="str">
        <f t="shared" si="244"/>
        <v/>
      </c>
      <c r="X848" s="22" t="str">
        <f t="shared" si="245"/>
        <v/>
      </c>
      <c r="Y848" s="22"/>
      <c r="Z848" s="22"/>
      <c r="AA848" s="22"/>
      <c r="AB848" s="22" t="str" cm="1">
        <f t="array" ref="AB848">IF(IF(AND($P847="",$P848=1),($N$37*-1),0)+IF(AND($Q847="",$Q848=1),($N$38*-1),0)+IF(IF(($K848-$N$48)&lt;1,0,IF(IF(INDEX($AD$176:$AD$905,($K848-$N$48))="",0,INDEX($AD$176:$AD$905,($K848-$N$48)))&gt;0,IF(INDEX($AD$176:$AD$905,($K848-$N$48))="",0,INDEX($AD$176:$AD$905,($K848-$N$48))),0))="",0,IF(($K848-$N$48)&lt;1,0,IF(IF(INDEX($AD$176:$AD$905,($K848-$N$48))="",0,INDEX($AD$176:$AD$905,($K848-$N$48)))&gt;0,IF(INDEX($AD$176:$AD$905,($K848-$N$48))="",0,INDEX($AD$176:$AD$905,($K848-$N$48))),0)))=0,"",IF(AND($P847="",$P848=1),($N$37*-1),0)+IF(AND($Q847="",$Q848=1),($N$38*-1),0)+IF(IF(($K848-$N$48)&lt;1,0,IF(IF(INDEX($AD$176:$AD$905,($K848-$N$48))="",0,INDEX($AD$176:$AD$905,($K848-$N$48)))&gt;0,IF(INDEX($AD$176:$AD$905,($K848-$N$48))="",0,INDEX($AD$176:$AD$905,($K848-$N$48))),0))="",0,IF(($K848-$N$48)&lt;1,0,IF(IF(INDEX($AD$176:$AD$905,($K848-$N$48))="",0,INDEX($AD$176:$AD$905,($K848-$N$48)))&gt;0,IF(INDEX($AD$176:$AD$905,($K848-$N$48))="",0,INDEX($AD$176:$AD$905,($K848-$N$48))),0))))</f>
        <v/>
      </c>
      <c r="AC848" s="22" t="str">
        <f t="shared" si="246"/>
        <v/>
      </c>
      <c r="AD848" s="22" t="str">
        <f t="shared" si="258"/>
        <v/>
      </c>
      <c r="AE848" s="22" t="str" cm="1">
        <f t="array" ref="AE848">IF(($K848-$N$48)&lt;1,"",IF((IF(INDEX($AC$176:$AC$905,($K848-$N$48))="",0,INDEX($AC$176:$AC$905,($K848-$N$48))))=0,"",(IF(INDEX($AC$176:$AC$905,($K848-$N$48))="",0,INDEX($AC$176:$AC$905,($K848-$N$48))))))</f>
        <v/>
      </c>
      <c r="AF848" s="31" t="str">
        <f t="shared" si="247"/>
        <v/>
      </c>
      <c r="AG848" s="31" t="str">
        <f t="shared" si="248"/>
        <v/>
      </c>
      <c r="AH848" s="31" t="str">
        <f t="shared" si="249"/>
        <v/>
      </c>
      <c r="AI848" s="31" t="str">
        <f t="shared" si="250"/>
        <v/>
      </c>
      <c r="AJ848" s="303" t="str">
        <f t="shared" si="251"/>
        <v/>
      </c>
      <c r="AK848" s="139" t="str">
        <f t="shared" si="252"/>
        <v/>
      </c>
    </row>
    <row r="849" spans="7:37" x14ac:dyDescent="0.25">
      <c r="G849" s="235" t="str">
        <f t="shared" si="259"/>
        <v/>
      </c>
      <c r="H849" s="4" t="str">
        <f t="shared" si="260"/>
        <v/>
      </c>
      <c r="I849" s="11" t="str">
        <f t="shared" si="240"/>
        <v>09.00</v>
      </c>
      <c r="K849" s="30">
        <v>674</v>
      </c>
      <c r="L849" s="29">
        <f t="shared" si="253"/>
        <v>11371.908376190917</v>
      </c>
      <c r="M849" s="28" t="str">
        <f t="shared" si="241"/>
        <v/>
      </c>
      <c r="N849" s="27" t="str">
        <f t="shared" si="254"/>
        <v/>
      </c>
      <c r="O849" s="26" t="str">
        <f>IF(AND($Q848=$O$38,IFERROR(LARGE($V$176:$V848,1)&lt;$N$42,TRUE)),1,IF(AND(ISNUMBER($O848),$O848&lt;$N$32),$O848+1,""))</f>
        <v/>
      </c>
      <c r="P849" s="26" t="str">
        <f t="shared" si="255"/>
        <v/>
      </c>
      <c r="Q849" s="26" t="str">
        <f t="shared" si="242"/>
        <v/>
      </c>
      <c r="R849" s="24" t="str">
        <f t="shared" si="256"/>
        <v/>
      </c>
      <c r="S849" s="180">
        <f t="shared" si="257"/>
        <v>9</v>
      </c>
      <c r="T849" s="151"/>
      <c r="U849" s="25" t="str">
        <f t="shared" si="243"/>
        <v/>
      </c>
      <c r="V849" s="24" t="str">
        <f>IF(AND(ISNUMBER(R848),ISNUMBER(R849)),V848,IF(AND(R848="",ISNUMBER(R849)),IFERROR(LARGE($V$176:$V848,1)+1,0),""))</f>
        <v/>
      </c>
      <c r="W849" s="23" t="str">
        <f t="shared" si="244"/>
        <v/>
      </c>
      <c r="X849" s="22" t="str">
        <f t="shared" si="245"/>
        <v/>
      </c>
      <c r="Y849" s="22"/>
      <c r="Z849" s="22"/>
      <c r="AA849" s="22"/>
      <c r="AB849" s="22" t="str" cm="1">
        <f t="array" ref="AB849">IF(IF(AND($P848="",$P849=1),($N$37*-1),0)+IF(AND($Q848="",$Q849=1),($N$38*-1),0)+IF(IF(($K849-$N$48)&lt;1,0,IF(IF(INDEX($AD$176:$AD$905,($K849-$N$48))="",0,INDEX($AD$176:$AD$905,($K849-$N$48)))&gt;0,IF(INDEX($AD$176:$AD$905,($K849-$N$48))="",0,INDEX($AD$176:$AD$905,($K849-$N$48))),0))="",0,IF(($K849-$N$48)&lt;1,0,IF(IF(INDEX($AD$176:$AD$905,($K849-$N$48))="",0,INDEX($AD$176:$AD$905,($K849-$N$48)))&gt;0,IF(INDEX($AD$176:$AD$905,($K849-$N$48))="",0,INDEX($AD$176:$AD$905,($K849-$N$48))),0)))=0,"",IF(AND($P848="",$P849=1),($N$37*-1),0)+IF(AND($Q848="",$Q849=1),($N$38*-1),0)+IF(IF(($K849-$N$48)&lt;1,0,IF(IF(INDEX($AD$176:$AD$905,($K849-$N$48))="",0,INDEX($AD$176:$AD$905,($K849-$N$48)))&gt;0,IF(INDEX($AD$176:$AD$905,($K849-$N$48))="",0,INDEX($AD$176:$AD$905,($K849-$N$48))),0))="",0,IF(($K849-$N$48)&lt;1,0,IF(IF(INDEX($AD$176:$AD$905,($K849-$N$48))="",0,INDEX($AD$176:$AD$905,($K849-$N$48)))&gt;0,IF(INDEX($AD$176:$AD$905,($K849-$N$48))="",0,INDEX($AD$176:$AD$905,($K849-$N$48))),0))))</f>
        <v/>
      </c>
      <c r="AC849" s="22" t="str">
        <f t="shared" si="246"/>
        <v/>
      </c>
      <c r="AD849" s="22" t="str">
        <f t="shared" si="258"/>
        <v/>
      </c>
      <c r="AE849" s="22" t="str" cm="1">
        <f t="array" ref="AE849">IF(($K849-$N$48)&lt;1,"",IF((IF(INDEX($AC$176:$AC$905,($K849-$N$48))="",0,INDEX($AC$176:$AC$905,($K849-$N$48))))=0,"",(IF(INDEX($AC$176:$AC$905,($K849-$N$48))="",0,INDEX($AC$176:$AC$905,($K849-$N$48))))))</f>
        <v/>
      </c>
      <c r="AF849" s="31" t="str">
        <f t="shared" si="247"/>
        <v/>
      </c>
      <c r="AG849" s="31" t="str">
        <f t="shared" si="248"/>
        <v/>
      </c>
      <c r="AH849" s="31" t="str">
        <f t="shared" si="249"/>
        <v/>
      </c>
      <c r="AI849" s="31" t="str">
        <f t="shared" si="250"/>
        <v/>
      </c>
      <c r="AJ849" s="303" t="str">
        <f t="shared" si="251"/>
        <v/>
      </c>
      <c r="AK849" s="139" t="str">
        <f t="shared" si="252"/>
        <v/>
      </c>
    </row>
    <row r="850" spans="7:37" x14ac:dyDescent="0.25">
      <c r="G850" s="235" t="str">
        <f t="shared" si="259"/>
        <v/>
      </c>
      <c r="H850" s="4" t="str">
        <f t="shared" si="260"/>
        <v/>
      </c>
      <c r="I850" s="11" t="str">
        <f t="shared" si="240"/>
        <v>09.00</v>
      </c>
      <c r="K850" s="30">
        <v>675</v>
      </c>
      <c r="L850" s="29">
        <f t="shared" si="253"/>
        <v>11371.908376190917</v>
      </c>
      <c r="M850" s="28" t="str">
        <f t="shared" si="241"/>
        <v/>
      </c>
      <c r="N850" s="27" t="str">
        <f t="shared" si="254"/>
        <v/>
      </c>
      <c r="O850" s="26" t="str">
        <f>IF(AND($Q849=$O$38,IFERROR(LARGE($V$176:$V849,1)&lt;$N$42,TRUE)),1,IF(AND(ISNUMBER($O849),$O849&lt;$N$32),$O849+1,""))</f>
        <v/>
      </c>
      <c r="P850" s="26" t="str">
        <f t="shared" si="255"/>
        <v/>
      </c>
      <c r="Q850" s="26" t="str">
        <f t="shared" si="242"/>
        <v/>
      </c>
      <c r="R850" s="24" t="str">
        <f t="shared" si="256"/>
        <v/>
      </c>
      <c r="S850" s="180">
        <f t="shared" si="257"/>
        <v>9</v>
      </c>
      <c r="T850" s="151"/>
      <c r="U850" s="25" t="str">
        <f t="shared" si="243"/>
        <v/>
      </c>
      <c r="V850" s="24" t="str">
        <f>IF(AND(ISNUMBER(R849),ISNUMBER(R850)),V849,IF(AND(R849="",ISNUMBER(R850)),IFERROR(LARGE($V$176:$V849,1)+1,0),""))</f>
        <v/>
      </c>
      <c r="W850" s="23" t="str">
        <f t="shared" si="244"/>
        <v/>
      </c>
      <c r="X850" s="22" t="str">
        <f t="shared" si="245"/>
        <v/>
      </c>
      <c r="Y850" s="22"/>
      <c r="Z850" s="22"/>
      <c r="AA850" s="22"/>
      <c r="AB850" s="22" t="str" cm="1">
        <f t="array" ref="AB850">IF(IF(AND($P849="",$P850=1),($N$37*-1),0)+IF(AND($Q849="",$Q850=1),($N$38*-1),0)+IF(IF(($K850-$N$48)&lt;1,0,IF(IF(INDEX($AD$176:$AD$905,($K850-$N$48))="",0,INDEX($AD$176:$AD$905,($K850-$N$48)))&gt;0,IF(INDEX($AD$176:$AD$905,($K850-$N$48))="",0,INDEX($AD$176:$AD$905,($K850-$N$48))),0))="",0,IF(($K850-$N$48)&lt;1,0,IF(IF(INDEX($AD$176:$AD$905,($K850-$N$48))="",0,INDEX($AD$176:$AD$905,($K850-$N$48)))&gt;0,IF(INDEX($AD$176:$AD$905,($K850-$N$48))="",0,INDEX($AD$176:$AD$905,($K850-$N$48))),0)))=0,"",IF(AND($P849="",$P850=1),($N$37*-1),0)+IF(AND($Q849="",$Q850=1),($N$38*-1),0)+IF(IF(($K850-$N$48)&lt;1,0,IF(IF(INDEX($AD$176:$AD$905,($K850-$N$48))="",0,INDEX($AD$176:$AD$905,($K850-$N$48)))&gt;0,IF(INDEX($AD$176:$AD$905,($K850-$N$48))="",0,INDEX($AD$176:$AD$905,($K850-$N$48))),0))="",0,IF(($K850-$N$48)&lt;1,0,IF(IF(INDEX($AD$176:$AD$905,($K850-$N$48))="",0,INDEX($AD$176:$AD$905,($K850-$N$48)))&gt;0,IF(INDEX($AD$176:$AD$905,($K850-$N$48))="",0,INDEX($AD$176:$AD$905,($K850-$N$48))),0))))</f>
        <v/>
      </c>
      <c r="AC850" s="22" t="str">
        <f t="shared" si="246"/>
        <v/>
      </c>
      <c r="AD850" s="22" t="str">
        <f t="shared" si="258"/>
        <v/>
      </c>
      <c r="AE850" s="22" t="str" cm="1">
        <f t="array" ref="AE850">IF(($K850-$N$48)&lt;1,"",IF((IF(INDEX($AC$176:$AC$905,($K850-$N$48))="",0,INDEX($AC$176:$AC$905,($K850-$N$48))))=0,"",(IF(INDEX($AC$176:$AC$905,($K850-$N$48))="",0,INDEX($AC$176:$AC$905,($K850-$N$48))))))</f>
        <v/>
      </c>
      <c r="AF850" s="31" t="str">
        <f t="shared" si="247"/>
        <v/>
      </c>
      <c r="AG850" s="31" t="str">
        <f t="shared" si="248"/>
        <v/>
      </c>
      <c r="AH850" s="31" t="str">
        <f t="shared" si="249"/>
        <v/>
      </c>
      <c r="AI850" s="31" t="str">
        <f t="shared" si="250"/>
        <v/>
      </c>
      <c r="AJ850" s="303" t="str">
        <f t="shared" si="251"/>
        <v/>
      </c>
      <c r="AK850" s="139" t="str">
        <f t="shared" si="252"/>
        <v/>
      </c>
    </row>
    <row r="851" spans="7:37" x14ac:dyDescent="0.25">
      <c r="G851" s="235" t="str">
        <f t="shared" si="259"/>
        <v/>
      </c>
      <c r="H851" s="4" t="str">
        <f t="shared" si="260"/>
        <v/>
      </c>
      <c r="I851" s="11" t="str">
        <f t="shared" si="240"/>
        <v>09.00</v>
      </c>
      <c r="K851" s="30">
        <v>676</v>
      </c>
      <c r="L851" s="29">
        <f t="shared" si="253"/>
        <v>11371.908376190917</v>
      </c>
      <c r="M851" s="28" t="str">
        <f t="shared" si="241"/>
        <v/>
      </c>
      <c r="N851" s="27" t="str">
        <f t="shared" si="254"/>
        <v/>
      </c>
      <c r="O851" s="26" t="str">
        <f>IF(AND($Q850=$O$38,IFERROR(LARGE($V$176:$V850,1)&lt;$N$42,TRUE)),1,IF(AND(ISNUMBER($O850),$O850&lt;$N$32),$O850+1,""))</f>
        <v/>
      </c>
      <c r="P851" s="26" t="str">
        <f t="shared" si="255"/>
        <v/>
      </c>
      <c r="Q851" s="26" t="str">
        <f t="shared" si="242"/>
        <v/>
      </c>
      <c r="R851" s="24" t="str">
        <f t="shared" si="256"/>
        <v/>
      </c>
      <c r="S851" s="180">
        <f t="shared" si="257"/>
        <v>9</v>
      </c>
      <c r="T851" s="151"/>
      <c r="U851" s="25" t="str">
        <f t="shared" si="243"/>
        <v/>
      </c>
      <c r="V851" s="24" t="str">
        <f>IF(AND(ISNUMBER(R850),ISNUMBER(R851)),V850,IF(AND(R850="",ISNUMBER(R851)),IFERROR(LARGE($V$176:$V850,1)+1,0),""))</f>
        <v/>
      </c>
      <c r="W851" s="23" t="str">
        <f t="shared" si="244"/>
        <v/>
      </c>
      <c r="X851" s="22" t="str">
        <f t="shared" si="245"/>
        <v/>
      </c>
      <c r="Y851" s="22"/>
      <c r="Z851" s="22"/>
      <c r="AA851" s="22"/>
      <c r="AB851" s="22" t="str" cm="1">
        <f t="array" ref="AB851">IF(IF(AND($P850="",$P851=1),($N$37*-1),0)+IF(AND($Q850="",$Q851=1),($N$38*-1),0)+IF(IF(($K851-$N$48)&lt;1,0,IF(IF(INDEX($AD$176:$AD$905,($K851-$N$48))="",0,INDEX($AD$176:$AD$905,($K851-$N$48)))&gt;0,IF(INDEX($AD$176:$AD$905,($K851-$N$48))="",0,INDEX($AD$176:$AD$905,($K851-$N$48))),0))="",0,IF(($K851-$N$48)&lt;1,0,IF(IF(INDEX($AD$176:$AD$905,($K851-$N$48))="",0,INDEX($AD$176:$AD$905,($K851-$N$48)))&gt;0,IF(INDEX($AD$176:$AD$905,($K851-$N$48))="",0,INDEX($AD$176:$AD$905,($K851-$N$48))),0)))=0,"",IF(AND($P850="",$P851=1),($N$37*-1),0)+IF(AND($Q850="",$Q851=1),($N$38*-1),0)+IF(IF(($K851-$N$48)&lt;1,0,IF(IF(INDEX($AD$176:$AD$905,($K851-$N$48))="",0,INDEX($AD$176:$AD$905,($K851-$N$48)))&gt;0,IF(INDEX($AD$176:$AD$905,($K851-$N$48))="",0,INDEX($AD$176:$AD$905,($K851-$N$48))),0))="",0,IF(($K851-$N$48)&lt;1,0,IF(IF(INDEX($AD$176:$AD$905,($K851-$N$48))="",0,INDEX($AD$176:$AD$905,($K851-$N$48)))&gt;0,IF(INDEX($AD$176:$AD$905,($K851-$N$48))="",0,INDEX($AD$176:$AD$905,($K851-$N$48))),0))))</f>
        <v/>
      </c>
      <c r="AC851" s="22" t="str">
        <f t="shared" si="246"/>
        <v/>
      </c>
      <c r="AD851" s="22" t="str">
        <f t="shared" si="258"/>
        <v/>
      </c>
      <c r="AE851" s="22" t="str" cm="1">
        <f t="array" ref="AE851">IF(($K851-$N$48)&lt;1,"",IF((IF(INDEX($AC$176:$AC$905,($K851-$N$48))="",0,INDEX($AC$176:$AC$905,($K851-$N$48))))=0,"",(IF(INDEX($AC$176:$AC$905,($K851-$N$48))="",0,INDEX($AC$176:$AC$905,($K851-$N$48))))))</f>
        <v/>
      </c>
      <c r="AF851" s="31" t="str">
        <f t="shared" si="247"/>
        <v/>
      </c>
      <c r="AG851" s="31" t="str">
        <f t="shared" si="248"/>
        <v/>
      </c>
      <c r="AH851" s="31" t="str">
        <f t="shared" si="249"/>
        <v/>
      </c>
      <c r="AI851" s="31" t="str">
        <f t="shared" si="250"/>
        <v/>
      </c>
      <c r="AJ851" s="303" t="str">
        <f t="shared" si="251"/>
        <v/>
      </c>
      <c r="AK851" s="139" t="str">
        <f t="shared" si="252"/>
        <v/>
      </c>
    </row>
    <row r="852" spans="7:37" x14ac:dyDescent="0.25">
      <c r="G852" s="235" t="str">
        <f t="shared" si="259"/>
        <v/>
      </c>
      <c r="H852" s="4" t="str">
        <f t="shared" si="260"/>
        <v/>
      </c>
      <c r="I852" s="11" t="str">
        <f t="shared" si="240"/>
        <v>09.00</v>
      </c>
      <c r="K852" s="30">
        <v>677</v>
      </c>
      <c r="L852" s="29">
        <f t="shared" si="253"/>
        <v>11371.908376190917</v>
      </c>
      <c r="M852" s="28" t="str">
        <f t="shared" si="241"/>
        <v/>
      </c>
      <c r="N852" s="27" t="str">
        <f t="shared" si="254"/>
        <v/>
      </c>
      <c r="O852" s="26" t="str">
        <f>IF(AND($Q851=$O$38,IFERROR(LARGE($V$176:$V851,1)&lt;$N$42,TRUE)),1,IF(AND(ISNUMBER($O851),$O851&lt;$N$32),$O851+1,""))</f>
        <v/>
      </c>
      <c r="P852" s="26" t="str">
        <f t="shared" si="255"/>
        <v/>
      </c>
      <c r="Q852" s="26" t="str">
        <f t="shared" si="242"/>
        <v/>
      </c>
      <c r="R852" s="24" t="str">
        <f t="shared" si="256"/>
        <v/>
      </c>
      <c r="S852" s="180">
        <f t="shared" si="257"/>
        <v>9</v>
      </c>
      <c r="T852" s="151"/>
      <c r="U852" s="25" t="str">
        <f t="shared" si="243"/>
        <v/>
      </c>
      <c r="V852" s="24" t="str">
        <f>IF(AND(ISNUMBER(R851),ISNUMBER(R852)),V851,IF(AND(R851="",ISNUMBER(R852)),IFERROR(LARGE($V$176:$V851,1)+1,0),""))</f>
        <v/>
      </c>
      <c r="W852" s="23" t="str">
        <f t="shared" si="244"/>
        <v/>
      </c>
      <c r="X852" s="22" t="str">
        <f t="shared" si="245"/>
        <v/>
      </c>
      <c r="Y852" s="22"/>
      <c r="Z852" s="22"/>
      <c r="AA852" s="22"/>
      <c r="AB852" s="22" t="str" cm="1">
        <f t="array" ref="AB852">IF(IF(AND($P851="",$P852=1),($N$37*-1),0)+IF(AND($Q851="",$Q852=1),($N$38*-1),0)+IF(IF(($K852-$N$48)&lt;1,0,IF(IF(INDEX($AD$176:$AD$905,($K852-$N$48))="",0,INDEX($AD$176:$AD$905,($K852-$N$48)))&gt;0,IF(INDEX($AD$176:$AD$905,($K852-$N$48))="",0,INDEX($AD$176:$AD$905,($K852-$N$48))),0))="",0,IF(($K852-$N$48)&lt;1,0,IF(IF(INDEX($AD$176:$AD$905,($K852-$N$48))="",0,INDEX($AD$176:$AD$905,($K852-$N$48)))&gt;0,IF(INDEX($AD$176:$AD$905,($K852-$N$48))="",0,INDEX($AD$176:$AD$905,($K852-$N$48))),0)))=0,"",IF(AND($P851="",$P852=1),($N$37*-1),0)+IF(AND($Q851="",$Q852=1),($N$38*-1),0)+IF(IF(($K852-$N$48)&lt;1,0,IF(IF(INDEX($AD$176:$AD$905,($K852-$N$48))="",0,INDEX($AD$176:$AD$905,($K852-$N$48)))&gt;0,IF(INDEX($AD$176:$AD$905,($K852-$N$48))="",0,INDEX($AD$176:$AD$905,($K852-$N$48))),0))="",0,IF(($K852-$N$48)&lt;1,0,IF(IF(INDEX($AD$176:$AD$905,($K852-$N$48))="",0,INDEX($AD$176:$AD$905,($K852-$N$48)))&gt;0,IF(INDEX($AD$176:$AD$905,($K852-$N$48))="",0,INDEX($AD$176:$AD$905,($K852-$N$48))),0))))</f>
        <v/>
      </c>
      <c r="AC852" s="22" t="str">
        <f t="shared" si="246"/>
        <v/>
      </c>
      <c r="AD852" s="22" t="str">
        <f t="shared" si="258"/>
        <v/>
      </c>
      <c r="AE852" s="22" t="str" cm="1">
        <f t="array" ref="AE852">IF(($K852-$N$48)&lt;1,"",IF((IF(INDEX($AC$176:$AC$905,($K852-$N$48))="",0,INDEX($AC$176:$AC$905,($K852-$N$48))))=0,"",(IF(INDEX($AC$176:$AC$905,($K852-$N$48))="",0,INDEX($AC$176:$AC$905,($K852-$N$48))))))</f>
        <v/>
      </c>
      <c r="AF852" s="31" t="str">
        <f t="shared" si="247"/>
        <v/>
      </c>
      <c r="AG852" s="31" t="str">
        <f t="shared" si="248"/>
        <v/>
      </c>
      <c r="AH852" s="31" t="str">
        <f t="shared" si="249"/>
        <v/>
      </c>
      <c r="AI852" s="31" t="str">
        <f t="shared" si="250"/>
        <v/>
      </c>
      <c r="AJ852" s="303" t="str">
        <f t="shared" si="251"/>
        <v/>
      </c>
      <c r="AK852" s="139" t="str">
        <f t="shared" si="252"/>
        <v/>
      </c>
    </row>
    <row r="853" spans="7:37" x14ac:dyDescent="0.25">
      <c r="G853" s="235" t="str">
        <f t="shared" si="259"/>
        <v/>
      </c>
      <c r="H853" s="4" t="str">
        <f t="shared" si="260"/>
        <v/>
      </c>
      <c r="I853" s="11" t="str">
        <f t="shared" si="240"/>
        <v>09.00</v>
      </c>
      <c r="K853" s="30">
        <v>678</v>
      </c>
      <c r="L853" s="29">
        <f t="shared" si="253"/>
        <v>11371.908376190917</v>
      </c>
      <c r="M853" s="28" t="str">
        <f t="shared" si="241"/>
        <v/>
      </c>
      <c r="N853" s="27" t="str">
        <f t="shared" si="254"/>
        <v/>
      </c>
      <c r="O853" s="26" t="str">
        <f>IF(AND($Q852=$O$38,IFERROR(LARGE($V$176:$V852,1)&lt;$N$42,TRUE)),1,IF(AND(ISNUMBER($O852),$O852&lt;$N$32),$O852+1,""))</f>
        <v/>
      </c>
      <c r="P853" s="26" t="str">
        <f t="shared" si="255"/>
        <v/>
      </c>
      <c r="Q853" s="26" t="str">
        <f t="shared" si="242"/>
        <v/>
      </c>
      <c r="R853" s="24" t="str">
        <f t="shared" si="256"/>
        <v/>
      </c>
      <c r="S853" s="180">
        <f t="shared" si="257"/>
        <v>9</v>
      </c>
      <c r="T853" s="151"/>
      <c r="U853" s="25" t="str">
        <f t="shared" si="243"/>
        <v/>
      </c>
      <c r="V853" s="24" t="str">
        <f>IF(AND(ISNUMBER(R852),ISNUMBER(R853)),V852,IF(AND(R852="",ISNUMBER(R853)),IFERROR(LARGE($V$176:$V852,1)+1,0),""))</f>
        <v/>
      </c>
      <c r="W853" s="23" t="str">
        <f t="shared" si="244"/>
        <v/>
      </c>
      <c r="X853" s="22" t="str">
        <f t="shared" si="245"/>
        <v/>
      </c>
      <c r="Y853" s="22"/>
      <c r="Z853" s="22"/>
      <c r="AA853" s="22"/>
      <c r="AB853" s="22" t="str" cm="1">
        <f t="array" ref="AB853">IF(IF(AND($P852="",$P853=1),($N$37*-1),0)+IF(AND($Q852="",$Q853=1),($N$38*-1),0)+IF(IF(($K853-$N$48)&lt;1,0,IF(IF(INDEX($AD$176:$AD$905,($K853-$N$48))="",0,INDEX($AD$176:$AD$905,($K853-$N$48)))&gt;0,IF(INDEX($AD$176:$AD$905,($K853-$N$48))="",0,INDEX($AD$176:$AD$905,($K853-$N$48))),0))="",0,IF(($K853-$N$48)&lt;1,0,IF(IF(INDEX($AD$176:$AD$905,($K853-$N$48))="",0,INDEX($AD$176:$AD$905,($K853-$N$48)))&gt;0,IF(INDEX($AD$176:$AD$905,($K853-$N$48))="",0,INDEX($AD$176:$AD$905,($K853-$N$48))),0)))=0,"",IF(AND($P852="",$P853=1),($N$37*-1),0)+IF(AND($Q852="",$Q853=1),($N$38*-1),0)+IF(IF(($K853-$N$48)&lt;1,0,IF(IF(INDEX($AD$176:$AD$905,($K853-$N$48))="",0,INDEX($AD$176:$AD$905,($K853-$N$48)))&gt;0,IF(INDEX($AD$176:$AD$905,($K853-$N$48))="",0,INDEX($AD$176:$AD$905,($K853-$N$48))),0))="",0,IF(($K853-$N$48)&lt;1,0,IF(IF(INDEX($AD$176:$AD$905,($K853-$N$48))="",0,INDEX($AD$176:$AD$905,($K853-$N$48)))&gt;0,IF(INDEX($AD$176:$AD$905,($K853-$N$48))="",0,INDEX($AD$176:$AD$905,($K853-$N$48))),0))))</f>
        <v/>
      </c>
      <c r="AC853" s="22" t="str">
        <f t="shared" si="246"/>
        <v/>
      </c>
      <c r="AD853" s="22" t="str">
        <f t="shared" si="258"/>
        <v/>
      </c>
      <c r="AE853" s="22" t="str" cm="1">
        <f t="array" ref="AE853">IF(($K853-$N$48)&lt;1,"",IF((IF(INDEX($AC$176:$AC$905,($K853-$N$48))="",0,INDEX($AC$176:$AC$905,($K853-$N$48))))=0,"",(IF(INDEX($AC$176:$AC$905,($K853-$N$48))="",0,INDEX($AC$176:$AC$905,($K853-$N$48))))))</f>
        <v/>
      </c>
      <c r="AF853" s="31" t="str">
        <f t="shared" si="247"/>
        <v/>
      </c>
      <c r="AG853" s="31" t="str">
        <f t="shared" si="248"/>
        <v/>
      </c>
      <c r="AH853" s="31" t="str">
        <f t="shared" si="249"/>
        <v/>
      </c>
      <c r="AI853" s="31" t="str">
        <f t="shared" si="250"/>
        <v/>
      </c>
      <c r="AJ853" s="303" t="str">
        <f t="shared" si="251"/>
        <v/>
      </c>
      <c r="AK853" s="139" t="str">
        <f t="shared" si="252"/>
        <v/>
      </c>
    </row>
    <row r="854" spans="7:37" x14ac:dyDescent="0.25">
      <c r="G854" s="235" t="str">
        <f t="shared" si="259"/>
        <v/>
      </c>
      <c r="H854" s="4" t="str">
        <f t="shared" si="260"/>
        <v/>
      </c>
      <c r="I854" s="11" t="str">
        <f t="shared" si="240"/>
        <v>09.00</v>
      </c>
      <c r="K854" s="30">
        <v>679</v>
      </c>
      <c r="L854" s="29">
        <f t="shared" si="253"/>
        <v>11371.908376190917</v>
      </c>
      <c r="M854" s="28" t="str">
        <f t="shared" si="241"/>
        <v/>
      </c>
      <c r="N854" s="27" t="str">
        <f t="shared" si="254"/>
        <v/>
      </c>
      <c r="O854" s="26" t="str">
        <f>IF(AND($Q853=$O$38,IFERROR(LARGE($V$176:$V853,1)&lt;$N$42,TRUE)),1,IF(AND(ISNUMBER($O853),$O853&lt;$N$32),$O853+1,""))</f>
        <v/>
      </c>
      <c r="P854" s="26" t="str">
        <f t="shared" si="255"/>
        <v/>
      </c>
      <c r="Q854" s="26" t="str">
        <f t="shared" si="242"/>
        <v/>
      </c>
      <c r="R854" s="24" t="str">
        <f t="shared" si="256"/>
        <v/>
      </c>
      <c r="S854" s="180">
        <f t="shared" si="257"/>
        <v>9</v>
      </c>
      <c r="T854" s="151"/>
      <c r="U854" s="25" t="str">
        <f t="shared" si="243"/>
        <v/>
      </c>
      <c r="V854" s="24" t="str">
        <f>IF(AND(ISNUMBER(R853),ISNUMBER(R854)),V853,IF(AND(R853="",ISNUMBER(R854)),IFERROR(LARGE($V$176:$V853,1)+1,0),""))</f>
        <v/>
      </c>
      <c r="W854" s="23" t="str">
        <f t="shared" si="244"/>
        <v/>
      </c>
      <c r="X854" s="22" t="str">
        <f t="shared" si="245"/>
        <v/>
      </c>
      <c r="Y854" s="22"/>
      <c r="Z854" s="22"/>
      <c r="AA854" s="22"/>
      <c r="AB854" s="22" t="str" cm="1">
        <f t="array" ref="AB854">IF(IF(AND($P853="",$P854=1),($N$37*-1),0)+IF(AND($Q853="",$Q854=1),($N$38*-1),0)+IF(IF(($K854-$N$48)&lt;1,0,IF(IF(INDEX($AD$176:$AD$905,($K854-$N$48))="",0,INDEX($AD$176:$AD$905,($K854-$N$48)))&gt;0,IF(INDEX($AD$176:$AD$905,($K854-$N$48))="",0,INDEX($AD$176:$AD$905,($K854-$N$48))),0))="",0,IF(($K854-$N$48)&lt;1,0,IF(IF(INDEX($AD$176:$AD$905,($K854-$N$48))="",0,INDEX($AD$176:$AD$905,($K854-$N$48)))&gt;0,IF(INDEX($AD$176:$AD$905,($K854-$N$48))="",0,INDEX($AD$176:$AD$905,($K854-$N$48))),0)))=0,"",IF(AND($P853="",$P854=1),($N$37*-1),0)+IF(AND($Q853="",$Q854=1),($N$38*-1),0)+IF(IF(($K854-$N$48)&lt;1,0,IF(IF(INDEX($AD$176:$AD$905,($K854-$N$48))="",0,INDEX($AD$176:$AD$905,($K854-$N$48)))&gt;0,IF(INDEX($AD$176:$AD$905,($K854-$N$48))="",0,INDEX($AD$176:$AD$905,($K854-$N$48))),0))="",0,IF(($K854-$N$48)&lt;1,0,IF(IF(INDEX($AD$176:$AD$905,($K854-$N$48))="",0,INDEX($AD$176:$AD$905,($K854-$N$48)))&gt;0,IF(INDEX($AD$176:$AD$905,($K854-$N$48))="",0,INDEX($AD$176:$AD$905,($K854-$N$48))),0))))</f>
        <v/>
      </c>
      <c r="AC854" s="22" t="str">
        <f t="shared" si="246"/>
        <v/>
      </c>
      <c r="AD854" s="22" t="str">
        <f t="shared" si="258"/>
        <v/>
      </c>
      <c r="AE854" s="22" t="str" cm="1">
        <f t="array" ref="AE854">IF(($K854-$N$48)&lt;1,"",IF((IF(INDEX($AC$176:$AC$905,($K854-$N$48))="",0,INDEX($AC$176:$AC$905,($K854-$N$48))))=0,"",(IF(INDEX($AC$176:$AC$905,($K854-$N$48))="",0,INDEX($AC$176:$AC$905,($K854-$N$48))))))</f>
        <v/>
      </c>
      <c r="AF854" s="31" t="str">
        <f t="shared" si="247"/>
        <v/>
      </c>
      <c r="AG854" s="31" t="str">
        <f t="shared" si="248"/>
        <v/>
      </c>
      <c r="AH854" s="31" t="str">
        <f t="shared" si="249"/>
        <v/>
      </c>
      <c r="AI854" s="31" t="str">
        <f t="shared" si="250"/>
        <v/>
      </c>
      <c r="AJ854" s="303" t="str">
        <f t="shared" si="251"/>
        <v/>
      </c>
      <c r="AK854" s="139" t="str">
        <f t="shared" si="252"/>
        <v/>
      </c>
    </row>
    <row r="855" spans="7:37" x14ac:dyDescent="0.25">
      <c r="G855" s="235" t="str">
        <f t="shared" si="259"/>
        <v/>
      </c>
      <c r="H855" s="4" t="str">
        <f t="shared" si="260"/>
        <v/>
      </c>
      <c r="I855" s="11" t="str">
        <f t="shared" si="240"/>
        <v>09.00</v>
      </c>
      <c r="K855" s="30">
        <v>680</v>
      </c>
      <c r="L855" s="29">
        <f t="shared" si="253"/>
        <v>11371.908376190917</v>
      </c>
      <c r="M855" s="28" t="str">
        <f t="shared" si="241"/>
        <v/>
      </c>
      <c r="N855" s="27" t="str">
        <f t="shared" si="254"/>
        <v/>
      </c>
      <c r="O855" s="26" t="str">
        <f>IF(AND($Q854=$O$38,IFERROR(LARGE($V$176:$V854,1)&lt;$N$42,TRUE)),1,IF(AND(ISNUMBER($O854),$O854&lt;$N$32),$O854+1,""))</f>
        <v/>
      </c>
      <c r="P855" s="26" t="str">
        <f t="shared" si="255"/>
        <v/>
      </c>
      <c r="Q855" s="26" t="str">
        <f t="shared" si="242"/>
        <v/>
      </c>
      <c r="R855" s="24" t="str">
        <f t="shared" si="256"/>
        <v/>
      </c>
      <c r="S855" s="180">
        <f t="shared" si="257"/>
        <v>9</v>
      </c>
      <c r="T855" s="151"/>
      <c r="U855" s="25" t="str">
        <f t="shared" si="243"/>
        <v/>
      </c>
      <c r="V855" s="24" t="str">
        <f>IF(AND(ISNUMBER(R854),ISNUMBER(R855)),V854,IF(AND(R854="",ISNUMBER(R855)),IFERROR(LARGE($V$176:$V854,1)+1,0),""))</f>
        <v/>
      </c>
      <c r="W855" s="23" t="str">
        <f t="shared" si="244"/>
        <v/>
      </c>
      <c r="X855" s="22" t="str">
        <f t="shared" si="245"/>
        <v/>
      </c>
      <c r="Y855" s="22"/>
      <c r="Z855" s="22"/>
      <c r="AA855" s="22"/>
      <c r="AB855" s="22" t="str" cm="1">
        <f t="array" ref="AB855">IF(IF(AND($P854="",$P855=1),($N$37*-1),0)+IF(AND($Q854="",$Q855=1),($N$38*-1),0)+IF(IF(($K855-$N$48)&lt;1,0,IF(IF(INDEX($AD$176:$AD$905,($K855-$N$48))="",0,INDEX($AD$176:$AD$905,($K855-$N$48)))&gt;0,IF(INDEX($AD$176:$AD$905,($K855-$N$48))="",0,INDEX($AD$176:$AD$905,($K855-$N$48))),0))="",0,IF(($K855-$N$48)&lt;1,0,IF(IF(INDEX($AD$176:$AD$905,($K855-$N$48))="",0,INDEX($AD$176:$AD$905,($K855-$N$48)))&gt;0,IF(INDEX($AD$176:$AD$905,($K855-$N$48))="",0,INDEX($AD$176:$AD$905,($K855-$N$48))),0)))=0,"",IF(AND($P854="",$P855=1),($N$37*-1),0)+IF(AND($Q854="",$Q855=1),($N$38*-1),0)+IF(IF(($K855-$N$48)&lt;1,0,IF(IF(INDEX($AD$176:$AD$905,($K855-$N$48))="",0,INDEX($AD$176:$AD$905,($K855-$N$48)))&gt;0,IF(INDEX($AD$176:$AD$905,($K855-$N$48))="",0,INDEX($AD$176:$AD$905,($K855-$N$48))),0))="",0,IF(($K855-$N$48)&lt;1,0,IF(IF(INDEX($AD$176:$AD$905,($K855-$N$48))="",0,INDEX($AD$176:$AD$905,($K855-$N$48)))&gt;0,IF(INDEX($AD$176:$AD$905,($K855-$N$48))="",0,INDEX($AD$176:$AD$905,($K855-$N$48))),0))))</f>
        <v/>
      </c>
      <c r="AC855" s="22" t="str">
        <f t="shared" si="246"/>
        <v/>
      </c>
      <c r="AD855" s="22" t="str">
        <f t="shared" si="258"/>
        <v/>
      </c>
      <c r="AE855" s="22" t="str" cm="1">
        <f t="array" ref="AE855">IF(($K855-$N$48)&lt;1,"",IF((IF(INDEX($AC$176:$AC$905,($K855-$N$48))="",0,INDEX($AC$176:$AC$905,($K855-$N$48))))=0,"",(IF(INDEX($AC$176:$AC$905,($K855-$N$48))="",0,INDEX($AC$176:$AC$905,($K855-$N$48))))))</f>
        <v/>
      </c>
      <c r="AF855" s="31" t="str">
        <f t="shared" si="247"/>
        <v/>
      </c>
      <c r="AG855" s="31" t="str">
        <f t="shared" si="248"/>
        <v/>
      </c>
      <c r="AH855" s="31" t="str">
        <f t="shared" si="249"/>
        <v/>
      </c>
      <c r="AI855" s="31" t="str">
        <f t="shared" si="250"/>
        <v/>
      </c>
      <c r="AJ855" s="303" t="str">
        <f t="shared" si="251"/>
        <v/>
      </c>
      <c r="AK855" s="139" t="str">
        <f t="shared" si="252"/>
        <v/>
      </c>
    </row>
    <row r="856" spans="7:37" x14ac:dyDescent="0.25">
      <c r="G856" s="235" t="str">
        <f t="shared" si="259"/>
        <v/>
      </c>
      <c r="H856" s="4" t="str">
        <f t="shared" si="260"/>
        <v/>
      </c>
      <c r="I856" s="11" t="str">
        <f t="shared" si="240"/>
        <v>09.00</v>
      </c>
      <c r="K856" s="30">
        <v>681</v>
      </c>
      <c r="L856" s="29">
        <f t="shared" si="253"/>
        <v>11371.908376190917</v>
      </c>
      <c r="M856" s="28" t="str">
        <f t="shared" si="241"/>
        <v/>
      </c>
      <c r="N856" s="27" t="str">
        <f t="shared" si="254"/>
        <v/>
      </c>
      <c r="O856" s="26" t="str">
        <f>IF(AND($Q855=$O$38,IFERROR(LARGE($V$176:$V855,1)&lt;$N$42,TRUE)),1,IF(AND(ISNUMBER($O855),$O855&lt;$N$32),$O855+1,""))</f>
        <v/>
      </c>
      <c r="P856" s="26" t="str">
        <f t="shared" si="255"/>
        <v/>
      </c>
      <c r="Q856" s="26" t="str">
        <f t="shared" si="242"/>
        <v/>
      </c>
      <c r="R856" s="24" t="str">
        <f t="shared" si="256"/>
        <v/>
      </c>
      <c r="S856" s="180">
        <f t="shared" si="257"/>
        <v>9</v>
      </c>
      <c r="T856" s="151"/>
      <c r="U856" s="25" t="str">
        <f t="shared" si="243"/>
        <v/>
      </c>
      <c r="V856" s="24" t="str">
        <f>IF(AND(ISNUMBER(R855),ISNUMBER(R856)),V855,IF(AND(R855="",ISNUMBER(R856)),IFERROR(LARGE($V$176:$V855,1)+1,0),""))</f>
        <v/>
      </c>
      <c r="W856" s="23" t="str">
        <f t="shared" si="244"/>
        <v/>
      </c>
      <c r="X856" s="22" t="str">
        <f t="shared" si="245"/>
        <v/>
      </c>
      <c r="Y856" s="22"/>
      <c r="Z856" s="22"/>
      <c r="AA856" s="22"/>
      <c r="AB856" s="22" t="str" cm="1">
        <f t="array" ref="AB856">IF(IF(AND($P855="",$P856=1),($N$37*-1),0)+IF(AND($Q855="",$Q856=1),($N$38*-1),0)+IF(IF(($K856-$N$48)&lt;1,0,IF(IF(INDEX($AD$176:$AD$905,($K856-$N$48))="",0,INDEX($AD$176:$AD$905,($K856-$N$48)))&gt;0,IF(INDEX($AD$176:$AD$905,($K856-$N$48))="",0,INDEX($AD$176:$AD$905,($K856-$N$48))),0))="",0,IF(($K856-$N$48)&lt;1,0,IF(IF(INDEX($AD$176:$AD$905,($K856-$N$48))="",0,INDEX($AD$176:$AD$905,($K856-$N$48)))&gt;0,IF(INDEX($AD$176:$AD$905,($K856-$N$48))="",0,INDEX($AD$176:$AD$905,($K856-$N$48))),0)))=0,"",IF(AND($P855="",$P856=1),($N$37*-1),0)+IF(AND($Q855="",$Q856=1),($N$38*-1),0)+IF(IF(($K856-$N$48)&lt;1,0,IF(IF(INDEX($AD$176:$AD$905,($K856-$N$48))="",0,INDEX($AD$176:$AD$905,($K856-$N$48)))&gt;0,IF(INDEX($AD$176:$AD$905,($K856-$N$48))="",0,INDEX($AD$176:$AD$905,($K856-$N$48))),0))="",0,IF(($K856-$N$48)&lt;1,0,IF(IF(INDEX($AD$176:$AD$905,($K856-$N$48))="",0,INDEX($AD$176:$AD$905,($K856-$N$48)))&gt;0,IF(INDEX($AD$176:$AD$905,($K856-$N$48))="",0,INDEX($AD$176:$AD$905,($K856-$N$48))),0))))</f>
        <v/>
      </c>
      <c r="AC856" s="22" t="str">
        <f t="shared" si="246"/>
        <v/>
      </c>
      <c r="AD856" s="22" t="str">
        <f t="shared" si="258"/>
        <v/>
      </c>
      <c r="AE856" s="22" t="str" cm="1">
        <f t="array" ref="AE856">IF(($K856-$N$48)&lt;1,"",IF((IF(INDEX($AC$176:$AC$905,($K856-$N$48))="",0,INDEX($AC$176:$AC$905,($K856-$N$48))))=0,"",(IF(INDEX($AC$176:$AC$905,($K856-$N$48))="",0,INDEX($AC$176:$AC$905,($K856-$N$48))))))</f>
        <v/>
      </c>
      <c r="AF856" s="31" t="str">
        <f t="shared" si="247"/>
        <v/>
      </c>
      <c r="AG856" s="31" t="str">
        <f t="shared" si="248"/>
        <v/>
      </c>
      <c r="AH856" s="31" t="str">
        <f t="shared" si="249"/>
        <v/>
      </c>
      <c r="AI856" s="31" t="str">
        <f t="shared" si="250"/>
        <v/>
      </c>
      <c r="AJ856" s="303" t="str">
        <f t="shared" si="251"/>
        <v/>
      </c>
      <c r="AK856" s="139" t="str">
        <f t="shared" si="252"/>
        <v/>
      </c>
    </row>
    <row r="857" spans="7:37" x14ac:dyDescent="0.25">
      <c r="G857" s="235" t="str">
        <f t="shared" si="259"/>
        <v/>
      </c>
      <c r="H857" s="4" t="str">
        <f t="shared" si="260"/>
        <v/>
      </c>
      <c r="I857" s="11" t="str">
        <f t="shared" si="240"/>
        <v>09.00</v>
      </c>
      <c r="K857" s="30">
        <v>682</v>
      </c>
      <c r="L857" s="29">
        <f t="shared" si="253"/>
        <v>11371.908376190917</v>
      </c>
      <c r="M857" s="28" t="str">
        <f t="shared" si="241"/>
        <v/>
      </c>
      <c r="N857" s="27" t="str">
        <f t="shared" si="254"/>
        <v/>
      </c>
      <c r="O857" s="26" t="str">
        <f>IF(AND($Q856=$O$38,IFERROR(LARGE($V$176:$V856,1)&lt;$N$42,TRUE)),1,IF(AND(ISNUMBER($O856),$O856&lt;$N$32),$O856+1,""))</f>
        <v/>
      </c>
      <c r="P857" s="26" t="str">
        <f t="shared" si="255"/>
        <v/>
      </c>
      <c r="Q857" s="26" t="str">
        <f t="shared" si="242"/>
        <v/>
      </c>
      <c r="R857" s="24" t="str">
        <f t="shared" si="256"/>
        <v/>
      </c>
      <c r="S857" s="180">
        <f t="shared" si="257"/>
        <v>9</v>
      </c>
      <c r="T857" s="151"/>
      <c r="U857" s="25" t="str">
        <f t="shared" si="243"/>
        <v/>
      </c>
      <c r="V857" s="24" t="str">
        <f>IF(AND(ISNUMBER(R856),ISNUMBER(R857)),V856,IF(AND(R856="",ISNUMBER(R857)),IFERROR(LARGE($V$176:$V856,1)+1,0),""))</f>
        <v/>
      </c>
      <c r="W857" s="23" t="str">
        <f t="shared" si="244"/>
        <v/>
      </c>
      <c r="X857" s="22" t="str">
        <f t="shared" si="245"/>
        <v/>
      </c>
      <c r="Y857" s="22"/>
      <c r="Z857" s="22"/>
      <c r="AA857" s="22"/>
      <c r="AB857" s="22" t="str" cm="1">
        <f t="array" ref="AB857">IF(IF(AND($P856="",$P857=1),($N$37*-1),0)+IF(AND($Q856="",$Q857=1),($N$38*-1),0)+IF(IF(($K857-$N$48)&lt;1,0,IF(IF(INDEX($AD$176:$AD$905,($K857-$N$48))="",0,INDEX($AD$176:$AD$905,($K857-$N$48)))&gt;0,IF(INDEX($AD$176:$AD$905,($K857-$N$48))="",0,INDEX($AD$176:$AD$905,($K857-$N$48))),0))="",0,IF(($K857-$N$48)&lt;1,0,IF(IF(INDEX($AD$176:$AD$905,($K857-$N$48))="",0,INDEX($AD$176:$AD$905,($K857-$N$48)))&gt;0,IF(INDEX($AD$176:$AD$905,($K857-$N$48))="",0,INDEX($AD$176:$AD$905,($K857-$N$48))),0)))=0,"",IF(AND($P856="",$P857=1),($N$37*-1),0)+IF(AND($Q856="",$Q857=1),($N$38*-1),0)+IF(IF(($K857-$N$48)&lt;1,0,IF(IF(INDEX($AD$176:$AD$905,($K857-$N$48))="",0,INDEX($AD$176:$AD$905,($K857-$N$48)))&gt;0,IF(INDEX($AD$176:$AD$905,($K857-$N$48))="",0,INDEX($AD$176:$AD$905,($K857-$N$48))),0))="",0,IF(($K857-$N$48)&lt;1,0,IF(IF(INDEX($AD$176:$AD$905,($K857-$N$48))="",0,INDEX($AD$176:$AD$905,($K857-$N$48)))&gt;0,IF(INDEX($AD$176:$AD$905,($K857-$N$48))="",0,INDEX($AD$176:$AD$905,($K857-$N$48))),0))))</f>
        <v/>
      </c>
      <c r="AC857" s="22" t="str">
        <f t="shared" si="246"/>
        <v/>
      </c>
      <c r="AD857" s="22" t="str">
        <f t="shared" si="258"/>
        <v/>
      </c>
      <c r="AE857" s="22" t="str" cm="1">
        <f t="array" ref="AE857">IF(($K857-$N$48)&lt;1,"",IF((IF(INDEX($AC$176:$AC$905,($K857-$N$48))="",0,INDEX($AC$176:$AC$905,($K857-$N$48))))=0,"",(IF(INDEX($AC$176:$AC$905,($K857-$N$48))="",0,INDEX($AC$176:$AC$905,($K857-$N$48))))))</f>
        <v/>
      </c>
      <c r="AF857" s="31" t="str">
        <f t="shared" si="247"/>
        <v/>
      </c>
      <c r="AG857" s="31" t="str">
        <f t="shared" si="248"/>
        <v/>
      </c>
      <c r="AH857" s="31" t="str">
        <f t="shared" si="249"/>
        <v/>
      </c>
      <c r="AI857" s="31" t="str">
        <f t="shared" si="250"/>
        <v/>
      </c>
      <c r="AJ857" s="303" t="str">
        <f t="shared" si="251"/>
        <v/>
      </c>
      <c r="AK857" s="139" t="str">
        <f t="shared" si="252"/>
        <v/>
      </c>
    </row>
    <row r="858" spans="7:37" x14ac:dyDescent="0.25">
      <c r="G858" s="235" t="str">
        <f t="shared" si="259"/>
        <v/>
      </c>
      <c r="H858" s="4" t="str">
        <f t="shared" si="260"/>
        <v/>
      </c>
      <c r="I858" s="11" t="str">
        <f t="shared" si="240"/>
        <v>09.00</v>
      </c>
      <c r="K858" s="30">
        <v>683</v>
      </c>
      <c r="L858" s="29">
        <f t="shared" si="253"/>
        <v>11371.908376190917</v>
      </c>
      <c r="M858" s="28" t="str">
        <f t="shared" si="241"/>
        <v/>
      </c>
      <c r="N858" s="27" t="str">
        <f t="shared" si="254"/>
        <v/>
      </c>
      <c r="O858" s="26" t="str">
        <f>IF(AND($Q857=$O$38,IFERROR(LARGE($V$176:$V857,1)&lt;$N$42,TRUE)),1,IF(AND(ISNUMBER($O857),$O857&lt;$N$32),$O857+1,""))</f>
        <v/>
      </c>
      <c r="P858" s="26" t="str">
        <f t="shared" si="255"/>
        <v/>
      </c>
      <c r="Q858" s="26" t="str">
        <f t="shared" si="242"/>
        <v/>
      </c>
      <c r="R858" s="24" t="str">
        <f t="shared" si="256"/>
        <v/>
      </c>
      <c r="S858" s="180">
        <f t="shared" si="257"/>
        <v>9</v>
      </c>
      <c r="T858" s="151"/>
      <c r="U858" s="25" t="str">
        <f t="shared" si="243"/>
        <v/>
      </c>
      <c r="V858" s="24" t="str">
        <f>IF(AND(ISNUMBER(R857),ISNUMBER(R858)),V857,IF(AND(R857="",ISNUMBER(R858)),IFERROR(LARGE($V$176:$V857,1)+1,0),""))</f>
        <v/>
      </c>
      <c r="W858" s="23" t="str">
        <f t="shared" si="244"/>
        <v/>
      </c>
      <c r="X858" s="22" t="str">
        <f t="shared" si="245"/>
        <v/>
      </c>
      <c r="Y858" s="22"/>
      <c r="Z858" s="22"/>
      <c r="AA858" s="22"/>
      <c r="AB858" s="22" t="str" cm="1">
        <f t="array" ref="AB858">IF(IF(AND($P857="",$P858=1),($N$37*-1),0)+IF(AND($Q857="",$Q858=1),($N$38*-1),0)+IF(IF(($K858-$N$48)&lt;1,0,IF(IF(INDEX($AD$176:$AD$905,($K858-$N$48))="",0,INDEX($AD$176:$AD$905,($K858-$N$48)))&gt;0,IF(INDEX($AD$176:$AD$905,($K858-$N$48))="",0,INDEX($AD$176:$AD$905,($K858-$N$48))),0))="",0,IF(($K858-$N$48)&lt;1,0,IF(IF(INDEX($AD$176:$AD$905,($K858-$N$48))="",0,INDEX($AD$176:$AD$905,($K858-$N$48)))&gt;0,IF(INDEX($AD$176:$AD$905,($K858-$N$48))="",0,INDEX($AD$176:$AD$905,($K858-$N$48))),0)))=0,"",IF(AND($P857="",$P858=1),($N$37*-1),0)+IF(AND($Q857="",$Q858=1),($N$38*-1),0)+IF(IF(($K858-$N$48)&lt;1,0,IF(IF(INDEX($AD$176:$AD$905,($K858-$N$48))="",0,INDEX($AD$176:$AD$905,($K858-$N$48)))&gt;0,IF(INDEX($AD$176:$AD$905,($K858-$N$48))="",0,INDEX($AD$176:$AD$905,($K858-$N$48))),0))="",0,IF(($K858-$N$48)&lt;1,0,IF(IF(INDEX($AD$176:$AD$905,($K858-$N$48))="",0,INDEX($AD$176:$AD$905,($K858-$N$48)))&gt;0,IF(INDEX($AD$176:$AD$905,($K858-$N$48))="",0,INDEX($AD$176:$AD$905,($K858-$N$48))),0))))</f>
        <v/>
      </c>
      <c r="AC858" s="22" t="str">
        <f t="shared" si="246"/>
        <v/>
      </c>
      <c r="AD858" s="22" t="str">
        <f t="shared" si="258"/>
        <v/>
      </c>
      <c r="AE858" s="22" t="str" cm="1">
        <f t="array" ref="AE858">IF(($K858-$N$48)&lt;1,"",IF((IF(INDEX($AC$176:$AC$905,($K858-$N$48))="",0,INDEX($AC$176:$AC$905,($K858-$N$48))))=0,"",(IF(INDEX($AC$176:$AC$905,($K858-$N$48))="",0,INDEX($AC$176:$AC$905,($K858-$N$48))))))</f>
        <v/>
      </c>
      <c r="AF858" s="31" t="str">
        <f t="shared" si="247"/>
        <v/>
      </c>
      <c r="AG858" s="31" t="str">
        <f t="shared" si="248"/>
        <v/>
      </c>
      <c r="AH858" s="31" t="str">
        <f t="shared" si="249"/>
        <v/>
      </c>
      <c r="AI858" s="31" t="str">
        <f t="shared" si="250"/>
        <v/>
      </c>
      <c r="AJ858" s="303" t="str">
        <f t="shared" si="251"/>
        <v/>
      </c>
      <c r="AK858" s="139" t="str">
        <f t="shared" si="252"/>
        <v/>
      </c>
    </row>
    <row r="859" spans="7:37" x14ac:dyDescent="0.25">
      <c r="G859" s="235" t="str">
        <f t="shared" si="259"/>
        <v/>
      </c>
      <c r="H859" s="4" t="str">
        <f t="shared" si="260"/>
        <v/>
      </c>
      <c r="I859" s="11" t="str">
        <f t="shared" si="240"/>
        <v>09.00</v>
      </c>
      <c r="K859" s="30">
        <v>684</v>
      </c>
      <c r="L859" s="29">
        <f t="shared" si="253"/>
        <v>11371.908376190917</v>
      </c>
      <c r="M859" s="28" t="str">
        <f t="shared" si="241"/>
        <v/>
      </c>
      <c r="N859" s="27" t="str">
        <f t="shared" si="254"/>
        <v/>
      </c>
      <c r="O859" s="26" t="str">
        <f>IF(AND($Q858=$O$38,IFERROR(LARGE($V$176:$V858,1)&lt;$N$42,TRUE)),1,IF(AND(ISNUMBER($O858),$O858&lt;$N$32),$O858+1,""))</f>
        <v/>
      </c>
      <c r="P859" s="26" t="str">
        <f t="shared" si="255"/>
        <v/>
      </c>
      <c r="Q859" s="26" t="str">
        <f t="shared" si="242"/>
        <v/>
      </c>
      <c r="R859" s="24" t="str">
        <f t="shared" si="256"/>
        <v/>
      </c>
      <c r="S859" s="180">
        <f t="shared" si="257"/>
        <v>9</v>
      </c>
      <c r="T859" s="151"/>
      <c r="U859" s="25" t="str">
        <f t="shared" si="243"/>
        <v/>
      </c>
      <c r="V859" s="24" t="str">
        <f>IF(AND(ISNUMBER(R858),ISNUMBER(R859)),V858,IF(AND(R858="",ISNUMBER(R859)),IFERROR(LARGE($V$176:$V858,1)+1,0),""))</f>
        <v/>
      </c>
      <c r="W859" s="23" t="str">
        <f t="shared" si="244"/>
        <v/>
      </c>
      <c r="X859" s="22" t="str">
        <f t="shared" si="245"/>
        <v/>
      </c>
      <c r="Y859" s="22"/>
      <c r="Z859" s="22"/>
      <c r="AA859" s="22"/>
      <c r="AB859" s="22" t="str" cm="1">
        <f t="array" ref="AB859">IF(IF(AND($P858="",$P859=1),($N$37*-1),0)+IF(AND($Q858="",$Q859=1),($N$38*-1),0)+IF(IF(($K859-$N$48)&lt;1,0,IF(IF(INDEX($AD$176:$AD$905,($K859-$N$48))="",0,INDEX($AD$176:$AD$905,($K859-$N$48)))&gt;0,IF(INDEX($AD$176:$AD$905,($K859-$N$48))="",0,INDEX($AD$176:$AD$905,($K859-$N$48))),0))="",0,IF(($K859-$N$48)&lt;1,0,IF(IF(INDEX($AD$176:$AD$905,($K859-$N$48))="",0,INDEX($AD$176:$AD$905,($K859-$N$48)))&gt;0,IF(INDEX($AD$176:$AD$905,($K859-$N$48))="",0,INDEX($AD$176:$AD$905,($K859-$N$48))),0)))=0,"",IF(AND($P858="",$P859=1),($N$37*-1),0)+IF(AND($Q858="",$Q859=1),($N$38*-1),0)+IF(IF(($K859-$N$48)&lt;1,0,IF(IF(INDEX($AD$176:$AD$905,($K859-$N$48))="",0,INDEX($AD$176:$AD$905,($K859-$N$48)))&gt;0,IF(INDEX($AD$176:$AD$905,($K859-$N$48))="",0,INDEX($AD$176:$AD$905,($K859-$N$48))),0))="",0,IF(($K859-$N$48)&lt;1,0,IF(IF(INDEX($AD$176:$AD$905,($K859-$N$48))="",0,INDEX($AD$176:$AD$905,($K859-$N$48)))&gt;0,IF(INDEX($AD$176:$AD$905,($K859-$N$48))="",0,INDEX($AD$176:$AD$905,($K859-$N$48))),0))))</f>
        <v/>
      </c>
      <c r="AC859" s="22" t="str">
        <f t="shared" si="246"/>
        <v/>
      </c>
      <c r="AD859" s="22" t="str">
        <f t="shared" si="258"/>
        <v/>
      </c>
      <c r="AE859" s="22" t="str" cm="1">
        <f t="array" ref="AE859">IF(($K859-$N$48)&lt;1,"",IF((IF(INDEX($AC$176:$AC$905,($K859-$N$48))="",0,INDEX($AC$176:$AC$905,($K859-$N$48))))=0,"",(IF(INDEX($AC$176:$AC$905,($K859-$N$48))="",0,INDEX($AC$176:$AC$905,($K859-$N$48))))))</f>
        <v/>
      </c>
      <c r="AF859" s="31" t="str">
        <f t="shared" si="247"/>
        <v/>
      </c>
      <c r="AG859" s="31" t="str">
        <f t="shared" si="248"/>
        <v/>
      </c>
      <c r="AH859" s="31" t="str">
        <f t="shared" si="249"/>
        <v/>
      </c>
      <c r="AI859" s="31" t="str">
        <f t="shared" si="250"/>
        <v/>
      </c>
      <c r="AJ859" s="303" t="str">
        <f t="shared" si="251"/>
        <v/>
      </c>
      <c r="AK859" s="139" t="str">
        <f t="shared" si="252"/>
        <v/>
      </c>
    </row>
    <row r="860" spans="7:37" x14ac:dyDescent="0.25">
      <c r="G860" s="235" t="str">
        <f t="shared" si="259"/>
        <v/>
      </c>
      <c r="H860" s="4" t="str">
        <f t="shared" si="260"/>
        <v/>
      </c>
      <c r="I860" s="11" t="str">
        <f t="shared" si="240"/>
        <v>09.00</v>
      </c>
      <c r="K860" s="30">
        <v>685</v>
      </c>
      <c r="L860" s="29">
        <f t="shared" si="253"/>
        <v>11371.908376190917</v>
      </c>
      <c r="M860" s="28" t="str">
        <f t="shared" si="241"/>
        <v/>
      </c>
      <c r="N860" s="27" t="str">
        <f t="shared" si="254"/>
        <v/>
      </c>
      <c r="O860" s="26" t="str">
        <f>IF(AND($Q859=$O$38,IFERROR(LARGE($V$176:$V859,1)&lt;$N$42,TRUE)),1,IF(AND(ISNUMBER($O859),$O859&lt;$N$32),$O859+1,""))</f>
        <v/>
      </c>
      <c r="P860" s="26" t="str">
        <f t="shared" si="255"/>
        <v/>
      </c>
      <c r="Q860" s="26" t="str">
        <f t="shared" si="242"/>
        <v/>
      </c>
      <c r="R860" s="24" t="str">
        <f t="shared" si="256"/>
        <v/>
      </c>
      <c r="S860" s="180">
        <f t="shared" si="257"/>
        <v>9</v>
      </c>
      <c r="T860" s="151"/>
      <c r="U860" s="25" t="str">
        <f t="shared" si="243"/>
        <v/>
      </c>
      <c r="V860" s="24" t="str">
        <f>IF(AND(ISNUMBER(R859),ISNUMBER(R860)),V859,IF(AND(R859="",ISNUMBER(R860)),IFERROR(LARGE($V$176:$V859,1)+1,0),""))</f>
        <v/>
      </c>
      <c r="W860" s="23" t="str">
        <f t="shared" si="244"/>
        <v/>
      </c>
      <c r="X860" s="22" t="str">
        <f t="shared" si="245"/>
        <v/>
      </c>
      <c r="Y860" s="22"/>
      <c r="Z860" s="22"/>
      <c r="AA860" s="22"/>
      <c r="AB860" s="22" t="str" cm="1">
        <f t="array" ref="AB860">IF(IF(AND($P859="",$P860=1),($N$37*-1),0)+IF(AND($Q859="",$Q860=1),($N$38*-1),0)+IF(IF(($K860-$N$48)&lt;1,0,IF(IF(INDEX($AD$176:$AD$905,($K860-$N$48))="",0,INDEX($AD$176:$AD$905,($K860-$N$48)))&gt;0,IF(INDEX($AD$176:$AD$905,($K860-$N$48))="",0,INDEX($AD$176:$AD$905,($K860-$N$48))),0))="",0,IF(($K860-$N$48)&lt;1,0,IF(IF(INDEX($AD$176:$AD$905,($K860-$N$48))="",0,INDEX($AD$176:$AD$905,($K860-$N$48)))&gt;0,IF(INDEX($AD$176:$AD$905,($K860-$N$48))="",0,INDEX($AD$176:$AD$905,($K860-$N$48))),0)))=0,"",IF(AND($P859="",$P860=1),($N$37*-1),0)+IF(AND($Q859="",$Q860=1),($N$38*-1),0)+IF(IF(($K860-$N$48)&lt;1,0,IF(IF(INDEX($AD$176:$AD$905,($K860-$N$48))="",0,INDEX($AD$176:$AD$905,($K860-$N$48)))&gt;0,IF(INDEX($AD$176:$AD$905,($K860-$N$48))="",0,INDEX($AD$176:$AD$905,($K860-$N$48))),0))="",0,IF(($K860-$N$48)&lt;1,0,IF(IF(INDEX($AD$176:$AD$905,($K860-$N$48))="",0,INDEX($AD$176:$AD$905,($K860-$N$48)))&gt;0,IF(INDEX($AD$176:$AD$905,($K860-$N$48))="",0,INDEX($AD$176:$AD$905,($K860-$N$48))),0))))</f>
        <v/>
      </c>
      <c r="AC860" s="22" t="str">
        <f t="shared" si="246"/>
        <v/>
      </c>
      <c r="AD860" s="22" t="str">
        <f t="shared" si="258"/>
        <v/>
      </c>
      <c r="AE860" s="22" t="str" cm="1">
        <f t="array" ref="AE860">IF(($K860-$N$48)&lt;1,"",IF((IF(INDEX($AC$176:$AC$905,($K860-$N$48))="",0,INDEX($AC$176:$AC$905,($K860-$N$48))))=0,"",(IF(INDEX($AC$176:$AC$905,($K860-$N$48))="",0,INDEX($AC$176:$AC$905,($K860-$N$48))))))</f>
        <v/>
      </c>
      <c r="AF860" s="31" t="str">
        <f t="shared" si="247"/>
        <v/>
      </c>
      <c r="AG860" s="31" t="str">
        <f t="shared" si="248"/>
        <v/>
      </c>
      <c r="AH860" s="31" t="str">
        <f t="shared" si="249"/>
        <v/>
      </c>
      <c r="AI860" s="31" t="str">
        <f t="shared" si="250"/>
        <v/>
      </c>
      <c r="AJ860" s="303" t="str">
        <f t="shared" si="251"/>
        <v/>
      </c>
      <c r="AK860" s="139" t="str">
        <f t="shared" si="252"/>
        <v/>
      </c>
    </row>
    <row r="861" spans="7:37" x14ac:dyDescent="0.25">
      <c r="G861" s="235" t="str">
        <f t="shared" si="259"/>
        <v/>
      </c>
      <c r="H861" s="4" t="str">
        <f t="shared" si="260"/>
        <v/>
      </c>
      <c r="I861" s="11" t="str">
        <f t="shared" si="240"/>
        <v>09.00</v>
      </c>
      <c r="K861" s="30">
        <v>686</v>
      </c>
      <c r="L861" s="29">
        <f t="shared" si="253"/>
        <v>11371.908376190917</v>
      </c>
      <c r="M861" s="28" t="str">
        <f t="shared" si="241"/>
        <v/>
      </c>
      <c r="N861" s="27" t="str">
        <f t="shared" si="254"/>
        <v/>
      </c>
      <c r="O861" s="26" t="str">
        <f>IF(AND($Q860=$O$38,IFERROR(LARGE($V$176:$V860,1)&lt;$N$42,TRUE)),1,IF(AND(ISNUMBER($O860),$O860&lt;$N$32),$O860+1,""))</f>
        <v/>
      </c>
      <c r="P861" s="26" t="str">
        <f t="shared" si="255"/>
        <v/>
      </c>
      <c r="Q861" s="26" t="str">
        <f t="shared" si="242"/>
        <v/>
      </c>
      <c r="R861" s="24" t="str">
        <f t="shared" si="256"/>
        <v/>
      </c>
      <c r="S861" s="180">
        <f t="shared" si="257"/>
        <v>9</v>
      </c>
      <c r="T861" s="151"/>
      <c r="U861" s="25" t="str">
        <f t="shared" si="243"/>
        <v/>
      </c>
      <c r="V861" s="24" t="str">
        <f>IF(AND(ISNUMBER(R860),ISNUMBER(R861)),V860,IF(AND(R860="",ISNUMBER(R861)),IFERROR(LARGE($V$176:$V860,1)+1,0),""))</f>
        <v/>
      </c>
      <c r="W861" s="23" t="str">
        <f t="shared" si="244"/>
        <v/>
      </c>
      <c r="X861" s="22" t="str">
        <f t="shared" si="245"/>
        <v/>
      </c>
      <c r="Y861" s="22"/>
      <c r="Z861" s="22"/>
      <c r="AA861" s="22"/>
      <c r="AB861" s="22" t="str" cm="1">
        <f t="array" ref="AB861">IF(IF(AND($P860="",$P861=1),($N$37*-1),0)+IF(AND($Q860="",$Q861=1),($N$38*-1),0)+IF(IF(($K861-$N$48)&lt;1,0,IF(IF(INDEX($AD$176:$AD$905,($K861-$N$48))="",0,INDEX($AD$176:$AD$905,($K861-$N$48)))&gt;0,IF(INDEX($AD$176:$AD$905,($K861-$N$48))="",0,INDEX($AD$176:$AD$905,($K861-$N$48))),0))="",0,IF(($K861-$N$48)&lt;1,0,IF(IF(INDEX($AD$176:$AD$905,($K861-$N$48))="",0,INDEX($AD$176:$AD$905,($K861-$N$48)))&gt;0,IF(INDEX($AD$176:$AD$905,($K861-$N$48))="",0,INDEX($AD$176:$AD$905,($K861-$N$48))),0)))=0,"",IF(AND($P860="",$P861=1),($N$37*-1),0)+IF(AND($Q860="",$Q861=1),($N$38*-1),0)+IF(IF(($K861-$N$48)&lt;1,0,IF(IF(INDEX($AD$176:$AD$905,($K861-$N$48))="",0,INDEX($AD$176:$AD$905,($K861-$N$48)))&gt;0,IF(INDEX($AD$176:$AD$905,($K861-$N$48))="",0,INDEX($AD$176:$AD$905,($K861-$N$48))),0))="",0,IF(($K861-$N$48)&lt;1,0,IF(IF(INDEX($AD$176:$AD$905,($K861-$N$48))="",0,INDEX($AD$176:$AD$905,($K861-$N$48)))&gt;0,IF(INDEX($AD$176:$AD$905,($K861-$N$48))="",0,INDEX($AD$176:$AD$905,($K861-$N$48))),0))))</f>
        <v/>
      </c>
      <c r="AC861" s="22" t="str">
        <f t="shared" si="246"/>
        <v/>
      </c>
      <c r="AD861" s="22" t="str">
        <f t="shared" si="258"/>
        <v/>
      </c>
      <c r="AE861" s="22" t="str" cm="1">
        <f t="array" ref="AE861">IF(($K861-$N$48)&lt;1,"",IF((IF(INDEX($AC$176:$AC$905,($K861-$N$48))="",0,INDEX($AC$176:$AC$905,($K861-$N$48))))=0,"",(IF(INDEX($AC$176:$AC$905,($K861-$N$48))="",0,INDEX($AC$176:$AC$905,($K861-$N$48))))))</f>
        <v/>
      </c>
      <c r="AF861" s="31" t="str">
        <f t="shared" si="247"/>
        <v/>
      </c>
      <c r="AG861" s="31" t="str">
        <f t="shared" si="248"/>
        <v/>
      </c>
      <c r="AH861" s="31" t="str">
        <f t="shared" si="249"/>
        <v/>
      </c>
      <c r="AI861" s="31" t="str">
        <f t="shared" si="250"/>
        <v/>
      </c>
      <c r="AJ861" s="303" t="str">
        <f t="shared" si="251"/>
        <v/>
      </c>
      <c r="AK861" s="139" t="str">
        <f t="shared" si="252"/>
        <v/>
      </c>
    </row>
    <row r="862" spans="7:37" x14ac:dyDescent="0.25">
      <c r="G862" s="235" t="str">
        <f t="shared" si="259"/>
        <v/>
      </c>
      <c r="H862" s="4" t="str">
        <f t="shared" si="260"/>
        <v/>
      </c>
      <c r="I862" s="11" t="str">
        <f t="shared" si="240"/>
        <v>09.00</v>
      </c>
      <c r="K862" s="30">
        <v>687</v>
      </c>
      <c r="L862" s="29">
        <f t="shared" si="253"/>
        <v>11371.908376190917</v>
      </c>
      <c r="M862" s="28" t="str">
        <f t="shared" si="241"/>
        <v/>
      </c>
      <c r="N862" s="27" t="str">
        <f t="shared" si="254"/>
        <v/>
      </c>
      <c r="O862" s="26" t="str">
        <f>IF(AND($Q861=$O$38,IFERROR(LARGE($V$176:$V861,1)&lt;$N$42,TRUE)),1,IF(AND(ISNUMBER($O861),$O861&lt;$N$32),$O861+1,""))</f>
        <v/>
      </c>
      <c r="P862" s="26" t="str">
        <f t="shared" si="255"/>
        <v/>
      </c>
      <c r="Q862" s="26" t="str">
        <f t="shared" si="242"/>
        <v/>
      </c>
      <c r="R862" s="24" t="str">
        <f t="shared" si="256"/>
        <v/>
      </c>
      <c r="S862" s="180">
        <f t="shared" si="257"/>
        <v>9</v>
      </c>
      <c r="T862" s="151"/>
      <c r="U862" s="25" t="str">
        <f t="shared" si="243"/>
        <v/>
      </c>
      <c r="V862" s="24" t="str">
        <f>IF(AND(ISNUMBER(R861),ISNUMBER(R862)),V861,IF(AND(R861="",ISNUMBER(R862)),IFERROR(LARGE($V$176:$V861,1)+1,0),""))</f>
        <v/>
      </c>
      <c r="W862" s="23" t="str">
        <f t="shared" si="244"/>
        <v/>
      </c>
      <c r="X862" s="22" t="str">
        <f t="shared" si="245"/>
        <v/>
      </c>
      <c r="Y862" s="22"/>
      <c r="Z862" s="22"/>
      <c r="AA862" s="22"/>
      <c r="AB862" s="22" t="str" cm="1">
        <f t="array" ref="AB862">IF(IF(AND($P861="",$P862=1),($N$37*-1),0)+IF(AND($Q861="",$Q862=1),($N$38*-1),0)+IF(IF(($K862-$N$48)&lt;1,0,IF(IF(INDEX($AD$176:$AD$905,($K862-$N$48))="",0,INDEX($AD$176:$AD$905,($K862-$N$48)))&gt;0,IF(INDEX($AD$176:$AD$905,($K862-$N$48))="",0,INDEX($AD$176:$AD$905,($K862-$N$48))),0))="",0,IF(($K862-$N$48)&lt;1,0,IF(IF(INDEX($AD$176:$AD$905,($K862-$N$48))="",0,INDEX($AD$176:$AD$905,($K862-$N$48)))&gt;0,IF(INDEX($AD$176:$AD$905,($K862-$N$48))="",0,INDEX($AD$176:$AD$905,($K862-$N$48))),0)))=0,"",IF(AND($P861="",$P862=1),($N$37*-1),0)+IF(AND($Q861="",$Q862=1),($N$38*-1),0)+IF(IF(($K862-$N$48)&lt;1,0,IF(IF(INDEX($AD$176:$AD$905,($K862-$N$48))="",0,INDEX($AD$176:$AD$905,($K862-$N$48)))&gt;0,IF(INDEX($AD$176:$AD$905,($K862-$N$48))="",0,INDEX($AD$176:$AD$905,($K862-$N$48))),0))="",0,IF(($K862-$N$48)&lt;1,0,IF(IF(INDEX($AD$176:$AD$905,($K862-$N$48))="",0,INDEX($AD$176:$AD$905,($K862-$N$48)))&gt;0,IF(INDEX($AD$176:$AD$905,($K862-$N$48))="",0,INDEX($AD$176:$AD$905,($K862-$N$48))),0))))</f>
        <v/>
      </c>
      <c r="AC862" s="22" t="str">
        <f t="shared" si="246"/>
        <v/>
      </c>
      <c r="AD862" s="22" t="str">
        <f t="shared" si="258"/>
        <v/>
      </c>
      <c r="AE862" s="22" t="str" cm="1">
        <f t="array" ref="AE862">IF(($K862-$N$48)&lt;1,"",IF((IF(INDEX($AC$176:$AC$905,($K862-$N$48))="",0,INDEX($AC$176:$AC$905,($K862-$N$48))))=0,"",(IF(INDEX($AC$176:$AC$905,($K862-$N$48))="",0,INDEX($AC$176:$AC$905,($K862-$N$48))))))</f>
        <v/>
      </c>
      <c r="AF862" s="31" t="str">
        <f t="shared" si="247"/>
        <v/>
      </c>
      <c r="AG862" s="31" t="str">
        <f t="shared" si="248"/>
        <v/>
      </c>
      <c r="AH862" s="31" t="str">
        <f t="shared" si="249"/>
        <v/>
      </c>
      <c r="AI862" s="31" t="str">
        <f t="shared" si="250"/>
        <v/>
      </c>
      <c r="AJ862" s="303" t="str">
        <f t="shared" si="251"/>
        <v/>
      </c>
      <c r="AK862" s="139" t="str">
        <f t="shared" si="252"/>
        <v/>
      </c>
    </row>
    <row r="863" spans="7:37" x14ac:dyDescent="0.25">
      <c r="G863" s="235" t="str">
        <f t="shared" si="259"/>
        <v/>
      </c>
      <c r="H863" s="4" t="str">
        <f t="shared" si="260"/>
        <v/>
      </c>
      <c r="I863" s="11" t="str">
        <f t="shared" si="240"/>
        <v>09.00</v>
      </c>
      <c r="K863" s="30">
        <v>688</v>
      </c>
      <c r="L863" s="29">
        <f t="shared" si="253"/>
        <v>11371.908376190917</v>
      </c>
      <c r="M863" s="28" t="str">
        <f t="shared" si="241"/>
        <v/>
      </c>
      <c r="N863" s="27" t="str">
        <f t="shared" si="254"/>
        <v/>
      </c>
      <c r="O863" s="26" t="str">
        <f>IF(AND($Q862=$O$38,IFERROR(LARGE($V$176:$V862,1)&lt;$N$42,TRUE)),1,IF(AND(ISNUMBER($O862),$O862&lt;$N$32),$O862+1,""))</f>
        <v/>
      </c>
      <c r="P863" s="26" t="str">
        <f t="shared" si="255"/>
        <v/>
      </c>
      <c r="Q863" s="26" t="str">
        <f t="shared" si="242"/>
        <v/>
      </c>
      <c r="R863" s="24" t="str">
        <f t="shared" si="256"/>
        <v/>
      </c>
      <c r="S863" s="180">
        <f t="shared" si="257"/>
        <v>9</v>
      </c>
      <c r="T863" s="151"/>
      <c r="U863" s="25" t="str">
        <f t="shared" si="243"/>
        <v/>
      </c>
      <c r="V863" s="24" t="str">
        <f>IF(AND(ISNUMBER(R862),ISNUMBER(R863)),V862,IF(AND(R862="",ISNUMBER(R863)),IFERROR(LARGE($V$176:$V862,1)+1,0),""))</f>
        <v/>
      </c>
      <c r="W863" s="23" t="str">
        <f t="shared" si="244"/>
        <v/>
      </c>
      <c r="X863" s="22" t="str">
        <f t="shared" si="245"/>
        <v/>
      </c>
      <c r="Y863" s="22"/>
      <c r="Z863" s="22"/>
      <c r="AA863" s="22"/>
      <c r="AB863" s="22" t="str" cm="1">
        <f t="array" ref="AB863">IF(IF(AND($P862="",$P863=1),($N$37*-1),0)+IF(AND($Q862="",$Q863=1),($N$38*-1),0)+IF(IF(($K863-$N$48)&lt;1,0,IF(IF(INDEX($AD$176:$AD$905,($K863-$N$48))="",0,INDEX($AD$176:$AD$905,($K863-$N$48)))&gt;0,IF(INDEX($AD$176:$AD$905,($K863-$N$48))="",0,INDEX($AD$176:$AD$905,($K863-$N$48))),0))="",0,IF(($K863-$N$48)&lt;1,0,IF(IF(INDEX($AD$176:$AD$905,($K863-$N$48))="",0,INDEX($AD$176:$AD$905,($K863-$N$48)))&gt;0,IF(INDEX($AD$176:$AD$905,($K863-$N$48))="",0,INDEX($AD$176:$AD$905,($K863-$N$48))),0)))=0,"",IF(AND($P862="",$P863=1),($N$37*-1),0)+IF(AND($Q862="",$Q863=1),($N$38*-1),0)+IF(IF(($K863-$N$48)&lt;1,0,IF(IF(INDEX($AD$176:$AD$905,($K863-$N$48))="",0,INDEX($AD$176:$AD$905,($K863-$N$48)))&gt;0,IF(INDEX($AD$176:$AD$905,($K863-$N$48))="",0,INDEX($AD$176:$AD$905,($K863-$N$48))),0))="",0,IF(($K863-$N$48)&lt;1,0,IF(IF(INDEX($AD$176:$AD$905,($K863-$N$48))="",0,INDEX($AD$176:$AD$905,($K863-$N$48)))&gt;0,IF(INDEX($AD$176:$AD$905,($K863-$N$48))="",0,INDEX($AD$176:$AD$905,($K863-$N$48))),0))))</f>
        <v/>
      </c>
      <c r="AC863" s="22" t="str">
        <f t="shared" si="246"/>
        <v/>
      </c>
      <c r="AD863" s="22" t="str">
        <f t="shared" si="258"/>
        <v/>
      </c>
      <c r="AE863" s="22" t="str" cm="1">
        <f t="array" ref="AE863">IF(($K863-$N$48)&lt;1,"",IF((IF(INDEX($AC$176:$AC$905,($K863-$N$48))="",0,INDEX($AC$176:$AC$905,($K863-$N$48))))=0,"",(IF(INDEX($AC$176:$AC$905,($K863-$N$48))="",0,INDEX($AC$176:$AC$905,($K863-$N$48))))))</f>
        <v/>
      </c>
      <c r="AF863" s="31" t="str">
        <f t="shared" si="247"/>
        <v/>
      </c>
      <c r="AG863" s="31" t="str">
        <f t="shared" si="248"/>
        <v/>
      </c>
      <c r="AH863" s="31" t="str">
        <f t="shared" si="249"/>
        <v/>
      </c>
      <c r="AI863" s="31" t="str">
        <f t="shared" si="250"/>
        <v/>
      </c>
      <c r="AJ863" s="303" t="str">
        <f t="shared" si="251"/>
        <v/>
      </c>
      <c r="AK863" s="139" t="str">
        <f t="shared" si="252"/>
        <v/>
      </c>
    </row>
    <row r="864" spans="7:37" x14ac:dyDescent="0.25">
      <c r="G864" s="235" t="str">
        <f t="shared" si="259"/>
        <v/>
      </c>
      <c r="H864" s="4" t="str">
        <f t="shared" si="260"/>
        <v/>
      </c>
      <c r="I864" s="11" t="str">
        <f t="shared" si="240"/>
        <v>09.00</v>
      </c>
      <c r="K864" s="30">
        <v>689</v>
      </c>
      <c r="L864" s="29">
        <f t="shared" si="253"/>
        <v>11371.908376190917</v>
      </c>
      <c r="M864" s="28" t="str">
        <f t="shared" si="241"/>
        <v/>
      </c>
      <c r="N864" s="27" t="str">
        <f t="shared" si="254"/>
        <v/>
      </c>
      <c r="O864" s="26" t="str">
        <f>IF(AND($Q863=$O$38,IFERROR(LARGE($V$176:$V863,1)&lt;$N$42,TRUE)),1,IF(AND(ISNUMBER($O863),$O863&lt;$N$32),$O863+1,""))</f>
        <v/>
      </c>
      <c r="P864" s="26" t="str">
        <f t="shared" si="255"/>
        <v/>
      </c>
      <c r="Q864" s="26" t="str">
        <f t="shared" si="242"/>
        <v/>
      </c>
      <c r="R864" s="24" t="str">
        <f t="shared" si="256"/>
        <v/>
      </c>
      <c r="S864" s="180">
        <f t="shared" si="257"/>
        <v>9</v>
      </c>
      <c r="T864" s="151"/>
      <c r="U864" s="25" t="str">
        <f t="shared" si="243"/>
        <v/>
      </c>
      <c r="V864" s="24" t="str">
        <f>IF(AND(ISNUMBER(R863),ISNUMBER(R864)),V863,IF(AND(R863="",ISNUMBER(R864)),IFERROR(LARGE($V$176:$V863,1)+1,0),""))</f>
        <v/>
      </c>
      <c r="W864" s="23" t="str">
        <f t="shared" si="244"/>
        <v/>
      </c>
      <c r="X864" s="22" t="str">
        <f t="shared" si="245"/>
        <v/>
      </c>
      <c r="Y864" s="22"/>
      <c r="Z864" s="22"/>
      <c r="AA864" s="22"/>
      <c r="AB864" s="22" t="str" cm="1">
        <f t="array" ref="AB864">IF(IF(AND($P863="",$P864=1),($N$37*-1),0)+IF(AND($Q863="",$Q864=1),($N$38*-1),0)+IF(IF(($K864-$N$48)&lt;1,0,IF(IF(INDEX($AD$176:$AD$905,($K864-$N$48))="",0,INDEX($AD$176:$AD$905,($K864-$N$48)))&gt;0,IF(INDEX($AD$176:$AD$905,($K864-$N$48))="",0,INDEX($AD$176:$AD$905,($K864-$N$48))),0))="",0,IF(($K864-$N$48)&lt;1,0,IF(IF(INDEX($AD$176:$AD$905,($K864-$N$48))="",0,INDEX($AD$176:$AD$905,($K864-$N$48)))&gt;0,IF(INDEX($AD$176:$AD$905,($K864-$N$48))="",0,INDEX($AD$176:$AD$905,($K864-$N$48))),0)))=0,"",IF(AND($P863="",$P864=1),($N$37*-1),0)+IF(AND($Q863="",$Q864=1),($N$38*-1),0)+IF(IF(($K864-$N$48)&lt;1,0,IF(IF(INDEX($AD$176:$AD$905,($K864-$N$48))="",0,INDEX($AD$176:$AD$905,($K864-$N$48)))&gt;0,IF(INDEX($AD$176:$AD$905,($K864-$N$48))="",0,INDEX($AD$176:$AD$905,($K864-$N$48))),0))="",0,IF(($K864-$N$48)&lt;1,0,IF(IF(INDEX($AD$176:$AD$905,($K864-$N$48))="",0,INDEX($AD$176:$AD$905,($K864-$N$48)))&gt;0,IF(INDEX($AD$176:$AD$905,($K864-$N$48))="",0,INDEX($AD$176:$AD$905,($K864-$N$48))),0))))</f>
        <v/>
      </c>
      <c r="AC864" s="22" t="str">
        <f t="shared" si="246"/>
        <v/>
      </c>
      <c r="AD864" s="22" t="str">
        <f t="shared" si="258"/>
        <v/>
      </c>
      <c r="AE864" s="22" t="str" cm="1">
        <f t="array" ref="AE864">IF(($K864-$N$48)&lt;1,"",IF((IF(INDEX($AC$176:$AC$905,($K864-$N$48))="",0,INDEX($AC$176:$AC$905,($K864-$N$48))))=0,"",(IF(INDEX($AC$176:$AC$905,($K864-$N$48))="",0,INDEX($AC$176:$AC$905,($K864-$N$48))))))</f>
        <v/>
      </c>
      <c r="AF864" s="31" t="str">
        <f t="shared" si="247"/>
        <v/>
      </c>
      <c r="AG864" s="31" t="str">
        <f t="shared" si="248"/>
        <v/>
      </c>
      <c r="AH864" s="31" t="str">
        <f t="shared" si="249"/>
        <v/>
      </c>
      <c r="AI864" s="31" t="str">
        <f t="shared" si="250"/>
        <v/>
      </c>
      <c r="AJ864" s="303" t="str">
        <f t="shared" si="251"/>
        <v/>
      </c>
      <c r="AK864" s="139" t="str">
        <f t="shared" si="252"/>
        <v/>
      </c>
    </row>
    <row r="865" spans="7:37" x14ac:dyDescent="0.25">
      <c r="G865" s="235" t="str">
        <f t="shared" si="259"/>
        <v/>
      </c>
      <c r="H865" s="4" t="str">
        <f t="shared" si="260"/>
        <v/>
      </c>
      <c r="I865" s="11" t="str">
        <f t="shared" si="240"/>
        <v>09.00</v>
      </c>
      <c r="K865" s="30">
        <v>690</v>
      </c>
      <c r="L865" s="29">
        <f t="shared" si="253"/>
        <v>11371.908376190917</v>
      </c>
      <c r="M865" s="28" t="str">
        <f t="shared" si="241"/>
        <v/>
      </c>
      <c r="N865" s="27" t="str">
        <f t="shared" si="254"/>
        <v/>
      </c>
      <c r="O865" s="26" t="str">
        <f>IF(AND($Q864=$O$38,IFERROR(LARGE($V$176:$V864,1)&lt;$N$42,TRUE)),1,IF(AND(ISNUMBER($O864),$O864&lt;$N$32),$O864+1,""))</f>
        <v/>
      </c>
      <c r="P865" s="26" t="str">
        <f t="shared" si="255"/>
        <v/>
      </c>
      <c r="Q865" s="26" t="str">
        <f t="shared" si="242"/>
        <v/>
      </c>
      <c r="R865" s="24" t="str">
        <f t="shared" si="256"/>
        <v/>
      </c>
      <c r="S865" s="180">
        <f t="shared" si="257"/>
        <v>9</v>
      </c>
      <c r="T865" s="151"/>
      <c r="U865" s="25" t="str">
        <f t="shared" si="243"/>
        <v/>
      </c>
      <c r="V865" s="24" t="str">
        <f>IF(AND(ISNUMBER(R864),ISNUMBER(R865)),V864,IF(AND(R864="",ISNUMBER(R865)),IFERROR(LARGE($V$176:$V864,1)+1,0),""))</f>
        <v/>
      </c>
      <c r="W865" s="23" t="str">
        <f t="shared" si="244"/>
        <v/>
      </c>
      <c r="X865" s="22" t="str">
        <f t="shared" si="245"/>
        <v/>
      </c>
      <c r="Y865" s="22"/>
      <c r="Z865" s="22"/>
      <c r="AA865" s="22"/>
      <c r="AB865" s="22" t="str" cm="1">
        <f t="array" ref="AB865">IF(IF(AND($P864="",$P865=1),($N$37*-1),0)+IF(AND($Q864="",$Q865=1),($N$38*-1),0)+IF(IF(($K865-$N$48)&lt;1,0,IF(IF(INDEX($AD$176:$AD$905,($K865-$N$48))="",0,INDEX($AD$176:$AD$905,($K865-$N$48)))&gt;0,IF(INDEX($AD$176:$AD$905,($K865-$N$48))="",0,INDEX($AD$176:$AD$905,($K865-$N$48))),0))="",0,IF(($K865-$N$48)&lt;1,0,IF(IF(INDEX($AD$176:$AD$905,($K865-$N$48))="",0,INDEX($AD$176:$AD$905,($K865-$N$48)))&gt;0,IF(INDEX($AD$176:$AD$905,($K865-$N$48))="",0,INDEX($AD$176:$AD$905,($K865-$N$48))),0)))=0,"",IF(AND($P864="",$P865=1),($N$37*-1),0)+IF(AND($Q864="",$Q865=1),($N$38*-1),0)+IF(IF(($K865-$N$48)&lt;1,0,IF(IF(INDEX($AD$176:$AD$905,($K865-$N$48))="",0,INDEX($AD$176:$AD$905,($K865-$N$48)))&gt;0,IF(INDEX($AD$176:$AD$905,($K865-$N$48))="",0,INDEX($AD$176:$AD$905,($K865-$N$48))),0))="",0,IF(($K865-$N$48)&lt;1,0,IF(IF(INDEX($AD$176:$AD$905,($K865-$N$48))="",0,INDEX($AD$176:$AD$905,($K865-$N$48)))&gt;0,IF(INDEX($AD$176:$AD$905,($K865-$N$48))="",0,INDEX($AD$176:$AD$905,($K865-$N$48))),0))))</f>
        <v/>
      </c>
      <c r="AC865" s="22" t="str">
        <f t="shared" si="246"/>
        <v/>
      </c>
      <c r="AD865" s="22" t="str">
        <f t="shared" si="258"/>
        <v/>
      </c>
      <c r="AE865" s="22" t="str" cm="1">
        <f t="array" ref="AE865">IF(($K865-$N$48)&lt;1,"",IF((IF(INDEX($AC$176:$AC$905,($K865-$N$48))="",0,INDEX($AC$176:$AC$905,($K865-$N$48))))=0,"",(IF(INDEX($AC$176:$AC$905,($K865-$N$48))="",0,INDEX($AC$176:$AC$905,($K865-$N$48))))))</f>
        <v/>
      </c>
      <c r="AF865" s="31" t="str">
        <f t="shared" si="247"/>
        <v/>
      </c>
      <c r="AG865" s="31" t="str">
        <f t="shared" si="248"/>
        <v/>
      </c>
      <c r="AH865" s="31" t="str">
        <f t="shared" si="249"/>
        <v/>
      </c>
      <c r="AI865" s="31" t="str">
        <f t="shared" si="250"/>
        <v/>
      </c>
      <c r="AJ865" s="303" t="str">
        <f t="shared" si="251"/>
        <v/>
      </c>
      <c r="AK865" s="139" t="str">
        <f t="shared" si="252"/>
        <v/>
      </c>
    </row>
    <row r="866" spans="7:37" x14ac:dyDescent="0.25">
      <c r="G866" s="235" t="str">
        <f t="shared" si="259"/>
        <v/>
      </c>
      <c r="H866" s="4" t="str">
        <f t="shared" si="260"/>
        <v/>
      </c>
      <c r="I866" s="11" t="str">
        <f t="shared" si="240"/>
        <v>09.00</v>
      </c>
      <c r="K866" s="30">
        <v>691</v>
      </c>
      <c r="L866" s="29">
        <f t="shared" si="253"/>
        <v>11371.908376190917</v>
      </c>
      <c r="M866" s="28" t="str">
        <f t="shared" si="241"/>
        <v/>
      </c>
      <c r="N866" s="27" t="str">
        <f t="shared" si="254"/>
        <v/>
      </c>
      <c r="O866" s="26" t="str">
        <f>IF(AND($Q865=$O$38,IFERROR(LARGE($V$176:$V865,1)&lt;$N$42,TRUE)),1,IF(AND(ISNUMBER($O865),$O865&lt;$N$32),$O865+1,""))</f>
        <v/>
      </c>
      <c r="P866" s="26" t="str">
        <f t="shared" si="255"/>
        <v/>
      </c>
      <c r="Q866" s="26" t="str">
        <f t="shared" si="242"/>
        <v/>
      </c>
      <c r="R866" s="24" t="str">
        <f t="shared" si="256"/>
        <v/>
      </c>
      <c r="S866" s="180">
        <f t="shared" si="257"/>
        <v>9</v>
      </c>
      <c r="T866" s="151"/>
      <c r="U866" s="25" t="str">
        <f t="shared" si="243"/>
        <v/>
      </c>
      <c r="V866" s="24" t="str">
        <f>IF(AND(ISNUMBER(R865),ISNUMBER(R866)),V865,IF(AND(R865="",ISNUMBER(R866)),IFERROR(LARGE($V$176:$V865,1)+1,0),""))</f>
        <v/>
      </c>
      <c r="W866" s="23" t="str">
        <f t="shared" si="244"/>
        <v/>
      </c>
      <c r="X866" s="22" t="str">
        <f t="shared" si="245"/>
        <v/>
      </c>
      <c r="Y866" s="22"/>
      <c r="Z866" s="22"/>
      <c r="AA866" s="22"/>
      <c r="AB866" s="22" t="str" cm="1">
        <f t="array" ref="AB866">IF(IF(AND($P865="",$P866=1),($N$37*-1),0)+IF(AND($Q865="",$Q866=1),($N$38*-1),0)+IF(IF(($K866-$N$48)&lt;1,0,IF(IF(INDEX($AD$176:$AD$905,($K866-$N$48))="",0,INDEX($AD$176:$AD$905,($K866-$N$48)))&gt;0,IF(INDEX($AD$176:$AD$905,($K866-$N$48))="",0,INDEX($AD$176:$AD$905,($K866-$N$48))),0))="",0,IF(($K866-$N$48)&lt;1,0,IF(IF(INDEX($AD$176:$AD$905,($K866-$N$48))="",0,INDEX($AD$176:$AD$905,($K866-$N$48)))&gt;0,IF(INDEX($AD$176:$AD$905,($K866-$N$48))="",0,INDEX($AD$176:$AD$905,($K866-$N$48))),0)))=0,"",IF(AND($P865="",$P866=1),($N$37*-1),0)+IF(AND($Q865="",$Q866=1),($N$38*-1),0)+IF(IF(($K866-$N$48)&lt;1,0,IF(IF(INDEX($AD$176:$AD$905,($K866-$N$48))="",0,INDEX($AD$176:$AD$905,($K866-$N$48)))&gt;0,IF(INDEX($AD$176:$AD$905,($K866-$N$48))="",0,INDEX($AD$176:$AD$905,($K866-$N$48))),0))="",0,IF(($K866-$N$48)&lt;1,0,IF(IF(INDEX($AD$176:$AD$905,($K866-$N$48))="",0,INDEX($AD$176:$AD$905,($K866-$N$48)))&gt;0,IF(INDEX($AD$176:$AD$905,($K866-$N$48))="",0,INDEX($AD$176:$AD$905,($K866-$N$48))),0))))</f>
        <v/>
      </c>
      <c r="AC866" s="22" t="str">
        <f t="shared" si="246"/>
        <v/>
      </c>
      <c r="AD866" s="22" t="str">
        <f t="shared" si="258"/>
        <v/>
      </c>
      <c r="AE866" s="22" t="str" cm="1">
        <f t="array" ref="AE866">IF(($K866-$N$48)&lt;1,"",IF((IF(INDEX($AC$176:$AC$905,($K866-$N$48))="",0,INDEX($AC$176:$AC$905,($K866-$N$48))))=0,"",(IF(INDEX($AC$176:$AC$905,($K866-$N$48))="",0,INDEX($AC$176:$AC$905,($K866-$N$48))))))</f>
        <v/>
      </c>
      <c r="AF866" s="31" t="str">
        <f t="shared" si="247"/>
        <v/>
      </c>
      <c r="AG866" s="31" t="str">
        <f t="shared" si="248"/>
        <v/>
      </c>
      <c r="AH866" s="31" t="str">
        <f t="shared" si="249"/>
        <v/>
      </c>
      <c r="AI866" s="31" t="str">
        <f t="shared" si="250"/>
        <v/>
      </c>
      <c r="AJ866" s="303" t="str">
        <f t="shared" si="251"/>
        <v/>
      </c>
      <c r="AK866" s="139" t="str">
        <f t="shared" si="252"/>
        <v/>
      </c>
    </row>
    <row r="867" spans="7:37" x14ac:dyDescent="0.25">
      <c r="G867" s="235" t="str">
        <f t="shared" si="259"/>
        <v/>
      </c>
      <c r="H867" s="4" t="str">
        <f t="shared" si="260"/>
        <v/>
      </c>
      <c r="I867" s="11" t="str">
        <f t="shared" si="240"/>
        <v>09.00</v>
      </c>
      <c r="K867" s="30">
        <v>692</v>
      </c>
      <c r="L867" s="29">
        <f t="shared" si="253"/>
        <v>11371.908376190917</v>
      </c>
      <c r="M867" s="28" t="str">
        <f t="shared" si="241"/>
        <v/>
      </c>
      <c r="N867" s="27" t="str">
        <f t="shared" si="254"/>
        <v/>
      </c>
      <c r="O867" s="26" t="str">
        <f>IF(AND($Q866=$O$38,IFERROR(LARGE($V$176:$V866,1)&lt;$N$42,TRUE)),1,IF(AND(ISNUMBER($O866),$O866&lt;$N$32),$O866+1,""))</f>
        <v/>
      </c>
      <c r="P867" s="26" t="str">
        <f t="shared" si="255"/>
        <v/>
      </c>
      <c r="Q867" s="26" t="str">
        <f t="shared" si="242"/>
        <v/>
      </c>
      <c r="R867" s="24" t="str">
        <f t="shared" si="256"/>
        <v/>
      </c>
      <c r="S867" s="180">
        <f t="shared" si="257"/>
        <v>9</v>
      </c>
      <c r="T867" s="151"/>
      <c r="U867" s="25" t="str">
        <f t="shared" si="243"/>
        <v/>
      </c>
      <c r="V867" s="24" t="str">
        <f>IF(AND(ISNUMBER(R866),ISNUMBER(R867)),V866,IF(AND(R866="",ISNUMBER(R867)),IFERROR(LARGE($V$176:$V866,1)+1,0),""))</f>
        <v/>
      </c>
      <c r="W867" s="23" t="str">
        <f t="shared" si="244"/>
        <v/>
      </c>
      <c r="X867" s="22" t="str">
        <f t="shared" si="245"/>
        <v/>
      </c>
      <c r="Y867" s="22"/>
      <c r="Z867" s="22"/>
      <c r="AA867" s="22"/>
      <c r="AB867" s="22" t="str" cm="1">
        <f t="array" ref="AB867">IF(IF(AND($P866="",$P867=1),($N$37*-1),0)+IF(AND($Q866="",$Q867=1),($N$38*-1),0)+IF(IF(($K867-$N$48)&lt;1,0,IF(IF(INDEX($AD$176:$AD$905,($K867-$N$48))="",0,INDEX($AD$176:$AD$905,($K867-$N$48)))&gt;0,IF(INDEX($AD$176:$AD$905,($K867-$N$48))="",0,INDEX($AD$176:$AD$905,($K867-$N$48))),0))="",0,IF(($K867-$N$48)&lt;1,0,IF(IF(INDEX($AD$176:$AD$905,($K867-$N$48))="",0,INDEX($AD$176:$AD$905,($K867-$N$48)))&gt;0,IF(INDEX($AD$176:$AD$905,($K867-$N$48))="",0,INDEX($AD$176:$AD$905,($K867-$N$48))),0)))=0,"",IF(AND($P866="",$P867=1),($N$37*-1),0)+IF(AND($Q866="",$Q867=1),($N$38*-1),0)+IF(IF(($K867-$N$48)&lt;1,0,IF(IF(INDEX($AD$176:$AD$905,($K867-$N$48))="",0,INDEX($AD$176:$AD$905,($K867-$N$48)))&gt;0,IF(INDEX($AD$176:$AD$905,($K867-$N$48))="",0,INDEX($AD$176:$AD$905,($K867-$N$48))),0))="",0,IF(($K867-$N$48)&lt;1,0,IF(IF(INDEX($AD$176:$AD$905,($K867-$N$48))="",0,INDEX($AD$176:$AD$905,($K867-$N$48)))&gt;0,IF(INDEX($AD$176:$AD$905,($K867-$N$48))="",0,INDEX($AD$176:$AD$905,($K867-$N$48))),0))))</f>
        <v/>
      </c>
      <c r="AC867" s="22" t="str">
        <f t="shared" si="246"/>
        <v/>
      </c>
      <c r="AD867" s="22" t="str">
        <f t="shared" si="258"/>
        <v/>
      </c>
      <c r="AE867" s="22" t="str" cm="1">
        <f t="array" ref="AE867">IF(($K867-$N$48)&lt;1,"",IF((IF(INDEX($AC$176:$AC$905,($K867-$N$48))="",0,INDEX($AC$176:$AC$905,($K867-$N$48))))=0,"",(IF(INDEX($AC$176:$AC$905,($K867-$N$48))="",0,INDEX($AC$176:$AC$905,($K867-$N$48))))))</f>
        <v/>
      </c>
      <c r="AF867" s="31" t="str">
        <f t="shared" si="247"/>
        <v/>
      </c>
      <c r="AG867" s="31" t="str">
        <f t="shared" si="248"/>
        <v/>
      </c>
      <c r="AH867" s="31" t="str">
        <f t="shared" si="249"/>
        <v/>
      </c>
      <c r="AI867" s="31" t="str">
        <f t="shared" si="250"/>
        <v/>
      </c>
      <c r="AJ867" s="303" t="str">
        <f t="shared" si="251"/>
        <v/>
      </c>
      <c r="AK867" s="139" t="str">
        <f t="shared" si="252"/>
        <v/>
      </c>
    </row>
    <row r="868" spans="7:37" x14ac:dyDescent="0.25">
      <c r="G868" s="235" t="str">
        <f t="shared" si="259"/>
        <v/>
      </c>
      <c r="H868" s="4" t="str">
        <f t="shared" si="260"/>
        <v/>
      </c>
      <c r="I868" s="11" t="str">
        <f t="shared" si="240"/>
        <v>09.00</v>
      </c>
      <c r="K868" s="30">
        <v>693</v>
      </c>
      <c r="L868" s="29">
        <f t="shared" si="253"/>
        <v>11371.908376190917</v>
      </c>
      <c r="M868" s="28" t="str">
        <f t="shared" si="241"/>
        <v/>
      </c>
      <c r="N868" s="27" t="str">
        <f t="shared" si="254"/>
        <v/>
      </c>
      <c r="O868" s="26" t="str">
        <f>IF(AND($Q867=$O$38,IFERROR(LARGE($V$176:$V867,1)&lt;$N$42,TRUE)),1,IF(AND(ISNUMBER($O867),$O867&lt;$N$32),$O867+1,""))</f>
        <v/>
      </c>
      <c r="P868" s="26" t="str">
        <f t="shared" si="255"/>
        <v/>
      </c>
      <c r="Q868" s="26" t="str">
        <f t="shared" si="242"/>
        <v/>
      </c>
      <c r="R868" s="24" t="str">
        <f t="shared" si="256"/>
        <v/>
      </c>
      <c r="S868" s="180">
        <f t="shared" si="257"/>
        <v>9</v>
      </c>
      <c r="T868" s="151"/>
      <c r="U868" s="25" t="str">
        <f t="shared" si="243"/>
        <v/>
      </c>
      <c r="V868" s="24" t="str">
        <f>IF(AND(ISNUMBER(R867),ISNUMBER(R868)),V867,IF(AND(R867="",ISNUMBER(R868)),IFERROR(LARGE($V$176:$V867,1)+1,0),""))</f>
        <v/>
      </c>
      <c r="W868" s="23" t="str">
        <f t="shared" si="244"/>
        <v/>
      </c>
      <c r="X868" s="22" t="str">
        <f t="shared" si="245"/>
        <v/>
      </c>
      <c r="Y868" s="22"/>
      <c r="Z868" s="22"/>
      <c r="AA868" s="22"/>
      <c r="AB868" s="22" t="str" cm="1">
        <f t="array" ref="AB868">IF(IF(AND($P867="",$P868=1),($N$37*-1),0)+IF(AND($Q867="",$Q868=1),($N$38*-1),0)+IF(IF(($K868-$N$48)&lt;1,0,IF(IF(INDEX($AD$176:$AD$905,($K868-$N$48))="",0,INDEX($AD$176:$AD$905,($K868-$N$48)))&gt;0,IF(INDEX($AD$176:$AD$905,($K868-$N$48))="",0,INDEX($AD$176:$AD$905,($K868-$N$48))),0))="",0,IF(($K868-$N$48)&lt;1,0,IF(IF(INDEX($AD$176:$AD$905,($K868-$N$48))="",0,INDEX($AD$176:$AD$905,($K868-$N$48)))&gt;0,IF(INDEX($AD$176:$AD$905,($K868-$N$48))="",0,INDEX($AD$176:$AD$905,($K868-$N$48))),0)))=0,"",IF(AND($P867="",$P868=1),($N$37*-1),0)+IF(AND($Q867="",$Q868=1),($N$38*-1),0)+IF(IF(($K868-$N$48)&lt;1,0,IF(IF(INDEX($AD$176:$AD$905,($K868-$N$48))="",0,INDEX($AD$176:$AD$905,($K868-$N$48)))&gt;0,IF(INDEX($AD$176:$AD$905,($K868-$N$48))="",0,INDEX($AD$176:$AD$905,($K868-$N$48))),0))="",0,IF(($K868-$N$48)&lt;1,0,IF(IF(INDEX($AD$176:$AD$905,($K868-$N$48))="",0,INDEX($AD$176:$AD$905,($K868-$N$48)))&gt;0,IF(INDEX($AD$176:$AD$905,($K868-$N$48))="",0,INDEX($AD$176:$AD$905,($K868-$N$48))),0))))</f>
        <v/>
      </c>
      <c r="AC868" s="22" t="str">
        <f t="shared" si="246"/>
        <v/>
      </c>
      <c r="AD868" s="22" t="str">
        <f t="shared" si="258"/>
        <v/>
      </c>
      <c r="AE868" s="22" t="str" cm="1">
        <f t="array" ref="AE868">IF(($K868-$N$48)&lt;1,"",IF((IF(INDEX($AC$176:$AC$905,($K868-$N$48))="",0,INDEX($AC$176:$AC$905,($K868-$N$48))))=0,"",(IF(INDEX($AC$176:$AC$905,($K868-$N$48))="",0,INDEX($AC$176:$AC$905,($K868-$N$48))))))</f>
        <v/>
      </c>
      <c r="AF868" s="31" t="str">
        <f t="shared" si="247"/>
        <v/>
      </c>
      <c r="AG868" s="31" t="str">
        <f t="shared" si="248"/>
        <v/>
      </c>
      <c r="AH868" s="31" t="str">
        <f t="shared" si="249"/>
        <v/>
      </c>
      <c r="AI868" s="31" t="str">
        <f t="shared" si="250"/>
        <v/>
      </c>
      <c r="AJ868" s="303" t="str">
        <f t="shared" si="251"/>
        <v/>
      </c>
      <c r="AK868" s="139" t="str">
        <f t="shared" si="252"/>
        <v/>
      </c>
    </row>
    <row r="869" spans="7:37" x14ac:dyDescent="0.25">
      <c r="G869" s="235" t="str">
        <f t="shared" si="259"/>
        <v/>
      </c>
      <c r="H869" s="4" t="str">
        <f t="shared" si="260"/>
        <v/>
      </c>
      <c r="I869" s="11" t="str">
        <f t="shared" si="240"/>
        <v>09.00</v>
      </c>
      <c r="K869" s="30">
        <v>694</v>
      </c>
      <c r="L869" s="29">
        <f t="shared" si="253"/>
        <v>11371.908376190917</v>
      </c>
      <c r="M869" s="28" t="str">
        <f t="shared" si="241"/>
        <v/>
      </c>
      <c r="N869" s="27" t="str">
        <f t="shared" si="254"/>
        <v/>
      </c>
      <c r="O869" s="26" t="str">
        <f>IF(AND($Q868=$O$38,IFERROR(LARGE($V$176:$V868,1)&lt;$N$42,TRUE)),1,IF(AND(ISNUMBER($O868),$O868&lt;$N$32),$O868+1,""))</f>
        <v/>
      </c>
      <c r="P869" s="26" t="str">
        <f t="shared" si="255"/>
        <v/>
      </c>
      <c r="Q869" s="26" t="str">
        <f t="shared" si="242"/>
        <v/>
      </c>
      <c r="R869" s="24" t="str">
        <f t="shared" si="256"/>
        <v/>
      </c>
      <c r="S869" s="180">
        <f t="shared" si="257"/>
        <v>9</v>
      </c>
      <c r="T869" s="151"/>
      <c r="U869" s="25" t="str">
        <f t="shared" si="243"/>
        <v/>
      </c>
      <c r="V869" s="24" t="str">
        <f>IF(AND(ISNUMBER(R868),ISNUMBER(R869)),V868,IF(AND(R868="",ISNUMBER(R869)),IFERROR(LARGE($V$176:$V868,1)+1,0),""))</f>
        <v/>
      </c>
      <c r="W869" s="23" t="str">
        <f t="shared" si="244"/>
        <v/>
      </c>
      <c r="X869" s="22" t="str">
        <f t="shared" si="245"/>
        <v/>
      </c>
      <c r="Y869" s="22"/>
      <c r="Z869" s="22"/>
      <c r="AA869" s="22"/>
      <c r="AB869" s="22" t="str" cm="1">
        <f t="array" ref="AB869">IF(IF(AND($P868="",$P869=1),($N$37*-1),0)+IF(AND($Q868="",$Q869=1),($N$38*-1),0)+IF(IF(($K869-$N$48)&lt;1,0,IF(IF(INDEX($AD$176:$AD$905,($K869-$N$48))="",0,INDEX($AD$176:$AD$905,($K869-$N$48)))&gt;0,IF(INDEX($AD$176:$AD$905,($K869-$N$48))="",0,INDEX($AD$176:$AD$905,($K869-$N$48))),0))="",0,IF(($K869-$N$48)&lt;1,0,IF(IF(INDEX($AD$176:$AD$905,($K869-$N$48))="",0,INDEX($AD$176:$AD$905,($K869-$N$48)))&gt;0,IF(INDEX($AD$176:$AD$905,($K869-$N$48))="",0,INDEX($AD$176:$AD$905,($K869-$N$48))),0)))=0,"",IF(AND($P868="",$P869=1),($N$37*-1),0)+IF(AND($Q868="",$Q869=1),($N$38*-1),0)+IF(IF(($K869-$N$48)&lt;1,0,IF(IF(INDEX($AD$176:$AD$905,($K869-$N$48))="",0,INDEX($AD$176:$AD$905,($K869-$N$48)))&gt;0,IF(INDEX($AD$176:$AD$905,($K869-$N$48))="",0,INDEX($AD$176:$AD$905,($K869-$N$48))),0))="",0,IF(($K869-$N$48)&lt;1,0,IF(IF(INDEX($AD$176:$AD$905,($K869-$N$48))="",0,INDEX($AD$176:$AD$905,($K869-$N$48)))&gt;0,IF(INDEX($AD$176:$AD$905,($K869-$N$48))="",0,INDEX($AD$176:$AD$905,($K869-$N$48))),0))))</f>
        <v/>
      </c>
      <c r="AC869" s="22" t="str">
        <f t="shared" si="246"/>
        <v/>
      </c>
      <c r="AD869" s="22" t="str">
        <f t="shared" si="258"/>
        <v/>
      </c>
      <c r="AE869" s="22" t="str" cm="1">
        <f t="array" ref="AE869">IF(($K869-$N$48)&lt;1,"",IF((IF(INDEX($AC$176:$AC$905,($K869-$N$48))="",0,INDEX($AC$176:$AC$905,($K869-$N$48))))=0,"",(IF(INDEX($AC$176:$AC$905,($K869-$N$48))="",0,INDEX($AC$176:$AC$905,($K869-$N$48))))))</f>
        <v/>
      </c>
      <c r="AF869" s="31" t="str">
        <f t="shared" si="247"/>
        <v/>
      </c>
      <c r="AG869" s="31" t="str">
        <f t="shared" si="248"/>
        <v/>
      </c>
      <c r="AH869" s="31" t="str">
        <f t="shared" si="249"/>
        <v/>
      </c>
      <c r="AI869" s="31" t="str">
        <f t="shared" si="250"/>
        <v/>
      </c>
      <c r="AJ869" s="303" t="str">
        <f t="shared" si="251"/>
        <v/>
      </c>
      <c r="AK869" s="139" t="str">
        <f t="shared" si="252"/>
        <v/>
      </c>
    </row>
    <row r="870" spans="7:37" x14ac:dyDescent="0.25">
      <c r="G870" s="235" t="str">
        <f t="shared" si="259"/>
        <v/>
      </c>
      <c r="H870" s="4" t="str">
        <f t="shared" si="260"/>
        <v/>
      </c>
      <c r="I870" s="11" t="str">
        <f t="shared" si="240"/>
        <v>09.00</v>
      </c>
      <c r="K870" s="30">
        <v>695</v>
      </c>
      <c r="L870" s="29">
        <f t="shared" si="253"/>
        <v>11371.908376190917</v>
      </c>
      <c r="M870" s="28" t="str">
        <f t="shared" si="241"/>
        <v/>
      </c>
      <c r="N870" s="27" t="str">
        <f t="shared" si="254"/>
        <v/>
      </c>
      <c r="O870" s="26" t="str">
        <f>IF(AND($Q869=$O$38,IFERROR(LARGE($V$176:$V869,1)&lt;$N$42,TRUE)),1,IF(AND(ISNUMBER($O869),$O869&lt;$N$32),$O869+1,""))</f>
        <v/>
      </c>
      <c r="P870" s="26" t="str">
        <f t="shared" si="255"/>
        <v/>
      </c>
      <c r="Q870" s="26" t="str">
        <f t="shared" si="242"/>
        <v/>
      </c>
      <c r="R870" s="24" t="str">
        <f t="shared" si="256"/>
        <v/>
      </c>
      <c r="S870" s="180">
        <f t="shared" si="257"/>
        <v>9</v>
      </c>
      <c r="T870" s="151"/>
      <c r="U870" s="25" t="str">
        <f t="shared" si="243"/>
        <v/>
      </c>
      <c r="V870" s="24" t="str">
        <f>IF(AND(ISNUMBER(R869),ISNUMBER(R870)),V869,IF(AND(R869="",ISNUMBER(R870)),IFERROR(LARGE($V$176:$V869,1)+1,0),""))</f>
        <v/>
      </c>
      <c r="W870" s="23" t="str">
        <f t="shared" si="244"/>
        <v/>
      </c>
      <c r="X870" s="22" t="str">
        <f t="shared" si="245"/>
        <v/>
      </c>
      <c r="Y870" s="22"/>
      <c r="Z870" s="22"/>
      <c r="AA870" s="22"/>
      <c r="AB870" s="22" t="str" cm="1">
        <f t="array" ref="AB870">IF(IF(AND($P869="",$P870=1),($N$37*-1),0)+IF(AND($Q869="",$Q870=1),($N$38*-1),0)+IF(IF(($K870-$N$48)&lt;1,0,IF(IF(INDEX($AD$176:$AD$905,($K870-$N$48))="",0,INDEX($AD$176:$AD$905,($K870-$N$48)))&gt;0,IF(INDEX($AD$176:$AD$905,($K870-$N$48))="",0,INDEX($AD$176:$AD$905,($K870-$N$48))),0))="",0,IF(($K870-$N$48)&lt;1,0,IF(IF(INDEX($AD$176:$AD$905,($K870-$N$48))="",0,INDEX($AD$176:$AD$905,($K870-$N$48)))&gt;0,IF(INDEX($AD$176:$AD$905,($K870-$N$48))="",0,INDEX($AD$176:$AD$905,($K870-$N$48))),0)))=0,"",IF(AND($P869="",$P870=1),($N$37*-1),0)+IF(AND($Q869="",$Q870=1),($N$38*-1),0)+IF(IF(($K870-$N$48)&lt;1,0,IF(IF(INDEX($AD$176:$AD$905,($K870-$N$48))="",0,INDEX($AD$176:$AD$905,($K870-$N$48)))&gt;0,IF(INDEX($AD$176:$AD$905,($K870-$N$48))="",0,INDEX($AD$176:$AD$905,($K870-$N$48))),0))="",0,IF(($K870-$N$48)&lt;1,0,IF(IF(INDEX($AD$176:$AD$905,($K870-$N$48))="",0,INDEX($AD$176:$AD$905,($K870-$N$48)))&gt;0,IF(INDEX($AD$176:$AD$905,($K870-$N$48))="",0,INDEX($AD$176:$AD$905,($K870-$N$48))),0))))</f>
        <v/>
      </c>
      <c r="AC870" s="22" t="str">
        <f t="shared" si="246"/>
        <v/>
      </c>
      <c r="AD870" s="22" t="str">
        <f t="shared" si="258"/>
        <v/>
      </c>
      <c r="AE870" s="22" t="str" cm="1">
        <f t="array" ref="AE870">IF(($K870-$N$48)&lt;1,"",IF((IF(INDEX($AC$176:$AC$905,($K870-$N$48))="",0,INDEX($AC$176:$AC$905,($K870-$N$48))))=0,"",(IF(INDEX($AC$176:$AC$905,($K870-$N$48))="",0,INDEX($AC$176:$AC$905,($K870-$N$48))))))</f>
        <v/>
      </c>
      <c r="AF870" s="31" t="str">
        <f t="shared" si="247"/>
        <v/>
      </c>
      <c r="AG870" s="31" t="str">
        <f t="shared" si="248"/>
        <v/>
      </c>
      <c r="AH870" s="31" t="str">
        <f t="shared" si="249"/>
        <v/>
      </c>
      <c r="AI870" s="31" t="str">
        <f t="shared" si="250"/>
        <v/>
      </c>
      <c r="AJ870" s="303" t="str">
        <f t="shared" si="251"/>
        <v/>
      </c>
      <c r="AK870" s="139" t="str">
        <f t="shared" si="252"/>
        <v/>
      </c>
    </row>
    <row r="871" spans="7:37" x14ac:dyDescent="0.25">
      <c r="G871" s="235" t="str">
        <f t="shared" si="259"/>
        <v/>
      </c>
      <c r="H871" s="4" t="str">
        <f t="shared" si="260"/>
        <v/>
      </c>
      <c r="I871" s="11" t="str">
        <f t="shared" si="240"/>
        <v>09.00</v>
      </c>
      <c r="K871" s="30">
        <v>696</v>
      </c>
      <c r="L871" s="29">
        <f t="shared" si="253"/>
        <v>11371.908376190917</v>
      </c>
      <c r="M871" s="28" t="str">
        <f t="shared" si="241"/>
        <v/>
      </c>
      <c r="N871" s="27" t="str">
        <f t="shared" si="254"/>
        <v/>
      </c>
      <c r="O871" s="26" t="str">
        <f>IF(AND($Q870=$O$38,IFERROR(LARGE($V$176:$V870,1)&lt;$N$42,TRUE)),1,IF(AND(ISNUMBER($O870),$O870&lt;$N$32),$O870+1,""))</f>
        <v/>
      </c>
      <c r="P871" s="26" t="str">
        <f t="shared" si="255"/>
        <v/>
      </c>
      <c r="Q871" s="26" t="str">
        <f t="shared" si="242"/>
        <v/>
      </c>
      <c r="R871" s="24" t="str">
        <f t="shared" si="256"/>
        <v/>
      </c>
      <c r="S871" s="180">
        <f t="shared" si="257"/>
        <v>9</v>
      </c>
      <c r="T871" s="151"/>
      <c r="U871" s="25" t="str">
        <f t="shared" si="243"/>
        <v/>
      </c>
      <c r="V871" s="24" t="str">
        <f>IF(AND(ISNUMBER(R870),ISNUMBER(R871)),V870,IF(AND(R870="",ISNUMBER(R871)),IFERROR(LARGE($V$176:$V870,1)+1,0),""))</f>
        <v/>
      </c>
      <c r="W871" s="23" t="str">
        <f t="shared" si="244"/>
        <v/>
      </c>
      <c r="X871" s="22" t="str">
        <f t="shared" si="245"/>
        <v/>
      </c>
      <c r="Y871" s="22"/>
      <c r="Z871" s="22"/>
      <c r="AA871" s="22"/>
      <c r="AB871" s="22" t="str" cm="1">
        <f t="array" ref="AB871">IF(IF(AND($P870="",$P871=1),($N$37*-1),0)+IF(AND($Q870="",$Q871=1),($N$38*-1),0)+IF(IF(($K871-$N$48)&lt;1,0,IF(IF(INDEX($AD$176:$AD$905,($K871-$N$48))="",0,INDEX($AD$176:$AD$905,($K871-$N$48)))&gt;0,IF(INDEX($AD$176:$AD$905,($K871-$N$48))="",0,INDEX($AD$176:$AD$905,($K871-$N$48))),0))="",0,IF(($K871-$N$48)&lt;1,0,IF(IF(INDEX($AD$176:$AD$905,($K871-$N$48))="",0,INDEX($AD$176:$AD$905,($K871-$N$48)))&gt;0,IF(INDEX($AD$176:$AD$905,($K871-$N$48))="",0,INDEX($AD$176:$AD$905,($K871-$N$48))),0)))=0,"",IF(AND($P870="",$P871=1),($N$37*-1),0)+IF(AND($Q870="",$Q871=1),($N$38*-1),0)+IF(IF(($K871-$N$48)&lt;1,0,IF(IF(INDEX($AD$176:$AD$905,($K871-$N$48))="",0,INDEX($AD$176:$AD$905,($K871-$N$48)))&gt;0,IF(INDEX($AD$176:$AD$905,($K871-$N$48))="",0,INDEX($AD$176:$AD$905,($K871-$N$48))),0))="",0,IF(($K871-$N$48)&lt;1,0,IF(IF(INDEX($AD$176:$AD$905,($K871-$N$48))="",0,INDEX($AD$176:$AD$905,($K871-$N$48)))&gt;0,IF(INDEX($AD$176:$AD$905,($K871-$N$48))="",0,INDEX($AD$176:$AD$905,($K871-$N$48))),0))))</f>
        <v/>
      </c>
      <c r="AC871" s="22" t="str">
        <f t="shared" si="246"/>
        <v/>
      </c>
      <c r="AD871" s="22" t="str">
        <f t="shared" si="258"/>
        <v/>
      </c>
      <c r="AE871" s="22" t="str" cm="1">
        <f t="array" ref="AE871">IF(($K871-$N$48)&lt;1,"",IF((IF(INDEX($AC$176:$AC$905,($K871-$N$48))="",0,INDEX($AC$176:$AC$905,($K871-$N$48))))=0,"",(IF(INDEX($AC$176:$AC$905,($K871-$N$48))="",0,INDEX($AC$176:$AC$905,($K871-$N$48))))))</f>
        <v/>
      </c>
      <c r="AF871" s="31" t="str">
        <f t="shared" si="247"/>
        <v/>
      </c>
      <c r="AG871" s="31" t="str">
        <f t="shared" si="248"/>
        <v/>
      </c>
      <c r="AH871" s="31" t="str">
        <f t="shared" si="249"/>
        <v/>
      </c>
      <c r="AI871" s="31" t="str">
        <f t="shared" si="250"/>
        <v/>
      </c>
      <c r="AJ871" s="303" t="str">
        <f t="shared" si="251"/>
        <v/>
      </c>
      <c r="AK871" s="139" t="str">
        <f t="shared" si="252"/>
        <v/>
      </c>
    </row>
    <row r="872" spans="7:37" x14ac:dyDescent="0.25">
      <c r="G872" s="235" t="str">
        <f t="shared" si="259"/>
        <v/>
      </c>
      <c r="H872" s="4" t="str">
        <f t="shared" si="260"/>
        <v/>
      </c>
      <c r="I872" s="11" t="str">
        <f t="shared" si="240"/>
        <v>09.00</v>
      </c>
      <c r="K872" s="30">
        <v>697</v>
      </c>
      <c r="L872" s="29">
        <f t="shared" si="253"/>
        <v>11371.908376190917</v>
      </c>
      <c r="M872" s="28" t="str">
        <f t="shared" si="241"/>
        <v/>
      </c>
      <c r="N872" s="27" t="str">
        <f t="shared" si="254"/>
        <v/>
      </c>
      <c r="O872" s="26" t="str">
        <f>IF(AND($Q871=$O$38,IFERROR(LARGE($V$176:$V871,1)&lt;$N$42,TRUE)),1,IF(AND(ISNUMBER($O871),$O871&lt;$N$32),$O871+1,""))</f>
        <v/>
      </c>
      <c r="P872" s="26" t="str">
        <f t="shared" si="255"/>
        <v/>
      </c>
      <c r="Q872" s="26" t="str">
        <f t="shared" si="242"/>
        <v/>
      </c>
      <c r="R872" s="24" t="str">
        <f t="shared" si="256"/>
        <v/>
      </c>
      <c r="S872" s="180">
        <f t="shared" si="257"/>
        <v>9</v>
      </c>
      <c r="T872" s="151"/>
      <c r="U872" s="25" t="str">
        <f t="shared" si="243"/>
        <v/>
      </c>
      <c r="V872" s="24" t="str">
        <f>IF(AND(ISNUMBER(R871),ISNUMBER(R872)),V871,IF(AND(R871="",ISNUMBER(R872)),IFERROR(LARGE($V$176:$V871,1)+1,0),""))</f>
        <v/>
      </c>
      <c r="W872" s="23" t="str">
        <f t="shared" si="244"/>
        <v/>
      </c>
      <c r="X872" s="22" t="str">
        <f t="shared" si="245"/>
        <v/>
      </c>
      <c r="Y872" s="22"/>
      <c r="Z872" s="22"/>
      <c r="AA872" s="22"/>
      <c r="AB872" s="22" t="str" cm="1">
        <f t="array" ref="AB872">IF(IF(AND($P871="",$P872=1),($N$37*-1),0)+IF(AND($Q871="",$Q872=1),($N$38*-1),0)+IF(IF(($K872-$N$48)&lt;1,0,IF(IF(INDEX($AD$176:$AD$905,($K872-$N$48))="",0,INDEX($AD$176:$AD$905,($K872-$N$48)))&gt;0,IF(INDEX($AD$176:$AD$905,($K872-$N$48))="",0,INDEX($AD$176:$AD$905,($K872-$N$48))),0))="",0,IF(($K872-$N$48)&lt;1,0,IF(IF(INDEX($AD$176:$AD$905,($K872-$N$48))="",0,INDEX($AD$176:$AD$905,($K872-$N$48)))&gt;0,IF(INDEX($AD$176:$AD$905,($K872-$N$48))="",0,INDEX($AD$176:$AD$905,($K872-$N$48))),0)))=0,"",IF(AND($P871="",$P872=1),($N$37*-1),0)+IF(AND($Q871="",$Q872=1),($N$38*-1),0)+IF(IF(($K872-$N$48)&lt;1,0,IF(IF(INDEX($AD$176:$AD$905,($K872-$N$48))="",0,INDEX($AD$176:$AD$905,($K872-$N$48)))&gt;0,IF(INDEX($AD$176:$AD$905,($K872-$N$48))="",0,INDEX($AD$176:$AD$905,($K872-$N$48))),0))="",0,IF(($K872-$N$48)&lt;1,0,IF(IF(INDEX($AD$176:$AD$905,($K872-$N$48))="",0,INDEX($AD$176:$AD$905,($K872-$N$48)))&gt;0,IF(INDEX($AD$176:$AD$905,($K872-$N$48))="",0,INDEX($AD$176:$AD$905,($K872-$N$48))),0))))</f>
        <v/>
      </c>
      <c r="AC872" s="22" t="str">
        <f t="shared" si="246"/>
        <v/>
      </c>
      <c r="AD872" s="22" t="str">
        <f t="shared" si="258"/>
        <v/>
      </c>
      <c r="AE872" s="22" t="str" cm="1">
        <f t="array" ref="AE872">IF(($K872-$N$48)&lt;1,"",IF((IF(INDEX($AC$176:$AC$905,($K872-$N$48))="",0,INDEX($AC$176:$AC$905,($K872-$N$48))))=0,"",(IF(INDEX($AC$176:$AC$905,($K872-$N$48))="",0,INDEX($AC$176:$AC$905,($K872-$N$48))))))</f>
        <v/>
      </c>
      <c r="AF872" s="31" t="str">
        <f t="shared" si="247"/>
        <v/>
      </c>
      <c r="AG872" s="31" t="str">
        <f t="shared" si="248"/>
        <v/>
      </c>
      <c r="AH872" s="31" t="str">
        <f t="shared" si="249"/>
        <v/>
      </c>
      <c r="AI872" s="31" t="str">
        <f t="shared" si="250"/>
        <v/>
      </c>
      <c r="AJ872" s="303" t="str">
        <f t="shared" si="251"/>
        <v/>
      </c>
      <c r="AK872" s="139" t="str">
        <f t="shared" si="252"/>
        <v/>
      </c>
    </row>
    <row r="873" spans="7:37" x14ac:dyDescent="0.25">
      <c r="G873" s="235" t="str">
        <f t="shared" si="259"/>
        <v/>
      </c>
      <c r="H873" s="4" t="str">
        <f t="shared" si="260"/>
        <v/>
      </c>
      <c r="I873" s="11" t="str">
        <f t="shared" si="240"/>
        <v>09.00</v>
      </c>
      <c r="K873" s="30">
        <v>698</v>
      </c>
      <c r="L873" s="29">
        <f t="shared" si="253"/>
        <v>11371.908376190917</v>
      </c>
      <c r="M873" s="28" t="str">
        <f t="shared" si="241"/>
        <v/>
      </c>
      <c r="N873" s="27" t="str">
        <f t="shared" si="254"/>
        <v/>
      </c>
      <c r="O873" s="26" t="str">
        <f>IF(AND($Q872=$O$38,IFERROR(LARGE($V$176:$V872,1)&lt;$N$42,TRUE)),1,IF(AND(ISNUMBER($O872),$O872&lt;$N$32),$O872+1,""))</f>
        <v/>
      </c>
      <c r="P873" s="26" t="str">
        <f t="shared" si="255"/>
        <v/>
      </c>
      <c r="Q873" s="26" t="str">
        <f t="shared" si="242"/>
        <v/>
      </c>
      <c r="R873" s="24" t="str">
        <f t="shared" si="256"/>
        <v/>
      </c>
      <c r="S873" s="180">
        <f t="shared" si="257"/>
        <v>9</v>
      </c>
      <c r="T873" s="151"/>
      <c r="U873" s="25" t="str">
        <f t="shared" si="243"/>
        <v/>
      </c>
      <c r="V873" s="24" t="str">
        <f>IF(AND(ISNUMBER(R872),ISNUMBER(R873)),V872,IF(AND(R872="",ISNUMBER(R873)),IFERROR(LARGE($V$176:$V872,1)+1,0),""))</f>
        <v/>
      </c>
      <c r="W873" s="23" t="str">
        <f t="shared" si="244"/>
        <v/>
      </c>
      <c r="X873" s="22" t="str">
        <f t="shared" si="245"/>
        <v/>
      </c>
      <c r="Y873" s="22"/>
      <c r="Z873" s="22"/>
      <c r="AA873" s="22"/>
      <c r="AB873" s="22" t="str" cm="1">
        <f t="array" ref="AB873">IF(IF(AND($P872="",$P873=1),($N$37*-1),0)+IF(AND($Q872="",$Q873=1),($N$38*-1),0)+IF(IF(($K873-$N$48)&lt;1,0,IF(IF(INDEX($AD$176:$AD$905,($K873-$N$48))="",0,INDEX($AD$176:$AD$905,($K873-$N$48)))&gt;0,IF(INDEX($AD$176:$AD$905,($K873-$N$48))="",0,INDEX($AD$176:$AD$905,($K873-$N$48))),0))="",0,IF(($K873-$N$48)&lt;1,0,IF(IF(INDEX($AD$176:$AD$905,($K873-$N$48))="",0,INDEX($AD$176:$AD$905,($K873-$N$48)))&gt;0,IF(INDEX($AD$176:$AD$905,($K873-$N$48))="",0,INDEX($AD$176:$AD$905,($K873-$N$48))),0)))=0,"",IF(AND($P872="",$P873=1),($N$37*-1),0)+IF(AND($Q872="",$Q873=1),($N$38*-1),0)+IF(IF(($K873-$N$48)&lt;1,0,IF(IF(INDEX($AD$176:$AD$905,($K873-$N$48))="",0,INDEX($AD$176:$AD$905,($K873-$N$48)))&gt;0,IF(INDEX($AD$176:$AD$905,($K873-$N$48))="",0,INDEX($AD$176:$AD$905,($K873-$N$48))),0))="",0,IF(($K873-$N$48)&lt;1,0,IF(IF(INDEX($AD$176:$AD$905,($K873-$N$48))="",0,INDEX($AD$176:$AD$905,($K873-$N$48)))&gt;0,IF(INDEX($AD$176:$AD$905,($K873-$N$48))="",0,INDEX($AD$176:$AD$905,($K873-$N$48))),0))))</f>
        <v/>
      </c>
      <c r="AC873" s="22" t="str">
        <f t="shared" si="246"/>
        <v/>
      </c>
      <c r="AD873" s="22" t="str">
        <f t="shared" si="258"/>
        <v/>
      </c>
      <c r="AE873" s="22" t="str" cm="1">
        <f t="array" ref="AE873">IF(($K873-$N$48)&lt;1,"",IF((IF(INDEX($AC$176:$AC$905,($K873-$N$48))="",0,INDEX($AC$176:$AC$905,($K873-$N$48))))=0,"",(IF(INDEX($AC$176:$AC$905,($K873-$N$48))="",0,INDEX($AC$176:$AC$905,($K873-$N$48))))))</f>
        <v/>
      </c>
      <c r="AF873" s="31" t="str">
        <f t="shared" si="247"/>
        <v/>
      </c>
      <c r="AG873" s="31" t="str">
        <f t="shared" si="248"/>
        <v/>
      </c>
      <c r="AH873" s="31" t="str">
        <f t="shared" si="249"/>
        <v/>
      </c>
      <c r="AI873" s="31" t="str">
        <f t="shared" si="250"/>
        <v/>
      </c>
      <c r="AJ873" s="303" t="str">
        <f t="shared" si="251"/>
        <v/>
      </c>
      <c r="AK873" s="139" t="str">
        <f t="shared" si="252"/>
        <v/>
      </c>
    </row>
    <row r="874" spans="7:37" x14ac:dyDescent="0.25">
      <c r="G874" s="235" t="str">
        <f t="shared" si="259"/>
        <v/>
      </c>
      <c r="H874" s="4" t="str">
        <f t="shared" si="260"/>
        <v/>
      </c>
      <c r="I874" s="11" t="str">
        <f t="shared" si="240"/>
        <v>09.00</v>
      </c>
      <c r="K874" s="30">
        <v>699</v>
      </c>
      <c r="L874" s="29">
        <f t="shared" si="253"/>
        <v>11371.908376190917</v>
      </c>
      <c r="M874" s="28" t="str">
        <f t="shared" si="241"/>
        <v/>
      </c>
      <c r="N874" s="27" t="str">
        <f t="shared" si="254"/>
        <v/>
      </c>
      <c r="O874" s="26" t="str">
        <f>IF(AND($Q873=$O$38,IFERROR(LARGE($V$176:$V873,1)&lt;$N$42,TRUE)),1,IF(AND(ISNUMBER($O873),$O873&lt;$N$32),$O873+1,""))</f>
        <v/>
      </c>
      <c r="P874" s="26" t="str">
        <f t="shared" si="255"/>
        <v/>
      </c>
      <c r="Q874" s="26" t="str">
        <f t="shared" si="242"/>
        <v/>
      </c>
      <c r="R874" s="24" t="str">
        <f t="shared" si="256"/>
        <v/>
      </c>
      <c r="S874" s="180">
        <f t="shared" si="257"/>
        <v>9</v>
      </c>
      <c r="T874" s="151"/>
      <c r="U874" s="25" t="str">
        <f t="shared" si="243"/>
        <v/>
      </c>
      <c r="V874" s="24" t="str">
        <f>IF(AND(ISNUMBER(R873),ISNUMBER(R874)),V873,IF(AND(R873="",ISNUMBER(R874)),IFERROR(LARGE($V$176:$V873,1)+1,0),""))</f>
        <v/>
      </c>
      <c r="W874" s="23" t="str">
        <f t="shared" si="244"/>
        <v/>
      </c>
      <c r="X874" s="22" t="str">
        <f t="shared" si="245"/>
        <v/>
      </c>
      <c r="Y874" s="22"/>
      <c r="Z874" s="22"/>
      <c r="AA874" s="22"/>
      <c r="AB874" s="22" t="str" cm="1">
        <f t="array" ref="AB874">IF(IF(AND($P873="",$P874=1),($N$37*-1),0)+IF(AND($Q873="",$Q874=1),($N$38*-1),0)+IF(IF(($K874-$N$48)&lt;1,0,IF(IF(INDEX($AD$176:$AD$905,($K874-$N$48))="",0,INDEX($AD$176:$AD$905,($K874-$N$48)))&gt;0,IF(INDEX($AD$176:$AD$905,($K874-$N$48))="",0,INDEX($AD$176:$AD$905,($K874-$N$48))),0))="",0,IF(($K874-$N$48)&lt;1,0,IF(IF(INDEX($AD$176:$AD$905,($K874-$N$48))="",0,INDEX($AD$176:$AD$905,($K874-$N$48)))&gt;0,IF(INDEX($AD$176:$AD$905,($K874-$N$48))="",0,INDEX($AD$176:$AD$905,($K874-$N$48))),0)))=0,"",IF(AND($P873="",$P874=1),($N$37*-1),0)+IF(AND($Q873="",$Q874=1),($N$38*-1),0)+IF(IF(($K874-$N$48)&lt;1,0,IF(IF(INDEX($AD$176:$AD$905,($K874-$N$48))="",0,INDEX($AD$176:$AD$905,($K874-$N$48)))&gt;0,IF(INDEX($AD$176:$AD$905,($K874-$N$48))="",0,INDEX($AD$176:$AD$905,($K874-$N$48))),0))="",0,IF(($K874-$N$48)&lt;1,0,IF(IF(INDEX($AD$176:$AD$905,($K874-$N$48))="",0,INDEX($AD$176:$AD$905,($K874-$N$48)))&gt;0,IF(INDEX($AD$176:$AD$905,($K874-$N$48))="",0,INDEX($AD$176:$AD$905,($K874-$N$48))),0))))</f>
        <v/>
      </c>
      <c r="AC874" s="22" t="str">
        <f t="shared" si="246"/>
        <v/>
      </c>
      <c r="AD874" s="22" t="str">
        <f t="shared" si="258"/>
        <v/>
      </c>
      <c r="AE874" s="22" t="str" cm="1">
        <f t="array" ref="AE874">IF(($K874-$N$48)&lt;1,"",IF((IF(INDEX($AC$176:$AC$905,($K874-$N$48))="",0,INDEX($AC$176:$AC$905,($K874-$N$48))))=0,"",(IF(INDEX($AC$176:$AC$905,($K874-$N$48))="",0,INDEX($AC$176:$AC$905,($K874-$N$48))))))</f>
        <v/>
      </c>
      <c r="AF874" s="31" t="str">
        <f t="shared" si="247"/>
        <v/>
      </c>
      <c r="AG874" s="31" t="str">
        <f t="shared" si="248"/>
        <v/>
      </c>
      <c r="AH874" s="31" t="str">
        <f t="shared" si="249"/>
        <v/>
      </c>
      <c r="AI874" s="31" t="str">
        <f t="shared" si="250"/>
        <v/>
      </c>
      <c r="AJ874" s="303" t="str">
        <f t="shared" si="251"/>
        <v/>
      </c>
      <c r="AK874" s="139" t="str">
        <f t="shared" si="252"/>
        <v/>
      </c>
    </row>
    <row r="875" spans="7:37" x14ac:dyDescent="0.25">
      <c r="G875" s="235" t="str">
        <f t="shared" si="259"/>
        <v/>
      </c>
      <c r="H875" s="4" t="str">
        <f t="shared" si="260"/>
        <v/>
      </c>
      <c r="I875" s="11" t="str">
        <f t="shared" si="240"/>
        <v>09.00</v>
      </c>
      <c r="K875" s="30">
        <v>700</v>
      </c>
      <c r="L875" s="29">
        <f t="shared" si="253"/>
        <v>11371.908376190917</v>
      </c>
      <c r="M875" s="28" t="str">
        <f t="shared" si="241"/>
        <v/>
      </c>
      <c r="N875" s="27" t="str">
        <f t="shared" si="254"/>
        <v/>
      </c>
      <c r="O875" s="26" t="str">
        <f>IF(AND($Q874=$O$38,IFERROR(LARGE($V$176:$V874,1)&lt;$N$42,TRUE)),1,IF(AND(ISNUMBER($O874),$O874&lt;$N$32),$O874+1,""))</f>
        <v/>
      </c>
      <c r="P875" s="26" t="str">
        <f t="shared" si="255"/>
        <v/>
      </c>
      <c r="Q875" s="26" t="str">
        <f t="shared" si="242"/>
        <v/>
      </c>
      <c r="R875" s="24" t="str">
        <f t="shared" si="256"/>
        <v/>
      </c>
      <c r="S875" s="180">
        <f t="shared" si="257"/>
        <v>9</v>
      </c>
      <c r="T875" s="151"/>
      <c r="U875" s="25" t="str">
        <f t="shared" si="243"/>
        <v/>
      </c>
      <c r="V875" s="24" t="str">
        <f>IF(AND(ISNUMBER(R874),ISNUMBER(R875)),V874,IF(AND(R874="",ISNUMBER(R875)),IFERROR(LARGE($V$176:$V874,1)+1,0),""))</f>
        <v/>
      </c>
      <c r="W875" s="23" t="str">
        <f t="shared" si="244"/>
        <v/>
      </c>
      <c r="X875" s="22" t="str">
        <f t="shared" si="245"/>
        <v/>
      </c>
      <c r="Y875" s="22"/>
      <c r="Z875" s="22"/>
      <c r="AA875" s="22"/>
      <c r="AB875" s="22" t="str" cm="1">
        <f t="array" ref="AB875">IF(IF(AND($P874="",$P875=1),($N$37*-1),0)+IF(AND($Q874="",$Q875=1),($N$38*-1),0)+IF(IF(($K875-$N$48)&lt;1,0,IF(IF(INDEX($AD$176:$AD$905,($K875-$N$48))="",0,INDEX($AD$176:$AD$905,($K875-$N$48)))&gt;0,IF(INDEX($AD$176:$AD$905,($K875-$N$48))="",0,INDEX($AD$176:$AD$905,($K875-$N$48))),0))="",0,IF(($K875-$N$48)&lt;1,0,IF(IF(INDEX($AD$176:$AD$905,($K875-$N$48))="",0,INDEX($AD$176:$AD$905,($K875-$N$48)))&gt;0,IF(INDEX($AD$176:$AD$905,($K875-$N$48))="",0,INDEX($AD$176:$AD$905,($K875-$N$48))),0)))=0,"",IF(AND($P874="",$P875=1),($N$37*-1),0)+IF(AND($Q874="",$Q875=1),($N$38*-1),0)+IF(IF(($K875-$N$48)&lt;1,0,IF(IF(INDEX($AD$176:$AD$905,($K875-$N$48))="",0,INDEX($AD$176:$AD$905,($K875-$N$48)))&gt;0,IF(INDEX($AD$176:$AD$905,($K875-$N$48))="",0,INDEX($AD$176:$AD$905,($K875-$N$48))),0))="",0,IF(($K875-$N$48)&lt;1,0,IF(IF(INDEX($AD$176:$AD$905,($K875-$N$48))="",0,INDEX($AD$176:$AD$905,($K875-$N$48)))&gt;0,IF(INDEX($AD$176:$AD$905,($K875-$N$48))="",0,INDEX($AD$176:$AD$905,($K875-$N$48))),0))))</f>
        <v/>
      </c>
      <c r="AC875" s="22" t="str">
        <f t="shared" si="246"/>
        <v/>
      </c>
      <c r="AD875" s="22" t="str">
        <f t="shared" si="258"/>
        <v/>
      </c>
      <c r="AE875" s="22" t="str" cm="1">
        <f t="array" ref="AE875">IF(($K875-$N$48)&lt;1,"",IF((IF(INDEX($AC$176:$AC$905,($K875-$N$48))="",0,INDEX($AC$176:$AC$905,($K875-$N$48))))=0,"",(IF(INDEX($AC$176:$AC$905,($K875-$N$48))="",0,INDEX($AC$176:$AC$905,($K875-$N$48))))))</f>
        <v/>
      </c>
      <c r="AF875" s="31" t="str">
        <f t="shared" si="247"/>
        <v/>
      </c>
      <c r="AG875" s="31" t="str">
        <f t="shared" si="248"/>
        <v/>
      </c>
      <c r="AH875" s="31" t="str">
        <f t="shared" si="249"/>
        <v/>
      </c>
      <c r="AI875" s="31" t="str">
        <f t="shared" si="250"/>
        <v/>
      </c>
      <c r="AJ875" s="303" t="str">
        <f t="shared" si="251"/>
        <v/>
      </c>
      <c r="AK875" s="139" t="str">
        <f t="shared" si="252"/>
        <v/>
      </c>
    </row>
    <row r="876" spans="7:37" x14ac:dyDescent="0.25">
      <c r="G876" s="235" t="str">
        <f t="shared" si="259"/>
        <v/>
      </c>
      <c r="H876" s="4" t="str">
        <f t="shared" si="260"/>
        <v/>
      </c>
      <c r="I876" s="11" t="str">
        <f t="shared" si="240"/>
        <v>09.00</v>
      </c>
      <c r="K876" s="30">
        <v>701</v>
      </c>
      <c r="L876" s="29">
        <f t="shared" si="253"/>
        <v>11371.908376190917</v>
      </c>
      <c r="M876" s="28" t="str">
        <f t="shared" si="241"/>
        <v/>
      </c>
      <c r="N876" s="27" t="str">
        <f t="shared" si="254"/>
        <v/>
      </c>
      <c r="O876" s="26" t="str">
        <f>IF(AND($Q875=$O$38,IFERROR(LARGE($V$176:$V875,1)&lt;$N$42,TRUE)),1,IF(AND(ISNUMBER($O875),$O875&lt;$N$32),$O875+1,""))</f>
        <v/>
      </c>
      <c r="P876" s="26" t="str">
        <f t="shared" si="255"/>
        <v/>
      </c>
      <c r="Q876" s="26" t="str">
        <f t="shared" si="242"/>
        <v/>
      </c>
      <c r="R876" s="24" t="str">
        <f t="shared" si="256"/>
        <v/>
      </c>
      <c r="S876" s="180">
        <f t="shared" si="257"/>
        <v>9</v>
      </c>
      <c r="T876" s="151"/>
      <c r="U876" s="25" t="str">
        <f t="shared" si="243"/>
        <v/>
      </c>
      <c r="V876" s="24" t="str">
        <f>IF(AND(ISNUMBER(R875),ISNUMBER(R876)),V875,IF(AND(R875="",ISNUMBER(R876)),IFERROR(LARGE($V$176:$V875,1)+1,0),""))</f>
        <v/>
      </c>
      <c r="W876" s="23" t="str">
        <f t="shared" si="244"/>
        <v/>
      </c>
      <c r="X876" s="22" t="str">
        <f t="shared" si="245"/>
        <v/>
      </c>
      <c r="Y876" s="22"/>
      <c r="Z876" s="22"/>
      <c r="AA876" s="22"/>
      <c r="AB876" s="22" t="str" cm="1">
        <f t="array" ref="AB876">IF(IF(AND($P875="",$P876=1),($N$37*-1),0)+IF(AND($Q875="",$Q876=1),($N$38*-1),0)+IF(IF(($K876-$N$48)&lt;1,0,IF(IF(INDEX($AD$176:$AD$905,($K876-$N$48))="",0,INDEX($AD$176:$AD$905,($K876-$N$48)))&gt;0,IF(INDEX($AD$176:$AD$905,($K876-$N$48))="",0,INDEX($AD$176:$AD$905,($K876-$N$48))),0))="",0,IF(($K876-$N$48)&lt;1,0,IF(IF(INDEX($AD$176:$AD$905,($K876-$N$48))="",0,INDEX($AD$176:$AD$905,($K876-$N$48)))&gt;0,IF(INDEX($AD$176:$AD$905,($K876-$N$48))="",0,INDEX($AD$176:$AD$905,($K876-$N$48))),0)))=0,"",IF(AND($P875="",$P876=1),($N$37*-1),0)+IF(AND($Q875="",$Q876=1),($N$38*-1),0)+IF(IF(($K876-$N$48)&lt;1,0,IF(IF(INDEX($AD$176:$AD$905,($K876-$N$48))="",0,INDEX($AD$176:$AD$905,($K876-$N$48)))&gt;0,IF(INDEX($AD$176:$AD$905,($K876-$N$48))="",0,INDEX($AD$176:$AD$905,($K876-$N$48))),0))="",0,IF(($K876-$N$48)&lt;1,0,IF(IF(INDEX($AD$176:$AD$905,($K876-$N$48))="",0,INDEX($AD$176:$AD$905,($K876-$N$48)))&gt;0,IF(INDEX($AD$176:$AD$905,($K876-$N$48))="",0,INDEX($AD$176:$AD$905,($K876-$N$48))),0))))</f>
        <v/>
      </c>
      <c r="AC876" s="22" t="str">
        <f t="shared" si="246"/>
        <v/>
      </c>
      <c r="AD876" s="22" t="str">
        <f t="shared" si="258"/>
        <v/>
      </c>
      <c r="AE876" s="22" t="str" cm="1">
        <f t="array" ref="AE876">IF(($K876-$N$48)&lt;1,"",IF((IF(INDEX($AC$176:$AC$905,($K876-$N$48))="",0,INDEX($AC$176:$AC$905,($K876-$N$48))))=0,"",(IF(INDEX($AC$176:$AC$905,($K876-$N$48))="",0,INDEX($AC$176:$AC$905,($K876-$N$48))))))</f>
        <v/>
      </c>
      <c r="AF876" s="31" t="str">
        <f t="shared" si="247"/>
        <v/>
      </c>
      <c r="AG876" s="31" t="str">
        <f t="shared" si="248"/>
        <v/>
      </c>
      <c r="AH876" s="31" t="str">
        <f t="shared" si="249"/>
        <v/>
      </c>
      <c r="AI876" s="31" t="str">
        <f t="shared" si="250"/>
        <v/>
      </c>
      <c r="AJ876" s="303" t="str">
        <f t="shared" si="251"/>
        <v/>
      </c>
      <c r="AK876" s="139" t="str">
        <f t="shared" si="252"/>
        <v/>
      </c>
    </row>
    <row r="877" spans="7:37" x14ac:dyDescent="0.25">
      <c r="G877" s="235" t="str">
        <f t="shared" si="259"/>
        <v/>
      </c>
      <c r="H877" s="4" t="str">
        <f t="shared" si="260"/>
        <v/>
      </c>
      <c r="I877" s="11" t="str">
        <f t="shared" si="240"/>
        <v>09.00</v>
      </c>
      <c r="K877" s="30">
        <v>702</v>
      </c>
      <c r="L877" s="29">
        <f t="shared" si="253"/>
        <v>11371.908376190917</v>
      </c>
      <c r="M877" s="28" t="str">
        <f t="shared" si="241"/>
        <v/>
      </c>
      <c r="N877" s="27" t="str">
        <f t="shared" si="254"/>
        <v/>
      </c>
      <c r="O877" s="26" t="str">
        <f>IF(AND($Q876=$O$38,IFERROR(LARGE($V$176:$V876,1)&lt;$N$42,TRUE)),1,IF(AND(ISNUMBER($O876),$O876&lt;$N$32),$O876+1,""))</f>
        <v/>
      </c>
      <c r="P877" s="26" t="str">
        <f t="shared" si="255"/>
        <v/>
      </c>
      <c r="Q877" s="26" t="str">
        <f t="shared" si="242"/>
        <v/>
      </c>
      <c r="R877" s="24" t="str">
        <f t="shared" si="256"/>
        <v/>
      </c>
      <c r="S877" s="180">
        <f t="shared" si="257"/>
        <v>9</v>
      </c>
      <c r="T877" s="151"/>
      <c r="U877" s="25" t="str">
        <f t="shared" si="243"/>
        <v/>
      </c>
      <c r="V877" s="24" t="str">
        <f>IF(AND(ISNUMBER(R876),ISNUMBER(R877)),V876,IF(AND(R876="",ISNUMBER(R877)),IFERROR(LARGE($V$176:$V876,1)+1,0),""))</f>
        <v/>
      </c>
      <c r="W877" s="23" t="str">
        <f t="shared" si="244"/>
        <v/>
      </c>
      <c r="X877" s="22" t="str">
        <f t="shared" si="245"/>
        <v/>
      </c>
      <c r="Y877" s="22"/>
      <c r="Z877" s="22"/>
      <c r="AA877" s="22"/>
      <c r="AB877" s="22" t="str" cm="1">
        <f t="array" ref="AB877">IF(IF(AND($P876="",$P877=1),($N$37*-1),0)+IF(AND($Q876="",$Q877=1),($N$38*-1),0)+IF(IF(($K877-$N$48)&lt;1,0,IF(IF(INDEX($AD$176:$AD$905,($K877-$N$48))="",0,INDEX($AD$176:$AD$905,($K877-$N$48)))&gt;0,IF(INDEX($AD$176:$AD$905,($K877-$N$48))="",0,INDEX($AD$176:$AD$905,($K877-$N$48))),0))="",0,IF(($K877-$N$48)&lt;1,0,IF(IF(INDEX($AD$176:$AD$905,($K877-$N$48))="",0,INDEX($AD$176:$AD$905,($K877-$N$48)))&gt;0,IF(INDEX($AD$176:$AD$905,($K877-$N$48))="",0,INDEX($AD$176:$AD$905,($K877-$N$48))),0)))=0,"",IF(AND($P876="",$P877=1),($N$37*-1),0)+IF(AND($Q876="",$Q877=1),($N$38*-1),0)+IF(IF(($K877-$N$48)&lt;1,0,IF(IF(INDEX($AD$176:$AD$905,($K877-$N$48))="",0,INDEX($AD$176:$AD$905,($K877-$N$48)))&gt;0,IF(INDEX($AD$176:$AD$905,($K877-$N$48))="",0,INDEX($AD$176:$AD$905,($K877-$N$48))),0))="",0,IF(($K877-$N$48)&lt;1,0,IF(IF(INDEX($AD$176:$AD$905,($K877-$N$48))="",0,INDEX($AD$176:$AD$905,($K877-$N$48)))&gt;0,IF(INDEX($AD$176:$AD$905,($K877-$N$48))="",0,INDEX($AD$176:$AD$905,($K877-$N$48))),0))))</f>
        <v/>
      </c>
      <c r="AC877" s="22" t="str">
        <f t="shared" si="246"/>
        <v/>
      </c>
      <c r="AD877" s="22" t="str">
        <f t="shared" si="258"/>
        <v/>
      </c>
      <c r="AE877" s="22" t="str" cm="1">
        <f t="array" ref="AE877">IF(($K877-$N$48)&lt;1,"",IF((IF(INDEX($AC$176:$AC$905,($K877-$N$48))="",0,INDEX($AC$176:$AC$905,($K877-$N$48))))=0,"",(IF(INDEX($AC$176:$AC$905,($K877-$N$48))="",0,INDEX($AC$176:$AC$905,($K877-$N$48))))))</f>
        <v/>
      </c>
      <c r="AF877" s="31" t="str">
        <f t="shared" si="247"/>
        <v/>
      </c>
      <c r="AG877" s="31" t="str">
        <f t="shared" si="248"/>
        <v/>
      </c>
      <c r="AH877" s="31" t="str">
        <f t="shared" si="249"/>
        <v/>
      </c>
      <c r="AI877" s="31" t="str">
        <f t="shared" si="250"/>
        <v/>
      </c>
      <c r="AJ877" s="303" t="str">
        <f t="shared" si="251"/>
        <v/>
      </c>
      <c r="AK877" s="139" t="str">
        <f t="shared" si="252"/>
        <v/>
      </c>
    </row>
    <row r="878" spans="7:37" x14ac:dyDescent="0.25">
      <c r="G878" s="235" t="str">
        <f t="shared" si="259"/>
        <v/>
      </c>
      <c r="H878" s="4" t="str">
        <f t="shared" si="260"/>
        <v/>
      </c>
      <c r="I878" s="11" t="str">
        <f t="shared" si="240"/>
        <v>09.00</v>
      </c>
      <c r="K878" s="30">
        <v>703</v>
      </c>
      <c r="L878" s="29">
        <f t="shared" si="253"/>
        <v>11371.908376190917</v>
      </c>
      <c r="M878" s="28" t="str">
        <f t="shared" si="241"/>
        <v/>
      </c>
      <c r="N878" s="27" t="str">
        <f t="shared" si="254"/>
        <v/>
      </c>
      <c r="O878" s="26" t="str">
        <f>IF(AND($Q877=$O$38,IFERROR(LARGE($V$176:$V877,1)&lt;$N$42,TRUE)),1,IF(AND(ISNUMBER($O877),$O877&lt;$N$32),$O877+1,""))</f>
        <v/>
      </c>
      <c r="P878" s="26" t="str">
        <f t="shared" si="255"/>
        <v/>
      </c>
      <c r="Q878" s="26" t="str">
        <f t="shared" si="242"/>
        <v/>
      </c>
      <c r="R878" s="24" t="str">
        <f t="shared" si="256"/>
        <v/>
      </c>
      <c r="S878" s="180">
        <f t="shared" si="257"/>
        <v>9</v>
      </c>
      <c r="T878" s="151"/>
      <c r="U878" s="25" t="str">
        <f t="shared" si="243"/>
        <v/>
      </c>
      <c r="V878" s="24" t="str">
        <f>IF(AND(ISNUMBER(R877),ISNUMBER(R878)),V877,IF(AND(R877="",ISNUMBER(R878)),IFERROR(LARGE($V$176:$V877,1)+1,0),""))</f>
        <v/>
      </c>
      <c r="W878" s="23" t="str">
        <f t="shared" si="244"/>
        <v/>
      </c>
      <c r="X878" s="22" t="str">
        <f t="shared" si="245"/>
        <v/>
      </c>
      <c r="Y878" s="22"/>
      <c r="Z878" s="22"/>
      <c r="AA878" s="22"/>
      <c r="AB878" s="22" t="str" cm="1">
        <f t="array" ref="AB878">IF(IF(AND($P877="",$P878=1),($N$37*-1),0)+IF(AND($Q877="",$Q878=1),($N$38*-1),0)+IF(IF(($K878-$N$48)&lt;1,0,IF(IF(INDEX($AD$176:$AD$905,($K878-$N$48))="",0,INDEX($AD$176:$AD$905,($K878-$N$48)))&gt;0,IF(INDEX($AD$176:$AD$905,($K878-$N$48))="",0,INDEX($AD$176:$AD$905,($K878-$N$48))),0))="",0,IF(($K878-$N$48)&lt;1,0,IF(IF(INDEX($AD$176:$AD$905,($K878-$N$48))="",0,INDEX($AD$176:$AD$905,($K878-$N$48)))&gt;0,IF(INDEX($AD$176:$AD$905,($K878-$N$48))="",0,INDEX($AD$176:$AD$905,($K878-$N$48))),0)))=0,"",IF(AND($P877="",$P878=1),($N$37*-1),0)+IF(AND($Q877="",$Q878=1),($N$38*-1),0)+IF(IF(($K878-$N$48)&lt;1,0,IF(IF(INDEX($AD$176:$AD$905,($K878-$N$48))="",0,INDEX($AD$176:$AD$905,($K878-$N$48)))&gt;0,IF(INDEX($AD$176:$AD$905,($K878-$N$48))="",0,INDEX($AD$176:$AD$905,($K878-$N$48))),0))="",0,IF(($K878-$N$48)&lt;1,0,IF(IF(INDEX($AD$176:$AD$905,($K878-$N$48))="",0,INDEX($AD$176:$AD$905,($K878-$N$48)))&gt;0,IF(INDEX($AD$176:$AD$905,($K878-$N$48))="",0,INDEX($AD$176:$AD$905,($K878-$N$48))),0))))</f>
        <v/>
      </c>
      <c r="AC878" s="22" t="str">
        <f t="shared" si="246"/>
        <v/>
      </c>
      <c r="AD878" s="22" t="str">
        <f t="shared" si="258"/>
        <v/>
      </c>
      <c r="AE878" s="22" t="str" cm="1">
        <f t="array" ref="AE878">IF(($K878-$N$48)&lt;1,"",IF((IF(INDEX($AC$176:$AC$905,($K878-$N$48))="",0,INDEX($AC$176:$AC$905,($K878-$N$48))))=0,"",(IF(INDEX($AC$176:$AC$905,($K878-$N$48))="",0,INDEX($AC$176:$AC$905,($K878-$N$48))))))</f>
        <v/>
      </c>
      <c r="AF878" s="31" t="str">
        <f t="shared" si="247"/>
        <v/>
      </c>
      <c r="AG878" s="31" t="str">
        <f t="shared" si="248"/>
        <v/>
      </c>
      <c r="AH878" s="31" t="str">
        <f t="shared" si="249"/>
        <v/>
      </c>
      <c r="AI878" s="31" t="str">
        <f t="shared" si="250"/>
        <v/>
      </c>
      <c r="AJ878" s="303" t="str">
        <f t="shared" si="251"/>
        <v/>
      </c>
      <c r="AK878" s="139" t="str">
        <f t="shared" si="252"/>
        <v/>
      </c>
    </row>
    <row r="879" spans="7:37" x14ac:dyDescent="0.25">
      <c r="G879" s="235" t="str">
        <f t="shared" si="259"/>
        <v/>
      </c>
      <c r="H879" s="4" t="str">
        <f t="shared" si="260"/>
        <v/>
      </c>
      <c r="I879" s="11" t="str">
        <f t="shared" si="240"/>
        <v>09.00</v>
      </c>
      <c r="K879" s="30">
        <v>704</v>
      </c>
      <c r="L879" s="29">
        <f t="shared" si="253"/>
        <v>11371.908376190917</v>
      </c>
      <c r="M879" s="28" t="str">
        <f t="shared" si="241"/>
        <v/>
      </c>
      <c r="N879" s="27" t="str">
        <f t="shared" si="254"/>
        <v/>
      </c>
      <c r="O879" s="26" t="str">
        <f>IF(AND($Q878=$O$38,IFERROR(LARGE($V$176:$V878,1)&lt;$N$42,TRUE)),1,IF(AND(ISNUMBER($O878),$O878&lt;$N$32),$O878+1,""))</f>
        <v/>
      </c>
      <c r="P879" s="26" t="str">
        <f t="shared" si="255"/>
        <v/>
      </c>
      <c r="Q879" s="26" t="str">
        <f t="shared" si="242"/>
        <v/>
      </c>
      <c r="R879" s="24" t="str">
        <f t="shared" si="256"/>
        <v/>
      </c>
      <c r="S879" s="180">
        <f t="shared" si="257"/>
        <v>9</v>
      </c>
      <c r="T879" s="151"/>
      <c r="U879" s="25" t="str">
        <f t="shared" si="243"/>
        <v/>
      </c>
      <c r="V879" s="24" t="str">
        <f>IF(AND(ISNUMBER(R878),ISNUMBER(R879)),V878,IF(AND(R878="",ISNUMBER(R879)),IFERROR(LARGE($V$176:$V878,1)+1,0),""))</f>
        <v/>
      </c>
      <c r="W879" s="23" t="str">
        <f t="shared" si="244"/>
        <v/>
      </c>
      <c r="X879" s="22" t="str">
        <f t="shared" si="245"/>
        <v/>
      </c>
      <c r="Y879" s="22"/>
      <c r="Z879" s="22"/>
      <c r="AA879" s="22"/>
      <c r="AB879" s="22" t="str" cm="1">
        <f t="array" ref="AB879">IF(IF(AND($P878="",$P879=1),($N$37*-1),0)+IF(AND($Q878="",$Q879=1),($N$38*-1),0)+IF(IF(($K879-$N$48)&lt;1,0,IF(IF(INDEX($AD$176:$AD$905,($K879-$N$48))="",0,INDEX($AD$176:$AD$905,($K879-$N$48)))&gt;0,IF(INDEX($AD$176:$AD$905,($K879-$N$48))="",0,INDEX($AD$176:$AD$905,($K879-$N$48))),0))="",0,IF(($K879-$N$48)&lt;1,0,IF(IF(INDEX($AD$176:$AD$905,($K879-$N$48))="",0,INDEX($AD$176:$AD$905,($K879-$N$48)))&gt;0,IF(INDEX($AD$176:$AD$905,($K879-$N$48))="",0,INDEX($AD$176:$AD$905,($K879-$N$48))),0)))=0,"",IF(AND($P878="",$P879=1),($N$37*-1),0)+IF(AND($Q878="",$Q879=1),($N$38*-1),0)+IF(IF(($K879-$N$48)&lt;1,0,IF(IF(INDEX($AD$176:$AD$905,($K879-$N$48))="",0,INDEX($AD$176:$AD$905,($K879-$N$48)))&gt;0,IF(INDEX($AD$176:$AD$905,($K879-$N$48))="",0,INDEX($AD$176:$AD$905,($K879-$N$48))),0))="",0,IF(($K879-$N$48)&lt;1,0,IF(IF(INDEX($AD$176:$AD$905,($K879-$N$48))="",0,INDEX($AD$176:$AD$905,($K879-$N$48)))&gt;0,IF(INDEX($AD$176:$AD$905,($K879-$N$48))="",0,INDEX($AD$176:$AD$905,($K879-$N$48))),0))))</f>
        <v/>
      </c>
      <c r="AC879" s="22" t="str">
        <f t="shared" si="246"/>
        <v/>
      </c>
      <c r="AD879" s="22" t="str">
        <f t="shared" si="258"/>
        <v/>
      </c>
      <c r="AE879" s="22" t="str" cm="1">
        <f t="array" ref="AE879">IF(($K879-$N$48)&lt;1,"",IF((IF(INDEX($AC$176:$AC$905,($K879-$N$48))="",0,INDEX($AC$176:$AC$905,($K879-$N$48))))=0,"",(IF(INDEX($AC$176:$AC$905,($K879-$N$48))="",0,INDEX($AC$176:$AC$905,($K879-$N$48))))))</f>
        <v/>
      </c>
      <c r="AF879" s="31" t="str">
        <f t="shared" si="247"/>
        <v/>
      </c>
      <c r="AG879" s="31" t="str">
        <f t="shared" si="248"/>
        <v/>
      </c>
      <c r="AH879" s="31" t="str">
        <f t="shared" si="249"/>
        <v/>
      </c>
      <c r="AI879" s="31" t="str">
        <f t="shared" si="250"/>
        <v/>
      </c>
      <c r="AJ879" s="303" t="str">
        <f t="shared" si="251"/>
        <v/>
      </c>
      <c r="AK879" s="139" t="str">
        <f t="shared" si="252"/>
        <v/>
      </c>
    </row>
    <row r="880" spans="7:37" x14ac:dyDescent="0.25">
      <c r="G880" s="235" t="str">
        <f t="shared" si="259"/>
        <v/>
      </c>
      <c r="H880" s="4" t="str">
        <f t="shared" si="260"/>
        <v/>
      </c>
      <c r="I880" s="11" t="str">
        <f t="shared" ref="I880:I905" si="261">CONCATENATE(IF(LEN(ROUNDDOWN(S880,0))=1,CONCATENATE("0",ROUNDDOWN(S880,0)),ROUNDDOWN(S880,0)),".",IF(LEN(ROUND(MOD(S880,1)*100,0))=1,CONCATENATE("0",ROUND(MOD(S880,1)*100,0)),ROUND(MOD(S880,1)*100,0)),IF(N880&lt;&gt;"",".N.",IF(O880&lt;&gt;"",".R.",IF(P880&lt;&gt;"",".O.",IF(Q880&lt;&gt;"",".I.",IF(R880&lt;&gt;"",".D.",""))))),IF(N880&lt;&gt;"",N880,IF(O880&lt;&gt;"",O880,IF(P880&lt;&gt;"",P880,IF(Q880&lt;&gt;"",Q880,IF(R880&lt;&gt;"",IF(MOD(R880,$N$44)=0,$N$44,MOD(R880,$N$44)),""))))))</f>
        <v>09.00</v>
      </c>
      <c r="K880" s="30">
        <v>705</v>
      </c>
      <c r="L880" s="29">
        <f t="shared" si="253"/>
        <v>11371.908376190917</v>
      </c>
      <c r="M880" s="28" t="str">
        <f t="shared" ref="M880:M905" si="262">IFERROR(IF(IF($K880=1,(($M$23*-1)+($M$24*-1)),IF(ISNUMBER(W880),W880,0)+IF(ISNUMBER(X880),X880,0)+IF(ISNUMBER(AB880),AB880,0)+IF(ISNUMBER(AE880),AE880,0)+IF(ISNUMBER(AF880),AF880,0)+IF(ISNUMBER(AG880),AG880,0)+IF(ISNUMBER(AH880),AH880,0)+IF(ISNUMBER(AI880),AI880,0)+IF(ISNUMBER(AK880),AK880,0))=0,"",IF($K880=1,(($M$23*-1)+($M$24*-1)),IF(ISNUMBER(W880),W880,0)+IF(ISNUMBER(X880),X880,0)+IF(ISNUMBER(AB880),AB880,0)+IF(ISNUMBER(AE880),AE880,0)+IF(ISNUMBER(AF880),AF880,0)+IF(ISNUMBER(AG880),AG880,0)+IF(ISNUMBER(AH880),AH880,0)+IF(ISNUMBER(AI880),AI880,0)+IF(ISNUMBER(AK880),AK880,0))),"")</f>
        <v/>
      </c>
      <c r="N880" s="27" t="str">
        <f t="shared" si="254"/>
        <v/>
      </c>
      <c r="O880" s="26" t="str">
        <f>IF(AND($Q879=$O$38,IFERROR(LARGE($V$176:$V879,1)&lt;$N$42,TRUE)),1,IF(AND(ISNUMBER($O879),$O879&lt;$N$32),$O879+1,""))</f>
        <v/>
      </c>
      <c r="P880" s="26" t="str">
        <f t="shared" si="255"/>
        <v/>
      </c>
      <c r="Q880" s="26" t="str">
        <f t="shared" ref="Q880:Q905" si="263">IF($R879=($N$43*$N$44),1,IF(AND(ISNUMBER($Q879),$Q879&lt;$O$38),$Q879+1,""))</f>
        <v/>
      </c>
      <c r="R880" s="24" t="str">
        <f t="shared" si="256"/>
        <v/>
      </c>
      <c r="S880" s="180">
        <f t="shared" si="257"/>
        <v>9</v>
      </c>
      <c r="T880" s="151"/>
      <c r="U880" s="25" t="str">
        <f t="shared" ref="U880:U905" si="264">IF(ISNUMBER($R880),ROUNDUP($R880/$N$44,0),"")</f>
        <v/>
      </c>
      <c r="V880" s="24" t="str">
        <f>IF(AND(ISNUMBER(R879),ISNUMBER(R880)),V879,IF(AND(R879="",ISNUMBER(R880)),IFERROR(LARGE($V$176:$V879,1)+1,0),""))</f>
        <v/>
      </c>
      <c r="W880" s="23" t="str">
        <f t="shared" ref="W880:W905" si="265">IF($O880=1,($M$30*-1),"")</f>
        <v/>
      </c>
      <c r="X880" s="22" t="str">
        <f t="shared" ref="X880:X905" si="266">IF($K880=1,($M$24*-1),IF($O880=1,($M$31*-1),""))</f>
        <v/>
      </c>
      <c r="Y880" s="22"/>
      <c r="Z880" s="22"/>
      <c r="AA880" s="22"/>
      <c r="AB880" s="22" t="str" cm="1">
        <f t="array" ref="AB880">IF(IF(AND($P879="",$P880=1),($N$37*-1),0)+IF(AND($Q879="",$Q880=1),($N$38*-1),0)+IF(IF(($K880-$N$48)&lt;1,0,IF(IF(INDEX($AD$176:$AD$905,($K880-$N$48))="",0,INDEX($AD$176:$AD$905,($K880-$N$48)))&gt;0,IF(INDEX($AD$176:$AD$905,($K880-$N$48))="",0,INDEX($AD$176:$AD$905,($K880-$N$48))),0))="",0,IF(($K880-$N$48)&lt;1,0,IF(IF(INDEX($AD$176:$AD$905,($K880-$N$48))="",0,INDEX($AD$176:$AD$905,($K880-$N$48)))&gt;0,IF(INDEX($AD$176:$AD$905,($K880-$N$48))="",0,INDEX($AD$176:$AD$905,($K880-$N$48))),0)))=0,"",IF(AND($P879="",$P880=1),($N$37*-1),0)+IF(AND($Q879="",$Q880=1),($N$38*-1),0)+IF(IF(($K880-$N$48)&lt;1,0,IF(IF(INDEX($AD$176:$AD$905,($K880-$N$48))="",0,INDEX($AD$176:$AD$905,($K880-$N$48)))&gt;0,IF(INDEX($AD$176:$AD$905,($K880-$N$48))="",0,INDEX($AD$176:$AD$905,($K880-$N$48))),0))="",0,IF(($K880-$N$48)&lt;1,0,IF(IF(INDEX($AD$176:$AD$905,($K880-$N$48))="",0,INDEX($AD$176:$AD$905,($K880-$N$48)))&gt;0,IF(INDEX($AD$176:$AD$905,($K880-$N$48))="",0,INDEX($AD$176:$AD$905,($K880-$N$48))),0))))</f>
        <v/>
      </c>
      <c r="AC880" s="22" t="str">
        <f t="shared" ref="AC880:AC905" si="267">IF(IF(OR(AND(ISNUMBER($U880),IF(ISNUMBER($U881),$U881,0)-IF(ISNUMBER($U880),$U880,0)=1),AND(ISNUMBER($U880),$U881="")),VLOOKUP(IF($U880&gt;$L$63,$L$63,$U880),$L$52:$N$63,COLUMNS($L$52:$N$52),FALSE),0)=0,"",IF(OR(AND(ISNUMBER($U880),IF(ISNUMBER($U881),$U881,0)-IF(ISNUMBER($U880),$U880,0)=1),AND(ISNUMBER($U880),$U881="")),VLOOKUP(IF($U880&gt;$L$63,$L$63,$U880),$L$52:$N$63,COLUMNS($L$52:$N$52),FALSE),0))</f>
        <v/>
      </c>
      <c r="AD880" s="22" t="str">
        <f t="shared" si="258"/>
        <v/>
      </c>
      <c r="AE880" s="22" t="str" cm="1">
        <f t="array" ref="AE880">IF(($K880-$N$48)&lt;1,"",IF((IF(INDEX($AC$176:$AC$905,($K880-$N$48))="",0,INDEX($AC$176:$AC$905,($K880-$N$48))))=0,"",(IF(INDEX($AC$176:$AC$905,($K880-$N$48))="",0,INDEX($AC$176:$AC$905,($K880-$N$48))))))</f>
        <v/>
      </c>
      <c r="AF880" s="31" t="str">
        <f t="shared" ref="AF880:AF905" si="268">IF($O$67="Invoice",IF(AND(ISNUMBER($AC880),ISNUMBER($O$68)),$AC880*$O$68*-1,""),IF($O$67="Payment",IF(AND(ISNUMBER($AE880),ISNUMBER($O$68)),$AE880*$O$68*-1,""),""))</f>
        <v/>
      </c>
      <c r="AG880" s="31" t="str">
        <f t="shared" ref="AG880:AG905" si="269">IF($O$67="Invoice",IF(AND(ISNUMBER($AC880),ISNUMBER($O$69)),$AC880*$O$69*-1,""),IF($O$67="Payment",IF(AND(ISNUMBER($AE880),ISNUMBER($O$69)),$AE880*$O$69*-1,""),""))</f>
        <v/>
      </c>
      <c r="AH880" s="31" t="str">
        <f t="shared" ref="AH880:AH905" si="270">IF($O$67="Invoice",IF(AND(ISNUMBER($AC880),ISNUMBER($O$70)),$AC880*$O$70*-1,""),IF($O$67="Payment",IF(AND(ISNUMBER($AE880),ISNUMBER($O$70)),$AE880*$O$70*-1,""),""))</f>
        <v/>
      </c>
      <c r="AI880" s="31" t="str">
        <f t="shared" ref="AI880:AI905" si="271">IF($O$67="Invoice",IF(AND(ISNUMBER($AC880),ISNUMBER($O$71)),$AC880*$O$71*-1,""),IF($O$67="Payment",IF(AND(ISNUMBER($AE880),ISNUMBER($O$71)),$AE880*$O$71*-1,""),""))</f>
        <v/>
      </c>
      <c r="AJ880" s="303" t="str">
        <f t="shared" ref="AJ880:AJ905" si="272">IF($O$67="Invoice",IF(AND(ISNUMBER($AC880),ISNUMBER($O$72)),$AC880*$O$72*-1,""),IF($O$67="Payment",IF(AND(ISNUMBER($AE880),ISNUMBER($O$72)),$AE880*$O$72*-1,""),""))</f>
        <v/>
      </c>
      <c r="AK880" s="139" t="str">
        <f t="shared" ref="AK880:AK905" si="273">IF($O$67="Invoice",IF(AND(ISNUMBER($AC880),ISNUMBER($O$73)),$AC880*$O$73*-1,""),IF($O$67="Payment",IF(AND(ISNUMBER($AE880),ISNUMBER($O$73)),$AE880*$O$73*-1,""),""))</f>
        <v/>
      </c>
    </row>
    <row r="881" spans="7:37" x14ac:dyDescent="0.25">
      <c r="G881" s="235" t="str">
        <f t="shared" si="259"/>
        <v/>
      </c>
      <c r="H881" s="4" t="str">
        <f t="shared" si="260"/>
        <v/>
      </c>
      <c r="I881" s="11" t="str">
        <f t="shared" si="261"/>
        <v>09.00</v>
      </c>
      <c r="K881" s="30">
        <v>706</v>
      </c>
      <c r="L881" s="29">
        <f t="shared" ref="L881:L905" si="274">IF(ISNUMBER($M881),$M881+$L880,$L880)</f>
        <v>11371.908376190917</v>
      </c>
      <c r="M881" s="28" t="str">
        <f t="shared" si="262"/>
        <v/>
      </c>
      <c r="N881" s="27" t="str">
        <f t="shared" ref="N881:N905" si="275">IF($K880&lt;$N$25,$N880+1,"")</f>
        <v/>
      </c>
      <c r="O881" s="26" t="str">
        <f>IF(AND($Q880=$O$38,IFERROR(LARGE($V$176:$V880,1)&lt;$N$42,TRUE)),1,IF(AND(ISNUMBER($O880),$O880&lt;$N$32),$O880+1,""))</f>
        <v/>
      </c>
      <c r="P881" s="26" t="str">
        <f t="shared" ref="P881:P905" si="276">IF(OR($N880=$N$25,O880=$N$32),1,IF(AND($P880&lt;$O$37,P880&gt;0),P880+1,""))</f>
        <v/>
      </c>
      <c r="Q881" s="26" t="str">
        <f t="shared" si="263"/>
        <v/>
      </c>
      <c r="R881" s="24" t="str">
        <f t="shared" ref="R881:R905" si="277">IF(AND($P880=$O$37,$R880=""),1,IF($R880&lt;($N$43*$N$44),$R880+1,""))</f>
        <v/>
      </c>
      <c r="S881" s="180">
        <f t="shared" si="257"/>
        <v>9</v>
      </c>
      <c r="T881" s="151"/>
      <c r="U881" s="25" t="str">
        <f t="shared" si="264"/>
        <v/>
      </c>
      <c r="V881" s="24" t="str">
        <f>IF(AND(ISNUMBER(R880),ISNUMBER(R881)),V880,IF(AND(R880="",ISNUMBER(R881)),IFERROR(LARGE($V$176:$V880,1)+1,0),""))</f>
        <v/>
      </c>
      <c r="W881" s="23" t="str">
        <f t="shared" si="265"/>
        <v/>
      </c>
      <c r="X881" s="22" t="str">
        <f t="shared" si="266"/>
        <v/>
      </c>
      <c r="Y881" s="22"/>
      <c r="Z881" s="22"/>
      <c r="AA881" s="22"/>
      <c r="AB881" s="22" t="str" cm="1">
        <f t="array" ref="AB881">IF(IF(AND($P880="",$P881=1),($N$37*-1),0)+IF(AND($Q880="",$Q881=1),($N$38*-1),0)+IF(IF(($K881-$N$48)&lt;1,0,IF(IF(INDEX($AD$176:$AD$905,($K881-$N$48))="",0,INDEX($AD$176:$AD$905,($K881-$N$48)))&gt;0,IF(INDEX($AD$176:$AD$905,($K881-$N$48))="",0,INDEX($AD$176:$AD$905,($K881-$N$48))),0))="",0,IF(($K881-$N$48)&lt;1,0,IF(IF(INDEX($AD$176:$AD$905,($K881-$N$48))="",0,INDEX($AD$176:$AD$905,($K881-$N$48)))&gt;0,IF(INDEX($AD$176:$AD$905,($K881-$N$48))="",0,INDEX($AD$176:$AD$905,($K881-$N$48))),0)))=0,"",IF(AND($P880="",$P881=1),($N$37*-1),0)+IF(AND($Q880="",$Q881=1),($N$38*-1),0)+IF(IF(($K881-$N$48)&lt;1,0,IF(IF(INDEX($AD$176:$AD$905,($K881-$N$48))="",0,INDEX($AD$176:$AD$905,($K881-$N$48)))&gt;0,IF(INDEX($AD$176:$AD$905,($K881-$N$48))="",0,INDEX($AD$176:$AD$905,($K881-$N$48))),0))="",0,IF(($K881-$N$48)&lt;1,0,IF(IF(INDEX($AD$176:$AD$905,($K881-$N$48))="",0,INDEX($AD$176:$AD$905,($K881-$N$48)))&gt;0,IF(INDEX($AD$176:$AD$905,($K881-$N$48))="",0,INDEX($AD$176:$AD$905,($K881-$N$48))),0))))</f>
        <v/>
      </c>
      <c r="AC881" s="22" t="str">
        <f t="shared" si="267"/>
        <v/>
      </c>
      <c r="AD881" s="22" t="str">
        <f t="shared" si="258"/>
        <v/>
      </c>
      <c r="AE881" s="22" t="str" cm="1">
        <f t="array" ref="AE881">IF(($K881-$N$48)&lt;1,"",IF((IF(INDEX($AC$176:$AC$905,($K881-$N$48))="",0,INDEX($AC$176:$AC$905,($K881-$N$48))))=0,"",(IF(INDEX($AC$176:$AC$905,($K881-$N$48))="",0,INDEX($AC$176:$AC$905,($K881-$N$48))))))</f>
        <v/>
      </c>
      <c r="AF881" s="31" t="str">
        <f t="shared" si="268"/>
        <v/>
      </c>
      <c r="AG881" s="31" t="str">
        <f t="shared" si="269"/>
        <v/>
      </c>
      <c r="AH881" s="31" t="str">
        <f t="shared" si="270"/>
        <v/>
      </c>
      <c r="AI881" s="31" t="str">
        <f t="shared" si="271"/>
        <v/>
      </c>
      <c r="AJ881" s="303" t="str">
        <f t="shared" si="272"/>
        <v/>
      </c>
      <c r="AK881" s="139" t="str">
        <f t="shared" si="273"/>
        <v/>
      </c>
    </row>
    <row r="882" spans="7:37" x14ac:dyDescent="0.25">
      <c r="G882" s="235" t="str">
        <f t="shared" si="259"/>
        <v/>
      </c>
      <c r="H882" s="4" t="str">
        <f t="shared" si="260"/>
        <v/>
      </c>
      <c r="I882" s="11" t="str">
        <f t="shared" si="261"/>
        <v>09.00</v>
      </c>
      <c r="K882" s="30">
        <v>707</v>
      </c>
      <c r="L882" s="29">
        <f t="shared" si="274"/>
        <v>11371.908376190917</v>
      </c>
      <c r="M882" s="28" t="str">
        <f t="shared" si="262"/>
        <v/>
      </c>
      <c r="N882" s="27" t="str">
        <f t="shared" si="275"/>
        <v/>
      </c>
      <c r="O882" s="26" t="str">
        <f>IF(AND($Q881=$O$38,IFERROR(LARGE($V$176:$V881,1)&lt;$N$42,TRUE)),1,IF(AND(ISNUMBER($O881),$O881&lt;$N$32),$O881+1,""))</f>
        <v/>
      </c>
      <c r="P882" s="26" t="str">
        <f t="shared" si="276"/>
        <v/>
      </c>
      <c r="Q882" s="26" t="str">
        <f t="shared" si="263"/>
        <v/>
      </c>
      <c r="R882" s="24" t="str">
        <f t="shared" si="277"/>
        <v/>
      </c>
      <c r="S882" s="180">
        <f t="shared" si="257"/>
        <v>9</v>
      </c>
      <c r="T882" s="151"/>
      <c r="U882" s="25" t="str">
        <f t="shared" si="264"/>
        <v/>
      </c>
      <c r="V882" s="24" t="str">
        <f>IF(AND(ISNUMBER(R881),ISNUMBER(R882)),V881,IF(AND(R881="",ISNUMBER(R882)),IFERROR(LARGE($V$176:$V881,1)+1,0),""))</f>
        <v/>
      </c>
      <c r="W882" s="23" t="str">
        <f t="shared" si="265"/>
        <v/>
      </c>
      <c r="X882" s="22" t="str">
        <f t="shared" si="266"/>
        <v/>
      </c>
      <c r="Y882" s="22"/>
      <c r="Z882" s="22"/>
      <c r="AA882" s="22"/>
      <c r="AB882" s="22" t="str" cm="1">
        <f t="array" ref="AB882">IF(IF(AND($P881="",$P882=1),($N$37*-1),0)+IF(AND($Q881="",$Q882=1),($N$38*-1),0)+IF(IF(($K882-$N$48)&lt;1,0,IF(IF(INDEX($AD$176:$AD$905,($K882-$N$48))="",0,INDEX($AD$176:$AD$905,($K882-$N$48)))&gt;0,IF(INDEX($AD$176:$AD$905,($K882-$N$48))="",0,INDEX($AD$176:$AD$905,($K882-$N$48))),0))="",0,IF(($K882-$N$48)&lt;1,0,IF(IF(INDEX($AD$176:$AD$905,($K882-$N$48))="",0,INDEX($AD$176:$AD$905,($K882-$N$48)))&gt;0,IF(INDEX($AD$176:$AD$905,($K882-$N$48))="",0,INDEX($AD$176:$AD$905,($K882-$N$48))),0)))=0,"",IF(AND($P881="",$P882=1),($N$37*-1),0)+IF(AND($Q881="",$Q882=1),($N$38*-1),0)+IF(IF(($K882-$N$48)&lt;1,0,IF(IF(INDEX($AD$176:$AD$905,($K882-$N$48))="",0,INDEX($AD$176:$AD$905,($K882-$N$48)))&gt;0,IF(INDEX($AD$176:$AD$905,($K882-$N$48))="",0,INDEX($AD$176:$AD$905,($K882-$N$48))),0))="",0,IF(($K882-$N$48)&lt;1,0,IF(IF(INDEX($AD$176:$AD$905,($K882-$N$48))="",0,INDEX($AD$176:$AD$905,($K882-$N$48)))&gt;0,IF(INDEX($AD$176:$AD$905,($K882-$N$48))="",0,INDEX($AD$176:$AD$905,($K882-$N$48))),0))))</f>
        <v/>
      </c>
      <c r="AC882" s="22" t="str">
        <f t="shared" si="267"/>
        <v/>
      </c>
      <c r="AD882" s="22" t="str">
        <f t="shared" si="258"/>
        <v/>
      </c>
      <c r="AE882" s="22" t="str" cm="1">
        <f t="array" ref="AE882">IF(($K882-$N$48)&lt;1,"",IF((IF(INDEX($AC$176:$AC$905,($K882-$N$48))="",0,INDEX($AC$176:$AC$905,($K882-$N$48))))=0,"",(IF(INDEX($AC$176:$AC$905,($K882-$N$48))="",0,INDEX($AC$176:$AC$905,($K882-$N$48))))))</f>
        <v/>
      </c>
      <c r="AF882" s="31" t="str">
        <f t="shared" si="268"/>
        <v/>
      </c>
      <c r="AG882" s="31" t="str">
        <f t="shared" si="269"/>
        <v/>
      </c>
      <c r="AH882" s="31" t="str">
        <f t="shared" si="270"/>
        <v/>
      </c>
      <c r="AI882" s="31" t="str">
        <f t="shared" si="271"/>
        <v/>
      </c>
      <c r="AJ882" s="303" t="str">
        <f t="shared" si="272"/>
        <v/>
      </c>
      <c r="AK882" s="139" t="str">
        <f t="shared" si="273"/>
        <v/>
      </c>
    </row>
    <row r="883" spans="7:37" x14ac:dyDescent="0.25">
      <c r="G883" s="235" t="str">
        <f t="shared" si="259"/>
        <v/>
      </c>
      <c r="H883" s="4" t="str">
        <f t="shared" si="260"/>
        <v/>
      </c>
      <c r="I883" s="11" t="str">
        <f t="shared" si="261"/>
        <v>09.00</v>
      </c>
      <c r="K883" s="30">
        <v>708</v>
      </c>
      <c r="L883" s="29">
        <f t="shared" si="274"/>
        <v>11371.908376190917</v>
      </c>
      <c r="M883" s="28" t="str">
        <f t="shared" si="262"/>
        <v/>
      </c>
      <c r="N883" s="27" t="str">
        <f t="shared" si="275"/>
        <v/>
      </c>
      <c r="O883" s="26" t="str">
        <f>IF(AND($Q882=$O$38,IFERROR(LARGE($V$176:$V882,1)&lt;$N$42,TRUE)),1,IF(AND(ISNUMBER($O882),$O882&lt;$N$32),$O882+1,""))</f>
        <v/>
      </c>
      <c r="P883" s="26" t="str">
        <f t="shared" si="276"/>
        <v/>
      </c>
      <c r="Q883" s="26" t="str">
        <f t="shared" si="263"/>
        <v/>
      </c>
      <c r="R883" s="24" t="str">
        <f t="shared" si="277"/>
        <v/>
      </c>
      <c r="S883" s="180">
        <f t="shared" si="257"/>
        <v>9</v>
      </c>
      <c r="T883" s="151"/>
      <c r="U883" s="25" t="str">
        <f t="shared" si="264"/>
        <v/>
      </c>
      <c r="V883" s="24" t="str">
        <f>IF(AND(ISNUMBER(R882),ISNUMBER(R883)),V882,IF(AND(R882="",ISNUMBER(R883)),IFERROR(LARGE($V$176:$V882,1)+1,0),""))</f>
        <v/>
      </c>
      <c r="W883" s="23" t="str">
        <f t="shared" si="265"/>
        <v/>
      </c>
      <c r="X883" s="22" t="str">
        <f t="shared" si="266"/>
        <v/>
      </c>
      <c r="Y883" s="22"/>
      <c r="Z883" s="22"/>
      <c r="AA883" s="22"/>
      <c r="AB883" s="22" t="str" cm="1">
        <f t="array" ref="AB883">IF(IF(AND($P882="",$P883=1),($N$37*-1),0)+IF(AND($Q882="",$Q883=1),($N$38*-1),0)+IF(IF(($K883-$N$48)&lt;1,0,IF(IF(INDEX($AD$176:$AD$905,($K883-$N$48))="",0,INDEX($AD$176:$AD$905,($K883-$N$48)))&gt;0,IF(INDEX($AD$176:$AD$905,($K883-$N$48))="",0,INDEX($AD$176:$AD$905,($K883-$N$48))),0))="",0,IF(($K883-$N$48)&lt;1,0,IF(IF(INDEX($AD$176:$AD$905,($K883-$N$48))="",0,INDEX($AD$176:$AD$905,($K883-$N$48)))&gt;0,IF(INDEX($AD$176:$AD$905,($K883-$N$48))="",0,INDEX($AD$176:$AD$905,($K883-$N$48))),0)))=0,"",IF(AND($P882="",$P883=1),($N$37*-1),0)+IF(AND($Q882="",$Q883=1),($N$38*-1),0)+IF(IF(($K883-$N$48)&lt;1,0,IF(IF(INDEX($AD$176:$AD$905,($K883-$N$48))="",0,INDEX($AD$176:$AD$905,($K883-$N$48)))&gt;0,IF(INDEX($AD$176:$AD$905,($K883-$N$48))="",0,INDEX($AD$176:$AD$905,($K883-$N$48))),0))="",0,IF(($K883-$N$48)&lt;1,0,IF(IF(INDEX($AD$176:$AD$905,($K883-$N$48))="",0,INDEX($AD$176:$AD$905,($K883-$N$48)))&gt;0,IF(INDEX($AD$176:$AD$905,($K883-$N$48))="",0,INDEX($AD$176:$AD$905,($K883-$N$48))),0))))</f>
        <v/>
      </c>
      <c r="AC883" s="22" t="str">
        <f t="shared" si="267"/>
        <v/>
      </c>
      <c r="AD883" s="22" t="str">
        <f t="shared" si="258"/>
        <v/>
      </c>
      <c r="AE883" s="22" t="str" cm="1">
        <f t="array" ref="AE883">IF(($K883-$N$48)&lt;1,"",IF((IF(INDEX($AC$176:$AC$905,($K883-$N$48))="",0,INDEX($AC$176:$AC$905,($K883-$N$48))))=0,"",(IF(INDEX($AC$176:$AC$905,($K883-$N$48))="",0,INDEX($AC$176:$AC$905,($K883-$N$48))))))</f>
        <v/>
      </c>
      <c r="AF883" s="31" t="str">
        <f t="shared" si="268"/>
        <v/>
      </c>
      <c r="AG883" s="31" t="str">
        <f t="shared" si="269"/>
        <v/>
      </c>
      <c r="AH883" s="31" t="str">
        <f t="shared" si="270"/>
        <v/>
      </c>
      <c r="AI883" s="31" t="str">
        <f t="shared" si="271"/>
        <v/>
      </c>
      <c r="AJ883" s="303" t="str">
        <f t="shared" si="272"/>
        <v/>
      </c>
      <c r="AK883" s="139" t="str">
        <f t="shared" si="273"/>
        <v/>
      </c>
    </row>
    <row r="884" spans="7:37" x14ac:dyDescent="0.25">
      <c r="G884" s="235" t="str">
        <f t="shared" si="259"/>
        <v/>
      </c>
      <c r="H884" s="4" t="str">
        <f t="shared" si="260"/>
        <v/>
      </c>
      <c r="I884" s="11" t="str">
        <f t="shared" si="261"/>
        <v>09.00</v>
      </c>
      <c r="K884" s="30">
        <v>709</v>
      </c>
      <c r="L884" s="29">
        <f t="shared" si="274"/>
        <v>11371.908376190917</v>
      </c>
      <c r="M884" s="28" t="str">
        <f t="shared" si="262"/>
        <v/>
      </c>
      <c r="N884" s="27" t="str">
        <f t="shared" si="275"/>
        <v/>
      </c>
      <c r="O884" s="26" t="str">
        <f>IF(AND($Q883=$O$38,IFERROR(LARGE($V$176:$V883,1)&lt;$N$42,TRUE)),1,IF(AND(ISNUMBER($O883),$O883&lt;$N$32),$O883+1,""))</f>
        <v/>
      </c>
      <c r="P884" s="26" t="str">
        <f t="shared" si="276"/>
        <v/>
      </c>
      <c r="Q884" s="26" t="str">
        <f t="shared" si="263"/>
        <v/>
      </c>
      <c r="R884" s="24" t="str">
        <f t="shared" si="277"/>
        <v/>
      </c>
      <c r="S884" s="180">
        <f t="shared" si="257"/>
        <v>9</v>
      </c>
      <c r="T884" s="151"/>
      <c r="U884" s="25" t="str">
        <f t="shared" si="264"/>
        <v/>
      </c>
      <c r="V884" s="24" t="str">
        <f>IF(AND(ISNUMBER(R883),ISNUMBER(R884)),V883,IF(AND(R883="",ISNUMBER(R884)),IFERROR(LARGE($V$176:$V883,1)+1,0),""))</f>
        <v/>
      </c>
      <c r="W884" s="23" t="str">
        <f t="shared" si="265"/>
        <v/>
      </c>
      <c r="X884" s="22" t="str">
        <f t="shared" si="266"/>
        <v/>
      </c>
      <c r="Y884" s="22"/>
      <c r="Z884" s="22"/>
      <c r="AA884" s="22"/>
      <c r="AB884" s="22" t="str" cm="1">
        <f t="array" ref="AB884">IF(IF(AND($P883="",$P884=1),($N$37*-1),0)+IF(AND($Q883="",$Q884=1),($N$38*-1),0)+IF(IF(($K884-$N$48)&lt;1,0,IF(IF(INDEX($AD$176:$AD$905,($K884-$N$48))="",0,INDEX($AD$176:$AD$905,($K884-$N$48)))&gt;0,IF(INDEX($AD$176:$AD$905,($K884-$N$48))="",0,INDEX($AD$176:$AD$905,($K884-$N$48))),0))="",0,IF(($K884-$N$48)&lt;1,0,IF(IF(INDEX($AD$176:$AD$905,($K884-$N$48))="",0,INDEX($AD$176:$AD$905,($K884-$N$48)))&gt;0,IF(INDEX($AD$176:$AD$905,($K884-$N$48))="",0,INDEX($AD$176:$AD$905,($K884-$N$48))),0)))=0,"",IF(AND($P883="",$P884=1),($N$37*-1),0)+IF(AND($Q883="",$Q884=1),($N$38*-1),0)+IF(IF(($K884-$N$48)&lt;1,0,IF(IF(INDEX($AD$176:$AD$905,($K884-$N$48))="",0,INDEX($AD$176:$AD$905,($K884-$N$48)))&gt;0,IF(INDEX($AD$176:$AD$905,($K884-$N$48))="",0,INDEX($AD$176:$AD$905,($K884-$N$48))),0))="",0,IF(($K884-$N$48)&lt;1,0,IF(IF(INDEX($AD$176:$AD$905,($K884-$N$48))="",0,INDEX($AD$176:$AD$905,($K884-$N$48)))&gt;0,IF(INDEX($AD$176:$AD$905,($K884-$N$48))="",0,INDEX($AD$176:$AD$905,($K884-$N$48))),0))))</f>
        <v/>
      </c>
      <c r="AC884" s="22" t="str">
        <f t="shared" si="267"/>
        <v/>
      </c>
      <c r="AD884" s="22" t="str">
        <f t="shared" si="258"/>
        <v/>
      </c>
      <c r="AE884" s="22" t="str" cm="1">
        <f t="array" ref="AE884">IF(($K884-$N$48)&lt;1,"",IF((IF(INDEX($AC$176:$AC$905,($K884-$N$48))="",0,INDEX($AC$176:$AC$905,($K884-$N$48))))=0,"",(IF(INDEX($AC$176:$AC$905,($K884-$N$48))="",0,INDEX($AC$176:$AC$905,($K884-$N$48))))))</f>
        <v/>
      </c>
      <c r="AF884" s="31" t="str">
        <f t="shared" si="268"/>
        <v/>
      </c>
      <c r="AG884" s="31" t="str">
        <f t="shared" si="269"/>
        <v/>
      </c>
      <c r="AH884" s="31" t="str">
        <f t="shared" si="270"/>
        <v/>
      </c>
      <c r="AI884" s="31" t="str">
        <f t="shared" si="271"/>
        <v/>
      </c>
      <c r="AJ884" s="303" t="str">
        <f t="shared" si="272"/>
        <v/>
      </c>
      <c r="AK884" s="139" t="str">
        <f t="shared" si="273"/>
        <v/>
      </c>
    </row>
    <row r="885" spans="7:37" x14ac:dyDescent="0.25">
      <c r="G885" s="235" t="str">
        <f t="shared" si="259"/>
        <v/>
      </c>
      <c r="H885" s="4" t="str">
        <f t="shared" si="260"/>
        <v/>
      </c>
      <c r="I885" s="11" t="str">
        <f t="shared" si="261"/>
        <v>09.00</v>
      </c>
      <c r="K885" s="30">
        <v>710</v>
      </c>
      <c r="L885" s="29">
        <f t="shared" si="274"/>
        <v>11371.908376190917</v>
      </c>
      <c r="M885" s="28" t="str">
        <f t="shared" si="262"/>
        <v/>
      </c>
      <c r="N885" s="27" t="str">
        <f t="shared" si="275"/>
        <v/>
      </c>
      <c r="O885" s="26" t="str">
        <f>IF(AND($Q884=$O$38,IFERROR(LARGE($V$176:$V884,1)&lt;$N$42,TRUE)),1,IF(AND(ISNUMBER($O884),$O884&lt;$N$32),$O884+1,""))</f>
        <v/>
      </c>
      <c r="P885" s="26" t="str">
        <f t="shared" si="276"/>
        <v/>
      </c>
      <c r="Q885" s="26" t="str">
        <f t="shared" si="263"/>
        <v/>
      </c>
      <c r="R885" s="24" t="str">
        <f t="shared" si="277"/>
        <v/>
      </c>
      <c r="S885" s="180">
        <f t="shared" si="257"/>
        <v>9</v>
      </c>
      <c r="T885" s="151"/>
      <c r="U885" s="25" t="str">
        <f t="shared" si="264"/>
        <v/>
      </c>
      <c r="V885" s="24" t="str">
        <f>IF(AND(ISNUMBER(R884),ISNUMBER(R885)),V884,IF(AND(R884="",ISNUMBER(R885)),IFERROR(LARGE($V$176:$V884,1)+1,0),""))</f>
        <v/>
      </c>
      <c r="W885" s="23" t="str">
        <f t="shared" si="265"/>
        <v/>
      </c>
      <c r="X885" s="22" t="str">
        <f t="shared" si="266"/>
        <v/>
      </c>
      <c r="Y885" s="22"/>
      <c r="Z885" s="22"/>
      <c r="AA885" s="22"/>
      <c r="AB885" s="22" t="str" cm="1">
        <f t="array" ref="AB885">IF(IF(AND($P884="",$P885=1),($N$37*-1),0)+IF(AND($Q884="",$Q885=1),($N$38*-1),0)+IF(IF(($K885-$N$48)&lt;1,0,IF(IF(INDEX($AD$176:$AD$905,($K885-$N$48))="",0,INDEX($AD$176:$AD$905,($K885-$N$48)))&gt;0,IF(INDEX($AD$176:$AD$905,($K885-$N$48))="",0,INDEX($AD$176:$AD$905,($K885-$N$48))),0))="",0,IF(($K885-$N$48)&lt;1,0,IF(IF(INDEX($AD$176:$AD$905,($K885-$N$48))="",0,INDEX($AD$176:$AD$905,($K885-$N$48)))&gt;0,IF(INDEX($AD$176:$AD$905,($K885-$N$48))="",0,INDEX($AD$176:$AD$905,($K885-$N$48))),0)))=0,"",IF(AND($P884="",$P885=1),($N$37*-1),0)+IF(AND($Q884="",$Q885=1),($N$38*-1),0)+IF(IF(($K885-$N$48)&lt;1,0,IF(IF(INDEX($AD$176:$AD$905,($K885-$N$48))="",0,INDEX($AD$176:$AD$905,($K885-$N$48)))&gt;0,IF(INDEX($AD$176:$AD$905,($K885-$N$48))="",0,INDEX($AD$176:$AD$905,($K885-$N$48))),0))="",0,IF(($K885-$N$48)&lt;1,0,IF(IF(INDEX($AD$176:$AD$905,($K885-$N$48))="",0,INDEX($AD$176:$AD$905,($K885-$N$48)))&gt;0,IF(INDEX($AD$176:$AD$905,($K885-$N$48))="",0,INDEX($AD$176:$AD$905,($K885-$N$48))),0))))</f>
        <v/>
      </c>
      <c r="AC885" s="22" t="str">
        <f t="shared" si="267"/>
        <v/>
      </c>
      <c r="AD885" s="22" t="str">
        <f t="shared" si="258"/>
        <v/>
      </c>
      <c r="AE885" s="22" t="str" cm="1">
        <f t="array" ref="AE885">IF(($K885-$N$48)&lt;1,"",IF((IF(INDEX($AC$176:$AC$905,($K885-$N$48))="",0,INDEX($AC$176:$AC$905,($K885-$N$48))))=0,"",(IF(INDEX($AC$176:$AC$905,($K885-$N$48))="",0,INDEX($AC$176:$AC$905,($K885-$N$48))))))</f>
        <v/>
      </c>
      <c r="AF885" s="31" t="str">
        <f t="shared" si="268"/>
        <v/>
      </c>
      <c r="AG885" s="31" t="str">
        <f t="shared" si="269"/>
        <v/>
      </c>
      <c r="AH885" s="31" t="str">
        <f t="shared" si="270"/>
        <v/>
      </c>
      <c r="AI885" s="31" t="str">
        <f t="shared" si="271"/>
        <v/>
      </c>
      <c r="AJ885" s="303" t="str">
        <f t="shared" si="272"/>
        <v/>
      </c>
      <c r="AK885" s="139" t="str">
        <f t="shared" si="273"/>
        <v/>
      </c>
    </row>
    <row r="886" spans="7:37" x14ac:dyDescent="0.25">
      <c r="G886" s="235" t="str">
        <f t="shared" si="259"/>
        <v/>
      </c>
      <c r="H886" s="4" t="str">
        <f t="shared" si="260"/>
        <v/>
      </c>
      <c r="I886" s="11" t="str">
        <f t="shared" si="261"/>
        <v>09.00</v>
      </c>
      <c r="K886" s="30">
        <v>711</v>
      </c>
      <c r="L886" s="29">
        <f t="shared" si="274"/>
        <v>11371.908376190917</v>
      </c>
      <c r="M886" s="28" t="str">
        <f t="shared" si="262"/>
        <v/>
      </c>
      <c r="N886" s="27" t="str">
        <f t="shared" si="275"/>
        <v/>
      </c>
      <c r="O886" s="26" t="str">
        <f>IF(AND($Q885=$O$38,IFERROR(LARGE($V$176:$V885,1)&lt;$N$42,TRUE)),1,IF(AND(ISNUMBER($O885),$O885&lt;$N$32),$O885+1,""))</f>
        <v/>
      </c>
      <c r="P886" s="26" t="str">
        <f t="shared" si="276"/>
        <v/>
      </c>
      <c r="Q886" s="26" t="str">
        <f t="shared" si="263"/>
        <v/>
      </c>
      <c r="R886" s="24" t="str">
        <f t="shared" si="277"/>
        <v/>
      </c>
      <c r="S886" s="180">
        <f t="shared" si="257"/>
        <v>9</v>
      </c>
      <c r="T886" s="151"/>
      <c r="U886" s="25" t="str">
        <f t="shared" si="264"/>
        <v/>
      </c>
      <c r="V886" s="24" t="str">
        <f>IF(AND(ISNUMBER(R885),ISNUMBER(R886)),V885,IF(AND(R885="",ISNUMBER(R886)),IFERROR(LARGE($V$176:$V885,1)+1,0),""))</f>
        <v/>
      </c>
      <c r="W886" s="23" t="str">
        <f t="shared" si="265"/>
        <v/>
      </c>
      <c r="X886" s="22" t="str">
        <f t="shared" si="266"/>
        <v/>
      </c>
      <c r="Y886" s="22"/>
      <c r="Z886" s="22"/>
      <c r="AA886" s="22"/>
      <c r="AB886" s="22" t="str" cm="1">
        <f t="array" ref="AB886">IF(IF(AND($P885="",$P886=1),($N$37*-1),0)+IF(AND($Q885="",$Q886=1),($N$38*-1),0)+IF(IF(($K886-$N$48)&lt;1,0,IF(IF(INDEX($AD$176:$AD$905,($K886-$N$48))="",0,INDEX($AD$176:$AD$905,($K886-$N$48)))&gt;0,IF(INDEX($AD$176:$AD$905,($K886-$N$48))="",0,INDEX($AD$176:$AD$905,($K886-$N$48))),0))="",0,IF(($K886-$N$48)&lt;1,0,IF(IF(INDEX($AD$176:$AD$905,($K886-$N$48))="",0,INDEX($AD$176:$AD$905,($K886-$N$48)))&gt;0,IF(INDEX($AD$176:$AD$905,($K886-$N$48))="",0,INDEX($AD$176:$AD$905,($K886-$N$48))),0)))=0,"",IF(AND($P885="",$P886=1),($N$37*-1),0)+IF(AND($Q885="",$Q886=1),($N$38*-1),0)+IF(IF(($K886-$N$48)&lt;1,0,IF(IF(INDEX($AD$176:$AD$905,($K886-$N$48))="",0,INDEX($AD$176:$AD$905,($K886-$N$48)))&gt;0,IF(INDEX($AD$176:$AD$905,($K886-$N$48))="",0,INDEX($AD$176:$AD$905,($K886-$N$48))),0))="",0,IF(($K886-$N$48)&lt;1,0,IF(IF(INDEX($AD$176:$AD$905,($K886-$N$48))="",0,INDEX($AD$176:$AD$905,($K886-$N$48)))&gt;0,IF(INDEX($AD$176:$AD$905,($K886-$N$48))="",0,INDEX($AD$176:$AD$905,($K886-$N$48))),0))))</f>
        <v/>
      </c>
      <c r="AC886" s="22" t="str">
        <f t="shared" si="267"/>
        <v/>
      </c>
      <c r="AD886" s="22" t="str">
        <f t="shared" si="258"/>
        <v/>
      </c>
      <c r="AE886" s="22" t="str" cm="1">
        <f t="array" ref="AE886">IF(($K886-$N$48)&lt;1,"",IF((IF(INDEX($AC$176:$AC$905,($K886-$N$48))="",0,INDEX($AC$176:$AC$905,($K886-$N$48))))=0,"",(IF(INDEX($AC$176:$AC$905,($K886-$N$48))="",0,INDEX($AC$176:$AC$905,($K886-$N$48))))))</f>
        <v/>
      </c>
      <c r="AF886" s="31" t="str">
        <f t="shared" si="268"/>
        <v/>
      </c>
      <c r="AG886" s="31" t="str">
        <f t="shared" si="269"/>
        <v/>
      </c>
      <c r="AH886" s="31" t="str">
        <f t="shared" si="270"/>
        <v/>
      </c>
      <c r="AI886" s="31" t="str">
        <f t="shared" si="271"/>
        <v/>
      </c>
      <c r="AJ886" s="303" t="str">
        <f t="shared" si="272"/>
        <v/>
      </c>
      <c r="AK886" s="139" t="str">
        <f t="shared" si="273"/>
        <v/>
      </c>
    </row>
    <row r="887" spans="7:37" x14ac:dyDescent="0.25">
      <c r="G887" s="235" t="str">
        <f t="shared" si="259"/>
        <v/>
      </c>
      <c r="H887" s="4" t="str">
        <f t="shared" si="260"/>
        <v/>
      </c>
      <c r="I887" s="11" t="str">
        <f t="shared" si="261"/>
        <v>09.00</v>
      </c>
      <c r="K887" s="30">
        <v>712</v>
      </c>
      <c r="L887" s="29">
        <f t="shared" si="274"/>
        <v>11371.908376190917</v>
      </c>
      <c r="M887" s="28" t="str">
        <f t="shared" si="262"/>
        <v/>
      </c>
      <c r="N887" s="27" t="str">
        <f t="shared" si="275"/>
        <v/>
      </c>
      <c r="O887" s="26" t="str">
        <f>IF(AND($Q886=$O$38,IFERROR(LARGE($V$176:$V886,1)&lt;$N$42,TRUE)),1,IF(AND(ISNUMBER($O886),$O886&lt;$N$32),$O886+1,""))</f>
        <v/>
      </c>
      <c r="P887" s="26" t="str">
        <f t="shared" si="276"/>
        <v/>
      </c>
      <c r="Q887" s="26" t="str">
        <f t="shared" si="263"/>
        <v/>
      </c>
      <c r="R887" s="24" t="str">
        <f t="shared" si="277"/>
        <v/>
      </c>
      <c r="S887" s="180">
        <f t="shared" si="257"/>
        <v>9</v>
      </c>
      <c r="T887" s="151"/>
      <c r="U887" s="25" t="str">
        <f t="shared" si="264"/>
        <v/>
      </c>
      <c r="V887" s="24" t="str">
        <f>IF(AND(ISNUMBER(R886),ISNUMBER(R887)),V886,IF(AND(R886="",ISNUMBER(R887)),IFERROR(LARGE($V$176:$V886,1)+1,0),""))</f>
        <v/>
      </c>
      <c r="W887" s="23" t="str">
        <f t="shared" si="265"/>
        <v/>
      </c>
      <c r="X887" s="22" t="str">
        <f t="shared" si="266"/>
        <v/>
      </c>
      <c r="Y887" s="22"/>
      <c r="Z887" s="22"/>
      <c r="AA887" s="22"/>
      <c r="AB887" s="22" t="str" cm="1">
        <f t="array" ref="AB887">IF(IF(AND($P886="",$P887=1),($N$37*-1),0)+IF(AND($Q886="",$Q887=1),($N$38*-1),0)+IF(IF(($K887-$N$48)&lt;1,0,IF(IF(INDEX($AD$176:$AD$905,($K887-$N$48))="",0,INDEX($AD$176:$AD$905,($K887-$N$48)))&gt;0,IF(INDEX($AD$176:$AD$905,($K887-$N$48))="",0,INDEX($AD$176:$AD$905,($K887-$N$48))),0))="",0,IF(($K887-$N$48)&lt;1,0,IF(IF(INDEX($AD$176:$AD$905,($K887-$N$48))="",0,INDEX($AD$176:$AD$905,($K887-$N$48)))&gt;0,IF(INDEX($AD$176:$AD$905,($K887-$N$48))="",0,INDEX($AD$176:$AD$905,($K887-$N$48))),0)))=0,"",IF(AND($P886="",$P887=1),($N$37*-1),0)+IF(AND($Q886="",$Q887=1),($N$38*-1),0)+IF(IF(($K887-$N$48)&lt;1,0,IF(IF(INDEX($AD$176:$AD$905,($K887-$N$48))="",0,INDEX($AD$176:$AD$905,($K887-$N$48)))&gt;0,IF(INDEX($AD$176:$AD$905,($K887-$N$48))="",0,INDEX($AD$176:$AD$905,($K887-$N$48))),0))="",0,IF(($K887-$N$48)&lt;1,0,IF(IF(INDEX($AD$176:$AD$905,($K887-$N$48))="",0,INDEX($AD$176:$AD$905,($K887-$N$48)))&gt;0,IF(INDEX($AD$176:$AD$905,($K887-$N$48))="",0,INDEX($AD$176:$AD$905,($K887-$N$48))),0))))</f>
        <v/>
      </c>
      <c r="AC887" s="22" t="str">
        <f t="shared" si="267"/>
        <v/>
      </c>
      <c r="AD887" s="22" t="str">
        <f t="shared" si="258"/>
        <v/>
      </c>
      <c r="AE887" s="22" t="str" cm="1">
        <f t="array" ref="AE887">IF(($K887-$N$48)&lt;1,"",IF((IF(INDEX($AC$176:$AC$905,($K887-$N$48))="",0,INDEX($AC$176:$AC$905,($K887-$N$48))))=0,"",(IF(INDEX($AC$176:$AC$905,($K887-$N$48))="",0,INDEX($AC$176:$AC$905,($K887-$N$48))))))</f>
        <v/>
      </c>
      <c r="AF887" s="31" t="str">
        <f t="shared" si="268"/>
        <v/>
      </c>
      <c r="AG887" s="31" t="str">
        <f t="shared" si="269"/>
        <v/>
      </c>
      <c r="AH887" s="31" t="str">
        <f t="shared" si="270"/>
        <v/>
      </c>
      <c r="AI887" s="31" t="str">
        <f t="shared" si="271"/>
        <v/>
      </c>
      <c r="AJ887" s="303" t="str">
        <f t="shared" si="272"/>
        <v/>
      </c>
      <c r="AK887" s="139" t="str">
        <f t="shared" si="273"/>
        <v/>
      </c>
    </row>
    <row r="888" spans="7:37" x14ac:dyDescent="0.25">
      <c r="G888" s="235" t="str">
        <f t="shared" si="259"/>
        <v/>
      </c>
      <c r="H888" s="4" t="str">
        <f t="shared" si="260"/>
        <v/>
      </c>
      <c r="I888" s="11" t="str">
        <f t="shared" si="261"/>
        <v>09.00</v>
      </c>
      <c r="K888" s="30">
        <v>713</v>
      </c>
      <c r="L888" s="29">
        <f t="shared" si="274"/>
        <v>11371.908376190917</v>
      </c>
      <c r="M888" s="28" t="str">
        <f t="shared" si="262"/>
        <v/>
      </c>
      <c r="N888" s="27" t="str">
        <f t="shared" si="275"/>
        <v/>
      </c>
      <c r="O888" s="26" t="str">
        <f>IF(AND($Q887=$O$38,IFERROR(LARGE($V$176:$V887,1)&lt;$N$42,TRUE)),1,IF(AND(ISNUMBER($O887),$O887&lt;$N$32),$O887+1,""))</f>
        <v/>
      </c>
      <c r="P888" s="26" t="str">
        <f t="shared" si="276"/>
        <v/>
      </c>
      <c r="Q888" s="26" t="str">
        <f t="shared" si="263"/>
        <v/>
      </c>
      <c r="R888" s="24" t="str">
        <f t="shared" si="277"/>
        <v/>
      </c>
      <c r="S888" s="180">
        <f t="shared" si="257"/>
        <v>9</v>
      </c>
      <c r="T888" s="151"/>
      <c r="U888" s="25" t="str">
        <f t="shared" si="264"/>
        <v/>
      </c>
      <c r="V888" s="24" t="str">
        <f>IF(AND(ISNUMBER(R887),ISNUMBER(R888)),V887,IF(AND(R887="",ISNUMBER(R888)),IFERROR(LARGE($V$176:$V887,1)+1,0),""))</f>
        <v/>
      </c>
      <c r="W888" s="23" t="str">
        <f t="shared" si="265"/>
        <v/>
      </c>
      <c r="X888" s="22" t="str">
        <f t="shared" si="266"/>
        <v/>
      </c>
      <c r="Y888" s="22"/>
      <c r="Z888" s="22"/>
      <c r="AA888" s="22"/>
      <c r="AB888" s="22" t="str" cm="1">
        <f t="array" ref="AB888">IF(IF(AND($P887="",$P888=1),($N$37*-1),0)+IF(AND($Q887="",$Q888=1),($N$38*-1),0)+IF(IF(($K888-$N$48)&lt;1,0,IF(IF(INDEX($AD$176:$AD$905,($K888-$N$48))="",0,INDEX($AD$176:$AD$905,($K888-$N$48)))&gt;0,IF(INDEX($AD$176:$AD$905,($K888-$N$48))="",0,INDEX($AD$176:$AD$905,($K888-$N$48))),0))="",0,IF(($K888-$N$48)&lt;1,0,IF(IF(INDEX($AD$176:$AD$905,($K888-$N$48))="",0,INDEX($AD$176:$AD$905,($K888-$N$48)))&gt;0,IF(INDEX($AD$176:$AD$905,($K888-$N$48))="",0,INDEX($AD$176:$AD$905,($K888-$N$48))),0)))=0,"",IF(AND($P887="",$P888=1),($N$37*-1),0)+IF(AND($Q887="",$Q888=1),($N$38*-1),0)+IF(IF(($K888-$N$48)&lt;1,0,IF(IF(INDEX($AD$176:$AD$905,($K888-$N$48))="",0,INDEX($AD$176:$AD$905,($K888-$N$48)))&gt;0,IF(INDEX($AD$176:$AD$905,($K888-$N$48))="",0,INDEX($AD$176:$AD$905,($K888-$N$48))),0))="",0,IF(($K888-$N$48)&lt;1,0,IF(IF(INDEX($AD$176:$AD$905,($K888-$N$48))="",0,INDEX($AD$176:$AD$905,($K888-$N$48)))&gt;0,IF(INDEX($AD$176:$AD$905,($K888-$N$48))="",0,INDEX($AD$176:$AD$905,($K888-$N$48))),0))))</f>
        <v/>
      </c>
      <c r="AC888" s="22" t="str">
        <f t="shared" si="267"/>
        <v/>
      </c>
      <c r="AD888" s="22" t="str">
        <f t="shared" si="258"/>
        <v/>
      </c>
      <c r="AE888" s="22" t="str" cm="1">
        <f t="array" ref="AE888">IF(($K888-$N$48)&lt;1,"",IF((IF(INDEX($AC$176:$AC$905,($K888-$N$48))="",0,INDEX($AC$176:$AC$905,($K888-$N$48))))=0,"",(IF(INDEX($AC$176:$AC$905,($K888-$N$48))="",0,INDEX($AC$176:$AC$905,($K888-$N$48))))))</f>
        <v/>
      </c>
      <c r="AF888" s="31" t="str">
        <f t="shared" si="268"/>
        <v/>
      </c>
      <c r="AG888" s="31" t="str">
        <f t="shared" si="269"/>
        <v/>
      </c>
      <c r="AH888" s="31" t="str">
        <f t="shared" si="270"/>
        <v/>
      </c>
      <c r="AI888" s="31" t="str">
        <f t="shared" si="271"/>
        <v/>
      </c>
      <c r="AJ888" s="303" t="str">
        <f t="shared" si="272"/>
        <v/>
      </c>
      <c r="AK888" s="139" t="str">
        <f t="shared" si="273"/>
        <v/>
      </c>
    </row>
    <row r="889" spans="7:37" x14ac:dyDescent="0.25">
      <c r="G889" s="235" t="str">
        <f t="shared" si="259"/>
        <v/>
      </c>
      <c r="H889" s="4" t="str">
        <f t="shared" si="260"/>
        <v/>
      </c>
      <c r="I889" s="11" t="str">
        <f t="shared" si="261"/>
        <v>09.00</v>
      </c>
      <c r="K889" s="30">
        <v>714</v>
      </c>
      <c r="L889" s="29">
        <f t="shared" si="274"/>
        <v>11371.908376190917</v>
      </c>
      <c r="M889" s="28" t="str">
        <f t="shared" si="262"/>
        <v/>
      </c>
      <c r="N889" s="27" t="str">
        <f t="shared" si="275"/>
        <v/>
      </c>
      <c r="O889" s="26" t="str">
        <f>IF(AND($Q888=$O$38,IFERROR(LARGE($V$176:$V888,1)&lt;$N$42,TRUE)),1,IF(AND(ISNUMBER($O888),$O888&lt;$N$32),$O888+1,""))</f>
        <v/>
      </c>
      <c r="P889" s="26" t="str">
        <f t="shared" si="276"/>
        <v/>
      </c>
      <c r="Q889" s="26" t="str">
        <f t="shared" si="263"/>
        <v/>
      </c>
      <c r="R889" s="24" t="str">
        <f t="shared" si="277"/>
        <v/>
      </c>
      <c r="S889" s="180">
        <f t="shared" si="257"/>
        <v>9</v>
      </c>
      <c r="T889" s="151"/>
      <c r="U889" s="25" t="str">
        <f t="shared" si="264"/>
        <v/>
      </c>
      <c r="V889" s="24" t="str">
        <f>IF(AND(ISNUMBER(R888),ISNUMBER(R889)),V888,IF(AND(R888="",ISNUMBER(R889)),IFERROR(LARGE($V$176:$V888,1)+1,0),""))</f>
        <v/>
      </c>
      <c r="W889" s="23" t="str">
        <f t="shared" si="265"/>
        <v/>
      </c>
      <c r="X889" s="22" t="str">
        <f t="shared" si="266"/>
        <v/>
      </c>
      <c r="Y889" s="22"/>
      <c r="Z889" s="22"/>
      <c r="AA889" s="22"/>
      <c r="AB889" s="22" t="str" cm="1">
        <f t="array" ref="AB889">IF(IF(AND($P888="",$P889=1),($N$37*-1),0)+IF(AND($Q888="",$Q889=1),($N$38*-1),0)+IF(IF(($K889-$N$48)&lt;1,0,IF(IF(INDEX($AD$176:$AD$905,($K889-$N$48))="",0,INDEX($AD$176:$AD$905,($K889-$N$48)))&gt;0,IF(INDEX($AD$176:$AD$905,($K889-$N$48))="",0,INDEX($AD$176:$AD$905,($K889-$N$48))),0))="",0,IF(($K889-$N$48)&lt;1,0,IF(IF(INDEX($AD$176:$AD$905,($K889-$N$48))="",0,INDEX($AD$176:$AD$905,($K889-$N$48)))&gt;0,IF(INDEX($AD$176:$AD$905,($K889-$N$48))="",0,INDEX($AD$176:$AD$905,($K889-$N$48))),0)))=0,"",IF(AND($P888="",$P889=1),($N$37*-1),0)+IF(AND($Q888="",$Q889=1),($N$38*-1),0)+IF(IF(($K889-$N$48)&lt;1,0,IF(IF(INDEX($AD$176:$AD$905,($K889-$N$48))="",0,INDEX($AD$176:$AD$905,($K889-$N$48)))&gt;0,IF(INDEX($AD$176:$AD$905,($K889-$N$48))="",0,INDEX($AD$176:$AD$905,($K889-$N$48))),0))="",0,IF(($K889-$N$48)&lt;1,0,IF(IF(INDEX($AD$176:$AD$905,($K889-$N$48))="",0,INDEX($AD$176:$AD$905,($K889-$N$48)))&gt;0,IF(INDEX($AD$176:$AD$905,($K889-$N$48))="",0,INDEX($AD$176:$AD$905,($K889-$N$48))),0))))</f>
        <v/>
      </c>
      <c r="AC889" s="22" t="str">
        <f t="shared" si="267"/>
        <v/>
      </c>
      <c r="AD889" s="22" t="str">
        <f t="shared" si="258"/>
        <v/>
      </c>
      <c r="AE889" s="22" t="str" cm="1">
        <f t="array" ref="AE889">IF(($K889-$N$48)&lt;1,"",IF((IF(INDEX($AC$176:$AC$905,($K889-$N$48))="",0,INDEX($AC$176:$AC$905,($K889-$N$48))))=0,"",(IF(INDEX($AC$176:$AC$905,($K889-$N$48))="",0,INDEX($AC$176:$AC$905,($K889-$N$48))))))</f>
        <v/>
      </c>
      <c r="AF889" s="31" t="str">
        <f t="shared" si="268"/>
        <v/>
      </c>
      <c r="AG889" s="31" t="str">
        <f t="shared" si="269"/>
        <v/>
      </c>
      <c r="AH889" s="31" t="str">
        <f t="shared" si="270"/>
        <v/>
      </c>
      <c r="AI889" s="31" t="str">
        <f t="shared" si="271"/>
        <v/>
      </c>
      <c r="AJ889" s="303" t="str">
        <f t="shared" si="272"/>
        <v/>
      </c>
      <c r="AK889" s="139" t="str">
        <f t="shared" si="273"/>
        <v/>
      </c>
    </row>
    <row r="890" spans="7:37" x14ac:dyDescent="0.25">
      <c r="G890" s="235" t="str">
        <f t="shared" si="259"/>
        <v/>
      </c>
      <c r="H890" s="4" t="str">
        <f t="shared" si="260"/>
        <v/>
      </c>
      <c r="I890" s="11" t="str">
        <f t="shared" si="261"/>
        <v>09.00</v>
      </c>
      <c r="K890" s="30">
        <v>715</v>
      </c>
      <c r="L890" s="29">
        <f t="shared" si="274"/>
        <v>11371.908376190917</v>
      </c>
      <c r="M890" s="28" t="str">
        <f t="shared" si="262"/>
        <v/>
      </c>
      <c r="N890" s="27" t="str">
        <f t="shared" si="275"/>
        <v/>
      </c>
      <c r="O890" s="26" t="str">
        <f>IF(AND($Q889=$O$38,IFERROR(LARGE($V$176:$V889,1)&lt;$N$42,TRUE)),1,IF(AND(ISNUMBER($O889),$O889&lt;$N$32),$O889+1,""))</f>
        <v/>
      </c>
      <c r="P890" s="26" t="str">
        <f t="shared" si="276"/>
        <v/>
      </c>
      <c r="Q890" s="26" t="str">
        <f t="shared" si="263"/>
        <v/>
      </c>
      <c r="R890" s="24" t="str">
        <f t="shared" si="277"/>
        <v/>
      </c>
      <c r="S890" s="180">
        <f t="shared" si="257"/>
        <v>9</v>
      </c>
      <c r="T890" s="151"/>
      <c r="U890" s="25" t="str">
        <f t="shared" si="264"/>
        <v/>
      </c>
      <c r="V890" s="24" t="str">
        <f>IF(AND(ISNUMBER(R889),ISNUMBER(R890)),V889,IF(AND(R889="",ISNUMBER(R890)),IFERROR(LARGE($V$176:$V889,1)+1,0),""))</f>
        <v/>
      </c>
      <c r="W890" s="23" t="str">
        <f t="shared" si="265"/>
        <v/>
      </c>
      <c r="X890" s="22" t="str">
        <f t="shared" si="266"/>
        <v/>
      </c>
      <c r="Y890" s="22"/>
      <c r="Z890" s="22"/>
      <c r="AA890" s="22"/>
      <c r="AB890" s="22" t="str" cm="1">
        <f t="array" ref="AB890">IF(IF(AND($P889="",$P890=1),($N$37*-1),0)+IF(AND($Q889="",$Q890=1),($N$38*-1),0)+IF(IF(($K890-$N$48)&lt;1,0,IF(IF(INDEX($AD$176:$AD$905,($K890-$N$48))="",0,INDEX($AD$176:$AD$905,($K890-$N$48)))&gt;0,IF(INDEX($AD$176:$AD$905,($K890-$N$48))="",0,INDEX($AD$176:$AD$905,($K890-$N$48))),0))="",0,IF(($K890-$N$48)&lt;1,0,IF(IF(INDEX($AD$176:$AD$905,($K890-$N$48))="",0,INDEX($AD$176:$AD$905,($K890-$N$48)))&gt;0,IF(INDEX($AD$176:$AD$905,($K890-$N$48))="",0,INDEX($AD$176:$AD$905,($K890-$N$48))),0)))=0,"",IF(AND($P889="",$P890=1),($N$37*-1),0)+IF(AND($Q889="",$Q890=1),($N$38*-1),0)+IF(IF(($K890-$N$48)&lt;1,0,IF(IF(INDEX($AD$176:$AD$905,($K890-$N$48))="",0,INDEX($AD$176:$AD$905,($K890-$N$48)))&gt;0,IF(INDEX($AD$176:$AD$905,($K890-$N$48))="",0,INDEX($AD$176:$AD$905,($K890-$N$48))),0))="",0,IF(($K890-$N$48)&lt;1,0,IF(IF(INDEX($AD$176:$AD$905,($K890-$N$48))="",0,INDEX($AD$176:$AD$905,($K890-$N$48)))&gt;0,IF(INDEX($AD$176:$AD$905,($K890-$N$48))="",0,INDEX($AD$176:$AD$905,($K890-$N$48))),0))))</f>
        <v/>
      </c>
      <c r="AC890" s="22" t="str">
        <f t="shared" si="267"/>
        <v/>
      </c>
      <c r="AD890" s="22" t="str">
        <f t="shared" si="258"/>
        <v/>
      </c>
      <c r="AE890" s="22" t="str" cm="1">
        <f t="array" ref="AE890">IF(($K890-$N$48)&lt;1,"",IF((IF(INDEX($AC$176:$AC$905,($K890-$N$48))="",0,INDEX($AC$176:$AC$905,($K890-$N$48))))=0,"",(IF(INDEX($AC$176:$AC$905,($K890-$N$48))="",0,INDEX($AC$176:$AC$905,($K890-$N$48))))))</f>
        <v/>
      </c>
      <c r="AF890" s="31" t="str">
        <f t="shared" si="268"/>
        <v/>
      </c>
      <c r="AG890" s="31" t="str">
        <f t="shared" si="269"/>
        <v/>
      </c>
      <c r="AH890" s="31" t="str">
        <f t="shared" si="270"/>
        <v/>
      </c>
      <c r="AI890" s="31" t="str">
        <f t="shared" si="271"/>
        <v/>
      </c>
      <c r="AJ890" s="303" t="str">
        <f t="shared" si="272"/>
        <v/>
      </c>
      <c r="AK890" s="139" t="str">
        <f t="shared" si="273"/>
        <v/>
      </c>
    </row>
    <row r="891" spans="7:37" x14ac:dyDescent="0.25">
      <c r="G891" s="235" t="str">
        <f t="shared" si="259"/>
        <v/>
      </c>
      <c r="H891" s="4" t="str">
        <f t="shared" si="260"/>
        <v/>
      </c>
      <c r="I891" s="11" t="str">
        <f t="shared" si="261"/>
        <v>09.00</v>
      </c>
      <c r="K891" s="30">
        <v>716</v>
      </c>
      <c r="L891" s="29">
        <f t="shared" si="274"/>
        <v>11371.908376190917</v>
      </c>
      <c r="M891" s="28" t="str">
        <f t="shared" si="262"/>
        <v/>
      </c>
      <c r="N891" s="27" t="str">
        <f t="shared" si="275"/>
        <v/>
      </c>
      <c r="O891" s="26" t="str">
        <f>IF(AND($Q890=$O$38,IFERROR(LARGE($V$176:$V890,1)&lt;$N$42,TRUE)),1,IF(AND(ISNUMBER($O890),$O890&lt;$N$32),$O890+1,""))</f>
        <v/>
      </c>
      <c r="P891" s="26" t="str">
        <f t="shared" si="276"/>
        <v/>
      </c>
      <c r="Q891" s="26" t="str">
        <f t="shared" si="263"/>
        <v/>
      </c>
      <c r="R891" s="24" t="str">
        <f t="shared" si="277"/>
        <v/>
      </c>
      <c r="S891" s="180">
        <f t="shared" si="257"/>
        <v>9</v>
      </c>
      <c r="T891" s="151"/>
      <c r="U891" s="25" t="str">
        <f t="shared" si="264"/>
        <v/>
      </c>
      <c r="V891" s="24" t="str">
        <f>IF(AND(ISNUMBER(R890),ISNUMBER(R891)),V890,IF(AND(R890="",ISNUMBER(R891)),IFERROR(LARGE($V$176:$V890,1)+1,0),""))</f>
        <v/>
      </c>
      <c r="W891" s="23" t="str">
        <f t="shared" si="265"/>
        <v/>
      </c>
      <c r="X891" s="22" t="str">
        <f t="shared" si="266"/>
        <v/>
      </c>
      <c r="Y891" s="22"/>
      <c r="Z891" s="22"/>
      <c r="AA891" s="22"/>
      <c r="AB891" s="22" t="str" cm="1">
        <f t="array" ref="AB891">IF(IF(AND($P890="",$P891=1),($N$37*-1),0)+IF(AND($Q890="",$Q891=1),($N$38*-1),0)+IF(IF(($K891-$N$48)&lt;1,0,IF(IF(INDEX($AD$176:$AD$905,($K891-$N$48))="",0,INDEX($AD$176:$AD$905,($K891-$N$48)))&gt;0,IF(INDEX($AD$176:$AD$905,($K891-$N$48))="",0,INDEX($AD$176:$AD$905,($K891-$N$48))),0))="",0,IF(($K891-$N$48)&lt;1,0,IF(IF(INDEX($AD$176:$AD$905,($K891-$N$48))="",0,INDEX($AD$176:$AD$905,($K891-$N$48)))&gt;0,IF(INDEX($AD$176:$AD$905,($K891-$N$48))="",0,INDEX($AD$176:$AD$905,($K891-$N$48))),0)))=0,"",IF(AND($P890="",$P891=1),($N$37*-1),0)+IF(AND($Q890="",$Q891=1),($N$38*-1),0)+IF(IF(($K891-$N$48)&lt;1,0,IF(IF(INDEX($AD$176:$AD$905,($K891-$N$48))="",0,INDEX($AD$176:$AD$905,($K891-$N$48)))&gt;0,IF(INDEX($AD$176:$AD$905,($K891-$N$48))="",0,INDEX($AD$176:$AD$905,($K891-$N$48))),0))="",0,IF(($K891-$N$48)&lt;1,0,IF(IF(INDEX($AD$176:$AD$905,($K891-$N$48))="",0,INDEX($AD$176:$AD$905,($K891-$N$48)))&gt;0,IF(INDEX($AD$176:$AD$905,($K891-$N$48))="",0,INDEX($AD$176:$AD$905,($K891-$N$48))),0))))</f>
        <v/>
      </c>
      <c r="AC891" s="22" t="str">
        <f t="shared" si="267"/>
        <v/>
      </c>
      <c r="AD891" s="22" t="str">
        <f t="shared" si="258"/>
        <v/>
      </c>
      <c r="AE891" s="22" t="str" cm="1">
        <f t="array" ref="AE891">IF(($K891-$N$48)&lt;1,"",IF((IF(INDEX($AC$176:$AC$905,($K891-$N$48))="",0,INDEX($AC$176:$AC$905,($K891-$N$48))))=0,"",(IF(INDEX($AC$176:$AC$905,($K891-$N$48))="",0,INDEX($AC$176:$AC$905,($K891-$N$48))))))</f>
        <v/>
      </c>
      <c r="AF891" s="31" t="str">
        <f t="shared" si="268"/>
        <v/>
      </c>
      <c r="AG891" s="31" t="str">
        <f t="shared" si="269"/>
        <v/>
      </c>
      <c r="AH891" s="31" t="str">
        <f t="shared" si="270"/>
        <v/>
      </c>
      <c r="AI891" s="31" t="str">
        <f t="shared" si="271"/>
        <v/>
      </c>
      <c r="AJ891" s="303" t="str">
        <f t="shared" si="272"/>
        <v/>
      </c>
      <c r="AK891" s="139" t="str">
        <f t="shared" si="273"/>
        <v/>
      </c>
    </row>
    <row r="892" spans="7:37" x14ac:dyDescent="0.25">
      <c r="G892" s="235" t="str">
        <f t="shared" si="259"/>
        <v/>
      </c>
      <c r="H892" s="4" t="str">
        <f t="shared" si="260"/>
        <v/>
      </c>
      <c r="I892" s="11" t="str">
        <f t="shared" si="261"/>
        <v>09.00</v>
      </c>
      <c r="K892" s="30">
        <v>717</v>
      </c>
      <c r="L892" s="29">
        <f t="shared" si="274"/>
        <v>11371.908376190917</v>
      </c>
      <c r="M892" s="28" t="str">
        <f t="shared" si="262"/>
        <v/>
      </c>
      <c r="N892" s="27" t="str">
        <f t="shared" si="275"/>
        <v/>
      </c>
      <c r="O892" s="26" t="str">
        <f>IF(AND($Q891=$O$38,IFERROR(LARGE($V$176:$V891,1)&lt;$N$42,TRUE)),1,IF(AND(ISNUMBER($O891),$O891&lt;$N$32),$O891+1,""))</f>
        <v/>
      </c>
      <c r="P892" s="26" t="str">
        <f t="shared" si="276"/>
        <v/>
      </c>
      <c r="Q892" s="26" t="str">
        <f t="shared" si="263"/>
        <v/>
      </c>
      <c r="R892" s="24" t="str">
        <f t="shared" si="277"/>
        <v/>
      </c>
      <c r="S892" s="180">
        <f t="shared" ref="S892:S905" si="278">IF($Q892=1,ROUNDDOWN($S891,0)+1,IF($R892=1,$S891+0.01,IF(ISNUMBER($U892),IF(AND($U892&gt;1,($U892-$U891)=1),$S891+0.01,$S891),$S891)))</f>
        <v>9</v>
      </c>
      <c r="T892" s="151"/>
      <c r="U892" s="25" t="str">
        <f t="shared" si="264"/>
        <v/>
      </c>
      <c r="V892" s="24" t="str">
        <f>IF(AND(ISNUMBER(R891),ISNUMBER(R892)),V891,IF(AND(R891="",ISNUMBER(R892)),IFERROR(LARGE($V$176:$V891,1)+1,0),""))</f>
        <v/>
      </c>
      <c r="W892" s="23" t="str">
        <f t="shared" si="265"/>
        <v/>
      </c>
      <c r="X892" s="22" t="str">
        <f t="shared" si="266"/>
        <v/>
      </c>
      <c r="Y892" s="22"/>
      <c r="Z892" s="22"/>
      <c r="AA892" s="22"/>
      <c r="AB892" s="22" t="str" cm="1">
        <f t="array" ref="AB892">IF(IF(AND($P891="",$P892=1),($N$37*-1),0)+IF(AND($Q891="",$Q892=1),($N$38*-1),0)+IF(IF(($K892-$N$48)&lt;1,0,IF(IF(INDEX($AD$176:$AD$905,($K892-$N$48))="",0,INDEX($AD$176:$AD$905,($K892-$N$48)))&gt;0,IF(INDEX($AD$176:$AD$905,($K892-$N$48))="",0,INDEX($AD$176:$AD$905,($K892-$N$48))),0))="",0,IF(($K892-$N$48)&lt;1,0,IF(IF(INDEX($AD$176:$AD$905,($K892-$N$48))="",0,INDEX($AD$176:$AD$905,($K892-$N$48)))&gt;0,IF(INDEX($AD$176:$AD$905,($K892-$N$48))="",0,INDEX($AD$176:$AD$905,($K892-$N$48))),0)))=0,"",IF(AND($P891="",$P892=1),($N$37*-1),0)+IF(AND($Q891="",$Q892=1),($N$38*-1),0)+IF(IF(($K892-$N$48)&lt;1,0,IF(IF(INDEX($AD$176:$AD$905,($K892-$N$48))="",0,INDEX($AD$176:$AD$905,($K892-$N$48)))&gt;0,IF(INDEX($AD$176:$AD$905,($K892-$N$48))="",0,INDEX($AD$176:$AD$905,($K892-$N$48))),0))="",0,IF(($K892-$N$48)&lt;1,0,IF(IF(INDEX($AD$176:$AD$905,($K892-$N$48))="",0,INDEX($AD$176:$AD$905,($K892-$N$48)))&gt;0,IF(INDEX($AD$176:$AD$905,($K892-$N$48))="",0,INDEX($AD$176:$AD$905,($K892-$N$48))),0))))</f>
        <v/>
      </c>
      <c r="AC892" s="22" t="str">
        <f t="shared" si="267"/>
        <v/>
      </c>
      <c r="AD892" s="22" t="str">
        <f t="shared" si="258"/>
        <v/>
      </c>
      <c r="AE892" s="22" t="str" cm="1">
        <f t="array" ref="AE892">IF(($K892-$N$48)&lt;1,"",IF((IF(INDEX($AC$176:$AC$905,($K892-$N$48))="",0,INDEX($AC$176:$AC$905,($K892-$N$48))))=0,"",(IF(INDEX($AC$176:$AC$905,($K892-$N$48))="",0,INDEX($AC$176:$AC$905,($K892-$N$48))))))</f>
        <v/>
      </c>
      <c r="AF892" s="31" t="str">
        <f t="shared" si="268"/>
        <v/>
      </c>
      <c r="AG892" s="31" t="str">
        <f t="shared" si="269"/>
        <v/>
      </c>
      <c r="AH892" s="31" t="str">
        <f t="shared" si="270"/>
        <v/>
      </c>
      <c r="AI892" s="31" t="str">
        <f t="shared" si="271"/>
        <v/>
      </c>
      <c r="AJ892" s="303" t="str">
        <f t="shared" si="272"/>
        <v/>
      </c>
      <c r="AK892" s="139" t="str">
        <f t="shared" si="273"/>
        <v/>
      </c>
    </row>
    <row r="893" spans="7:37" x14ac:dyDescent="0.25">
      <c r="G893" s="235" t="str">
        <f>IF(RIGHT(H893,2)=".N","NEW",IF(SUM(N893:R893)=0,"",LEFT(H893,5)))</f>
        <v/>
      </c>
      <c r="H893" s="4" t="str">
        <f t="shared" si="260"/>
        <v/>
      </c>
      <c r="I893" s="11" t="str">
        <f t="shared" si="261"/>
        <v>09.00</v>
      </c>
      <c r="K893" s="30">
        <v>718</v>
      </c>
      <c r="L893" s="29">
        <f t="shared" si="274"/>
        <v>11371.908376190917</v>
      </c>
      <c r="M893" s="28" t="str">
        <f t="shared" si="262"/>
        <v/>
      </c>
      <c r="N893" s="27" t="str">
        <f t="shared" si="275"/>
        <v/>
      </c>
      <c r="O893" s="26" t="str">
        <f>IF(AND($Q892=$O$38,IFERROR(LARGE($V$176:$V892,1)&lt;$N$42,TRUE)),1,IF(AND(ISNUMBER($O892),$O892&lt;$N$32),$O892+1,""))</f>
        <v/>
      </c>
      <c r="P893" s="26" t="str">
        <f t="shared" si="276"/>
        <v/>
      </c>
      <c r="Q893" s="26" t="str">
        <f t="shared" si="263"/>
        <v/>
      </c>
      <c r="R893" s="24" t="str">
        <f t="shared" si="277"/>
        <v/>
      </c>
      <c r="S893" s="180">
        <f t="shared" si="278"/>
        <v>9</v>
      </c>
      <c r="T893" s="151"/>
      <c r="U893" s="25" t="str">
        <f t="shared" si="264"/>
        <v/>
      </c>
      <c r="V893" s="24" t="str">
        <f>IF(AND(ISNUMBER(R892),ISNUMBER(R893)),V892,IF(AND(R892="",ISNUMBER(R893)),IFERROR(LARGE($V$176:$V892,1)+1,0),""))</f>
        <v/>
      </c>
      <c r="W893" s="23" t="str">
        <f t="shared" si="265"/>
        <v/>
      </c>
      <c r="X893" s="22" t="str">
        <f t="shared" si="266"/>
        <v/>
      </c>
      <c r="Y893" s="22"/>
      <c r="Z893" s="22"/>
      <c r="AA893" s="22"/>
      <c r="AB893" s="22" t="str" cm="1">
        <f t="array" ref="AB893">IF(IF(AND($P892="",$P893=1),($N$37*-1),0)+IF(AND($Q892="",$Q893=1),($N$38*-1),0)+IF(IF(($K893-$N$48)&lt;1,0,IF(IF(INDEX($AD$176:$AD$905,($K893-$N$48))="",0,INDEX($AD$176:$AD$905,($K893-$N$48)))&gt;0,IF(INDEX($AD$176:$AD$905,($K893-$N$48))="",0,INDEX($AD$176:$AD$905,($K893-$N$48))),0))="",0,IF(($K893-$N$48)&lt;1,0,IF(IF(INDEX($AD$176:$AD$905,($K893-$N$48))="",0,INDEX($AD$176:$AD$905,($K893-$N$48)))&gt;0,IF(INDEX($AD$176:$AD$905,($K893-$N$48))="",0,INDEX($AD$176:$AD$905,($K893-$N$48))),0)))=0,"",IF(AND($P892="",$P893=1),($N$37*-1),0)+IF(AND($Q892="",$Q893=1),($N$38*-1),0)+IF(IF(($K893-$N$48)&lt;1,0,IF(IF(INDEX($AD$176:$AD$905,($K893-$N$48))="",0,INDEX($AD$176:$AD$905,($K893-$N$48)))&gt;0,IF(INDEX($AD$176:$AD$905,($K893-$N$48))="",0,INDEX($AD$176:$AD$905,($K893-$N$48))),0))="",0,IF(($K893-$N$48)&lt;1,0,IF(IF(INDEX($AD$176:$AD$905,($K893-$N$48))="",0,INDEX($AD$176:$AD$905,($K893-$N$48)))&gt;0,IF(INDEX($AD$176:$AD$905,($K893-$N$48))="",0,INDEX($AD$176:$AD$905,($K893-$N$48))),0))))</f>
        <v/>
      </c>
      <c r="AC893" s="22" t="str">
        <f t="shared" si="267"/>
        <v/>
      </c>
      <c r="AD893" s="22" t="str">
        <f t="shared" si="258"/>
        <v/>
      </c>
      <c r="AE893" s="22" t="str" cm="1">
        <f t="array" ref="AE893">IF(($K893-$N$48)&lt;1,"",IF((IF(INDEX($AC$176:$AC$905,($K893-$N$48))="",0,INDEX($AC$176:$AC$905,($K893-$N$48))))=0,"",(IF(INDEX($AC$176:$AC$905,($K893-$N$48))="",0,INDEX($AC$176:$AC$905,($K893-$N$48))))))</f>
        <v/>
      </c>
      <c r="AF893" s="31" t="str">
        <f t="shared" si="268"/>
        <v/>
      </c>
      <c r="AG893" s="31" t="str">
        <f t="shared" si="269"/>
        <v/>
      </c>
      <c r="AH893" s="31" t="str">
        <f t="shared" si="270"/>
        <v/>
      </c>
      <c r="AI893" s="31" t="str">
        <f t="shared" si="271"/>
        <v/>
      </c>
      <c r="AJ893" s="303" t="str">
        <f t="shared" si="272"/>
        <v/>
      </c>
      <c r="AK893" s="139" t="str">
        <f t="shared" si="273"/>
        <v/>
      </c>
    </row>
    <row r="894" spans="7:37" x14ac:dyDescent="0.25">
      <c r="G894" s="235" t="str">
        <f t="shared" ref="G894:G905" si="279">IF(RIGHT(H894,2)=".N","NEW",IF(SUM(N894:R894)=0,"",LEFT(H894,5)))</f>
        <v/>
      </c>
      <c r="H894" s="4" t="str">
        <f t="shared" si="260"/>
        <v/>
      </c>
      <c r="I894" s="11" t="str">
        <f t="shared" si="261"/>
        <v>09.00</v>
      </c>
      <c r="K894" s="30">
        <v>719</v>
      </c>
      <c r="L894" s="29">
        <f t="shared" si="274"/>
        <v>11371.908376190917</v>
      </c>
      <c r="M894" s="28" t="str">
        <f t="shared" si="262"/>
        <v/>
      </c>
      <c r="N894" s="27" t="str">
        <f t="shared" si="275"/>
        <v/>
      </c>
      <c r="O894" s="26" t="str">
        <f>IF(AND($Q893=$O$38,IFERROR(LARGE($V$176:$V893,1)&lt;$N$42,TRUE)),1,IF(AND(ISNUMBER($O893),$O893&lt;$N$32),$O893+1,""))</f>
        <v/>
      </c>
      <c r="P894" s="26" t="str">
        <f t="shared" si="276"/>
        <v/>
      </c>
      <c r="Q894" s="26" t="str">
        <f t="shared" si="263"/>
        <v/>
      </c>
      <c r="R894" s="24" t="str">
        <f t="shared" si="277"/>
        <v/>
      </c>
      <c r="S894" s="180">
        <f t="shared" si="278"/>
        <v>9</v>
      </c>
      <c r="T894" s="151"/>
      <c r="U894" s="25" t="str">
        <f t="shared" si="264"/>
        <v/>
      </c>
      <c r="V894" s="24" t="str">
        <f>IF(AND(ISNUMBER(R893),ISNUMBER(R894)),V893,IF(AND(R893="",ISNUMBER(R894)),IFERROR(LARGE($V$176:$V893,1)+1,0),""))</f>
        <v/>
      </c>
      <c r="W894" s="23" t="str">
        <f t="shared" si="265"/>
        <v/>
      </c>
      <c r="X894" s="22" t="str">
        <f t="shared" si="266"/>
        <v/>
      </c>
      <c r="Y894" s="22"/>
      <c r="Z894" s="22"/>
      <c r="AA894" s="22"/>
      <c r="AB894" s="22" t="str" cm="1">
        <f t="array" ref="AB894">IF(IF(AND($P893="",$P894=1),($N$37*-1),0)+IF(AND($Q893="",$Q894=1),($N$38*-1),0)+IF(IF(($K894-$N$48)&lt;1,0,IF(IF(INDEX($AD$176:$AD$905,($K894-$N$48))="",0,INDEX($AD$176:$AD$905,($K894-$N$48)))&gt;0,IF(INDEX($AD$176:$AD$905,($K894-$N$48))="",0,INDEX($AD$176:$AD$905,($K894-$N$48))),0))="",0,IF(($K894-$N$48)&lt;1,0,IF(IF(INDEX($AD$176:$AD$905,($K894-$N$48))="",0,INDEX($AD$176:$AD$905,($K894-$N$48)))&gt;0,IF(INDEX($AD$176:$AD$905,($K894-$N$48))="",0,INDEX($AD$176:$AD$905,($K894-$N$48))),0)))=0,"",IF(AND($P893="",$P894=1),($N$37*-1),0)+IF(AND($Q893="",$Q894=1),($N$38*-1),0)+IF(IF(($K894-$N$48)&lt;1,0,IF(IF(INDEX($AD$176:$AD$905,($K894-$N$48))="",0,INDEX($AD$176:$AD$905,($K894-$N$48)))&gt;0,IF(INDEX($AD$176:$AD$905,($K894-$N$48))="",0,INDEX($AD$176:$AD$905,($K894-$N$48))),0))="",0,IF(($K894-$N$48)&lt;1,0,IF(IF(INDEX($AD$176:$AD$905,($K894-$N$48))="",0,INDEX($AD$176:$AD$905,($K894-$N$48)))&gt;0,IF(INDEX($AD$176:$AD$905,($K894-$N$48))="",0,INDEX($AD$176:$AD$905,($K894-$N$48))),0))))</f>
        <v/>
      </c>
      <c r="AC894" s="22" t="str">
        <f t="shared" si="267"/>
        <v/>
      </c>
      <c r="AD894" s="22" t="str">
        <f t="shared" si="258"/>
        <v/>
      </c>
      <c r="AE894" s="22" t="str" cm="1">
        <f t="array" ref="AE894">IF(($K894-$N$48)&lt;1,"",IF((IF(INDEX($AC$176:$AC$905,($K894-$N$48))="",0,INDEX($AC$176:$AC$905,($K894-$N$48))))=0,"",(IF(INDEX($AC$176:$AC$905,($K894-$N$48))="",0,INDEX($AC$176:$AC$905,($K894-$N$48))))))</f>
        <v/>
      </c>
      <c r="AF894" s="31" t="str">
        <f t="shared" si="268"/>
        <v/>
      </c>
      <c r="AG894" s="31" t="str">
        <f t="shared" si="269"/>
        <v/>
      </c>
      <c r="AH894" s="31" t="str">
        <f t="shared" si="270"/>
        <v/>
      </c>
      <c r="AI894" s="31" t="str">
        <f t="shared" si="271"/>
        <v/>
      </c>
      <c r="AJ894" s="303" t="str">
        <f t="shared" si="272"/>
        <v/>
      </c>
      <c r="AK894" s="139" t="str">
        <f t="shared" si="273"/>
        <v/>
      </c>
    </row>
    <row r="895" spans="7:37" x14ac:dyDescent="0.25">
      <c r="G895" s="235" t="str">
        <f t="shared" si="279"/>
        <v/>
      </c>
      <c r="H895" s="4" t="str">
        <f t="shared" si="260"/>
        <v/>
      </c>
      <c r="I895" s="11" t="str">
        <f t="shared" si="261"/>
        <v>09.00</v>
      </c>
      <c r="K895" s="30">
        <v>720</v>
      </c>
      <c r="L895" s="29">
        <f t="shared" si="274"/>
        <v>11371.908376190917</v>
      </c>
      <c r="M895" s="28" t="str">
        <f t="shared" si="262"/>
        <v/>
      </c>
      <c r="N895" s="27" t="str">
        <f t="shared" si="275"/>
        <v/>
      </c>
      <c r="O895" s="26" t="str">
        <f>IF(AND($Q894=$O$38,IFERROR(LARGE($V$176:$V894,1)&lt;$N$42,TRUE)),1,IF(AND(ISNUMBER($O894),$O894&lt;$N$32),$O894+1,""))</f>
        <v/>
      </c>
      <c r="P895" s="26" t="str">
        <f t="shared" si="276"/>
        <v/>
      </c>
      <c r="Q895" s="26" t="str">
        <f t="shared" si="263"/>
        <v/>
      </c>
      <c r="R895" s="24" t="str">
        <f t="shared" si="277"/>
        <v/>
      </c>
      <c r="S895" s="180">
        <f t="shared" si="278"/>
        <v>9</v>
      </c>
      <c r="T895" s="151"/>
      <c r="U895" s="25" t="str">
        <f t="shared" si="264"/>
        <v/>
      </c>
      <c r="V895" s="24" t="str">
        <f>IF(AND(ISNUMBER(R894),ISNUMBER(R895)),V894,IF(AND(R894="",ISNUMBER(R895)),IFERROR(LARGE($V$176:$V894,1)+1,0),""))</f>
        <v/>
      </c>
      <c r="W895" s="23" t="str">
        <f t="shared" si="265"/>
        <v/>
      </c>
      <c r="X895" s="22" t="str">
        <f t="shared" si="266"/>
        <v/>
      </c>
      <c r="Y895" s="22"/>
      <c r="Z895" s="22"/>
      <c r="AA895" s="22"/>
      <c r="AB895" s="22" t="str" cm="1">
        <f t="array" ref="AB895">IF(IF(AND($P894="",$P895=1),($N$37*-1),0)+IF(AND($Q894="",$Q895=1),($N$38*-1),0)+IF(IF(($K895-$N$48)&lt;1,0,IF(IF(INDEX($AD$176:$AD$905,($K895-$N$48))="",0,INDEX($AD$176:$AD$905,($K895-$N$48)))&gt;0,IF(INDEX($AD$176:$AD$905,($K895-$N$48))="",0,INDEX($AD$176:$AD$905,($K895-$N$48))),0))="",0,IF(($K895-$N$48)&lt;1,0,IF(IF(INDEX($AD$176:$AD$905,($K895-$N$48))="",0,INDEX($AD$176:$AD$905,($K895-$N$48)))&gt;0,IF(INDEX($AD$176:$AD$905,($K895-$N$48))="",0,INDEX($AD$176:$AD$905,($K895-$N$48))),0)))=0,"",IF(AND($P894="",$P895=1),($N$37*-1),0)+IF(AND($Q894="",$Q895=1),($N$38*-1),0)+IF(IF(($K895-$N$48)&lt;1,0,IF(IF(INDEX($AD$176:$AD$905,($K895-$N$48))="",0,INDEX($AD$176:$AD$905,($K895-$N$48)))&gt;0,IF(INDEX($AD$176:$AD$905,($K895-$N$48))="",0,INDEX($AD$176:$AD$905,($K895-$N$48))),0))="",0,IF(($K895-$N$48)&lt;1,0,IF(IF(INDEX($AD$176:$AD$905,($K895-$N$48))="",0,INDEX($AD$176:$AD$905,($K895-$N$48)))&gt;0,IF(INDEX($AD$176:$AD$905,($K895-$N$48))="",0,INDEX($AD$176:$AD$905,($K895-$N$48))),0))))</f>
        <v/>
      </c>
      <c r="AC895" s="22" t="str">
        <f t="shared" si="267"/>
        <v/>
      </c>
      <c r="AD895" s="22" t="str">
        <f t="shared" si="258"/>
        <v/>
      </c>
      <c r="AE895" s="22" t="str" cm="1">
        <f t="array" ref="AE895">IF(($K895-$N$48)&lt;1,"",IF((IF(INDEX($AC$176:$AC$905,($K895-$N$48))="",0,INDEX($AC$176:$AC$905,($K895-$N$48))))=0,"",(IF(INDEX($AC$176:$AC$905,($K895-$N$48))="",0,INDEX($AC$176:$AC$905,($K895-$N$48))))))</f>
        <v/>
      </c>
      <c r="AF895" s="31" t="str">
        <f t="shared" si="268"/>
        <v/>
      </c>
      <c r="AG895" s="31" t="str">
        <f t="shared" si="269"/>
        <v/>
      </c>
      <c r="AH895" s="31" t="str">
        <f t="shared" si="270"/>
        <v/>
      </c>
      <c r="AI895" s="31" t="str">
        <f t="shared" si="271"/>
        <v/>
      </c>
      <c r="AJ895" s="303" t="str">
        <f t="shared" si="272"/>
        <v/>
      </c>
      <c r="AK895" s="139" t="str">
        <f t="shared" si="273"/>
        <v/>
      </c>
    </row>
    <row r="896" spans="7:37" x14ac:dyDescent="0.25">
      <c r="G896" s="235" t="str">
        <f t="shared" si="279"/>
        <v/>
      </c>
      <c r="H896" s="4" t="str">
        <f t="shared" si="260"/>
        <v/>
      </c>
      <c r="I896" s="11" t="str">
        <f t="shared" si="261"/>
        <v>09.00</v>
      </c>
      <c r="K896" s="30">
        <v>721</v>
      </c>
      <c r="L896" s="29">
        <f t="shared" si="274"/>
        <v>11371.908376190917</v>
      </c>
      <c r="M896" s="28" t="str">
        <f t="shared" si="262"/>
        <v/>
      </c>
      <c r="N896" s="27" t="str">
        <f t="shared" si="275"/>
        <v/>
      </c>
      <c r="O896" s="26" t="str">
        <f>IF(AND($Q895=$O$38,IFERROR(LARGE($V$176:$V895,1)&lt;$N$42,TRUE)),1,IF(AND(ISNUMBER($O895),$O895&lt;$N$32),$O895+1,""))</f>
        <v/>
      </c>
      <c r="P896" s="26" t="str">
        <f t="shared" si="276"/>
        <v/>
      </c>
      <c r="Q896" s="26" t="str">
        <f t="shared" si="263"/>
        <v/>
      </c>
      <c r="R896" s="24" t="str">
        <f t="shared" si="277"/>
        <v/>
      </c>
      <c r="S896" s="180">
        <f t="shared" si="278"/>
        <v>9</v>
      </c>
      <c r="T896" s="151"/>
      <c r="U896" s="25" t="str">
        <f t="shared" si="264"/>
        <v/>
      </c>
      <c r="V896" s="24" t="str">
        <f>IF(AND(ISNUMBER(R895),ISNUMBER(R896)),V895,IF(AND(R895="",ISNUMBER(R896)),IFERROR(LARGE($V$176:$V895,1)+1,0),""))</f>
        <v/>
      </c>
      <c r="W896" s="23" t="str">
        <f t="shared" si="265"/>
        <v/>
      </c>
      <c r="X896" s="22" t="str">
        <f t="shared" si="266"/>
        <v/>
      </c>
      <c r="Y896" s="22"/>
      <c r="Z896" s="22"/>
      <c r="AA896" s="22"/>
      <c r="AB896" s="22" t="str" cm="1">
        <f t="array" ref="AB896">IF(IF(AND($P895="",$P896=1),($N$37*-1),0)+IF(AND($Q895="",$Q896=1),($N$38*-1),0)+IF(IF(($K896-$N$48)&lt;1,0,IF(IF(INDEX($AD$176:$AD$905,($K896-$N$48))="",0,INDEX($AD$176:$AD$905,($K896-$N$48)))&gt;0,IF(INDEX($AD$176:$AD$905,($K896-$N$48))="",0,INDEX($AD$176:$AD$905,($K896-$N$48))),0))="",0,IF(($K896-$N$48)&lt;1,0,IF(IF(INDEX($AD$176:$AD$905,($K896-$N$48))="",0,INDEX($AD$176:$AD$905,($K896-$N$48)))&gt;0,IF(INDEX($AD$176:$AD$905,($K896-$N$48))="",0,INDEX($AD$176:$AD$905,($K896-$N$48))),0)))=0,"",IF(AND($P895="",$P896=1),($N$37*-1),0)+IF(AND($Q895="",$Q896=1),($N$38*-1),0)+IF(IF(($K896-$N$48)&lt;1,0,IF(IF(INDEX($AD$176:$AD$905,($K896-$N$48))="",0,INDEX($AD$176:$AD$905,($K896-$N$48)))&gt;0,IF(INDEX($AD$176:$AD$905,($K896-$N$48))="",0,INDEX($AD$176:$AD$905,($K896-$N$48))),0))="",0,IF(($K896-$N$48)&lt;1,0,IF(IF(INDEX($AD$176:$AD$905,($K896-$N$48))="",0,INDEX($AD$176:$AD$905,($K896-$N$48)))&gt;0,IF(INDEX($AD$176:$AD$905,($K896-$N$48))="",0,INDEX($AD$176:$AD$905,($K896-$N$48))),0))))</f>
        <v/>
      </c>
      <c r="AC896" s="22" t="str">
        <f t="shared" si="267"/>
        <v/>
      </c>
      <c r="AD896" s="22" t="str">
        <f t="shared" ref="AD896:AD905" si="280">IF(IF(OR(AND(ISNUMBER($U896),IF(ISNUMBER($U897),$U897,0)-IF(ISNUMBER($U896),$U896,0)=1),AND(ISNUMBER($U896),$U897="")),IF($U896=1,$P$37,0),0)=0,"",IF(OR(AND(ISNUMBER($U896),IF(ISNUMBER($U897),$U897,0)-IF(ISNUMBER($U896),$U896,0)=1),AND(ISNUMBER($U896),$U897="")),IF($U896=1,$P$37,0),0))</f>
        <v/>
      </c>
      <c r="AE896" s="22" t="str" cm="1">
        <f t="array" ref="AE896">IF(($K896-$N$48)&lt;1,"",IF((IF(INDEX($AC$176:$AC$905,($K896-$N$48))="",0,INDEX($AC$176:$AC$905,($K896-$N$48))))=0,"",(IF(INDEX($AC$176:$AC$905,($K896-$N$48))="",0,INDEX($AC$176:$AC$905,($K896-$N$48))))))</f>
        <v/>
      </c>
      <c r="AF896" s="31" t="str">
        <f t="shared" si="268"/>
        <v/>
      </c>
      <c r="AG896" s="31" t="str">
        <f t="shared" si="269"/>
        <v/>
      </c>
      <c r="AH896" s="31" t="str">
        <f t="shared" si="270"/>
        <v/>
      </c>
      <c r="AI896" s="31" t="str">
        <f t="shared" si="271"/>
        <v/>
      </c>
      <c r="AJ896" s="303" t="str">
        <f t="shared" si="272"/>
        <v/>
      </c>
      <c r="AK896" s="139" t="str">
        <f t="shared" si="273"/>
        <v/>
      </c>
    </row>
    <row r="897" spans="7:37" x14ac:dyDescent="0.25">
      <c r="G897" s="235" t="str">
        <f t="shared" si="279"/>
        <v/>
      </c>
      <c r="H897" s="4" t="str">
        <f t="shared" si="260"/>
        <v/>
      </c>
      <c r="I897" s="11" t="str">
        <f t="shared" si="261"/>
        <v>09.00</v>
      </c>
      <c r="K897" s="30">
        <v>722</v>
      </c>
      <c r="L897" s="29">
        <f t="shared" si="274"/>
        <v>11371.908376190917</v>
      </c>
      <c r="M897" s="28" t="str">
        <f t="shared" si="262"/>
        <v/>
      </c>
      <c r="N897" s="27" t="str">
        <f t="shared" si="275"/>
        <v/>
      </c>
      <c r="O897" s="26" t="str">
        <f>IF(AND($Q896=$O$38,IFERROR(LARGE($V$176:$V896,1)&lt;$N$42,TRUE)),1,IF(AND(ISNUMBER($O896),$O896&lt;$N$32),$O896+1,""))</f>
        <v/>
      </c>
      <c r="P897" s="26" t="str">
        <f t="shared" si="276"/>
        <v/>
      </c>
      <c r="Q897" s="26" t="str">
        <f t="shared" si="263"/>
        <v/>
      </c>
      <c r="R897" s="24" t="str">
        <f t="shared" si="277"/>
        <v/>
      </c>
      <c r="S897" s="180">
        <f t="shared" si="278"/>
        <v>9</v>
      </c>
      <c r="T897" s="151"/>
      <c r="U897" s="25" t="str">
        <f t="shared" si="264"/>
        <v/>
      </c>
      <c r="V897" s="24" t="str">
        <f>IF(AND(ISNUMBER(R896),ISNUMBER(R897)),V896,IF(AND(R896="",ISNUMBER(R897)),IFERROR(LARGE($V$176:$V896,1)+1,0),""))</f>
        <v/>
      </c>
      <c r="W897" s="23" t="str">
        <f t="shared" si="265"/>
        <v/>
      </c>
      <c r="X897" s="22" t="str">
        <f t="shared" si="266"/>
        <v/>
      </c>
      <c r="Y897" s="22"/>
      <c r="Z897" s="22"/>
      <c r="AA897" s="22"/>
      <c r="AB897" s="22" t="str" cm="1">
        <f t="array" ref="AB897">IF(IF(AND($P896="",$P897=1),($N$37*-1),0)+IF(AND($Q896="",$Q897=1),($N$38*-1),0)+IF(IF(($K897-$N$48)&lt;1,0,IF(IF(INDEX($AD$176:$AD$905,($K897-$N$48))="",0,INDEX($AD$176:$AD$905,($K897-$N$48)))&gt;0,IF(INDEX($AD$176:$AD$905,($K897-$N$48))="",0,INDEX($AD$176:$AD$905,($K897-$N$48))),0))="",0,IF(($K897-$N$48)&lt;1,0,IF(IF(INDEX($AD$176:$AD$905,($K897-$N$48))="",0,INDEX($AD$176:$AD$905,($K897-$N$48)))&gt;0,IF(INDEX($AD$176:$AD$905,($K897-$N$48))="",0,INDEX($AD$176:$AD$905,($K897-$N$48))),0)))=0,"",IF(AND($P896="",$P897=1),($N$37*-1),0)+IF(AND($Q896="",$Q897=1),($N$38*-1),0)+IF(IF(($K897-$N$48)&lt;1,0,IF(IF(INDEX($AD$176:$AD$905,($K897-$N$48))="",0,INDEX($AD$176:$AD$905,($K897-$N$48)))&gt;0,IF(INDEX($AD$176:$AD$905,($K897-$N$48))="",0,INDEX($AD$176:$AD$905,($K897-$N$48))),0))="",0,IF(($K897-$N$48)&lt;1,0,IF(IF(INDEX($AD$176:$AD$905,($K897-$N$48))="",0,INDEX($AD$176:$AD$905,($K897-$N$48)))&gt;0,IF(INDEX($AD$176:$AD$905,($K897-$N$48))="",0,INDEX($AD$176:$AD$905,($K897-$N$48))),0))))</f>
        <v/>
      </c>
      <c r="AC897" s="22" t="str">
        <f t="shared" si="267"/>
        <v/>
      </c>
      <c r="AD897" s="22" t="str">
        <f t="shared" si="280"/>
        <v/>
      </c>
      <c r="AE897" s="22" t="str" cm="1">
        <f t="array" ref="AE897">IF(($K897-$N$48)&lt;1,"",IF((IF(INDEX($AC$176:$AC$905,($K897-$N$48))="",0,INDEX($AC$176:$AC$905,($K897-$N$48))))=0,"",(IF(INDEX($AC$176:$AC$905,($K897-$N$48))="",0,INDEX($AC$176:$AC$905,($K897-$N$48))))))</f>
        <v/>
      </c>
      <c r="AF897" s="31" t="str">
        <f t="shared" si="268"/>
        <v/>
      </c>
      <c r="AG897" s="31" t="str">
        <f t="shared" si="269"/>
        <v/>
      </c>
      <c r="AH897" s="31" t="str">
        <f t="shared" si="270"/>
        <v/>
      </c>
      <c r="AI897" s="31" t="str">
        <f t="shared" si="271"/>
        <v/>
      </c>
      <c r="AJ897" s="303" t="str">
        <f t="shared" si="272"/>
        <v/>
      </c>
      <c r="AK897" s="139" t="str">
        <f t="shared" si="273"/>
        <v/>
      </c>
    </row>
    <row r="898" spans="7:37" x14ac:dyDescent="0.25">
      <c r="G898" s="235" t="str">
        <f t="shared" si="279"/>
        <v/>
      </c>
      <c r="H898" s="4" t="str">
        <f t="shared" si="260"/>
        <v/>
      </c>
      <c r="I898" s="11" t="str">
        <f t="shared" si="261"/>
        <v>09.00</v>
      </c>
      <c r="K898" s="30">
        <v>723</v>
      </c>
      <c r="L898" s="29">
        <f t="shared" si="274"/>
        <v>11371.908376190917</v>
      </c>
      <c r="M898" s="28" t="str">
        <f t="shared" si="262"/>
        <v/>
      </c>
      <c r="N898" s="27" t="str">
        <f t="shared" si="275"/>
        <v/>
      </c>
      <c r="O898" s="26" t="str">
        <f>IF(AND($Q897=$O$38,IFERROR(LARGE($V$176:$V897,1)&lt;$N$42,TRUE)),1,IF(AND(ISNUMBER($O897),$O897&lt;$N$32),$O897+1,""))</f>
        <v/>
      </c>
      <c r="P898" s="26" t="str">
        <f t="shared" si="276"/>
        <v/>
      </c>
      <c r="Q898" s="26" t="str">
        <f t="shared" si="263"/>
        <v/>
      </c>
      <c r="R898" s="24" t="str">
        <f t="shared" si="277"/>
        <v/>
      </c>
      <c r="S898" s="180">
        <f t="shared" si="278"/>
        <v>9</v>
      </c>
      <c r="T898" s="151"/>
      <c r="U898" s="25" t="str">
        <f t="shared" si="264"/>
        <v/>
      </c>
      <c r="V898" s="24" t="str">
        <f>IF(AND(ISNUMBER(R897),ISNUMBER(R898)),V897,IF(AND(R897="",ISNUMBER(R898)),IFERROR(LARGE($V$176:$V897,1)+1,0),""))</f>
        <v/>
      </c>
      <c r="W898" s="23" t="str">
        <f t="shared" si="265"/>
        <v/>
      </c>
      <c r="X898" s="22" t="str">
        <f t="shared" si="266"/>
        <v/>
      </c>
      <c r="Y898" s="22"/>
      <c r="Z898" s="22"/>
      <c r="AA898" s="22"/>
      <c r="AB898" s="22" t="str" cm="1">
        <f t="array" ref="AB898">IF(IF(AND($P897="",$P898=1),($N$37*-1),0)+IF(AND($Q897="",$Q898=1),($N$38*-1),0)+IF(IF(($K898-$N$48)&lt;1,0,IF(IF(INDEX($AD$176:$AD$905,($K898-$N$48))="",0,INDEX($AD$176:$AD$905,($K898-$N$48)))&gt;0,IF(INDEX($AD$176:$AD$905,($K898-$N$48))="",0,INDEX($AD$176:$AD$905,($K898-$N$48))),0))="",0,IF(($K898-$N$48)&lt;1,0,IF(IF(INDEX($AD$176:$AD$905,($K898-$N$48))="",0,INDEX($AD$176:$AD$905,($K898-$N$48)))&gt;0,IF(INDEX($AD$176:$AD$905,($K898-$N$48))="",0,INDEX($AD$176:$AD$905,($K898-$N$48))),0)))=0,"",IF(AND($P897="",$P898=1),($N$37*-1),0)+IF(AND($Q897="",$Q898=1),($N$38*-1),0)+IF(IF(($K898-$N$48)&lt;1,0,IF(IF(INDEX($AD$176:$AD$905,($K898-$N$48))="",0,INDEX($AD$176:$AD$905,($K898-$N$48)))&gt;0,IF(INDEX($AD$176:$AD$905,($K898-$N$48))="",0,INDEX($AD$176:$AD$905,($K898-$N$48))),0))="",0,IF(($K898-$N$48)&lt;1,0,IF(IF(INDEX($AD$176:$AD$905,($K898-$N$48))="",0,INDEX($AD$176:$AD$905,($K898-$N$48)))&gt;0,IF(INDEX($AD$176:$AD$905,($K898-$N$48))="",0,INDEX($AD$176:$AD$905,($K898-$N$48))),0))))</f>
        <v/>
      </c>
      <c r="AC898" s="22" t="str">
        <f t="shared" si="267"/>
        <v/>
      </c>
      <c r="AD898" s="22" t="str">
        <f t="shared" si="280"/>
        <v/>
      </c>
      <c r="AE898" s="22" t="str" cm="1">
        <f t="array" ref="AE898">IF(($K898-$N$48)&lt;1,"",IF((IF(INDEX($AC$176:$AC$905,($K898-$N$48))="",0,INDEX($AC$176:$AC$905,($K898-$N$48))))=0,"",(IF(INDEX($AC$176:$AC$905,($K898-$N$48))="",0,INDEX($AC$176:$AC$905,($K898-$N$48))))))</f>
        <v/>
      </c>
      <c r="AF898" s="31" t="str">
        <f t="shared" si="268"/>
        <v/>
      </c>
      <c r="AG898" s="31" t="str">
        <f t="shared" si="269"/>
        <v/>
      </c>
      <c r="AH898" s="31" t="str">
        <f t="shared" si="270"/>
        <v/>
      </c>
      <c r="AI898" s="31" t="str">
        <f t="shared" si="271"/>
        <v/>
      </c>
      <c r="AJ898" s="303" t="str">
        <f t="shared" si="272"/>
        <v/>
      </c>
      <c r="AK898" s="139" t="str">
        <f t="shared" si="273"/>
        <v/>
      </c>
    </row>
    <row r="899" spans="7:37" x14ac:dyDescent="0.25">
      <c r="G899" s="235" t="str">
        <f t="shared" si="279"/>
        <v/>
      </c>
      <c r="H899" s="4" t="str">
        <f t="shared" si="260"/>
        <v/>
      </c>
      <c r="I899" s="11" t="str">
        <f t="shared" si="261"/>
        <v>09.00</v>
      </c>
      <c r="K899" s="30">
        <v>724</v>
      </c>
      <c r="L899" s="29">
        <f t="shared" si="274"/>
        <v>11371.908376190917</v>
      </c>
      <c r="M899" s="28" t="str">
        <f t="shared" si="262"/>
        <v/>
      </c>
      <c r="N899" s="27" t="str">
        <f t="shared" si="275"/>
        <v/>
      </c>
      <c r="O899" s="26" t="str">
        <f>IF(AND($Q898=$O$38,IFERROR(LARGE($V$176:$V898,1)&lt;$N$42,TRUE)),1,IF(AND(ISNUMBER($O898),$O898&lt;$N$32),$O898+1,""))</f>
        <v/>
      </c>
      <c r="P899" s="26" t="str">
        <f t="shared" si="276"/>
        <v/>
      </c>
      <c r="Q899" s="26" t="str">
        <f t="shared" si="263"/>
        <v/>
      </c>
      <c r="R899" s="24" t="str">
        <f t="shared" si="277"/>
        <v/>
      </c>
      <c r="S899" s="180">
        <f t="shared" si="278"/>
        <v>9</v>
      </c>
      <c r="T899" s="151"/>
      <c r="U899" s="25" t="str">
        <f t="shared" si="264"/>
        <v/>
      </c>
      <c r="V899" s="24" t="str">
        <f>IF(AND(ISNUMBER(R898),ISNUMBER(R899)),V898,IF(AND(R898="",ISNUMBER(R899)),IFERROR(LARGE($V$176:$V898,1)+1,0),""))</f>
        <v/>
      </c>
      <c r="W899" s="23" t="str">
        <f t="shared" si="265"/>
        <v/>
      </c>
      <c r="X899" s="22" t="str">
        <f t="shared" si="266"/>
        <v/>
      </c>
      <c r="Y899" s="22"/>
      <c r="Z899" s="22"/>
      <c r="AA899" s="22"/>
      <c r="AB899" s="22" t="str" cm="1">
        <f t="array" ref="AB899">IF(IF(AND($P898="",$P899=1),($N$37*-1),0)+IF(AND($Q898="",$Q899=1),($N$38*-1),0)+IF(IF(($K899-$N$48)&lt;1,0,IF(IF(INDEX($AD$176:$AD$905,($K899-$N$48))="",0,INDEX($AD$176:$AD$905,($K899-$N$48)))&gt;0,IF(INDEX($AD$176:$AD$905,($K899-$N$48))="",0,INDEX($AD$176:$AD$905,($K899-$N$48))),0))="",0,IF(($K899-$N$48)&lt;1,0,IF(IF(INDEX($AD$176:$AD$905,($K899-$N$48))="",0,INDEX($AD$176:$AD$905,($K899-$N$48)))&gt;0,IF(INDEX($AD$176:$AD$905,($K899-$N$48))="",0,INDEX($AD$176:$AD$905,($K899-$N$48))),0)))=0,"",IF(AND($P898="",$P899=1),($N$37*-1),0)+IF(AND($Q898="",$Q899=1),($N$38*-1),0)+IF(IF(($K899-$N$48)&lt;1,0,IF(IF(INDEX($AD$176:$AD$905,($K899-$N$48))="",0,INDEX($AD$176:$AD$905,($K899-$N$48)))&gt;0,IF(INDEX($AD$176:$AD$905,($K899-$N$48))="",0,INDEX($AD$176:$AD$905,($K899-$N$48))),0))="",0,IF(($K899-$N$48)&lt;1,0,IF(IF(INDEX($AD$176:$AD$905,($K899-$N$48))="",0,INDEX($AD$176:$AD$905,($K899-$N$48)))&gt;0,IF(INDEX($AD$176:$AD$905,($K899-$N$48))="",0,INDEX($AD$176:$AD$905,($K899-$N$48))),0))))</f>
        <v/>
      </c>
      <c r="AC899" s="22" t="str">
        <f t="shared" si="267"/>
        <v/>
      </c>
      <c r="AD899" s="22" t="str">
        <f t="shared" si="280"/>
        <v/>
      </c>
      <c r="AE899" s="22" t="str" cm="1">
        <f t="array" ref="AE899">IF(($K899-$N$48)&lt;1,"",IF((IF(INDEX($AC$176:$AC$905,($K899-$N$48))="",0,INDEX($AC$176:$AC$905,($K899-$N$48))))=0,"",(IF(INDEX($AC$176:$AC$905,($K899-$N$48))="",0,INDEX($AC$176:$AC$905,($K899-$N$48))))))</f>
        <v/>
      </c>
      <c r="AF899" s="31" t="str">
        <f t="shared" si="268"/>
        <v/>
      </c>
      <c r="AG899" s="31" t="str">
        <f t="shared" si="269"/>
        <v/>
      </c>
      <c r="AH899" s="31" t="str">
        <f t="shared" si="270"/>
        <v/>
      </c>
      <c r="AI899" s="31" t="str">
        <f t="shared" si="271"/>
        <v/>
      </c>
      <c r="AJ899" s="303" t="str">
        <f t="shared" si="272"/>
        <v/>
      </c>
      <c r="AK899" s="139" t="str">
        <f t="shared" si="273"/>
        <v/>
      </c>
    </row>
    <row r="900" spans="7:37" x14ac:dyDescent="0.25">
      <c r="G900" s="235" t="str">
        <f t="shared" si="279"/>
        <v/>
      </c>
      <c r="H900" s="4" t="str">
        <f t="shared" si="260"/>
        <v/>
      </c>
      <c r="I900" s="11" t="str">
        <f t="shared" si="261"/>
        <v>09.00</v>
      </c>
      <c r="K900" s="30">
        <v>725</v>
      </c>
      <c r="L900" s="29">
        <f t="shared" si="274"/>
        <v>11371.908376190917</v>
      </c>
      <c r="M900" s="28" t="str">
        <f t="shared" si="262"/>
        <v/>
      </c>
      <c r="N900" s="27" t="str">
        <f t="shared" si="275"/>
        <v/>
      </c>
      <c r="O900" s="26" t="str">
        <f>IF(AND($Q899=$O$38,IFERROR(LARGE($V$176:$V899,1)&lt;$N$42,TRUE)),1,IF(AND(ISNUMBER($O899),$O899&lt;$N$32),$O899+1,""))</f>
        <v/>
      </c>
      <c r="P900" s="26" t="str">
        <f t="shared" si="276"/>
        <v/>
      </c>
      <c r="Q900" s="26" t="str">
        <f t="shared" si="263"/>
        <v/>
      </c>
      <c r="R900" s="24" t="str">
        <f t="shared" si="277"/>
        <v/>
      </c>
      <c r="S900" s="180">
        <f t="shared" si="278"/>
        <v>9</v>
      </c>
      <c r="T900" s="151"/>
      <c r="U900" s="25" t="str">
        <f t="shared" si="264"/>
        <v/>
      </c>
      <c r="V900" s="24" t="str">
        <f>IF(AND(ISNUMBER(R899),ISNUMBER(R900)),V899,IF(AND(R899="",ISNUMBER(R900)),IFERROR(LARGE($V$176:$V899,1)+1,0),""))</f>
        <v/>
      </c>
      <c r="W900" s="23" t="str">
        <f t="shared" si="265"/>
        <v/>
      </c>
      <c r="X900" s="22" t="str">
        <f t="shared" si="266"/>
        <v/>
      </c>
      <c r="Y900" s="22"/>
      <c r="Z900" s="22"/>
      <c r="AA900" s="22"/>
      <c r="AB900" s="22" t="str" cm="1">
        <f t="array" ref="AB900">IF(IF(AND($P899="",$P900=1),($N$37*-1),0)+IF(AND($Q899="",$Q900=1),($N$38*-1),0)+IF(IF(($K900-$N$48)&lt;1,0,IF(IF(INDEX($AD$176:$AD$905,($K900-$N$48))="",0,INDEX($AD$176:$AD$905,($K900-$N$48)))&gt;0,IF(INDEX($AD$176:$AD$905,($K900-$N$48))="",0,INDEX($AD$176:$AD$905,($K900-$N$48))),0))="",0,IF(($K900-$N$48)&lt;1,0,IF(IF(INDEX($AD$176:$AD$905,($K900-$N$48))="",0,INDEX($AD$176:$AD$905,($K900-$N$48)))&gt;0,IF(INDEX($AD$176:$AD$905,($K900-$N$48))="",0,INDEX($AD$176:$AD$905,($K900-$N$48))),0)))=0,"",IF(AND($P899="",$P900=1),($N$37*-1),0)+IF(AND($Q899="",$Q900=1),($N$38*-1),0)+IF(IF(($K900-$N$48)&lt;1,0,IF(IF(INDEX($AD$176:$AD$905,($K900-$N$48))="",0,INDEX($AD$176:$AD$905,($K900-$N$48)))&gt;0,IF(INDEX($AD$176:$AD$905,($K900-$N$48))="",0,INDEX($AD$176:$AD$905,($K900-$N$48))),0))="",0,IF(($K900-$N$48)&lt;1,0,IF(IF(INDEX($AD$176:$AD$905,($K900-$N$48))="",0,INDEX($AD$176:$AD$905,($K900-$N$48)))&gt;0,IF(INDEX($AD$176:$AD$905,($K900-$N$48))="",0,INDEX($AD$176:$AD$905,($K900-$N$48))),0))))</f>
        <v/>
      </c>
      <c r="AC900" s="22" t="str">
        <f t="shared" si="267"/>
        <v/>
      </c>
      <c r="AD900" s="22" t="str">
        <f t="shared" si="280"/>
        <v/>
      </c>
      <c r="AE900" s="22" t="str" cm="1">
        <f t="array" ref="AE900">IF(($K900-$N$48)&lt;1,"",IF((IF(INDEX($AC$176:$AC$905,($K900-$N$48))="",0,INDEX($AC$176:$AC$905,($K900-$N$48))))=0,"",(IF(INDEX($AC$176:$AC$905,($K900-$N$48))="",0,INDEX($AC$176:$AC$905,($K900-$N$48))))))</f>
        <v/>
      </c>
      <c r="AF900" s="31" t="str">
        <f t="shared" si="268"/>
        <v/>
      </c>
      <c r="AG900" s="31" t="str">
        <f t="shared" si="269"/>
        <v/>
      </c>
      <c r="AH900" s="31" t="str">
        <f t="shared" si="270"/>
        <v/>
      </c>
      <c r="AI900" s="31" t="str">
        <f t="shared" si="271"/>
        <v/>
      </c>
      <c r="AJ900" s="303" t="str">
        <f t="shared" si="272"/>
        <v/>
      </c>
      <c r="AK900" s="139" t="str">
        <f t="shared" si="273"/>
        <v/>
      </c>
    </row>
    <row r="901" spans="7:37" x14ac:dyDescent="0.25">
      <c r="G901" s="235" t="str">
        <f t="shared" si="279"/>
        <v/>
      </c>
      <c r="H901" s="4" t="str">
        <f t="shared" si="260"/>
        <v/>
      </c>
      <c r="I901" s="11" t="str">
        <f t="shared" si="261"/>
        <v>09.00</v>
      </c>
      <c r="K901" s="30">
        <v>726</v>
      </c>
      <c r="L901" s="29">
        <f t="shared" si="274"/>
        <v>11371.908376190917</v>
      </c>
      <c r="M901" s="28" t="str">
        <f t="shared" si="262"/>
        <v/>
      </c>
      <c r="N901" s="27" t="str">
        <f t="shared" si="275"/>
        <v/>
      </c>
      <c r="O901" s="26" t="str">
        <f>IF(AND($Q900=$O$38,IFERROR(LARGE($V$176:$V900,1)&lt;$N$42,TRUE)),1,IF(AND(ISNUMBER($O900),$O900&lt;$N$32),$O900+1,""))</f>
        <v/>
      </c>
      <c r="P901" s="26" t="str">
        <f t="shared" si="276"/>
        <v/>
      </c>
      <c r="Q901" s="26" t="str">
        <f t="shared" si="263"/>
        <v/>
      </c>
      <c r="R901" s="24" t="str">
        <f t="shared" si="277"/>
        <v/>
      </c>
      <c r="S901" s="180">
        <f t="shared" si="278"/>
        <v>9</v>
      </c>
      <c r="T901" s="151"/>
      <c r="U901" s="25" t="str">
        <f t="shared" si="264"/>
        <v/>
      </c>
      <c r="V901" s="24" t="str">
        <f>IF(AND(ISNUMBER(R900),ISNUMBER(R901)),V900,IF(AND(R900="",ISNUMBER(R901)),IFERROR(LARGE($V$176:$V900,1)+1,0),""))</f>
        <v/>
      </c>
      <c r="W901" s="23" t="str">
        <f t="shared" si="265"/>
        <v/>
      </c>
      <c r="X901" s="22" t="str">
        <f t="shared" si="266"/>
        <v/>
      </c>
      <c r="Y901" s="22"/>
      <c r="Z901" s="22"/>
      <c r="AA901" s="22"/>
      <c r="AB901" s="22" t="str" cm="1">
        <f t="array" ref="AB901">IF(IF(AND($P900="",$P901=1),($N$37*-1),0)+IF(AND($Q900="",$Q901=1),($N$38*-1),0)+IF(IF(($K901-$N$48)&lt;1,0,IF(IF(INDEX($AD$176:$AD$905,($K901-$N$48))="",0,INDEX($AD$176:$AD$905,($K901-$N$48)))&gt;0,IF(INDEX($AD$176:$AD$905,($K901-$N$48))="",0,INDEX($AD$176:$AD$905,($K901-$N$48))),0))="",0,IF(($K901-$N$48)&lt;1,0,IF(IF(INDEX($AD$176:$AD$905,($K901-$N$48))="",0,INDEX($AD$176:$AD$905,($K901-$N$48)))&gt;0,IF(INDEX($AD$176:$AD$905,($K901-$N$48))="",0,INDEX($AD$176:$AD$905,($K901-$N$48))),0)))=0,"",IF(AND($P900="",$P901=1),($N$37*-1),0)+IF(AND($Q900="",$Q901=1),($N$38*-1),0)+IF(IF(($K901-$N$48)&lt;1,0,IF(IF(INDEX($AD$176:$AD$905,($K901-$N$48))="",0,INDEX($AD$176:$AD$905,($K901-$N$48)))&gt;0,IF(INDEX($AD$176:$AD$905,($K901-$N$48))="",0,INDEX($AD$176:$AD$905,($K901-$N$48))),0))="",0,IF(($K901-$N$48)&lt;1,0,IF(IF(INDEX($AD$176:$AD$905,($K901-$N$48))="",0,INDEX($AD$176:$AD$905,($K901-$N$48)))&gt;0,IF(INDEX($AD$176:$AD$905,($K901-$N$48))="",0,INDEX($AD$176:$AD$905,($K901-$N$48))),0))))</f>
        <v/>
      </c>
      <c r="AC901" s="22" t="str">
        <f t="shared" si="267"/>
        <v/>
      </c>
      <c r="AD901" s="22" t="str">
        <f t="shared" si="280"/>
        <v/>
      </c>
      <c r="AE901" s="22" t="str" cm="1">
        <f t="array" ref="AE901">IF(($K901-$N$48)&lt;1,"",IF((IF(INDEX($AC$176:$AC$905,($K901-$N$48))="",0,INDEX($AC$176:$AC$905,($K901-$N$48))))=0,"",(IF(INDEX($AC$176:$AC$905,($K901-$N$48))="",0,INDEX($AC$176:$AC$905,($K901-$N$48))))))</f>
        <v/>
      </c>
      <c r="AF901" s="22" t="str">
        <f t="shared" si="268"/>
        <v/>
      </c>
      <c r="AG901" s="22" t="str">
        <f t="shared" si="269"/>
        <v/>
      </c>
      <c r="AH901" s="22" t="str">
        <f t="shared" si="270"/>
        <v/>
      </c>
      <c r="AI901" s="22" t="str">
        <f t="shared" si="271"/>
        <v/>
      </c>
      <c r="AJ901" s="304" t="str">
        <f t="shared" si="272"/>
        <v/>
      </c>
      <c r="AK901" s="140" t="str">
        <f t="shared" si="273"/>
        <v/>
      </c>
    </row>
    <row r="902" spans="7:37" x14ac:dyDescent="0.25">
      <c r="G902" s="235" t="str">
        <f t="shared" si="279"/>
        <v/>
      </c>
      <c r="H902" s="4" t="str">
        <f t="shared" si="260"/>
        <v/>
      </c>
      <c r="I902" s="11" t="str">
        <f t="shared" si="261"/>
        <v>09.00</v>
      </c>
      <c r="K902" s="30">
        <v>727</v>
      </c>
      <c r="L902" s="29">
        <f t="shared" si="274"/>
        <v>11371.908376190917</v>
      </c>
      <c r="M902" s="28" t="str">
        <f t="shared" si="262"/>
        <v/>
      </c>
      <c r="N902" s="27" t="str">
        <f t="shared" si="275"/>
        <v/>
      </c>
      <c r="O902" s="26" t="str">
        <f>IF(AND($Q901=$O$38,IFERROR(LARGE($V$176:$V901,1)&lt;$N$42,TRUE)),1,IF(AND(ISNUMBER($O901),$O901&lt;$N$32),$O901+1,""))</f>
        <v/>
      </c>
      <c r="P902" s="26" t="str">
        <f t="shared" si="276"/>
        <v/>
      </c>
      <c r="Q902" s="26" t="str">
        <f t="shared" si="263"/>
        <v/>
      </c>
      <c r="R902" s="24" t="str">
        <f t="shared" si="277"/>
        <v/>
      </c>
      <c r="S902" s="180">
        <f t="shared" si="278"/>
        <v>9</v>
      </c>
      <c r="T902" s="151"/>
      <c r="U902" s="25" t="str">
        <f t="shared" si="264"/>
        <v/>
      </c>
      <c r="V902" s="24" t="str">
        <f>IF(AND(ISNUMBER(R901),ISNUMBER(R902)),V901,IF(AND(R901="",ISNUMBER(R902)),IFERROR(LARGE($V$176:$V901,1)+1,0),""))</f>
        <v/>
      </c>
      <c r="W902" s="23" t="str">
        <f t="shared" si="265"/>
        <v/>
      </c>
      <c r="X902" s="22" t="str">
        <f t="shared" si="266"/>
        <v/>
      </c>
      <c r="Y902" s="22"/>
      <c r="Z902" s="22"/>
      <c r="AA902" s="22"/>
      <c r="AB902" s="22" t="str" cm="1">
        <f t="array" ref="AB902">IF(IF(AND($P901="",$P902=1),($N$37*-1),0)+IF(AND($Q901="",$Q902=1),($N$38*-1),0)+IF(IF(($K902-$N$48)&lt;1,0,IF(IF(INDEX($AD$176:$AD$905,($K902-$N$48))="",0,INDEX($AD$176:$AD$905,($K902-$N$48)))&gt;0,IF(INDEX($AD$176:$AD$905,($K902-$N$48))="",0,INDEX($AD$176:$AD$905,($K902-$N$48))),0))="",0,IF(($K902-$N$48)&lt;1,0,IF(IF(INDEX($AD$176:$AD$905,($K902-$N$48))="",0,INDEX($AD$176:$AD$905,($K902-$N$48)))&gt;0,IF(INDEX($AD$176:$AD$905,($K902-$N$48))="",0,INDEX($AD$176:$AD$905,($K902-$N$48))),0)))=0,"",IF(AND($P901="",$P902=1),($N$37*-1),0)+IF(AND($Q901="",$Q902=1),($N$38*-1),0)+IF(IF(($K902-$N$48)&lt;1,0,IF(IF(INDEX($AD$176:$AD$905,($K902-$N$48))="",0,INDEX($AD$176:$AD$905,($K902-$N$48)))&gt;0,IF(INDEX($AD$176:$AD$905,($K902-$N$48))="",0,INDEX($AD$176:$AD$905,($K902-$N$48))),0))="",0,IF(($K902-$N$48)&lt;1,0,IF(IF(INDEX($AD$176:$AD$905,($K902-$N$48))="",0,INDEX($AD$176:$AD$905,($K902-$N$48)))&gt;0,IF(INDEX($AD$176:$AD$905,($K902-$N$48))="",0,INDEX($AD$176:$AD$905,($K902-$N$48))),0))))</f>
        <v/>
      </c>
      <c r="AC902" s="22" t="str">
        <f t="shared" si="267"/>
        <v/>
      </c>
      <c r="AD902" s="22" t="str">
        <f t="shared" si="280"/>
        <v/>
      </c>
      <c r="AE902" s="22" t="str" cm="1">
        <f t="array" ref="AE902">IF(($K902-$N$48)&lt;1,"",IF((IF(INDEX($AC$176:$AC$905,($K902-$N$48))="",0,INDEX($AC$176:$AC$905,($K902-$N$48))))=0,"",(IF(INDEX($AC$176:$AC$905,($K902-$N$48))="",0,INDEX($AC$176:$AC$905,($K902-$N$48))))))</f>
        <v/>
      </c>
      <c r="AF902" s="31" t="str">
        <f t="shared" si="268"/>
        <v/>
      </c>
      <c r="AG902" s="31" t="str">
        <f t="shared" si="269"/>
        <v/>
      </c>
      <c r="AH902" s="31" t="str">
        <f t="shared" si="270"/>
        <v/>
      </c>
      <c r="AI902" s="31" t="str">
        <f t="shared" si="271"/>
        <v/>
      </c>
      <c r="AJ902" s="303" t="str">
        <f t="shared" si="272"/>
        <v/>
      </c>
      <c r="AK902" s="139" t="str">
        <f t="shared" si="273"/>
        <v/>
      </c>
    </row>
    <row r="903" spans="7:37" x14ac:dyDescent="0.25">
      <c r="G903" s="235" t="str">
        <f t="shared" si="279"/>
        <v/>
      </c>
      <c r="H903" s="4" t="str">
        <f t="shared" si="260"/>
        <v/>
      </c>
      <c r="I903" s="11" t="str">
        <f t="shared" si="261"/>
        <v>09.00</v>
      </c>
      <c r="K903" s="30">
        <v>728</v>
      </c>
      <c r="L903" s="29">
        <f t="shared" si="274"/>
        <v>11371.908376190917</v>
      </c>
      <c r="M903" s="28" t="str">
        <f t="shared" si="262"/>
        <v/>
      </c>
      <c r="N903" s="27" t="str">
        <f t="shared" si="275"/>
        <v/>
      </c>
      <c r="O903" s="26" t="str">
        <f>IF(AND($Q902=$O$38,IFERROR(LARGE($V$176:$V902,1)&lt;$N$42,TRUE)),1,IF(AND(ISNUMBER($O902),$O902&lt;$N$32),$O902+1,""))</f>
        <v/>
      </c>
      <c r="P903" s="26" t="str">
        <f t="shared" si="276"/>
        <v/>
      </c>
      <c r="Q903" s="26" t="str">
        <f t="shared" si="263"/>
        <v/>
      </c>
      <c r="R903" s="24" t="str">
        <f t="shared" si="277"/>
        <v/>
      </c>
      <c r="S903" s="180">
        <f t="shared" si="278"/>
        <v>9</v>
      </c>
      <c r="T903" s="151"/>
      <c r="U903" s="25" t="str">
        <f t="shared" si="264"/>
        <v/>
      </c>
      <c r="V903" s="24" t="str">
        <f>IF(AND(ISNUMBER(R902),ISNUMBER(R903)),V902,IF(AND(R902="",ISNUMBER(R903)),IFERROR(LARGE($V$176:$V902,1)+1,0),""))</f>
        <v/>
      </c>
      <c r="W903" s="23" t="str">
        <f t="shared" si="265"/>
        <v/>
      </c>
      <c r="X903" s="22" t="str">
        <f t="shared" si="266"/>
        <v/>
      </c>
      <c r="Y903" s="22"/>
      <c r="Z903" s="22"/>
      <c r="AA903" s="22"/>
      <c r="AB903" s="22" t="str" cm="1">
        <f t="array" ref="AB903">IF(IF(AND($P902="",$P903=1),($N$37*-1),0)+IF(AND($Q902="",$Q903=1),($N$38*-1),0)+IF(IF(($K903-$N$48)&lt;1,0,IF(IF(INDEX($AD$176:$AD$905,($K903-$N$48))="",0,INDEX($AD$176:$AD$905,($K903-$N$48)))&gt;0,IF(INDEX($AD$176:$AD$905,($K903-$N$48))="",0,INDEX($AD$176:$AD$905,($K903-$N$48))),0))="",0,IF(($K903-$N$48)&lt;1,0,IF(IF(INDEX($AD$176:$AD$905,($K903-$N$48))="",0,INDEX($AD$176:$AD$905,($K903-$N$48)))&gt;0,IF(INDEX($AD$176:$AD$905,($K903-$N$48))="",0,INDEX($AD$176:$AD$905,($K903-$N$48))),0)))=0,"",IF(AND($P902="",$P903=1),($N$37*-1),0)+IF(AND($Q902="",$Q903=1),($N$38*-1),0)+IF(IF(($K903-$N$48)&lt;1,0,IF(IF(INDEX($AD$176:$AD$905,($K903-$N$48))="",0,INDEX($AD$176:$AD$905,($K903-$N$48)))&gt;0,IF(INDEX($AD$176:$AD$905,($K903-$N$48))="",0,INDEX($AD$176:$AD$905,($K903-$N$48))),0))="",0,IF(($K903-$N$48)&lt;1,0,IF(IF(INDEX($AD$176:$AD$905,($K903-$N$48))="",0,INDEX($AD$176:$AD$905,($K903-$N$48)))&gt;0,IF(INDEX($AD$176:$AD$905,($K903-$N$48))="",0,INDEX($AD$176:$AD$905,($K903-$N$48))),0))))</f>
        <v/>
      </c>
      <c r="AC903" s="22" t="str">
        <f t="shared" si="267"/>
        <v/>
      </c>
      <c r="AD903" s="22" t="str">
        <f t="shared" si="280"/>
        <v/>
      </c>
      <c r="AE903" s="22" t="str" cm="1">
        <f t="array" ref="AE903">IF(($K903-$N$48)&lt;1,"",IF((IF(INDEX($AC$176:$AC$905,($K903-$N$48))="",0,INDEX($AC$176:$AC$905,($K903-$N$48))))=0,"",(IF(INDEX($AC$176:$AC$905,($K903-$N$48))="",0,INDEX($AC$176:$AC$905,($K903-$N$48))))))</f>
        <v/>
      </c>
      <c r="AF903" s="31" t="str">
        <f t="shared" si="268"/>
        <v/>
      </c>
      <c r="AG903" s="31" t="str">
        <f t="shared" si="269"/>
        <v/>
      </c>
      <c r="AH903" s="31" t="str">
        <f t="shared" si="270"/>
        <v/>
      </c>
      <c r="AI903" s="31" t="str">
        <f t="shared" si="271"/>
        <v/>
      </c>
      <c r="AJ903" s="303" t="str">
        <f t="shared" si="272"/>
        <v/>
      </c>
      <c r="AK903" s="139" t="str">
        <f t="shared" si="273"/>
        <v/>
      </c>
    </row>
    <row r="904" spans="7:37" x14ac:dyDescent="0.25">
      <c r="G904" s="235" t="str">
        <f t="shared" si="279"/>
        <v/>
      </c>
      <c r="H904" s="4" t="str">
        <f t="shared" si="260"/>
        <v/>
      </c>
      <c r="I904" s="11" t="str">
        <f t="shared" si="261"/>
        <v>09.00</v>
      </c>
      <c r="K904" s="30">
        <v>729</v>
      </c>
      <c r="L904" s="29">
        <f t="shared" si="274"/>
        <v>11371.908376190917</v>
      </c>
      <c r="M904" s="28" t="str">
        <f t="shared" si="262"/>
        <v/>
      </c>
      <c r="N904" s="27" t="str">
        <f t="shared" si="275"/>
        <v/>
      </c>
      <c r="O904" s="26" t="str">
        <f>IF(AND($Q903=$O$38,IFERROR(LARGE($V$176:$V903,1)&lt;$N$42,TRUE)),1,IF(AND(ISNUMBER($O903),$O903&lt;$N$32),$O903+1,""))</f>
        <v/>
      </c>
      <c r="P904" s="26" t="str">
        <f t="shared" si="276"/>
        <v/>
      </c>
      <c r="Q904" s="26" t="str">
        <f t="shared" si="263"/>
        <v/>
      </c>
      <c r="R904" s="24" t="str">
        <f t="shared" si="277"/>
        <v/>
      </c>
      <c r="S904" s="180">
        <f t="shared" si="278"/>
        <v>9</v>
      </c>
      <c r="T904" s="151"/>
      <c r="U904" s="25" t="str">
        <f t="shared" si="264"/>
        <v/>
      </c>
      <c r="V904" s="24" t="str">
        <f>IF(AND(ISNUMBER(R903),ISNUMBER(R904)),V903,IF(AND(R903="",ISNUMBER(R904)),IFERROR(LARGE($V$176:$V903,1)+1,0),""))</f>
        <v/>
      </c>
      <c r="W904" s="23" t="str">
        <f t="shared" si="265"/>
        <v/>
      </c>
      <c r="X904" s="22" t="str">
        <f t="shared" si="266"/>
        <v/>
      </c>
      <c r="Y904" s="22"/>
      <c r="Z904" s="22"/>
      <c r="AA904" s="22"/>
      <c r="AB904" s="22" t="str" cm="1">
        <f t="array" ref="AB904">IF(IF(AND($P903="",$P904=1),($N$37*-1),0)+IF(AND($Q903="",$Q904=1),($N$38*-1),0)+IF(IF(($K904-$N$48)&lt;1,0,IF(IF(INDEX($AD$176:$AD$905,($K904-$N$48))="",0,INDEX($AD$176:$AD$905,($K904-$N$48)))&gt;0,IF(INDEX($AD$176:$AD$905,($K904-$N$48))="",0,INDEX($AD$176:$AD$905,($K904-$N$48))),0))="",0,IF(($K904-$N$48)&lt;1,0,IF(IF(INDEX($AD$176:$AD$905,($K904-$N$48))="",0,INDEX($AD$176:$AD$905,($K904-$N$48)))&gt;0,IF(INDEX($AD$176:$AD$905,($K904-$N$48))="",0,INDEX($AD$176:$AD$905,($K904-$N$48))),0)))=0,"",IF(AND($P903="",$P904=1),($N$37*-1),0)+IF(AND($Q903="",$Q904=1),($N$38*-1),0)+IF(IF(($K904-$N$48)&lt;1,0,IF(IF(INDEX($AD$176:$AD$905,($K904-$N$48))="",0,INDEX($AD$176:$AD$905,($K904-$N$48)))&gt;0,IF(INDEX($AD$176:$AD$905,($K904-$N$48))="",0,INDEX($AD$176:$AD$905,($K904-$N$48))),0))="",0,IF(($K904-$N$48)&lt;1,0,IF(IF(INDEX($AD$176:$AD$905,($K904-$N$48))="",0,INDEX($AD$176:$AD$905,($K904-$N$48)))&gt;0,IF(INDEX($AD$176:$AD$905,($K904-$N$48))="",0,INDEX($AD$176:$AD$905,($K904-$N$48))),0))))</f>
        <v/>
      </c>
      <c r="AC904" s="22" t="str">
        <f t="shared" si="267"/>
        <v/>
      </c>
      <c r="AD904" s="22" t="str">
        <f t="shared" si="280"/>
        <v/>
      </c>
      <c r="AE904" s="22" t="str" cm="1">
        <f t="array" ref="AE904">IF(($K904-$N$48)&lt;1,"",IF((IF(INDEX($AC$176:$AC$905,($K904-$N$48))="",0,INDEX($AC$176:$AC$905,($K904-$N$48))))=0,"",(IF(INDEX($AC$176:$AC$905,($K904-$N$48))="",0,INDEX($AC$176:$AC$905,($K904-$N$48))))))</f>
        <v/>
      </c>
      <c r="AF904" s="22" t="str">
        <f t="shared" si="268"/>
        <v/>
      </c>
      <c r="AG904" s="22" t="str">
        <f t="shared" si="269"/>
        <v/>
      </c>
      <c r="AH904" s="22" t="str">
        <f t="shared" si="270"/>
        <v/>
      </c>
      <c r="AI904" s="22" t="str">
        <f t="shared" si="271"/>
        <v/>
      </c>
      <c r="AJ904" s="304" t="str">
        <f t="shared" si="272"/>
        <v/>
      </c>
      <c r="AK904" s="140" t="str">
        <f t="shared" si="273"/>
        <v/>
      </c>
    </row>
    <row r="905" spans="7:37" x14ac:dyDescent="0.25">
      <c r="G905" s="235" t="str">
        <f t="shared" si="279"/>
        <v/>
      </c>
      <c r="H905" s="4" t="str">
        <f t="shared" si="260"/>
        <v/>
      </c>
      <c r="I905" s="11" t="str">
        <f t="shared" si="261"/>
        <v>09.00</v>
      </c>
      <c r="K905" s="21">
        <v>730</v>
      </c>
      <c r="L905" s="20">
        <f t="shared" si="274"/>
        <v>11371.908376190917</v>
      </c>
      <c r="M905" s="19" t="str">
        <f t="shared" si="262"/>
        <v/>
      </c>
      <c r="N905" s="18" t="str">
        <f t="shared" si="275"/>
        <v/>
      </c>
      <c r="O905" s="17" t="str">
        <f>IF(AND($Q904=$O$38,IFERROR(LARGE($V$176:$V904,1)&lt;$N$42,TRUE)),1,IF(AND(ISNUMBER($O904),$O904&lt;$N$32),$O904+1,""))</f>
        <v/>
      </c>
      <c r="P905" s="17" t="str">
        <f t="shared" si="276"/>
        <v/>
      </c>
      <c r="Q905" s="17" t="str">
        <f t="shared" si="263"/>
        <v/>
      </c>
      <c r="R905" s="15" t="str">
        <f t="shared" si="277"/>
        <v/>
      </c>
      <c r="S905" s="182">
        <f t="shared" si="278"/>
        <v>9</v>
      </c>
      <c r="T905" s="152"/>
      <c r="U905" s="16" t="str">
        <f t="shared" si="264"/>
        <v/>
      </c>
      <c r="V905" s="15" t="str">
        <f>IF(AND(ISNUMBER(R904),ISNUMBER(R905)),V904,IF(AND(R904="",ISNUMBER(R905)),IFERROR(LARGE($V$176:$V904,1)+1,0),""))</f>
        <v/>
      </c>
      <c r="W905" s="14" t="str">
        <f t="shared" si="265"/>
        <v/>
      </c>
      <c r="X905" s="13" t="str">
        <f t="shared" si="266"/>
        <v/>
      </c>
      <c r="Y905" s="13"/>
      <c r="Z905" s="13"/>
      <c r="AA905" s="13"/>
      <c r="AB905" s="13" t="str" cm="1">
        <f t="array" ref="AB905">IF(IF(AND($P904="",$P905=1),($N$37*-1),0)+IF(AND($Q904="",$Q905=1),($N$38*-1),0)+IF(IF(($K905-$N$48)&lt;1,0,IF(IF(INDEX($AD$176:$AD$905,($K905-$N$48))="",0,INDEX($AD$176:$AD$905,($K905-$N$48)))&gt;0,IF(INDEX($AD$176:$AD$905,($K905-$N$48))="",0,INDEX($AD$176:$AD$905,($K905-$N$48))),0))="",0,IF(($K905-$N$48)&lt;1,0,IF(IF(INDEX($AD$176:$AD$905,($K905-$N$48))="",0,INDEX($AD$176:$AD$905,($K905-$N$48)))&gt;0,IF(INDEX($AD$176:$AD$905,($K905-$N$48))="",0,INDEX($AD$176:$AD$905,($K905-$N$48))),0)))=0,"",IF(AND($P904="",$P905=1),($N$37*-1),0)+IF(AND($Q904="",$Q905=1),($N$38*-1),0)+IF(IF(($K905-$N$48)&lt;1,0,IF(IF(INDEX($AD$176:$AD$905,($K905-$N$48))="",0,INDEX($AD$176:$AD$905,($K905-$N$48)))&gt;0,IF(INDEX($AD$176:$AD$905,($K905-$N$48))="",0,INDEX($AD$176:$AD$905,($K905-$N$48))),0))="",0,IF(($K905-$N$48)&lt;1,0,IF(IF(INDEX($AD$176:$AD$905,($K905-$N$48))="",0,INDEX($AD$176:$AD$905,($K905-$N$48)))&gt;0,IF(INDEX($AD$176:$AD$905,($K905-$N$48))="",0,INDEX($AD$176:$AD$905,($K905-$N$48))),0))))</f>
        <v/>
      </c>
      <c r="AC905" s="13" t="str">
        <f t="shared" si="267"/>
        <v/>
      </c>
      <c r="AD905" s="13" t="str">
        <f t="shared" si="280"/>
        <v/>
      </c>
      <c r="AE905" s="13" t="str" cm="1">
        <f t="array" ref="AE905">IF(($K905-$N$48)&lt;1,"",IF((IF(INDEX($AC$176:$AC$905,($K905-$N$48))="",0,INDEX($AC$176:$AC$905,($K905-$N$48))))=0,"",(IF(INDEX($AC$176:$AC$905,($K905-$N$48))="",0,INDEX($AC$176:$AC$905,($K905-$N$48))))))</f>
        <v/>
      </c>
      <c r="AF905" s="300" t="str">
        <f t="shared" si="268"/>
        <v/>
      </c>
      <c r="AG905" s="300" t="str">
        <f t="shared" si="269"/>
        <v/>
      </c>
      <c r="AH905" s="300" t="str">
        <f t="shared" si="270"/>
        <v/>
      </c>
      <c r="AI905" s="300" t="str">
        <f t="shared" si="271"/>
        <v/>
      </c>
      <c r="AJ905" s="305" t="str">
        <f t="shared" si="272"/>
        <v/>
      </c>
      <c r="AK905" s="301" t="str">
        <f t="shared" si="273"/>
        <v/>
      </c>
    </row>
    <row r="912" spans="7:37" x14ac:dyDescent="0.25">
      <c r="K912" s="800" t="s">
        <v>132</v>
      </c>
      <c r="L912" s="800"/>
      <c r="M912" s="800"/>
      <c r="N912" s="800"/>
      <c r="O912" s="800"/>
      <c r="P912" s="800"/>
      <c r="Q912" s="800"/>
      <c r="R912" s="800"/>
      <c r="S912" s="800"/>
      <c r="T912" s="800"/>
      <c r="U912" s="800"/>
      <c r="V912" s="800"/>
      <c r="W912" s="800"/>
      <c r="X912" s="800"/>
      <c r="Y912" s="800"/>
      <c r="Z912" s="800"/>
      <c r="AA912" s="800"/>
      <c r="AB912" s="800"/>
      <c r="AC912" s="800"/>
      <c r="AD912" s="800"/>
      <c r="AE912" s="800"/>
      <c r="AF912" s="800"/>
      <c r="AG912" s="800"/>
      <c r="AH912" s="800"/>
      <c r="AI912" s="800"/>
      <c r="AJ912" s="800"/>
      <c r="AK912" s="800"/>
    </row>
    <row r="913" spans="7:37" x14ac:dyDescent="0.25">
      <c r="K913" s="800"/>
      <c r="L913" s="800"/>
      <c r="M913" s="800"/>
      <c r="N913" s="800"/>
      <c r="O913" s="800"/>
      <c r="P913" s="800"/>
      <c r="Q913" s="800"/>
      <c r="R913" s="800"/>
      <c r="S913" s="800"/>
      <c r="T913" s="800"/>
      <c r="U913" s="800"/>
      <c r="V913" s="800"/>
      <c r="W913" s="800"/>
      <c r="X913" s="800"/>
      <c r="Y913" s="800"/>
      <c r="Z913" s="800"/>
      <c r="AA913" s="800"/>
      <c r="AB913" s="800"/>
      <c r="AC913" s="800"/>
      <c r="AD913" s="800"/>
      <c r="AE913" s="800"/>
      <c r="AF913" s="800"/>
      <c r="AG913" s="800"/>
      <c r="AH913" s="800"/>
      <c r="AI913" s="800"/>
      <c r="AJ913" s="800"/>
      <c r="AK913" s="800"/>
    </row>
    <row r="914" spans="7:37" x14ac:dyDescent="0.25">
      <c r="N914" s="803" t="s">
        <v>117</v>
      </c>
      <c r="O914" s="804"/>
      <c r="P914" s="804"/>
      <c r="Q914" s="804"/>
      <c r="R914" s="805"/>
      <c r="S914" s="319"/>
      <c r="T914" s="319"/>
      <c r="AE914" s="319"/>
    </row>
    <row r="915" spans="7:37" ht="15" customHeight="1" x14ac:dyDescent="0.25">
      <c r="K915" s="836" t="s">
        <v>118</v>
      </c>
      <c r="L915" s="809" t="s">
        <v>119</v>
      </c>
      <c r="M915" s="812" t="s">
        <v>120</v>
      </c>
      <c r="N915" s="815" t="s">
        <v>121</v>
      </c>
      <c r="O915" s="818" t="s">
        <v>50</v>
      </c>
      <c r="P915" s="818" t="s">
        <v>122</v>
      </c>
      <c r="Q915" s="818" t="s">
        <v>123</v>
      </c>
      <c r="R915" s="821" t="s">
        <v>124</v>
      </c>
      <c r="S915" s="824" t="s">
        <v>4</v>
      </c>
      <c r="T915" s="809" t="s">
        <v>133</v>
      </c>
      <c r="U915" s="827" t="s">
        <v>92</v>
      </c>
      <c r="V915" s="821" t="s">
        <v>125</v>
      </c>
      <c r="W915" s="830" t="s">
        <v>126</v>
      </c>
      <c r="X915" s="818" t="s">
        <v>127</v>
      </c>
      <c r="Y915" s="331"/>
      <c r="Z915" s="331"/>
      <c r="AA915" s="331"/>
      <c r="AB915" s="818" t="s">
        <v>128</v>
      </c>
      <c r="AC915" s="818" t="s">
        <v>134</v>
      </c>
      <c r="AD915" s="818" t="s">
        <v>130</v>
      </c>
      <c r="AE915" s="818" t="s">
        <v>131</v>
      </c>
      <c r="AF915" s="818" t="str">
        <f>CONCATENATE("Σ ",$L$68," $")</f>
        <v>Σ Marketing $</v>
      </c>
      <c r="AG915" s="818" t="str">
        <f>CONCATENATE("Σ ",$L$69," $")</f>
        <v>Σ Leadership $</v>
      </c>
      <c r="AH915" s="818" t="str">
        <f>CONCATENATE("Σ ",$L$70," $")</f>
        <v>Σ Sales Manager $</v>
      </c>
      <c r="AI915" s="818" t="str">
        <f>CONCATENATE("Σ ",$L$71," $")</f>
        <v>Σ Sales engineer $</v>
      </c>
      <c r="AJ915" s="818" t="str">
        <f>CONCATENATE("Σ ",$L$72," $")</f>
        <v>Σ Account Rep $</v>
      </c>
      <c r="AK915" s="833" t="str">
        <f>CONCATENATE("Σ ",$L$73," $")</f>
        <v>Σ Field Rep $</v>
      </c>
    </row>
    <row r="916" spans="7:37" x14ac:dyDescent="0.25">
      <c r="K916" s="837"/>
      <c r="L916" s="810"/>
      <c r="M916" s="813"/>
      <c r="N916" s="816"/>
      <c r="O916" s="819"/>
      <c r="P916" s="819"/>
      <c r="Q916" s="819"/>
      <c r="R916" s="822"/>
      <c r="S916" s="825"/>
      <c r="T916" s="810"/>
      <c r="U916" s="828"/>
      <c r="V916" s="822"/>
      <c r="W916" s="831"/>
      <c r="X916" s="819"/>
      <c r="Y916" s="332"/>
      <c r="Z916" s="332"/>
      <c r="AA916" s="332"/>
      <c r="AB916" s="819"/>
      <c r="AC916" s="819"/>
      <c r="AD916" s="819"/>
      <c r="AE916" s="819"/>
      <c r="AF916" s="819"/>
      <c r="AG916" s="819"/>
      <c r="AH916" s="819"/>
      <c r="AI916" s="819"/>
      <c r="AJ916" s="819"/>
      <c r="AK916" s="834"/>
    </row>
    <row r="917" spans="7:37" x14ac:dyDescent="0.25">
      <c r="K917" s="837"/>
      <c r="L917" s="810"/>
      <c r="M917" s="813"/>
      <c r="N917" s="816"/>
      <c r="O917" s="819"/>
      <c r="P917" s="819"/>
      <c r="Q917" s="819"/>
      <c r="R917" s="822"/>
      <c r="S917" s="825"/>
      <c r="T917" s="810"/>
      <c r="U917" s="828"/>
      <c r="V917" s="822"/>
      <c r="W917" s="831"/>
      <c r="X917" s="819"/>
      <c r="Y917" s="332"/>
      <c r="Z917" s="332"/>
      <c r="AA917" s="332"/>
      <c r="AB917" s="819"/>
      <c r="AC917" s="819"/>
      <c r="AD917" s="819"/>
      <c r="AE917" s="819"/>
      <c r="AF917" s="819"/>
      <c r="AG917" s="819"/>
      <c r="AH917" s="819"/>
      <c r="AI917" s="819"/>
      <c r="AJ917" s="819"/>
      <c r="AK917" s="834"/>
    </row>
    <row r="918" spans="7:37" x14ac:dyDescent="0.25">
      <c r="K918" s="837"/>
      <c r="L918" s="810"/>
      <c r="M918" s="813"/>
      <c r="N918" s="816"/>
      <c r="O918" s="819"/>
      <c r="P918" s="819"/>
      <c r="Q918" s="819"/>
      <c r="R918" s="822"/>
      <c r="S918" s="825"/>
      <c r="T918" s="810"/>
      <c r="U918" s="828"/>
      <c r="V918" s="822"/>
      <c r="W918" s="831"/>
      <c r="X918" s="819"/>
      <c r="Y918" s="332"/>
      <c r="Z918" s="332"/>
      <c r="AA918" s="332"/>
      <c r="AB918" s="819"/>
      <c r="AC918" s="819"/>
      <c r="AD918" s="819"/>
      <c r="AE918" s="819"/>
      <c r="AF918" s="819"/>
      <c r="AG918" s="819"/>
      <c r="AH918" s="819"/>
      <c r="AI918" s="819"/>
      <c r="AJ918" s="819"/>
      <c r="AK918" s="834"/>
    </row>
    <row r="919" spans="7:37" x14ac:dyDescent="0.25">
      <c r="K919" s="837"/>
      <c r="L919" s="810"/>
      <c r="M919" s="813"/>
      <c r="N919" s="816"/>
      <c r="O919" s="819"/>
      <c r="P919" s="819"/>
      <c r="Q919" s="819"/>
      <c r="R919" s="822"/>
      <c r="S919" s="825"/>
      <c r="T919" s="810"/>
      <c r="U919" s="828"/>
      <c r="V919" s="822"/>
      <c r="W919" s="831"/>
      <c r="X919" s="819"/>
      <c r="Y919" s="332"/>
      <c r="Z919" s="332"/>
      <c r="AA919" s="332"/>
      <c r="AB919" s="819"/>
      <c r="AC919" s="819"/>
      <c r="AD919" s="819"/>
      <c r="AE919" s="819"/>
      <c r="AF919" s="819"/>
      <c r="AG919" s="819"/>
      <c r="AH919" s="819"/>
      <c r="AI919" s="819"/>
      <c r="AJ919" s="819"/>
      <c r="AK919" s="834"/>
    </row>
    <row r="920" spans="7:37" x14ac:dyDescent="0.25">
      <c r="K920" s="837"/>
      <c r="L920" s="810"/>
      <c r="M920" s="813"/>
      <c r="N920" s="816"/>
      <c r="O920" s="819"/>
      <c r="P920" s="819"/>
      <c r="Q920" s="819"/>
      <c r="R920" s="822"/>
      <c r="S920" s="825"/>
      <c r="T920" s="810"/>
      <c r="U920" s="828"/>
      <c r="V920" s="822"/>
      <c r="W920" s="831"/>
      <c r="X920" s="819"/>
      <c r="Y920" s="332"/>
      <c r="Z920" s="332"/>
      <c r="AA920" s="332"/>
      <c r="AB920" s="819"/>
      <c r="AC920" s="819"/>
      <c r="AD920" s="819"/>
      <c r="AE920" s="819"/>
      <c r="AF920" s="819"/>
      <c r="AG920" s="819"/>
      <c r="AH920" s="819"/>
      <c r="AI920" s="819"/>
      <c r="AJ920" s="819"/>
      <c r="AK920" s="834"/>
    </row>
    <row r="921" spans="7:37" x14ac:dyDescent="0.25">
      <c r="K921" s="837"/>
      <c r="L921" s="810"/>
      <c r="M921" s="813"/>
      <c r="N921" s="816"/>
      <c r="O921" s="819"/>
      <c r="P921" s="819"/>
      <c r="Q921" s="819"/>
      <c r="R921" s="822"/>
      <c r="S921" s="825"/>
      <c r="T921" s="810"/>
      <c r="U921" s="828"/>
      <c r="V921" s="822"/>
      <c r="W921" s="831"/>
      <c r="X921" s="819"/>
      <c r="Y921" s="332"/>
      <c r="Z921" s="332"/>
      <c r="AA921" s="332"/>
      <c r="AB921" s="819"/>
      <c r="AC921" s="819"/>
      <c r="AD921" s="819"/>
      <c r="AE921" s="819"/>
      <c r="AF921" s="819"/>
      <c r="AG921" s="819"/>
      <c r="AH921" s="819"/>
      <c r="AI921" s="819"/>
      <c r="AJ921" s="819"/>
      <c r="AK921" s="834"/>
    </row>
    <row r="922" spans="7:37" ht="15.75" thickBot="1" x14ac:dyDescent="0.3">
      <c r="K922" s="838"/>
      <c r="L922" s="811"/>
      <c r="M922" s="814"/>
      <c r="N922" s="817"/>
      <c r="O922" s="820"/>
      <c r="P922" s="820"/>
      <c r="Q922" s="820"/>
      <c r="R922" s="823"/>
      <c r="S922" s="826"/>
      <c r="T922" s="811"/>
      <c r="U922" s="829"/>
      <c r="V922" s="823"/>
      <c r="W922" s="832"/>
      <c r="X922" s="820"/>
      <c r="Y922" s="333"/>
      <c r="Z922" s="333"/>
      <c r="AA922" s="333"/>
      <c r="AB922" s="820"/>
      <c r="AC922" s="820"/>
      <c r="AD922" s="820"/>
      <c r="AE922" s="820"/>
      <c r="AF922" s="820"/>
      <c r="AG922" s="820"/>
      <c r="AH922" s="820"/>
      <c r="AI922" s="820"/>
      <c r="AJ922" s="820"/>
      <c r="AK922" s="835"/>
    </row>
    <row r="923" spans="7:37" x14ac:dyDescent="0.25">
      <c r="G923" s="235" t="str">
        <f t="shared" ref="G923:G986" si="281">IF(RIGHT(H923,2)=".N","NEW",IF(SUM(N923:R923)=0,"",LEFT(H923,5)))</f>
        <v>NEW</v>
      </c>
      <c r="H923" s="4" t="str">
        <f t="shared" ref="H923:H986" si="282">IF(SUM(N923:R923)&gt;0,CONCATENATE(IF(LEN(ROUNDDOWN(S923,0))=1,CONCATENATE("0",ROUNDDOWN(S923,0)),ROUNDDOWN(S923,0)),".",IF(LEN(ROUND(MOD(S923,1)*100,0))=1,CONCATENATE("0",ROUND(MOD(S923,1)*100,0)),ROUND(MOD(S923,1)*100,0)),IF(N923&lt;&gt;"",".N",IF(O923&lt;&gt;"",".R",IF(P923&lt;&gt;"",".O",IF(Q923&lt;&gt;"",".I",IF(R923&lt;&gt;"",".D","")))))),"")</f>
        <v>00.00.N</v>
      </c>
      <c r="I923" s="11" t="str">
        <f t="shared" ref="I923:I986" si="283">IF(SUM(N923:R923)&gt;0,CONCATENATE(IF(LEN(ROUNDDOWN(S923,0))=1,CONCATENATE("0",ROUNDDOWN(S923,0)),ROUNDDOWN(S923,0)),".",IF(LEN(ROUND(MOD(S923,1)*100,0))=1,CONCATENATE("0",ROUND(MOD(S923,1)*100,0)),ROUND(MOD(S923,1)*100,0)),IF(N923&lt;&gt;"",".N.",IF(O923&lt;&gt;"",".R.",IF(P923&lt;&gt;"",".O.",IF(Q923&lt;&gt;"",".I.",IF(R923&lt;&gt;"",".D.",""))))),IF(N923&lt;&gt;"",N923,IF(O923&lt;&gt;"",O923,IF(P923&lt;&gt;"",P923,IF(Q923&lt;&gt;"",Q923,IF(R923&lt;&gt;"",IF(MOD(R923,$N$44)=0,$N$44,MOD(R923,$N$44)),"")))))),"")</f>
        <v>00.00.N.1</v>
      </c>
      <c r="K923" s="39">
        <v>1</v>
      </c>
      <c r="L923" s="38">
        <f>VALUE(ROUND(M923,6))</f>
        <v>-12404.023991</v>
      </c>
      <c r="M923" s="37">
        <f t="shared" ref="M923:M986" si="284">IFERROR(IF(IF($K923=1,(($M$23*-1)+($M$24*-1)),IF(ISNUMBER(W923),W923,0)+IF(ISNUMBER(X923),X923,0)+IF(ISNUMBER(AB923),AB923,0)+IF(ISNUMBER(AE923),AE923,0)+IF(ISNUMBER(AF923),AF923,0)+IF(ISNUMBER(AG923),AG923,0)+IF(ISNUMBER(AH923),AH923,0)+IF(ISNUMBER(AI923),AI923,0)+IF(ISNUMBER(AK923),AK923,0))=0,"",IF($K923=1,(($M$23*-1)+($M$24*-1)),IF(ISNUMBER(W923),W923,0)+IF(ISNUMBER(X923),X923,0)+IF(ISNUMBER(AB923),AB923,0)+IF(ISNUMBER(AE923),AE923,0)+IF(ISNUMBER(AF923),AF923,0)+IF(ISNUMBER(AG923),AG923,0)+IF(ISNUMBER(AH923),AH923,0)+IF(ISNUMBER(AI923),AI923,0)+IF(ISNUMBER(AK923),AK923,0))),"")</f>
        <v>-12404.023990991602</v>
      </c>
      <c r="N923" s="36">
        <v>1</v>
      </c>
      <c r="O923" s="35" t="str">
        <f>IF(AND($Q922=$O$38,IFERROR(LARGE($V922:$V$923,1)&lt;$N$42,TRUE)),1,IF(AND(ISNUMBER($O922),$O922&lt;$N$32),$O922+1,""))</f>
        <v/>
      </c>
      <c r="P923" s="35" t="str">
        <f>IF(OR($N915=$N$25,O915=$N$32),1,IF(AND($P915&lt;$O$37,P915&gt;0),P915+1,""))</f>
        <v/>
      </c>
      <c r="Q923" s="35" t="str">
        <f t="shared" ref="Q923:Q986" si="285">IF($R922=($N$43*$N$44),1,IF(AND(ISNUMBER($Q922),$Q922&lt;$O$38),$Q922+1,""))</f>
        <v/>
      </c>
      <c r="R923" s="33" t="str">
        <f>IF(AND($P915=$O$37,$R915=""),1,IF($R915&lt;($N$43*$N$44),$R915+1,""))</f>
        <v/>
      </c>
      <c r="S923" s="181">
        <v>0</v>
      </c>
      <c r="T923" s="153">
        <f>SUM($AC923:$AC$923)</f>
        <v>0</v>
      </c>
      <c r="U923" s="34" t="str">
        <f t="shared" ref="U923:U986" si="286">IF(ISNUMBER($R923),ROUNDUP($R923/$N$44,0),"")</f>
        <v/>
      </c>
      <c r="V923" s="33" t="str">
        <f>IF(AND(ISNUMBER(R922),ISNUMBER(R923)),V922,IF(AND(R922="",ISNUMBER(R923)),IFERROR(LARGE($V922:$V$923,1)+1,0),""))</f>
        <v/>
      </c>
      <c r="W923" s="32" t="str">
        <f>IF($O923=$N$32,($M$30*-1),"")</f>
        <v/>
      </c>
      <c r="X923" s="31">
        <f>IF($K923=1,($M$24*-1),IF($O923=$N$32,($M$31*-1),""))</f>
        <v>-7976.4021275644345</v>
      </c>
      <c r="Y923" s="31"/>
      <c r="Z923" s="31"/>
      <c r="AA923" s="31"/>
      <c r="AB923" s="31" t="str">
        <f t="shared" ref="AB923:AB937" si="287">IF((IF(AND($P922="",$P923=1),($N$37*-1),0)+IF(AND($Q922="",$Q923=1),($N$38*-1),0)+IF(OR(AND(ISNUMBER($U923),IF(ISNUMBER($U924),$U924,0)-IF(ISNUMBER($U923),$U923,0)=1),AND(ISNUMBER($U923),$U924="")),IF($U923=1,$P$37,0),0))=0,"",(IF(AND($P922="",$P923=1),($N$37*-1),0)+IF(AND($Q922="",$Q923=1),($N$38*-1),0)+IF(OR(AND(ISNUMBER($U923),IF(ISNUMBER($U924),$U924,0)-IF(ISNUMBER($U923),$U923,0)=1),AND(ISNUMBER($U923),$U924="")),IF($U923=1,$P$37,0),0)))</f>
        <v/>
      </c>
      <c r="AC923" s="22" t="str">
        <f t="shared" ref="AC923:AC937" si="288">IF(IF(OR(AND(ISNUMBER($U923),IF(ISNUMBER($U924),$U924,0)-IF(ISNUMBER($U923),$U923,0)=1),AND(ISNUMBER($U923),$U924="")),VLOOKUP(IF($U923&gt;$L$63,$L$63,$U923),$L$52:$N$63,COLUMNS($L$52:$N$52),FALSE),0)=0,"",IF(OR(AND(ISNUMBER($U923),IF(ISNUMBER($U924),$U924,0)-IF(ISNUMBER($U923),$U923,0)=1),AND(ISNUMBER($U923),$U924="")),VLOOKUP(IF($U923&gt;$L$63,$L$63,$U923),$L$52:$N$63,COLUMNS($L$52:$N$52),FALSE),0))</f>
        <v/>
      </c>
      <c r="AD923" s="31" t="str">
        <f t="shared" ref="AD923:AD986" si="289">IF(IF(OR(AND(ISNUMBER($U923),IF(ISNUMBER($U924),$U924,0)-IF(ISNUMBER($U923),$U923,0)=1),AND(ISNUMBER($U923),$U924="")),IF($U923=1,$P$37,0),0)=0,"",IF(OR(AND(ISNUMBER($U923),IF(ISNUMBER($U924),$U924,0)-IF(ISNUMBER($U923),$U923,0)=1),AND(ISNUMBER($U923),$U924="")),IF($U923=1,$P$37,0),0))</f>
        <v/>
      </c>
      <c r="AE923" s="31" t="str">
        <f t="shared" ref="AE923:AE937" si="290">$AC923</f>
        <v/>
      </c>
      <c r="AF923" s="31" t="str">
        <f t="shared" ref="AF923:AF986" si="291">IF($O$67="Invoice",IF(AND(ISNUMBER($AC923),ISNUMBER($O$68)),$AC923*$O$68*-1,""),IF($O$67="Payment",IF(AND(ISNUMBER($AE923),ISNUMBER($O$68)),$AE923*$O$68*-1,""),""))</f>
        <v/>
      </c>
      <c r="AG923" s="31" t="str">
        <f t="shared" ref="AG923:AG986" si="292">IF($O$67="Invoice",IF(AND(ISNUMBER($AC923),ISNUMBER($O$69)),$AC923*$O$69*-1,""),IF($O$67="Payment",IF(AND(ISNUMBER($AE923),ISNUMBER($O$69)),$AE923*$O$69*-1,""),""))</f>
        <v/>
      </c>
      <c r="AH923" s="31" t="str">
        <f t="shared" ref="AH923:AH986" si="293">IF($O$67="Invoice",IF(AND(ISNUMBER($AC923),ISNUMBER($O$70)),$AC923*$O$70*-1,""),IF($O$67="Payment",IF(AND(ISNUMBER($AE923),ISNUMBER($O$70)),$AE923*$O$70*-1,""),""))</f>
        <v/>
      </c>
      <c r="AI923" s="31" t="str">
        <f t="shared" ref="AI923:AI986" si="294">IF($O$67="Invoice",IF(AND(ISNUMBER($AC923),ISNUMBER($O$71)),$AC923*$O$71*-1,""),IF($O$67="Payment",IF(AND(ISNUMBER($AE923),ISNUMBER($O$71)),$AE923*$O$71*-1,""),""))</f>
        <v/>
      </c>
      <c r="AJ923" s="303" t="str">
        <f t="shared" ref="AJ923:AJ986" si="295">IF($O$67="Invoice",IF(AND(ISNUMBER($AC923),ISNUMBER($O$72)),$AC923*$O$72*-1,""),IF($O$67="Payment",IF(AND(ISNUMBER($AE923),ISNUMBER($O$72)),$AE923*$O$72*-1,""),""))</f>
        <v/>
      </c>
      <c r="AK923" s="139" t="str">
        <f t="shared" ref="AK923:AK986" si="296">IF($O$67="Invoice",IF(AND(ISNUMBER($AC923),ISNUMBER($O$73)),$AC923*$O$73*-1,""),IF($O$67="Payment",IF(AND(ISNUMBER($AE923),ISNUMBER($O$73)),$AE923*$O$73*-1,""),""))</f>
        <v/>
      </c>
    </row>
    <row r="924" spans="7:37" x14ac:dyDescent="0.25">
      <c r="G924" s="235" t="str">
        <f t="shared" si="281"/>
        <v>NEW</v>
      </c>
      <c r="H924" s="4" t="str">
        <f t="shared" si="282"/>
        <v>00.00.N</v>
      </c>
      <c r="I924" s="11" t="str">
        <f t="shared" si="283"/>
        <v>00.00.N.2</v>
      </c>
      <c r="K924" s="30">
        <v>2</v>
      </c>
      <c r="L924" s="29">
        <f t="shared" ref="L924:L987" si="297">IF(ISNUMBER($M924),$M924+$L923,$L923)</f>
        <v>-12404.023991</v>
      </c>
      <c r="M924" s="28" t="str">
        <f t="shared" si="284"/>
        <v/>
      </c>
      <c r="N924" s="27">
        <f t="shared" ref="N924:N987" si="298">IF($K923&lt;$N$25,$N923+1,"")</f>
        <v>2</v>
      </c>
      <c r="O924" s="26" t="str">
        <f>IF(AND($Q923=$O$38,IFERROR(LARGE($V$923:$V923,1)&lt;$N$42,TRUE)),1,IF(AND(ISNUMBER($O923),$O923&lt;$N$32),$O923+1,""))</f>
        <v/>
      </c>
      <c r="P924" s="26" t="str">
        <f t="shared" ref="P924:P987" si="299">IF(OR($N923=$N$25,O923=$N$32),1,IF(AND($P923&lt;$O$37,P923&gt;0),P923+1,""))</f>
        <v/>
      </c>
      <c r="Q924" s="26" t="str">
        <f t="shared" si="285"/>
        <v/>
      </c>
      <c r="R924" s="24" t="str">
        <f t="shared" ref="R924:R987" si="300">IF(AND($P923=$O$37,$R923=""),1,IF($R923&lt;($N$43*$N$44),$R923+1,""))</f>
        <v/>
      </c>
      <c r="S924" s="180">
        <f t="shared" ref="S924:S944" si="301">IF($Q924=1,ROUNDDOWN($S923,0),IF($O924=1,ROUNDDOWN($S923,0)+1,IF($R924=1,$S923+0.01,IF(ISNUMBER($U924),IF(AND($U924&gt;1,($U924-$U923)=1),$S923+0.01,$S923),$S923))))</f>
        <v>0</v>
      </c>
      <c r="T924" s="29">
        <f>SUM($AC$923:$AC924)</f>
        <v>0</v>
      </c>
      <c r="U924" s="25" t="str">
        <f t="shared" si="286"/>
        <v/>
      </c>
      <c r="V924" s="24" t="str">
        <f>IF(AND(ISNUMBER(R923),ISNUMBER(R924)),V923,IF(AND(R923="",ISNUMBER(R924)),IFERROR(LARGE($V$923:$V923,1)+1,0),""))</f>
        <v/>
      </c>
      <c r="W924" s="23" t="str">
        <f t="shared" ref="W924:W987" si="302">IF($O924=1,($M$30*-1),"")</f>
        <v/>
      </c>
      <c r="X924" s="22" t="str">
        <f t="shared" ref="X924:X987" si="303">IF($K924=1,($M$24*-1),IF($O924=1,($M$31*-1),""))</f>
        <v/>
      </c>
      <c r="Y924" s="236"/>
      <c r="Z924" s="22"/>
      <c r="AA924" s="22"/>
      <c r="AB924" s="22" t="str">
        <f t="shared" si="287"/>
        <v/>
      </c>
      <c r="AC924" s="22" t="str">
        <f t="shared" si="288"/>
        <v/>
      </c>
      <c r="AD924" s="22" t="str">
        <f t="shared" si="289"/>
        <v/>
      </c>
      <c r="AE924" s="22" t="str">
        <f t="shared" si="290"/>
        <v/>
      </c>
      <c r="AF924" s="22" t="str">
        <f t="shared" si="291"/>
        <v/>
      </c>
      <c r="AG924" s="22" t="str">
        <f t="shared" si="292"/>
        <v/>
      </c>
      <c r="AH924" s="22" t="str">
        <f t="shared" si="293"/>
        <v/>
      </c>
      <c r="AI924" s="22" t="str">
        <f t="shared" si="294"/>
        <v/>
      </c>
      <c r="AJ924" s="304" t="str">
        <f t="shared" si="295"/>
        <v/>
      </c>
      <c r="AK924" s="140" t="str">
        <f t="shared" si="296"/>
        <v/>
      </c>
    </row>
    <row r="925" spans="7:37" x14ac:dyDescent="0.25">
      <c r="G925" s="235" t="str">
        <f t="shared" si="281"/>
        <v>NEW</v>
      </c>
      <c r="H925" s="4" t="str">
        <f t="shared" si="282"/>
        <v>00.00.N</v>
      </c>
      <c r="I925" s="11" t="str">
        <f t="shared" si="283"/>
        <v>00.00.N.3</v>
      </c>
      <c r="K925" s="30">
        <v>3</v>
      </c>
      <c r="L925" s="29">
        <f t="shared" si="297"/>
        <v>-12404.023991</v>
      </c>
      <c r="M925" s="28" t="str">
        <f t="shared" si="284"/>
        <v/>
      </c>
      <c r="N925" s="27">
        <f t="shared" si="298"/>
        <v>3</v>
      </c>
      <c r="O925" s="26" t="str">
        <f>IF(AND($Q924=$O$38,IFERROR(LARGE($V$923:$V924,1)&lt;$N$42,TRUE)),1,IF(AND(ISNUMBER($O924),$O924&lt;$N$32),$O924+1,""))</f>
        <v/>
      </c>
      <c r="P925" s="26" t="str">
        <f t="shared" si="299"/>
        <v/>
      </c>
      <c r="Q925" s="26" t="str">
        <f t="shared" si="285"/>
        <v/>
      </c>
      <c r="R925" s="24" t="str">
        <f t="shared" si="300"/>
        <v/>
      </c>
      <c r="S925" s="180">
        <f t="shared" si="301"/>
        <v>0</v>
      </c>
      <c r="T925" s="29">
        <f>SUM($AC$923:$AC925)</f>
        <v>0</v>
      </c>
      <c r="U925" s="25" t="str">
        <f t="shared" si="286"/>
        <v/>
      </c>
      <c r="V925" s="24" t="str">
        <f>IF(AND(ISNUMBER(R924),ISNUMBER(R925)),V924,IF(AND(R924="",ISNUMBER(R925)),IFERROR(LARGE($V$923:$V924,1)+1,0),""))</f>
        <v/>
      </c>
      <c r="W925" s="23" t="str">
        <f t="shared" si="302"/>
        <v/>
      </c>
      <c r="X925" s="22" t="str">
        <f t="shared" si="303"/>
        <v/>
      </c>
      <c r="Y925" s="236"/>
      <c r="Z925" s="22"/>
      <c r="AA925" s="22"/>
      <c r="AB925" s="22" t="str">
        <f t="shared" si="287"/>
        <v/>
      </c>
      <c r="AC925" s="22" t="str">
        <f t="shared" si="288"/>
        <v/>
      </c>
      <c r="AD925" s="22" t="str">
        <f t="shared" si="289"/>
        <v/>
      </c>
      <c r="AE925" s="22" t="str">
        <f t="shared" si="290"/>
        <v/>
      </c>
      <c r="AF925" s="22" t="str">
        <f t="shared" si="291"/>
        <v/>
      </c>
      <c r="AG925" s="22" t="str">
        <f t="shared" si="292"/>
        <v/>
      </c>
      <c r="AH925" s="22" t="str">
        <f t="shared" si="293"/>
        <v/>
      </c>
      <c r="AI925" s="22" t="str">
        <f t="shared" si="294"/>
        <v/>
      </c>
      <c r="AJ925" s="304" t="str">
        <f t="shared" si="295"/>
        <v/>
      </c>
      <c r="AK925" s="140" t="str">
        <f t="shared" si="296"/>
        <v/>
      </c>
    </row>
    <row r="926" spans="7:37" x14ac:dyDescent="0.25">
      <c r="G926" s="235" t="str">
        <f t="shared" si="281"/>
        <v>NEW</v>
      </c>
      <c r="H926" s="4" t="str">
        <f t="shared" si="282"/>
        <v>00.00.N</v>
      </c>
      <c r="I926" s="11" t="str">
        <f t="shared" si="283"/>
        <v>00.00.N.4</v>
      </c>
      <c r="K926" s="30">
        <v>4</v>
      </c>
      <c r="L926" s="29">
        <f t="shared" si="297"/>
        <v>-12404.023991</v>
      </c>
      <c r="M926" s="28" t="str">
        <f t="shared" si="284"/>
        <v/>
      </c>
      <c r="N926" s="27">
        <f t="shared" si="298"/>
        <v>4</v>
      </c>
      <c r="O926" s="26" t="str">
        <f>IF(AND($Q925=$O$38,IFERROR(LARGE($V$923:$V925,1)&lt;$N$42,TRUE)),1,IF(AND(ISNUMBER($O925),$O925&lt;$N$32),$O925+1,""))</f>
        <v/>
      </c>
      <c r="P926" s="26" t="str">
        <f t="shared" si="299"/>
        <v/>
      </c>
      <c r="Q926" s="26" t="str">
        <f t="shared" si="285"/>
        <v/>
      </c>
      <c r="R926" s="24" t="str">
        <f t="shared" si="300"/>
        <v/>
      </c>
      <c r="S926" s="180">
        <f t="shared" si="301"/>
        <v>0</v>
      </c>
      <c r="T926" s="29">
        <f>SUM($AC$923:$AC926)</f>
        <v>0</v>
      </c>
      <c r="U926" s="25" t="str">
        <f t="shared" si="286"/>
        <v/>
      </c>
      <c r="V926" s="24" t="str">
        <f>IF(AND(ISNUMBER(R925),ISNUMBER(R926)),V925,IF(AND(R925="",ISNUMBER(R926)),IFERROR(LARGE($V$923:$V925,1)+1,0),""))</f>
        <v/>
      </c>
      <c r="W926" s="23" t="str">
        <f t="shared" si="302"/>
        <v/>
      </c>
      <c r="X926" s="22" t="str">
        <f t="shared" si="303"/>
        <v/>
      </c>
      <c r="Y926" s="236"/>
      <c r="Z926" s="22"/>
      <c r="AA926" s="22"/>
      <c r="AB926" s="22" t="str">
        <f t="shared" si="287"/>
        <v/>
      </c>
      <c r="AC926" s="22" t="str">
        <f t="shared" si="288"/>
        <v/>
      </c>
      <c r="AD926" s="22" t="str">
        <f t="shared" si="289"/>
        <v/>
      </c>
      <c r="AE926" s="22" t="str">
        <f t="shared" si="290"/>
        <v/>
      </c>
      <c r="AF926" s="22" t="str">
        <f t="shared" si="291"/>
        <v/>
      </c>
      <c r="AG926" s="22" t="str">
        <f t="shared" si="292"/>
        <v/>
      </c>
      <c r="AH926" s="22" t="str">
        <f t="shared" si="293"/>
        <v/>
      </c>
      <c r="AI926" s="22" t="str">
        <f t="shared" si="294"/>
        <v/>
      </c>
      <c r="AJ926" s="304" t="str">
        <f t="shared" si="295"/>
        <v/>
      </c>
      <c r="AK926" s="140" t="str">
        <f t="shared" si="296"/>
        <v/>
      </c>
    </row>
    <row r="927" spans="7:37" x14ac:dyDescent="0.25">
      <c r="G927" s="235" t="str">
        <f t="shared" si="281"/>
        <v>NEW</v>
      </c>
      <c r="H927" s="4" t="str">
        <f t="shared" si="282"/>
        <v>00.00.N</v>
      </c>
      <c r="I927" s="11" t="str">
        <f t="shared" si="283"/>
        <v>00.00.N.5</v>
      </c>
      <c r="K927" s="30">
        <v>5</v>
      </c>
      <c r="L927" s="29">
        <f t="shared" si="297"/>
        <v>-12404.023991</v>
      </c>
      <c r="M927" s="28" t="str">
        <f t="shared" si="284"/>
        <v/>
      </c>
      <c r="N927" s="27">
        <f t="shared" si="298"/>
        <v>5</v>
      </c>
      <c r="O927" s="26" t="str">
        <f>IF(AND($Q926=$O$38,IFERROR(LARGE($V$923:$V926,1)&lt;$N$42,TRUE)),1,IF(AND(ISNUMBER($O926),$O926&lt;$N$32),$O926+1,""))</f>
        <v/>
      </c>
      <c r="P927" s="26" t="str">
        <f t="shared" si="299"/>
        <v/>
      </c>
      <c r="Q927" s="26" t="str">
        <f t="shared" si="285"/>
        <v/>
      </c>
      <c r="R927" s="24" t="str">
        <f t="shared" si="300"/>
        <v/>
      </c>
      <c r="S927" s="180">
        <f t="shared" si="301"/>
        <v>0</v>
      </c>
      <c r="T927" s="29">
        <f>SUM($AC$923:$AC927)</f>
        <v>0</v>
      </c>
      <c r="U927" s="25" t="str">
        <f t="shared" si="286"/>
        <v/>
      </c>
      <c r="V927" s="24" t="str">
        <f>IF(AND(ISNUMBER(R926),ISNUMBER(R927)),V926,IF(AND(R926="",ISNUMBER(R927)),IFERROR(LARGE($V$923:$V926,1)+1,0),""))</f>
        <v/>
      </c>
      <c r="W927" s="23" t="str">
        <f t="shared" si="302"/>
        <v/>
      </c>
      <c r="X927" s="22" t="str">
        <f t="shared" si="303"/>
        <v/>
      </c>
      <c r="Y927" s="236"/>
      <c r="Z927" s="22"/>
      <c r="AA927" s="22"/>
      <c r="AB927" s="22" t="str">
        <f t="shared" si="287"/>
        <v/>
      </c>
      <c r="AC927" s="22" t="str">
        <f t="shared" si="288"/>
        <v/>
      </c>
      <c r="AD927" s="22" t="str">
        <f t="shared" si="289"/>
        <v/>
      </c>
      <c r="AE927" s="22" t="str">
        <f t="shared" si="290"/>
        <v/>
      </c>
      <c r="AF927" s="22" t="str">
        <f t="shared" si="291"/>
        <v/>
      </c>
      <c r="AG927" s="22" t="str">
        <f t="shared" si="292"/>
        <v/>
      </c>
      <c r="AH927" s="22" t="str">
        <f t="shared" si="293"/>
        <v/>
      </c>
      <c r="AI927" s="22" t="str">
        <f t="shared" si="294"/>
        <v/>
      </c>
      <c r="AJ927" s="304" t="str">
        <f t="shared" si="295"/>
        <v/>
      </c>
      <c r="AK927" s="140" t="str">
        <f t="shared" si="296"/>
        <v/>
      </c>
    </row>
    <row r="928" spans="7:37" x14ac:dyDescent="0.25">
      <c r="G928" s="235" t="str">
        <f t="shared" si="281"/>
        <v>00.00</v>
      </c>
      <c r="H928" s="4" t="str">
        <f t="shared" si="282"/>
        <v>00.00.O</v>
      </c>
      <c r="I928" s="11" t="str">
        <f t="shared" si="283"/>
        <v>00.00.O.1</v>
      </c>
      <c r="K928" s="30">
        <v>6</v>
      </c>
      <c r="L928" s="29">
        <f t="shared" si="297"/>
        <v>-12604.023991</v>
      </c>
      <c r="M928" s="28">
        <f t="shared" si="284"/>
        <v>-200</v>
      </c>
      <c r="N928" s="27" t="str">
        <f t="shared" si="298"/>
        <v/>
      </c>
      <c r="O928" s="26" t="str">
        <f>IF(AND($Q927=$O$38,IFERROR(LARGE($V$923:$V927,1)&lt;$N$42,TRUE)),1,IF(AND(ISNUMBER($O927),$O927&lt;$N$32),$O927+1,""))</f>
        <v/>
      </c>
      <c r="P928" s="26">
        <f t="shared" si="299"/>
        <v>1</v>
      </c>
      <c r="Q928" s="26" t="str">
        <f t="shared" si="285"/>
        <v/>
      </c>
      <c r="R928" s="24" t="str">
        <f t="shared" si="300"/>
        <v/>
      </c>
      <c r="S928" s="180">
        <f t="shared" si="301"/>
        <v>0</v>
      </c>
      <c r="T928" s="29">
        <f>SUM($AC$923:$AC928)</f>
        <v>0</v>
      </c>
      <c r="U928" s="25" t="str">
        <f t="shared" si="286"/>
        <v/>
      </c>
      <c r="V928" s="24" t="str">
        <f>IF(AND(ISNUMBER(R927),ISNUMBER(R928)),V927,IF(AND(R927="",ISNUMBER(R928)),IFERROR(LARGE($V$923:$V927,1)+1,0),""))</f>
        <v/>
      </c>
      <c r="W928" s="23" t="str">
        <f t="shared" si="302"/>
        <v/>
      </c>
      <c r="X928" s="22" t="str">
        <f t="shared" si="303"/>
        <v/>
      </c>
      <c r="Y928" s="236"/>
      <c r="Z928" s="22"/>
      <c r="AA928" s="22"/>
      <c r="AB928" s="22">
        <f t="shared" si="287"/>
        <v>-200</v>
      </c>
      <c r="AC928" s="22" t="str">
        <f t="shared" si="288"/>
        <v/>
      </c>
      <c r="AD928" s="22" t="str">
        <f t="shared" si="289"/>
        <v/>
      </c>
      <c r="AE928" s="22" t="str">
        <f t="shared" si="290"/>
        <v/>
      </c>
      <c r="AF928" s="22" t="str">
        <f t="shared" si="291"/>
        <v/>
      </c>
      <c r="AG928" s="22" t="str">
        <f t="shared" si="292"/>
        <v/>
      </c>
      <c r="AH928" s="22" t="str">
        <f t="shared" si="293"/>
        <v/>
      </c>
      <c r="AI928" s="22" t="str">
        <f t="shared" si="294"/>
        <v/>
      </c>
      <c r="AJ928" s="304" t="str">
        <f t="shared" si="295"/>
        <v/>
      </c>
      <c r="AK928" s="140" t="str">
        <f t="shared" si="296"/>
        <v/>
      </c>
    </row>
    <row r="929" spans="7:37" x14ac:dyDescent="0.25">
      <c r="G929" s="235" t="str">
        <f t="shared" si="281"/>
        <v>00.00</v>
      </c>
      <c r="H929" s="4" t="str">
        <f t="shared" si="282"/>
        <v>00.00.O</v>
      </c>
      <c r="I929" s="11" t="str">
        <f t="shared" si="283"/>
        <v>00.00.O.2</v>
      </c>
      <c r="K929" s="30">
        <v>7</v>
      </c>
      <c r="L929" s="29">
        <f t="shared" si="297"/>
        <v>-12604.023991</v>
      </c>
      <c r="M929" s="28" t="str">
        <f t="shared" si="284"/>
        <v/>
      </c>
      <c r="N929" s="27" t="str">
        <f t="shared" si="298"/>
        <v/>
      </c>
      <c r="O929" s="26" t="str">
        <f>IF(AND($Q928=$O$38,IFERROR(LARGE($V$923:$V928,1)&lt;$N$42,TRUE)),1,IF(AND(ISNUMBER($O928),$O928&lt;$N$32),$O928+1,""))</f>
        <v/>
      </c>
      <c r="P929" s="26">
        <f t="shared" si="299"/>
        <v>2</v>
      </c>
      <c r="Q929" s="26" t="str">
        <f t="shared" si="285"/>
        <v/>
      </c>
      <c r="R929" s="24" t="str">
        <f t="shared" si="300"/>
        <v/>
      </c>
      <c r="S929" s="180">
        <f t="shared" si="301"/>
        <v>0</v>
      </c>
      <c r="T929" s="29">
        <f>SUM($AC$923:$AC929)</f>
        <v>0</v>
      </c>
      <c r="U929" s="25" t="str">
        <f t="shared" si="286"/>
        <v/>
      </c>
      <c r="V929" s="24" t="str">
        <f>IF(AND(ISNUMBER(R928),ISNUMBER(R929)),V928,IF(AND(R928="",ISNUMBER(R929)),IFERROR(LARGE($V$923:$V928,1)+1,0),""))</f>
        <v/>
      </c>
      <c r="W929" s="23" t="str">
        <f t="shared" si="302"/>
        <v/>
      </c>
      <c r="X929" s="22" t="str">
        <f t="shared" si="303"/>
        <v/>
      </c>
      <c r="Y929" s="236"/>
      <c r="Z929" s="22"/>
      <c r="AA929" s="22"/>
      <c r="AB929" s="22" t="str">
        <f t="shared" si="287"/>
        <v/>
      </c>
      <c r="AC929" s="22" t="str">
        <f t="shared" si="288"/>
        <v/>
      </c>
      <c r="AD929" s="22" t="str">
        <f t="shared" si="289"/>
        <v/>
      </c>
      <c r="AE929" s="22" t="str">
        <f t="shared" si="290"/>
        <v/>
      </c>
      <c r="AF929" s="22" t="str">
        <f t="shared" si="291"/>
        <v/>
      </c>
      <c r="AG929" s="22" t="str">
        <f t="shared" si="292"/>
        <v/>
      </c>
      <c r="AH929" s="22" t="str">
        <f t="shared" si="293"/>
        <v/>
      </c>
      <c r="AI929" s="22" t="str">
        <f t="shared" si="294"/>
        <v/>
      </c>
      <c r="AJ929" s="304" t="str">
        <f t="shared" si="295"/>
        <v/>
      </c>
      <c r="AK929" s="140" t="str">
        <f t="shared" si="296"/>
        <v/>
      </c>
    </row>
    <row r="930" spans="7:37" x14ac:dyDescent="0.25">
      <c r="G930" s="235" t="str">
        <f t="shared" si="281"/>
        <v>00.01</v>
      </c>
      <c r="H930" s="4" t="str">
        <f t="shared" si="282"/>
        <v>00.01.D</v>
      </c>
      <c r="I930" s="11" t="str">
        <f t="shared" si="283"/>
        <v>00.01.D.1</v>
      </c>
      <c r="K930" s="30">
        <v>8</v>
      </c>
      <c r="L930" s="29">
        <f t="shared" si="297"/>
        <v>-12604.023991</v>
      </c>
      <c r="M930" s="28" t="str">
        <f t="shared" si="284"/>
        <v/>
      </c>
      <c r="N930" s="27" t="str">
        <f t="shared" si="298"/>
        <v/>
      </c>
      <c r="O930" s="26" t="str">
        <f>IF(AND($Q929=$O$38,IFERROR(LARGE($V$923:$V929,1)&lt;$N$42,TRUE)),1,IF(AND(ISNUMBER($O929),$O929&lt;$N$32),$O929+1,""))</f>
        <v/>
      </c>
      <c r="P930" s="26" t="str">
        <f t="shared" si="299"/>
        <v/>
      </c>
      <c r="Q930" s="26" t="str">
        <f t="shared" si="285"/>
        <v/>
      </c>
      <c r="R930" s="24">
        <f t="shared" si="300"/>
        <v>1</v>
      </c>
      <c r="S930" s="180">
        <f t="shared" si="301"/>
        <v>0.01</v>
      </c>
      <c r="T930" s="29">
        <f>SUM($AC$923:$AC930)</f>
        <v>0</v>
      </c>
      <c r="U930" s="25">
        <f t="shared" si="286"/>
        <v>1</v>
      </c>
      <c r="V930" s="24">
        <f>IF(AND(ISNUMBER(R929),ISNUMBER(R930)),V929,IF(AND(R929="",ISNUMBER(R930)),IFERROR(LARGE($V$923:$V929,1)+1,0),""))</f>
        <v>0</v>
      </c>
      <c r="W930" s="23" t="str">
        <f t="shared" si="302"/>
        <v/>
      </c>
      <c r="X930" s="22" t="str">
        <f t="shared" si="303"/>
        <v/>
      </c>
      <c r="Y930" s="236"/>
      <c r="Z930" s="22"/>
      <c r="AA930" s="22"/>
      <c r="AB930" s="22" t="str">
        <f t="shared" si="287"/>
        <v/>
      </c>
      <c r="AC930" s="22" t="str">
        <f t="shared" si="288"/>
        <v/>
      </c>
      <c r="AD930" s="22" t="str">
        <f t="shared" si="289"/>
        <v/>
      </c>
      <c r="AE930" s="22" t="str">
        <f t="shared" si="290"/>
        <v/>
      </c>
      <c r="AF930" s="22" t="str">
        <f t="shared" si="291"/>
        <v/>
      </c>
      <c r="AG930" s="22" t="str">
        <f t="shared" si="292"/>
        <v/>
      </c>
      <c r="AH930" s="22" t="str">
        <f t="shared" si="293"/>
        <v/>
      </c>
      <c r="AI930" s="22" t="str">
        <f t="shared" si="294"/>
        <v/>
      </c>
      <c r="AJ930" s="304" t="str">
        <f t="shared" si="295"/>
        <v/>
      </c>
      <c r="AK930" s="140" t="str">
        <f t="shared" si="296"/>
        <v/>
      </c>
    </row>
    <row r="931" spans="7:37" x14ac:dyDescent="0.25">
      <c r="G931" s="235" t="str">
        <f t="shared" si="281"/>
        <v>00.01</v>
      </c>
      <c r="H931" s="4" t="str">
        <f t="shared" si="282"/>
        <v>00.01.D</v>
      </c>
      <c r="I931" s="11" t="str">
        <f t="shared" si="283"/>
        <v>00.01.D.2</v>
      </c>
      <c r="K931" s="30">
        <v>9</v>
      </c>
      <c r="L931" s="29">
        <f t="shared" si="297"/>
        <v>-7239.023991</v>
      </c>
      <c r="M931" s="28">
        <f t="shared" si="284"/>
        <v>5365</v>
      </c>
      <c r="N931" s="27" t="str">
        <f t="shared" si="298"/>
        <v/>
      </c>
      <c r="O931" s="26" t="str">
        <f>IF(AND($Q930=$O$38,IFERROR(LARGE($V$923:$V930,1)&lt;$N$42,TRUE)),1,IF(AND(ISNUMBER($O930),$O930&lt;$N$32),$O930+1,""))</f>
        <v/>
      </c>
      <c r="P931" s="26" t="str">
        <f t="shared" si="299"/>
        <v/>
      </c>
      <c r="Q931" s="26" t="str">
        <f t="shared" si="285"/>
        <v/>
      </c>
      <c r="R931" s="24">
        <f t="shared" si="300"/>
        <v>2</v>
      </c>
      <c r="S931" s="180">
        <f t="shared" si="301"/>
        <v>0.01</v>
      </c>
      <c r="T931" s="29">
        <f>SUM($AC$923:$AC931)</f>
        <v>5500</v>
      </c>
      <c r="U931" s="25">
        <f t="shared" si="286"/>
        <v>1</v>
      </c>
      <c r="V931" s="24">
        <f>IF(AND(ISNUMBER(R930),ISNUMBER(R931)),V930,IF(AND(R930="",ISNUMBER(R931)),IFERROR(LARGE($V$923:$V930,1)+1,0),""))</f>
        <v>0</v>
      </c>
      <c r="W931" s="23" t="str">
        <f t="shared" si="302"/>
        <v/>
      </c>
      <c r="X931" s="22" t="str">
        <f t="shared" si="303"/>
        <v/>
      </c>
      <c r="Y931" s="236"/>
      <c r="Z931" s="22"/>
      <c r="AA931" s="22"/>
      <c r="AB931" s="22">
        <f t="shared" si="287"/>
        <v>525</v>
      </c>
      <c r="AC931" s="22">
        <f t="shared" si="288"/>
        <v>5500</v>
      </c>
      <c r="AD931" s="22">
        <f t="shared" si="289"/>
        <v>525</v>
      </c>
      <c r="AE931" s="22">
        <f t="shared" si="290"/>
        <v>5500</v>
      </c>
      <c r="AF931" s="22">
        <f t="shared" si="291"/>
        <v>0</v>
      </c>
      <c r="AG931" s="22">
        <f t="shared" si="292"/>
        <v>-82.5</v>
      </c>
      <c r="AH931" s="22">
        <f t="shared" si="293"/>
        <v>-110</v>
      </c>
      <c r="AI931" s="22">
        <f t="shared" si="294"/>
        <v>-27.5</v>
      </c>
      <c r="AJ931" s="304">
        <f t="shared" si="295"/>
        <v>-440</v>
      </c>
      <c r="AK931" s="140">
        <f t="shared" si="296"/>
        <v>-440</v>
      </c>
    </row>
    <row r="932" spans="7:37" x14ac:dyDescent="0.25">
      <c r="G932" s="235" t="str">
        <f t="shared" si="281"/>
        <v>00.00</v>
      </c>
      <c r="H932" s="4" t="str">
        <f t="shared" si="282"/>
        <v>00.00.I</v>
      </c>
      <c r="I932" s="11" t="str">
        <f t="shared" si="283"/>
        <v>00.00.I.1</v>
      </c>
      <c r="K932" s="30">
        <v>10</v>
      </c>
      <c r="L932" s="29">
        <f t="shared" si="297"/>
        <v>-7439.023991</v>
      </c>
      <c r="M932" s="28">
        <f t="shared" si="284"/>
        <v>-200</v>
      </c>
      <c r="N932" s="27" t="str">
        <f t="shared" si="298"/>
        <v/>
      </c>
      <c r="O932" s="26" t="str">
        <f>IF(AND($Q931=$O$38,IFERROR(LARGE($V$923:$V931,1)&lt;$N$42,TRUE)),1,IF(AND(ISNUMBER($O931),$O931&lt;$N$32),$O931+1,""))</f>
        <v/>
      </c>
      <c r="P932" s="26" t="str">
        <f t="shared" si="299"/>
        <v/>
      </c>
      <c r="Q932" s="26">
        <f t="shared" si="285"/>
        <v>1</v>
      </c>
      <c r="R932" s="24" t="str">
        <f t="shared" si="300"/>
        <v/>
      </c>
      <c r="S932" s="180">
        <f t="shared" si="301"/>
        <v>0</v>
      </c>
      <c r="T932" s="29">
        <f>SUM($AC$923:$AC932)</f>
        <v>5500</v>
      </c>
      <c r="U932" s="25" t="str">
        <f t="shared" si="286"/>
        <v/>
      </c>
      <c r="V932" s="24" t="str">
        <f>IF(AND(ISNUMBER(R931),ISNUMBER(R932)),V931,IF(AND(R931="",ISNUMBER(R932)),IFERROR(LARGE($V$923:$V931,1)+1,0),""))</f>
        <v/>
      </c>
      <c r="W932" s="23" t="str">
        <f t="shared" si="302"/>
        <v/>
      </c>
      <c r="X932" s="22" t="str">
        <f t="shared" si="303"/>
        <v/>
      </c>
      <c r="Y932" s="236"/>
      <c r="Z932" s="22"/>
      <c r="AA932" s="22"/>
      <c r="AB932" s="22">
        <f t="shared" si="287"/>
        <v>-200</v>
      </c>
      <c r="AC932" s="22" t="str">
        <f t="shared" si="288"/>
        <v/>
      </c>
      <c r="AD932" s="22" t="str">
        <f t="shared" si="289"/>
        <v/>
      </c>
      <c r="AE932" s="22" t="str">
        <f t="shared" si="290"/>
        <v/>
      </c>
      <c r="AF932" s="22" t="str">
        <f t="shared" si="291"/>
        <v/>
      </c>
      <c r="AG932" s="22" t="str">
        <f t="shared" si="292"/>
        <v/>
      </c>
      <c r="AH932" s="22" t="str">
        <f t="shared" si="293"/>
        <v/>
      </c>
      <c r="AI932" s="22" t="str">
        <f t="shared" si="294"/>
        <v/>
      </c>
      <c r="AJ932" s="304" t="str">
        <f t="shared" si="295"/>
        <v/>
      </c>
      <c r="AK932" s="140" t="str">
        <f t="shared" si="296"/>
        <v/>
      </c>
    </row>
    <row r="933" spans="7:37" x14ac:dyDescent="0.25">
      <c r="G933" s="235" t="str">
        <f t="shared" si="281"/>
        <v>00.00</v>
      </c>
      <c r="H933" s="4" t="str">
        <f t="shared" si="282"/>
        <v>00.00.I</v>
      </c>
      <c r="I933" s="11" t="str">
        <f t="shared" si="283"/>
        <v>00.00.I.2</v>
      </c>
      <c r="K933" s="30">
        <v>11</v>
      </c>
      <c r="L933" s="29">
        <f t="shared" si="297"/>
        <v>-7439.023991</v>
      </c>
      <c r="M933" s="28" t="str">
        <f t="shared" si="284"/>
        <v/>
      </c>
      <c r="N933" s="27" t="str">
        <f t="shared" si="298"/>
        <v/>
      </c>
      <c r="O933" s="26" t="str">
        <f>IF(AND($Q932=$O$38,IFERROR(LARGE($V$923:$V932,1)&lt;$N$42,TRUE)),1,IF(AND(ISNUMBER($O932),$O932&lt;$N$32),$O932+1,""))</f>
        <v/>
      </c>
      <c r="P933" s="26" t="str">
        <f t="shared" si="299"/>
        <v/>
      </c>
      <c r="Q933" s="26">
        <f t="shared" si="285"/>
        <v>2</v>
      </c>
      <c r="R933" s="24" t="str">
        <f t="shared" si="300"/>
        <v/>
      </c>
      <c r="S933" s="180">
        <f t="shared" si="301"/>
        <v>0</v>
      </c>
      <c r="T933" s="29">
        <f>SUM($AC$923:$AC933)</f>
        <v>5500</v>
      </c>
      <c r="U933" s="25" t="str">
        <f t="shared" si="286"/>
        <v/>
      </c>
      <c r="V933" s="24" t="str">
        <f>IF(AND(ISNUMBER(R932),ISNUMBER(R933)),V932,IF(AND(R932="",ISNUMBER(R933)),IFERROR(LARGE($V$923:$V932,1)+1,0),""))</f>
        <v/>
      </c>
      <c r="W933" s="23" t="str">
        <f t="shared" si="302"/>
        <v/>
      </c>
      <c r="X933" s="22" t="str">
        <f t="shared" si="303"/>
        <v/>
      </c>
      <c r="Y933" s="236"/>
      <c r="Z933" s="22"/>
      <c r="AA933" s="22"/>
      <c r="AB933" s="22" t="str">
        <f t="shared" si="287"/>
        <v/>
      </c>
      <c r="AC933" s="22" t="str">
        <f t="shared" si="288"/>
        <v/>
      </c>
      <c r="AD933" s="22" t="str">
        <f t="shared" si="289"/>
        <v/>
      </c>
      <c r="AE933" s="22" t="str">
        <f t="shared" si="290"/>
        <v/>
      </c>
      <c r="AF933" s="22" t="str">
        <f t="shared" si="291"/>
        <v/>
      </c>
      <c r="AG933" s="22" t="str">
        <f t="shared" si="292"/>
        <v/>
      </c>
      <c r="AH933" s="22" t="str">
        <f t="shared" si="293"/>
        <v/>
      </c>
      <c r="AI933" s="22" t="str">
        <f t="shared" si="294"/>
        <v/>
      </c>
      <c r="AJ933" s="304" t="str">
        <f t="shared" si="295"/>
        <v/>
      </c>
      <c r="AK933" s="140" t="str">
        <f t="shared" si="296"/>
        <v/>
      </c>
    </row>
    <row r="934" spans="7:37" x14ac:dyDescent="0.25">
      <c r="G934" s="235" t="str">
        <f t="shared" si="281"/>
        <v>01.00</v>
      </c>
      <c r="H934" s="4" t="str">
        <f t="shared" si="282"/>
        <v>01.00.R</v>
      </c>
      <c r="I934" s="11" t="str">
        <f t="shared" si="283"/>
        <v>01.00.R.1</v>
      </c>
      <c r="K934" s="30">
        <v>12</v>
      </c>
      <c r="L934" s="29">
        <f t="shared" si="297"/>
        <v>-10052.657445101135</v>
      </c>
      <c r="M934" s="28">
        <f t="shared" si="284"/>
        <v>-2613.6334541011352</v>
      </c>
      <c r="N934" s="27" t="str">
        <f t="shared" si="298"/>
        <v/>
      </c>
      <c r="O934" s="26">
        <f>IF(AND($Q933=$O$38,IFERROR(LARGE($V$923:$V933,1)&lt;$N$42,TRUE)),1,IF(AND(ISNUMBER($O933),$O933&lt;$N$32),$O933+1,""))</f>
        <v>1</v>
      </c>
      <c r="P934" s="26" t="str">
        <f t="shared" si="299"/>
        <v/>
      </c>
      <c r="Q934" s="26" t="str">
        <f t="shared" si="285"/>
        <v/>
      </c>
      <c r="R934" s="24" t="str">
        <f t="shared" si="300"/>
        <v/>
      </c>
      <c r="S934" s="180">
        <f t="shared" si="301"/>
        <v>1</v>
      </c>
      <c r="T934" s="29">
        <f>SUM($AC$923:$AC934)</f>
        <v>5500</v>
      </c>
      <c r="U934" s="25" t="str">
        <f t="shared" si="286"/>
        <v/>
      </c>
      <c r="V934" s="24" t="str">
        <f>IF(AND(ISNUMBER(R933),ISNUMBER(R934)),V933,IF(AND(R933="",ISNUMBER(R934)),IFERROR(LARGE($V$923:$V933,1)+1,0),""))</f>
        <v/>
      </c>
      <c r="W934" s="23">
        <f t="shared" si="302"/>
        <v>-1018.3530285882483</v>
      </c>
      <c r="X934" s="22">
        <f t="shared" si="303"/>
        <v>-1595.2804255128869</v>
      </c>
      <c r="Y934" s="236"/>
      <c r="Z934" s="22"/>
      <c r="AA934" s="22"/>
      <c r="AB934" s="22" t="str">
        <f t="shared" si="287"/>
        <v/>
      </c>
      <c r="AC934" s="22" t="str">
        <f t="shared" si="288"/>
        <v/>
      </c>
      <c r="AD934" s="22" t="str">
        <f t="shared" si="289"/>
        <v/>
      </c>
      <c r="AE934" s="22" t="str">
        <f t="shared" si="290"/>
        <v/>
      </c>
      <c r="AF934" s="22" t="str">
        <f t="shared" si="291"/>
        <v/>
      </c>
      <c r="AG934" s="22" t="str">
        <f t="shared" si="292"/>
        <v/>
      </c>
      <c r="AH934" s="22" t="str">
        <f t="shared" si="293"/>
        <v/>
      </c>
      <c r="AI934" s="22" t="str">
        <f t="shared" si="294"/>
        <v/>
      </c>
      <c r="AJ934" s="304" t="str">
        <f t="shared" si="295"/>
        <v/>
      </c>
      <c r="AK934" s="140" t="str">
        <f t="shared" si="296"/>
        <v/>
      </c>
    </row>
    <row r="935" spans="7:37" x14ac:dyDescent="0.25">
      <c r="G935" s="235" t="str">
        <f t="shared" si="281"/>
        <v>01.00</v>
      </c>
      <c r="H935" s="4" t="str">
        <f t="shared" si="282"/>
        <v>01.00.R</v>
      </c>
      <c r="I935" s="11" t="str">
        <f t="shared" si="283"/>
        <v>01.00.R.2</v>
      </c>
      <c r="K935" s="30">
        <v>13</v>
      </c>
      <c r="L935" s="29">
        <f t="shared" si="297"/>
        <v>-10052.657445101135</v>
      </c>
      <c r="M935" s="28" t="str">
        <f t="shared" si="284"/>
        <v/>
      </c>
      <c r="N935" s="27" t="str">
        <f t="shared" si="298"/>
        <v/>
      </c>
      <c r="O935" s="26">
        <f>IF(AND($Q934=$O$38,IFERROR(LARGE($V$923:$V934,1)&lt;$N$42,TRUE)),1,IF(AND(ISNUMBER($O934),$O934&lt;$N$32),$O934+1,""))</f>
        <v>2</v>
      </c>
      <c r="P935" s="26" t="str">
        <f t="shared" si="299"/>
        <v/>
      </c>
      <c r="Q935" s="26" t="str">
        <f t="shared" si="285"/>
        <v/>
      </c>
      <c r="R935" s="24" t="str">
        <f t="shared" si="300"/>
        <v/>
      </c>
      <c r="S935" s="180">
        <f t="shared" si="301"/>
        <v>1</v>
      </c>
      <c r="T935" s="29">
        <f>SUM($AC$923:$AC935)</f>
        <v>5500</v>
      </c>
      <c r="U935" s="25" t="str">
        <f t="shared" si="286"/>
        <v/>
      </c>
      <c r="V935" s="24" t="str">
        <f>IF(AND(ISNUMBER(R934),ISNUMBER(R935)),V934,IF(AND(R934="",ISNUMBER(R935)),IFERROR(LARGE($V$923:$V934,1)+1,0),""))</f>
        <v/>
      </c>
      <c r="W935" s="23" t="str">
        <f t="shared" si="302"/>
        <v/>
      </c>
      <c r="X935" s="22" t="str">
        <f t="shared" si="303"/>
        <v/>
      </c>
      <c r="Y935" s="236"/>
      <c r="Z935" s="22"/>
      <c r="AA935" s="22"/>
      <c r="AB935" s="22" t="str">
        <f t="shared" si="287"/>
        <v/>
      </c>
      <c r="AC935" s="22" t="str">
        <f t="shared" si="288"/>
        <v/>
      </c>
      <c r="AD935" s="22" t="str">
        <f t="shared" si="289"/>
        <v/>
      </c>
      <c r="AE935" s="22" t="str">
        <f t="shared" si="290"/>
        <v/>
      </c>
      <c r="AF935" s="22" t="str">
        <f t="shared" si="291"/>
        <v/>
      </c>
      <c r="AG935" s="22" t="str">
        <f t="shared" si="292"/>
        <v/>
      </c>
      <c r="AH935" s="22" t="str">
        <f t="shared" si="293"/>
        <v/>
      </c>
      <c r="AI935" s="22" t="str">
        <f t="shared" si="294"/>
        <v/>
      </c>
      <c r="AJ935" s="304" t="str">
        <f t="shared" si="295"/>
        <v/>
      </c>
      <c r="AK935" s="140" t="str">
        <f t="shared" si="296"/>
        <v/>
      </c>
    </row>
    <row r="936" spans="7:37" x14ac:dyDescent="0.25">
      <c r="G936" s="235" t="str">
        <f t="shared" si="281"/>
        <v>01.00</v>
      </c>
      <c r="H936" s="4" t="str">
        <f t="shared" si="282"/>
        <v>01.00.R</v>
      </c>
      <c r="I936" s="11" t="str">
        <f t="shared" si="283"/>
        <v>01.00.R.3</v>
      </c>
      <c r="K936" s="30">
        <v>14</v>
      </c>
      <c r="L936" s="29">
        <f t="shared" si="297"/>
        <v>-10052.657445101135</v>
      </c>
      <c r="M936" s="28" t="str">
        <f t="shared" si="284"/>
        <v/>
      </c>
      <c r="N936" s="27" t="str">
        <f t="shared" si="298"/>
        <v/>
      </c>
      <c r="O936" s="26">
        <f>IF(AND($Q935=$O$38,IFERROR(LARGE($V$923:$V935,1)&lt;$N$42,TRUE)),1,IF(AND(ISNUMBER($O935),$O935&lt;$N$32),$O935+1,""))</f>
        <v>3</v>
      </c>
      <c r="P936" s="26" t="str">
        <f t="shared" si="299"/>
        <v/>
      </c>
      <c r="Q936" s="26" t="str">
        <f t="shared" si="285"/>
        <v/>
      </c>
      <c r="R936" s="24" t="str">
        <f t="shared" si="300"/>
        <v/>
      </c>
      <c r="S936" s="180">
        <f t="shared" si="301"/>
        <v>1</v>
      </c>
      <c r="T936" s="29">
        <f>SUM($AC$923:$AC936)</f>
        <v>5500</v>
      </c>
      <c r="U936" s="25" t="str">
        <f t="shared" si="286"/>
        <v/>
      </c>
      <c r="V936" s="24" t="str">
        <f>IF(AND(ISNUMBER(R935),ISNUMBER(R936)),V935,IF(AND(R935="",ISNUMBER(R936)),IFERROR(LARGE($V$923:$V935,1)+1,0),""))</f>
        <v/>
      </c>
      <c r="W936" s="23" t="str">
        <f t="shared" si="302"/>
        <v/>
      </c>
      <c r="X936" s="22" t="str">
        <f t="shared" si="303"/>
        <v/>
      </c>
      <c r="Y936" s="236"/>
      <c r="Z936" s="22"/>
      <c r="AA936" s="22"/>
      <c r="AB936" s="22" t="str">
        <f t="shared" si="287"/>
        <v/>
      </c>
      <c r="AC936" s="22" t="str">
        <f t="shared" si="288"/>
        <v/>
      </c>
      <c r="AD936" s="22" t="str">
        <f t="shared" si="289"/>
        <v/>
      </c>
      <c r="AE936" s="22" t="str">
        <f t="shared" si="290"/>
        <v/>
      </c>
      <c r="AF936" s="22" t="str">
        <f t="shared" si="291"/>
        <v/>
      </c>
      <c r="AG936" s="22" t="str">
        <f t="shared" si="292"/>
        <v/>
      </c>
      <c r="AH936" s="22" t="str">
        <f t="shared" si="293"/>
        <v/>
      </c>
      <c r="AI936" s="22" t="str">
        <f t="shared" si="294"/>
        <v/>
      </c>
      <c r="AJ936" s="304" t="str">
        <f t="shared" si="295"/>
        <v/>
      </c>
      <c r="AK936" s="140" t="str">
        <f t="shared" si="296"/>
        <v/>
      </c>
    </row>
    <row r="937" spans="7:37" x14ac:dyDescent="0.25">
      <c r="G937" s="235" t="str">
        <f t="shared" si="281"/>
        <v>01.00</v>
      </c>
      <c r="H937" s="4" t="str">
        <f t="shared" si="282"/>
        <v>01.00.O</v>
      </c>
      <c r="I937" s="11" t="str">
        <f t="shared" si="283"/>
        <v>01.00.O.1</v>
      </c>
      <c r="K937" s="30">
        <v>15</v>
      </c>
      <c r="L937" s="29">
        <f t="shared" si="297"/>
        <v>-10252.657445101135</v>
      </c>
      <c r="M937" s="28">
        <f t="shared" si="284"/>
        <v>-200</v>
      </c>
      <c r="N937" s="27" t="str">
        <f t="shared" si="298"/>
        <v/>
      </c>
      <c r="O937" s="26" t="str">
        <f>IF(AND($Q936=$O$38,IFERROR(LARGE($V$923:$V936,1)&lt;$N$42,TRUE)),1,IF(AND(ISNUMBER($O936),$O936&lt;$N$32),$O936+1,""))</f>
        <v/>
      </c>
      <c r="P937" s="26">
        <f t="shared" si="299"/>
        <v>1</v>
      </c>
      <c r="Q937" s="26" t="str">
        <f t="shared" si="285"/>
        <v/>
      </c>
      <c r="R937" s="24" t="str">
        <f t="shared" si="300"/>
        <v/>
      </c>
      <c r="S937" s="180">
        <f t="shared" si="301"/>
        <v>1</v>
      </c>
      <c r="T937" s="29">
        <f>SUM($AC$923:$AC937)</f>
        <v>5500</v>
      </c>
      <c r="U937" s="25" t="str">
        <f t="shared" si="286"/>
        <v/>
      </c>
      <c r="V937" s="24" t="str">
        <f>IF(AND(ISNUMBER(R936),ISNUMBER(R937)),V936,IF(AND(R936="",ISNUMBER(R937)),IFERROR(LARGE($V$923:$V936,1)+1,0),""))</f>
        <v/>
      </c>
      <c r="W937" s="23" t="str">
        <f t="shared" si="302"/>
        <v/>
      </c>
      <c r="X937" s="22" t="str">
        <f t="shared" si="303"/>
        <v/>
      </c>
      <c r="Y937" s="236"/>
      <c r="Z937" s="22"/>
      <c r="AA937" s="22"/>
      <c r="AB937" s="22">
        <f t="shared" si="287"/>
        <v>-200</v>
      </c>
      <c r="AC937" s="22" t="str">
        <f t="shared" si="288"/>
        <v/>
      </c>
      <c r="AD937" s="22" t="str">
        <f t="shared" si="289"/>
        <v/>
      </c>
      <c r="AE937" s="22" t="str">
        <f t="shared" si="290"/>
        <v/>
      </c>
      <c r="AF937" s="22" t="str">
        <f t="shared" si="291"/>
        <v/>
      </c>
      <c r="AG937" s="22" t="str">
        <f t="shared" si="292"/>
        <v/>
      </c>
      <c r="AH937" s="22" t="str">
        <f t="shared" si="293"/>
        <v/>
      </c>
      <c r="AI937" s="22" t="str">
        <f t="shared" si="294"/>
        <v/>
      </c>
      <c r="AJ937" s="304" t="str">
        <f t="shared" si="295"/>
        <v/>
      </c>
      <c r="AK937" s="140" t="str">
        <f t="shared" si="296"/>
        <v/>
      </c>
    </row>
    <row r="938" spans="7:37" x14ac:dyDescent="0.25">
      <c r="G938" s="235" t="str">
        <f t="shared" si="281"/>
        <v>01.00</v>
      </c>
      <c r="H938" s="4" t="str">
        <f t="shared" si="282"/>
        <v>01.00.O</v>
      </c>
      <c r="I938" s="11" t="str">
        <f t="shared" si="283"/>
        <v>01.00.O.2</v>
      </c>
      <c r="K938" s="30">
        <v>16</v>
      </c>
      <c r="L938" s="29">
        <f t="shared" si="297"/>
        <v>-10252.657445101135</v>
      </c>
      <c r="M938" s="28" t="str">
        <f t="shared" si="284"/>
        <v/>
      </c>
      <c r="N938" s="27" t="str">
        <f t="shared" si="298"/>
        <v/>
      </c>
      <c r="O938" s="26" t="str">
        <f>IF(AND($Q937=$O$38,IFERROR(LARGE($V$923:$V937,1)&lt;$N$42,TRUE)),1,IF(AND(ISNUMBER($O937),$O937&lt;$N$32),$O937+1,""))</f>
        <v/>
      </c>
      <c r="P938" s="26">
        <f t="shared" si="299"/>
        <v>2</v>
      </c>
      <c r="Q938" s="26" t="str">
        <f t="shared" si="285"/>
        <v/>
      </c>
      <c r="R938" s="24" t="str">
        <f t="shared" si="300"/>
        <v/>
      </c>
      <c r="S938" s="180">
        <f t="shared" si="301"/>
        <v>1</v>
      </c>
      <c r="T938" s="29">
        <f>SUM($AC$923:$AC938)</f>
        <v>5500</v>
      </c>
      <c r="U938" s="25" t="str">
        <f t="shared" si="286"/>
        <v/>
      </c>
      <c r="V938" s="24" t="str">
        <f>IF(AND(ISNUMBER(R937),ISNUMBER(R938)),V937,IF(AND(R937="",ISNUMBER(R938)),IFERROR(LARGE($V$923:$V937,1)+1,0),""))</f>
        <v/>
      </c>
      <c r="W938" s="23" t="str">
        <f t="shared" si="302"/>
        <v/>
      </c>
      <c r="X938" s="22" t="str">
        <f t="shared" si="303"/>
        <v/>
      </c>
      <c r="Y938" s="236"/>
      <c r="Z938" s="22"/>
      <c r="AA938" s="22"/>
      <c r="AB938" s="22" t="str">
        <f>IF((IF(AND($P937="",$P938=1),($N$37*-1),0)+IF(AND($Q937="",$Q938=1),($N$38*-1),0)+IF(OR(AND(ISNUMBER($U938),IF(ISNUMBER($U939),$U939,0)-IF(ISNUMBER($U938),$U938,0)=1),AND(ISNUMBER($U938),$U939="")),IF($U938=1,$P$37,0),0))=0,"",(IF(AND($P937="",$P938=1),($N$37*-1),0)+IF(AND($Q937="",$Q938=1),($N$38*-1),0)+IF(OR(AND(ISNUMBER($U938),IF(ISNUMBER($U939),$U939,0)-IF(ISNUMBER($U938),$U938,0)=1),AND(ISNUMBER($U938),$U939="")),IF($U938=1,$P$37,0),0)))</f>
        <v/>
      </c>
      <c r="AC938" s="22" t="str">
        <f>IF(IF(OR(AND(ISNUMBER($U938),IF(ISNUMBER($U939),$U939,0)-IF(ISNUMBER($U938),$U938,0)=1),AND(ISNUMBER($U938),$U939="")),VLOOKUP(IF($U938&gt;$L$63,$L$63,$U938),$L$52:$N$63,COLUMNS($L$52:$N$52),FALSE),0)=0,"",IF(OR(AND(ISNUMBER($U938),IF(ISNUMBER($U939),$U939,0)-IF(ISNUMBER($U938),$U938,0)=1),AND(ISNUMBER($U938),$U939="")),VLOOKUP(IF($U938&gt;$L$63,$L$63,$U938),$L$52:$N$63,COLUMNS($L$52:$N$52),FALSE),0))</f>
        <v/>
      </c>
      <c r="AD938" s="22" t="str">
        <f t="shared" si="289"/>
        <v/>
      </c>
      <c r="AE938" s="22" t="str">
        <f>$AC938</f>
        <v/>
      </c>
      <c r="AF938" s="22" t="str">
        <f t="shared" si="291"/>
        <v/>
      </c>
      <c r="AG938" s="22" t="str">
        <f t="shared" si="292"/>
        <v/>
      </c>
      <c r="AH938" s="22" t="str">
        <f t="shared" si="293"/>
        <v/>
      </c>
      <c r="AI938" s="22" t="str">
        <f t="shared" si="294"/>
        <v/>
      </c>
      <c r="AJ938" s="304" t="str">
        <f t="shared" si="295"/>
        <v/>
      </c>
      <c r="AK938" s="140" t="str">
        <f t="shared" si="296"/>
        <v/>
      </c>
    </row>
    <row r="939" spans="7:37" x14ac:dyDescent="0.25">
      <c r="G939" s="235" t="str">
        <f t="shared" si="281"/>
        <v>01.01</v>
      </c>
      <c r="H939" s="4" t="str">
        <f t="shared" si="282"/>
        <v>01.01.D</v>
      </c>
      <c r="I939" s="11" t="str">
        <f t="shared" si="283"/>
        <v>01.01.D.1</v>
      </c>
      <c r="K939" s="30">
        <v>17</v>
      </c>
      <c r="L939" s="29">
        <f t="shared" si="297"/>
        <v>-10252.657445101135</v>
      </c>
      <c r="M939" s="28" t="str">
        <f t="shared" si="284"/>
        <v/>
      </c>
      <c r="N939" s="27" t="str">
        <f t="shared" si="298"/>
        <v/>
      </c>
      <c r="O939" s="26" t="str">
        <f>IF(AND($Q938=$O$38,IFERROR(LARGE($V$923:$V938,1)&lt;$N$42,TRUE)),1,IF(AND(ISNUMBER($O938),$O938&lt;$N$32),$O938+1,""))</f>
        <v/>
      </c>
      <c r="P939" s="26" t="str">
        <f t="shared" si="299"/>
        <v/>
      </c>
      <c r="Q939" s="26" t="str">
        <f t="shared" si="285"/>
        <v/>
      </c>
      <c r="R939" s="24">
        <f t="shared" si="300"/>
        <v>1</v>
      </c>
      <c r="S939" s="180">
        <f t="shared" si="301"/>
        <v>1.01</v>
      </c>
      <c r="T939" s="29">
        <f>SUM($AC$923:$AC939)</f>
        <v>5500</v>
      </c>
      <c r="U939" s="25">
        <f t="shared" si="286"/>
        <v>1</v>
      </c>
      <c r="V939" s="24">
        <f>IF(AND(ISNUMBER(R938),ISNUMBER(R939)),V938,IF(AND(R938="",ISNUMBER(R939)),IFERROR(LARGE($V$923:$V938,1)+1,0),""))</f>
        <v>1</v>
      </c>
      <c r="W939" s="23" t="str">
        <f t="shared" si="302"/>
        <v/>
      </c>
      <c r="X939" s="22" t="str">
        <f t="shared" si="303"/>
        <v/>
      </c>
      <c r="Y939" s="236"/>
      <c r="Z939" s="22"/>
      <c r="AA939" s="22"/>
      <c r="AB939" s="22" t="str">
        <f t="shared" ref="AB939:AB1002" si="304">IF((IF(AND($P938="",$P939=1),($N$37*-1),0)+IF(AND($Q938="",$Q939=1),($N$38*-1),0)+IF(OR(AND(ISNUMBER($U939),IF(ISNUMBER($U940),$U940,0)-IF(ISNUMBER($U939),$U939,0)=1),AND(ISNUMBER($U939),$U940="")),IF($U939=1,$P$37,0),0))=0,"",(IF(AND($P938="",$P939=1),($N$37*-1),0)+IF(AND($Q938="",$Q939=1),($N$38*-1),0)+IF(OR(AND(ISNUMBER($U939),IF(ISNUMBER($U940),$U940,0)-IF(ISNUMBER($U939),$U939,0)=1),AND(ISNUMBER($U939),$U940="")),IF($U939=1,$P$37,0),0)))</f>
        <v/>
      </c>
      <c r="AC939" s="22" t="str">
        <f t="shared" ref="AC939:AC1002" si="305">IF(IF(OR(AND(ISNUMBER($U939),IF(ISNUMBER($U940),$U940,0)-IF(ISNUMBER($U939),$U939,0)=1),AND(ISNUMBER($U939),$U940="")),VLOOKUP(IF($U939&gt;$L$63,$L$63,$U939),$L$52:$N$63,COLUMNS($L$52:$N$52),FALSE),0)=0,"",IF(OR(AND(ISNUMBER($U939),IF(ISNUMBER($U940),$U940,0)-IF(ISNUMBER($U939),$U939,0)=1),AND(ISNUMBER($U939),$U940="")),VLOOKUP(IF($U939&gt;$L$63,$L$63,$U939),$L$52:$N$63,COLUMNS($L$52:$N$52),FALSE),0))</f>
        <v/>
      </c>
      <c r="AD939" s="22" t="str">
        <f t="shared" si="289"/>
        <v/>
      </c>
      <c r="AE939" s="22" t="str">
        <f t="shared" ref="AE939:AE1002" si="306">$AC939</f>
        <v/>
      </c>
      <c r="AF939" s="22" t="str">
        <f t="shared" si="291"/>
        <v/>
      </c>
      <c r="AG939" s="22" t="str">
        <f t="shared" si="292"/>
        <v/>
      </c>
      <c r="AH939" s="22" t="str">
        <f t="shared" si="293"/>
        <v/>
      </c>
      <c r="AI939" s="22" t="str">
        <f t="shared" si="294"/>
        <v/>
      </c>
      <c r="AJ939" s="304" t="str">
        <f t="shared" si="295"/>
        <v/>
      </c>
      <c r="AK939" s="140" t="str">
        <f t="shared" si="296"/>
        <v/>
      </c>
    </row>
    <row r="940" spans="7:37" x14ac:dyDescent="0.25">
      <c r="G940" s="235" t="str">
        <f t="shared" si="281"/>
        <v>01.01</v>
      </c>
      <c r="H940" s="4" t="str">
        <f t="shared" si="282"/>
        <v>01.01.D</v>
      </c>
      <c r="I940" s="11" t="str">
        <f t="shared" si="283"/>
        <v>01.01.D.2</v>
      </c>
      <c r="K940" s="30">
        <v>18</v>
      </c>
      <c r="L940" s="29">
        <f t="shared" si="297"/>
        <v>-4887.6574451011347</v>
      </c>
      <c r="M940" s="28">
        <f>IFERROR(IF(IF($K940=1,(($M$23*-1)+($M$24*-1)),IF(ISNUMBER(W940),W940,0)+IF(ISNUMBER(X940),X940,0)+IF(ISNUMBER(AB940),AB940,0)+IF(ISNUMBER(AE940),AE940,0)+IF(ISNUMBER(AF940),AF940,0)+IF(ISNUMBER(AG940),AG940,0)+IF(ISNUMBER(AH940),AH940,0)+IF(ISNUMBER(AI940),AI940,0)+IF(ISNUMBER(AK940),AK940,0))=0,"",IF($K940=1,(($M$23*-1)+($M$24*-1)),IF(ISNUMBER(W940),W940,0)+IF(ISNUMBER(X940),X940,0)+IF(ISNUMBER(AB940),AB940,0)+IF(ISNUMBER(AE940),AE940,0)+IF(ISNUMBER(AF940),AF940,0)+IF(ISNUMBER(AG940),AG940,0)+IF(ISNUMBER(AH940),AH940,0)+IF(ISNUMBER(AI940),AI940,0)+IF(ISNUMBER(AK940),AK940,0))),"")</f>
        <v>5365</v>
      </c>
      <c r="N940" s="27" t="str">
        <f t="shared" si="298"/>
        <v/>
      </c>
      <c r="O940" s="26" t="str">
        <f>IF(AND($Q939=$O$38,IFERROR(LARGE($V$923:$V939,1)&lt;$N$42,TRUE)),1,IF(AND(ISNUMBER($O939),$O939&lt;$N$32),$O939+1,""))</f>
        <v/>
      </c>
      <c r="P940" s="26" t="str">
        <f t="shared" si="299"/>
        <v/>
      </c>
      <c r="Q940" s="26" t="str">
        <f t="shared" si="285"/>
        <v/>
      </c>
      <c r="R940" s="24">
        <f t="shared" si="300"/>
        <v>2</v>
      </c>
      <c r="S940" s="180">
        <f t="shared" si="301"/>
        <v>1.01</v>
      </c>
      <c r="T940" s="29">
        <f>SUM($AC$923:$AC940)</f>
        <v>11000</v>
      </c>
      <c r="U940" s="25">
        <f t="shared" si="286"/>
        <v>1</v>
      </c>
      <c r="V940" s="24">
        <f>IF(AND(ISNUMBER(R939),ISNUMBER(R940)),V939,IF(AND(R939="",ISNUMBER(R940)),IFERROR(LARGE($V$923:$V939,1)+1,0),""))</f>
        <v>1</v>
      </c>
      <c r="W940" s="23" t="str">
        <f t="shared" si="302"/>
        <v/>
      </c>
      <c r="X940" s="22" t="str">
        <f t="shared" si="303"/>
        <v/>
      </c>
      <c r="Y940" s="236"/>
      <c r="Z940" s="22"/>
      <c r="AA940" s="22"/>
      <c r="AB940" s="22">
        <f t="shared" si="304"/>
        <v>525</v>
      </c>
      <c r="AC940" s="22">
        <f t="shared" si="305"/>
        <v>5500</v>
      </c>
      <c r="AD940" s="22">
        <f t="shared" si="289"/>
        <v>525</v>
      </c>
      <c r="AE940" s="22">
        <f t="shared" si="306"/>
        <v>5500</v>
      </c>
      <c r="AF940" s="22">
        <f t="shared" si="291"/>
        <v>0</v>
      </c>
      <c r="AG940" s="22">
        <f t="shared" si="292"/>
        <v>-82.5</v>
      </c>
      <c r="AH940" s="22">
        <f t="shared" si="293"/>
        <v>-110</v>
      </c>
      <c r="AI940" s="22">
        <f t="shared" si="294"/>
        <v>-27.5</v>
      </c>
      <c r="AJ940" s="304">
        <f t="shared" si="295"/>
        <v>-440</v>
      </c>
      <c r="AK940" s="140">
        <f t="shared" si="296"/>
        <v>-440</v>
      </c>
    </row>
    <row r="941" spans="7:37" x14ac:dyDescent="0.25">
      <c r="G941" s="235" t="str">
        <f t="shared" si="281"/>
        <v>01.00</v>
      </c>
      <c r="H941" s="4" t="str">
        <f t="shared" si="282"/>
        <v>01.00.I</v>
      </c>
      <c r="I941" s="11" t="str">
        <f t="shared" si="283"/>
        <v>01.00.I.1</v>
      </c>
      <c r="K941" s="30">
        <v>19</v>
      </c>
      <c r="L941" s="29">
        <f t="shared" si="297"/>
        <v>-5087.6574451011347</v>
      </c>
      <c r="M941" s="28">
        <f t="shared" si="284"/>
        <v>-200</v>
      </c>
      <c r="N941" s="27" t="str">
        <f t="shared" si="298"/>
        <v/>
      </c>
      <c r="O941" s="26" t="str">
        <f>IF(AND($Q940=$O$38,IFERROR(LARGE($V$923:$V940,1)&lt;$N$42,TRUE)),1,IF(AND(ISNUMBER($O940),$O940&lt;$N$32),$O940+1,""))</f>
        <v/>
      </c>
      <c r="P941" s="26" t="str">
        <f t="shared" si="299"/>
        <v/>
      </c>
      <c r="Q941" s="26">
        <f t="shared" si="285"/>
        <v>1</v>
      </c>
      <c r="R941" s="24" t="str">
        <f t="shared" si="300"/>
        <v/>
      </c>
      <c r="S941" s="180">
        <f t="shared" si="301"/>
        <v>1</v>
      </c>
      <c r="T941" s="29">
        <f>SUM($AC$923:$AC941)</f>
        <v>11000</v>
      </c>
      <c r="U941" s="25" t="str">
        <f t="shared" si="286"/>
        <v/>
      </c>
      <c r="V941" s="24" t="str">
        <f>IF(AND(ISNUMBER(R940),ISNUMBER(R941)),V940,IF(AND(R940="",ISNUMBER(R941)),IFERROR(LARGE($V$923:$V940,1)+1,0),""))</f>
        <v/>
      </c>
      <c r="W941" s="23" t="str">
        <f t="shared" si="302"/>
        <v/>
      </c>
      <c r="X941" s="22" t="str">
        <f t="shared" si="303"/>
        <v/>
      </c>
      <c r="Y941" s="236"/>
      <c r="Z941" s="22"/>
      <c r="AA941" s="22"/>
      <c r="AB941" s="22">
        <f t="shared" si="304"/>
        <v>-200</v>
      </c>
      <c r="AC941" s="22" t="str">
        <f t="shared" si="305"/>
        <v/>
      </c>
      <c r="AD941" s="22" t="str">
        <f t="shared" si="289"/>
        <v/>
      </c>
      <c r="AE941" s="22" t="str">
        <f t="shared" si="306"/>
        <v/>
      </c>
      <c r="AF941" s="22" t="str">
        <f t="shared" si="291"/>
        <v/>
      </c>
      <c r="AG941" s="22" t="str">
        <f t="shared" si="292"/>
        <v/>
      </c>
      <c r="AH941" s="22" t="str">
        <f t="shared" si="293"/>
        <v/>
      </c>
      <c r="AI941" s="22" t="str">
        <f t="shared" si="294"/>
        <v/>
      </c>
      <c r="AJ941" s="304" t="str">
        <f t="shared" si="295"/>
        <v/>
      </c>
      <c r="AK941" s="140" t="str">
        <f t="shared" si="296"/>
        <v/>
      </c>
    </row>
    <row r="942" spans="7:37" x14ac:dyDescent="0.25">
      <c r="G942" s="235" t="str">
        <f t="shared" si="281"/>
        <v>01.00</v>
      </c>
      <c r="H942" s="4" t="str">
        <f t="shared" si="282"/>
        <v>01.00.I</v>
      </c>
      <c r="I942" s="11" t="str">
        <f t="shared" si="283"/>
        <v>01.00.I.2</v>
      </c>
      <c r="K942" s="30">
        <v>20</v>
      </c>
      <c r="L942" s="29">
        <f t="shared" si="297"/>
        <v>-5087.6574451011347</v>
      </c>
      <c r="M942" s="28" t="str">
        <f t="shared" si="284"/>
        <v/>
      </c>
      <c r="N942" s="27" t="str">
        <f t="shared" si="298"/>
        <v/>
      </c>
      <c r="O942" s="26" t="str">
        <f>IF(AND($Q941=$O$38,IFERROR(LARGE($V$923:$V941,1)&lt;$N$42,TRUE)),1,IF(AND(ISNUMBER($O941),$O941&lt;$N$32),$O941+1,""))</f>
        <v/>
      </c>
      <c r="P942" s="26" t="str">
        <f t="shared" si="299"/>
        <v/>
      </c>
      <c r="Q942" s="26">
        <f t="shared" si="285"/>
        <v>2</v>
      </c>
      <c r="R942" s="24" t="str">
        <f t="shared" si="300"/>
        <v/>
      </c>
      <c r="S942" s="180">
        <f t="shared" si="301"/>
        <v>1</v>
      </c>
      <c r="T942" s="29">
        <f>SUM($AC$923:$AC942)</f>
        <v>11000</v>
      </c>
      <c r="U942" s="25" t="str">
        <f t="shared" si="286"/>
        <v/>
      </c>
      <c r="V942" s="24" t="str">
        <f>IF(AND(ISNUMBER(R941),ISNUMBER(R942)),V941,IF(AND(R941="",ISNUMBER(R942)),IFERROR(LARGE($V$923:$V941,1)+1,0),""))</f>
        <v/>
      </c>
      <c r="W942" s="23" t="str">
        <f t="shared" si="302"/>
        <v/>
      </c>
      <c r="X942" s="22" t="str">
        <f t="shared" si="303"/>
        <v/>
      </c>
      <c r="Y942" s="236"/>
      <c r="Z942" s="22"/>
      <c r="AA942" s="22"/>
      <c r="AB942" s="22" t="str">
        <f t="shared" si="304"/>
        <v/>
      </c>
      <c r="AC942" s="22" t="str">
        <f t="shared" si="305"/>
        <v/>
      </c>
      <c r="AD942" s="22" t="str">
        <f t="shared" si="289"/>
        <v/>
      </c>
      <c r="AE942" s="22" t="str">
        <f t="shared" si="306"/>
        <v/>
      </c>
      <c r="AF942" s="22" t="str">
        <f t="shared" si="291"/>
        <v/>
      </c>
      <c r="AG942" s="22" t="str">
        <f t="shared" si="292"/>
        <v/>
      </c>
      <c r="AH942" s="22" t="str">
        <f t="shared" si="293"/>
        <v/>
      </c>
      <c r="AI942" s="22" t="str">
        <f t="shared" si="294"/>
        <v/>
      </c>
      <c r="AJ942" s="304" t="str">
        <f t="shared" si="295"/>
        <v/>
      </c>
      <c r="AK942" s="140" t="str">
        <f t="shared" si="296"/>
        <v/>
      </c>
    </row>
    <row r="943" spans="7:37" x14ac:dyDescent="0.25">
      <c r="G943" s="235" t="str">
        <f t="shared" si="281"/>
        <v>02.00</v>
      </c>
      <c r="H943" s="4" t="str">
        <f t="shared" si="282"/>
        <v>02.00.R</v>
      </c>
      <c r="I943" s="11" t="str">
        <f t="shared" si="283"/>
        <v>02.00.R.1</v>
      </c>
      <c r="K943" s="30">
        <v>21</v>
      </c>
      <c r="L943" s="29">
        <f t="shared" si="297"/>
        <v>-7701.2908992022694</v>
      </c>
      <c r="M943" s="28">
        <f t="shared" si="284"/>
        <v>-2613.6334541011352</v>
      </c>
      <c r="N943" s="27" t="str">
        <f t="shared" si="298"/>
        <v/>
      </c>
      <c r="O943" s="26">
        <f>IF(AND($Q942=$O$38,IFERROR(LARGE($V$923:$V942,1)&lt;$N$42,TRUE)),1,IF(AND(ISNUMBER($O942),$O942&lt;$N$32),$O942+1,""))</f>
        <v>1</v>
      </c>
      <c r="P943" s="26" t="str">
        <f t="shared" si="299"/>
        <v/>
      </c>
      <c r="Q943" s="26" t="str">
        <f t="shared" si="285"/>
        <v/>
      </c>
      <c r="R943" s="24" t="str">
        <f t="shared" si="300"/>
        <v/>
      </c>
      <c r="S943" s="180">
        <f t="shared" si="301"/>
        <v>2</v>
      </c>
      <c r="T943" s="29">
        <f>SUM($AC$923:$AC943)</f>
        <v>11000</v>
      </c>
      <c r="U943" s="25" t="str">
        <f t="shared" si="286"/>
        <v/>
      </c>
      <c r="V943" s="24" t="str">
        <f>IF(AND(ISNUMBER(R942),ISNUMBER(R943)),V942,IF(AND(R942="",ISNUMBER(R943)),IFERROR(LARGE($V$923:$V942,1)+1,0),""))</f>
        <v/>
      </c>
      <c r="W943" s="23">
        <f t="shared" si="302"/>
        <v>-1018.3530285882483</v>
      </c>
      <c r="X943" s="22">
        <f t="shared" si="303"/>
        <v>-1595.2804255128869</v>
      </c>
      <c r="Y943" s="236"/>
      <c r="Z943" s="22"/>
      <c r="AA943" s="22"/>
      <c r="AB943" s="22" t="str">
        <f t="shared" si="304"/>
        <v/>
      </c>
      <c r="AC943" s="22" t="str">
        <f t="shared" si="305"/>
        <v/>
      </c>
      <c r="AD943" s="22" t="str">
        <f t="shared" si="289"/>
        <v/>
      </c>
      <c r="AE943" s="22" t="str">
        <f t="shared" si="306"/>
        <v/>
      </c>
      <c r="AF943" s="22" t="str">
        <f t="shared" si="291"/>
        <v/>
      </c>
      <c r="AG943" s="22" t="str">
        <f t="shared" si="292"/>
        <v/>
      </c>
      <c r="AH943" s="22" t="str">
        <f t="shared" si="293"/>
        <v/>
      </c>
      <c r="AI943" s="22" t="str">
        <f t="shared" si="294"/>
        <v/>
      </c>
      <c r="AJ943" s="304" t="str">
        <f t="shared" si="295"/>
        <v/>
      </c>
      <c r="AK943" s="140" t="str">
        <f t="shared" si="296"/>
        <v/>
      </c>
    </row>
    <row r="944" spans="7:37" x14ac:dyDescent="0.25">
      <c r="G944" s="235" t="str">
        <f t="shared" si="281"/>
        <v>02.00</v>
      </c>
      <c r="H944" s="4" t="str">
        <f t="shared" si="282"/>
        <v>02.00.R</v>
      </c>
      <c r="I944" s="11" t="str">
        <f t="shared" si="283"/>
        <v>02.00.R.2</v>
      </c>
      <c r="K944" s="30">
        <v>22</v>
      </c>
      <c r="L944" s="29">
        <f t="shared" si="297"/>
        <v>-7701.2908992022694</v>
      </c>
      <c r="M944" s="28" t="str">
        <f t="shared" si="284"/>
        <v/>
      </c>
      <c r="N944" s="27" t="str">
        <f t="shared" si="298"/>
        <v/>
      </c>
      <c r="O944" s="26">
        <f>IF(AND($Q943=$O$38,IFERROR(LARGE($V$923:$V943,1)&lt;$N$42,TRUE)),1,IF(AND(ISNUMBER($O943),$O943&lt;$N$32),$O943+1,""))</f>
        <v>2</v>
      </c>
      <c r="P944" s="26" t="str">
        <f t="shared" si="299"/>
        <v/>
      </c>
      <c r="Q944" s="26" t="str">
        <f t="shared" si="285"/>
        <v/>
      </c>
      <c r="R944" s="24" t="str">
        <f t="shared" si="300"/>
        <v/>
      </c>
      <c r="S944" s="180">
        <f t="shared" si="301"/>
        <v>2</v>
      </c>
      <c r="T944" s="29">
        <f>SUM($AC$923:$AC944)</f>
        <v>11000</v>
      </c>
      <c r="U944" s="25" t="str">
        <f t="shared" si="286"/>
        <v/>
      </c>
      <c r="V944" s="24" t="str">
        <f>IF(AND(ISNUMBER(R943),ISNUMBER(R944)),V943,IF(AND(R943="",ISNUMBER(R944)),IFERROR(LARGE($V$923:$V943,1)+1,0),""))</f>
        <v/>
      </c>
      <c r="W944" s="23" t="str">
        <f t="shared" si="302"/>
        <v/>
      </c>
      <c r="X944" s="22" t="str">
        <f t="shared" si="303"/>
        <v/>
      </c>
      <c r="Y944" s="236"/>
      <c r="Z944" s="22"/>
      <c r="AA944" s="22"/>
      <c r="AB944" s="22" t="str">
        <f t="shared" si="304"/>
        <v/>
      </c>
      <c r="AC944" s="22" t="str">
        <f t="shared" si="305"/>
        <v/>
      </c>
      <c r="AD944" s="22" t="str">
        <f t="shared" si="289"/>
        <v/>
      </c>
      <c r="AE944" s="22" t="str">
        <f t="shared" si="306"/>
        <v/>
      </c>
      <c r="AF944" s="22" t="str">
        <f t="shared" si="291"/>
        <v/>
      </c>
      <c r="AG944" s="22" t="str">
        <f t="shared" si="292"/>
        <v/>
      </c>
      <c r="AH944" s="22" t="str">
        <f t="shared" si="293"/>
        <v/>
      </c>
      <c r="AI944" s="22" t="str">
        <f t="shared" si="294"/>
        <v/>
      </c>
      <c r="AJ944" s="304" t="str">
        <f t="shared" si="295"/>
        <v/>
      </c>
      <c r="AK944" s="140" t="str">
        <f t="shared" si="296"/>
        <v/>
      </c>
    </row>
    <row r="945" spans="7:37" x14ac:dyDescent="0.25">
      <c r="G945" s="235" t="str">
        <f t="shared" si="281"/>
        <v>02.00</v>
      </c>
      <c r="H945" s="4" t="str">
        <f t="shared" si="282"/>
        <v>02.00.R</v>
      </c>
      <c r="I945" s="11" t="str">
        <f t="shared" si="283"/>
        <v>02.00.R.3</v>
      </c>
      <c r="K945" s="30">
        <v>23</v>
      </c>
      <c r="L945" s="29">
        <f t="shared" si="297"/>
        <v>-7701.2908992022694</v>
      </c>
      <c r="M945" s="28" t="str">
        <f t="shared" si="284"/>
        <v/>
      </c>
      <c r="N945" s="27" t="str">
        <f t="shared" si="298"/>
        <v/>
      </c>
      <c r="O945" s="26">
        <f>IF(AND($Q944=$O$38,IFERROR(LARGE($V$923:$V944,1)&lt;$N$42,TRUE)),1,IF(AND(ISNUMBER($O944),$O944&lt;$N$32),$O944+1,""))</f>
        <v>3</v>
      </c>
      <c r="P945" s="26" t="str">
        <f t="shared" si="299"/>
        <v/>
      </c>
      <c r="Q945" s="26" t="str">
        <f t="shared" si="285"/>
        <v/>
      </c>
      <c r="R945" s="24" t="str">
        <f t="shared" si="300"/>
        <v/>
      </c>
      <c r="S945" s="180">
        <f>IF($Q945=1,ROUNDDOWN($S944,0),IF($O945=1,ROUNDDOWN($S944,0)+1,IF($R945=1,$S944+0.01,IF(ISNUMBER($U945),IF(AND($U945&gt;1,($U945-$U944)=1),$S944+0.01,$S944),$S944))))</f>
        <v>2</v>
      </c>
      <c r="T945" s="29">
        <f>SUM($AC$923:$AC945)</f>
        <v>11000</v>
      </c>
      <c r="U945" s="25" t="str">
        <f t="shared" si="286"/>
        <v/>
      </c>
      <c r="V945" s="24" t="str">
        <f>IF(AND(ISNUMBER(R944),ISNUMBER(R945)),V944,IF(AND(R944="",ISNUMBER(R945)),IFERROR(LARGE($V$923:$V944,1)+1,0),""))</f>
        <v/>
      </c>
      <c r="W945" s="23" t="str">
        <f t="shared" si="302"/>
        <v/>
      </c>
      <c r="X945" s="22" t="str">
        <f t="shared" si="303"/>
        <v/>
      </c>
      <c r="Y945" s="236"/>
      <c r="Z945" s="22"/>
      <c r="AA945" s="22"/>
      <c r="AB945" s="22" t="str">
        <f t="shared" si="304"/>
        <v/>
      </c>
      <c r="AC945" s="22" t="str">
        <f t="shared" si="305"/>
        <v/>
      </c>
      <c r="AD945" s="22" t="str">
        <f t="shared" si="289"/>
        <v/>
      </c>
      <c r="AE945" s="22" t="str">
        <f t="shared" si="306"/>
        <v/>
      </c>
      <c r="AF945" s="22" t="str">
        <f t="shared" si="291"/>
        <v/>
      </c>
      <c r="AG945" s="22" t="str">
        <f t="shared" si="292"/>
        <v/>
      </c>
      <c r="AH945" s="22" t="str">
        <f t="shared" si="293"/>
        <v/>
      </c>
      <c r="AI945" s="22" t="str">
        <f t="shared" si="294"/>
        <v/>
      </c>
      <c r="AJ945" s="304" t="str">
        <f t="shared" si="295"/>
        <v/>
      </c>
      <c r="AK945" s="140" t="str">
        <f t="shared" si="296"/>
        <v/>
      </c>
    </row>
    <row r="946" spans="7:37" x14ac:dyDescent="0.25">
      <c r="G946" s="235" t="str">
        <f t="shared" si="281"/>
        <v>02.00</v>
      </c>
      <c r="H946" s="4" t="str">
        <f t="shared" si="282"/>
        <v>02.00.O</v>
      </c>
      <c r="I946" s="11" t="str">
        <f t="shared" si="283"/>
        <v>02.00.O.1</v>
      </c>
      <c r="K946" s="30">
        <v>24</v>
      </c>
      <c r="L946" s="29">
        <f t="shared" si="297"/>
        <v>-7901.2908992022694</v>
      </c>
      <c r="M946" s="28">
        <f t="shared" si="284"/>
        <v>-200</v>
      </c>
      <c r="N946" s="27" t="str">
        <f t="shared" si="298"/>
        <v/>
      </c>
      <c r="O946" s="26" t="str">
        <f>IF(AND($Q945=$O$38,IFERROR(LARGE($V$923:$V945,1)&lt;$N$42,TRUE)),1,IF(AND(ISNUMBER($O945),$O945&lt;$N$32),$O945+1,""))</f>
        <v/>
      </c>
      <c r="P946" s="26">
        <f t="shared" si="299"/>
        <v>1</v>
      </c>
      <c r="Q946" s="26" t="str">
        <f t="shared" si="285"/>
        <v/>
      </c>
      <c r="R946" s="24" t="str">
        <f t="shared" si="300"/>
        <v/>
      </c>
      <c r="S946" s="180">
        <f t="shared" ref="S946:S1009" si="307">IF($Q946=1,ROUNDDOWN($S945,0),IF($O946=1,ROUNDDOWN($S945,0)+1,IF($R946=1,$S945+0.01,IF(ISNUMBER($U946),IF(AND($U946&gt;1,($U946-$U945)=1),$S945+0.01,$S945),$S945))))</f>
        <v>2</v>
      </c>
      <c r="T946" s="29">
        <f>SUM($AC$923:$AC946)</f>
        <v>11000</v>
      </c>
      <c r="U946" s="25" t="str">
        <f t="shared" si="286"/>
        <v/>
      </c>
      <c r="V946" s="24" t="str">
        <f>IF(AND(ISNUMBER(R945),ISNUMBER(R946)),V945,IF(AND(R945="",ISNUMBER(R946)),IFERROR(LARGE($V$923:$V945,1)+1,0),""))</f>
        <v/>
      </c>
      <c r="W946" s="23" t="str">
        <f t="shared" si="302"/>
        <v/>
      </c>
      <c r="X946" s="22" t="str">
        <f t="shared" si="303"/>
        <v/>
      </c>
      <c r="Y946" s="236"/>
      <c r="Z946" s="22"/>
      <c r="AA946" s="22"/>
      <c r="AB946" s="22">
        <f t="shared" si="304"/>
        <v>-200</v>
      </c>
      <c r="AC946" s="22" t="str">
        <f t="shared" si="305"/>
        <v/>
      </c>
      <c r="AD946" s="22" t="str">
        <f t="shared" si="289"/>
        <v/>
      </c>
      <c r="AE946" s="22" t="str">
        <f t="shared" si="306"/>
        <v/>
      </c>
      <c r="AF946" s="22" t="str">
        <f t="shared" si="291"/>
        <v/>
      </c>
      <c r="AG946" s="22" t="str">
        <f t="shared" si="292"/>
        <v/>
      </c>
      <c r="AH946" s="22" t="str">
        <f t="shared" si="293"/>
        <v/>
      </c>
      <c r="AI946" s="22" t="str">
        <f t="shared" si="294"/>
        <v/>
      </c>
      <c r="AJ946" s="304" t="str">
        <f t="shared" si="295"/>
        <v/>
      </c>
      <c r="AK946" s="140" t="str">
        <f t="shared" si="296"/>
        <v/>
      </c>
    </row>
    <row r="947" spans="7:37" x14ac:dyDescent="0.25">
      <c r="G947" s="235" t="str">
        <f t="shared" si="281"/>
        <v>02.00</v>
      </c>
      <c r="H947" s="4" t="str">
        <f t="shared" si="282"/>
        <v>02.00.O</v>
      </c>
      <c r="I947" s="11" t="str">
        <f t="shared" si="283"/>
        <v>02.00.O.2</v>
      </c>
      <c r="K947" s="30">
        <v>25</v>
      </c>
      <c r="L947" s="29">
        <f t="shared" si="297"/>
        <v>-7901.2908992022694</v>
      </c>
      <c r="M947" s="28" t="str">
        <f t="shared" si="284"/>
        <v/>
      </c>
      <c r="N947" s="27" t="str">
        <f t="shared" si="298"/>
        <v/>
      </c>
      <c r="O947" s="26" t="str">
        <f>IF(AND($Q946=$O$38,IFERROR(LARGE($V$923:$V946,1)&lt;$N$42,TRUE)),1,IF(AND(ISNUMBER($O946),$O946&lt;$N$32),$O946+1,""))</f>
        <v/>
      </c>
      <c r="P947" s="26">
        <f t="shared" si="299"/>
        <v>2</v>
      </c>
      <c r="Q947" s="26" t="str">
        <f t="shared" si="285"/>
        <v/>
      </c>
      <c r="R947" s="24" t="str">
        <f t="shared" si="300"/>
        <v/>
      </c>
      <c r="S947" s="180">
        <f t="shared" si="307"/>
        <v>2</v>
      </c>
      <c r="T947" s="29">
        <f>SUM($AC$923:$AC947)</f>
        <v>11000</v>
      </c>
      <c r="U947" s="25" t="str">
        <f t="shared" si="286"/>
        <v/>
      </c>
      <c r="V947" s="24" t="str">
        <f>IF(AND(ISNUMBER(R946),ISNUMBER(R947)),V946,IF(AND(R946="",ISNUMBER(R947)),IFERROR(LARGE($V$923:$V946,1)+1,0),""))</f>
        <v/>
      </c>
      <c r="W947" s="23" t="str">
        <f t="shared" si="302"/>
        <v/>
      </c>
      <c r="X947" s="22" t="str">
        <f t="shared" si="303"/>
        <v/>
      </c>
      <c r="Y947" s="236"/>
      <c r="Z947" s="22"/>
      <c r="AA947" s="22"/>
      <c r="AB947" s="22" t="str">
        <f t="shared" si="304"/>
        <v/>
      </c>
      <c r="AC947" s="22" t="str">
        <f t="shared" si="305"/>
        <v/>
      </c>
      <c r="AD947" s="22" t="str">
        <f t="shared" si="289"/>
        <v/>
      </c>
      <c r="AE947" s="22" t="str">
        <f t="shared" si="306"/>
        <v/>
      </c>
      <c r="AF947" s="22" t="str">
        <f t="shared" si="291"/>
        <v/>
      </c>
      <c r="AG947" s="22" t="str">
        <f t="shared" si="292"/>
        <v/>
      </c>
      <c r="AH947" s="22" t="str">
        <f t="shared" si="293"/>
        <v/>
      </c>
      <c r="AI947" s="22" t="str">
        <f t="shared" si="294"/>
        <v/>
      </c>
      <c r="AJ947" s="304" t="str">
        <f t="shared" si="295"/>
        <v/>
      </c>
      <c r="AK947" s="140" t="str">
        <f t="shared" si="296"/>
        <v/>
      </c>
    </row>
    <row r="948" spans="7:37" x14ac:dyDescent="0.25">
      <c r="G948" s="235" t="str">
        <f t="shared" si="281"/>
        <v>02.01</v>
      </c>
      <c r="H948" s="4" t="str">
        <f t="shared" si="282"/>
        <v>02.01.D</v>
      </c>
      <c r="I948" s="11" t="str">
        <f t="shared" si="283"/>
        <v>02.01.D.1</v>
      </c>
      <c r="K948" s="30">
        <v>26</v>
      </c>
      <c r="L948" s="29">
        <f t="shared" si="297"/>
        <v>-7901.2908992022694</v>
      </c>
      <c r="M948" s="28" t="str">
        <f t="shared" si="284"/>
        <v/>
      </c>
      <c r="N948" s="27" t="str">
        <f t="shared" si="298"/>
        <v/>
      </c>
      <c r="O948" s="26" t="str">
        <f>IF(AND($Q947=$O$38,IFERROR(LARGE($V$923:$V947,1)&lt;$N$42,TRUE)),1,IF(AND(ISNUMBER($O947),$O947&lt;$N$32),$O947+1,""))</f>
        <v/>
      </c>
      <c r="P948" s="26" t="str">
        <f t="shared" si="299"/>
        <v/>
      </c>
      <c r="Q948" s="26" t="str">
        <f t="shared" si="285"/>
        <v/>
      </c>
      <c r="R948" s="24">
        <f t="shared" si="300"/>
        <v>1</v>
      </c>
      <c r="S948" s="180">
        <f t="shared" si="307"/>
        <v>2.0099999999999998</v>
      </c>
      <c r="T948" s="29">
        <f>SUM($AC$923:$AC948)</f>
        <v>11000</v>
      </c>
      <c r="U948" s="25">
        <f t="shared" si="286"/>
        <v>1</v>
      </c>
      <c r="V948" s="24">
        <f>IF(AND(ISNUMBER(R947),ISNUMBER(R948)),V947,IF(AND(R947="",ISNUMBER(R948)),IFERROR(LARGE($V$923:$V947,1)+1,0),""))</f>
        <v>2</v>
      </c>
      <c r="W948" s="23" t="str">
        <f t="shared" si="302"/>
        <v/>
      </c>
      <c r="X948" s="22" t="str">
        <f t="shared" si="303"/>
        <v/>
      </c>
      <c r="Y948" s="236"/>
      <c r="Z948" s="22"/>
      <c r="AA948" s="22"/>
      <c r="AB948" s="22" t="str">
        <f t="shared" si="304"/>
        <v/>
      </c>
      <c r="AC948" s="22" t="str">
        <f t="shared" si="305"/>
        <v/>
      </c>
      <c r="AD948" s="22" t="str">
        <f t="shared" si="289"/>
        <v/>
      </c>
      <c r="AE948" s="22" t="str">
        <f t="shared" si="306"/>
        <v/>
      </c>
      <c r="AF948" s="22" t="str">
        <f t="shared" si="291"/>
        <v/>
      </c>
      <c r="AG948" s="22" t="str">
        <f t="shared" si="292"/>
        <v/>
      </c>
      <c r="AH948" s="22" t="str">
        <f t="shared" si="293"/>
        <v/>
      </c>
      <c r="AI948" s="22" t="str">
        <f t="shared" si="294"/>
        <v/>
      </c>
      <c r="AJ948" s="304" t="str">
        <f t="shared" si="295"/>
        <v/>
      </c>
      <c r="AK948" s="140" t="str">
        <f t="shared" si="296"/>
        <v/>
      </c>
    </row>
    <row r="949" spans="7:37" x14ac:dyDescent="0.25">
      <c r="G949" s="235" t="str">
        <f t="shared" si="281"/>
        <v>02.01</v>
      </c>
      <c r="H949" s="4" t="str">
        <f t="shared" si="282"/>
        <v>02.01.D</v>
      </c>
      <c r="I949" s="11" t="str">
        <f t="shared" si="283"/>
        <v>02.01.D.2</v>
      </c>
      <c r="K949" s="30">
        <v>27</v>
      </c>
      <c r="L949" s="29">
        <f t="shared" si="297"/>
        <v>-2536.2908992022694</v>
      </c>
      <c r="M949" s="28">
        <f t="shared" si="284"/>
        <v>5365</v>
      </c>
      <c r="N949" s="27" t="str">
        <f t="shared" si="298"/>
        <v/>
      </c>
      <c r="O949" s="26" t="str">
        <f>IF(AND($Q948=$O$38,IFERROR(LARGE($V$923:$V948,1)&lt;$N$42,TRUE)),1,IF(AND(ISNUMBER($O948),$O948&lt;$N$32),$O948+1,""))</f>
        <v/>
      </c>
      <c r="P949" s="26" t="str">
        <f t="shared" si="299"/>
        <v/>
      </c>
      <c r="Q949" s="26" t="str">
        <f t="shared" si="285"/>
        <v/>
      </c>
      <c r="R949" s="24">
        <f t="shared" si="300"/>
        <v>2</v>
      </c>
      <c r="S949" s="180">
        <f t="shared" si="307"/>
        <v>2.0099999999999998</v>
      </c>
      <c r="T949" s="29">
        <f>SUM($AC$923:$AC949)</f>
        <v>16500</v>
      </c>
      <c r="U949" s="25">
        <f t="shared" si="286"/>
        <v>1</v>
      </c>
      <c r="V949" s="24">
        <f>IF(AND(ISNUMBER(R948),ISNUMBER(R949)),V948,IF(AND(R948="",ISNUMBER(R949)),IFERROR(LARGE($V$923:$V948,1)+1,0),""))</f>
        <v>2</v>
      </c>
      <c r="W949" s="23" t="str">
        <f t="shared" si="302"/>
        <v/>
      </c>
      <c r="X949" s="22" t="str">
        <f t="shared" si="303"/>
        <v/>
      </c>
      <c r="Y949" s="236"/>
      <c r="Z949" s="22"/>
      <c r="AA949" s="22"/>
      <c r="AB949" s="22">
        <f t="shared" si="304"/>
        <v>525</v>
      </c>
      <c r="AC949" s="22">
        <f t="shared" si="305"/>
        <v>5500</v>
      </c>
      <c r="AD949" s="22">
        <f t="shared" si="289"/>
        <v>525</v>
      </c>
      <c r="AE949" s="22">
        <f t="shared" si="306"/>
        <v>5500</v>
      </c>
      <c r="AF949" s="22">
        <f t="shared" si="291"/>
        <v>0</v>
      </c>
      <c r="AG949" s="22">
        <f t="shared" si="292"/>
        <v>-82.5</v>
      </c>
      <c r="AH949" s="22">
        <f t="shared" si="293"/>
        <v>-110</v>
      </c>
      <c r="AI949" s="22">
        <f t="shared" si="294"/>
        <v>-27.5</v>
      </c>
      <c r="AJ949" s="304">
        <f t="shared" si="295"/>
        <v>-440</v>
      </c>
      <c r="AK949" s="140">
        <f t="shared" si="296"/>
        <v>-440</v>
      </c>
    </row>
    <row r="950" spans="7:37" x14ac:dyDescent="0.25">
      <c r="G950" s="235" t="str">
        <f t="shared" si="281"/>
        <v>02.00</v>
      </c>
      <c r="H950" s="4" t="str">
        <f t="shared" si="282"/>
        <v>02.00.I</v>
      </c>
      <c r="I950" s="11" t="str">
        <f t="shared" si="283"/>
        <v>02.00.I.1</v>
      </c>
      <c r="K950" s="30">
        <v>28</v>
      </c>
      <c r="L950" s="29">
        <f t="shared" si="297"/>
        <v>-2736.2908992022694</v>
      </c>
      <c r="M950" s="28">
        <f t="shared" si="284"/>
        <v>-200</v>
      </c>
      <c r="N950" s="27" t="str">
        <f t="shared" si="298"/>
        <v/>
      </c>
      <c r="O950" s="26" t="str">
        <f>IF(AND($Q949=$O$38,IFERROR(LARGE($V$923:$V949,1)&lt;$N$42,TRUE)),1,IF(AND(ISNUMBER($O949),$O949&lt;$N$32),$O949+1,""))</f>
        <v/>
      </c>
      <c r="P950" s="26" t="str">
        <f t="shared" si="299"/>
        <v/>
      </c>
      <c r="Q950" s="26">
        <f t="shared" si="285"/>
        <v>1</v>
      </c>
      <c r="R950" s="24" t="str">
        <f t="shared" si="300"/>
        <v/>
      </c>
      <c r="S950" s="180">
        <f t="shared" si="307"/>
        <v>2</v>
      </c>
      <c r="T950" s="29">
        <f>SUM($AC$923:$AC950)</f>
        <v>16500</v>
      </c>
      <c r="U950" s="25" t="str">
        <f t="shared" si="286"/>
        <v/>
      </c>
      <c r="V950" s="24" t="str">
        <f>IF(AND(ISNUMBER(R949),ISNUMBER(R950)),V949,IF(AND(R949="",ISNUMBER(R950)),IFERROR(LARGE($V$923:$V949,1)+1,0),""))</f>
        <v/>
      </c>
      <c r="W950" s="23" t="str">
        <f t="shared" si="302"/>
        <v/>
      </c>
      <c r="X950" s="22" t="str">
        <f t="shared" si="303"/>
        <v/>
      </c>
      <c r="Y950" s="236"/>
      <c r="Z950" s="22"/>
      <c r="AA950" s="22"/>
      <c r="AB950" s="22">
        <f t="shared" si="304"/>
        <v>-200</v>
      </c>
      <c r="AC950" s="22" t="str">
        <f t="shared" si="305"/>
        <v/>
      </c>
      <c r="AD950" s="22" t="str">
        <f t="shared" si="289"/>
        <v/>
      </c>
      <c r="AE950" s="22" t="str">
        <f t="shared" si="306"/>
        <v/>
      </c>
      <c r="AF950" s="22" t="str">
        <f t="shared" si="291"/>
        <v/>
      </c>
      <c r="AG950" s="22" t="str">
        <f t="shared" si="292"/>
        <v/>
      </c>
      <c r="AH950" s="22" t="str">
        <f t="shared" si="293"/>
        <v/>
      </c>
      <c r="AI950" s="22" t="str">
        <f t="shared" si="294"/>
        <v/>
      </c>
      <c r="AJ950" s="304" t="str">
        <f t="shared" si="295"/>
        <v/>
      </c>
      <c r="AK950" s="140" t="str">
        <f t="shared" si="296"/>
        <v/>
      </c>
    </row>
    <row r="951" spans="7:37" x14ac:dyDescent="0.25">
      <c r="G951" s="235" t="str">
        <f t="shared" si="281"/>
        <v>02.00</v>
      </c>
      <c r="H951" s="4" t="str">
        <f t="shared" si="282"/>
        <v>02.00.I</v>
      </c>
      <c r="I951" s="11" t="str">
        <f t="shared" si="283"/>
        <v>02.00.I.2</v>
      </c>
      <c r="K951" s="30">
        <v>29</v>
      </c>
      <c r="L951" s="29">
        <f t="shared" si="297"/>
        <v>-2736.2908992022694</v>
      </c>
      <c r="M951" s="28" t="str">
        <f t="shared" si="284"/>
        <v/>
      </c>
      <c r="N951" s="27" t="str">
        <f t="shared" si="298"/>
        <v/>
      </c>
      <c r="O951" s="26" t="str">
        <f>IF(AND($Q950=$O$38,IFERROR(LARGE($V$923:$V950,1)&lt;$N$42,TRUE)),1,IF(AND(ISNUMBER($O950),$O950&lt;$N$32),$O950+1,""))</f>
        <v/>
      </c>
      <c r="P951" s="26" t="str">
        <f t="shared" si="299"/>
        <v/>
      </c>
      <c r="Q951" s="26">
        <f t="shared" si="285"/>
        <v>2</v>
      </c>
      <c r="R951" s="24" t="str">
        <f t="shared" si="300"/>
        <v/>
      </c>
      <c r="S951" s="180">
        <f t="shared" si="307"/>
        <v>2</v>
      </c>
      <c r="T951" s="29">
        <f>SUM($AC$923:$AC951)</f>
        <v>16500</v>
      </c>
      <c r="U951" s="25" t="str">
        <f t="shared" si="286"/>
        <v/>
      </c>
      <c r="V951" s="24" t="str">
        <f>IF(AND(ISNUMBER(R950),ISNUMBER(R951)),V950,IF(AND(R950="",ISNUMBER(R951)),IFERROR(LARGE($V$923:$V950,1)+1,0),""))</f>
        <v/>
      </c>
      <c r="W951" s="23" t="str">
        <f t="shared" si="302"/>
        <v/>
      </c>
      <c r="X951" s="22" t="str">
        <f t="shared" si="303"/>
        <v/>
      </c>
      <c r="Y951" s="236"/>
      <c r="Z951" s="22"/>
      <c r="AA951" s="22"/>
      <c r="AB951" s="22" t="str">
        <f t="shared" si="304"/>
        <v/>
      </c>
      <c r="AC951" s="22" t="str">
        <f t="shared" si="305"/>
        <v/>
      </c>
      <c r="AD951" s="22" t="str">
        <f t="shared" si="289"/>
        <v/>
      </c>
      <c r="AE951" s="22" t="str">
        <f t="shared" si="306"/>
        <v/>
      </c>
      <c r="AF951" s="22" t="str">
        <f t="shared" si="291"/>
        <v/>
      </c>
      <c r="AG951" s="22" t="str">
        <f t="shared" si="292"/>
        <v/>
      </c>
      <c r="AH951" s="22" t="str">
        <f t="shared" si="293"/>
        <v/>
      </c>
      <c r="AI951" s="22" t="str">
        <f t="shared" si="294"/>
        <v/>
      </c>
      <c r="AJ951" s="304" t="str">
        <f t="shared" si="295"/>
        <v/>
      </c>
      <c r="AK951" s="140" t="str">
        <f t="shared" si="296"/>
        <v/>
      </c>
    </row>
    <row r="952" spans="7:37" x14ac:dyDescent="0.25">
      <c r="G952" s="235" t="str">
        <f t="shared" si="281"/>
        <v>03.00</v>
      </c>
      <c r="H952" s="4" t="str">
        <f t="shared" si="282"/>
        <v>03.00.R</v>
      </c>
      <c r="I952" s="11" t="str">
        <f t="shared" si="283"/>
        <v>03.00.R.1</v>
      </c>
      <c r="K952" s="30">
        <v>30</v>
      </c>
      <c r="L952" s="29">
        <f t="shared" si="297"/>
        <v>-5349.9243533034041</v>
      </c>
      <c r="M952" s="28">
        <f t="shared" si="284"/>
        <v>-2613.6334541011352</v>
      </c>
      <c r="N952" s="27" t="str">
        <f t="shared" si="298"/>
        <v/>
      </c>
      <c r="O952" s="26">
        <f>IF(AND($Q951=$O$38,IFERROR(LARGE($V$923:$V951,1)&lt;$N$42,TRUE)),1,IF(AND(ISNUMBER($O951),$O951&lt;$N$32),$O951+1,""))</f>
        <v>1</v>
      </c>
      <c r="P952" s="26" t="str">
        <f t="shared" si="299"/>
        <v/>
      </c>
      <c r="Q952" s="26" t="str">
        <f t="shared" si="285"/>
        <v/>
      </c>
      <c r="R952" s="24" t="str">
        <f t="shared" si="300"/>
        <v/>
      </c>
      <c r="S952" s="180">
        <f t="shared" si="307"/>
        <v>3</v>
      </c>
      <c r="T952" s="29">
        <f>SUM($AC$923:$AC952)</f>
        <v>16500</v>
      </c>
      <c r="U952" s="25" t="str">
        <f t="shared" si="286"/>
        <v/>
      </c>
      <c r="V952" s="24" t="str">
        <f>IF(AND(ISNUMBER(R951),ISNUMBER(R952)),V951,IF(AND(R951="",ISNUMBER(R952)),IFERROR(LARGE($V$923:$V951,1)+1,0),""))</f>
        <v/>
      </c>
      <c r="W952" s="23">
        <f t="shared" si="302"/>
        <v>-1018.3530285882483</v>
      </c>
      <c r="X952" s="22">
        <f t="shared" si="303"/>
        <v>-1595.2804255128869</v>
      </c>
      <c r="Y952" s="236"/>
      <c r="Z952" s="22"/>
      <c r="AA952" s="22"/>
      <c r="AB952" s="22" t="str">
        <f t="shared" si="304"/>
        <v/>
      </c>
      <c r="AC952" s="22" t="str">
        <f t="shared" si="305"/>
        <v/>
      </c>
      <c r="AD952" s="22" t="str">
        <f t="shared" si="289"/>
        <v/>
      </c>
      <c r="AE952" s="22" t="str">
        <f t="shared" si="306"/>
        <v/>
      </c>
      <c r="AF952" s="22" t="str">
        <f t="shared" si="291"/>
        <v/>
      </c>
      <c r="AG952" s="22" t="str">
        <f t="shared" si="292"/>
        <v/>
      </c>
      <c r="AH952" s="22" t="str">
        <f t="shared" si="293"/>
        <v/>
      </c>
      <c r="AI952" s="22" t="str">
        <f t="shared" si="294"/>
        <v/>
      </c>
      <c r="AJ952" s="304" t="str">
        <f t="shared" si="295"/>
        <v/>
      </c>
      <c r="AK952" s="140" t="str">
        <f t="shared" si="296"/>
        <v/>
      </c>
    </row>
    <row r="953" spans="7:37" x14ac:dyDescent="0.25">
      <c r="G953" s="235" t="str">
        <f t="shared" si="281"/>
        <v>03.00</v>
      </c>
      <c r="H953" s="4" t="str">
        <f t="shared" si="282"/>
        <v>03.00.R</v>
      </c>
      <c r="I953" s="11" t="str">
        <f t="shared" si="283"/>
        <v>03.00.R.2</v>
      </c>
      <c r="K953" s="30">
        <v>31</v>
      </c>
      <c r="L953" s="29">
        <f t="shared" si="297"/>
        <v>-5349.9243533034041</v>
      </c>
      <c r="M953" s="28" t="str">
        <f t="shared" si="284"/>
        <v/>
      </c>
      <c r="N953" s="27" t="str">
        <f t="shared" si="298"/>
        <v/>
      </c>
      <c r="O953" s="26">
        <f>IF(AND($Q952=$O$38,IFERROR(LARGE($V$923:$V952,1)&lt;$N$42,TRUE)),1,IF(AND(ISNUMBER($O952),$O952&lt;$N$32),$O952+1,""))</f>
        <v>2</v>
      </c>
      <c r="P953" s="26" t="str">
        <f t="shared" si="299"/>
        <v/>
      </c>
      <c r="Q953" s="26" t="str">
        <f t="shared" si="285"/>
        <v/>
      </c>
      <c r="R953" s="24" t="str">
        <f t="shared" si="300"/>
        <v/>
      </c>
      <c r="S953" s="180">
        <f t="shared" si="307"/>
        <v>3</v>
      </c>
      <c r="T953" s="29">
        <f>SUM($AC$923:$AC953)</f>
        <v>16500</v>
      </c>
      <c r="U953" s="25" t="str">
        <f t="shared" si="286"/>
        <v/>
      </c>
      <c r="V953" s="24" t="str">
        <f>IF(AND(ISNUMBER(R952),ISNUMBER(R953)),V952,IF(AND(R952="",ISNUMBER(R953)),IFERROR(LARGE($V$923:$V952,1)+1,0),""))</f>
        <v/>
      </c>
      <c r="W953" s="23" t="str">
        <f t="shared" si="302"/>
        <v/>
      </c>
      <c r="X953" s="22" t="str">
        <f t="shared" si="303"/>
        <v/>
      </c>
      <c r="Y953" s="236"/>
      <c r="Z953" s="22"/>
      <c r="AA953" s="22"/>
      <c r="AB953" s="22" t="str">
        <f t="shared" si="304"/>
        <v/>
      </c>
      <c r="AC953" s="22" t="str">
        <f t="shared" si="305"/>
        <v/>
      </c>
      <c r="AD953" s="22" t="str">
        <f t="shared" si="289"/>
        <v/>
      </c>
      <c r="AE953" s="22" t="str">
        <f t="shared" si="306"/>
        <v/>
      </c>
      <c r="AF953" s="22" t="str">
        <f t="shared" si="291"/>
        <v/>
      </c>
      <c r="AG953" s="22" t="str">
        <f t="shared" si="292"/>
        <v/>
      </c>
      <c r="AH953" s="22" t="str">
        <f t="shared" si="293"/>
        <v/>
      </c>
      <c r="AI953" s="22" t="str">
        <f t="shared" si="294"/>
        <v/>
      </c>
      <c r="AJ953" s="304" t="str">
        <f t="shared" si="295"/>
        <v/>
      </c>
      <c r="AK953" s="140" t="str">
        <f t="shared" si="296"/>
        <v/>
      </c>
    </row>
    <row r="954" spans="7:37" x14ac:dyDescent="0.25">
      <c r="G954" s="235" t="str">
        <f t="shared" si="281"/>
        <v>03.00</v>
      </c>
      <c r="H954" s="4" t="str">
        <f t="shared" si="282"/>
        <v>03.00.R</v>
      </c>
      <c r="I954" s="11" t="str">
        <f t="shared" si="283"/>
        <v>03.00.R.3</v>
      </c>
      <c r="K954" s="30">
        <v>32</v>
      </c>
      <c r="L954" s="29">
        <f t="shared" si="297"/>
        <v>-5349.9243533034041</v>
      </c>
      <c r="M954" s="28" t="str">
        <f t="shared" si="284"/>
        <v/>
      </c>
      <c r="N954" s="27" t="str">
        <f t="shared" si="298"/>
        <v/>
      </c>
      <c r="O954" s="26">
        <f>IF(AND($Q953=$O$38,IFERROR(LARGE($V$923:$V953,1)&lt;$N$42,TRUE)),1,IF(AND(ISNUMBER($O953),$O953&lt;$N$32),$O953+1,""))</f>
        <v>3</v>
      </c>
      <c r="P954" s="26" t="str">
        <f t="shared" si="299"/>
        <v/>
      </c>
      <c r="Q954" s="26" t="str">
        <f t="shared" si="285"/>
        <v/>
      </c>
      <c r="R954" s="24" t="str">
        <f t="shared" si="300"/>
        <v/>
      </c>
      <c r="S954" s="180">
        <f t="shared" si="307"/>
        <v>3</v>
      </c>
      <c r="T954" s="29">
        <f>SUM($AC$923:$AC954)</f>
        <v>16500</v>
      </c>
      <c r="U954" s="25" t="str">
        <f t="shared" si="286"/>
        <v/>
      </c>
      <c r="V954" s="24" t="str">
        <f>IF(AND(ISNUMBER(R953),ISNUMBER(R954)),V953,IF(AND(R953="",ISNUMBER(R954)),IFERROR(LARGE($V$923:$V953,1)+1,0),""))</f>
        <v/>
      </c>
      <c r="W954" s="23" t="str">
        <f t="shared" si="302"/>
        <v/>
      </c>
      <c r="X954" s="22" t="str">
        <f t="shared" si="303"/>
        <v/>
      </c>
      <c r="Y954" s="236"/>
      <c r="Z954" s="22"/>
      <c r="AA954" s="22"/>
      <c r="AB954" s="22" t="str">
        <f t="shared" si="304"/>
        <v/>
      </c>
      <c r="AC954" s="22" t="str">
        <f t="shared" si="305"/>
        <v/>
      </c>
      <c r="AD954" s="22" t="str">
        <f t="shared" si="289"/>
        <v/>
      </c>
      <c r="AE954" s="22" t="str">
        <f t="shared" si="306"/>
        <v/>
      </c>
      <c r="AF954" s="22" t="str">
        <f t="shared" si="291"/>
        <v/>
      </c>
      <c r="AG954" s="22" t="str">
        <f t="shared" si="292"/>
        <v/>
      </c>
      <c r="AH954" s="22" t="str">
        <f t="shared" si="293"/>
        <v/>
      </c>
      <c r="AI954" s="22" t="str">
        <f t="shared" si="294"/>
        <v/>
      </c>
      <c r="AJ954" s="304" t="str">
        <f t="shared" si="295"/>
        <v/>
      </c>
      <c r="AK954" s="140" t="str">
        <f t="shared" si="296"/>
        <v/>
      </c>
    </row>
    <row r="955" spans="7:37" x14ac:dyDescent="0.25">
      <c r="G955" s="235" t="str">
        <f t="shared" si="281"/>
        <v>03.00</v>
      </c>
      <c r="H955" s="4" t="str">
        <f t="shared" si="282"/>
        <v>03.00.O</v>
      </c>
      <c r="I955" s="11" t="str">
        <f t="shared" si="283"/>
        <v>03.00.O.1</v>
      </c>
      <c r="K955" s="30">
        <v>33</v>
      </c>
      <c r="L955" s="29">
        <f t="shared" si="297"/>
        <v>-5549.9243533034041</v>
      </c>
      <c r="M955" s="28">
        <f t="shared" si="284"/>
        <v>-200</v>
      </c>
      <c r="N955" s="27" t="str">
        <f t="shared" si="298"/>
        <v/>
      </c>
      <c r="O955" s="26" t="str">
        <f>IF(AND($Q954=$O$38,IFERROR(LARGE($V$923:$V954,1)&lt;$N$42,TRUE)),1,IF(AND(ISNUMBER($O954),$O954&lt;$N$32),$O954+1,""))</f>
        <v/>
      </c>
      <c r="P955" s="26">
        <f t="shared" si="299"/>
        <v>1</v>
      </c>
      <c r="Q955" s="26" t="str">
        <f t="shared" si="285"/>
        <v/>
      </c>
      <c r="R955" s="24" t="str">
        <f t="shared" si="300"/>
        <v/>
      </c>
      <c r="S955" s="180">
        <f t="shared" si="307"/>
        <v>3</v>
      </c>
      <c r="T955" s="29">
        <f>SUM($AC$923:$AC955)</f>
        <v>16500</v>
      </c>
      <c r="U955" s="25" t="str">
        <f t="shared" si="286"/>
        <v/>
      </c>
      <c r="V955" s="24" t="str">
        <f>IF(AND(ISNUMBER(R954),ISNUMBER(R955)),V954,IF(AND(R954="",ISNUMBER(R955)),IFERROR(LARGE($V$923:$V954,1)+1,0),""))</f>
        <v/>
      </c>
      <c r="W955" s="23" t="str">
        <f t="shared" si="302"/>
        <v/>
      </c>
      <c r="X955" s="22" t="str">
        <f t="shared" si="303"/>
        <v/>
      </c>
      <c r="Y955" s="236"/>
      <c r="Z955" s="22"/>
      <c r="AA955" s="22"/>
      <c r="AB955" s="22">
        <f t="shared" si="304"/>
        <v>-200</v>
      </c>
      <c r="AC955" s="22" t="str">
        <f t="shared" si="305"/>
        <v/>
      </c>
      <c r="AD955" s="22" t="str">
        <f t="shared" si="289"/>
        <v/>
      </c>
      <c r="AE955" s="22" t="str">
        <f t="shared" si="306"/>
        <v/>
      </c>
      <c r="AF955" s="22" t="str">
        <f t="shared" si="291"/>
        <v/>
      </c>
      <c r="AG955" s="22" t="str">
        <f t="shared" si="292"/>
        <v/>
      </c>
      <c r="AH955" s="22" t="str">
        <f t="shared" si="293"/>
        <v/>
      </c>
      <c r="AI955" s="22" t="str">
        <f t="shared" si="294"/>
        <v/>
      </c>
      <c r="AJ955" s="304" t="str">
        <f t="shared" si="295"/>
        <v/>
      </c>
      <c r="AK955" s="140" t="str">
        <f t="shared" si="296"/>
        <v/>
      </c>
    </row>
    <row r="956" spans="7:37" x14ac:dyDescent="0.25">
      <c r="G956" s="235" t="str">
        <f t="shared" si="281"/>
        <v>03.00</v>
      </c>
      <c r="H956" s="4" t="str">
        <f t="shared" si="282"/>
        <v>03.00.O</v>
      </c>
      <c r="I956" s="11" t="str">
        <f t="shared" si="283"/>
        <v>03.00.O.2</v>
      </c>
      <c r="K956" s="30">
        <v>34</v>
      </c>
      <c r="L956" s="29">
        <f t="shared" si="297"/>
        <v>-5549.9243533034041</v>
      </c>
      <c r="M956" s="28" t="str">
        <f t="shared" si="284"/>
        <v/>
      </c>
      <c r="N956" s="27" t="str">
        <f t="shared" si="298"/>
        <v/>
      </c>
      <c r="O956" s="26" t="str">
        <f>IF(AND($Q955=$O$38,IFERROR(LARGE($V$923:$V955,1)&lt;$N$42,TRUE)),1,IF(AND(ISNUMBER($O955),$O955&lt;$N$32),$O955+1,""))</f>
        <v/>
      </c>
      <c r="P956" s="26">
        <f t="shared" si="299"/>
        <v>2</v>
      </c>
      <c r="Q956" s="26" t="str">
        <f t="shared" si="285"/>
        <v/>
      </c>
      <c r="R956" s="24" t="str">
        <f t="shared" si="300"/>
        <v/>
      </c>
      <c r="S956" s="180">
        <f t="shared" si="307"/>
        <v>3</v>
      </c>
      <c r="T956" s="29">
        <f>SUM($AC$923:$AC956)</f>
        <v>16500</v>
      </c>
      <c r="U956" s="25" t="str">
        <f t="shared" si="286"/>
        <v/>
      </c>
      <c r="V956" s="24" t="str">
        <f>IF(AND(ISNUMBER(R955),ISNUMBER(R956)),V955,IF(AND(R955="",ISNUMBER(R956)),IFERROR(LARGE($V$923:$V955,1)+1,0),""))</f>
        <v/>
      </c>
      <c r="W956" s="23" t="str">
        <f t="shared" si="302"/>
        <v/>
      </c>
      <c r="X956" s="22" t="str">
        <f t="shared" si="303"/>
        <v/>
      </c>
      <c r="Y956" s="236"/>
      <c r="Z956" s="22"/>
      <c r="AA956" s="22"/>
      <c r="AB956" s="22" t="str">
        <f t="shared" si="304"/>
        <v/>
      </c>
      <c r="AC956" s="22" t="str">
        <f t="shared" si="305"/>
        <v/>
      </c>
      <c r="AD956" s="22" t="str">
        <f t="shared" si="289"/>
        <v/>
      </c>
      <c r="AE956" s="22" t="str">
        <f t="shared" si="306"/>
        <v/>
      </c>
      <c r="AF956" s="22" t="str">
        <f t="shared" si="291"/>
        <v/>
      </c>
      <c r="AG956" s="22" t="str">
        <f t="shared" si="292"/>
        <v/>
      </c>
      <c r="AH956" s="22" t="str">
        <f t="shared" si="293"/>
        <v/>
      </c>
      <c r="AI956" s="22" t="str">
        <f t="shared" si="294"/>
        <v/>
      </c>
      <c r="AJ956" s="304" t="str">
        <f t="shared" si="295"/>
        <v/>
      </c>
      <c r="AK956" s="140" t="str">
        <f t="shared" si="296"/>
        <v/>
      </c>
    </row>
    <row r="957" spans="7:37" x14ac:dyDescent="0.25">
      <c r="G957" s="235" t="str">
        <f t="shared" si="281"/>
        <v>03.01</v>
      </c>
      <c r="H957" s="4" t="str">
        <f t="shared" si="282"/>
        <v>03.01.D</v>
      </c>
      <c r="I957" s="11" t="str">
        <f t="shared" si="283"/>
        <v>03.01.D.1</v>
      </c>
      <c r="K957" s="30">
        <v>35</v>
      </c>
      <c r="L957" s="29">
        <f t="shared" si="297"/>
        <v>-5549.9243533034041</v>
      </c>
      <c r="M957" s="28" t="str">
        <f t="shared" si="284"/>
        <v/>
      </c>
      <c r="N957" s="27" t="str">
        <f t="shared" si="298"/>
        <v/>
      </c>
      <c r="O957" s="26" t="str">
        <f>IF(AND($Q956=$O$38,IFERROR(LARGE($V$923:$V956,1)&lt;$N$42,TRUE)),1,IF(AND(ISNUMBER($O956),$O956&lt;$N$32),$O956+1,""))</f>
        <v/>
      </c>
      <c r="P957" s="26" t="str">
        <f t="shared" si="299"/>
        <v/>
      </c>
      <c r="Q957" s="26" t="str">
        <f t="shared" si="285"/>
        <v/>
      </c>
      <c r="R957" s="24">
        <f t="shared" si="300"/>
        <v>1</v>
      </c>
      <c r="S957" s="180">
        <f t="shared" si="307"/>
        <v>3.01</v>
      </c>
      <c r="T957" s="29">
        <f>SUM($AC$923:$AC957)</f>
        <v>16500</v>
      </c>
      <c r="U957" s="25">
        <f t="shared" si="286"/>
        <v>1</v>
      </c>
      <c r="V957" s="24">
        <f>IF(AND(ISNUMBER(R956),ISNUMBER(R957)),V956,IF(AND(R956="",ISNUMBER(R957)),IFERROR(LARGE($V$923:$V956,1)+1,0),""))</f>
        <v>3</v>
      </c>
      <c r="W957" s="23" t="str">
        <f t="shared" si="302"/>
        <v/>
      </c>
      <c r="X957" s="22" t="str">
        <f t="shared" si="303"/>
        <v/>
      </c>
      <c r="Y957" s="236"/>
      <c r="Z957" s="22"/>
      <c r="AA957" s="22"/>
      <c r="AB957" s="22" t="str">
        <f t="shared" si="304"/>
        <v/>
      </c>
      <c r="AC957" s="22" t="str">
        <f t="shared" si="305"/>
        <v/>
      </c>
      <c r="AD957" s="22" t="str">
        <f t="shared" si="289"/>
        <v/>
      </c>
      <c r="AE957" s="22" t="str">
        <f t="shared" si="306"/>
        <v/>
      </c>
      <c r="AF957" s="22" t="str">
        <f t="shared" si="291"/>
        <v/>
      </c>
      <c r="AG957" s="22" t="str">
        <f t="shared" si="292"/>
        <v/>
      </c>
      <c r="AH957" s="22" t="str">
        <f t="shared" si="293"/>
        <v/>
      </c>
      <c r="AI957" s="22" t="str">
        <f t="shared" si="294"/>
        <v/>
      </c>
      <c r="AJ957" s="304" t="str">
        <f t="shared" si="295"/>
        <v/>
      </c>
      <c r="AK957" s="140" t="str">
        <f t="shared" si="296"/>
        <v/>
      </c>
    </row>
    <row r="958" spans="7:37" x14ac:dyDescent="0.25">
      <c r="G958" s="235" t="str">
        <f t="shared" si="281"/>
        <v>03.01</v>
      </c>
      <c r="H958" s="4" t="str">
        <f t="shared" si="282"/>
        <v>03.01.D</v>
      </c>
      <c r="I958" s="11" t="str">
        <f t="shared" si="283"/>
        <v>03.01.D.2</v>
      </c>
      <c r="K958" s="30">
        <v>36</v>
      </c>
      <c r="L958" s="29">
        <f t="shared" si="297"/>
        <v>-184.92435330340413</v>
      </c>
      <c r="M958" s="28">
        <f t="shared" si="284"/>
        <v>5365</v>
      </c>
      <c r="N958" s="27" t="str">
        <f t="shared" si="298"/>
        <v/>
      </c>
      <c r="O958" s="26" t="str">
        <f>IF(AND($Q957=$O$38,IFERROR(LARGE($V$923:$V957,1)&lt;$N$42,TRUE)),1,IF(AND(ISNUMBER($O957),$O957&lt;$N$32),$O957+1,""))</f>
        <v/>
      </c>
      <c r="P958" s="26" t="str">
        <f t="shared" si="299"/>
        <v/>
      </c>
      <c r="Q958" s="26" t="str">
        <f t="shared" si="285"/>
        <v/>
      </c>
      <c r="R958" s="24">
        <f t="shared" si="300"/>
        <v>2</v>
      </c>
      <c r="S958" s="180">
        <f t="shared" si="307"/>
        <v>3.01</v>
      </c>
      <c r="T958" s="29">
        <f>SUM($AC$923:$AC958)</f>
        <v>22000</v>
      </c>
      <c r="U958" s="25">
        <f t="shared" si="286"/>
        <v>1</v>
      </c>
      <c r="V958" s="24">
        <f>IF(AND(ISNUMBER(R957),ISNUMBER(R958)),V957,IF(AND(R957="",ISNUMBER(R958)),IFERROR(LARGE($V$923:$V957,1)+1,0),""))</f>
        <v>3</v>
      </c>
      <c r="W958" s="23" t="str">
        <f t="shared" si="302"/>
        <v/>
      </c>
      <c r="X958" s="22" t="str">
        <f t="shared" si="303"/>
        <v/>
      </c>
      <c r="Y958" s="236"/>
      <c r="Z958" s="22"/>
      <c r="AA958" s="22"/>
      <c r="AB958" s="22">
        <f t="shared" si="304"/>
        <v>525</v>
      </c>
      <c r="AC958" s="22">
        <f t="shared" si="305"/>
        <v>5500</v>
      </c>
      <c r="AD958" s="22">
        <f t="shared" si="289"/>
        <v>525</v>
      </c>
      <c r="AE958" s="22">
        <f t="shared" si="306"/>
        <v>5500</v>
      </c>
      <c r="AF958" s="22">
        <f t="shared" si="291"/>
        <v>0</v>
      </c>
      <c r="AG958" s="22">
        <f t="shared" si="292"/>
        <v>-82.5</v>
      </c>
      <c r="AH958" s="22">
        <f t="shared" si="293"/>
        <v>-110</v>
      </c>
      <c r="AI958" s="22">
        <f t="shared" si="294"/>
        <v>-27.5</v>
      </c>
      <c r="AJ958" s="304">
        <f t="shared" si="295"/>
        <v>-440</v>
      </c>
      <c r="AK958" s="140">
        <f t="shared" si="296"/>
        <v>-440</v>
      </c>
    </row>
    <row r="959" spans="7:37" x14ac:dyDescent="0.25">
      <c r="G959" s="235" t="str">
        <f t="shared" si="281"/>
        <v>03.00</v>
      </c>
      <c r="H959" s="4" t="str">
        <f t="shared" si="282"/>
        <v>03.00.I</v>
      </c>
      <c r="I959" s="11" t="str">
        <f t="shared" si="283"/>
        <v>03.00.I.1</v>
      </c>
      <c r="K959" s="30">
        <v>37</v>
      </c>
      <c r="L959" s="29">
        <f t="shared" si="297"/>
        <v>-384.92435330340413</v>
      </c>
      <c r="M959" s="28">
        <f t="shared" si="284"/>
        <v>-200</v>
      </c>
      <c r="N959" s="27" t="str">
        <f t="shared" si="298"/>
        <v/>
      </c>
      <c r="O959" s="26" t="str">
        <f>IF(AND($Q958=$O$38,IFERROR(LARGE($V$923:$V958,1)&lt;$N$42,TRUE)),1,IF(AND(ISNUMBER($O958),$O958&lt;$N$32),$O958+1,""))</f>
        <v/>
      </c>
      <c r="P959" s="26" t="str">
        <f t="shared" si="299"/>
        <v/>
      </c>
      <c r="Q959" s="26">
        <f t="shared" si="285"/>
        <v>1</v>
      </c>
      <c r="R959" s="24" t="str">
        <f t="shared" si="300"/>
        <v/>
      </c>
      <c r="S959" s="180">
        <f t="shared" si="307"/>
        <v>3</v>
      </c>
      <c r="T959" s="29">
        <f>SUM($AC$923:$AC959)</f>
        <v>22000</v>
      </c>
      <c r="U959" s="25" t="str">
        <f t="shared" si="286"/>
        <v/>
      </c>
      <c r="V959" s="24" t="str">
        <f>IF(AND(ISNUMBER(R958),ISNUMBER(R959)),V958,IF(AND(R958="",ISNUMBER(R959)),IFERROR(LARGE($V$923:$V958,1)+1,0),""))</f>
        <v/>
      </c>
      <c r="W959" s="23" t="str">
        <f t="shared" si="302"/>
        <v/>
      </c>
      <c r="X959" s="22" t="str">
        <f t="shared" si="303"/>
        <v/>
      </c>
      <c r="Y959" s="236"/>
      <c r="Z959" s="22"/>
      <c r="AA959" s="22"/>
      <c r="AB959" s="22">
        <f t="shared" si="304"/>
        <v>-200</v>
      </c>
      <c r="AC959" s="22" t="str">
        <f t="shared" si="305"/>
        <v/>
      </c>
      <c r="AD959" s="22" t="str">
        <f t="shared" si="289"/>
        <v/>
      </c>
      <c r="AE959" s="22" t="str">
        <f t="shared" si="306"/>
        <v/>
      </c>
      <c r="AF959" s="22" t="str">
        <f t="shared" si="291"/>
        <v/>
      </c>
      <c r="AG959" s="22" t="str">
        <f t="shared" si="292"/>
        <v/>
      </c>
      <c r="AH959" s="22" t="str">
        <f t="shared" si="293"/>
        <v/>
      </c>
      <c r="AI959" s="22" t="str">
        <f t="shared" si="294"/>
        <v/>
      </c>
      <c r="AJ959" s="304" t="str">
        <f t="shared" si="295"/>
        <v/>
      </c>
      <c r="AK959" s="140" t="str">
        <f t="shared" si="296"/>
        <v/>
      </c>
    </row>
    <row r="960" spans="7:37" x14ac:dyDescent="0.25">
      <c r="G960" s="235" t="str">
        <f t="shared" si="281"/>
        <v>03.00</v>
      </c>
      <c r="H960" s="4" t="str">
        <f t="shared" si="282"/>
        <v>03.00.I</v>
      </c>
      <c r="I960" s="11" t="str">
        <f t="shared" si="283"/>
        <v>03.00.I.2</v>
      </c>
      <c r="K960" s="30">
        <v>38</v>
      </c>
      <c r="L960" s="29">
        <f t="shared" si="297"/>
        <v>-384.92435330340413</v>
      </c>
      <c r="M960" s="28" t="str">
        <f t="shared" si="284"/>
        <v/>
      </c>
      <c r="N960" s="27" t="str">
        <f t="shared" si="298"/>
        <v/>
      </c>
      <c r="O960" s="26" t="str">
        <f>IF(AND($Q959=$O$38,IFERROR(LARGE($V$923:$V959,1)&lt;$N$42,TRUE)),1,IF(AND(ISNUMBER($O959),$O959&lt;$N$32),$O959+1,""))</f>
        <v/>
      </c>
      <c r="P960" s="26" t="str">
        <f t="shared" si="299"/>
        <v/>
      </c>
      <c r="Q960" s="26">
        <f t="shared" si="285"/>
        <v>2</v>
      </c>
      <c r="R960" s="24" t="str">
        <f t="shared" si="300"/>
        <v/>
      </c>
      <c r="S960" s="180">
        <f t="shared" si="307"/>
        <v>3</v>
      </c>
      <c r="T960" s="29">
        <f>SUM($AC$923:$AC960)</f>
        <v>22000</v>
      </c>
      <c r="U960" s="25" t="str">
        <f t="shared" si="286"/>
        <v/>
      </c>
      <c r="V960" s="24" t="str">
        <f>IF(AND(ISNUMBER(R959),ISNUMBER(R960)),V959,IF(AND(R959="",ISNUMBER(R960)),IFERROR(LARGE($V$923:$V959,1)+1,0),""))</f>
        <v/>
      </c>
      <c r="W960" s="23" t="str">
        <f t="shared" si="302"/>
        <v/>
      </c>
      <c r="X960" s="22" t="str">
        <f t="shared" si="303"/>
        <v/>
      </c>
      <c r="Y960" s="236"/>
      <c r="Z960" s="22"/>
      <c r="AA960" s="22"/>
      <c r="AB960" s="22" t="str">
        <f t="shared" si="304"/>
        <v/>
      </c>
      <c r="AC960" s="22" t="str">
        <f t="shared" si="305"/>
        <v/>
      </c>
      <c r="AD960" s="22" t="str">
        <f t="shared" si="289"/>
        <v/>
      </c>
      <c r="AE960" s="22" t="str">
        <f t="shared" si="306"/>
        <v/>
      </c>
      <c r="AF960" s="22" t="str">
        <f t="shared" si="291"/>
        <v/>
      </c>
      <c r="AG960" s="22" t="str">
        <f t="shared" si="292"/>
        <v/>
      </c>
      <c r="AH960" s="22" t="str">
        <f t="shared" si="293"/>
        <v/>
      </c>
      <c r="AI960" s="22" t="str">
        <f t="shared" si="294"/>
        <v/>
      </c>
      <c r="AJ960" s="304" t="str">
        <f t="shared" si="295"/>
        <v/>
      </c>
      <c r="AK960" s="140" t="str">
        <f t="shared" si="296"/>
        <v/>
      </c>
    </row>
    <row r="961" spans="7:37" x14ac:dyDescent="0.25">
      <c r="G961" s="235" t="str">
        <f t="shared" si="281"/>
        <v>04.00</v>
      </c>
      <c r="H961" s="4" t="str">
        <f t="shared" si="282"/>
        <v>04.00.R</v>
      </c>
      <c r="I961" s="11" t="str">
        <f t="shared" si="283"/>
        <v>04.00.R.1</v>
      </c>
      <c r="K961" s="30">
        <v>39</v>
      </c>
      <c r="L961" s="29">
        <f t="shared" si="297"/>
        <v>-2998.5578074045393</v>
      </c>
      <c r="M961" s="28">
        <f t="shared" si="284"/>
        <v>-2613.6334541011352</v>
      </c>
      <c r="N961" s="27" t="str">
        <f t="shared" si="298"/>
        <v/>
      </c>
      <c r="O961" s="26">
        <f>IF(AND($Q960=$O$38,IFERROR(LARGE($V$923:$V960,1)&lt;$N$42,TRUE)),1,IF(AND(ISNUMBER($O960),$O960&lt;$N$32),$O960+1,""))</f>
        <v>1</v>
      </c>
      <c r="P961" s="26" t="str">
        <f t="shared" si="299"/>
        <v/>
      </c>
      <c r="Q961" s="26" t="str">
        <f t="shared" si="285"/>
        <v/>
      </c>
      <c r="R961" s="24" t="str">
        <f t="shared" si="300"/>
        <v/>
      </c>
      <c r="S961" s="180">
        <f t="shared" si="307"/>
        <v>4</v>
      </c>
      <c r="T961" s="29">
        <f>SUM($AC$923:$AC961)</f>
        <v>22000</v>
      </c>
      <c r="U961" s="25" t="str">
        <f t="shared" si="286"/>
        <v/>
      </c>
      <c r="V961" s="24" t="str">
        <f>IF(AND(ISNUMBER(R960),ISNUMBER(R961)),V960,IF(AND(R960="",ISNUMBER(R961)),IFERROR(LARGE($V$923:$V960,1)+1,0),""))</f>
        <v/>
      </c>
      <c r="W961" s="23">
        <f t="shared" si="302"/>
        <v>-1018.3530285882483</v>
      </c>
      <c r="X961" s="22">
        <f t="shared" si="303"/>
        <v>-1595.2804255128869</v>
      </c>
      <c r="Y961" s="236"/>
      <c r="Z961" s="22"/>
      <c r="AA961" s="22"/>
      <c r="AB961" s="22" t="str">
        <f t="shared" si="304"/>
        <v/>
      </c>
      <c r="AC961" s="22" t="str">
        <f t="shared" si="305"/>
        <v/>
      </c>
      <c r="AD961" s="22" t="str">
        <f t="shared" si="289"/>
        <v/>
      </c>
      <c r="AE961" s="22" t="str">
        <f t="shared" si="306"/>
        <v/>
      </c>
      <c r="AF961" s="22" t="str">
        <f t="shared" si="291"/>
        <v/>
      </c>
      <c r="AG961" s="22" t="str">
        <f t="shared" si="292"/>
        <v/>
      </c>
      <c r="AH961" s="22" t="str">
        <f t="shared" si="293"/>
        <v/>
      </c>
      <c r="AI961" s="22" t="str">
        <f t="shared" si="294"/>
        <v/>
      </c>
      <c r="AJ961" s="304" t="str">
        <f t="shared" si="295"/>
        <v/>
      </c>
      <c r="AK961" s="140" t="str">
        <f t="shared" si="296"/>
        <v/>
      </c>
    </row>
    <row r="962" spans="7:37" x14ac:dyDescent="0.25">
      <c r="G962" s="235" t="str">
        <f t="shared" si="281"/>
        <v>04.00</v>
      </c>
      <c r="H962" s="4" t="str">
        <f t="shared" si="282"/>
        <v>04.00.R</v>
      </c>
      <c r="I962" s="11" t="str">
        <f t="shared" si="283"/>
        <v>04.00.R.2</v>
      </c>
      <c r="K962" s="30">
        <v>40</v>
      </c>
      <c r="L962" s="29">
        <f t="shared" si="297"/>
        <v>-2998.5578074045393</v>
      </c>
      <c r="M962" s="28" t="str">
        <f t="shared" si="284"/>
        <v/>
      </c>
      <c r="N962" s="27" t="str">
        <f t="shared" si="298"/>
        <v/>
      </c>
      <c r="O962" s="26">
        <f>IF(AND($Q961=$O$38,IFERROR(LARGE($V$923:$V961,1)&lt;$N$42,TRUE)),1,IF(AND(ISNUMBER($O961),$O961&lt;$N$32),$O961+1,""))</f>
        <v>2</v>
      </c>
      <c r="P962" s="26" t="str">
        <f t="shared" si="299"/>
        <v/>
      </c>
      <c r="Q962" s="26" t="str">
        <f t="shared" si="285"/>
        <v/>
      </c>
      <c r="R962" s="24" t="str">
        <f t="shared" si="300"/>
        <v/>
      </c>
      <c r="S962" s="180">
        <f t="shared" si="307"/>
        <v>4</v>
      </c>
      <c r="T962" s="29">
        <f>SUM($AC$923:$AC962)</f>
        <v>22000</v>
      </c>
      <c r="U962" s="25" t="str">
        <f t="shared" si="286"/>
        <v/>
      </c>
      <c r="V962" s="24" t="str">
        <f>IF(AND(ISNUMBER(R961),ISNUMBER(R962)),V961,IF(AND(R961="",ISNUMBER(R962)),IFERROR(LARGE($V$923:$V961,1)+1,0),""))</f>
        <v/>
      </c>
      <c r="W962" s="23" t="str">
        <f t="shared" si="302"/>
        <v/>
      </c>
      <c r="X962" s="22" t="str">
        <f t="shared" si="303"/>
        <v/>
      </c>
      <c r="Y962" s="236"/>
      <c r="Z962" s="22"/>
      <c r="AA962" s="22"/>
      <c r="AB962" s="22" t="str">
        <f t="shared" si="304"/>
        <v/>
      </c>
      <c r="AC962" s="22" t="str">
        <f t="shared" si="305"/>
        <v/>
      </c>
      <c r="AD962" s="22" t="str">
        <f t="shared" si="289"/>
        <v/>
      </c>
      <c r="AE962" s="22" t="str">
        <f t="shared" si="306"/>
        <v/>
      </c>
      <c r="AF962" s="22" t="str">
        <f t="shared" si="291"/>
        <v/>
      </c>
      <c r="AG962" s="22" t="str">
        <f t="shared" si="292"/>
        <v/>
      </c>
      <c r="AH962" s="22" t="str">
        <f t="shared" si="293"/>
        <v/>
      </c>
      <c r="AI962" s="22" t="str">
        <f t="shared" si="294"/>
        <v/>
      </c>
      <c r="AJ962" s="304" t="str">
        <f t="shared" si="295"/>
        <v/>
      </c>
      <c r="AK962" s="140" t="str">
        <f t="shared" si="296"/>
        <v/>
      </c>
    </row>
    <row r="963" spans="7:37" x14ac:dyDescent="0.25">
      <c r="G963" s="235" t="str">
        <f t="shared" si="281"/>
        <v>04.00</v>
      </c>
      <c r="H963" s="4" t="str">
        <f t="shared" si="282"/>
        <v>04.00.R</v>
      </c>
      <c r="I963" s="11" t="str">
        <f t="shared" si="283"/>
        <v>04.00.R.3</v>
      </c>
      <c r="K963" s="30">
        <v>41</v>
      </c>
      <c r="L963" s="29">
        <f t="shared" si="297"/>
        <v>-2998.5578074045393</v>
      </c>
      <c r="M963" s="28" t="str">
        <f t="shared" si="284"/>
        <v/>
      </c>
      <c r="N963" s="27" t="str">
        <f t="shared" si="298"/>
        <v/>
      </c>
      <c r="O963" s="26">
        <f>IF(AND($Q962=$O$38,IFERROR(LARGE($V$923:$V962,1)&lt;$N$42,TRUE)),1,IF(AND(ISNUMBER($O962),$O962&lt;$N$32),$O962+1,""))</f>
        <v>3</v>
      </c>
      <c r="P963" s="26" t="str">
        <f t="shared" si="299"/>
        <v/>
      </c>
      <c r="Q963" s="26" t="str">
        <f t="shared" si="285"/>
        <v/>
      </c>
      <c r="R963" s="24" t="str">
        <f t="shared" si="300"/>
        <v/>
      </c>
      <c r="S963" s="180">
        <f t="shared" si="307"/>
        <v>4</v>
      </c>
      <c r="T963" s="29">
        <f>SUM($AC$923:$AC963)</f>
        <v>22000</v>
      </c>
      <c r="U963" s="25" t="str">
        <f t="shared" si="286"/>
        <v/>
      </c>
      <c r="V963" s="24" t="str">
        <f>IF(AND(ISNUMBER(R962),ISNUMBER(R963)),V962,IF(AND(R962="",ISNUMBER(R963)),IFERROR(LARGE($V$923:$V962,1)+1,0),""))</f>
        <v/>
      </c>
      <c r="W963" s="23" t="str">
        <f t="shared" si="302"/>
        <v/>
      </c>
      <c r="X963" s="22" t="str">
        <f t="shared" si="303"/>
        <v/>
      </c>
      <c r="Y963" s="236"/>
      <c r="Z963" s="22"/>
      <c r="AA963" s="22"/>
      <c r="AB963" s="22" t="str">
        <f t="shared" si="304"/>
        <v/>
      </c>
      <c r="AC963" s="22" t="str">
        <f t="shared" si="305"/>
        <v/>
      </c>
      <c r="AD963" s="22" t="str">
        <f t="shared" si="289"/>
        <v/>
      </c>
      <c r="AE963" s="22" t="str">
        <f t="shared" si="306"/>
        <v/>
      </c>
      <c r="AF963" s="22" t="str">
        <f t="shared" si="291"/>
        <v/>
      </c>
      <c r="AG963" s="22" t="str">
        <f t="shared" si="292"/>
        <v/>
      </c>
      <c r="AH963" s="22" t="str">
        <f t="shared" si="293"/>
        <v/>
      </c>
      <c r="AI963" s="22" t="str">
        <f t="shared" si="294"/>
        <v/>
      </c>
      <c r="AJ963" s="304" t="str">
        <f t="shared" si="295"/>
        <v/>
      </c>
      <c r="AK963" s="140" t="str">
        <f t="shared" si="296"/>
        <v/>
      </c>
    </row>
    <row r="964" spans="7:37" x14ac:dyDescent="0.25">
      <c r="G964" s="235" t="str">
        <f t="shared" si="281"/>
        <v>04.00</v>
      </c>
      <c r="H964" s="4" t="str">
        <f t="shared" si="282"/>
        <v>04.00.O</v>
      </c>
      <c r="I964" s="11" t="str">
        <f t="shared" si="283"/>
        <v>04.00.O.1</v>
      </c>
      <c r="K964" s="30">
        <v>42</v>
      </c>
      <c r="L964" s="29">
        <f t="shared" si="297"/>
        <v>-3198.5578074045393</v>
      </c>
      <c r="M964" s="28">
        <f t="shared" si="284"/>
        <v>-200</v>
      </c>
      <c r="N964" s="27" t="str">
        <f t="shared" si="298"/>
        <v/>
      </c>
      <c r="O964" s="26" t="str">
        <f>IF(AND($Q963=$O$38,IFERROR(LARGE($V$923:$V963,1)&lt;$N$42,TRUE)),1,IF(AND(ISNUMBER($O963),$O963&lt;$N$32),$O963+1,""))</f>
        <v/>
      </c>
      <c r="P964" s="26">
        <f t="shared" si="299"/>
        <v>1</v>
      </c>
      <c r="Q964" s="26" t="str">
        <f t="shared" si="285"/>
        <v/>
      </c>
      <c r="R964" s="24" t="str">
        <f t="shared" si="300"/>
        <v/>
      </c>
      <c r="S964" s="180">
        <f t="shared" si="307"/>
        <v>4</v>
      </c>
      <c r="T964" s="29">
        <f>SUM($AC$923:$AC964)</f>
        <v>22000</v>
      </c>
      <c r="U964" s="25" t="str">
        <f t="shared" si="286"/>
        <v/>
      </c>
      <c r="V964" s="24" t="str">
        <f>IF(AND(ISNUMBER(R963),ISNUMBER(R964)),V963,IF(AND(R963="",ISNUMBER(R964)),IFERROR(LARGE($V$923:$V963,1)+1,0),""))</f>
        <v/>
      </c>
      <c r="W964" s="23" t="str">
        <f t="shared" si="302"/>
        <v/>
      </c>
      <c r="X964" s="22" t="str">
        <f t="shared" si="303"/>
        <v/>
      </c>
      <c r="Y964" s="236"/>
      <c r="Z964" s="22"/>
      <c r="AA964" s="22"/>
      <c r="AB964" s="22">
        <f t="shared" si="304"/>
        <v>-200</v>
      </c>
      <c r="AC964" s="22" t="str">
        <f t="shared" si="305"/>
        <v/>
      </c>
      <c r="AD964" s="22" t="str">
        <f t="shared" si="289"/>
        <v/>
      </c>
      <c r="AE964" s="22" t="str">
        <f t="shared" si="306"/>
        <v/>
      </c>
      <c r="AF964" s="22" t="str">
        <f t="shared" si="291"/>
        <v/>
      </c>
      <c r="AG964" s="22" t="str">
        <f t="shared" si="292"/>
        <v/>
      </c>
      <c r="AH964" s="22" t="str">
        <f t="shared" si="293"/>
        <v/>
      </c>
      <c r="AI964" s="22" t="str">
        <f t="shared" si="294"/>
        <v/>
      </c>
      <c r="AJ964" s="304" t="str">
        <f t="shared" si="295"/>
        <v/>
      </c>
      <c r="AK964" s="140" t="str">
        <f t="shared" si="296"/>
        <v/>
      </c>
    </row>
    <row r="965" spans="7:37" x14ac:dyDescent="0.25">
      <c r="G965" s="235" t="str">
        <f t="shared" si="281"/>
        <v>04.00</v>
      </c>
      <c r="H965" s="4" t="str">
        <f t="shared" si="282"/>
        <v>04.00.O</v>
      </c>
      <c r="I965" s="11" t="str">
        <f t="shared" si="283"/>
        <v>04.00.O.2</v>
      </c>
      <c r="K965" s="30">
        <v>43</v>
      </c>
      <c r="L965" s="29">
        <f t="shared" si="297"/>
        <v>-3198.5578074045393</v>
      </c>
      <c r="M965" s="28" t="str">
        <f t="shared" si="284"/>
        <v/>
      </c>
      <c r="N965" s="27" t="str">
        <f t="shared" si="298"/>
        <v/>
      </c>
      <c r="O965" s="26" t="str">
        <f>IF(AND($Q964=$O$38,IFERROR(LARGE($V$923:$V964,1)&lt;$N$42,TRUE)),1,IF(AND(ISNUMBER($O964),$O964&lt;$N$32),$O964+1,""))</f>
        <v/>
      </c>
      <c r="P965" s="26">
        <f t="shared" si="299"/>
        <v>2</v>
      </c>
      <c r="Q965" s="26" t="str">
        <f t="shared" si="285"/>
        <v/>
      </c>
      <c r="R965" s="24" t="str">
        <f t="shared" si="300"/>
        <v/>
      </c>
      <c r="S965" s="180">
        <f t="shared" si="307"/>
        <v>4</v>
      </c>
      <c r="T965" s="29">
        <f>SUM($AC$923:$AC965)</f>
        <v>22000</v>
      </c>
      <c r="U965" s="25" t="str">
        <f t="shared" si="286"/>
        <v/>
      </c>
      <c r="V965" s="24" t="str">
        <f>IF(AND(ISNUMBER(R964),ISNUMBER(R965)),V964,IF(AND(R964="",ISNUMBER(R965)),IFERROR(LARGE($V$923:$V964,1)+1,0),""))</f>
        <v/>
      </c>
      <c r="W965" s="23" t="str">
        <f t="shared" si="302"/>
        <v/>
      </c>
      <c r="X965" s="22" t="str">
        <f t="shared" si="303"/>
        <v/>
      </c>
      <c r="Y965" s="236"/>
      <c r="Z965" s="22"/>
      <c r="AA965" s="22"/>
      <c r="AB965" s="22" t="str">
        <f t="shared" si="304"/>
        <v/>
      </c>
      <c r="AC965" s="22" t="str">
        <f t="shared" si="305"/>
        <v/>
      </c>
      <c r="AD965" s="22" t="str">
        <f t="shared" si="289"/>
        <v/>
      </c>
      <c r="AE965" s="22" t="str">
        <f t="shared" si="306"/>
        <v/>
      </c>
      <c r="AF965" s="22" t="str">
        <f t="shared" si="291"/>
        <v/>
      </c>
      <c r="AG965" s="22" t="str">
        <f t="shared" si="292"/>
        <v/>
      </c>
      <c r="AH965" s="22" t="str">
        <f t="shared" si="293"/>
        <v/>
      </c>
      <c r="AI965" s="22" t="str">
        <f t="shared" si="294"/>
        <v/>
      </c>
      <c r="AJ965" s="304" t="str">
        <f t="shared" si="295"/>
        <v/>
      </c>
      <c r="AK965" s="140" t="str">
        <f t="shared" si="296"/>
        <v/>
      </c>
    </row>
    <row r="966" spans="7:37" x14ac:dyDescent="0.25">
      <c r="G966" s="235" t="str">
        <f t="shared" si="281"/>
        <v>04.01</v>
      </c>
      <c r="H966" s="4" t="str">
        <f t="shared" si="282"/>
        <v>04.01.D</v>
      </c>
      <c r="I966" s="11" t="str">
        <f t="shared" si="283"/>
        <v>04.01.D.1</v>
      </c>
      <c r="K966" s="30">
        <v>44</v>
      </c>
      <c r="L966" s="29">
        <f t="shared" si="297"/>
        <v>-3198.5578074045393</v>
      </c>
      <c r="M966" s="28" t="str">
        <f t="shared" si="284"/>
        <v/>
      </c>
      <c r="N966" s="27" t="str">
        <f t="shared" si="298"/>
        <v/>
      </c>
      <c r="O966" s="26" t="str">
        <f>IF(AND($Q965=$O$38,IFERROR(LARGE($V$923:$V965,1)&lt;$N$42,TRUE)),1,IF(AND(ISNUMBER($O965),$O965&lt;$N$32),$O965+1,""))</f>
        <v/>
      </c>
      <c r="P966" s="26" t="str">
        <f t="shared" si="299"/>
        <v/>
      </c>
      <c r="Q966" s="26" t="str">
        <f t="shared" si="285"/>
        <v/>
      </c>
      <c r="R966" s="24">
        <f t="shared" si="300"/>
        <v>1</v>
      </c>
      <c r="S966" s="180">
        <f t="shared" si="307"/>
        <v>4.01</v>
      </c>
      <c r="T966" s="29">
        <f>SUM($AC$923:$AC966)</f>
        <v>22000</v>
      </c>
      <c r="U966" s="25">
        <f t="shared" si="286"/>
        <v>1</v>
      </c>
      <c r="V966" s="24">
        <f>IF(AND(ISNUMBER(R965),ISNUMBER(R966)),V965,IF(AND(R965="",ISNUMBER(R966)),IFERROR(LARGE($V$923:$V965,1)+1,0),""))</f>
        <v>4</v>
      </c>
      <c r="W966" s="23" t="str">
        <f t="shared" si="302"/>
        <v/>
      </c>
      <c r="X966" s="22" t="str">
        <f t="shared" si="303"/>
        <v/>
      </c>
      <c r="Y966" s="236"/>
      <c r="Z966" s="22"/>
      <c r="AA966" s="22"/>
      <c r="AB966" s="22" t="str">
        <f t="shared" si="304"/>
        <v/>
      </c>
      <c r="AC966" s="22" t="str">
        <f t="shared" si="305"/>
        <v/>
      </c>
      <c r="AD966" s="22" t="str">
        <f t="shared" si="289"/>
        <v/>
      </c>
      <c r="AE966" s="22" t="str">
        <f t="shared" si="306"/>
        <v/>
      </c>
      <c r="AF966" s="22" t="str">
        <f t="shared" si="291"/>
        <v/>
      </c>
      <c r="AG966" s="22" t="str">
        <f t="shared" si="292"/>
        <v/>
      </c>
      <c r="AH966" s="22" t="str">
        <f t="shared" si="293"/>
        <v/>
      </c>
      <c r="AI966" s="22" t="str">
        <f t="shared" si="294"/>
        <v/>
      </c>
      <c r="AJ966" s="304" t="str">
        <f t="shared" si="295"/>
        <v/>
      </c>
      <c r="AK966" s="140" t="str">
        <f t="shared" si="296"/>
        <v/>
      </c>
    </row>
    <row r="967" spans="7:37" x14ac:dyDescent="0.25">
      <c r="G967" s="235" t="str">
        <f t="shared" si="281"/>
        <v>04.01</v>
      </c>
      <c r="H967" s="4" t="str">
        <f t="shared" si="282"/>
        <v>04.01.D</v>
      </c>
      <c r="I967" s="11" t="str">
        <f t="shared" si="283"/>
        <v>04.01.D.2</v>
      </c>
      <c r="K967" s="30">
        <v>45</v>
      </c>
      <c r="L967" s="29">
        <f t="shared" si="297"/>
        <v>2166.4421925954607</v>
      </c>
      <c r="M967" s="28">
        <f t="shared" si="284"/>
        <v>5365</v>
      </c>
      <c r="N967" s="27" t="str">
        <f t="shared" si="298"/>
        <v/>
      </c>
      <c r="O967" s="26" t="str">
        <f>IF(AND($Q966=$O$38,IFERROR(LARGE($V$923:$V966,1)&lt;$N$42,TRUE)),1,IF(AND(ISNUMBER($O966),$O966&lt;$N$32),$O966+1,""))</f>
        <v/>
      </c>
      <c r="P967" s="26" t="str">
        <f t="shared" si="299"/>
        <v/>
      </c>
      <c r="Q967" s="26" t="str">
        <f t="shared" si="285"/>
        <v/>
      </c>
      <c r="R967" s="24">
        <f t="shared" si="300"/>
        <v>2</v>
      </c>
      <c r="S967" s="180">
        <f t="shared" si="307"/>
        <v>4.01</v>
      </c>
      <c r="T967" s="29">
        <f>SUM($AC$923:$AC967)</f>
        <v>27500</v>
      </c>
      <c r="U967" s="25">
        <f t="shared" si="286"/>
        <v>1</v>
      </c>
      <c r="V967" s="24">
        <f>IF(AND(ISNUMBER(R966),ISNUMBER(R967)),V966,IF(AND(R966="",ISNUMBER(R967)),IFERROR(LARGE($V$923:$V966,1)+1,0),""))</f>
        <v>4</v>
      </c>
      <c r="W967" s="23" t="str">
        <f t="shared" si="302"/>
        <v/>
      </c>
      <c r="X967" s="22" t="str">
        <f t="shared" si="303"/>
        <v/>
      </c>
      <c r="Y967" s="236"/>
      <c r="Z967" s="22"/>
      <c r="AA967" s="22"/>
      <c r="AB967" s="22">
        <f t="shared" si="304"/>
        <v>525</v>
      </c>
      <c r="AC967" s="22">
        <f t="shared" si="305"/>
        <v>5500</v>
      </c>
      <c r="AD967" s="22">
        <f t="shared" si="289"/>
        <v>525</v>
      </c>
      <c r="AE967" s="22">
        <f t="shared" si="306"/>
        <v>5500</v>
      </c>
      <c r="AF967" s="22">
        <f t="shared" si="291"/>
        <v>0</v>
      </c>
      <c r="AG967" s="22">
        <f t="shared" si="292"/>
        <v>-82.5</v>
      </c>
      <c r="AH967" s="22">
        <f t="shared" si="293"/>
        <v>-110</v>
      </c>
      <c r="AI967" s="22">
        <f t="shared" si="294"/>
        <v>-27.5</v>
      </c>
      <c r="AJ967" s="304">
        <f t="shared" si="295"/>
        <v>-440</v>
      </c>
      <c r="AK967" s="140">
        <f t="shared" si="296"/>
        <v>-440</v>
      </c>
    </row>
    <row r="968" spans="7:37" x14ac:dyDescent="0.25">
      <c r="G968" s="235" t="str">
        <f t="shared" si="281"/>
        <v>04.00</v>
      </c>
      <c r="H968" s="4" t="str">
        <f t="shared" si="282"/>
        <v>04.00.I</v>
      </c>
      <c r="I968" s="11" t="str">
        <f t="shared" si="283"/>
        <v>04.00.I.1</v>
      </c>
      <c r="K968" s="30">
        <v>46</v>
      </c>
      <c r="L968" s="29">
        <f t="shared" si="297"/>
        <v>1966.4421925954607</v>
      </c>
      <c r="M968" s="28">
        <f t="shared" si="284"/>
        <v>-200</v>
      </c>
      <c r="N968" s="27" t="str">
        <f t="shared" si="298"/>
        <v/>
      </c>
      <c r="O968" s="26" t="str">
        <f>IF(AND($Q967=$O$38,IFERROR(LARGE($V$923:$V967,1)&lt;$N$42,TRUE)),1,IF(AND(ISNUMBER($O967),$O967&lt;$N$32),$O967+1,""))</f>
        <v/>
      </c>
      <c r="P968" s="26" t="str">
        <f t="shared" si="299"/>
        <v/>
      </c>
      <c r="Q968" s="26">
        <f t="shared" si="285"/>
        <v>1</v>
      </c>
      <c r="R968" s="24" t="str">
        <f t="shared" si="300"/>
        <v/>
      </c>
      <c r="S968" s="180">
        <f t="shared" si="307"/>
        <v>4</v>
      </c>
      <c r="T968" s="29">
        <f>SUM($AC$923:$AC968)</f>
        <v>27500</v>
      </c>
      <c r="U968" s="25" t="str">
        <f t="shared" si="286"/>
        <v/>
      </c>
      <c r="V968" s="24" t="str">
        <f>IF(AND(ISNUMBER(R967),ISNUMBER(R968)),V967,IF(AND(R967="",ISNUMBER(R968)),IFERROR(LARGE($V$923:$V967,1)+1,0),""))</f>
        <v/>
      </c>
      <c r="W968" s="23" t="str">
        <f t="shared" si="302"/>
        <v/>
      </c>
      <c r="X968" s="22" t="str">
        <f t="shared" si="303"/>
        <v/>
      </c>
      <c r="Y968" s="236"/>
      <c r="Z968" s="22"/>
      <c r="AA968" s="22"/>
      <c r="AB968" s="22">
        <f t="shared" si="304"/>
        <v>-200</v>
      </c>
      <c r="AC968" s="22" t="str">
        <f t="shared" si="305"/>
        <v/>
      </c>
      <c r="AD968" s="22" t="str">
        <f t="shared" si="289"/>
        <v/>
      </c>
      <c r="AE968" s="22" t="str">
        <f t="shared" si="306"/>
        <v/>
      </c>
      <c r="AF968" s="22" t="str">
        <f t="shared" si="291"/>
        <v/>
      </c>
      <c r="AG968" s="22" t="str">
        <f t="shared" si="292"/>
        <v/>
      </c>
      <c r="AH968" s="22" t="str">
        <f t="shared" si="293"/>
        <v/>
      </c>
      <c r="AI968" s="22" t="str">
        <f t="shared" si="294"/>
        <v/>
      </c>
      <c r="AJ968" s="304" t="str">
        <f t="shared" si="295"/>
        <v/>
      </c>
      <c r="AK968" s="140" t="str">
        <f t="shared" si="296"/>
        <v/>
      </c>
    </row>
    <row r="969" spans="7:37" x14ac:dyDescent="0.25">
      <c r="G969" s="235" t="str">
        <f t="shared" si="281"/>
        <v>04.00</v>
      </c>
      <c r="H969" s="4" t="str">
        <f t="shared" si="282"/>
        <v>04.00.I</v>
      </c>
      <c r="I969" s="11" t="str">
        <f t="shared" si="283"/>
        <v>04.00.I.2</v>
      </c>
      <c r="K969" s="30">
        <v>47</v>
      </c>
      <c r="L969" s="29">
        <f t="shared" si="297"/>
        <v>1966.4421925954607</v>
      </c>
      <c r="M969" s="28" t="str">
        <f t="shared" si="284"/>
        <v/>
      </c>
      <c r="N969" s="27" t="str">
        <f t="shared" si="298"/>
        <v/>
      </c>
      <c r="O969" s="26" t="str">
        <f>IF(AND($Q968=$O$38,IFERROR(LARGE($V$923:$V968,1)&lt;$N$42,TRUE)),1,IF(AND(ISNUMBER($O968),$O968&lt;$N$32),$O968+1,""))</f>
        <v/>
      </c>
      <c r="P969" s="26" t="str">
        <f t="shared" si="299"/>
        <v/>
      </c>
      <c r="Q969" s="26">
        <f t="shared" si="285"/>
        <v>2</v>
      </c>
      <c r="R969" s="24" t="str">
        <f t="shared" si="300"/>
        <v/>
      </c>
      <c r="S969" s="180">
        <f t="shared" si="307"/>
        <v>4</v>
      </c>
      <c r="T969" s="29">
        <f>SUM($AC$923:$AC969)</f>
        <v>27500</v>
      </c>
      <c r="U969" s="25" t="str">
        <f t="shared" si="286"/>
        <v/>
      </c>
      <c r="V969" s="24" t="str">
        <f>IF(AND(ISNUMBER(R968),ISNUMBER(R969)),V968,IF(AND(R968="",ISNUMBER(R969)),IFERROR(LARGE($V$923:$V968,1)+1,0),""))</f>
        <v/>
      </c>
      <c r="W969" s="23" t="str">
        <f t="shared" si="302"/>
        <v/>
      </c>
      <c r="X969" s="22" t="str">
        <f t="shared" si="303"/>
        <v/>
      </c>
      <c r="Y969" s="236"/>
      <c r="Z969" s="22"/>
      <c r="AA969" s="22"/>
      <c r="AB969" s="22" t="str">
        <f t="shared" si="304"/>
        <v/>
      </c>
      <c r="AC969" s="22" t="str">
        <f t="shared" si="305"/>
        <v/>
      </c>
      <c r="AD969" s="22" t="str">
        <f t="shared" si="289"/>
        <v/>
      </c>
      <c r="AE969" s="22" t="str">
        <f t="shared" si="306"/>
        <v/>
      </c>
      <c r="AF969" s="22" t="str">
        <f t="shared" si="291"/>
        <v/>
      </c>
      <c r="AG969" s="22" t="str">
        <f t="shared" si="292"/>
        <v/>
      </c>
      <c r="AH969" s="22" t="str">
        <f t="shared" si="293"/>
        <v/>
      </c>
      <c r="AI969" s="22" t="str">
        <f t="shared" si="294"/>
        <v/>
      </c>
      <c r="AJ969" s="304" t="str">
        <f t="shared" si="295"/>
        <v/>
      </c>
      <c r="AK969" s="140" t="str">
        <f t="shared" si="296"/>
        <v/>
      </c>
    </row>
    <row r="970" spans="7:37" x14ac:dyDescent="0.25">
      <c r="G970" s="235" t="str">
        <f t="shared" si="281"/>
        <v>05.00</v>
      </c>
      <c r="H970" s="4" t="str">
        <f t="shared" si="282"/>
        <v>05.00.R</v>
      </c>
      <c r="I970" s="11" t="str">
        <f t="shared" si="283"/>
        <v>05.00.R.1</v>
      </c>
      <c r="K970" s="30">
        <v>48</v>
      </c>
      <c r="L970" s="29">
        <f t="shared" si="297"/>
        <v>-647.19126150567445</v>
      </c>
      <c r="M970" s="28">
        <f t="shared" si="284"/>
        <v>-2613.6334541011352</v>
      </c>
      <c r="N970" s="27" t="str">
        <f t="shared" si="298"/>
        <v/>
      </c>
      <c r="O970" s="26">
        <f>IF(AND($Q969=$O$38,IFERROR(LARGE($V$923:$V969,1)&lt;$N$42,TRUE)),1,IF(AND(ISNUMBER($O969),$O969&lt;$N$32),$O969+1,""))</f>
        <v>1</v>
      </c>
      <c r="P970" s="26" t="str">
        <f t="shared" si="299"/>
        <v/>
      </c>
      <c r="Q970" s="26" t="str">
        <f t="shared" si="285"/>
        <v/>
      </c>
      <c r="R970" s="24" t="str">
        <f t="shared" si="300"/>
        <v/>
      </c>
      <c r="S970" s="180">
        <f t="shared" si="307"/>
        <v>5</v>
      </c>
      <c r="T970" s="29">
        <f>SUM($AC$923:$AC970)</f>
        <v>27500</v>
      </c>
      <c r="U970" s="25" t="str">
        <f t="shared" si="286"/>
        <v/>
      </c>
      <c r="V970" s="24" t="str">
        <f>IF(AND(ISNUMBER(R969),ISNUMBER(R970)),V969,IF(AND(R969="",ISNUMBER(R970)),IFERROR(LARGE($V$923:$V969,1)+1,0),""))</f>
        <v/>
      </c>
      <c r="W970" s="23">
        <f t="shared" si="302"/>
        <v>-1018.3530285882483</v>
      </c>
      <c r="X970" s="22">
        <f t="shared" si="303"/>
        <v>-1595.2804255128869</v>
      </c>
      <c r="Y970" s="236"/>
      <c r="Z970" s="22"/>
      <c r="AA970" s="22"/>
      <c r="AB970" s="22" t="str">
        <f t="shared" si="304"/>
        <v/>
      </c>
      <c r="AC970" s="22" t="str">
        <f t="shared" si="305"/>
        <v/>
      </c>
      <c r="AD970" s="22" t="str">
        <f t="shared" si="289"/>
        <v/>
      </c>
      <c r="AE970" s="22" t="str">
        <f t="shared" si="306"/>
        <v/>
      </c>
      <c r="AF970" s="22" t="str">
        <f t="shared" si="291"/>
        <v/>
      </c>
      <c r="AG970" s="22" t="str">
        <f t="shared" si="292"/>
        <v/>
      </c>
      <c r="AH970" s="22" t="str">
        <f t="shared" si="293"/>
        <v/>
      </c>
      <c r="AI970" s="22" t="str">
        <f t="shared" si="294"/>
        <v/>
      </c>
      <c r="AJ970" s="304" t="str">
        <f t="shared" si="295"/>
        <v/>
      </c>
      <c r="AK970" s="140" t="str">
        <f t="shared" si="296"/>
        <v/>
      </c>
    </row>
    <row r="971" spans="7:37" x14ac:dyDescent="0.25">
      <c r="G971" s="235" t="str">
        <f t="shared" si="281"/>
        <v>05.00</v>
      </c>
      <c r="H971" s="4" t="str">
        <f t="shared" si="282"/>
        <v>05.00.R</v>
      </c>
      <c r="I971" s="11" t="str">
        <f t="shared" si="283"/>
        <v>05.00.R.2</v>
      </c>
      <c r="K971" s="30">
        <v>49</v>
      </c>
      <c r="L971" s="29">
        <f t="shared" si="297"/>
        <v>-647.19126150567445</v>
      </c>
      <c r="M971" s="28" t="str">
        <f t="shared" si="284"/>
        <v/>
      </c>
      <c r="N971" s="27" t="str">
        <f t="shared" si="298"/>
        <v/>
      </c>
      <c r="O971" s="26">
        <f>IF(AND($Q970=$O$38,IFERROR(LARGE($V$923:$V970,1)&lt;$N$42,TRUE)),1,IF(AND(ISNUMBER($O970),$O970&lt;$N$32),$O970+1,""))</f>
        <v>2</v>
      </c>
      <c r="P971" s="26" t="str">
        <f t="shared" si="299"/>
        <v/>
      </c>
      <c r="Q971" s="26" t="str">
        <f t="shared" si="285"/>
        <v/>
      </c>
      <c r="R971" s="24" t="str">
        <f t="shared" si="300"/>
        <v/>
      </c>
      <c r="S971" s="180">
        <f t="shared" si="307"/>
        <v>5</v>
      </c>
      <c r="T971" s="29">
        <f>SUM($AC$923:$AC971)</f>
        <v>27500</v>
      </c>
      <c r="U971" s="25" t="str">
        <f t="shared" si="286"/>
        <v/>
      </c>
      <c r="V971" s="24" t="str">
        <f>IF(AND(ISNUMBER(R970),ISNUMBER(R971)),V970,IF(AND(R970="",ISNUMBER(R971)),IFERROR(LARGE($V$923:$V970,1)+1,0),""))</f>
        <v/>
      </c>
      <c r="W971" s="23" t="str">
        <f t="shared" si="302"/>
        <v/>
      </c>
      <c r="X971" s="22" t="str">
        <f t="shared" si="303"/>
        <v/>
      </c>
      <c r="Y971" s="236"/>
      <c r="Z971" s="22"/>
      <c r="AA971" s="22"/>
      <c r="AB971" s="22" t="str">
        <f t="shared" si="304"/>
        <v/>
      </c>
      <c r="AC971" s="22" t="str">
        <f t="shared" si="305"/>
        <v/>
      </c>
      <c r="AD971" s="22" t="str">
        <f t="shared" si="289"/>
        <v/>
      </c>
      <c r="AE971" s="22" t="str">
        <f t="shared" si="306"/>
        <v/>
      </c>
      <c r="AF971" s="22" t="str">
        <f t="shared" si="291"/>
        <v/>
      </c>
      <c r="AG971" s="22" t="str">
        <f t="shared" si="292"/>
        <v/>
      </c>
      <c r="AH971" s="22" t="str">
        <f t="shared" si="293"/>
        <v/>
      </c>
      <c r="AI971" s="22" t="str">
        <f t="shared" si="294"/>
        <v/>
      </c>
      <c r="AJ971" s="304" t="str">
        <f t="shared" si="295"/>
        <v/>
      </c>
      <c r="AK971" s="140" t="str">
        <f t="shared" si="296"/>
        <v/>
      </c>
    </row>
    <row r="972" spans="7:37" x14ac:dyDescent="0.25">
      <c r="G972" s="235" t="str">
        <f t="shared" si="281"/>
        <v>05.00</v>
      </c>
      <c r="H972" s="4" t="str">
        <f t="shared" si="282"/>
        <v>05.00.R</v>
      </c>
      <c r="I972" s="11" t="str">
        <f t="shared" si="283"/>
        <v>05.00.R.3</v>
      </c>
      <c r="K972" s="30">
        <v>50</v>
      </c>
      <c r="L972" s="29">
        <f t="shared" si="297"/>
        <v>-647.19126150567445</v>
      </c>
      <c r="M972" s="28" t="str">
        <f t="shared" si="284"/>
        <v/>
      </c>
      <c r="N972" s="27" t="str">
        <f t="shared" si="298"/>
        <v/>
      </c>
      <c r="O972" s="26">
        <f>IF(AND($Q971=$O$38,IFERROR(LARGE($V$923:$V971,1)&lt;$N$42,TRUE)),1,IF(AND(ISNUMBER($O971),$O971&lt;$N$32),$O971+1,""))</f>
        <v>3</v>
      </c>
      <c r="P972" s="26" t="str">
        <f t="shared" si="299"/>
        <v/>
      </c>
      <c r="Q972" s="26" t="str">
        <f t="shared" si="285"/>
        <v/>
      </c>
      <c r="R972" s="24" t="str">
        <f t="shared" si="300"/>
        <v/>
      </c>
      <c r="S972" s="180">
        <f t="shared" si="307"/>
        <v>5</v>
      </c>
      <c r="T972" s="29">
        <f>SUM($AC$923:$AC972)</f>
        <v>27500</v>
      </c>
      <c r="U972" s="25" t="str">
        <f t="shared" si="286"/>
        <v/>
      </c>
      <c r="V972" s="24" t="str">
        <f>IF(AND(ISNUMBER(R971),ISNUMBER(R972)),V971,IF(AND(R971="",ISNUMBER(R972)),IFERROR(LARGE($V$923:$V971,1)+1,0),""))</f>
        <v/>
      </c>
      <c r="W972" s="23" t="str">
        <f t="shared" si="302"/>
        <v/>
      </c>
      <c r="X972" s="22" t="str">
        <f t="shared" si="303"/>
        <v/>
      </c>
      <c r="Y972" s="236"/>
      <c r="Z972" s="22"/>
      <c r="AA972" s="22"/>
      <c r="AB972" s="22" t="str">
        <f t="shared" si="304"/>
        <v/>
      </c>
      <c r="AC972" s="22" t="str">
        <f t="shared" si="305"/>
        <v/>
      </c>
      <c r="AD972" s="22" t="str">
        <f t="shared" si="289"/>
        <v/>
      </c>
      <c r="AE972" s="22" t="str">
        <f t="shared" si="306"/>
        <v/>
      </c>
      <c r="AF972" s="22" t="str">
        <f t="shared" si="291"/>
        <v/>
      </c>
      <c r="AG972" s="22" t="str">
        <f t="shared" si="292"/>
        <v/>
      </c>
      <c r="AH972" s="22" t="str">
        <f t="shared" si="293"/>
        <v/>
      </c>
      <c r="AI972" s="22" t="str">
        <f t="shared" si="294"/>
        <v/>
      </c>
      <c r="AJ972" s="304" t="str">
        <f t="shared" si="295"/>
        <v/>
      </c>
      <c r="AK972" s="140" t="str">
        <f t="shared" si="296"/>
        <v/>
      </c>
    </row>
    <row r="973" spans="7:37" x14ac:dyDescent="0.25">
      <c r="G973" s="235" t="str">
        <f t="shared" si="281"/>
        <v>05.00</v>
      </c>
      <c r="H973" s="4" t="str">
        <f t="shared" si="282"/>
        <v>05.00.O</v>
      </c>
      <c r="I973" s="11" t="str">
        <f t="shared" si="283"/>
        <v>05.00.O.1</v>
      </c>
      <c r="K973" s="30">
        <v>51</v>
      </c>
      <c r="L973" s="29">
        <f t="shared" si="297"/>
        <v>-847.19126150567445</v>
      </c>
      <c r="M973" s="28">
        <f t="shared" si="284"/>
        <v>-200</v>
      </c>
      <c r="N973" s="27" t="str">
        <f t="shared" si="298"/>
        <v/>
      </c>
      <c r="O973" s="26" t="str">
        <f>IF(AND($Q972=$O$38,IFERROR(LARGE($V$923:$V972,1)&lt;$N$42,TRUE)),1,IF(AND(ISNUMBER($O972),$O972&lt;$N$32),$O972+1,""))</f>
        <v/>
      </c>
      <c r="P973" s="26">
        <f t="shared" si="299"/>
        <v>1</v>
      </c>
      <c r="Q973" s="26" t="str">
        <f t="shared" si="285"/>
        <v/>
      </c>
      <c r="R973" s="24" t="str">
        <f t="shared" si="300"/>
        <v/>
      </c>
      <c r="S973" s="180">
        <f t="shared" si="307"/>
        <v>5</v>
      </c>
      <c r="T973" s="29">
        <f>SUM($AC$923:$AC973)</f>
        <v>27500</v>
      </c>
      <c r="U973" s="25" t="str">
        <f t="shared" si="286"/>
        <v/>
      </c>
      <c r="V973" s="24" t="str">
        <f>IF(AND(ISNUMBER(R972),ISNUMBER(R973)),V972,IF(AND(R972="",ISNUMBER(R973)),IFERROR(LARGE($V$923:$V972,1)+1,0),""))</f>
        <v/>
      </c>
      <c r="W973" s="23" t="str">
        <f t="shared" si="302"/>
        <v/>
      </c>
      <c r="X973" s="22" t="str">
        <f t="shared" si="303"/>
        <v/>
      </c>
      <c r="Y973" s="236"/>
      <c r="Z973" s="22"/>
      <c r="AA973" s="22"/>
      <c r="AB973" s="22">
        <f t="shared" si="304"/>
        <v>-200</v>
      </c>
      <c r="AC973" s="22" t="str">
        <f t="shared" si="305"/>
        <v/>
      </c>
      <c r="AD973" s="22" t="str">
        <f t="shared" si="289"/>
        <v/>
      </c>
      <c r="AE973" s="22" t="str">
        <f t="shared" si="306"/>
        <v/>
      </c>
      <c r="AF973" s="22" t="str">
        <f t="shared" si="291"/>
        <v/>
      </c>
      <c r="AG973" s="22" t="str">
        <f t="shared" si="292"/>
        <v/>
      </c>
      <c r="AH973" s="22" t="str">
        <f t="shared" si="293"/>
        <v/>
      </c>
      <c r="AI973" s="22" t="str">
        <f t="shared" si="294"/>
        <v/>
      </c>
      <c r="AJ973" s="304" t="str">
        <f t="shared" si="295"/>
        <v/>
      </c>
      <c r="AK973" s="140" t="str">
        <f t="shared" si="296"/>
        <v/>
      </c>
    </row>
    <row r="974" spans="7:37" x14ac:dyDescent="0.25">
      <c r="G974" s="235" t="str">
        <f t="shared" si="281"/>
        <v>05.00</v>
      </c>
      <c r="H974" s="4" t="str">
        <f t="shared" si="282"/>
        <v>05.00.O</v>
      </c>
      <c r="I974" s="11" t="str">
        <f t="shared" si="283"/>
        <v>05.00.O.2</v>
      </c>
      <c r="K974" s="30">
        <v>52</v>
      </c>
      <c r="L974" s="29">
        <f t="shared" si="297"/>
        <v>-847.19126150567445</v>
      </c>
      <c r="M974" s="28" t="str">
        <f>IFERROR(IF(IF($K974=1,(($M$23*-1)+($M$24*-1)),IF(ISNUMBER(W974),W974,0)+IF(ISNUMBER(X974),X974,0)+IF(ISNUMBER(AB974),AB974,0)+IF(ISNUMBER(AE974),AE974,0)+IF(ISNUMBER(AF974),AF974,0)+IF(ISNUMBER(AG974),AG974,0)+IF(ISNUMBER(AH974),AH974,0)+IF(ISNUMBER(AI974),AI974,0)+IF(ISNUMBER(AK974),AK974,0))=0,"",IF($K974=1,(($M$23*-1)+($M$24*-1)),IF(ISNUMBER(W974),W974,0)+IF(ISNUMBER(X974),X974,0)+IF(ISNUMBER(AB974),AB974,0)+IF(ISNUMBER(AE974),AE974,0)+IF(ISNUMBER(AF974),AF974,0)+IF(ISNUMBER(AG974),AG974,0)+IF(ISNUMBER(AH974),AH974,0)+IF(ISNUMBER(AI974),AI974,0)+IF(ISNUMBER(AK974),AK974,0))),"")</f>
        <v/>
      </c>
      <c r="N974" s="27" t="str">
        <f t="shared" si="298"/>
        <v/>
      </c>
      <c r="O974" s="26" t="str">
        <f>IF(AND($Q973=$O$38,IFERROR(LARGE($V$923:$V973,1)&lt;$N$42,TRUE)),1,IF(AND(ISNUMBER($O973),$O973&lt;$N$32),$O973+1,""))</f>
        <v/>
      </c>
      <c r="P974" s="26">
        <f t="shared" si="299"/>
        <v>2</v>
      </c>
      <c r="Q974" s="26" t="str">
        <f t="shared" si="285"/>
        <v/>
      </c>
      <c r="R974" s="24" t="str">
        <f t="shared" si="300"/>
        <v/>
      </c>
      <c r="S974" s="180">
        <f t="shared" si="307"/>
        <v>5</v>
      </c>
      <c r="T974" s="29">
        <f>SUM($AC$923:$AC974)</f>
        <v>27500</v>
      </c>
      <c r="U974" s="25" t="str">
        <f t="shared" si="286"/>
        <v/>
      </c>
      <c r="V974" s="24" t="str">
        <f>IF(AND(ISNUMBER(R973),ISNUMBER(R974)),V973,IF(AND(R973="",ISNUMBER(R974)),IFERROR(LARGE($V$923:$V973,1)+1,0),""))</f>
        <v/>
      </c>
      <c r="W974" s="23" t="str">
        <f t="shared" si="302"/>
        <v/>
      </c>
      <c r="X974" s="22" t="str">
        <f t="shared" si="303"/>
        <v/>
      </c>
      <c r="Y974" s="236"/>
      <c r="Z974" s="22"/>
      <c r="AA974" s="22"/>
      <c r="AB974" s="22" t="str">
        <f t="shared" si="304"/>
        <v/>
      </c>
      <c r="AC974" s="22" t="str">
        <f t="shared" si="305"/>
        <v/>
      </c>
      <c r="AD974" s="22" t="str">
        <f t="shared" si="289"/>
        <v/>
      </c>
      <c r="AE974" s="22" t="str">
        <f t="shared" si="306"/>
        <v/>
      </c>
      <c r="AF974" s="22" t="str">
        <f t="shared" si="291"/>
        <v/>
      </c>
      <c r="AG974" s="22" t="str">
        <f t="shared" si="292"/>
        <v/>
      </c>
      <c r="AH974" s="22" t="str">
        <f t="shared" si="293"/>
        <v/>
      </c>
      <c r="AI974" s="22" t="str">
        <f t="shared" si="294"/>
        <v/>
      </c>
      <c r="AJ974" s="304" t="str">
        <f t="shared" si="295"/>
        <v/>
      </c>
      <c r="AK974" s="140" t="str">
        <f t="shared" si="296"/>
        <v/>
      </c>
    </row>
    <row r="975" spans="7:37" x14ac:dyDescent="0.25">
      <c r="G975" s="235" t="str">
        <f t="shared" si="281"/>
        <v>05.01</v>
      </c>
      <c r="H975" s="4" t="str">
        <f t="shared" si="282"/>
        <v>05.01.D</v>
      </c>
      <c r="I975" s="11" t="str">
        <f t="shared" si="283"/>
        <v>05.01.D.1</v>
      </c>
      <c r="K975" s="30">
        <v>53</v>
      </c>
      <c r="L975" s="29">
        <f t="shared" si="297"/>
        <v>-847.19126150567445</v>
      </c>
      <c r="M975" s="28" t="str">
        <f t="shared" si="284"/>
        <v/>
      </c>
      <c r="N975" s="27" t="str">
        <f t="shared" si="298"/>
        <v/>
      </c>
      <c r="O975" s="26" t="str">
        <f>IF(AND($Q974=$O$38,IFERROR(LARGE($V$923:$V974,1)&lt;$N$42,TRUE)),1,IF(AND(ISNUMBER($O974),$O974&lt;$N$32),$O974+1,""))</f>
        <v/>
      </c>
      <c r="P975" s="26" t="str">
        <f t="shared" si="299"/>
        <v/>
      </c>
      <c r="Q975" s="26" t="str">
        <f t="shared" si="285"/>
        <v/>
      </c>
      <c r="R975" s="24">
        <f t="shared" si="300"/>
        <v>1</v>
      </c>
      <c r="S975" s="180">
        <f t="shared" si="307"/>
        <v>5.01</v>
      </c>
      <c r="T975" s="29">
        <f>SUM($AC$923:$AC975)</f>
        <v>27500</v>
      </c>
      <c r="U975" s="25">
        <f t="shared" si="286"/>
        <v>1</v>
      </c>
      <c r="V975" s="24">
        <f>IF(AND(ISNUMBER(R974),ISNUMBER(R975)),V974,IF(AND(R974="",ISNUMBER(R975)),IFERROR(LARGE($V$923:$V974,1)+1,0),""))</f>
        <v>5</v>
      </c>
      <c r="W975" s="23" t="str">
        <f t="shared" si="302"/>
        <v/>
      </c>
      <c r="X975" s="22" t="str">
        <f t="shared" si="303"/>
        <v/>
      </c>
      <c r="Y975" s="236"/>
      <c r="Z975" s="22"/>
      <c r="AA975" s="22"/>
      <c r="AB975" s="22" t="str">
        <f t="shared" si="304"/>
        <v/>
      </c>
      <c r="AC975" s="22" t="str">
        <f t="shared" si="305"/>
        <v/>
      </c>
      <c r="AD975" s="22" t="str">
        <f t="shared" si="289"/>
        <v/>
      </c>
      <c r="AE975" s="22" t="str">
        <f t="shared" si="306"/>
        <v/>
      </c>
      <c r="AF975" s="22" t="str">
        <f t="shared" si="291"/>
        <v/>
      </c>
      <c r="AG975" s="22" t="str">
        <f t="shared" si="292"/>
        <v/>
      </c>
      <c r="AH975" s="22" t="str">
        <f t="shared" si="293"/>
        <v/>
      </c>
      <c r="AI975" s="22" t="str">
        <f t="shared" si="294"/>
        <v/>
      </c>
      <c r="AJ975" s="304" t="str">
        <f t="shared" si="295"/>
        <v/>
      </c>
      <c r="AK975" s="140" t="str">
        <f t="shared" si="296"/>
        <v/>
      </c>
    </row>
    <row r="976" spans="7:37" x14ac:dyDescent="0.25">
      <c r="G976" s="235" t="str">
        <f t="shared" si="281"/>
        <v>05.01</v>
      </c>
      <c r="H976" s="4" t="str">
        <f t="shared" si="282"/>
        <v>05.01.D</v>
      </c>
      <c r="I976" s="11" t="str">
        <f t="shared" si="283"/>
        <v>05.01.D.2</v>
      </c>
      <c r="K976" s="30">
        <v>54</v>
      </c>
      <c r="L976" s="29">
        <f t="shared" si="297"/>
        <v>4517.8087384943256</v>
      </c>
      <c r="M976" s="28">
        <f t="shared" si="284"/>
        <v>5365</v>
      </c>
      <c r="N976" s="27" t="str">
        <f t="shared" si="298"/>
        <v/>
      </c>
      <c r="O976" s="26" t="str">
        <f>IF(AND($Q975=$O$38,IFERROR(LARGE($V$923:$V975,1)&lt;$N$42,TRUE)),1,IF(AND(ISNUMBER($O975),$O975&lt;$N$32),$O975+1,""))</f>
        <v/>
      </c>
      <c r="P976" s="26" t="str">
        <f t="shared" si="299"/>
        <v/>
      </c>
      <c r="Q976" s="26" t="str">
        <f t="shared" si="285"/>
        <v/>
      </c>
      <c r="R976" s="24">
        <f t="shared" si="300"/>
        <v>2</v>
      </c>
      <c r="S976" s="180">
        <f t="shared" si="307"/>
        <v>5.01</v>
      </c>
      <c r="T976" s="29">
        <f>SUM($AC$923:$AC976)</f>
        <v>33000</v>
      </c>
      <c r="U976" s="25">
        <f t="shared" si="286"/>
        <v>1</v>
      </c>
      <c r="V976" s="24">
        <f>IF(AND(ISNUMBER(R975),ISNUMBER(R976)),V975,IF(AND(R975="",ISNUMBER(R976)),IFERROR(LARGE($V$923:$V975,1)+1,0),""))</f>
        <v>5</v>
      </c>
      <c r="W976" s="23" t="str">
        <f t="shared" si="302"/>
        <v/>
      </c>
      <c r="X976" s="22" t="str">
        <f t="shared" si="303"/>
        <v/>
      </c>
      <c r="Y976" s="236"/>
      <c r="Z976" s="22"/>
      <c r="AA976" s="22"/>
      <c r="AB976" s="22">
        <f t="shared" si="304"/>
        <v>525</v>
      </c>
      <c r="AC976" s="22">
        <f t="shared" si="305"/>
        <v>5500</v>
      </c>
      <c r="AD976" s="22">
        <f t="shared" si="289"/>
        <v>525</v>
      </c>
      <c r="AE976" s="22">
        <f t="shared" si="306"/>
        <v>5500</v>
      </c>
      <c r="AF976" s="22">
        <f t="shared" si="291"/>
        <v>0</v>
      </c>
      <c r="AG976" s="22">
        <f t="shared" si="292"/>
        <v>-82.5</v>
      </c>
      <c r="AH976" s="22">
        <f t="shared" si="293"/>
        <v>-110</v>
      </c>
      <c r="AI976" s="22">
        <f t="shared" si="294"/>
        <v>-27.5</v>
      </c>
      <c r="AJ976" s="304">
        <f t="shared" si="295"/>
        <v>-440</v>
      </c>
      <c r="AK976" s="140">
        <f t="shared" si="296"/>
        <v>-440</v>
      </c>
    </row>
    <row r="977" spans="7:37" x14ac:dyDescent="0.25">
      <c r="G977" s="235" t="str">
        <f t="shared" si="281"/>
        <v>05.00</v>
      </c>
      <c r="H977" s="4" t="str">
        <f t="shared" si="282"/>
        <v>05.00.I</v>
      </c>
      <c r="I977" s="11" t="str">
        <f t="shared" si="283"/>
        <v>05.00.I.1</v>
      </c>
      <c r="K977" s="30">
        <v>55</v>
      </c>
      <c r="L977" s="29">
        <f t="shared" si="297"/>
        <v>4317.8087384943256</v>
      </c>
      <c r="M977" s="28">
        <f t="shared" si="284"/>
        <v>-200</v>
      </c>
      <c r="N977" s="27" t="str">
        <f t="shared" si="298"/>
        <v/>
      </c>
      <c r="O977" s="26" t="str">
        <f>IF(AND($Q976=$O$38,IFERROR(LARGE($V$923:$V976,1)&lt;$N$42,TRUE)),1,IF(AND(ISNUMBER($O976),$O976&lt;$N$32),$O976+1,""))</f>
        <v/>
      </c>
      <c r="P977" s="26" t="str">
        <f t="shared" si="299"/>
        <v/>
      </c>
      <c r="Q977" s="26">
        <f t="shared" si="285"/>
        <v>1</v>
      </c>
      <c r="R977" s="24" t="str">
        <f t="shared" si="300"/>
        <v/>
      </c>
      <c r="S977" s="180">
        <f t="shared" si="307"/>
        <v>5</v>
      </c>
      <c r="T977" s="29">
        <f>SUM($AC$923:$AC977)</f>
        <v>33000</v>
      </c>
      <c r="U977" s="25" t="str">
        <f t="shared" si="286"/>
        <v/>
      </c>
      <c r="V977" s="24" t="str">
        <f>IF(AND(ISNUMBER(R976),ISNUMBER(R977)),V976,IF(AND(R976="",ISNUMBER(R977)),IFERROR(LARGE($V$923:$V976,1)+1,0),""))</f>
        <v/>
      </c>
      <c r="W977" s="23" t="str">
        <f t="shared" si="302"/>
        <v/>
      </c>
      <c r="X977" s="22" t="str">
        <f t="shared" si="303"/>
        <v/>
      </c>
      <c r="Y977" s="236"/>
      <c r="Z977" s="22"/>
      <c r="AA977" s="22"/>
      <c r="AB977" s="22">
        <f t="shared" si="304"/>
        <v>-200</v>
      </c>
      <c r="AC977" s="22" t="str">
        <f t="shared" si="305"/>
        <v/>
      </c>
      <c r="AD977" s="22" t="str">
        <f t="shared" si="289"/>
        <v/>
      </c>
      <c r="AE977" s="22" t="str">
        <f t="shared" si="306"/>
        <v/>
      </c>
      <c r="AF977" s="22" t="str">
        <f t="shared" si="291"/>
        <v/>
      </c>
      <c r="AG977" s="22" t="str">
        <f t="shared" si="292"/>
        <v/>
      </c>
      <c r="AH977" s="22" t="str">
        <f t="shared" si="293"/>
        <v/>
      </c>
      <c r="AI977" s="22" t="str">
        <f t="shared" si="294"/>
        <v/>
      </c>
      <c r="AJ977" s="304" t="str">
        <f t="shared" si="295"/>
        <v/>
      </c>
      <c r="AK977" s="140" t="str">
        <f t="shared" si="296"/>
        <v/>
      </c>
    </row>
    <row r="978" spans="7:37" x14ac:dyDescent="0.25">
      <c r="G978" s="235" t="str">
        <f t="shared" si="281"/>
        <v>05.00</v>
      </c>
      <c r="H978" s="4" t="str">
        <f t="shared" si="282"/>
        <v>05.00.I</v>
      </c>
      <c r="I978" s="11" t="str">
        <f t="shared" si="283"/>
        <v>05.00.I.2</v>
      </c>
      <c r="K978" s="30">
        <v>56</v>
      </c>
      <c r="L978" s="29">
        <f t="shared" si="297"/>
        <v>4317.8087384943256</v>
      </c>
      <c r="M978" s="28" t="str">
        <f t="shared" si="284"/>
        <v/>
      </c>
      <c r="N978" s="27" t="str">
        <f t="shared" si="298"/>
        <v/>
      </c>
      <c r="O978" s="26" t="str">
        <f>IF(AND($Q977=$O$38,IFERROR(LARGE($V$923:$V977,1)&lt;$N$42,TRUE)),1,IF(AND(ISNUMBER($O977),$O977&lt;$N$32),$O977+1,""))</f>
        <v/>
      </c>
      <c r="P978" s="26" t="str">
        <f t="shared" si="299"/>
        <v/>
      </c>
      <c r="Q978" s="26">
        <f t="shared" si="285"/>
        <v>2</v>
      </c>
      <c r="R978" s="24" t="str">
        <f t="shared" si="300"/>
        <v/>
      </c>
      <c r="S978" s="180">
        <f t="shared" si="307"/>
        <v>5</v>
      </c>
      <c r="T978" s="29">
        <f>SUM($AC$923:$AC978)</f>
        <v>33000</v>
      </c>
      <c r="U978" s="25" t="str">
        <f t="shared" si="286"/>
        <v/>
      </c>
      <c r="V978" s="24" t="str">
        <f>IF(AND(ISNUMBER(R977),ISNUMBER(R978)),V977,IF(AND(R977="",ISNUMBER(R978)),IFERROR(LARGE($V$923:$V977,1)+1,0),""))</f>
        <v/>
      </c>
      <c r="W978" s="23" t="str">
        <f t="shared" si="302"/>
        <v/>
      </c>
      <c r="X978" s="22" t="str">
        <f t="shared" si="303"/>
        <v/>
      </c>
      <c r="Y978" s="236"/>
      <c r="Z978" s="22"/>
      <c r="AA978" s="22"/>
      <c r="AB978" s="22" t="str">
        <f t="shared" si="304"/>
        <v/>
      </c>
      <c r="AC978" s="22" t="str">
        <f t="shared" si="305"/>
        <v/>
      </c>
      <c r="AD978" s="22" t="str">
        <f t="shared" si="289"/>
        <v/>
      </c>
      <c r="AE978" s="22" t="str">
        <f t="shared" si="306"/>
        <v/>
      </c>
      <c r="AF978" s="22" t="str">
        <f t="shared" si="291"/>
        <v/>
      </c>
      <c r="AG978" s="22" t="str">
        <f t="shared" si="292"/>
        <v/>
      </c>
      <c r="AH978" s="22" t="str">
        <f t="shared" si="293"/>
        <v/>
      </c>
      <c r="AI978" s="22" t="str">
        <f t="shared" si="294"/>
        <v/>
      </c>
      <c r="AJ978" s="304" t="str">
        <f t="shared" si="295"/>
        <v/>
      </c>
      <c r="AK978" s="140" t="str">
        <f t="shared" si="296"/>
        <v/>
      </c>
    </row>
    <row r="979" spans="7:37" x14ac:dyDescent="0.25">
      <c r="G979" s="235" t="str">
        <f t="shared" si="281"/>
        <v>06.00</v>
      </c>
      <c r="H979" s="4" t="str">
        <f t="shared" si="282"/>
        <v>06.00.R</v>
      </c>
      <c r="I979" s="11" t="str">
        <f t="shared" si="283"/>
        <v>06.00.R.1</v>
      </c>
      <c r="K979" s="30">
        <v>57</v>
      </c>
      <c r="L979" s="29">
        <f t="shared" si="297"/>
        <v>1704.1752843931904</v>
      </c>
      <c r="M979" s="28">
        <f t="shared" si="284"/>
        <v>-2613.6334541011352</v>
      </c>
      <c r="N979" s="27" t="str">
        <f t="shared" si="298"/>
        <v/>
      </c>
      <c r="O979" s="26">
        <f>IF(AND($Q978=$O$38,IFERROR(LARGE($V$923:$V978,1)&lt;$N$42,TRUE)),1,IF(AND(ISNUMBER($O978),$O978&lt;$N$32),$O978+1,""))</f>
        <v>1</v>
      </c>
      <c r="P979" s="26" t="str">
        <f t="shared" si="299"/>
        <v/>
      </c>
      <c r="Q979" s="26" t="str">
        <f t="shared" si="285"/>
        <v/>
      </c>
      <c r="R979" s="24" t="str">
        <f t="shared" si="300"/>
        <v/>
      </c>
      <c r="S979" s="180">
        <f t="shared" si="307"/>
        <v>6</v>
      </c>
      <c r="T979" s="29">
        <f>SUM($AC$923:$AC979)</f>
        <v>33000</v>
      </c>
      <c r="U979" s="25" t="str">
        <f t="shared" si="286"/>
        <v/>
      </c>
      <c r="V979" s="24" t="str">
        <f>IF(AND(ISNUMBER(R978),ISNUMBER(R979)),V978,IF(AND(R978="",ISNUMBER(R979)),IFERROR(LARGE($V$923:$V978,1)+1,0),""))</f>
        <v/>
      </c>
      <c r="W979" s="23">
        <f t="shared" si="302"/>
        <v>-1018.3530285882483</v>
      </c>
      <c r="X979" s="22">
        <f t="shared" si="303"/>
        <v>-1595.2804255128869</v>
      </c>
      <c r="Y979" s="236"/>
      <c r="Z979" s="22"/>
      <c r="AA979" s="22"/>
      <c r="AB979" s="22" t="str">
        <f t="shared" si="304"/>
        <v/>
      </c>
      <c r="AC979" s="22" t="str">
        <f t="shared" si="305"/>
        <v/>
      </c>
      <c r="AD979" s="22" t="str">
        <f t="shared" si="289"/>
        <v/>
      </c>
      <c r="AE979" s="22" t="str">
        <f t="shared" si="306"/>
        <v/>
      </c>
      <c r="AF979" s="22" t="str">
        <f t="shared" si="291"/>
        <v/>
      </c>
      <c r="AG979" s="22" t="str">
        <f t="shared" si="292"/>
        <v/>
      </c>
      <c r="AH979" s="22" t="str">
        <f t="shared" si="293"/>
        <v/>
      </c>
      <c r="AI979" s="22" t="str">
        <f t="shared" si="294"/>
        <v/>
      </c>
      <c r="AJ979" s="304" t="str">
        <f t="shared" si="295"/>
        <v/>
      </c>
      <c r="AK979" s="140" t="str">
        <f t="shared" si="296"/>
        <v/>
      </c>
    </row>
    <row r="980" spans="7:37" x14ac:dyDescent="0.25">
      <c r="G980" s="235" t="str">
        <f t="shared" si="281"/>
        <v>06.00</v>
      </c>
      <c r="H980" s="4" t="str">
        <f t="shared" si="282"/>
        <v>06.00.R</v>
      </c>
      <c r="I980" s="11" t="str">
        <f t="shared" si="283"/>
        <v>06.00.R.2</v>
      </c>
      <c r="K980" s="30">
        <v>58</v>
      </c>
      <c r="L980" s="29">
        <f t="shared" si="297"/>
        <v>1704.1752843931904</v>
      </c>
      <c r="M980" s="28" t="str">
        <f t="shared" si="284"/>
        <v/>
      </c>
      <c r="N980" s="27" t="str">
        <f t="shared" si="298"/>
        <v/>
      </c>
      <c r="O980" s="26">
        <f>IF(AND($Q979=$O$38,IFERROR(LARGE($V$923:$V979,1)&lt;$N$42,TRUE)),1,IF(AND(ISNUMBER($O979),$O979&lt;$N$32),$O979+1,""))</f>
        <v>2</v>
      </c>
      <c r="P980" s="26" t="str">
        <f t="shared" si="299"/>
        <v/>
      </c>
      <c r="Q980" s="26" t="str">
        <f t="shared" si="285"/>
        <v/>
      </c>
      <c r="R980" s="24" t="str">
        <f t="shared" si="300"/>
        <v/>
      </c>
      <c r="S980" s="180">
        <f t="shared" si="307"/>
        <v>6</v>
      </c>
      <c r="T980" s="29">
        <f>SUM($AC$923:$AC980)</f>
        <v>33000</v>
      </c>
      <c r="U980" s="25" t="str">
        <f t="shared" si="286"/>
        <v/>
      </c>
      <c r="V980" s="24" t="str">
        <f>IF(AND(ISNUMBER(R979),ISNUMBER(R980)),V979,IF(AND(R979="",ISNUMBER(R980)),IFERROR(LARGE($V$923:$V979,1)+1,0),""))</f>
        <v/>
      </c>
      <c r="W980" s="23" t="str">
        <f t="shared" si="302"/>
        <v/>
      </c>
      <c r="X980" s="22" t="str">
        <f t="shared" si="303"/>
        <v/>
      </c>
      <c r="Y980" s="236"/>
      <c r="Z980" s="22"/>
      <c r="AA980" s="22"/>
      <c r="AB980" s="22" t="str">
        <f t="shared" si="304"/>
        <v/>
      </c>
      <c r="AC980" s="22" t="str">
        <f t="shared" si="305"/>
        <v/>
      </c>
      <c r="AD980" s="22" t="str">
        <f t="shared" si="289"/>
        <v/>
      </c>
      <c r="AE980" s="22" t="str">
        <f t="shared" si="306"/>
        <v/>
      </c>
      <c r="AF980" s="22" t="str">
        <f t="shared" si="291"/>
        <v/>
      </c>
      <c r="AG980" s="22" t="str">
        <f t="shared" si="292"/>
        <v/>
      </c>
      <c r="AH980" s="22" t="str">
        <f t="shared" si="293"/>
        <v/>
      </c>
      <c r="AI980" s="22" t="str">
        <f t="shared" si="294"/>
        <v/>
      </c>
      <c r="AJ980" s="304" t="str">
        <f t="shared" si="295"/>
        <v/>
      </c>
      <c r="AK980" s="140" t="str">
        <f t="shared" si="296"/>
        <v/>
      </c>
    </row>
    <row r="981" spans="7:37" x14ac:dyDescent="0.25">
      <c r="G981" s="235" t="str">
        <f t="shared" si="281"/>
        <v>06.00</v>
      </c>
      <c r="H981" s="4" t="str">
        <f t="shared" si="282"/>
        <v>06.00.R</v>
      </c>
      <c r="I981" s="11" t="str">
        <f t="shared" si="283"/>
        <v>06.00.R.3</v>
      </c>
      <c r="K981" s="30">
        <v>59</v>
      </c>
      <c r="L981" s="29">
        <f t="shared" si="297"/>
        <v>1704.1752843931904</v>
      </c>
      <c r="M981" s="28" t="str">
        <f t="shared" si="284"/>
        <v/>
      </c>
      <c r="N981" s="27" t="str">
        <f t="shared" si="298"/>
        <v/>
      </c>
      <c r="O981" s="26">
        <f>IF(AND($Q980=$O$38,IFERROR(LARGE($V$923:$V980,1)&lt;$N$42,TRUE)),1,IF(AND(ISNUMBER($O980),$O980&lt;$N$32),$O980+1,""))</f>
        <v>3</v>
      </c>
      <c r="P981" s="26" t="str">
        <f t="shared" si="299"/>
        <v/>
      </c>
      <c r="Q981" s="26" t="str">
        <f t="shared" si="285"/>
        <v/>
      </c>
      <c r="R981" s="24" t="str">
        <f t="shared" si="300"/>
        <v/>
      </c>
      <c r="S981" s="180">
        <f t="shared" si="307"/>
        <v>6</v>
      </c>
      <c r="T981" s="29">
        <f>SUM($AC$923:$AC981)</f>
        <v>33000</v>
      </c>
      <c r="U981" s="25" t="str">
        <f t="shared" si="286"/>
        <v/>
      </c>
      <c r="V981" s="24" t="str">
        <f>IF(AND(ISNUMBER(R980),ISNUMBER(R981)),V980,IF(AND(R980="",ISNUMBER(R981)),IFERROR(LARGE($V$923:$V980,1)+1,0),""))</f>
        <v/>
      </c>
      <c r="W981" s="23" t="str">
        <f t="shared" si="302"/>
        <v/>
      </c>
      <c r="X981" s="22" t="str">
        <f t="shared" si="303"/>
        <v/>
      </c>
      <c r="Y981" s="236"/>
      <c r="Z981" s="22"/>
      <c r="AA981" s="22"/>
      <c r="AB981" s="22" t="str">
        <f t="shared" si="304"/>
        <v/>
      </c>
      <c r="AC981" s="22" t="str">
        <f t="shared" si="305"/>
        <v/>
      </c>
      <c r="AD981" s="22" t="str">
        <f t="shared" si="289"/>
        <v/>
      </c>
      <c r="AE981" s="22" t="str">
        <f t="shared" si="306"/>
        <v/>
      </c>
      <c r="AF981" s="22" t="str">
        <f t="shared" si="291"/>
        <v/>
      </c>
      <c r="AG981" s="22" t="str">
        <f t="shared" si="292"/>
        <v/>
      </c>
      <c r="AH981" s="22" t="str">
        <f t="shared" si="293"/>
        <v/>
      </c>
      <c r="AI981" s="22" t="str">
        <f t="shared" si="294"/>
        <v/>
      </c>
      <c r="AJ981" s="304" t="str">
        <f t="shared" si="295"/>
        <v/>
      </c>
      <c r="AK981" s="140" t="str">
        <f t="shared" si="296"/>
        <v/>
      </c>
    </row>
    <row r="982" spans="7:37" x14ac:dyDescent="0.25">
      <c r="G982" s="235" t="str">
        <f t="shared" si="281"/>
        <v>06.00</v>
      </c>
      <c r="H982" s="4" t="str">
        <f t="shared" si="282"/>
        <v>06.00.O</v>
      </c>
      <c r="I982" s="11" t="str">
        <f t="shared" si="283"/>
        <v>06.00.O.1</v>
      </c>
      <c r="K982" s="30">
        <v>60</v>
      </c>
      <c r="L982" s="29">
        <f t="shared" si="297"/>
        <v>1504.1752843931904</v>
      </c>
      <c r="M982" s="28">
        <f t="shared" si="284"/>
        <v>-200</v>
      </c>
      <c r="N982" s="27" t="str">
        <f t="shared" si="298"/>
        <v/>
      </c>
      <c r="O982" s="26" t="str">
        <f>IF(AND($Q981=$O$38,IFERROR(LARGE($V$923:$V981,1)&lt;$N$42,TRUE)),1,IF(AND(ISNUMBER($O981),$O981&lt;$N$32),$O981+1,""))</f>
        <v/>
      </c>
      <c r="P982" s="26">
        <f t="shared" si="299"/>
        <v>1</v>
      </c>
      <c r="Q982" s="26" t="str">
        <f t="shared" si="285"/>
        <v/>
      </c>
      <c r="R982" s="24" t="str">
        <f t="shared" si="300"/>
        <v/>
      </c>
      <c r="S982" s="180">
        <f t="shared" si="307"/>
        <v>6</v>
      </c>
      <c r="T982" s="29">
        <f>SUM($AC$923:$AC982)</f>
        <v>33000</v>
      </c>
      <c r="U982" s="25" t="str">
        <f t="shared" si="286"/>
        <v/>
      </c>
      <c r="V982" s="24" t="str">
        <f>IF(AND(ISNUMBER(R981),ISNUMBER(R982)),V981,IF(AND(R981="",ISNUMBER(R982)),IFERROR(LARGE($V$923:$V981,1)+1,0),""))</f>
        <v/>
      </c>
      <c r="W982" s="23" t="str">
        <f t="shared" si="302"/>
        <v/>
      </c>
      <c r="X982" s="22" t="str">
        <f t="shared" si="303"/>
        <v/>
      </c>
      <c r="Y982" s="236"/>
      <c r="Z982" s="22"/>
      <c r="AA982" s="22"/>
      <c r="AB982" s="22">
        <f t="shared" si="304"/>
        <v>-200</v>
      </c>
      <c r="AC982" s="22" t="str">
        <f t="shared" si="305"/>
        <v/>
      </c>
      <c r="AD982" s="22" t="str">
        <f t="shared" si="289"/>
        <v/>
      </c>
      <c r="AE982" s="22" t="str">
        <f t="shared" si="306"/>
        <v/>
      </c>
      <c r="AF982" s="22" t="str">
        <f t="shared" si="291"/>
        <v/>
      </c>
      <c r="AG982" s="22" t="str">
        <f t="shared" si="292"/>
        <v/>
      </c>
      <c r="AH982" s="22" t="str">
        <f t="shared" si="293"/>
        <v/>
      </c>
      <c r="AI982" s="22" t="str">
        <f t="shared" si="294"/>
        <v/>
      </c>
      <c r="AJ982" s="304" t="str">
        <f t="shared" si="295"/>
        <v/>
      </c>
      <c r="AK982" s="140" t="str">
        <f t="shared" si="296"/>
        <v/>
      </c>
    </row>
    <row r="983" spans="7:37" x14ac:dyDescent="0.25">
      <c r="G983" s="235" t="str">
        <f t="shared" si="281"/>
        <v>06.00</v>
      </c>
      <c r="H983" s="4" t="str">
        <f t="shared" si="282"/>
        <v>06.00.O</v>
      </c>
      <c r="I983" s="11" t="str">
        <f t="shared" si="283"/>
        <v>06.00.O.2</v>
      </c>
      <c r="K983" s="30">
        <v>61</v>
      </c>
      <c r="L983" s="29">
        <f t="shared" si="297"/>
        <v>1504.1752843931904</v>
      </c>
      <c r="M983" s="28" t="str">
        <f t="shared" si="284"/>
        <v/>
      </c>
      <c r="N983" s="27" t="str">
        <f t="shared" si="298"/>
        <v/>
      </c>
      <c r="O983" s="26" t="str">
        <f>IF(AND($Q982=$O$38,IFERROR(LARGE($V$923:$V982,1)&lt;$N$42,TRUE)),1,IF(AND(ISNUMBER($O982),$O982&lt;$N$32),$O982+1,""))</f>
        <v/>
      </c>
      <c r="P983" s="26">
        <f t="shared" si="299"/>
        <v>2</v>
      </c>
      <c r="Q983" s="26" t="str">
        <f t="shared" si="285"/>
        <v/>
      </c>
      <c r="R983" s="24" t="str">
        <f t="shared" si="300"/>
        <v/>
      </c>
      <c r="S983" s="180">
        <f t="shared" si="307"/>
        <v>6</v>
      </c>
      <c r="T983" s="29">
        <f>SUM($AC$923:$AC983)</f>
        <v>33000</v>
      </c>
      <c r="U983" s="25" t="str">
        <f t="shared" si="286"/>
        <v/>
      </c>
      <c r="V983" s="24" t="str">
        <f>IF(AND(ISNUMBER(R982),ISNUMBER(R983)),V982,IF(AND(R982="",ISNUMBER(R983)),IFERROR(LARGE($V$923:$V982,1)+1,0),""))</f>
        <v/>
      </c>
      <c r="W983" s="23" t="str">
        <f t="shared" si="302"/>
        <v/>
      </c>
      <c r="X983" s="22" t="str">
        <f t="shared" si="303"/>
        <v/>
      </c>
      <c r="Y983" s="236"/>
      <c r="Z983" s="22"/>
      <c r="AA983" s="22"/>
      <c r="AB983" s="22" t="str">
        <f t="shared" si="304"/>
        <v/>
      </c>
      <c r="AC983" s="22" t="str">
        <f t="shared" si="305"/>
        <v/>
      </c>
      <c r="AD983" s="22" t="str">
        <f t="shared" si="289"/>
        <v/>
      </c>
      <c r="AE983" s="22" t="str">
        <f t="shared" si="306"/>
        <v/>
      </c>
      <c r="AF983" s="22" t="str">
        <f t="shared" si="291"/>
        <v/>
      </c>
      <c r="AG983" s="22" t="str">
        <f t="shared" si="292"/>
        <v/>
      </c>
      <c r="AH983" s="22" t="str">
        <f t="shared" si="293"/>
        <v/>
      </c>
      <c r="AI983" s="22" t="str">
        <f t="shared" si="294"/>
        <v/>
      </c>
      <c r="AJ983" s="304" t="str">
        <f t="shared" si="295"/>
        <v/>
      </c>
      <c r="AK983" s="140" t="str">
        <f t="shared" si="296"/>
        <v/>
      </c>
    </row>
    <row r="984" spans="7:37" x14ac:dyDescent="0.25">
      <c r="G984" s="235" t="str">
        <f t="shared" si="281"/>
        <v>06.01</v>
      </c>
      <c r="H984" s="4" t="str">
        <f t="shared" si="282"/>
        <v>06.01.D</v>
      </c>
      <c r="I984" s="11" t="str">
        <f t="shared" si="283"/>
        <v>06.01.D.1</v>
      </c>
      <c r="K984" s="30">
        <v>62</v>
      </c>
      <c r="L984" s="29">
        <f t="shared" si="297"/>
        <v>1504.1752843931904</v>
      </c>
      <c r="M984" s="28" t="str">
        <f t="shared" si="284"/>
        <v/>
      </c>
      <c r="N984" s="27" t="str">
        <f t="shared" si="298"/>
        <v/>
      </c>
      <c r="O984" s="26" t="str">
        <f>IF(AND($Q983=$O$38,IFERROR(LARGE($V$923:$V983,1)&lt;$N$42,TRUE)),1,IF(AND(ISNUMBER($O983),$O983&lt;$N$32),$O983+1,""))</f>
        <v/>
      </c>
      <c r="P984" s="26" t="str">
        <f t="shared" si="299"/>
        <v/>
      </c>
      <c r="Q984" s="26" t="str">
        <f t="shared" si="285"/>
        <v/>
      </c>
      <c r="R984" s="24">
        <f t="shared" si="300"/>
        <v>1</v>
      </c>
      <c r="S984" s="180">
        <f t="shared" si="307"/>
        <v>6.01</v>
      </c>
      <c r="T984" s="29">
        <f>SUM($AC$923:$AC984)</f>
        <v>33000</v>
      </c>
      <c r="U984" s="25">
        <f t="shared" si="286"/>
        <v>1</v>
      </c>
      <c r="V984" s="24">
        <f>IF(AND(ISNUMBER(R983),ISNUMBER(R984)),V983,IF(AND(R983="",ISNUMBER(R984)),IFERROR(LARGE($V$923:$V983,1)+1,0),""))</f>
        <v>6</v>
      </c>
      <c r="W984" s="23" t="str">
        <f t="shared" si="302"/>
        <v/>
      </c>
      <c r="X984" s="22" t="str">
        <f t="shared" si="303"/>
        <v/>
      </c>
      <c r="Y984" s="236"/>
      <c r="Z984" s="22"/>
      <c r="AA984" s="22"/>
      <c r="AB984" s="22" t="str">
        <f t="shared" si="304"/>
        <v/>
      </c>
      <c r="AC984" s="22" t="str">
        <f t="shared" si="305"/>
        <v/>
      </c>
      <c r="AD984" s="22" t="str">
        <f t="shared" si="289"/>
        <v/>
      </c>
      <c r="AE984" s="22" t="str">
        <f t="shared" si="306"/>
        <v/>
      </c>
      <c r="AF984" s="22" t="str">
        <f t="shared" si="291"/>
        <v/>
      </c>
      <c r="AG984" s="22" t="str">
        <f t="shared" si="292"/>
        <v/>
      </c>
      <c r="AH984" s="22" t="str">
        <f t="shared" si="293"/>
        <v/>
      </c>
      <c r="AI984" s="22" t="str">
        <f t="shared" si="294"/>
        <v/>
      </c>
      <c r="AJ984" s="304" t="str">
        <f t="shared" si="295"/>
        <v/>
      </c>
      <c r="AK984" s="140" t="str">
        <f t="shared" si="296"/>
        <v/>
      </c>
    </row>
    <row r="985" spans="7:37" x14ac:dyDescent="0.25">
      <c r="G985" s="235" t="str">
        <f t="shared" si="281"/>
        <v>06.01</v>
      </c>
      <c r="H985" s="4" t="str">
        <f t="shared" si="282"/>
        <v>06.01.D</v>
      </c>
      <c r="I985" s="11" t="str">
        <f t="shared" si="283"/>
        <v>06.01.D.2</v>
      </c>
      <c r="K985" s="30">
        <v>63</v>
      </c>
      <c r="L985" s="29">
        <f t="shared" si="297"/>
        <v>6869.1752843931899</v>
      </c>
      <c r="M985" s="28">
        <f t="shared" si="284"/>
        <v>5365</v>
      </c>
      <c r="N985" s="27" t="str">
        <f t="shared" si="298"/>
        <v/>
      </c>
      <c r="O985" s="26" t="str">
        <f>IF(AND($Q984=$O$38,IFERROR(LARGE($V$923:$V984,1)&lt;$N$42,TRUE)),1,IF(AND(ISNUMBER($O984),$O984&lt;$N$32),$O984+1,""))</f>
        <v/>
      </c>
      <c r="P985" s="26" t="str">
        <f t="shared" si="299"/>
        <v/>
      </c>
      <c r="Q985" s="26" t="str">
        <f t="shared" si="285"/>
        <v/>
      </c>
      <c r="R985" s="24">
        <f t="shared" si="300"/>
        <v>2</v>
      </c>
      <c r="S985" s="180">
        <f t="shared" si="307"/>
        <v>6.01</v>
      </c>
      <c r="T985" s="29">
        <f>SUM($AC$923:$AC985)</f>
        <v>38500</v>
      </c>
      <c r="U985" s="25">
        <f t="shared" si="286"/>
        <v>1</v>
      </c>
      <c r="V985" s="24">
        <f>IF(AND(ISNUMBER(R984),ISNUMBER(R985)),V984,IF(AND(R984="",ISNUMBER(R985)),IFERROR(LARGE($V$923:$V984,1)+1,0),""))</f>
        <v>6</v>
      </c>
      <c r="W985" s="23" t="str">
        <f t="shared" si="302"/>
        <v/>
      </c>
      <c r="X985" s="22" t="str">
        <f t="shared" si="303"/>
        <v/>
      </c>
      <c r="Y985" s="236"/>
      <c r="Z985" s="22"/>
      <c r="AA985" s="22"/>
      <c r="AB985" s="22">
        <f t="shared" si="304"/>
        <v>525</v>
      </c>
      <c r="AC985" s="22">
        <f t="shared" si="305"/>
        <v>5500</v>
      </c>
      <c r="AD985" s="22">
        <f t="shared" si="289"/>
        <v>525</v>
      </c>
      <c r="AE985" s="22">
        <f t="shared" si="306"/>
        <v>5500</v>
      </c>
      <c r="AF985" s="22">
        <f t="shared" si="291"/>
        <v>0</v>
      </c>
      <c r="AG985" s="22">
        <f t="shared" si="292"/>
        <v>-82.5</v>
      </c>
      <c r="AH985" s="22">
        <f t="shared" si="293"/>
        <v>-110</v>
      </c>
      <c r="AI985" s="22">
        <f t="shared" si="294"/>
        <v>-27.5</v>
      </c>
      <c r="AJ985" s="304">
        <f t="shared" si="295"/>
        <v>-440</v>
      </c>
      <c r="AK985" s="140">
        <f t="shared" si="296"/>
        <v>-440</v>
      </c>
    </row>
    <row r="986" spans="7:37" x14ac:dyDescent="0.25">
      <c r="G986" s="235" t="str">
        <f t="shared" si="281"/>
        <v>06.00</v>
      </c>
      <c r="H986" s="4" t="str">
        <f t="shared" si="282"/>
        <v>06.00.I</v>
      </c>
      <c r="I986" s="11" t="str">
        <f t="shared" si="283"/>
        <v>06.00.I.1</v>
      </c>
      <c r="K986" s="30">
        <v>64</v>
      </c>
      <c r="L986" s="29">
        <f t="shared" si="297"/>
        <v>6669.1752843931899</v>
      </c>
      <c r="M986" s="28">
        <f t="shared" si="284"/>
        <v>-200</v>
      </c>
      <c r="N986" s="27" t="str">
        <f t="shared" si="298"/>
        <v/>
      </c>
      <c r="O986" s="26" t="str">
        <f>IF(AND($Q985=$O$38,IFERROR(LARGE($V$923:$V985,1)&lt;$N$42,TRUE)),1,IF(AND(ISNUMBER($O985),$O985&lt;$N$32),$O985+1,""))</f>
        <v/>
      </c>
      <c r="P986" s="26" t="str">
        <f t="shared" si="299"/>
        <v/>
      </c>
      <c r="Q986" s="26">
        <f t="shared" si="285"/>
        <v>1</v>
      </c>
      <c r="R986" s="24" t="str">
        <f t="shared" si="300"/>
        <v/>
      </c>
      <c r="S986" s="180">
        <f t="shared" si="307"/>
        <v>6</v>
      </c>
      <c r="T986" s="29">
        <f>SUM($AC$923:$AC986)</f>
        <v>38500</v>
      </c>
      <c r="U986" s="25" t="str">
        <f t="shared" si="286"/>
        <v/>
      </c>
      <c r="V986" s="24" t="str">
        <f>IF(AND(ISNUMBER(R985),ISNUMBER(R986)),V985,IF(AND(R985="",ISNUMBER(R986)),IFERROR(LARGE($V$923:$V985,1)+1,0),""))</f>
        <v/>
      </c>
      <c r="W986" s="23" t="str">
        <f t="shared" si="302"/>
        <v/>
      </c>
      <c r="X986" s="22" t="str">
        <f t="shared" si="303"/>
        <v/>
      </c>
      <c r="Y986" s="236"/>
      <c r="Z986" s="22"/>
      <c r="AA986" s="22"/>
      <c r="AB986" s="22">
        <f t="shared" si="304"/>
        <v>-200</v>
      </c>
      <c r="AC986" s="22" t="str">
        <f t="shared" si="305"/>
        <v/>
      </c>
      <c r="AD986" s="22" t="str">
        <f t="shared" si="289"/>
        <v/>
      </c>
      <c r="AE986" s="22" t="str">
        <f t="shared" si="306"/>
        <v/>
      </c>
      <c r="AF986" s="22" t="str">
        <f t="shared" si="291"/>
        <v/>
      </c>
      <c r="AG986" s="22" t="str">
        <f t="shared" si="292"/>
        <v/>
      </c>
      <c r="AH986" s="22" t="str">
        <f t="shared" si="293"/>
        <v/>
      </c>
      <c r="AI986" s="22" t="str">
        <f t="shared" si="294"/>
        <v/>
      </c>
      <c r="AJ986" s="304" t="str">
        <f t="shared" si="295"/>
        <v/>
      </c>
      <c r="AK986" s="140" t="str">
        <f t="shared" si="296"/>
        <v/>
      </c>
    </row>
    <row r="987" spans="7:37" x14ac:dyDescent="0.25">
      <c r="G987" s="235" t="str">
        <f t="shared" ref="G987:G1050" si="308">IF(RIGHT(H987,2)=".N","NEW",IF(SUM(N987:R987)=0,"",LEFT(H987,5)))</f>
        <v>06.00</v>
      </c>
      <c r="H987" s="4" t="str">
        <f t="shared" ref="H987:H1050" si="309">IF(SUM(N987:R987)&gt;0,CONCATENATE(IF(LEN(ROUNDDOWN(S987,0))=1,CONCATENATE("0",ROUNDDOWN(S987,0)),ROUNDDOWN(S987,0)),".",IF(LEN(ROUND(MOD(S987,1)*100,0))=1,CONCATENATE("0",ROUND(MOD(S987,1)*100,0)),ROUND(MOD(S987,1)*100,0)),IF(N987&lt;&gt;"",".N",IF(O987&lt;&gt;"",".R",IF(P987&lt;&gt;"",".O",IF(Q987&lt;&gt;"",".I",IF(R987&lt;&gt;"",".D","")))))),"")</f>
        <v>06.00.I</v>
      </c>
      <c r="I987" s="11" t="str">
        <f t="shared" ref="I987:I1050" si="310">IF(SUM(N987:R987)&gt;0,CONCATENATE(IF(LEN(ROUNDDOWN(S987,0))=1,CONCATENATE("0",ROUNDDOWN(S987,0)),ROUNDDOWN(S987,0)),".",IF(LEN(ROUND(MOD(S987,1)*100,0))=1,CONCATENATE("0",ROUND(MOD(S987,1)*100,0)),ROUND(MOD(S987,1)*100,0)),IF(N987&lt;&gt;"",".N.",IF(O987&lt;&gt;"",".R.",IF(P987&lt;&gt;"",".O.",IF(Q987&lt;&gt;"",".I.",IF(R987&lt;&gt;"",".D.",""))))),IF(N987&lt;&gt;"",N987,IF(O987&lt;&gt;"",O987,IF(P987&lt;&gt;"",P987,IF(Q987&lt;&gt;"",Q987,IF(R987&lt;&gt;"",IF(MOD(R987,$N$44)=0,$N$44,MOD(R987,$N$44)),"")))))),"")</f>
        <v>06.00.I.2</v>
      </c>
      <c r="K987" s="30">
        <v>65</v>
      </c>
      <c r="L987" s="29">
        <f t="shared" si="297"/>
        <v>6669.1752843931899</v>
      </c>
      <c r="M987" s="28" t="str">
        <f t="shared" ref="M987:M1050" si="311">IFERROR(IF(IF($K987=1,(($M$23*-1)+($M$24*-1)),IF(ISNUMBER(W987),W987,0)+IF(ISNUMBER(X987),X987,0)+IF(ISNUMBER(AB987),AB987,0)+IF(ISNUMBER(AE987),AE987,0)+IF(ISNUMBER(AF987),AF987,0)+IF(ISNUMBER(AG987),AG987,0)+IF(ISNUMBER(AH987),AH987,0)+IF(ISNUMBER(AI987),AI987,0)+IF(ISNUMBER(AK987),AK987,0))=0,"",IF($K987=1,(($M$23*-1)+($M$24*-1)),IF(ISNUMBER(W987),W987,0)+IF(ISNUMBER(X987),X987,0)+IF(ISNUMBER(AB987),AB987,0)+IF(ISNUMBER(AE987),AE987,0)+IF(ISNUMBER(AF987),AF987,0)+IF(ISNUMBER(AG987),AG987,0)+IF(ISNUMBER(AH987),AH987,0)+IF(ISNUMBER(AI987),AI987,0)+IF(ISNUMBER(AK987),AK987,0))),"")</f>
        <v/>
      </c>
      <c r="N987" s="27" t="str">
        <f t="shared" si="298"/>
        <v/>
      </c>
      <c r="O987" s="26" t="str">
        <f>IF(AND($Q986=$O$38,IFERROR(LARGE($V$923:$V986,1)&lt;$N$42,TRUE)),1,IF(AND(ISNUMBER($O986),$O986&lt;$N$32),$O986+1,""))</f>
        <v/>
      </c>
      <c r="P987" s="26" t="str">
        <f t="shared" si="299"/>
        <v/>
      </c>
      <c r="Q987" s="26">
        <f t="shared" ref="Q987:Q1050" si="312">IF($R986=($N$43*$N$44),1,IF(AND(ISNUMBER($Q986),$Q986&lt;$O$38),$Q986+1,""))</f>
        <v>2</v>
      </c>
      <c r="R987" s="24" t="str">
        <f t="shared" si="300"/>
        <v/>
      </c>
      <c r="S987" s="180">
        <f t="shared" si="307"/>
        <v>6</v>
      </c>
      <c r="T987" s="29">
        <f>SUM($AC$923:$AC987)</f>
        <v>38500</v>
      </c>
      <c r="U987" s="25" t="str">
        <f t="shared" ref="U987:U1050" si="313">IF(ISNUMBER($R987),ROUNDUP($R987/$N$44,0),"")</f>
        <v/>
      </c>
      <c r="V987" s="24" t="str">
        <f>IF(AND(ISNUMBER(R986),ISNUMBER(R987)),V986,IF(AND(R986="",ISNUMBER(R987)),IFERROR(LARGE($V$923:$V986,1)+1,0),""))</f>
        <v/>
      </c>
      <c r="W987" s="23" t="str">
        <f t="shared" si="302"/>
        <v/>
      </c>
      <c r="X987" s="22" t="str">
        <f t="shared" si="303"/>
        <v/>
      </c>
      <c r="Y987" s="236"/>
      <c r="Z987" s="22"/>
      <c r="AA987" s="22"/>
      <c r="AB987" s="22" t="str">
        <f t="shared" si="304"/>
        <v/>
      </c>
      <c r="AC987" s="22" t="str">
        <f t="shared" si="305"/>
        <v/>
      </c>
      <c r="AD987" s="22" t="str">
        <f t="shared" ref="AD987:AD1050" si="314">IF(IF(OR(AND(ISNUMBER($U987),IF(ISNUMBER($U988),$U988,0)-IF(ISNUMBER($U987),$U987,0)=1),AND(ISNUMBER($U987),$U988="")),IF($U987=1,$P$37,0),0)=0,"",IF(OR(AND(ISNUMBER($U987),IF(ISNUMBER($U988),$U988,0)-IF(ISNUMBER($U987),$U987,0)=1),AND(ISNUMBER($U987),$U988="")),IF($U987=1,$P$37,0),0))</f>
        <v/>
      </c>
      <c r="AE987" s="22" t="str">
        <f t="shared" si="306"/>
        <v/>
      </c>
      <c r="AF987" s="22" t="str">
        <f t="shared" ref="AF987:AF1050" si="315">IF($O$67="Invoice",IF(AND(ISNUMBER($AC987),ISNUMBER($O$68)),$AC987*$O$68*-1,""),IF($O$67="Payment",IF(AND(ISNUMBER($AE987),ISNUMBER($O$68)),$AE987*$O$68*-1,""),""))</f>
        <v/>
      </c>
      <c r="AG987" s="22" t="str">
        <f t="shared" ref="AG987:AG1050" si="316">IF($O$67="Invoice",IF(AND(ISNUMBER($AC987),ISNUMBER($O$69)),$AC987*$O$69*-1,""),IF($O$67="Payment",IF(AND(ISNUMBER($AE987),ISNUMBER($O$69)),$AE987*$O$69*-1,""),""))</f>
        <v/>
      </c>
      <c r="AH987" s="22" t="str">
        <f t="shared" ref="AH987:AH1050" si="317">IF($O$67="Invoice",IF(AND(ISNUMBER($AC987),ISNUMBER($O$70)),$AC987*$O$70*-1,""),IF($O$67="Payment",IF(AND(ISNUMBER($AE987),ISNUMBER($O$70)),$AE987*$O$70*-1,""),""))</f>
        <v/>
      </c>
      <c r="AI987" s="22" t="str">
        <f t="shared" ref="AI987:AI1050" si="318">IF($O$67="Invoice",IF(AND(ISNUMBER($AC987),ISNUMBER($O$71)),$AC987*$O$71*-1,""),IF($O$67="Payment",IF(AND(ISNUMBER($AE987),ISNUMBER($O$71)),$AE987*$O$71*-1,""),""))</f>
        <v/>
      </c>
      <c r="AJ987" s="304" t="str">
        <f t="shared" ref="AJ987:AJ1050" si="319">IF($O$67="Invoice",IF(AND(ISNUMBER($AC987),ISNUMBER($O$72)),$AC987*$O$72*-1,""),IF($O$67="Payment",IF(AND(ISNUMBER($AE987),ISNUMBER($O$72)),$AE987*$O$72*-1,""),""))</f>
        <v/>
      </c>
      <c r="AK987" s="140" t="str">
        <f t="shared" ref="AK987:AK1050" si="320">IF($O$67="Invoice",IF(AND(ISNUMBER($AC987),ISNUMBER($O$73)),$AC987*$O$73*-1,""),IF($O$67="Payment",IF(AND(ISNUMBER($AE987),ISNUMBER($O$73)),$AE987*$O$73*-1,""),""))</f>
        <v/>
      </c>
    </row>
    <row r="988" spans="7:37" x14ac:dyDescent="0.25">
      <c r="G988" s="235" t="str">
        <f t="shared" si="308"/>
        <v>07.00</v>
      </c>
      <c r="H988" s="4" t="str">
        <f t="shared" si="309"/>
        <v>07.00.R</v>
      </c>
      <c r="I988" s="11" t="str">
        <f t="shared" si="310"/>
        <v>07.00.R.1</v>
      </c>
      <c r="K988" s="30">
        <v>66</v>
      </c>
      <c r="L988" s="29">
        <f t="shared" ref="L988:L1051" si="321">IF(ISNUMBER($M988),$M988+$L987,$L987)</f>
        <v>4055.5418302920548</v>
      </c>
      <c r="M988" s="28">
        <f t="shared" si="311"/>
        <v>-2613.6334541011352</v>
      </c>
      <c r="N988" s="27" t="str">
        <f t="shared" ref="N988:N1051" si="322">IF($K987&lt;$N$25,$N987+1,"")</f>
        <v/>
      </c>
      <c r="O988" s="26">
        <f>IF(AND($Q987=$O$38,IFERROR(LARGE($V$923:$V987,1)&lt;$N$42,TRUE)),1,IF(AND(ISNUMBER($O987),$O987&lt;$N$32),$O987+1,""))</f>
        <v>1</v>
      </c>
      <c r="P988" s="26" t="str">
        <f t="shared" ref="P988:P1051" si="323">IF(OR($N987=$N$25,O987=$N$32),1,IF(AND($P987&lt;$O$37,P987&gt;0),P987+1,""))</f>
        <v/>
      </c>
      <c r="Q988" s="26" t="str">
        <f t="shared" si="312"/>
        <v/>
      </c>
      <c r="R988" s="24" t="str">
        <f t="shared" ref="R988:R1051" si="324">IF(AND($P987=$O$37,$R987=""),1,IF($R987&lt;($N$43*$N$44),$R987+1,""))</f>
        <v/>
      </c>
      <c r="S988" s="180">
        <f t="shared" si="307"/>
        <v>7</v>
      </c>
      <c r="T988" s="29">
        <f>SUM($AC$923:$AC988)</f>
        <v>38500</v>
      </c>
      <c r="U988" s="25" t="str">
        <f t="shared" si="313"/>
        <v/>
      </c>
      <c r="V988" s="24" t="str">
        <f>IF(AND(ISNUMBER(R987),ISNUMBER(R988)),V987,IF(AND(R987="",ISNUMBER(R988)),IFERROR(LARGE($V$923:$V987,1)+1,0),""))</f>
        <v/>
      </c>
      <c r="W988" s="23">
        <f t="shared" ref="W988:W1051" si="325">IF($O988=1,($M$30*-1),"")</f>
        <v>-1018.3530285882483</v>
      </c>
      <c r="X988" s="22">
        <f t="shared" ref="X988:X1051" si="326">IF($K988=1,($M$24*-1),IF($O988=1,($M$31*-1),""))</f>
        <v>-1595.2804255128869</v>
      </c>
      <c r="Y988" s="236"/>
      <c r="Z988" s="22"/>
      <c r="AA988" s="22"/>
      <c r="AB988" s="22" t="str">
        <f t="shared" si="304"/>
        <v/>
      </c>
      <c r="AC988" s="22" t="str">
        <f t="shared" si="305"/>
        <v/>
      </c>
      <c r="AD988" s="22" t="str">
        <f t="shared" si="314"/>
        <v/>
      </c>
      <c r="AE988" s="22" t="str">
        <f t="shared" si="306"/>
        <v/>
      </c>
      <c r="AF988" s="22" t="str">
        <f t="shared" si="315"/>
        <v/>
      </c>
      <c r="AG988" s="22" t="str">
        <f t="shared" si="316"/>
        <v/>
      </c>
      <c r="AH988" s="22" t="str">
        <f t="shared" si="317"/>
        <v/>
      </c>
      <c r="AI988" s="22" t="str">
        <f t="shared" si="318"/>
        <v/>
      </c>
      <c r="AJ988" s="304" t="str">
        <f t="shared" si="319"/>
        <v/>
      </c>
      <c r="AK988" s="140" t="str">
        <f t="shared" si="320"/>
        <v/>
      </c>
    </row>
    <row r="989" spans="7:37" x14ac:dyDescent="0.25">
      <c r="G989" s="235" t="str">
        <f t="shared" si="308"/>
        <v>07.00</v>
      </c>
      <c r="H989" s="4" t="str">
        <f t="shared" si="309"/>
        <v>07.00.R</v>
      </c>
      <c r="I989" s="11" t="str">
        <f t="shared" si="310"/>
        <v>07.00.R.2</v>
      </c>
      <c r="K989" s="30">
        <v>67</v>
      </c>
      <c r="L989" s="29">
        <f t="shared" si="321"/>
        <v>4055.5418302920548</v>
      </c>
      <c r="M989" s="28" t="str">
        <f t="shared" si="311"/>
        <v/>
      </c>
      <c r="N989" s="27" t="str">
        <f t="shared" si="322"/>
        <v/>
      </c>
      <c r="O989" s="26">
        <f>IF(AND($Q988=$O$38,IFERROR(LARGE($V$923:$V988,1)&lt;$N$42,TRUE)),1,IF(AND(ISNUMBER($O988),$O988&lt;$N$32),$O988+1,""))</f>
        <v>2</v>
      </c>
      <c r="P989" s="26" t="str">
        <f t="shared" si="323"/>
        <v/>
      </c>
      <c r="Q989" s="26" t="str">
        <f t="shared" si="312"/>
        <v/>
      </c>
      <c r="R989" s="24" t="str">
        <f t="shared" si="324"/>
        <v/>
      </c>
      <c r="S989" s="180">
        <f t="shared" si="307"/>
        <v>7</v>
      </c>
      <c r="T989" s="29">
        <f>SUM($AC$923:$AC989)</f>
        <v>38500</v>
      </c>
      <c r="U989" s="25" t="str">
        <f t="shared" si="313"/>
        <v/>
      </c>
      <c r="V989" s="24" t="str">
        <f>IF(AND(ISNUMBER(R988),ISNUMBER(R989)),V988,IF(AND(R988="",ISNUMBER(R989)),IFERROR(LARGE($V$923:$V988,1)+1,0),""))</f>
        <v/>
      </c>
      <c r="W989" s="23" t="str">
        <f t="shared" si="325"/>
        <v/>
      </c>
      <c r="X989" s="22" t="str">
        <f t="shared" si="326"/>
        <v/>
      </c>
      <c r="Y989" s="236"/>
      <c r="Z989" s="22"/>
      <c r="AA989" s="22"/>
      <c r="AB989" s="22" t="str">
        <f t="shared" si="304"/>
        <v/>
      </c>
      <c r="AC989" s="22" t="str">
        <f t="shared" si="305"/>
        <v/>
      </c>
      <c r="AD989" s="22" t="str">
        <f t="shared" si="314"/>
        <v/>
      </c>
      <c r="AE989" s="22" t="str">
        <f t="shared" si="306"/>
        <v/>
      </c>
      <c r="AF989" s="22" t="str">
        <f t="shared" si="315"/>
        <v/>
      </c>
      <c r="AG989" s="22" t="str">
        <f t="shared" si="316"/>
        <v/>
      </c>
      <c r="AH989" s="22" t="str">
        <f t="shared" si="317"/>
        <v/>
      </c>
      <c r="AI989" s="22" t="str">
        <f t="shared" si="318"/>
        <v/>
      </c>
      <c r="AJ989" s="304" t="str">
        <f t="shared" si="319"/>
        <v/>
      </c>
      <c r="AK989" s="140" t="str">
        <f t="shared" si="320"/>
        <v/>
      </c>
    </row>
    <row r="990" spans="7:37" x14ac:dyDescent="0.25">
      <c r="G990" s="235" t="str">
        <f t="shared" si="308"/>
        <v>07.00</v>
      </c>
      <c r="H990" s="4" t="str">
        <f t="shared" si="309"/>
        <v>07.00.R</v>
      </c>
      <c r="I990" s="11" t="str">
        <f t="shared" si="310"/>
        <v>07.00.R.3</v>
      </c>
      <c r="K990" s="30">
        <v>68</v>
      </c>
      <c r="L990" s="29">
        <f t="shared" si="321"/>
        <v>4055.5418302920548</v>
      </c>
      <c r="M990" s="28" t="str">
        <f t="shared" si="311"/>
        <v/>
      </c>
      <c r="N990" s="27" t="str">
        <f t="shared" si="322"/>
        <v/>
      </c>
      <c r="O990" s="26">
        <f>IF(AND($Q989=$O$38,IFERROR(LARGE($V$923:$V989,1)&lt;$N$42,TRUE)),1,IF(AND(ISNUMBER($O989),$O989&lt;$N$32),$O989+1,""))</f>
        <v>3</v>
      </c>
      <c r="P990" s="26" t="str">
        <f t="shared" si="323"/>
        <v/>
      </c>
      <c r="Q990" s="26" t="str">
        <f t="shared" si="312"/>
        <v/>
      </c>
      <c r="R990" s="24" t="str">
        <f t="shared" si="324"/>
        <v/>
      </c>
      <c r="S990" s="180">
        <f t="shared" si="307"/>
        <v>7</v>
      </c>
      <c r="T990" s="29">
        <f>SUM($AC$923:$AC990)</f>
        <v>38500</v>
      </c>
      <c r="U990" s="25" t="str">
        <f t="shared" si="313"/>
        <v/>
      </c>
      <c r="V990" s="24" t="str">
        <f>IF(AND(ISNUMBER(R989),ISNUMBER(R990)),V989,IF(AND(R989="",ISNUMBER(R990)),IFERROR(LARGE($V$923:$V989,1)+1,0),""))</f>
        <v/>
      </c>
      <c r="W990" s="23" t="str">
        <f t="shared" si="325"/>
        <v/>
      </c>
      <c r="X990" s="22" t="str">
        <f t="shared" si="326"/>
        <v/>
      </c>
      <c r="Y990" s="236"/>
      <c r="Z990" s="22"/>
      <c r="AA990" s="22"/>
      <c r="AB990" s="22" t="str">
        <f t="shared" si="304"/>
        <v/>
      </c>
      <c r="AC990" s="22" t="str">
        <f t="shared" si="305"/>
        <v/>
      </c>
      <c r="AD990" s="22" t="str">
        <f t="shared" si="314"/>
        <v/>
      </c>
      <c r="AE990" s="22" t="str">
        <f t="shared" si="306"/>
        <v/>
      </c>
      <c r="AF990" s="22" t="str">
        <f t="shared" si="315"/>
        <v/>
      </c>
      <c r="AG990" s="22" t="str">
        <f t="shared" si="316"/>
        <v/>
      </c>
      <c r="AH990" s="22" t="str">
        <f t="shared" si="317"/>
        <v/>
      </c>
      <c r="AI990" s="22" t="str">
        <f t="shared" si="318"/>
        <v/>
      </c>
      <c r="AJ990" s="304" t="str">
        <f t="shared" si="319"/>
        <v/>
      </c>
      <c r="AK990" s="140" t="str">
        <f t="shared" si="320"/>
        <v/>
      </c>
    </row>
    <row r="991" spans="7:37" x14ac:dyDescent="0.25">
      <c r="G991" s="235" t="str">
        <f t="shared" si="308"/>
        <v>07.00</v>
      </c>
      <c r="H991" s="4" t="str">
        <f t="shared" si="309"/>
        <v>07.00.O</v>
      </c>
      <c r="I991" s="11" t="str">
        <f t="shared" si="310"/>
        <v>07.00.O.1</v>
      </c>
      <c r="K991" s="30">
        <v>69</v>
      </c>
      <c r="L991" s="29">
        <f t="shared" si="321"/>
        <v>3855.5418302920548</v>
      </c>
      <c r="M991" s="28">
        <f t="shared" si="311"/>
        <v>-200</v>
      </c>
      <c r="N991" s="27" t="str">
        <f t="shared" si="322"/>
        <v/>
      </c>
      <c r="O991" s="26" t="str">
        <f>IF(AND($Q990=$O$38,IFERROR(LARGE($V$923:$V990,1)&lt;$N$42,TRUE)),1,IF(AND(ISNUMBER($O990),$O990&lt;$N$32),$O990+1,""))</f>
        <v/>
      </c>
      <c r="P991" s="26">
        <f t="shared" si="323"/>
        <v>1</v>
      </c>
      <c r="Q991" s="26" t="str">
        <f t="shared" si="312"/>
        <v/>
      </c>
      <c r="R991" s="24" t="str">
        <f t="shared" si="324"/>
        <v/>
      </c>
      <c r="S991" s="180">
        <f t="shared" si="307"/>
        <v>7</v>
      </c>
      <c r="T991" s="29">
        <f>SUM($AC$923:$AC991)</f>
        <v>38500</v>
      </c>
      <c r="U991" s="25" t="str">
        <f t="shared" si="313"/>
        <v/>
      </c>
      <c r="V991" s="24" t="str">
        <f>IF(AND(ISNUMBER(R990),ISNUMBER(R991)),V990,IF(AND(R990="",ISNUMBER(R991)),IFERROR(LARGE($V$923:$V990,1)+1,0),""))</f>
        <v/>
      </c>
      <c r="W991" s="23" t="str">
        <f t="shared" si="325"/>
        <v/>
      </c>
      <c r="X991" s="22" t="str">
        <f t="shared" si="326"/>
        <v/>
      </c>
      <c r="Y991" s="236"/>
      <c r="Z991" s="22"/>
      <c r="AA991" s="22"/>
      <c r="AB991" s="22">
        <f t="shared" si="304"/>
        <v>-200</v>
      </c>
      <c r="AC991" s="22" t="str">
        <f t="shared" si="305"/>
        <v/>
      </c>
      <c r="AD991" s="22" t="str">
        <f t="shared" si="314"/>
        <v/>
      </c>
      <c r="AE991" s="22" t="str">
        <f t="shared" si="306"/>
        <v/>
      </c>
      <c r="AF991" s="22" t="str">
        <f t="shared" si="315"/>
        <v/>
      </c>
      <c r="AG991" s="22" t="str">
        <f t="shared" si="316"/>
        <v/>
      </c>
      <c r="AH991" s="22" t="str">
        <f t="shared" si="317"/>
        <v/>
      </c>
      <c r="AI991" s="22" t="str">
        <f t="shared" si="318"/>
        <v/>
      </c>
      <c r="AJ991" s="304" t="str">
        <f t="shared" si="319"/>
        <v/>
      </c>
      <c r="AK991" s="140" t="str">
        <f t="shared" si="320"/>
        <v/>
      </c>
    </row>
    <row r="992" spans="7:37" x14ac:dyDescent="0.25">
      <c r="G992" s="235" t="str">
        <f t="shared" si="308"/>
        <v>07.00</v>
      </c>
      <c r="H992" s="4" t="str">
        <f t="shared" si="309"/>
        <v>07.00.O</v>
      </c>
      <c r="I992" s="11" t="str">
        <f t="shared" si="310"/>
        <v>07.00.O.2</v>
      </c>
      <c r="K992" s="30">
        <v>70</v>
      </c>
      <c r="L992" s="29">
        <f t="shared" si="321"/>
        <v>3855.5418302920548</v>
      </c>
      <c r="M992" s="28" t="str">
        <f t="shared" si="311"/>
        <v/>
      </c>
      <c r="N992" s="27" t="str">
        <f t="shared" si="322"/>
        <v/>
      </c>
      <c r="O992" s="26" t="str">
        <f>IF(AND($Q991=$O$38,IFERROR(LARGE($V$923:$V991,1)&lt;$N$42,TRUE)),1,IF(AND(ISNUMBER($O991),$O991&lt;$N$32),$O991+1,""))</f>
        <v/>
      </c>
      <c r="P992" s="26">
        <f t="shared" si="323"/>
        <v>2</v>
      </c>
      <c r="Q992" s="26" t="str">
        <f t="shared" si="312"/>
        <v/>
      </c>
      <c r="R992" s="24" t="str">
        <f t="shared" si="324"/>
        <v/>
      </c>
      <c r="S992" s="180">
        <f t="shared" si="307"/>
        <v>7</v>
      </c>
      <c r="T992" s="29">
        <f>SUM($AC$923:$AC992)</f>
        <v>38500</v>
      </c>
      <c r="U992" s="25" t="str">
        <f t="shared" si="313"/>
        <v/>
      </c>
      <c r="V992" s="24" t="str">
        <f>IF(AND(ISNUMBER(R991),ISNUMBER(R992)),V991,IF(AND(R991="",ISNUMBER(R992)),IFERROR(LARGE($V$923:$V991,1)+1,0),""))</f>
        <v/>
      </c>
      <c r="W992" s="23" t="str">
        <f t="shared" si="325"/>
        <v/>
      </c>
      <c r="X992" s="22" t="str">
        <f t="shared" si="326"/>
        <v/>
      </c>
      <c r="Y992" s="236"/>
      <c r="Z992" s="22"/>
      <c r="AA992" s="22"/>
      <c r="AB992" s="22" t="str">
        <f t="shared" si="304"/>
        <v/>
      </c>
      <c r="AC992" s="22" t="str">
        <f t="shared" si="305"/>
        <v/>
      </c>
      <c r="AD992" s="22" t="str">
        <f t="shared" si="314"/>
        <v/>
      </c>
      <c r="AE992" s="22" t="str">
        <f t="shared" si="306"/>
        <v/>
      </c>
      <c r="AF992" s="22" t="str">
        <f t="shared" si="315"/>
        <v/>
      </c>
      <c r="AG992" s="22" t="str">
        <f t="shared" si="316"/>
        <v/>
      </c>
      <c r="AH992" s="22" t="str">
        <f t="shared" si="317"/>
        <v/>
      </c>
      <c r="AI992" s="22" t="str">
        <f t="shared" si="318"/>
        <v/>
      </c>
      <c r="AJ992" s="304" t="str">
        <f t="shared" si="319"/>
        <v/>
      </c>
      <c r="AK992" s="140" t="str">
        <f t="shared" si="320"/>
        <v/>
      </c>
    </row>
    <row r="993" spans="7:37" x14ac:dyDescent="0.25">
      <c r="G993" s="235" t="str">
        <f t="shared" si="308"/>
        <v>07.01</v>
      </c>
      <c r="H993" s="4" t="str">
        <f t="shared" si="309"/>
        <v>07.01.D</v>
      </c>
      <c r="I993" s="11" t="str">
        <f t="shared" si="310"/>
        <v>07.01.D.1</v>
      </c>
      <c r="K993" s="30">
        <v>71</v>
      </c>
      <c r="L993" s="29">
        <f t="shared" si="321"/>
        <v>3855.5418302920548</v>
      </c>
      <c r="M993" s="28" t="str">
        <f t="shared" si="311"/>
        <v/>
      </c>
      <c r="N993" s="27" t="str">
        <f t="shared" si="322"/>
        <v/>
      </c>
      <c r="O993" s="26" t="str">
        <f>IF(AND($Q992=$O$38,IFERROR(LARGE($V$923:$V992,1)&lt;$N$42,TRUE)),1,IF(AND(ISNUMBER($O992),$O992&lt;$N$32),$O992+1,""))</f>
        <v/>
      </c>
      <c r="P993" s="26" t="str">
        <f t="shared" si="323"/>
        <v/>
      </c>
      <c r="Q993" s="26" t="str">
        <f t="shared" si="312"/>
        <v/>
      </c>
      <c r="R993" s="24">
        <f t="shared" si="324"/>
        <v>1</v>
      </c>
      <c r="S993" s="180">
        <f t="shared" si="307"/>
        <v>7.01</v>
      </c>
      <c r="T993" s="29">
        <f>SUM($AC$923:$AC993)</f>
        <v>38500</v>
      </c>
      <c r="U993" s="25">
        <f t="shared" si="313"/>
        <v>1</v>
      </c>
      <c r="V993" s="24">
        <f>IF(AND(ISNUMBER(R992),ISNUMBER(R993)),V992,IF(AND(R992="",ISNUMBER(R993)),IFERROR(LARGE($V$923:$V992,1)+1,0),""))</f>
        <v>7</v>
      </c>
      <c r="W993" s="23" t="str">
        <f t="shared" si="325"/>
        <v/>
      </c>
      <c r="X993" s="22" t="str">
        <f t="shared" si="326"/>
        <v/>
      </c>
      <c r="Y993" s="236"/>
      <c r="Z993" s="22"/>
      <c r="AA993" s="22"/>
      <c r="AB993" s="22" t="str">
        <f t="shared" si="304"/>
        <v/>
      </c>
      <c r="AC993" s="22" t="str">
        <f t="shared" si="305"/>
        <v/>
      </c>
      <c r="AD993" s="22" t="str">
        <f t="shared" si="314"/>
        <v/>
      </c>
      <c r="AE993" s="22" t="str">
        <f t="shared" si="306"/>
        <v/>
      </c>
      <c r="AF993" s="22" t="str">
        <f t="shared" si="315"/>
        <v/>
      </c>
      <c r="AG993" s="22" t="str">
        <f t="shared" si="316"/>
        <v/>
      </c>
      <c r="AH993" s="22" t="str">
        <f t="shared" si="317"/>
        <v/>
      </c>
      <c r="AI993" s="22" t="str">
        <f t="shared" si="318"/>
        <v/>
      </c>
      <c r="AJ993" s="304" t="str">
        <f t="shared" si="319"/>
        <v/>
      </c>
      <c r="AK993" s="140" t="str">
        <f t="shared" si="320"/>
        <v/>
      </c>
    </row>
    <row r="994" spans="7:37" x14ac:dyDescent="0.25">
      <c r="G994" s="235" t="str">
        <f t="shared" si="308"/>
        <v>07.01</v>
      </c>
      <c r="H994" s="4" t="str">
        <f t="shared" si="309"/>
        <v>07.01.D</v>
      </c>
      <c r="I994" s="11" t="str">
        <f t="shared" si="310"/>
        <v>07.01.D.2</v>
      </c>
      <c r="K994" s="30">
        <v>72</v>
      </c>
      <c r="L994" s="29">
        <f t="shared" si="321"/>
        <v>9220.5418302920552</v>
      </c>
      <c r="M994" s="28">
        <f t="shared" si="311"/>
        <v>5365</v>
      </c>
      <c r="N994" s="27" t="str">
        <f t="shared" si="322"/>
        <v/>
      </c>
      <c r="O994" s="26" t="str">
        <f>IF(AND($Q993=$O$38,IFERROR(LARGE($V$923:$V993,1)&lt;$N$42,TRUE)),1,IF(AND(ISNUMBER($O993),$O993&lt;$N$32),$O993+1,""))</f>
        <v/>
      </c>
      <c r="P994" s="26" t="str">
        <f t="shared" si="323"/>
        <v/>
      </c>
      <c r="Q994" s="26" t="str">
        <f t="shared" si="312"/>
        <v/>
      </c>
      <c r="R994" s="24">
        <f t="shared" si="324"/>
        <v>2</v>
      </c>
      <c r="S994" s="180">
        <f t="shared" si="307"/>
        <v>7.01</v>
      </c>
      <c r="T994" s="29">
        <f>SUM($AC$923:$AC994)</f>
        <v>44000</v>
      </c>
      <c r="U994" s="25">
        <f t="shared" si="313"/>
        <v>1</v>
      </c>
      <c r="V994" s="24">
        <f>IF(AND(ISNUMBER(R993),ISNUMBER(R994)),V993,IF(AND(R993="",ISNUMBER(R994)),IFERROR(LARGE($V$923:$V993,1)+1,0),""))</f>
        <v>7</v>
      </c>
      <c r="W994" s="23" t="str">
        <f t="shared" si="325"/>
        <v/>
      </c>
      <c r="X994" s="22" t="str">
        <f t="shared" si="326"/>
        <v/>
      </c>
      <c r="Y994" s="236"/>
      <c r="Z994" s="22"/>
      <c r="AA994" s="22"/>
      <c r="AB994" s="22">
        <f t="shared" si="304"/>
        <v>525</v>
      </c>
      <c r="AC994" s="22">
        <f t="shared" si="305"/>
        <v>5500</v>
      </c>
      <c r="AD994" s="22">
        <f t="shared" si="314"/>
        <v>525</v>
      </c>
      <c r="AE994" s="22">
        <f t="shared" si="306"/>
        <v>5500</v>
      </c>
      <c r="AF994" s="22">
        <f t="shared" si="315"/>
        <v>0</v>
      </c>
      <c r="AG994" s="22">
        <f t="shared" si="316"/>
        <v>-82.5</v>
      </c>
      <c r="AH994" s="22">
        <f t="shared" si="317"/>
        <v>-110</v>
      </c>
      <c r="AI994" s="22">
        <f t="shared" si="318"/>
        <v>-27.5</v>
      </c>
      <c r="AJ994" s="304">
        <f t="shared" si="319"/>
        <v>-440</v>
      </c>
      <c r="AK994" s="140">
        <f t="shared" si="320"/>
        <v>-440</v>
      </c>
    </row>
    <row r="995" spans="7:37" x14ac:dyDescent="0.25">
      <c r="G995" s="235" t="str">
        <f t="shared" si="308"/>
        <v>07.00</v>
      </c>
      <c r="H995" s="4" t="str">
        <f t="shared" si="309"/>
        <v>07.00.I</v>
      </c>
      <c r="I995" s="11" t="str">
        <f t="shared" si="310"/>
        <v>07.00.I.1</v>
      </c>
      <c r="K995" s="30">
        <v>73</v>
      </c>
      <c r="L995" s="29">
        <f t="shared" si="321"/>
        <v>9020.5418302920552</v>
      </c>
      <c r="M995" s="28">
        <f t="shared" si="311"/>
        <v>-200</v>
      </c>
      <c r="N995" s="27" t="str">
        <f t="shared" si="322"/>
        <v/>
      </c>
      <c r="O995" s="26" t="str">
        <f>IF(AND($Q994=$O$38,IFERROR(LARGE($V$923:$V994,1)&lt;$N$42,TRUE)),1,IF(AND(ISNUMBER($O994),$O994&lt;$N$32),$O994+1,""))</f>
        <v/>
      </c>
      <c r="P995" s="26" t="str">
        <f t="shared" si="323"/>
        <v/>
      </c>
      <c r="Q995" s="26">
        <f t="shared" si="312"/>
        <v>1</v>
      </c>
      <c r="R995" s="24" t="str">
        <f t="shared" si="324"/>
        <v/>
      </c>
      <c r="S995" s="180">
        <f t="shared" si="307"/>
        <v>7</v>
      </c>
      <c r="T995" s="29">
        <f>SUM($AC$923:$AC995)</f>
        <v>44000</v>
      </c>
      <c r="U995" s="25" t="str">
        <f t="shared" si="313"/>
        <v/>
      </c>
      <c r="V995" s="24" t="str">
        <f>IF(AND(ISNUMBER(R994),ISNUMBER(R995)),V994,IF(AND(R994="",ISNUMBER(R995)),IFERROR(LARGE($V$923:$V994,1)+1,0),""))</f>
        <v/>
      </c>
      <c r="W995" s="23" t="str">
        <f t="shared" si="325"/>
        <v/>
      </c>
      <c r="X995" s="22" t="str">
        <f t="shared" si="326"/>
        <v/>
      </c>
      <c r="Y995" s="236"/>
      <c r="Z995" s="22"/>
      <c r="AA995" s="22"/>
      <c r="AB995" s="22">
        <f t="shared" si="304"/>
        <v>-200</v>
      </c>
      <c r="AC995" s="22" t="str">
        <f t="shared" si="305"/>
        <v/>
      </c>
      <c r="AD995" s="22" t="str">
        <f t="shared" si="314"/>
        <v/>
      </c>
      <c r="AE995" s="22" t="str">
        <f t="shared" si="306"/>
        <v/>
      </c>
      <c r="AF995" s="22" t="str">
        <f t="shared" si="315"/>
        <v/>
      </c>
      <c r="AG995" s="22" t="str">
        <f t="shared" si="316"/>
        <v/>
      </c>
      <c r="AH995" s="22" t="str">
        <f t="shared" si="317"/>
        <v/>
      </c>
      <c r="AI995" s="22" t="str">
        <f t="shared" si="318"/>
        <v/>
      </c>
      <c r="AJ995" s="304" t="str">
        <f t="shared" si="319"/>
        <v/>
      </c>
      <c r="AK995" s="140" t="str">
        <f t="shared" si="320"/>
        <v/>
      </c>
    </row>
    <row r="996" spans="7:37" x14ac:dyDescent="0.25">
      <c r="G996" s="235" t="str">
        <f t="shared" si="308"/>
        <v>07.00</v>
      </c>
      <c r="H996" s="4" t="str">
        <f t="shared" si="309"/>
        <v>07.00.I</v>
      </c>
      <c r="I996" s="11" t="str">
        <f t="shared" si="310"/>
        <v>07.00.I.2</v>
      </c>
      <c r="K996" s="30">
        <v>74</v>
      </c>
      <c r="L996" s="29">
        <f t="shared" si="321"/>
        <v>9020.5418302920552</v>
      </c>
      <c r="M996" s="28" t="str">
        <f t="shared" si="311"/>
        <v/>
      </c>
      <c r="N996" s="27" t="str">
        <f t="shared" si="322"/>
        <v/>
      </c>
      <c r="O996" s="26" t="str">
        <f>IF(AND($Q995=$O$38,IFERROR(LARGE($V$923:$V995,1)&lt;$N$42,TRUE)),1,IF(AND(ISNUMBER($O995),$O995&lt;$N$32),$O995+1,""))</f>
        <v/>
      </c>
      <c r="P996" s="26" t="str">
        <f t="shared" si="323"/>
        <v/>
      </c>
      <c r="Q996" s="26">
        <f t="shared" si="312"/>
        <v>2</v>
      </c>
      <c r="R996" s="24" t="str">
        <f t="shared" si="324"/>
        <v/>
      </c>
      <c r="S996" s="180">
        <f t="shared" si="307"/>
        <v>7</v>
      </c>
      <c r="T996" s="29">
        <f>SUM($AC$923:$AC996)</f>
        <v>44000</v>
      </c>
      <c r="U996" s="25" t="str">
        <f t="shared" si="313"/>
        <v/>
      </c>
      <c r="V996" s="24" t="str">
        <f>IF(AND(ISNUMBER(R995),ISNUMBER(R996)),V995,IF(AND(R995="",ISNUMBER(R996)),IFERROR(LARGE($V$923:$V995,1)+1,0),""))</f>
        <v/>
      </c>
      <c r="W996" s="23" t="str">
        <f t="shared" si="325"/>
        <v/>
      </c>
      <c r="X996" s="22" t="str">
        <f t="shared" si="326"/>
        <v/>
      </c>
      <c r="Y996" s="236"/>
      <c r="Z996" s="22"/>
      <c r="AA996" s="22"/>
      <c r="AB996" s="22" t="str">
        <f t="shared" si="304"/>
        <v/>
      </c>
      <c r="AC996" s="22" t="str">
        <f t="shared" si="305"/>
        <v/>
      </c>
      <c r="AD996" s="22" t="str">
        <f t="shared" si="314"/>
        <v/>
      </c>
      <c r="AE996" s="22" t="str">
        <f t="shared" si="306"/>
        <v/>
      </c>
      <c r="AF996" s="22" t="str">
        <f t="shared" si="315"/>
        <v/>
      </c>
      <c r="AG996" s="22" t="str">
        <f t="shared" si="316"/>
        <v/>
      </c>
      <c r="AH996" s="22" t="str">
        <f t="shared" si="317"/>
        <v/>
      </c>
      <c r="AI996" s="22" t="str">
        <f t="shared" si="318"/>
        <v/>
      </c>
      <c r="AJ996" s="304" t="str">
        <f t="shared" si="319"/>
        <v/>
      </c>
      <c r="AK996" s="140" t="str">
        <f t="shared" si="320"/>
        <v/>
      </c>
    </row>
    <row r="997" spans="7:37" x14ac:dyDescent="0.25">
      <c r="G997" s="235" t="str">
        <f t="shared" si="308"/>
        <v>08.00</v>
      </c>
      <c r="H997" s="4" t="str">
        <f t="shared" si="309"/>
        <v>08.00.R</v>
      </c>
      <c r="I997" s="11" t="str">
        <f t="shared" si="310"/>
        <v>08.00.R.1</v>
      </c>
      <c r="K997" s="30">
        <v>75</v>
      </c>
      <c r="L997" s="29">
        <f t="shared" si="321"/>
        <v>6406.9083761909205</v>
      </c>
      <c r="M997" s="28">
        <f t="shared" si="311"/>
        <v>-2613.6334541011352</v>
      </c>
      <c r="N997" s="27" t="str">
        <f t="shared" si="322"/>
        <v/>
      </c>
      <c r="O997" s="26">
        <f>IF(AND($Q996=$O$38,IFERROR(LARGE($V$923:$V996,1)&lt;$N$42,TRUE)),1,IF(AND(ISNUMBER($O996),$O996&lt;$N$32),$O996+1,""))</f>
        <v>1</v>
      </c>
      <c r="P997" s="26" t="str">
        <f t="shared" si="323"/>
        <v/>
      </c>
      <c r="Q997" s="26" t="str">
        <f t="shared" si="312"/>
        <v/>
      </c>
      <c r="R997" s="24" t="str">
        <f t="shared" si="324"/>
        <v/>
      </c>
      <c r="S997" s="180">
        <f t="shared" si="307"/>
        <v>8</v>
      </c>
      <c r="T997" s="29">
        <f>SUM($AC$923:$AC997)</f>
        <v>44000</v>
      </c>
      <c r="U997" s="25" t="str">
        <f t="shared" si="313"/>
        <v/>
      </c>
      <c r="V997" s="24" t="str">
        <f>IF(AND(ISNUMBER(R996),ISNUMBER(R997)),V996,IF(AND(R996="",ISNUMBER(R997)),IFERROR(LARGE($V$923:$V996,1)+1,0),""))</f>
        <v/>
      </c>
      <c r="W997" s="23">
        <f t="shared" si="325"/>
        <v>-1018.3530285882483</v>
      </c>
      <c r="X997" s="22">
        <f t="shared" si="326"/>
        <v>-1595.2804255128869</v>
      </c>
      <c r="Y997" s="236"/>
      <c r="Z997" s="22"/>
      <c r="AA997" s="22"/>
      <c r="AB997" s="22" t="str">
        <f t="shared" si="304"/>
        <v/>
      </c>
      <c r="AC997" s="22" t="str">
        <f t="shared" si="305"/>
        <v/>
      </c>
      <c r="AD997" s="22" t="str">
        <f t="shared" si="314"/>
        <v/>
      </c>
      <c r="AE997" s="22" t="str">
        <f t="shared" si="306"/>
        <v/>
      </c>
      <c r="AF997" s="22" t="str">
        <f t="shared" si="315"/>
        <v/>
      </c>
      <c r="AG997" s="22" t="str">
        <f t="shared" si="316"/>
        <v/>
      </c>
      <c r="AH997" s="22" t="str">
        <f t="shared" si="317"/>
        <v/>
      </c>
      <c r="AI997" s="22" t="str">
        <f t="shared" si="318"/>
        <v/>
      </c>
      <c r="AJ997" s="304" t="str">
        <f t="shared" si="319"/>
        <v/>
      </c>
      <c r="AK997" s="140" t="str">
        <f t="shared" si="320"/>
        <v/>
      </c>
    </row>
    <row r="998" spans="7:37" x14ac:dyDescent="0.25">
      <c r="G998" s="235" t="str">
        <f t="shared" si="308"/>
        <v>08.00</v>
      </c>
      <c r="H998" s="4" t="str">
        <f t="shared" si="309"/>
        <v>08.00.R</v>
      </c>
      <c r="I998" s="11" t="str">
        <f t="shared" si="310"/>
        <v>08.00.R.2</v>
      </c>
      <c r="K998" s="30">
        <v>76</v>
      </c>
      <c r="L998" s="29">
        <f t="shared" si="321"/>
        <v>6406.9083761909205</v>
      </c>
      <c r="M998" s="28" t="str">
        <f t="shared" si="311"/>
        <v/>
      </c>
      <c r="N998" s="27" t="str">
        <f t="shared" si="322"/>
        <v/>
      </c>
      <c r="O998" s="26">
        <f>IF(AND($Q997=$O$38,IFERROR(LARGE($V$923:$V997,1)&lt;$N$42,TRUE)),1,IF(AND(ISNUMBER($O997),$O997&lt;$N$32),$O997+1,""))</f>
        <v>2</v>
      </c>
      <c r="P998" s="26" t="str">
        <f t="shared" si="323"/>
        <v/>
      </c>
      <c r="Q998" s="26" t="str">
        <f t="shared" si="312"/>
        <v/>
      </c>
      <c r="R998" s="24" t="str">
        <f t="shared" si="324"/>
        <v/>
      </c>
      <c r="S998" s="180">
        <f t="shared" si="307"/>
        <v>8</v>
      </c>
      <c r="T998" s="29">
        <f>SUM($AC$923:$AC998)</f>
        <v>44000</v>
      </c>
      <c r="U998" s="25" t="str">
        <f t="shared" si="313"/>
        <v/>
      </c>
      <c r="V998" s="24" t="str">
        <f>IF(AND(ISNUMBER(R997),ISNUMBER(R998)),V997,IF(AND(R997="",ISNUMBER(R998)),IFERROR(LARGE($V$923:$V997,1)+1,0),""))</f>
        <v/>
      </c>
      <c r="W998" s="23" t="str">
        <f t="shared" si="325"/>
        <v/>
      </c>
      <c r="X998" s="22" t="str">
        <f t="shared" si="326"/>
        <v/>
      </c>
      <c r="Y998" s="236"/>
      <c r="Z998" s="22"/>
      <c r="AA998" s="22"/>
      <c r="AB998" s="22" t="str">
        <f t="shared" si="304"/>
        <v/>
      </c>
      <c r="AC998" s="22" t="str">
        <f t="shared" si="305"/>
        <v/>
      </c>
      <c r="AD998" s="22" t="str">
        <f t="shared" si="314"/>
        <v/>
      </c>
      <c r="AE998" s="22" t="str">
        <f t="shared" si="306"/>
        <v/>
      </c>
      <c r="AF998" s="22" t="str">
        <f t="shared" si="315"/>
        <v/>
      </c>
      <c r="AG998" s="22" t="str">
        <f t="shared" si="316"/>
        <v/>
      </c>
      <c r="AH998" s="22" t="str">
        <f t="shared" si="317"/>
        <v/>
      </c>
      <c r="AI998" s="22" t="str">
        <f t="shared" si="318"/>
        <v/>
      </c>
      <c r="AJ998" s="304" t="str">
        <f t="shared" si="319"/>
        <v/>
      </c>
      <c r="AK998" s="140" t="str">
        <f t="shared" si="320"/>
        <v/>
      </c>
    </row>
    <row r="999" spans="7:37" x14ac:dyDescent="0.25">
      <c r="G999" s="235" t="str">
        <f t="shared" si="308"/>
        <v>08.00</v>
      </c>
      <c r="H999" s="4" t="str">
        <f t="shared" si="309"/>
        <v>08.00.R</v>
      </c>
      <c r="I999" s="11" t="str">
        <f t="shared" si="310"/>
        <v>08.00.R.3</v>
      </c>
      <c r="K999" s="30">
        <v>77</v>
      </c>
      <c r="L999" s="29">
        <f t="shared" si="321"/>
        <v>6406.9083761909205</v>
      </c>
      <c r="M999" s="28" t="str">
        <f t="shared" si="311"/>
        <v/>
      </c>
      <c r="N999" s="27" t="str">
        <f t="shared" si="322"/>
        <v/>
      </c>
      <c r="O999" s="26">
        <f>IF(AND($Q998=$O$38,IFERROR(LARGE($V$923:$V998,1)&lt;$N$42,TRUE)),1,IF(AND(ISNUMBER($O998),$O998&lt;$N$32),$O998+1,""))</f>
        <v>3</v>
      </c>
      <c r="P999" s="26" t="str">
        <f t="shared" si="323"/>
        <v/>
      </c>
      <c r="Q999" s="26" t="str">
        <f t="shared" si="312"/>
        <v/>
      </c>
      <c r="R999" s="24" t="str">
        <f t="shared" si="324"/>
        <v/>
      </c>
      <c r="S999" s="180">
        <f t="shared" si="307"/>
        <v>8</v>
      </c>
      <c r="T999" s="29">
        <f>SUM($AC$923:$AC999)</f>
        <v>44000</v>
      </c>
      <c r="U999" s="25" t="str">
        <f t="shared" si="313"/>
        <v/>
      </c>
      <c r="V999" s="24" t="str">
        <f>IF(AND(ISNUMBER(R998),ISNUMBER(R999)),V998,IF(AND(R998="",ISNUMBER(R999)),IFERROR(LARGE($V$923:$V998,1)+1,0),""))</f>
        <v/>
      </c>
      <c r="W999" s="23" t="str">
        <f t="shared" si="325"/>
        <v/>
      </c>
      <c r="X999" s="22" t="str">
        <f t="shared" si="326"/>
        <v/>
      </c>
      <c r="Y999" s="236"/>
      <c r="Z999" s="22"/>
      <c r="AA999" s="22"/>
      <c r="AB999" s="22" t="str">
        <f t="shared" si="304"/>
        <v/>
      </c>
      <c r="AC999" s="22" t="str">
        <f t="shared" si="305"/>
        <v/>
      </c>
      <c r="AD999" s="22" t="str">
        <f t="shared" si="314"/>
        <v/>
      </c>
      <c r="AE999" s="22" t="str">
        <f t="shared" si="306"/>
        <v/>
      </c>
      <c r="AF999" s="22" t="str">
        <f t="shared" si="315"/>
        <v/>
      </c>
      <c r="AG999" s="22" t="str">
        <f t="shared" si="316"/>
        <v/>
      </c>
      <c r="AH999" s="22" t="str">
        <f t="shared" si="317"/>
        <v/>
      </c>
      <c r="AI999" s="22" t="str">
        <f t="shared" si="318"/>
        <v/>
      </c>
      <c r="AJ999" s="304" t="str">
        <f t="shared" si="319"/>
        <v/>
      </c>
      <c r="AK999" s="140" t="str">
        <f t="shared" si="320"/>
        <v/>
      </c>
    </row>
    <row r="1000" spans="7:37" x14ac:dyDescent="0.25">
      <c r="G1000" s="235" t="str">
        <f t="shared" si="308"/>
        <v>08.00</v>
      </c>
      <c r="H1000" s="4" t="str">
        <f t="shared" si="309"/>
        <v>08.00.O</v>
      </c>
      <c r="I1000" s="11" t="str">
        <f t="shared" si="310"/>
        <v>08.00.O.1</v>
      </c>
      <c r="K1000" s="30">
        <v>78</v>
      </c>
      <c r="L1000" s="29">
        <f t="shared" si="321"/>
        <v>6206.9083761909205</v>
      </c>
      <c r="M1000" s="28">
        <f t="shared" si="311"/>
        <v>-200</v>
      </c>
      <c r="N1000" s="27" t="str">
        <f t="shared" si="322"/>
        <v/>
      </c>
      <c r="O1000" s="26" t="str">
        <f>IF(AND($Q999=$O$38,IFERROR(LARGE($V$923:$V999,1)&lt;$N$42,TRUE)),1,IF(AND(ISNUMBER($O999),$O999&lt;$N$32),$O999+1,""))</f>
        <v/>
      </c>
      <c r="P1000" s="26">
        <f t="shared" si="323"/>
        <v>1</v>
      </c>
      <c r="Q1000" s="26" t="str">
        <f t="shared" si="312"/>
        <v/>
      </c>
      <c r="R1000" s="24" t="str">
        <f t="shared" si="324"/>
        <v/>
      </c>
      <c r="S1000" s="180">
        <f t="shared" si="307"/>
        <v>8</v>
      </c>
      <c r="T1000" s="29">
        <f>SUM($AC$923:$AC1000)</f>
        <v>44000</v>
      </c>
      <c r="U1000" s="25" t="str">
        <f t="shared" si="313"/>
        <v/>
      </c>
      <c r="V1000" s="24" t="str">
        <f>IF(AND(ISNUMBER(R999),ISNUMBER(R1000)),V999,IF(AND(R999="",ISNUMBER(R1000)),IFERROR(LARGE($V$923:$V999,1)+1,0),""))</f>
        <v/>
      </c>
      <c r="W1000" s="23" t="str">
        <f t="shared" si="325"/>
        <v/>
      </c>
      <c r="X1000" s="22" t="str">
        <f t="shared" si="326"/>
        <v/>
      </c>
      <c r="Y1000" s="236"/>
      <c r="Z1000" s="22"/>
      <c r="AA1000" s="22"/>
      <c r="AB1000" s="22">
        <f t="shared" si="304"/>
        <v>-200</v>
      </c>
      <c r="AC1000" s="22" t="str">
        <f t="shared" si="305"/>
        <v/>
      </c>
      <c r="AD1000" s="22" t="str">
        <f t="shared" si="314"/>
        <v/>
      </c>
      <c r="AE1000" s="22" t="str">
        <f t="shared" si="306"/>
        <v/>
      </c>
      <c r="AF1000" s="22" t="str">
        <f t="shared" si="315"/>
        <v/>
      </c>
      <c r="AG1000" s="22" t="str">
        <f t="shared" si="316"/>
        <v/>
      </c>
      <c r="AH1000" s="22" t="str">
        <f t="shared" si="317"/>
        <v/>
      </c>
      <c r="AI1000" s="22" t="str">
        <f t="shared" si="318"/>
        <v/>
      </c>
      <c r="AJ1000" s="304" t="str">
        <f t="shared" si="319"/>
        <v/>
      </c>
      <c r="AK1000" s="140" t="str">
        <f t="shared" si="320"/>
        <v/>
      </c>
    </row>
    <row r="1001" spans="7:37" x14ac:dyDescent="0.25">
      <c r="G1001" s="235" t="str">
        <f t="shared" si="308"/>
        <v>08.00</v>
      </c>
      <c r="H1001" s="4" t="str">
        <f t="shared" si="309"/>
        <v>08.00.O</v>
      </c>
      <c r="I1001" s="11" t="str">
        <f t="shared" si="310"/>
        <v>08.00.O.2</v>
      </c>
      <c r="K1001" s="30">
        <v>79</v>
      </c>
      <c r="L1001" s="29">
        <f t="shared" si="321"/>
        <v>6206.9083761909205</v>
      </c>
      <c r="M1001" s="28" t="str">
        <f t="shared" si="311"/>
        <v/>
      </c>
      <c r="N1001" s="27" t="str">
        <f t="shared" si="322"/>
        <v/>
      </c>
      <c r="O1001" s="26" t="str">
        <f>IF(AND($Q1000=$O$38,IFERROR(LARGE($V$923:$V1000,1)&lt;$N$42,TRUE)),1,IF(AND(ISNUMBER($O1000),$O1000&lt;$N$32),$O1000+1,""))</f>
        <v/>
      </c>
      <c r="P1001" s="26">
        <f t="shared" si="323"/>
        <v>2</v>
      </c>
      <c r="Q1001" s="26" t="str">
        <f t="shared" si="312"/>
        <v/>
      </c>
      <c r="R1001" s="24" t="str">
        <f t="shared" si="324"/>
        <v/>
      </c>
      <c r="S1001" s="180">
        <f t="shared" si="307"/>
        <v>8</v>
      </c>
      <c r="T1001" s="29">
        <f>SUM($AC$923:$AC1001)</f>
        <v>44000</v>
      </c>
      <c r="U1001" s="25" t="str">
        <f t="shared" si="313"/>
        <v/>
      </c>
      <c r="V1001" s="24" t="str">
        <f>IF(AND(ISNUMBER(R1000),ISNUMBER(R1001)),V1000,IF(AND(R1000="",ISNUMBER(R1001)),IFERROR(LARGE($V$923:$V1000,1)+1,0),""))</f>
        <v/>
      </c>
      <c r="W1001" s="23" t="str">
        <f t="shared" si="325"/>
        <v/>
      </c>
      <c r="X1001" s="22" t="str">
        <f t="shared" si="326"/>
        <v/>
      </c>
      <c r="Y1001" s="236"/>
      <c r="Z1001" s="22"/>
      <c r="AA1001" s="22"/>
      <c r="AB1001" s="22" t="str">
        <f t="shared" si="304"/>
        <v/>
      </c>
      <c r="AC1001" s="22" t="str">
        <f t="shared" si="305"/>
        <v/>
      </c>
      <c r="AD1001" s="22" t="str">
        <f t="shared" si="314"/>
        <v/>
      </c>
      <c r="AE1001" s="22" t="str">
        <f t="shared" si="306"/>
        <v/>
      </c>
      <c r="AF1001" s="22" t="str">
        <f t="shared" si="315"/>
        <v/>
      </c>
      <c r="AG1001" s="22" t="str">
        <f t="shared" si="316"/>
        <v/>
      </c>
      <c r="AH1001" s="22" t="str">
        <f t="shared" si="317"/>
        <v/>
      </c>
      <c r="AI1001" s="22" t="str">
        <f t="shared" si="318"/>
        <v/>
      </c>
      <c r="AJ1001" s="304" t="str">
        <f t="shared" si="319"/>
        <v/>
      </c>
      <c r="AK1001" s="140" t="str">
        <f t="shared" si="320"/>
        <v/>
      </c>
    </row>
    <row r="1002" spans="7:37" x14ac:dyDescent="0.25">
      <c r="G1002" s="235" t="str">
        <f t="shared" si="308"/>
        <v>08.01</v>
      </c>
      <c r="H1002" s="4" t="str">
        <f t="shared" si="309"/>
        <v>08.01.D</v>
      </c>
      <c r="I1002" s="11" t="str">
        <f t="shared" si="310"/>
        <v>08.01.D.1</v>
      </c>
      <c r="K1002" s="30">
        <v>80</v>
      </c>
      <c r="L1002" s="29">
        <f t="shared" si="321"/>
        <v>6206.9083761909205</v>
      </c>
      <c r="M1002" s="28" t="str">
        <f t="shared" si="311"/>
        <v/>
      </c>
      <c r="N1002" s="27" t="str">
        <f t="shared" si="322"/>
        <v/>
      </c>
      <c r="O1002" s="26" t="str">
        <f>IF(AND($Q1001=$O$38,IFERROR(LARGE($V$923:$V1001,1)&lt;$N$42,TRUE)),1,IF(AND(ISNUMBER($O1001),$O1001&lt;$N$32),$O1001+1,""))</f>
        <v/>
      </c>
      <c r="P1002" s="26" t="str">
        <f t="shared" si="323"/>
        <v/>
      </c>
      <c r="Q1002" s="26" t="str">
        <f t="shared" si="312"/>
        <v/>
      </c>
      <c r="R1002" s="24">
        <f t="shared" si="324"/>
        <v>1</v>
      </c>
      <c r="S1002" s="180">
        <f t="shared" si="307"/>
        <v>8.01</v>
      </c>
      <c r="T1002" s="29">
        <f>SUM($AC$923:$AC1002)</f>
        <v>44000</v>
      </c>
      <c r="U1002" s="25">
        <f t="shared" si="313"/>
        <v>1</v>
      </c>
      <c r="V1002" s="24">
        <f>IF(AND(ISNUMBER(R1001),ISNUMBER(R1002)),V1001,IF(AND(R1001="",ISNUMBER(R1002)),IFERROR(LARGE($V$923:$V1001,1)+1,0),""))</f>
        <v>8</v>
      </c>
      <c r="W1002" s="23" t="str">
        <f t="shared" si="325"/>
        <v/>
      </c>
      <c r="X1002" s="22" t="str">
        <f t="shared" si="326"/>
        <v/>
      </c>
      <c r="Y1002" s="236"/>
      <c r="Z1002" s="22"/>
      <c r="AA1002" s="22"/>
      <c r="AB1002" s="22" t="str">
        <f t="shared" si="304"/>
        <v/>
      </c>
      <c r="AC1002" s="22" t="str">
        <f t="shared" si="305"/>
        <v/>
      </c>
      <c r="AD1002" s="22" t="str">
        <f t="shared" si="314"/>
        <v/>
      </c>
      <c r="AE1002" s="22" t="str">
        <f t="shared" si="306"/>
        <v/>
      </c>
      <c r="AF1002" s="22" t="str">
        <f t="shared" si="315"/>
        <v/>
      </c>
      <c r="AG1002" s="22" t="str">
        <f t="shared" si="316"/>
        <v/>
      </c>
      <c r="AH1002" s="22" t="str">
        <f t="shared" si="317"/>
        <v/>
      </c>
      <c r="AI1002" s="22" t="str">
        <f t="shared" si="318"/>
        <v/>
      </c>
      <c r="AJ1002" s="304" t="str">
        <f t="shared" si="319"/>
        <v/>
      </c>
      <c r="AK1002" s="140" t="str">
        <f t="shared" si="320"/>
        <v/>
      </c>
    </row>
    <row r="1003" spans="7:37" x14ac:dyDescent="0.25">
      <c r="G1003" s="235" t="str">
        <f t="shared" si="308"/>
        <v>08.01</v>
      </c>
      <c r="H1003" s="4" t="str">
        <f t="shared" si="309"/>
        <v>08.01.D</v>
      </c>
      <c r="I1003" s="11" t="str">
        <f t="shared" si="310"/>
        <v>08.01.D.2</v>
      </c>
      <c r="K1003" s="30">
        <v>81</v>
      </c>
      <c r="L1003" s="29">
        <f t="shared" si="321"/>
        <v>11571.908376190921</v>
      </c>
      <c r="M1003" s="28">
        <f t="shared" si="311"/>
        <v>5365</v>
      </c>
      <c r="N1003" s="27" t="str">
        <f t="shared" si="322"/>
        <v/>
      </c>
      <c r="O1003" s="26" t="str">
        <f>IF(AND($Q1002=$O$38,IFERROR(LARGE($V$923:$V1002,1)&lt;$N$42,TRUE)),1,IF(AND(ISNUMBER($O1002),$O1002&lt;$N$32),$O1002+1,""))</f>
        <v/>
      </c>
      <c r="P1003" s="26" t="str">
        <f t="shared" si="323"/>
        <v/>
      </c>
      <c r="Q1003" s="26" t="str">
        <f t="shared" si="312"/>
        <v/>
      </c>
      <c r="R1003" s="24">
        <f t="shared" si="324"/>
        <v>2</v>
      </c>
      <c r="S1003" s="180">
        <f t="shared" si="307"/>
        <v>8.01</v>
      </c>
      <c r="T1003" s="29">
        <f>SUM($AC$923:$AC1003)</f>
        <v>49500</v>
      </c>
      <c r="U1003" s="25">
        <f t="shared" si="313"/>
        <v>1</v>
      </c>
      <c r="V1003" s="24">
        <f>IF(AND(ISNUMBER(R1002),ISNUMBER(R1003)),V1002,IF(AND(R1002="",ISNUMBER(R1003)),IFERROR(LARGE($V$923:$V1002,1)+1,0),""))</f>
        <v>8</v>
      </c>
      <c r="W1003" s="23" t="str">
        <f t="shared" si="325"/>
        <v/>
      </c>
      <c r="X1003" s="22" t="str">
        <f t="shared" si="326"/>
        <v/>
      </c>
      <c r="Y1003" s="236"/>
      <c r="Z1003" s="22"/>
      <c r="AA1003" s="22"/>
      <c r="AB1003" s="22">
        <f t="shared" ref="AB1003:AB1066" si="327">IF((IF(AND($P1002="",$P1003=1),($N$37*-1),0)+IF(AND($Q1002="",$Q1003=1),($N$38*-1),0)+IF(OR(AND(ISNUMBER($U1003),IF(ISNUMBER($U1004),$U1004,0)-IF(ISNUMBER($U1003),$U1003,0)=1),AND(ISNUMBER($U1003),$U1004="")),IF($U1003=1,$P$37,0),0))=0,"",(IF(AND($P1002="",$P1003=1),($N$37*-1),0)+IF(AND($Q1002="",$Q1003=1),($N$38*-1),0)+IF(OR(AND(ISNUMBER($U1003),IF(ISNUMBER($U1004),$U1004,0)-IF(ISNUMBER($U1003),$U1003,0)=1),AND(ISNUMBER($U1003),$U1004="")),IF($U1003=1,$P$37,0),0)))</f>
        <v>525</v>
      </c>
      <c r="AC1003" s="22">
        <f t="shared" ref="AC1003:AC1066" si="328">IF(IF(OR(AND(ISNUMBER($U1003),IF(ISNUMBER($U1004),$U1004,0)-IF(ISNUMBER($U1003),$U1003,0)=1),AND(ISNUMBER($U1003),$U1004="")),VLOOKUP(IF($U1003&gt;$L$63,$L$63,$U1003),$L$52:$N$63,COLUMNS($L$52:$N$52),FALSE),0)=0,"",IF(OR(AND(ISNUMBER($U1003),IF(ISNUMBER($U1004),$U1004,0)-IF(ISNUMBER($U1003),$U1003,0)=1),AND(ISNUMBER($U1003),$U1004="")),VLOOKUP(IF($U1003&gt;$L$63,$L$63,$U1003),$L$52:$N$63,COLUMNS($L$52:$N$52),FALSE),0))</f>
        <v>5500</v>
      </c>
      <c r="AD1003" s="22">
        <f t="shared" si="314"/>
        <v>525</v>
      </c>
      <c r="AE1003" s="22">
        <f t="shared" ref="AE1003:AE1066" si="329">$AC1003</f>
        <v>5500</v>
      </c>
      <c r="AF1003" s="22">
        <f t="shared" si="315"/>
        <v>0</v>
      </c>
      <c r="AG1003" s="22">
        <f t="shared" si="316"/>
        <v>-82.5</v>
      </c>
      <c r="AH1003" s="22">
        <f t="shared" si="317"/>
        <v>-110</v>
      </c>
      <c r="AI1003" s="22">
        <f t="shared" si="318"/>
        <v>-27.5</v>
      </c>
      <c r="AJ1003" s="304">
        <f t="shared" si="319"/>
        <v>-440</v>
      </c>
      <c r="AK1003" s="140">
        <f t="shared" si="320"/>
        <v>-440</v>
      </c>
    </row>
    <row r="1004" spans="7:37" x14ac:dyDescent="0.25">
      <c r="G1004" s="235" t="str">
        <f t="shared" si="308"/>
        <v>08.00</v>
      </c>
      <c r="H1004" s="4" t="str">
        <f t="shared" si="309"/>
        <v>08.00.I</v>
      </c>
      <c r="I1004" s="11" t="str">
        <f t="shared" si="310"/>
        <v>08.00.I.1</v>
      </c>
      <c r="K1004" s="30">
        <v>82</v>
      </c>
      <c r="L1004" s="29">
        <f t="shared" si="321"/>
        <v>11371.908376190921</v>
      </c>
      <c r="M1004" s="28">
        <f t="shared" si="311"/>
        <v>-200</v>
      </c>
      <c r="N1004" s="27" t="str">
        <f t="shared" si="322"/>
        <v/>
      </c>
      <c r="O1004" s="26" t="str">
        <f>IF(AND($Q1003=$O$38,IFERROR(LARGE($V$923:$V1003,1)&lt;$N$42,TRUE)),1,IF(AND(ISNUMBER($O1003),$O1003&lt;$N$32),$O1003+1,""))</f>
        <v/>
      </c>
      <c r="P1004" s="26" t="str">
        <f t="shared" si="323"/>
        <v/>
      </c>
      <c r="Q1004" s="26">
        <f t="shared" si="312"/>
        <v>1</v>
      </c>
      <c r="R1004" s="24" t="str">
        <f t="shared" si="324"/>
        <v/>
      </c>
      <c r="S1004" s="180">
        <f t="shared" si="307"/>
        <v>8</v>
      </c>
      <c r="T1004" s="29">
        <f>SUM($AC$923:$AC1004)</f>
        <v>49500</v>
      </c>
      <c r="U1004" s="25" t="str">
        <f t="shared" si="313"/>
        <v/>
      </c>
      <c r="V1004" s="24" t="str">
        <f>IF(AND(ISNUMBER(R1003),ISNUMBER(R1004)),V1003,IF(AND(R1003="",ISNUMBER(R1004)),IFERROR(LARGE($V$923:$V1003,1)+1,0),""))</f>
        <v/>
      </c>
      <c r="W1004" s="23" t="str">
        <f t="shared" si="325"/>
        <v/>
      </c>
      <c r="X1004" s="22" t="str">
        <f t="shared" si="326"/>
        <v/>
      </c>
      <c r="Y1004" s="236"/>
      <c r="Z1004" s="22"/>
      <c r="AA1004" s="22"/>
      <c r="AB1004" s="22">
        <f t="shared" si="327"/>
        <v>-200</v>
      </c>
      <c r="AC1004" s="22" t="str">
        <f t="shared" si="328"/>
        <v/>
      </c>
      <c r="AD1004" s="22" t="str">
        <f t="shared" si="314"/>
        <v/>
      </c>
      <c r="AE1004" s="22" t="str">
        <f t="shared" si="329"/>
        <v/>
      </c>
      <c r="AF1004" s="22" t="str">
        <f t="shared" si="315"/>
        <v/>
      </c>
      <c r="AG1004" s="22" t="str">
        <f t="shared" si="316"/>
        <v/>
      </c>
      <c r="AH1004" s="22" t="str">
        <f t="shared" si="317"/>
        <v/>
      </c>
      <c r="AI1004" s="22" t="str">
        <f t="shared" si="318"/>
        <v/>
      </c>
      <c r="AJ1004" s="304" t="str">
        <f t="shared" si="319"/>
        <v/>
      </c>
      <c r="AK1004" s="140" t="str">
        <f t="shared" si="320"/>
        <v/>
      </c>
    </row>
    <row r="1005" spans="7:37" x14ac:dyDescent="0.25">
      <c r="G1005" s="235" t="str">
        <f t="shared" si="308"/>
        <v>08.00</v>
      </c>
      <c r="H1005" s="4" t="str">
        <f t="shared" si="309"/>
        <v>08.00.I</v>
      </c>
      <c r="I1005" s="11" t="str">
        <f t="shared" si="310"/>
        <v>08.00.I.2</v>
      </c>
      <c r="K1005" s="30">
        <v>83</v>
      </c>
      <c r="L1005" s="29">
        <f t="shared" si="321"/>
        <v>11371.908376190921</v>
      </c>
      <c r="M1005" s="28" t="str">
        <f t="shared" si="311"/>
        <v/>
      </c>
      <c r="N1005" s="27" t="str">
        <f t="shared" si="322"/>
        <v/>
      </c>
      <c r="O1005" s="26" t="str">
        <f>IF(AND($Q1004=$O$38,IFERROR(LARGE($V$923:$V1004,1)&lt;$N$42,TRUE)),1,IF(AND(ISNUMBER($O1004),$O1004&lt;$N$32),$O1004+1,""))</f>
        <v/>
      </c>
      <c r="P1005" s="26" t="str">
        <f t="shared" si="323"/>
        <v/>
      </c>
      <c r="Q1005" s="26">
        <f t="shared" si="312"/>
        <v>2</v>
      </c>
      <c r="R1005" s="24" t="str">
        <f t="shared" si="324"/>
        <v/>
      </c>
      <c r="S1005" s="180">
        <f t="shared" si="307"/>
        <v>8</v>
      </c>
      <c r="T1005" s="29">
        <f>SUM($AC$923:$AC1005)</f>
        <v>49500</v>
      </c>
      <c r="U1005" s="25" t="str">
        <f t="shared" si="313"/>
        <v/>
      </c>
      <c r="V1005" s="24" t="str">
        <f>IF(AND(ISNUMBER(R1004),ISNUMBER(R1005)),V1004,IF(AND(R1004="",ISNUMBER(R1005)),IFERROR(LARGE($V$923:$V1004,1)+1,0),""))</f>
        <v/>
      </c>
      <c r="W1005" s="23" t="str">
        <f t="shared" si="325"/>
        <v/>
      </c>
      <c r="X1005" s="22" t="str">
        <f t="shared" si="326"/>
        <v/>
      </c>
      <c r="Y1005" s="236"/>
      <c r="Z1005" s="22"/>
      <c r="AA1005" s="22"/>
      <c r="AB1005" s="22" t="str">
        <f t="shared" si="327"/>
        <v/>
      </c>
      <c r="AC1005" s="22" t="str">
        <f t="shared" si="328"/>
        <v/>
      </c>
      <c r="AD1005" s="22" t="str">
        <f t="shared" si="314"/>
        <v/>
      </c>
      <c r="AE1005" s="22" t="str">
        <f t="shared" si="329"/>
        <v/>
      </c>
      <c r="AF1005" s="22" t="str">
        <f t="shared" si="315"/>
        <v/>
      </c>
      <c r="AG1005" s="22" t="str">
        <f t="shared" si="316"/>
        <v/>
      </c>
      <c r="AH1005" s="22" t="str">
        <f t="shared" si="317"/>
        <v/>
      </c>
      <c r="AI1005" s="22" t="str">
        <f t="shared" si="318"/>
        <v/>
      </c>
      <c r="AJ1005" s="304" t="str">
        <f t="shared" si="319"/>
        <v/>
      </c>
      <c r="AK1005" s="140" t="str">
        <f t="shared" si="320"/>
        <v/>
      </c>
    </row>
    <row r="1006" spans="7:37" x14ac:dyDescent="0.25">
      <c r="G1006" s="235" t="str">
        <f t="shared" si="308"/>
        <v/>
      </c>
      <c r="H1006" s="4" t="str">
        <f t="shared" si="309"/>
        <v/>
      </c>
      <c r="I1006" s="11" t="str">
        <f t="shared" si="310"/>
        <v/>
      </c>
      <c r="K1006" s="30">
        <v>84</v>
      </c>
      <c r="L1006" s="29">
        <f t="shared" si="321"/>
        <v>11371.908376190921</v>
      </c>
      <c r="M1006" s="28" t="str">
        <f t="shared" si="311"/>
        <v/>
      </c>
      <c r="N1006" s="27" t="str">
        <f t="shared" si="322"/>
        <v/>
      </c>
      <c r="O1006" s="26" t="str">
        <f>IF(AND($Q1005=$O$38,IFERROR(LARGE($V$923:$V1005,1)&lt;$N$42,TRUE)),1,IF(AND(ISNUMBER($O1005),$O1005&lt;$N$32),$O1005+1,""))</f>
        <v/>
      </c>
      <c r="P1006" s="26" t="str">
        <f t="shared" si="323"/>
        <v/>
      </c>
      <c r="Q1006" s="26" t="str">
        <f t="shared" si="312"/>
        <v/>
      </c>
      <c r="R1006" s="24" t="str">
        <f t="shared" si="324"/>
        <v/>
      </c>
      <c r="S1006" s="180">
        <f t="shared" si="307"/>
        <v>8</v>
      </c>
      <c r="T1006" s="29">
        <f>SUM($AC$923:$AC1006)</f>
        <v>49500</v>
      </c>
      <c r="U1006" s="25" t="str">
        <f t="shared" si="313"/>
        <v/>
      </c>
      <c r="V1006" s="24" t="str">
        <f>IF(AND(ISNUMBER(R1005),ISNUMBER(R1006)),V1005,IF(AND(R1005="",ISNUMBER(R1006)),IFERROR(LARGE($V$923:$V1005,1)+1,0),""))</f>
        <v/>
      </c>
      <c r="W1006" s="23" t="str">
        <f t="shared" si="325"/>
        <v/>
      </c>
      <c r="X1006" s="22" t="str">
        <f t="shared" si="326"/>
        <v/>
      </c>
      <c r="Y1006" s="236"/>
      <c r="Z1006" s="22"/>
      <c r="AA1006" s="22"/>
      <c r="AB1006" s="22" t="str">
        <f t="shared" si="327"/>
        <v/>
      </c>
      <c r="AC1006" s="22" t="str">
        <f t="shared" si="328"/>
        <v/>
      </c>
      <c r="AD1006" s="22" t="str">
        <f t="shared" si="314"/>
        <v/>
      </c>
      <c r="AE1006" s="22" t="str">
        <f t="shared" si="329"/>
        <v/>
      </c>
      <c r="AF1006" s="22" t="str">
        <f t="shared" si="315"/>
        <v/>
      </c>
      <c r="AG1006" s="22" t="str">
        <f t="shared" si="316"/>
        <v/>
      </c>
      <c r="AH1006" s="22" t="str">
        <f t="shared" si="317"/>
        <v/>
      </c>
      <c r="AI1006" s="22" t="str">
        <f t="shared" si="318"/>
        <v/>
      </c>
      <c r="AJ1006" s="304" t="str">
        <f t="shared" si="319"/>
        <v/>
      </c>
      <c r="AK1006" s="140" t="str">
        <f t="shared" si="320"/>
        <v/>
      </c>
    </row>
    <row r="1007" spans="7:37" x14ac:dyDescent="0.25">
      <c r="G1007" s="235" t="str">
        <f t="shared" si="308"/>
        <v/>
      </c>
      <c r="H1007" s="4" t="str">
        <f t="shared" si="309"/>
        <v/>
      </c>
      <c r="I1007" s="11" t="str">
        <f t="shared" si="310"/>
        <v/>
      </c>
      <c r="K1007" s="30">
        <v>85</v>
      </c>
      <c r="L1007" s="29">
        <f t="shared" si="321"/>
        <v>11371.908376190921</v>
      </c>
      <c r="M1007" s="28" t="str">
        <f t="shared" si="311"/>
        <v/>
      </c>
      <c r="N1007" s="27" t="str">
        <f t="shared" si="322"/>
        <v/>
      </c>
      <c r="O1007" s="26" t="str">
        <f>IF(AND($Q1006=$O$38,IFERROR(LARGE($V$923:$V1006,1)&lt;$N$42,TRUE)),1,IF(AND(ISNUMBER($O1006),$O1006&lt;$N$32),$O1006+1,""))</f>
        <v/>
      </c>
      <c r="P1007" s="26" t="str">
        <f t="shared" si="323"/>
        <v/>
      </c>
      <c r="Q1007" s="26" t="str">
        <f t="shared" si="312"/>
        <v/>
      </c>
      <c r="R1007" s="24" t="str">
        <f t="shared" si="324"/>
        <v/>
      </c>
      <c r="S1007" s="180">
        <f t="shared" si="307"/>
        <v>8</v>
      </c>
      <c r="T1007" s="29">
        <f>SUM($AC$923:$AC1007)</f>
        <v>49500</v>
      </c>
      <c r="U1007" s="25" t="str">
        <f t="shared" si="313"/>
        <v/>
      </c>
      <c r="V1007" s="24" t="str">
        <f>IF(AND(ISNUMBER(R1006),ISNUMBER(R1007)),V1006,IF(AND(R1006="",ISNUMBER(R1007)),IFERROR(LARGE($V$923:$V1006,1)+1,0),""))</f>
        <v/>
      </c>
      <c r="W1007" s="23" t="str">
        <f t="shared" si="325"/>
        <v/>
      </c>
      <c r="X1007" s="22" t="str">
        <f t="shared" si="326"/>
        <v/>
      </c>
      <c r="Y1007" s="236"/>
      <c r="Z1007" s="22"/>
      <c r="AA1007" s="22"/>
      <c r="AB1007" s="22" t="str">
        <f t="shared" si="327"/>
        <v/>
      </c>
      <c r="AC1007" s="22" t="str">
        <f t="shared" si="328"/>
        <v/>
      </c>
      <c r="AD1007" s="22" t="str">
        <f t="shared" si="314"/>
        <v/>
      </c>
      <c r="AE1007" s="22" t="str">
        <f t="shared" si="329"/>
        <v/>
      </c>
      <c r="AF1007" s="22" t="str">
        <f t="shared" si="315"/>
        <v/>
      </c>
      <c r="AG1007" s="22" t="str">
        <f t="shared" si="316"/>
        <v/>
      </c>
      <c r="AH1007" s="22" t="str">
        <f t="shared" si="317"/>
        <v/>
      </c>
      <c r="AI1007" s="22" t="str">
        <f t="shared" si="318"/>
        <v/>
      </c>
      <c r="AJ1007" s="304" t="str">
        <f t="shared" si="319"/>
        <v/>
      </c>
      <c r="AK1007" s="140" t="str">
        <f t="shared" si="320"/>
        <v/>
      </c>
    </row>
    <row r="1008" spans="7:37" x14ac:dyDescent="0.25">
      <c r="G1008" s="235" t="str">
        <f t="shared" si="308"/>
        <v/>
      </c>
      <c r="H1008" s="4" t="str">
        <f t="shared" si="309"/>
        <v/>
      </c>
      <c r="I1008" s="11" t="str">
        <f t="shared" si="310"/>
        <v/>
      </c>
      <c r="K1008" s="30">
        <v>86</v>
      </c>
      <c r="L1008" s="29">
        <f t="shared" si="321"/>
        <v>11371.908376190921</v>
      </c>
      <c r="M1008" s="28" t="str">
        <f t="shared" si="311"/>
        <v/>
      </c>
      <c r="N1008" s="27" t="str">
        <f t="shared" si="322"/>
        <v/>
      </c>
      <c r="O1008" s="26" t="str">
        <f>IF(AND($Q1007=$O$38,IFERROR(LARGE($V$923:$V1007,1)&lt;$N$42,TRUE)),1,IF(AND(ISNUMBER($O1007),$O1007&lt;$N$32),$O1007+1,""))</f>
        <v/>
      </c>
      <c r="P1008" s="26" t="str">
        <f t="shared" si="323"/>
        <v/>
      </c>
      <c r="Q1008" s="26" t="str">
        <f t="shared" si="312"/>
        <v/>
      </c>
      <c r="R1008" s="24" t="str">
        <f t="shared" si="324"/>
        <v/>
      </c>
      <c r="S1008" s="180">
        <f t="shared" si="307"/>
        <v>8</v>
      </c>
      <c r="T1008" s="29">
        <f>SUM($AC$923:$AC1008)</f>
        <v>49500</v>
      </c>
      <c r="U1008" s="25" t="str">
        <f t="shared" si="313"/>
        <v/>
      </c>
      <c r="V1008" s="24" t="str">
        <f>IF(AND(ISNUMBER(R1007),ISNUMBER(R1008)),V1007,IF(AND(R1007="",ISNUMBER(R1008)),IFERROR(LARGE($V$923:$V1007,1)+1,0),""))</f>
        <v/>
      </c>
      <c r="W1008" s="23" t="str">
        <f t="shared" si="325"/>
        <v/>
      </c>
      <c r="X1008" s="22" t="str">
        <f t="shared" si="326"/>
        <v/>
      </c>
      <c r="Y1008" s="236"/>
      <c r="Z1008" s="22"/>
      <c r="AA1008" s="22"/>
      <c r="AB1008" s="22" t="str">
        <f t="shared" si="327"/>
        <v/>
      </c>
      <c r="AC1008" s="22" t="str">
        <f t="shared" si="328"/>
        <v/>
      </c>
      <c r="AD1008" s="22" t="str">
        <f t="shared" si="314"/>
        <v/>
      </c>
      <c r="AE1008" s="22" t="str">
        <f t="shared" si="329"/>
        <v/>
      </c>
      <c r="AF1008" s="22" t="str">
        <f t="shared" si="315"/>
        <v/>
      </c>
      <c r="AG1008" s="22" t="str">
        <f t="shared" si="316"/>
        <v/>
      </c>
      <c r="AH1008" s="22" t="str">
        <f t="shared" si="317"/>
        <v/>
      </c>
      <c r="AI1008" s="22" t="str">
        <f t="shared" si="318"/>
        <v/>
      </c>
      <c r="AJ1008" s="304" t="str">
        <f t="shared" si="319"/>
        <v/>
      </c>
      <c r="AK1008" s="140" t="str">
        <f t="shared" si="320"/>
        <v/>
      </c>
    </row>
    <row r="1009" spans="7:37" x14ac:dyDescent="0.25">
      <c r="G1009" s="235" t="str">
        <f t="shared" si="308"/>
        <v/>
      </c>
      <c r="H1009" s="4" t="str">
        <f t="shared" si="309"/>
        <v/>
      </c>
      <c r="I1009" s="11" t="str">
        <f t="shared" si="310"/>
        <v/>
      </c>
      <c r="K1009" s="30">
        <v>87</v>
      </c>
      <c r="L1009" s="29">
        <f t="shared" si="321"/>
        <v>11371.908376190921</v>
      </c>
      <c r="M1009" s="28" t="str">
        <f t="shared" si="311"/>
        <v/>
      </c>
      <c r="N1009" s="27" t="str">
        <f t="shared" si="322"/>
        <v/>
      </c>
      <c r="O1009" s="26" t="str">
        <f>IF(AND($Q1008=$O$38,IFERROR(LARGE($V$923:$V1008,1)&lt;$N$42,TRUE)),1,IF(AND(ISNUMBER($O1008),$O1008&lt;$N$32),$O1008+1,""))</f>
        <v/>
      </c>
      <c r="P1009" s="26" t="str">
        <f t="shared" si="323"/>
        <v/>
      </c>
      <c r="Q1009" s="26" t="str">
        <f t="shared" si="312"/>
        <v/>
      </c>
      <c r="R1009" s="24" t="str">
        <f t="shared" si="324"/>
        <v/>
      </c>
      <c r="S1009" s="180">
        <f t="shared" si="307"/>
        <v>8</v>
      </c>
      <c r="T1009" s="29">
        <f>SUM($AC$923:$AC1009)</f>
        <v>49500</v>
      </c>
      <c r="U1009" s="25" t="str">
        <f t="shared" si="313"/>
        <v/>
      </c>
      <c r="V1009" s="24" t="str">
        <f>IF(AND(ISNUMBER(R1008),ISNUMBER(R1009)),V1008,IF(AND(R1008="",ISNUMBER(R1009)),IFERROR(LARGE($V$923:$V1008,1)+1,0),""))</f>
        <v/>
      </c>
      <c r="W1009" s="23" t="str">
        <f t="shared" si="325"/>
        <v/>
      </c>
      <c r="X1009" s="22" t="str">
        <f t="shared" si="326"/>
        <v/>
      </c>
      <c r="Y1009" s="236"/>
      <c r="Z1009" s="22"/>
      <c r="AA1009" s="22"/>
      <c r="AB1009" s="22" t="str">
        <f t="shared" si="327"/>
        <v/>
      </c>
      <c r="AC1009" s="22" t="str">
        <f t="shared" si="328"/>
        <v/>
      </c>
      <c r="AD1009" s="22" t="str">
        <f t="shared" si="314"/>
        <v/>
      </c>
      <c r="AE1009" s="22" t="str">
        <f t="shared" si="329"/>
        <v/>
      </c>
      <c r="AF1009" s="22" t="str">
        <f t="shared" si="315"/>
        <v/>
      </c>
      <c r="AG1009" s="22" t="str">
        <f t="shared" si="316"/>
        <v/>
      </c>
      <c r="AH1009" s="22" t="str">
        <f t="shared" si="317"/>
        <v/>
      </c>
      <c r="AI1009" s="22" t="str">
        <f t="shared" si="318"/>
        <v/>
      </c>
      <c r="AJ1009" s="304" t="str">
        <f t="shared" si="319"/>
        <v/>
      </c>
      <c r="AK1009" s="140" t="str">
        <f t="shared" si="320"/>
        <v/>
      </c>
    </row>
    <row r="1010" spans="7:37" x14ac:dyDescent="0.25">
      <c r="G1010" s="235" t="str">
        <f t="shared" si="308"/>
        <v/>
      </c>
      <c r="H1010" s="4" t="str">
        <f t="shared" si="309"/>
        <v/>
      </c>
      <c r="I1010" s="11" t="str">
        <f t="shared" si="310"/>
        <v/>
      </c>
      <c r="K1010" s="30">
        <v>88</v>
      </c>
      <c r="L1010" s="29">
        <f t="shared" si="321"/>
        <v>11371.908376190921</v>
      </c>
      <c r="M1010" s="28" t="str">
        <f t="shared" si="311"/>
        <v/>
      </c>
      <c r="N1010" s="27" t="str">
        <f t="shared" si="322"/>
        <v/>
      </c>
      <c r="O1010" s="26" t="str">
        <f>IF(AND($Q1009=$O$38,IFERROR(LARGE($V$923:$V1009,1)&lt;$N$42,TRUE)),1,IF(AND(ISNUMBER($O1009),$O1009&lt;$N$32),$O1009+1,""))</f>
        <v/>
      </c>
      <c r="P1010" s="26" t="str">
        <f t="shared" si="323"/>
        <v/>
      </c>
      <c r="Q1010" s="26" t="str">
        <f t="shared" si="312"/>
        <v/>
      </c>
      <c r="R1010" s="24" t="str">
        <f t="shared" si="324"/>
        <v/>
      </c>
      <c r="S1010" s="180">
        <f t="shared" ref="S1010:S1073" si="330">IF($Q1010=1,ROUNDDOWN($S1009,0),IF($O1010=1,ROUNDDOWN($S1009,0)+1,IF($R1010=1,$S1009+0.01,IF(ISNUMBER($U1010),IF(AND($U1010&gt;1,($U1010-$U1009)=1),$S1009+0.01,$S1009),$S1009))))</f>
        <v>8</v>
      </c>
      <c r="T1010" s="29">
        <f>SUM($AC$923:$AC1010)</f>
        <v>49500</v>
      </c>
      <c r="U1010" s="25" t="str">
        <f t="shared" si="313"/>
        <v/>
      </c>
      <c r="V1010" s="24" t="str">
        <f>IF(AND(ISNUMBER(R1009),ISNUMBER(R1010)),V1009,IF(AND(R1009="",ISNUMBER(R1010)),IFERROR(LARGE($V$923:$V1009,1)+1,0),""))</f>
        <v/>
      </c>
      <c r="W1010" s="23" t="str">
        <f t="shared" si="325"/>
        <v/>
      </c>
      <c r="X1010" s="22" t="str">
        <f t="shared" si="326"/>
        <v/>
      </c>
      <c r="Y1010" s="236"/>
      <c r="Z1010" s="22"/>
      <c r="AA1010" s="22"/>
      <c r="AB1010" s="22" t="str">
        <f t="shared" si="327"/>
        <v/>
      </c>
      <c r="AC1010" s="22" t="str">
        <f t="shared" si="328"/>
        <v/>
      </c>
      <c r="AD1010" s="22" t="str">
        <f t="shared" si="314"/>
        <v/>
      </c>
      <c r="AE1010" s="22" t="str">
        <f t="shared" si="329"/>
        <v/>
      </c>
      <c r="AF1010" s="22" t="str">
        <f t="shared" si="315"/>
        <v/>
      </c>
      <c r="AG1010" s="22" t="str">
        <f t="shared" si="316"/>
        <v/>
      </c>
      <c r="AH1010" s="22" t="str">
        <f t="shared" si="317"/>
        <v/>
      </c>
      <c r="AI1010" s="22" t="str">
        <f t="shared" si="318"/>
        <v/>
      </c>
      <c r="AJ1010" s="304" t="str">
        <f t="shared" si="319"/>
        <v/>
      </c>
      <c r="AK1010" s="140" t="str">
        <f t="shared" si="320"/>
        <v/>
      </c>
    </row>
    <row r="1011" spans="7:37" x14ac:dyDescent="0.25">
      <c r="G1011" s="235" t="str">
        <f t="shared" si="308"/>
        <v/>
      </c>
      <c r="H1011" s="4" t="str">
        <f t="shared" si="309"/>
        <v/>
      </c>
      <c r="I1011" s="11" t="str">
        <f t="shared" si="310"/>
        <v/>
      </c>
      <c r="K1011" s="30">
        <v>89</v>
      </c>
      <c r="L1011" s="29">
        <f t="shared" si="321"/>
        <v>11371.908376190921</v>
      </c>
      <c r="M1011" s="28" t="str">
        <f t="shared" si="311"/>
        <v/>
      </c>
      <c r="N1011" s="27" t="str">
        <f t="shared" si="322"/>
        <v/>
      </c>
      <c r="O1011" s="26" t="str">
        <f>IF(AND($Q1010=$O$38,IFERROR(LARGE($V$923:$V1010,1)&lt;$N$42,TRUE)),1,IF(AND(ISNUMBER($O1010),$O1010&lt;$N$32),$O1010+1,""))</f>
        <v/>
      </c>
      <c r="P1011" s="26" t="str">
        <f t="shared" si="323"/>
        <v/>
      </c>
      <c r="Q1011" s="26" t="str">
        <f t="shared" si="312"/>
        <v/>
      </c>
      <c r="R1011" s="24" t="str">
        <f t="shared" si="324"/>
        <v/>
      </c>
      <c r="S1011" s="180">
        <f t="shared" si="330"/>
        <v>8</v>
      </c>
      <c r="T1011" s="29">
        <f>SUM($AC$923:$AC1011)</f>
        <v>49500</v>
      </c>
      <c r="U1011" s="25" t="str">
        <f t="shared" si="313"/>
        <v/>
      </c>
      <c r="V1011" s="24" t="str">
        <f>IF(AND(ISNUMBER(R1010),ISNUMBER(R1011)),V1010,IF(AND(R1010="",ISNUMBER(R1011)),IFERROR(LARGE($V$923:$V1010,1)+1,0),""))</f>
        <v/>
      </c>
      <c r="W1011" s="23" t="str">
        <f t="shared" si="325"/>
        <v/>
      </c>
      <c r="X1011" s="22" t="str">
        <f t="shared" si="326"/>
        <v/>
      </c>
      <c r="Y1011" s="236"/>
      <c r="Z1011" s="22"/>
      <c r="AA1011" s="22"/>
      <c r="AB1011" s="22" t="str">
        <f t="shared" si="327"/>
        <v/>
      </c>
      <c r="AC1011" s="22" t="str">
        <f t="shared" si="328"/>
        <v/>
      </c>
      <c r="AD1011" s="22" t="str">
        <f t="shared" si="314"/>
        <v/>
      </c>
      <c r="AE1011" s="22" t="str">
        <f t="shared" si="329"/>
        <v/>
      </c>
      <c r="AF1011" s="22" t="str">
        <f t="shared" si="315"/>
        <v/>
      </c>
      <c r="AG1011" s="22" t="str">
        <f t="shared" si="316"/>
        <v/>
      </c>
      <c r="AH1011" s="22" t="str">
        <f t="shared" si="317"/>
        <v/>
      </c>
      <c r="AI1011" s="22" t="str">
        <f t="shared" si="318"/>
        <v/>
      </c>
      <c r="AJ1011" s="304" t="str">
        <f t="shared" si="319"/>
        <v/>
      </c>
      <c r="AK1011" s="140" t="str">
        <f t="shared" si="320"/>
        <v/>
      </c>
    </row>
    <row r="1012" spans="7:37" x14ac:dyDescent="0.25">
      <c r="G1012" s="235" t="str">
        <f t="shared" si="308"/>
        <v/>
      </c>
      <c r="H1012" s="4" t="str">
        <f t="shared" si="309"/>
        <v/>
      </c>
      <c r="I1012" s="11" t="str">
        <f t="shared" si="310"/>
        <v/>
      </c>
      <c r="K1012" s="30">
        <v>90</v>
      </c>
      <c r="L1012" s="29">
        <f t="shared" si="321"/>
        <v>11371.908376190921</v>
      </c>
      <c r="M1012" s="28" t="str">
        <f t="shared" si="311"/>
        <v/>
      </c>
      <c r="N1012" s="27" t="str">
        <f t="shared" si="322"/>
        <v/>
      </c>
      <c r="O1012" s="26" t="str">
        <f>IF(AND($Q1011=$O$38,IFERROR(LARGE($V$923:$V1011,1)&lt;$N$42,TRUE)),1,IF(AND(ISNUMBER($O1011),$O1011&lt;$N$32),$O1011+1,""))</f>
        <v/>
      </c>
      <c r="P1012" s="26" t="str">
        <f t="shared" si="323"/>
        <v/>
      </c>
      <c r="Q1012" s="26" t="str">
        <f t="shared" si="312"/>
        <v/>
      </c>
      <c r="R1012" s="24" t="str">
        <f t="shared" si="324"/>
        <v/>
      </c>
      <c r="S1012" s="180">
        <f t="shared" si="330"/>
        <v>8</v>
      </c>
      <c r="T1012" s="29">
        <f>SUM($AC$923:$AC1012)</f>
        <v>49500</v>
      </c>
      <c r="U1012" s="25" t="str">
        <f t="shared" si="313"/>
        <v/>
      </c>
      <c r="V1012" s="24" t="str">
        <f>IF(AND(ISNUMBER(R1011),ISNUMBER(R1012)),V1011,IF(AND(R1011="",ISNUMBER(R1012)),IFERROR(LARGE($V$923:$V1011,1)+1,0),""))</f>
        <v/>
      </c>
      <c r="W1012" s="23" t="str">
        <f t="shared" si="325"/>
        <v/>
      </c>
      <c r="X1012" s="22" t="str">
        <f t="shared" si="326"/>
        <v/>
      </c>
      <c r="Y1012" s="236"/>
      <c r="Z1012" s="22"/>
      <c r="AA1012" s="22"/>
      <c r="AB1012" s="22" t="str">
        <f t="shared" si="327"/>
        <v/>
      </c>
      <c r="AC1012" s="22" t="str">
        <f t="shared" si="328"/>
        <v/>
      </c>
      <c r="AD1012" s="22" t="str">
        <f t="shared" si="314"/>
        <v/>
      </c>
      <c r="AE1012" s="22" t="str">
        <f t="shared" si="329"/>
        <v/>
      </c>
      <c r="AF1012" s="22" t="str">
        <f t="shared" si="315"/>
        <v/>
      </c>
      <c r="AG1012" s="22" t="str">
        <f t="shared" si="316"/>
        <v/>
      </c>
      <c r="AH1012" s="22" t="str">
        <f t="shared" si="317"/>
        <v/>
      </c>
      <c r="AI1012" s="22" t="str">
        <f t="shared" si="318"/>
        <v/>
      </c>
      <c r="AJ1012" s="304" t="str">
        <f t="shared" si="319"/>
        <v/>
      </c>
      <c r="AK1012" s="140" t="str">
        <f t="shared" si="320"/>
        <v/>
      </c>
    </row>
    <row r="1013" spans="7:37" x14ac:dyDescent="0.25">
      <c r="G1013" s="235" t="str">
        <f t="shared" si="308"/>
        <v/>
      </c>
      <c r="H1013" s="4" t="str">
        <f t="shared" si="309"/>
        <v/>
      </c>
      <c r="I1013" s="11" t="str">
        <f t="shared" si="310"/>
        <v/>
      </c>
      <c r="K1013" s="30">
        <v>91</v>
      </c>
      <c r="L1013" s="29">
        <f t="shared" si="321"/>
        <v>11371.908376190921</v>
      </c>
      <c r="M1013" s="28" t="str">
        <f t="shared" si="311"/>
        <v/>
      </c>
      <c r="N1013" s="27" t="str">
        <f t="shared" si="322"/>
        <v/>
      </c>
      <c r="O1013" s="26" t="str">
        <f>IF(AND($Q1012=$O$38,IFERROR(LARGE($V$923:$V1012,1)&lt;$N$42,TRUE)),1,IF(AND(ISNUMBER($O1012),$O1012&lt;$N$32),$O1012+1,""))</f>
        <v/>
      </c>
      <c r="P1013" s="26" t="str">
        <f t="shared" si="323"/>
        <v/>
      </c>
      <c r="Q1013" s="26" t="str">
        <f t="shared" si="312"/>
        <v/>
      </c>
      <c r="R1013" s="24" t="str">
        <f t="shared" si="324"/>
        <v/>
      </c>
      <c r="S1013" s="180">
        <f t="shared" si="330"/>
        <v>8</v>
      </c>
      <c r="T1013" s="29">
        <f>SUM($AC$923:$AC1013)</f>
        <v>49500</v>
      </c>
      <c r="U1013" s="25" t="str">
        <f t="shared" si="313"/>
        <v/>
      </c>
      <c r="V1013" s="24" t="str">
        <f>IF(AND(ISNUMBER(R1012),ISNUMBER(R1013)),V1012,IF(AND(R1012="",ISNUMBER(R1013)),IFERROR(LARGE($V$923:$V1012,1)+1,0),""))</f>
        <v/>
      </c>
      <c r="W1013" s="23" t="str">
        <f t="shared" si="325"/>
        <v/>
      </c>
      <c r="X1013" s="22" t="str">
        <f t="shared" si="326"/>
        <v/>
      </c>
      <c r="Y1013" s="236"/>
      <c r="Z1013" s="22"/>
      <c r="AA1013" s="22"/>
      <c r="AB1013" s="22" t="str">
        <f t="shared" si="327"/>
        <v/>
      </c>
      <c r="AC1013" s="22" t="str">
        <f t="shared" si="328"/>
        <v/>
      </c>
      <c r="AD1013" s="22" t="str">
        <f t="shared" si="314"/>
        <v/>
      </c>
      <c r="AE1013" s="22" t="str">
        <f t="shared" si="329"/>
        <v/>
      </c>
      <c r="AF1013" s="22" t="str">
        <f t="shared" si="315"/>
        <v/>
      </c>
      <c r="AG1013" s="22" t="str">
        <f t="shared" si="316"/>
        <v/>
      </c>
      <c r="AH1013" s="22" t="str">
        <f t="shared" si="317"/>
        <v/>
      </c>
      <c r="AI1013" s="22" t="str">
        <f t="shared" si="318"/>
        <v/>
      </c>
      <c r="AJ1013" s="304" t="str">
        <f t="shared" si="319"/>
        <v/>
      </c>
      <c r="AK1013" s="140" t="str">
        <f t="shared" si="320"/>
        <v/>
      </c>
    </row>
    <row r="1014" spans="7:37" x14ac:dyDescent="0.25">
      <c r="G1014" s="235" t="str">
        <f t="shared" si="308"/>
        <v/>
      </c>
      <c r="H1014" s="4" t="str">
        <f t="shared" si="309"/>
        <v/>
      </c>
      <c r="I1014" s="11" t="str">
        <f t="shared" si="310"/>
        <v/>
      </c>
      <c r="K1014" s="30">
        <v>92</v>
      </c>
      <c r="L1014" s="29">
        <f t="shared" si="321"/>
        <v>11371.908376190921</v>
      </c>
      <c r="M1014" s="28" t="str">
        <f t="shared" si="311"/>
        <v/>
      </c>
      <c r="N1014" s="27" t="str">
        <f t="shared" si="322"/>
        <v/>
      </c>
      <c r="O1014" s="26" t="str">
        <f>IF(AND($Q1013=$O$38,IFERROR(LARGE($V$923:$V1013,1)&lt;$N$42,TRUE)),1,IF(AND(ISNUMBER($O1013),$O1013&lt;$N$32),$O1013+1,""))</f>
        <v/>
      </c>
      <c r="P1014" s="26" t="str">
        <f t="shared" si="323"/>
        <v/>
      </c>
      <c r="Q1014" s="26" t="str">
        <f t="shared" si="312"/>
        <v/>
      </c>
      <c r="R1014" s="24" t="str">
        <f t="shared" si="324"/>
        <v/>
      </c>
      <c r="S1014" s="180">
        <f t="shared" si="330"/>
        <v>8</v>
      </c>
      <c r="T1014" s="29">
        <f>SUM($AC$923:$AC1014)</f>
        <v>49500</v>
      </c>
      <c r="U1014" s="25" t="str">
        <f t="shared" si="313"/>
        <v/>
      </c>
      <c r="V1014" s="24" t="str">
        <f>IF(AND(ISNUMBER(R1013),ISNUMBER(R1014)),V1013,IF(AND(R1013="",ISNUMBER(R1014)),IFERROR(LARGE($V$923:$V1013,1)+1,0),""))</f>
        <v/>
      </c>
      <c r="W1014" s="23" t="str">
        <f t="shared" si="325"/>
        <v/>
      </c>
      <c r="X1014" s="22" t="str">
        <f t="shared" si="326"/>
        <v/>
      </c>
      <c r="Y1014" s="236"/>
      <c r="Z1014" s="22"/>
      <c r="AA1014" s="22"/>
      <c r="AB1014" s="22" t="str">
        <f t="shared" si="327"/>
        <v/>
      </c>
      <c r="AC1014" s="22" t="str">
        <f t="shared" si="328"/>
        <v/>
      </c>
      <c r="AD1014" s="22" t="str">
        <f t="shared" si="314"/>
        <v/>
      </c>
      <c r="AE1014" s="22" t="str">
        <f t="shared" si="329"/>
        <v/>
      </c>
      <c r="AF1014" s="22" t="str">
        <f t="shared" si="315"/>
        <v/>
      </c>
      <c r="AG1014" s="22" t="str">
        <f t="shared" si="316"/>
        <v/>
      </c>
      <c r="AH1014" s="22" t="str">
        <f t="shared" si="317"/>
        <v/>
      </c>
      <c r="AI1014" s="22" t="str">
        <f t="shared" si="318"/>
        <v/>
      </c>
      <c r="AJ1014" s="304" t="str">
        <f t="shared" si="319"/>
        <v/>
      </c>
      <c r="AK1014" s="140" t="str">
        <f t="shared" si="320"/>
        <v/>
      </c>
    </row>
    <row r="1015" spans="7:37" x14ac:dyDescent="0.25">
      <c r="G1015" s="235" t="str">
        <f t="shared" si="308"/>
        <v/>
      </c>
      <c r="H1015" s="4" t="str">
        <f t="shared" si="309"/>
        <v/>
      </c>
      <c r="I1015" s="11" t="str">
        <f t="shared" si="310"/>
        <v/>
      </c>
      <c r="K1015" s="30">
        <v>93</v>
      </c>
      <c r="L1015" s="29">
        <f t="shared" si="321"/>
        <v>11371.908376190921</v>
      </c>
      <c r="M1015" s="28" t="str">
        <f t="shared" si="311"/>
        <v/>
      </c>
      <c r="N1015" s="27" t="str">
        <f t="shared" si="322"/>
        <v/>
      </c>
      <c r="O1015" s="26" t="str">
        <f>IF(AND($Q1014=$O$38,IFERROR(LARGE($V$923:$V1014,1)&lt;$N$42,TRUE)),1,IF(AND(ISNUMBER($O1014),$O1014&lt;$N$32),$O1014+1,""))</f>
        <v/>
      </c>
      <c r="P1015" s="26" t="str">
        <f t="shared" si="323"/>
        <v/>
      </c>
      <c r="Q1015" s="26" t="str">
        <f t="shared" si="312"/>
        <v/>
      </c>
      <c r="R1015" s="24" t="str">
        <f t="shared" si="324"/>
        <v/>
      </c>
      <c r="S1015" s="180">
        <f t="shared" si="330"/>
        <v>8</v>
      </c>
      <c r="T1015" s="29">
        <f>SUM($AC$923:$AC1015)</f>
        <v>49500</v>
      </c>
      <c r="U1015" s="25" t="str">
        <f t="shared" si="313"/>
        <v/>
      </c>
      <c r="V1015" s="24" t="str">
        <f>IF(AND(ISNUMBER(R1014),ISNUMBER(R1015)),V1014,IF(AND(R1014="",ISNUMBER(R1015)),IFERROR(LARGE($V$923:$V1014,1)+1,0),""))</f>
        <v/>
      </c>
      <c r="W1015" s="23" t="str">
        <f t="shared" si="325"/>
        <v/>
      </c>
      <c r="X1015" s="22" t="str">
        <f t="shared" si="326"/>
        <v/>
      </c>
      <c r="Y1015" s="236"/>
      <c r="Z1015" s="22"/>
      <c r="AA1015" s="22"/>
      <c r="AB1015" s="22" t="str">
        <f t="shared" si="327"/>
        <v/>
      </c>
      <c r="AC1015" s="22" t="str">
        <f t="shared" si="328"/>
        <v/>
      </c>
      <c r="AD1015" s="22" t="str">
        <f t="shared" si="314"/>
        <v/>
      </c>
      <c r="AE1015" s="22" t="str">
        <f t="shared" si="329"/>
        <v/>
      </c>
      <c r="AF1015" s="22" t="str">
        <f t="shared" si="315"/>
        <v/>
      </c>
      <c r="AG1015" s="22" t="str">
        <f t="shared" si="316"/>
        <v/>
      </c>
      <c r="AH1015" s="22" t="str">
        <f t="shared" si="317"/>
        <v/>
      </c>
      <c r="AI1015" s="22" t="str">
        <f t="shared" si="318"/>
        <v/>
      </c>
      <c r="AJ1015" s="304" t="str">
        <f t="shared" si="319"/>
        <v/>
      </c>
      <c r="AK1015" s="140" t="str">
        <f t="shared" si="320"/>
        <v/>
      </c>
    </row>
    <row r="1016" spans="7:37" x14ac:dyDescent="0.25">
      <c r="G1016" s="235" t="str">
        <f t="shared" si="308"/>
        <v/>
      </c>
      <c r="H1016" s="4" t="str">
        <f t="shared" si="309"/>
        <v/>
      </c>
      <c r="I1016" s="11" t="str">
        <f t="shared" si="310"/>
        <v/>
      </c>
      <c r="K1016" s="30">
        <v>94</v>
      </c>
      <c r="L1016" s="29">
        <f t="shared" si="321"/>
        <v>11371.908376190921</v>
      </c>
      <c r="M1016" s="28" t="str">
        <f t="shared" si="311"/>
        <v/>
      </c>
      <c r="N1016" s="27" t="str">
        <f t="shared" si="322"/>
        <v/>
      </c>
      <c r="O1016" s="26" t="str">
        <f>IF(AND($Q1015=$O$38,IFERROR(LARGE($V$923:$V1015,1)&lt;$N$42,TRUE)),1,IF(AND(ISNUMBER($O1015),$O1015&lt;$N$32),$O1015+1,""))</f>
        <v/>
      </c>
      <c r="P1016" s="26" t="str">
        <f t="shared" si="323"/>
        <v/>
      </c>
      <c r="Q1016" s="26" t="str">
        <f t="shared" si="312"/>
        <v/>
      </c>
      <c r="R1016" s="24" t="str">
        <f t="shared" si="324"/>
        <v/>
      </c>
      <c r="S1016" s="180">
        <f t="shared" si="330"/>
        <v>8</v>
      </c>
      <c r="T1016" s="29">
        <f>SUM($AC$923:$AC1016)</f>
        <v>49500</v>
      </c>
      <c r="U1016" s="25" t="str">
        <f t="shared" si="313"/>
        <v/>
      </c>
      <c r="V1016" s="24" t="str">
        <f>IF(AND(ISNUMBER(R1015),ISNUMBER(R1016)),V1015,IF(AND(R1015="",ISNUMBER(R1016)),IFERROR(LARGE($V$923:$V1015,1)+1,0),""))</f>
        <v/>
      </c>
      <c r="W1016" s="23" t="str">
        <f t="shared" si="325"/>
        <v/>
      </c>
      <c r="X1016" s="22" t="str">
        <f t="shared" si="326"/>
        <v/>
      </c>
      <c r="Y1016" s="236"/>
      <c r="Z1016" s="22"/>
      <c r="AA1016" s="22"/>
      <c r="AB1016" s="22" t="str">
        <f t="shared" si="327"/>
        <v/>
      </c>
      <c r="AC1016" s="22" t="str">
        <f t="shared" si="328"/>
        <v/>
      </c>
      <c r="AD1016" s="22" t="str">
        <f t="shared" si="314"/>
        <v/>
      </c>
      <c r="AE1016" s="22" t="str">
        <f t="shared" si="329"/>
        <v/>
      </c>
      <c r="AF1016" s="22" t="str">
        <f t="shared" si="315"/>
        <v/>
      </c>
      <c r="AG1016" s="22" t="str">
        <f t="shared" si="316"/>
        <v/>
      </c>
      <c r="AH1016" s="22" t="str">
        <f t="shared" si="317"/>
        <v/>
      </c>
      <c r="AI1016" s="22" t="str">
        <f t="shared" si="318"/>
        <v/>
      </c>
      <c r="AJ1016" s="304" t="str">
        <f t="shared" si="319"/>
        <v/>
      </c>
      <c r="AK1016" s="140" t="str">
        <f t="shared" si="320"/>
        <v/>
      </c>
    </row>
    <row r="1017" spans="7:37" x14ac:dyDescent="0.25">
      <c r="G1017" s="235" t="str">
        <f t="shared" si="308"/>
        <v/>
      </c>
      <c r="H1017" s="4" t="str">
        <f t="shared" si="309"/>
        <v/>
      </c>
      <c r="I1017" s="11" t="str">
        <f t="shared" si="310"/>
        <v/>
      </c>
      <c r="K1017" s="30">
        <v>95</v>
      </c>
      <c r="L1017" s="29">
        <f t="shared" si="321"/>
        <v>11371.908376190921</v>
      </c>
      <c r="M1017" s="28" t="str">
        <f t="shared" si="311"/>
        <v/>
      </c>
      <c r="N1017" s="27" t="str">
        <f t="shared" si="322"/>
        <v/>
      </c>
      <c r="O1017" s="26" t="str">
        <f>IF(AND($Q1016=$O$38,IFERROR(LARGE($V$923:$V1016,1)&lt;$N$42,TRUE)),1,IF(AND(ISNUMBER($O1016),$O1016&lt;$N$32),$O1016+1,""))</f>
        <v/>
      </c>
      <c r="P1017" s="26" t="str">
        <f t="shared" si="323"/>
        <v/>
      </c>
      <c r="Q1017" s="26" t="str">
        <f t="shared" si="312"/>
        <v/>
      </c>
      <c r="R1017" s="24" t="str">
        <f t="shared" si="324"/>
        <v/>
      </c>
      <c r="S1017" s="180">
        <f t="shared" si="330"/>
        <v>8</v>
      </c>
      <c r="T1017" s="29">
        <f>SUM($AC$923:$AC1017)</f>
        <v>49500</v>
      </c>
      <c r="U1017" s="25" t="str">
        <f t="shared" si="313"/>
        <v/>
      </c>
      <c r="V1017" s="24" t="str">
        <f>IF(AND(ISNUMBER(R1016),ISNUMBER(R1017)),V1016,IF(AND(R1016="",ISNUMBER(R1017)),IFERROR(LARGE($V$923:$V1016,1)+1,0),""))</f>
        <v/>
      </c>
      <c r="W1017" s="23" t="str">
        <f t="shared" si="325"/>
        <v/>
      </c>
      <c r="X1017" s="22" t="str">
        <f t="shared" si="326"/>
        <v/>
      </c>
      <c r="Y1017" s="236"/>
      <c r="Z1017" s="22"/>
      <c r="AA1017" s="22"/>
      <c r="AB1017" s="22" t="str">
        <f t="shared" si="327"/>
        <v/>
      </c>
      <c r="AC1017" s="22" t="str">
        <f t="shared" si="328"/>
        <v/>
      </c>
      <c r="AD1017" s="22" t="str">
        <f t="shared" si="314"/>
        <v/>
      </c>
      <c r="AE1017" s="22" t="str">
        <f t="shared" si="329"/>
        <v/>
      </c>
      <c r="AF1017" s="22" t="str">
        <f t="shared" si="315"/>
        <v/>
      </c>
      <c r="AG1017" s="22" t="str">
        <f t="shared" si="316"/>
        <v/>
      </c>
      <c r="AH1017" s="22" t="str">
        <f t="shared" si="317"/>
        <v/>
      </c>
      <c r="AI1017" s="22" t="str">
        <f t="shared" si="318"/>
        <v/>
      </c>
      <c r="AJ1017" s="304" t="str">
        <f t="shared" si="319"/>
        <v/>
      </c>
      <c r="AK1017" s="140" t="str">
        <f t="shared" si="320"/>
        <v/>
      </c>
    </row>
    <row r="1018" spans="7:37" x14ac:dyDescent="0.25">
      <c r="G1018" s="235" t="str">
        <f t="shared" si="308"/>
        <v/>
      </c>
      <c r="H1018" s="4" t="str">
        <f t="shared" si="309"/>
        <v/>
      </c>
      <c r="I1018" s="11" t="str">
        <f t="shared" si="310"/>
        <v/>
      </c>
      <c r="K1018" s="30">
        <v>96</v>
      </c>
      <c r="L1018" s="29">
        <f t="shared" si="321"/>
        <v>11371.908376190921</v>
      </c>
      <c r="M1018" s="28" t="str">
        <f t="shared" si="311"/>
        <v/>
      </c>
      <c r="N1018" s="27" t="str">
        <f t="shared" si="322"/>
        <v/>
      </c>
      <c r="O1018" s="26" t="str">
        <f>IF(AND($Q1017=$O$38,IFERROR(LARGE($V$923:$V1017,1)&lt;$N$42,TRUE)),1,IF(AND(ISNUMBER($O1017),$O1017&lt;$N$32),$O1017+1,""))</f>
        <v/>
      </c>
      <c r="P1018" s="26" t="str">
        <f t="shared" si="323"/>
        <v/>
      </c>
      <c r="Q1018" s="26" t="str">
        <f t="shared" si="312"/>
        <v/>
      </c>
      <c r="R1018" s="24" t="str">
        <f t="shared" si="324"/>
        <v/>
      </c>
      <c r="S1018" s="180">
        <f t="shared" si="330"/>
        <v>8</v>
      </c>
      <c r="T1018" s="29">
        <f>SUM($AC$923:$AC1018)</f>
        <v>49500</v>
      </c>
      <c r="U1018" s="25" t="str">
        <f t="shared" si="313"/>
        <v/>
      </c>
      <c r="V1018" s="24" t="str">
        <f>IF(AND(ISNUMBER(R1017),ISNUMBER(R1018)),V1017,IF(AND(R1017="",ISNUMBER(R1018)),IFERROR(LARGE($V$923:$V1017,1)+1,0),""))</f>
        <v/>
      </c>
      <c r="W1018" s="23" t="str">
        <f t="shared" si="325"/>
        <v/>
      </c>
      <c r="X1018" s="22" t="str">
        <f t="shared" si="326"/>
        <v/>
      </c>
      <c r="Y1018" s="236"/>
      <c r="Z1018" s="22"/>
      <c r="AA1018" s="22"/>
      <c r="AB1018" s="22" t="str">
        <f t="shared" si="327"/>
        <v/>
      </c>
      <c r="AC1018" s="22" t="str">
        <f t="shared" si="328"/>
        <v/>
      </c>
      <c r="AD1018" s="22" t="str">
        <f t="shared" si="314"/>
        <v/>
      </c>
      <c r="AE1018" s="22" t="str">
        <f t="shared" si="329"/>
        <v/>
      </c>
      <c r="AF1018" s="22" t="str">
        <f t="shared" si="315"/>
        <v/>
      </c>
      <c r="AG1018" s="22" t="str">
        <f t="shared" si="316"/>
        <v/>
      </c>
      <c r="AH1018" s="22" t="str">
        <f t="shared" si="317"/>
        <v/>
      </c>
      <c r="AI1018" s="22" t="str">
        <f t="shared" si="318"/>
        <v/>
      </c>
      <c r="AJ1018" s="304" t="str">
        <f t="shared" si="319"/>
        <v/>
      </c>
      <c r="AK1018" s="140" t="str">
        <f t="shared" si="320"/>
        <v/>
      </c>
    </row>
    <row r="1019" spans="7:37" x14ac:dyDescent="0.25">
      <c r="G1019" s="235" t="str">
        <f t="shared" si="308"/>
        <v/>
      </c>
      <c r="H1019" s="4" t="str">
        <f t="shared" si="309"/>
        <v/>
      </c>
      <c r="I1019" s="11" t="str">
        <f t="shared" si="310"/>
        <v/>
      </c>
      <c r="K1019" s="30">
        <v>97</v>
      </c>
      <c r="L1019" s="29">
        <f t="shared" si="321"/>
        <v>11371.908376190921</v>
      </c>
      <c r="M1019" s="28" t="str">
        <f t="shared" si="311"/>
        <v/>
      </c>
      <c r="N1019" s="27" t="str">
        <f t="shared" si="322"/>
        <v/>
      </c>
      <c r="O1019" s="26" t="str">
        <f>IF(AND($Q1018=$O$38,IFERROR(LARGE($V$923:$V1018,1)&lt;$N$42,TRUE)),1,IF(AND(ISNUMBER($O1018),$O1018&lt;$N$32),$O1018+1,""))</f>
        <v/>
      </c>
      <c r="P1019" s="26" t="str">
        <f t="shared" si="323"/>
        <v/>
      </c>
      <c r="Q1019" s="26" t="str">
        <f t="shared" si="312"/>
        <v/>
      </c>
      <c r="R1019" s="24" t="str">
        <f t="shared" si="324"/>
        <v/>
      </c>
      <c r="S1019" s="180">
        <f t="shared" si="330"/>
        <v>8</v>
      </c>
      <c r="T1019" s="29">
        <f>SUM($AC$923:$AC1019)</f>
        <v>49500</v>
      </c>
      <c r="U1019" s="25" t="str">
        <f t="shared" si="313"/>
        <v/>
      </c>
      <c r="V1019" s="24" t="str">
        <f>IF(AND(ISNUMBER(R1018),ISNUMBER(R1019)),V1018,IF(AND(R1018="",ISNUMBER(R1019)),IFERROR(LARGE($V$923:$V1018,1)+1,0),""))</f>
        <v/>
      </c>
      <c r="W1019" s="23" t="str">
        <f t="shared" si="325"/>
        <v/>
      </c>
      <c r="X1019" s="22" t="str">
        <f t="shared" si="326"/>
        <v/>
      </c>
      <c r="Y1019" s="236"/>
      <c r="Z1019" s="22"/>
      <c r="AA1019" s="22"/>
      <c r="AB1019" s="22" t="str">
        <f t="shared" si="327"/>
        <v/>
      </c>
      <c r="AC1019" s="22" t="str">
        <f t="shared" si="328"/>
        <v/>
      </c>
      <c r="AD1019" s="22" t="str">
        <f t="shared" si="314"/>
        <v/>
      </c>
      <c r="AE1019" s="22" t="str">
        <f t="shared" si="329"/>
        <v/>
      </c>
      <c r="AF1019" s="22" t="str">
        <f t="shared" si="315"/>
        <v/>
      </c>
      <c r="AG1019" s="22" t="str">
        <f t="shared" si="316"/>
        <v/>
      </c>
      <c r="AH1019" s="22" t="str">
        <f t="shared" si="317"/>
        <v/>
      </c>
      <c r="AI1019" s="22" t="str">
        <f t="shared" si="318"/>
        <v/>
      </c>
      <c r="AJ1019" s="304" t="str">
        <f t="shared" si="319"/>
        <v/>
      </c>
      <c r="AK1019" s="140" t="str">
        <f t="shared" si="320"/>
        <v/>
      </c>
    </row>
    <row r="1020" spans="7:37" x14ac:dyDescent="0.25">
      <c r="G1020" s="235" t="str">
        <f t="shared" si="308"/>
        <v/>
      </c>
      <c r="H1020" s="4" t="str">
        <f t="shared" si="309"/>
        <v/>
      </c>
      <c r="I1020" s="11" t="str">
        <f t="shared" si="310"/>
        <v/>
      </c>
      <c r="K1020" s="30">
        <v>98</v>
      </c>
      <c r="L1020" s="29">
        <f t="shared" si="321"/>
        <v>11371.908376190921</v>
      </c>
      <c r="M1020" s="28" t="str">
        <f t="shared" si="311"/>
        <v/>
      </c>
      <c r="N1020" s="27" t="str">
        <f t="shared" si="322"/>
        <v/>
      </c>
      <c r="O1020" s="26" t="str">
        <f>IF(AND($Q1019=$O$38,IFERROR(LARGE($V$923:$V1019,1)&lt;$N$42,TRUE)),1,IF(AND(ISNUMBER($O1019),$O1019&lt;$N$32),$O1019+1,""))</f>
        <v/>
      </c>
      <c r="P1020" s="26" t="str">
        <f t="shared" si="323"/>
        <v/>
      </c>
      <c r="Q1020" s="26" t="str">
        <f t="shared" si="312"/>
        <v/>
      </c>
      <c r="R1020" s="24" t="str">
        <f t="shared" si="324"/>
        <v/>
      </c>
      <c r="S1020" s="180">
        <f t="shared" si="330"/>
        <v>8</v>
      </c>
      <c r="T1020" s="29">
        <f>SUM($AC$923:$AC1020)</f>
        <v>49500</v>
      </c>
      <c r="U1020" s="25" t="str">
        <f t="shared" si="313"/>
        <v/>
      </c>
      <c r="V1020" s="24" t="str">
        <f>IF(AND(ISNUMBER(R1019),ISNUMBER(R1020)),V1019,IF(AND(R1019="",ISNUMBER(R1020)),IFERROR(LARGE($V$923:$V1019,1)+1,0),""))</f>
        <v/>
      </c>
      <c r="W1020" s="23" t="str">
        <f t="shared" si="325"/>
        <v/>
      </c>
      <c r="X1020" s="22" t="str">
        <f t="shared" si="326"/>
        <v/>
      </c>
      <c r="Y1020" s="236"/>
      <c r="Z1020" s="22"/>
      <c r="AA1020" s="22"/>
      <c r="AB1020" s="22" t="str">
        <f t="shared" si="327"/>
        <v/>
      </c>
      <c r="AC1020" s="22" t="str">
        <f t="shared" si="328"/>
        <v/>
      </c>
      <c r="AD1020" s="22" t="str">
        <f t="shared" si="314"/>
        <v/>
      </c>
      <c r="AE1020" s="22" t="str">
        <f t="shared" si="329"/>
        <v/>
      </c>
      <c r="AF1020" s="22" t="str">
        <f t="shared" si="315"/>
        <v/>
      </c>
      <c r="AG1020" s="22" t="str">
        <f t="shared" si="316"/>
        <v/>
      </c>
      <c r="AH1020" s="22" t="str">
        <f t="shared" si="317"/>
        <v/>
      </c>
      <c r="AI1020" s="22" t="str">
        <f t="shared" si="318"/>
        <v/>
      </c>
      <c r="AJ1020" s="304" t="str">
        <f t="shared" si="319"/>
        <v/>
      </c>
      <c r="AK1020" s="140" t="str">
        <f t="shared" si="320"/>
        <v/>
      </c>
    </row>
    <row r="1021" spans="7:37" x14ac:dyDescent="0.25">
      <c r="G1021" s="235" t="str">
        <f t="shared" si="308"/>
        <v/>
      </c>
      <c r="H1021" s="4" t="str">
        <f t="shared" si="309"/>
        <v/>
      </c>
      <c r="I1021" s="11" t="str">
        <f t="shared" si="310"/>
        <v/>
      </c>
      <c r="K1021" s="30">
        <v>99</v>
      </c>
      <c r="L1021" s="29">
        <f t="shared" si="321"/>
        <v>11371.908376190921</v>
      </c>
      <c r="M1021" s="28" t="str">
        <f t="shared" si="311"/>
        <v/>
      </c>
      <c r="N1021" s="27" t="str">
        <f t="shared" si="322"/>
        <v/>
      </c>
      <c r="O1021" s="26" t="str">
        <f>IF(AND($Q1020=$O$38,IFERROR(LARGE($V$923:$V1020,1)&lt;$N$42,TRUE)),1,IF(AND(ISNUMBER($O1020),$O1020&lt;$N$32),$O1020+1,""))</f>
        <v/>
      </c>
      <c r="P1021" s="26" t="str">
        <f t="shared" si="323"/>
        <v/>
      </c>
      <c r="Q1021" s="26" t="str">
        <f t="shared" si="312"/>
        <v/>
      </c>
      <c r="R1021" s="24" t="str">
        <f t="shared" si="324"/>
        <v/>
      </c>
      <c r="S1021" s="180">
        <f t="shared" si="330"/>
        <v>8</v>
      </c>
      <c r="T1021" s="29">
        <f>SUM($AC$923:$AC1021)</f>
        <v>49500</v>
      </c>
      <c r="U1021" s="25" t="str">
        <f t="shared" si="313"/>
        <v/>
      </c>
      <c r="V1021" s="24" t="str">
        <f>IF(AND(ISNUMBER(R1020),ISNUMBER(R1021)),V1020,IF(AND(R1020="",ISNUMBER(R1021)),IFERROR(LARGE($V$923:$V1020,1)+1,0),""))</f>
        <v/>
      </c>
      <c r="W1021" s="23" t="str">
        <f t="shared" si="325"/>
        <v/>
      </c>
      <c r="X1021" s="22" t="str">
        <f t="shared" si="326"/>
        <v/>
      </c>
      <c r="Y1021" s="236"/>
      <c r="Z1021" s="22"/>
      <c r="AA1021" s="22"/>
      <c r="AB1021" s="22" t="str">
        <f t="shared" si="327"/>
        <v/>
      </c>
      <c r="AC1021" s="22" t="str">
        <f t="shared" si="328"/>
        <v/>
      </c>
      <c r="AD1021" s="22" t="str">
        <f t="shared" si="314"/>
        <v/>
      </c>
      <c r="AE1021" s="22" t="str">
        <f t="shared" si="329"/>
        <v/>
      </c>
      <c r="AF1021" s="22" t="str">
        <f t="shared" si="315"/>
        <v/>
      </c>
      <c r="AG1021" s="22" t="str">
        <f t="shared" si="316"/>
        <v/>
      </c>
      <c r="AH1021" s="22" t="str">
        <f t="shared" si="317"/>
        <v/>
      </c>
      <c r="AI1021" s="22" t="str">
        <f t="shared" si="318"/>
        <v/>
      </c>
      <c r="AJ1021" s="304" t="str">
        <f t="shared" si="319"/>
        <v/>
      </c>
      <c r="AK1021" s="140" t="str">
        <f t="shared" si="320"/>
        <v/>
      </c>
    </row>
    <row r="1022" spans="7:37" x14ac:dyDescent="0.25">
      <c r="G1022" s="235" t="str">
        <f t="shared" si="308"/>
        <v/>
      </c>
      <c r="H1022" s="4" t="str">
        <f t="shared" si="309"/>
        <v/>
      </c>
      <c r="I1022" s="11" t="str">
        <f t="shared" si="310"/>
        <v/>
      </c>
      <c r="K1022" s="30">
        <v>100</v>
      </c>
      <c r="L1022" s="29">
        <f t="shared" si="321"/>
        <v>11371.908376190921</v>
      </c>
      <c r="M1022" s="28" t="str">
        <f t="shared" si="311"/>
        <v/>
      </c>
      <c r="N1022" s="27" t="str">
        <f t="shared" si="322"/>
        <v/>
      </c>
      <c r="O1022" s="26" t="str">
        <f>IF(AND($Q1021=$O$38,IFERROR(LARGE($V$923:$V1021,1)&lt;$N$42,TRUE)),1,IF(AND(ISNUMBER($O1021),$O1021&lt;$N$32),$O1021+1,""))</f>
        <v/>
      </c>
      <c r="P1022" s="26" t="str">
        <f t="shared" si="323"/>
        <v/>
      </c>
      <c r="Q1022" s="26" t="str">
        <f t="shared" si="312"/>
        <v/>
      </c>
      <c r="R1022" s="24" t="str">
        <f t="shared" si="324"/>
        <v/>
      </c>
      <c r="S1022" s="180">
        <f t="shared" si="330"/>
        <v>8</v>
      </c>
      <c r="T1022" s="29">
        <f>SUM($AC$923:$AC1022)</f>
        <v>49500</v>
      </c>
      <c r="U1022" s="25" t="str">
        <f t="shared" si="313"/>
        <v/>
      </c>
      <c r="V1022" s="24" t="str">
        <f>IF(AND(ISNUMBER(R1021),ISNUMBER(R1022)),V1021,IF(AND(R1021="",ISNUMBER(R1022)),IFERROR(LARGE($V$923:$V1021,1)+1,0),""))</f>
        <v/>
      </c>
      <c r="W1022" s="23" t="str">
        <f t="shared" si="325"/>
        <v/>
      </c>
      <c r="X1022" s="22" t="str">
        <f t="shared" si="326"/>
        <v/>
      </c>
      <c r="Y1022" s="236"/>
      <c r="Z1022" s="22"/>
      <c r="AA1022" s="22"/>
      <c r="AB1022" s="22" t="str">
        <f t="shared" si="327"/>
        <v/>
      </c>
      <c r="AC1022" s="22" t="str">
        <f t="shared" si="328"/>
        <v/>
      </c>
      <c r="AD1022" s="22" t="str">
        <f t="shared" si="314"/>
        <v/>
      </c>
      <c r="AE1022" s="22" t="str">
        <f t="shared" si="329"/>
        <v/>
      </c>
      <c r="AF1022" s="22" t="str">
        <f t="shared" si="315"/>
        <v/>
      </c>
      <c r="AG1022" s="22" t="str">
        <f t="shared" si="316"/>
        <v/>
      </c>
      <c r="AH1022" s="22" t="str">
        <f t="shared" si="317"/>
        <v/>
      </c>
      <c r="AI1022" s="22" t="str">
        <f t="shared" si="318"/>
        <v/>
      </c>
      <c r="AJ1022" s="304" t="str">
        <f t="shared" si="319"/>
        <v/>
      </c>
      <c r="AK1022" s="140" t="str">
        <f t="shared" si="320"/>
        <v/>
      </c>
    </row>
    <row r="1023" spans="7:37" x14ac:dyDescent="0.25">
      <c r="G1023" s="235" t="str">
        <f t="shared" si="308"/>
        <v/>
      </c>
      <c r="H1023" s="4" t="str">
        <f t="shared" si="309"/>
        <v/>
      </c>
      <c r="I1023" s="11" t="str">
        <f t="shared" si="310"/>
        <v/>
      </c>
      <c r="K1023" s="30">
        <v>101</v>
      </c>
      <c r="L1023" s="29">
        <f t="shared" si="321"/>
        <v>11371.908376190921</v>
      </c>
      <c r="M1023" s="28" t="str">
        <f t="shared" si="311"/>
        <v/>
      </c>
      <c r="N1023" s="27" t="str">
        <f t="shared" si="322"/>
        <v/>
      </c>
      <c r="O1023" s="26" t="str">
        <f>IF(AND($Q1022=$O$38,IFERROR(LARGE($V$923:$V1022,1)&lt;$N$42,TRUE)),1,IF(AND(ISNUMBER($O1022),$O1022&lt;$N$32),$O1022+1,""))</f>
        <v/>
      </c>
      <c r="P1023" s="26" t="str">
        <f t="shared" si="323"/>
        <v/>
      </c>
      <c r="Q1023" s="26" t="str">
        <f t="shared" si="312"/>
        <v/>
      </c>
      <c r="R1023" s="24" t="str">
        <f t="shared" si="324"/>
        <v/>
      </c>
      <c r="S1023" s="180">
        <f t="shared" si="330"/>
        <v>8</v>
      </c>
      <c r="T1023" s="29">
        <f>SUM($AC$923:$AC1023)</f>
        <v>49500</v>
      </c>
      <c r="U1023" s="25" t="str">
        <f t="shared" si="313"/>
        <v/>
      </c>
      <c r="V1023" s="24" t="str">
        <f>IF(AND(ISNUMBER(R1022),ISNUMBER(R1023)),V1022,IF(AND(R1022="",ISNUMBER(R1023)),IFERROR(LARGE($V$923:$V1022,1)+1,0),""))</f>
        <v/>
      </c>
      <c r="W1023" s="23" t="str">
        <f t="shared" si="325"/>
        <v/>
      </c>
      <c r="X1023" s="22" t="str">
        <f t="shared" si="326"/>
        <v/>
      </c>
      <c r="Y1023" s="236"/>
      <c r="Z1023" s="22"/>
      <c r="AA1023" s="22"/>
      <c r="AB1023" s="22" t="str">
        <f t="shared" si="327"/>
        <v/>
      </c>
      <c r="AC1023" s="22" t="str">
        <f t="shared" si="328"/>
        <v/>
      </c>
      <c r="AD1023" s="22" t="str">
        <f t="shared" si="314"/>
        <v/>
      </c>
      <c r="AE1023" s="22" t="str">
        <f t="shared" si="329"/>
        <v/>
      </c>
      <c r="AF1023" s="22" t="str">
        <f t="shared" si="315"/>
        <v/>
      </c>
      <c r="AG1023" s="22" t="str">
        <f t="shared" si="316"/>
        <v/>
      </c>
      <c r="AH1023" s="22" t="str">
        <f t="shared" si="317"/>
        <v/>
      </c>
      <c r="AI1023" s="22" t="str">
        <f t="shared" si="318"/>
        <v/>
      </c>
      <c r="AJ1023" s="304" t="str">
        <f t="shared" si="319"/>
        <v/>
      </c>
      <c r="AK1023" s="140" t="str">
        <f t="shared" si="320"/>
        <v/>
      </c>
    </row>
    <row r="1024" spans="7:37" x14ac:dyDescent="0.25">
      <c r="G1024" s="235" t="str">
        <f t="shared" si="308"/>
        <v/>
      </c>
      <c r="H1024" s="4" t="str">
        <f t="shared" si="309"/>
        <v/>
      </c>
      <c r="I1024" s="11" t="str">
        <f t="shared" si="310"/>
        <v/>
      </c>
      <c r="K1024" s="30">
        <v>102</v>
      </c>
      <c r="L1024" s="29">
        <f t="shared" si="321"/>
        <v>11371.908376190921</v>
      </c>
      <c r="M1024" s="28" t="str">
        <f t="shared" si="311"/>
        <v/>
      </c>
      <c r="N1024" s="27" t="str">
        <f t="shared" si="322"/>
        <v/>
      </c>
      <c r="O1024" s="26" t="str">
        <f>IF(AND($Q1023=$O$38,IFERROR(LARGE($V$923:$V1023,1)&lt;$N$42,TRUE)),1,IF(AND(ISNUMBER($O1023),$O1023&lt;$N$32),$O1023+1,""))</f>
        <v/>
      </c>
      <c r="P1024" s="26" t="str">
        <f t="shared" si="323"/>
        <v/>
      </c>
      <c r="Q1024" s="26" t="str">
        <f t="shared" si="312"/>
        <v/>
      </c>
      <c r="R1024" s="24" t="str">
        <f t="shared" si="324"/>
        <v/>
      </c>
      <c r="S1024" s="180">
        <f t="shared" si="330"/>
        <v>8</v>
      </c>
      <c r="T1024" s="29">
        <f>SUM($AC$923:$AC1024)</f>
        <v>49500</v>
      </c>
      <c r="U1024" s="25" t="str">
        <f t="shared" si="313"/>
        <v/>
      </c>
      <c r="V1024" s="24" t="str">
        <f>IF(AND(ISNUMBER(R1023),ISNUMBER(R1024)),V1023,IF(AND(R1023="",ISNUMBER(R1024)),IFERROR(LARGE($V$923:$V1023,1)+1,0),""))</f>
        <v/>
      </c>
      <c r="W1024" s="23" t="str">
        <f t="shared" si="325"/>
        <v/>
      </c>
      <c r="X1024" s="22" t="str">
        <f t="shared" si="326"/>
        <v/>
      </c>
      <c r="Y1024" s="236"/>
      <c r="Z1024" s="22"/>
      <c r="AA1024" s="22"/>
      <c r="AB1024" s="22" t="str">
        <f t="shared" si="327"/>
        <v/>
      </c>
      <c r="AC1024" s="22" t="str">
        <f t="shared" si="328"/>
        <v/>
      </c>
      <c r="AD1024" s="22" t="str">
        <f t="shared" si="314"/>
        <v/>
      </c>
      <c r="AE1024" s="22" t="str">
        <f t="shared" si="329"/>
        <v/>
      </c>
      <c r="AF1024" s="22" t="str">
        <f t="shared" si="315"/>
        <v/>
      </c>
      <c r="AG1024" s="22" t="str">
        <f t="shared" si="316"/>
        <v/>
      </c>
      <c r="AH1024" s="22" t="str">
        <f t="shared" si="317"/>
        <v/>
      </c>
      <c r="AI1024" s="22" t="str">
        <f t="shared" si="318"/>
        <v/>
      </c>
      <c r="AJ1024" s="304" t="str">
        <f t="shared" si="319"/>
        <v/>
      </c>
      <c r="AK1024" s="140" t="str">
        <f t="shared" si="320"/>
        <v/>
      </c>
    </row>
    <row r="1025" spans="7:37" x14ac:dyDescent="0.25">
      <c r="G1025" s="235" t="str">
        <f t="shared" si="308"/>
        <v/>
      </c>
      <c r="H1025" s="4" t="str">
        <f t="shared" si="309"/>
        <v/>
      </c>
      <c r="I1025" s="11" t="str">
        <f t="shared" si="310"/>
        <v/>
      </c>
      <c r="K1025" s="30">
        <v>103</v>
      </c>
      <c r="L1025" s="29">
        <f t="shared" si="321"/>
        <v>11371.908376190921</v>
      </c>
      <c r="M1025" s="28" t="str">
        <f t="shared" si="311"/>
        <v/>
      </c>
      <c r="N1025" s="27" t="str">
        <f t="shared" si="322"/>
        <v/>
      </c>
      <c r="O1025" s="26" t="str">
        <f>IF(AND($Q1024=$O$38,IFERROR(LARGE($V$923:$V1024,1)&lt;$N$42,TRUE)),1,IF(AND(ISNUMBER($O1024),$O1024&lt;$N$32),$O1024+1,""))</f>
        <v/>
      </c>
      <c r="P1025" s="26" t="str">
        <f t="shared" si="323"/>
        <v/>
      </c>
      <c r="Q1025" s="26" t="str">
        <f t="shared" si="312"/>
        <v/>
      </c>
      <c r="R1025" s="24" t="str">
        <f t="shared" si="324"/>
        <v/>
      </c>
      <c r="S1025" s="180">
        <f t="shared" si="330"/>
        <v>8</v>
      </c>
      <c r="T1025" s="29">
        <f>SUM($AC$923:$AC1025)</f>
        <v>49500</v>
      </c>
      <c r="U1025" s="25" t="str">
        <f t="shared" si="313"/>
        <v/>
      </c>
      <c r="V1025" s="24" t="str">
        <f>IF(AND(ISNUMBER(R1024),ISNUMBER(R1025)),V1024,IF(AND(R1024="",ISNUMBER(R1025)),IFERROR(LARGE($V$923:$V1024,1)+1,0),""))</f>
        <v/>
      </c>
      <c r="W1025" s="23" t="str">
        <f t="shared" si="325"/>
        <v/>
      </c>
      <c r="X1025" s="22" t="str">
        <f t="shared" si="326"/>
        <v/>
      </c>
      <c r="Y1025" s="236"/>
      <c r="Z1025" s="22"/>
      <c r="AA1025" s="22"/>
      <c r="AB1025" s="22" t="str">
        <f t="shared" si="327"/>
        <v/>
      </c>
      <c r="AC1025" s="22" t="str">
        <f t="shared" si="328"/>
        <v/>
      </c>
      <c r="AD1025" s="22" t="str">
        <f t="shared" si="314"/>
        <v/>
      </c>
      <c r="AE1025" s="22" t="str">
        <f t="shared" si="329"/>
        <v/>
      </c>
      <c r="AF1025" s="22" t="str">
        <f t="shared" si="315"/>
        <v/>
      </c>
      <c r="AG1025" s="22" t="str">
        <f t="shared" si="316"/>
        <v/>
      </c>
      <c r="AH1025" s="22" t="str">
        <f t="shared" si="317"/>
        <v/>
      </c>
      <c r="AI1025" s="22" t="str">
        <f t="shared" si="318"/>
        <v/>
      </c>
      <c r="AJ1025" s="304" t="str">
        <f t="shared" si="319"/>
        <v/>
      </c>
      <c r="AK1025" s="140" t="str">
        <f t="shared" si="320"/>
        <v/>
      </c>
    </row>
    <row r="1026" spans="7:37" x14ac:dyDescent="0.25">
      <c r="G1026" s="235" t="str">
        <f t="shared" si="308"/>
        <v/>
      </c>
      <c r="H1026" s="4" t="str">
        <f t="shared" si="309"/>
        <v/>
      </c>
      <c r="I1026" s="11" t="str">
        <f t="shared" si="310"/>
        <v/>
      </c>
      <c r="K1026" s="30">
        <v>104</v>
      </c>
      <c r="L1026" s="29">
        <f t="shared" si="321"/>
        <v>11371.908376190921</v>
      </c>
      <c r="M1026" s="28" t="str">
        <f t="shared" si="311"/>
        <v/>
      </c>
      <c r="N1026" s="27" t="str">
        <f t="shared" si="322"/>
        <v/>
      </c>
      <c r="O1026" s="26" t="str">
        <f>IF(AND($Q1025=$O$38,IFERROR(LARGE($V$923:$V1025,1)&lt;$N$42,TRUE)),1,IF(AND(ISNUMBER($O1025),$O1025&lt;$N$32),$O1025+1,""))</f>
        <v/>
      </c>
      <c r="P1026" s="26" t="str">
        <f t="shared" si="323"/>
        <v/>
      </c>
      <c r="Q1026" s="26" t="str">
        <f t="shared" si="312"/>
        <v/>
      </c>
      <c r="R1026" s="24" t="str">
        <f t="shared" si="324"/>
        <v/>
      </c>
      <c r="S1026" s="180">
        <f t="shared" si="330"/>
        <v>8</v>
      </c>
      <c r="T1026" s="29">
        <f>SUM($AC$923:$AC1026)</f>
        <v>49500</v>
      </c>
      <c r="U1026" s="25" t="str">
        <f t="shared" si="313"/>
        <v/>
      </c>
      <c r="V1026" s="24" t="str">
        <f>IF(AND(ISNUMBER(R1025),ISNUMBER(R1026)),V1025,IF(AND(R1025="",ISNUMBER(R1026)),IFERROR(LARGE($V$923:$V1025,1)+1,0),""))</f>
        <v/>
      </c>
      <c r="W1026" s="23" t="str">
        <f t="shared" si="325"/>
        <v/>
      </c>
      <c r="X1026" s="22" t="str">
        <f t="shared" si="326"/>
        <v/>
      </c>
      <c r="Y1026" s="236"/>
      <c r="Z1026" s="22"/>
      <c r="AA1026" s="22"/>
      <c r="AB1026" s="22" t="str">
        <f t="shared" si="327"/>
        <v/>
      </c>
      <c r="AC1026" s="22" t="str">
        <f t="shared" si="328"/>
        <v/>
      </c>
      <c r="AD1026" s="22" t="str">
        <f t="shared" si="314"/>
        <v/>
      </c>
      <c r="AE1026" s="22" t="str">
        <f t="shared" si="329"/>
        <v/>
      </c>
      <c r="AF1026" s="22" t="str">
        <f t="shared" si="315"/>
        <v/>
      </c>
      <c r="AG1026" s="22" t="str">
        <f t="shared" si="316"/>
        <v/>
      </c>
      <c r="AH1026" s="22" t="str">
        <f t="shared" si="317"/>
        <v/>
      </c>
      <c r="AI1026" s="22" t="str">
        <f t="shared" si="318"/>
        <v/>
      </c>
      <c r="AJ1026" s="304" t="str">
        <f t="shared" si="319"/>
        <v/>
      </c>
      <c r="AK1026" s="140" t="str">
        <f t="shared" si="320"/>
        <v/>
      </c>
    </row>
    <row r="1027" spans="7:37" x14ac:dyDescent="0.25">
      <c r="G1027" s="235" t="str">
        <f t="shared" si="308"/>
        <v/>
      </c>
      <c r="H1027" s="4" t="str">
        <f t="shared" si="309"/>
        <v/>
      </c>
      <c r="I1027" s="11" t="str">
        <f t="shared" si="310"/>
        <v/>
      </c>
      <c r="K1027" s="30">
        <v>105</v>
      </c>
      <c r="L1027" s="29">
        <f t="shared" si="321"/>
        <v>11371.908376190921</v>
      </c>
      <c r="M1027" s="28" t="str">
        <f t="shared" si="311"/>
        <v/>
      </c>
      <c r="N1027" s="27" t="str">
        <f t="shared" si="322"/>
        <v/>
      </c>
      <c r="O1027" s="26" t="str">
        <f>IF(AND($Q1026=$O$38,IFERROR(LARGE($V$923:$V1026,1)&lt;$N$42,TRUE)),1,IF(AND(ISNUMBER($O1026),$O1026&lt;$N$32),$O1026+1,""))</f>
        <v/>
      </c>
      <c r="P1027" s="26" t="str">
        <f t="shared" si="323"/>
        <v/>
      </c>
      <c r="Q1027" s="26" t="str">
        <f t="shared" si="312"/>
        <v/>
      </c>
      <c r="R1027" s="24" t="str">
        <f t="shared" si="324"/>
        <v/>
      </c>
      <c r="S1027" s="180">
        <f t="shared" si="330"/>
        <v>8</v>
      </c>
      <c r="T1027" s="29">
        <f>SUM($AC$923:$AC1027)</f>
        <v>49500</v>
      </c>
      <c r="U1027" s="25" t="str">
        <f t="shared" si="313"/>
        <v/>
      </c>
      <c r="V1027" s="24" t="str">
        <f>IF(AND(ISNUMBER(R1026),ISNUMBER(R1027)),V1026,IF(AND(R1026="",ISNUMBER(R1027)),IFERROR(LARGE($V$923:$V1026,1)+1,0),""))</f>
        <v/>
      </c>
      <c r="W1027" s="23" t="str">
        <f t="shared" si="325"/>
        <v/>
      </c>
      <c r="X1027" s="22" t="str">
        <f t="shared" si="326"/>
        <v/>
      </c>
      <c r="Y1027" s="236"/>
      <c r="Z1027" s="22"/>
      <c r="AA1027" s="22"/>
      <c r="AB1027" s="22" t="str">
        <f t="shared" si="327"/>
        <v/>
      </c>
      <c r="AC1027" s="22" t="str">
        <f t="shared" si="328"/>
        <v/>
      </c>
      <c r="AD1027" s="22" t="str">
        <f t="shared" si="314"/>
        <v/>
      </c>
      <c r="AE1027" s="22" t="str">
        <f t="shared" si="329"/>
        <v/>
      </c>
      <c r="AF1027" s="22" t="str">
        <f t="shared" si="315"/>
        <v/>
      </c>
      <c r="AG1027" s="22" t="str">
        <f t="shared" si="316"/>
        <v/>
      </c>
      <c r="AH1027" s="22" t="str">
        <f t="shared" si="317"/>
        <v/>
      </c>
      <c r="AI1027" s="22" t="str">
        <f t="shared" si="318"/>
        <v/>
      </c>
      <c r="AJ1027" s="304" t="str">
        <f t="shared" si="319"/>
        <v/>
      </c>
      <c r="AK1027" s="140" t="str">
        <f t="shared" si="320"/>
        <v/>
      </c>
    </row>
    <row r="1028" spans="7:37" x14ac:dyDescent="0.25">
      <c r="G1028" s="235" t="str">
        <f t="shared" si="308"/>
        <v/>
      </c>
      <c r="H1028" s="4" t="str">
        <f t="shared" si="309"/>
        <v/>
      </c>
      <c r="I1028" s="11" t="str">
        <f t="shared" si="310"/>
        <v/>
      </c>
      <c r="K1028" s="30">
        <v>106</v>
      </c>
      <c r="L1028" s="29">
        <f t="shared" si="321"/>
        <v>11371.908376190921</v>
      </c>
      <c r="M1028" s="28" t="str">
        <f t="shared" si="311"/>
        <v/>
      </c>
      <c r="N1028" s="27" t="str">
        <f t="shared" si="322"/>
        <v/>
      </c>
      <c r="O1028" s="26" t="str">
        <f>IF(AND($Q1027=$O$38,IFERROR(LARGE($V$923:$V1027,1)&lt;$N$42,TRUE)),1,IF(AND(ISNUMBER($O1027),$O1027&lt;$N$32),$O1027+1,""))</f>
        <v/>
      </c>
      <c r="P1028" s="26" t="str">
        <f t="shared" si="323"/>
        <v/>
      </c>
      <c r="Q1028" s="26" t="str">
        <f t="shared" si="312"/>
        <v/>
      </c>
      <c r="R1028" s="24" t="str">
        <f t="shared" si="324"/>
        <v/>
      </c>
      <c r="S1028" s="180">
        <f t="shared" si="330"/>
        <v>8</v>
      </c>
      <c r="T1028" s="29">
        <f>SUM($AC$923:$AC1028)</f>
        <v>49500</v>
      </c>
      <c r="U1028" s="25" t="str">
        <f t="shared" si="313"/>
        <v/>
      </c>
      <c r="V1028" s="24" t="str">
        <f>IF(AND(ISNUMBER(R1027),ISNUMBER(R1028)),V1027,IF(AND(R1027="",ISNUMBER(R1028)),IFERROR(LARGE($V$923:$V1027,1)+1,0),""))</f>
        <v/>
      </c>
      <c r="W1028" s="23" t="str">
        <f t="shared" si="325"/>
        <v/>
      </c>
      <c r="X1028" s="22" t="str">
        <f t="shared" si="326"/>
        <v/>
      </c>
      <c r="Y1028" s="236"/>
      <c r="Z1028" s="22"/>
      <c r="AA1028" s="22"/>
      <c r="AB1028" s="22" t="str">
        <f t="shared" si="327"/>
        <v/>
      </c>
      <c r="AC1028" s="22" t="str">
        <f t="shared" si="328"/>
        <v/>
      </c>
      <c r="AD1028" s="22" t="str">
        <f t="shared" si="314"/>
        <v/>
      </c>
      <c r="AE1028" s="22" t="str">
        <f t="shared" si="329"/>
        <v/>
      </c>
      <c r="AF1028" s="22" t="str">
        <f t="shared" si="315"/>
        <v/>
      </c>
      <c r="AG1028" s="22" t="str">
        <f t="shared" si="316"/>
        <v/>
      </c>
      <c r="AH1028" s="22" t="str">
        <f t="shared" si="317"/>
        <v/>
      </c>
      <c r="AI1028" s="22" t="str">
        <f t="shared" si="318"/>
        <v/>
      </c>
      <c r="AJ1028" s="304" t="str">
        <f t="shared" si="319"/>
        <v/>
      </c>
      <c r="AK1028" s="140" t="str">
        <f t="shared" si="320"/>
        <v/>
      </c>
    </row>
    <row r="1029" spans="7:37" x14ac:dyDescent="0.25">
      <c r="G1029" s="235" t="str">
        <f t="shared" si="308"/>
        <v/>
      </c>
      <c r="H1029" s="4" t="str">
        <f t="shared" si="309"/>
        <v/>
      </c>
      <c r="I1029" s="11" t="str">
        <f t="shared" si="310"/>
        <v/>
      </c>
      <c r="K1029" s="30">
        <v>107</v>
      </c>
      <c r="L1029" s="29">
        <f t="shared" si="321"/>
        <v>11371.908376190921</v>
      </c>
      <c r="M1029" s="28" t="str">
        <f t="shared" si="311"/>
        <v/>
      </c>
      <c r="N1029" s="27" t="str">
        <f t="shared" si="322"/>
        <v/>
      </c>
      <c r="O1029" s="26" t="str">
        <f>IF(AND($Q1028=$O$38,IFERROR(LARGE($V$923:$V1028,1)&lt;$N$42,TRUE)),1,IF(AND(ISNUMBER($O1028),$O1028&lt;$N$32),$O1028+1,""))</f>
        <v/>
      </c>
      <c r="P1029" s="26" t="str">
        <f t="shared" si="323"/>
        <v/>
      </c>
      <c r="Q1029" s="26" t="str">
        <f t="shared" si="312"/>
        <v/>
      </c>
      <c r="R1029" s="24" t="str">
        <f t="shared" si="324"/>
        <v/>
      </c>
      <c r="S1029" s="180">
        <f t="shared" si="330"/>
        <v>8</v>
      </c>
      <c r="T1029" s="29">
        <f>SUM($AC$923:$AC1029)</f>
        <v>49500</v>
      </c>
      <c r="U1029" s="25" t="str">
        <f t="shared" si="313"/>
        <v/>
      </c>
      <c r="V1029" s="24" t="str">
        <f>IF(AND(ISNUMBER(R1028),ISNUMBER(R1029)),V1028,IF(AND(R1028="",ISNUMBER(R1029)),IFERROR(LARGE($V$923:$V1028,1)+1,0),""))</f>
        <v/>
      </c>
      <c r="W1029" s="23" t="str">
        <f t="shared" si="325"/>
        <v/>
      </c>
      <c r="X1029" s="22" t="str">
        <f t="shared" si="326"/>
        <v/>
      </c>
      <c r="Y1029" s="236"/>
      <c r="Z1029" s="22"/>
      <c r="AA1029" s="22"/>
      <c r="AB1029" s="22" t="str">
        <f t="shared" si="327"/>
        <v/>
      </c>
      <c r="AC1029" s="22" t="str">
        <f t="shared" si="328"/>
        <v/>
      </c>
      <c r="AD1029" s="22" t="str">
        <f t="shared" si="314"/>
        <v/>
      </c>
      <c r="AE1029" s="22" t="str">
        <f t="shared" si="329"/>
        <v/>
      </c>
      <c r="AF1029" s="22" t="str">
        <f t="shared" si="315"/>
        <v/>
      </c>
      <c r="AG1029" s="22" t="str">
        <f t="shared" si="316"/>
        <v/>
      </c>
      <c r="AH1029" s="22" t="str">
        <f t="shared" si="317"/>
        <v/>
      </c>
      <c r="AI1029" s="22" t="str">
        <f t="shared" si="318"/>
        <v/>
      </c>
      <c r="AJ1029" s="304" t="str">
        <f t="shared" si="319"/>
        <v/>
      </c>
      <c r="AK1029" s="140" t="str">
        <f t="shared" si="320"/>
        <v/>
      </c>
    </row>
    <row r="1030" spans="7:37" x14ac:dyDescent="0.25">
      <c r="G1030" s="235" t="str">
        <f t="shared" si="308"/>
        <v/>
      </c>
      <c r="H1030" s="4" t="str">
        <f t="shared" si="309"/>
        <v/>
      </c>
      <c r="I1030" s="11" t="str">
        <f t="shared" si="310"/>
        <v/>
      </c>
      <c r="K1030" s="30">
        <v>108</v>
      </c>
      <c r="L1030" s="29">
        <f t="shared" si="321"/>
        <v>11371.908376190921</v>
      </c>
      <c r="M1030" s="28" t="str">
        <f t="shared" si="311"/>
        <v/>
      </c>
      <c r="N1030" s="27" t="str">
        <f t="shared" si="322"/>
        <v/>
      </c>
      <c r="O1030" s="26" t="str">
        <f>IF(AND($Q1029=$O$38,IFERROR(LARGE($V$923:$V1029,1)&lt;$N$42,TRUE)),1,IF(AND(ISNUMBER($O1029),$O1029&lt;$N$32),$O1029+1,""))</f>
        <v/>
      </c>
      <c r="P1030" s="26" t="str">
        <f t="shared" si="323"/>
        <v/>
      </c>
      <c r="Q1030" s="26" t="str">
        <f t="shared" si="312"/>
        <v/>
      </c>
      <c r="R1030" s="24" t="str">
        <f t="shared" si="324"/>
        <v/>
      </c>
      <c r="S1030" s="180">
        <f t="shared" si="330"/>
        <v>8</v>
      </c>
      <c r="T1030" s="29">
        <f>SUM($AC$923:$AC1030)</f>
        <v>49500</v>
      </c>
      <c r="U1030" s="25" t="str">
        <f t="shared" si="313"/>
        <v/>
      </c>
      <c r="V1030" s="24" t="str">
        <f>IF(AND(ISNUMBER(R1029),ISNUMBER(R1030)),V1029,IF(AND(R1029="",ISNUMBER(R1030)),IFERROR(LARGE($V$923:$V1029,1)+1,0),""))</f>
        <v/>
      </c>
      <c r="W1030" s="23" t="str">
        <f t="shared" si="325"/>
        <v/>
      </c>
      <c r="X1030" s="22" t="str">
        <f t="shared" si="326"/>
        <v/>
      </c>
      <c r="Y1030" s="236"/>
      <c r="Z1030" s="22"/>
      <c r="AA1030" s="22"/>
      <c r="AB1030" s="22" t="str">
        <f t="shared" si="327"/>
        <v/>
      </c>
      <c r="AC1030" s="22" t="str">
        <f t="shared" si="328"/>
        <v/>
      </c>
      <c r="AD1030" s="22" t="str">
        <f t="shared" si="314"/>
        <v/>
      </c>
      <c r="AE1030" s="22" t="str">
        <f t="shared" si="329"/>
        <v/>
      </c>
      <c r="AF1030" s="22" t="str">
        <f t="shared" si="315"/>
        <v/>
      </c>
      <c r="AG1030" s="22" t="str">
        <f t="shared" si="316"/>
        <v/>
      </c>
      <c r="AH1030" s="22" t="str">
        <f t="shared" si="317"/>
        <v/>
      </c>
      <c r="AI1030" s="22" t="str">
        <f t="shared" si="318"/>
        <v/>
      </c>
      <c r="AJ1030" s="304" t="str">
        <f t="shared" si="319"/>
        <v/>
      </c>
      <c r="AK1030" s="140" t="str">
        <f t="shared" si="320"/>
        <v/>
      </c>
    </row>
    <row r="1031" spans="7:37" x14ac:dyDescent="0.25">
      <c r="G1031" s="235" t="str">
        <f t="shared" si="308"/>
        <v/>
      </c>
      <c r="H1031" s="4" t="str">
        <f t="shared" si="309"/>
        <v/>
      </c>
      <c r="I1031" s="11" t="str">
        <f t="shared" si="310"/>
        <v/>
      </c>
      <c r="K1031" s="30">
        <v>109</v>
      </c>
      <c r="L1031" s="29">
        <f t="shared" si="321"/>
        <v>11371.908376190921</v>
      </c>
      <c r="M1031" s="28" t="str">
        <f t="shared" si="311"/>
        <v/>
      </c>
      <c r="N1031" s="27" t="str">
        <f t="shared" si="322"/>
        <v/>
      </c>
      <c r="O1031" s="26" t="str">
        <f>IF(AND($Q1030=$O$38,IFERROR(LARGE($V$923:$V1030,1)&lt;$N$42,TRUE)),1,IF(AND(ISNUMBER($O1030),$O1030&lt;$N$32),$O1030+1,""))</f>
        <v/>
      </c>
      <c r="P1031" s="26" t="str">
        <f t="shared" si="323"/>
        <v/>
      </c>
      <c r="Q1031" s="26" t="str">
        <f t="shared" si="312"/>
        <v/>
      </c>
      <c r="R1031" s="24" t="str">
        <f t="shared" si="324"/>
        <v/>
      </c>
      <c r="S1031" s="180">
        <f t="shared" si="330"/>
        <v>8</v>
      </c>
      <c r="T1031" s="29">
        <f>SUM($AC$923:$AC1031)</f>
        <v>49500</v>
      </c>
      <c r="U1031" s="25" t="str">
        <f t="shared" si="313"/>
        <v/>
      </c>
      <c r="V1031" s="24" t="str">
        <f>IF(AND(ISNUMBER(R1030),ISNUMBER(R1031)),V1030,IF(AND(R1030="",ISNUMBER(R1031)),IFERROR(LARGE($V$923:$V1030,1)+1,0),""))</f>
        <v/>
      </c>
      <c r="W1031" s="23" t="str">
        <f t="shared" si="325"/>
        <v/>
      </c>
      <c r="X1031" s="22" t="str">
        <f t="shared" si="326"/>
        <v/>
      </c>
      <c r="Y1031" s="236"/>
      <c r="Z1031" s="22"/>
      <c r="AA1031" s="22"/>
      <c r="AB1031" s="22" t="str">
        <f t="shared" si="327"/>
        <v/>
      </c>
      <c r="AC1031" s="22" t="str">
        <f t="shared" si="328"/>
        <v/>
      </c>
      <c r="AD1031" s="22" t="str">
        <f t="shared" si="314"/>
        <v/>
      </c>
      <c r="AE1031" s="22" t="str">
        <f t="shared" si="329"/>
        <v/>
      </c>
      <c r="AF1031" s="22" t="str">
        <f t="shared" si="315"/>
        <v/>
      </c>
      <c r="AG1031" s="22" t="str">
        <f t="shared" si="316"/>
        <v/>
      </c>
      <c r="AH1031" s="22" t="str">
        <f t="shared" si="317"/>
        <v/>
      </c>
      <c r="AI1031" s="22" t="str">
        <f t="shared" si="318"/>
        <v/>
      </c>
      <c r="AJ1031" s="304" t="str">
        <f t="shared" si="319"/>
        <v/>
      </c>
      <c r="AK1031" s="140" t="str">
        <f t="shared" si="320"/>
        <v/>
      </c>
    </row>
    <row r="1032" spans="7:37" x14ac:dyDescent="0.25">
      <c r="G1032" s="235" t="str">
        <f t="shared" si="308"/>
        <v/>
      </c>
      <c r="H1032" s="4" t="str">
        <f t="shared" si="309"/>
        <v/>
      </c>
      <c r="I1032" s="11" t="str">
        <f t="shared" si="310"/>
        <v/>
      </c>
      <c r="K1032" s="30">
        <v>110</v>
      </c>
      <c r="L1032" s="29">
        <f t="shared" si="321"/>
        <v>11371.908376190921</v>
      </c>
      <c r="M1032" s="28" t="str">
        <f t="shared" si="311"/>
        <v/>
      </c>
      <c r="N1032" s="27" t="str">
        <f t="shared" si="322"/>
        <v/>
      </c>
      <c r="O1032" s="26" t="str">
        <f>IF(AND($Q1031=$O$38,IFERROR(LARGE($V$923:$V1031,1)&lt;$N$42,TRUE)),1,IF(AND(ISNUMBER($O1031),$O1031&lt;$N$32),$O1031+1,""))</f>
        <v/>
      </c>
      <c r="P1032" s="26" t="str">
        <f t="shared" si="323"/>
        <v/>
      </c>
      <c r="Q1032" s="26" t="str">
        <f t="shared" si="312"/>
        <v/>
      </c>
      <c r="R1032" s="24" t="str">
        <f t="shared" si="324"/>
        <v/>
      </c>
      <c r="S1032" s="180">
        <f t="shared" si="330"/>
        <v>8</v>
      </c>
      <c r="T1032" s="29">
        <f>SUM($AC$923:$AC1032)</f>
        <v>49500</v>
      </c>
      <c r="U1032" s="25" t="str">
        <f t="shared" si="313"/>
        <v/>
      </c>
      <c r="V1032" s="24" t="str">
        <f>IF(AND(ISNUMBER(R1031),ISNUMBER(R1032)),V1031,IF(AND(R1031="",ISNUMBER(R1032)),IFERROR(LARGE($V$923:$V1031,1)+1,0),""))</f>
        <v/>
      </c>
      <c r="W1032" s="23" t="str">
        <f t="shared" si="325"/>
        <v/>
      </c>
      <c r="X1032" s="22" t="str">
        <f t="shared" si="326"/>
        <v/>
      </c>
      <c r="Y1032" s="236"/>
      <c r="Z1032" s="22"/>
      <c r="AA1032" s="22"/>
      <c r="AB1032" s="22" t="str">
        <f t="shared" si="327"/>
        <v/>
      </c>
      <c r="AC1032" s="22" t="str">
        <f t="shared" si="328"/>
        <v/>
      </c>
      <c r="AD1032" s="22" t="str">
        <f t="shared" si="314"/>
        <v/>
      </c>
      <c r="AE1032" s="22" t="str">
        <f t="shared" si="329"/>
        <v/>
      </c>
      <c r="AF1032" s="22" t="str">
        <f t="shared" si="315"/>
        <v/>
      </c>
      <c r="AG1032" s="22" t="str">
        <f t="shared" si="316"/>
        <v/>
      </c>
      <c r="AH1032" s="22" t="str">
        <f t="shared" si="317"/>
        <v/>
      </c>
      <c r="AI1032" s="22" t="str">
        <f t="shared" si="318"/>
        <v/>
      </c>
      <c r="AJ1032" s="304" t="str">
        <f t="shared" si="319"/>
        <v/>
      </c>
      <c r="AK1032" s="140" t="str">
        <f t="shared" si="320"/>
        <v/>
      </c>
    </row>
    <row r="1033" spans="7:37" x14ac:dyDescent="0.25">
      <c r="G1033" s="235" t="str">
        <f t="shared" si="308"/>
        <v/>
      </c>
      <c r="H1033" s="4" t="str">
        <f t="shared" si="309"/>
        <v/>
      </c>
      <c r="I1033" s="11" t="str">
        <f t="shared" si="310"/>
        <v/>
      </c>
      <c r="K1033" s="30">
        <v>111</v>
      </c>
      <c r="L1033" s="29">
        <f t="shared" si="321"/>
        <v>11371.908376190921</v>
      </c>
      <c r="M1033" s="28" t="str">
        <f t="shared" si="311"/>
        <v/>
      </c>
      <c r="N1033" s="27" t="str">
        <f t="shared" si="322"/>
        <v/>
      </c>
      <c r="O1033" s="26" t="str">
        <f>IF(AND($Q1032=$O$38,IFERROR(LARGE($V$923:$V1032,1)&lt;$N$42,TRUE)),1,IF(AND(ISNUMBER($O1032),$O1032&lt;$N$32),$O1032+1,""))</f>
        <v/>
      </c>
      <c r="P1033" s="26" t="str">
        <f t="shared" si="323"/>
        <v/>
      </c>
      <c r="Q1033" s="26" t="str">
        <f t="shared" si="312"/>
        <v/>
      </c>
      <c r="R1033" s="24" t="str">
        <f t="shared" si="324"/>
        <v/>
      </c>
      <c r="S1033" s="180">
        <f t="shared" si="330"/>
        <v>8</v>
      </c>
      <c r="T1033" s="29">
        <f>SUM($AC$923:$AC1033)</f>
        <v>49500</v>
      </c>
      <c r="U1033" s="25" t="str">
        <f t="shared" si="313"/>
        <v/>
      </c>
      <c r="V1033" s="24" t="str">
        <f>IF(AND(ISNUMBER(R1032),ISNUMBER(R1033)),V1032,IF(AND(R1032="",ISNUMBER(R1033)),IFERROR(LARGE($V$923:$V1032,1)+1,0),""))</f>
        <v/>
      </c>
      <c r="W1033" s="23" t="str">
        <f t="shared" si="325"/>
        <v/>
      </c>
      <c r="X1033" s="22" t="str">
        <f t="shared" si="326"/>
        <v/>
      </c>
      <c r="Y1033" s="236"/>
      <c r="Z1033" s="22"/>
      <c r="AA1033" s="22"/>
      <c r="AB1033" s="22" t="str">
        <f t="shared" si="327"/>
        <v/>
      </c>
      <c r="AC1033" s="22" t="str">
        <f t="shared" si="328"/>
        <v/>
      </c>
      <c r="AD1033" s="22" t="str">
        <f t="shared" si="314"/>
        <v/>
      </c>
      <c r="AE1033" s="22" t="str">
        <f t="shared" si="329"/>
        <v/>
      </c>
      <c r="AF1033" s="22" t="str">
        <f t="shared" si="315"/>
        <v/>
      </c>
      <c r="AG1033" s="22" t="str">
        <f t="shared" si="316"/>
        <v/>
      </c>
      <c r="AH1033" s="22" t="str">
        <f t="shared" si="317"/>
        <v/>
      </c>
      <c r="AI1033" s="22" t="str">
        <f t="shared" si="318"/>
        <v/>
      </c>
      <c r="AJ1033" s="304" t="str">
        <f t="shared" si="319"/>
        <v/>
      </c>
      <c r="AK1033" s="140" t="str">
        <f t="shared" si="320"/>
        <v/>
      </c>
    </row>
    <row r="1034" spans="7:37" x14ac:dyDescent="0.25">
      <c r="G1034" s="235" t="str">
        <f t="shared" si="308"/>
        <v/>
      </c>
      <c r="H1034" s="4" t="str">
        <f t="shared" si="309"/>
        <v/>
      </c>
      <c r="I1034" s="11" t="str">
        <f t="shared" si="310"/>
        <v/>
      </c>
      <c r="K1034" s="30">
        <v>112</v>
      </c>
      <c r="L1034" s="29">
        <f t="shared" si="321"/>
        <v>11371.908376190921</v>
      </c>
      <c r="M1034" s="28" t="str">
        <f t="shared" si="311"/>
        <v/>
      </c>
      <c r="N1034" s="27" t="str">
        <f t="shared" si="322"/>
        <v/>
      </c>
      <c r="O1034" s="26" t="str">
        <f>IF(AND($Q1033=$O$38,IFERROR(LARGE($V$923:$V1033,1)&lt;$N$42,TRUE)),1,IF(AND(ISNUMBER($O1033),$O1033&lt;$N$32),$O1033+1,""))</f>
        <v/>
      </c>
      <c r="P1034" s="26" t="str">
        <f t="shared" si="323"/>
        <v/>
      </c>
      <c r="Q1034" s="26" t="str">
        <f t="shared" si="312"/>
        <v/>
      </c>
      <c r="R1034" s="24" t="str">
        <f t="shared" si="324"/>
        <v/>
      </c>
      <c r="S1034" s="180">
        <f t="shared" si="330"/>
        <v>8</v>
      </c>
      <c r="T1034" s="29">
        <f>SUM($AC$923:$AC1034)</f>
        <v>49500</v>
      </c>
      <c r="U1034" s="25" t="str">
        <f t="shared" si="313"/>
        <v/>
      </c>
      <c r="V1034" s="24" t="str">
        <f>IF(AND(ISNUMBER(R1033),ISNUMBER(R1034)),V1033,IF(AND(R1033="",ISNUMBER(R1034)),IFERROR(LARGE($V$923:$V1033,1)+1,0),""))</f>
        <v/>
      </c>
      <c r="W1034" s="23" t="str">
        <f t="shared" si="325"/>
        <v/>
      </c>
      <c r="X1034" s="22" t="str">
        <f t="shared" si="326"/>
        <v/>
      </c>
      <c r="Y1034" s="236"/>
      <c r="Z1034" s="22"/>
      <c r="AA1034" s="22"/>
      <c r="AB1034" s="22" t="str">
        <f t="shared" si="327"/>
        <v/>
      </c>
      <c r="AC1034" s="22" t="str">
        <f t="shared" si="328"/>
        <v/>
      </c>
      <c r="AD1034" s="22" t="str">
        <f t="shared" si="314"/>
        <v/>
      </c>
      <c r="AE1034" s="22" t="str">
        <f t="shared" si="329"/>
        <v/>
      </c>
      <c r="AF1034" s="22" t="str">
        <f t="shared" si="315"/>
        <v/>
      </c>
      <c r="AG1034" s="22" t="str">
        <f t="shared" si="316"/>
        <v/>
      </c>
      <c r="AH1034" s="22" t="str">
        <f t="shared" si="317"/>
        <v/>
      </c>
      <c r="AI1034" s="22" t="str">
        <f t="shared" si="318"/>
        <v/>
      </c>
      <c r="AJ1034" s="304" t="str">
        <f t="shared" si="319"/>
        <v/>
      </c>
      <c r="AK1034" s="140" t="str">
        <f t="shared" si="320"/>
        <v/>
      </c>
    </row>
    <row r="1035" spans="7:37" x14ac:dyDescent="0.25">
      <c r="G1035" s="235" t="str">
        <f t="shared" si="308"/>
        <v/>
      </c>
      <c r="H1035" s="4" t="str">
        <f t="shared" si="309"/>
        <v/>
      </c>
      <c r="I1035" s="11" t="str">
        <f t="shared" si="310"/>
        <v/>
      </c>
      <c r="K1035" s="30">
        <v>113</v>
      </c>
      <c r="L1035" s="29">
        <f t="shared" si="321"/>
        <v>11371.908376190921</v>
      </c>
      <c r="M1035" s="28" t="str">
        <f t="shared" si="311"/>
        <v/>
      </c>
      <c r="N1035" s="27" t="str">
        <f t="shared" si="322"/>
        <v/>
      </c>
      <c r="O1035" s="26" t="str">
        <f>IF(AND($Q1034=$O$38,IFERROR(LARGE($V$923:$V1034,1)&lt;$N$42,TRUE)),1,IF(AND(ISNUMBER($O1034),$O1034&lt;$N$32),$O1034+1,""))</f>
        <v/>
      </c>
      <c r="P1035" s="26" t="str">
        <f t="shared" si="323"/>
        <v/>
      </c>
      <c r="Q1035" s="26" t="str">
        <f t="shared" si="312"/>
        <v/>
      </c>
      <c r="R1035" s="24" t="str">
        <f t="shared" si="324"/>
        <v/>
      </c>
      <c r="S1035" s="180">
        <f t="shared" si="330"/>
        <v>8</v>
      </c>
      <c r="T1035" s="29">
        <f>SUM($AC$923:$AC1035)</f>
        <v>49500</v>
      </c>
      <c r="U1035" s="25" t="str">
        <f t="shared" si="313"/>
        <v/>
      </c>
      <c r="V1035" s="24" t="str">
        <f>IF(AND(ISNUMBER(R1034),ISNUMBER(R1035)),V1034,IF(AND(R1034="",ISNUMBER(R1035)),IFERROR(LARGE($V$923:$V1034,1)+1,0),""))</f>
        <v/>
      </c>
      <c r="W1035" s="23" t="str">
        <f t="shared" si="325"/>
        <v/>
      </c>
      <c r="X1035" s="22" t="str">
        <f t="shared" si="326"/>
        <v/>
      </c>
      <c r="Y1035" s="236"/>
      <c r="Z1035" s="22"/>
      <c r="AA1035" s="22"/>
      <c r="AB1035" s="22" t="str">
        <f t="shared" si="327"/>
        <v/>
      </c>
      <c r="AC1035" s="22" t="str">
        <f t="shared" si="328"/>
        <v/>
      </c>
      <c r="AD1035" s="22" t="str">
        <f t="shared" si="314"/>
        <v/>
      </c>
      <c r="AE1035" s="22" t="str">
        <f t="shared" si="329"/>
        <v/>
      </c>
      <c r="AF1035" s="22" t="str">
        <f t="shared" si="315"/>
        <v/>
      </c>
      <c r="AG1035" s="22" t="str">
        <f t="shared" si="316"/>
        <v/>
      </c>
      <c r="AH1035" s="22" t="str">
        <f t="shared" si="317"/>
        <v/>
      </c>
      <c r="AI1035" s="22" t="str">
        <f t="shared" si="318"/>
        <v/>
      </c>
      <c r="AJ1035" s="304" t="str">
        <f t="shared" si="319"/>
        <v/>
      </c>
      <c r="AK1035" s="140" t="str">
        <f t="shared" si="320"/>
        <v/>
      </c>
    </row>
    <row r="1036" spans="7:37" x14ac:dyDescent="0.25">
      <c r="G1036" s="235" t="str">
        <f t="shared" si="308"/>
        <v/>
      </c>
      <c r="H1036" s="4" t="str">
        <f t="shared" si="309"/>
        <v/>
      </c>
      <c r="I1036" s="11" t="str">
        <f t="shared" si="310"/>
        <v/>
      </c>
      <c r="K1036" s="30">
        <v>114</v>
      </c>
      <c r="L1036" s="29">
        <f t="shared" si="321"/>
        <v>11371.908376190921</v>
      </c>
      <c r="M1036" s="28" t="str">
        <f t="shared" si="311"/>
        <v/>
      </c>
      <c r="N1036" s="27" t="str">
        <f t="shared" si="322"/>
        <v/>
      </c>
      <c r="O1036" s="26" t="str">
        <f>IF(AND($Q1035=$O$38,IFERROR(LARGE($V$923:$V1035,1)&lt;$N$42,TRUE)),1,IF(AND(ISNUMBER($O1035),$O1035&lt;$N$32),$O1035+1,""))</f>
        <v/>
      </c>
      <c r="P1036" s="26" t="str">
        <f t="shared" si="323"/>
        <v/>
      </c>
      <c r="Q1036" s="26" t="str">
        <f t="shared" si="312"/>
        <v/>
      </c>
      <c r="R1036" s="24" t="str">
        <f t="shared" si="324"/>
        <v/>
      </c>
      <c r="S1036" s="180">
        <f t="shared" si="330"/>
        <v>8</v>
      </c>
      <c r="T1036" s="29">
        <f>SUM($AC$923:$AC1036)</f>
        <v>49500</v>
      </c>
      <c r="U1036" s="25" t="str">
        <f t="shared" si="313"/>
        <v/>
      </c>
      <c r="V1036" s="24" t="str">
        <f>IF(AND(ISNUMBER(R1035),ISNUMBER(R1036)),V1035,IF(AND(R1035="",ISNUMBER(R1036)),IFERROR(LARGE($V$923:$V1035,1)+1,0),""))</f>
        <v/>
      </c>
      <c r="W1036" s="23" t="str">
        <f t="shared" si="325"/>
        <v/>
      </c>
      <c r="X1036" s="22" t="str">
        <f t="shared" si="326"/>
        <v/>
      </c>
      <c r="Y1036" s="236"/>
      <c r="Z1036" s="22"/>
      <c r="AA1036" s="22"/>
      <c r="AB1036" s="22" t="str">
        <f t="shared" si="327"/>
        <v/>
      </c>
      <c r="AC1036" s="22" t="str">
        <f t="shared" si="328"/>
        <v/>
      </c>
      <c r="AD1036" s="22" t="str">
        <f t="shared" si="314"/>
        <v/>
      </c>
      <c r="AE1036" s="22" t="str">
        <f t="shared" si="329"/>
        <v/>
      </c>
      <c r="AF1036" s="22" t="str">
        <f t="shared" si="315"/>
        <v/>
      </c>
      <c r="AG1036" s="22" t="str">
        <f t="shared" si="316"/>
        <v/>
      </c>
      <c r="AH1036" s="22" t="str">
        <f t="shared" si="317"/>
        <v/>
      </c>
      <c r="AI1036" s="22" t="str">
        <f t="shared" si="318"/>
        <v/>
      </c>
      <c r="AJ1036" s="304" t="str">
        <f t="shared" si="319"/>
        <v/>
      </c>
      <c r="AK1036" s="140" t="str">
        <f t="shared" si="320"/>
        <v/>
      </c>
    </row>
    <row r="1037" spans="7:37" x14ac:dyDescent="0.25">
      <c r="G1037" s="235" t="str">
        <f t="shared" si="308"/>
        <v/>
      </c>
      <c r="H1037" s="4" t="str">
        <f t="shared" si="309"/>
        <v/>
      </c>
      <c r="I1037" s="11" t="str">
        <f t="shared" si="310"/>
        <v/>
      </c>
      <c r="K1037" s="30">
        <v>115</v>
      </c>
      <c r="L1037" s="29">
        <f t="shared" si="321"/>
        <v>11371.908376190921</v>
      </c>
      <c r="M1037" s="28" t="str">
        <f t="shared" si="311"/>
        <v/>
      </c>
      <c r="N1037" s="27" t="str">
        <f t="shared" si="322"/>
        <v/>
      </c>
      <c r="O1037" s="26" t="str">
        <f>IF(AND($Q1036=$O$38,IFERROR(LARGE($V$923:$V1036,1)&lt;$N$42,TRUE)),1,IF(AND(ISNUMBER($O1036),$O1036&lt;$N$32),$O1036+1,""))</f>
        <v/>
      </c>
      <c r="P1037" s="26" t="str">
        <f t="shared" si="323"/>
        <v/>
      </c>
      <c r="Q1037" s="26" t="str">
        <f t="shared" si="312"/>
        <v/>
      </c>
      <c r="R1037" s="24" t="str">
        <f t="shared" si="324"/>
        <v/>
      </c>
      <c r="S1037" s="180">
        <f t="shared" si="330"/>
        <v>8</v>
      </c>
      <c r="T1037" s="29">
        <f>SUM($AC$923:$AC1037)</f>
        <v>49500</v>
      </c>
      <c r="U1037" s="25" t="str">
        <f t="shared" si="313"/>
        <v/>
      </c>
      <c r="V1037" s="24" t="str">
        <f>IF(AND(ISNUMBER(R1036),ISNUMBER(R1037)),V1036,IF(AND(R1036="",ISNUMBER(R1037)),IFERROR(LARGE($V$923:$V1036,1)+1,0),""))</f>
        <v/>
      </c>
      <c r="W1037" s="23" t="str">
        <f t="shared" si="325"/>
        <v/>
      </c>
      <c r="X1037" s="22" t="str">
        <f t="shared" si="326"/>
        <v/>
      </c>
      <c r="Y1037" s="236"/>
      <c r="Z1037" s="22"/>
      <c r="AA1037" s="22"/>
      <c r="AB1037" s="22" t="str">
        <f t="shared" si="327"/>
        <v/>
      </c>
      <c r="AC1037" s="22" t="str">
        <f t="shared" si="328"/>
        <v/>
      </c>
      <c r="AD1037" s="22" t="str">
        <f t="shared" si="314"/>
        <v/>
      </c>
      <c r="AE1037" s="22" t="str">
        <f t="shared" si="329"/>
        <v/>
      </c>
      <c r="AF1037" s="22" t="str">
        <f t="shared" si="315"/>
        <v/>
      </c>
      <c r="AG1037" s="22" t="str">
        <f t="shared" si="316"/>
        <v/>
      </c>
      <c r="AH1037" s="22" t="str">
        <f t="shared" si="317"/>
        <v/>
      </c>
      <c r="AI1037" s="22" t="str">
        <f t="shared" si="318"/>
        <v/>
      </c>
      <c r="AJ1037" s="304" t="str">
        <f t="shared" si="319"/>
        <v/>
      </c>
      <c r="AK1037" s="140" t="str">
        <f t="shared" si="320"/>
        <v/>
      </c>
    </row>
    <row r="1038" spans="7:37" x14ac:dyDescent="0.25">
      <c r="G1038" s="235" t="str">
        <f t="shared" si="308"/>
        <v/>
      </c>
      <c r="H1038" s="4" t="str">
        <f t="shared" si="309"/>
        <v/>
      </c>
      <c r="I1038" s="11" t="str">
        <f t="shared" si="310"/>
        <v/>
      </c>
      <c r="K1038" s="30">
        <v>116</v>
      </c>
      <c r="L1038" s="29">
        <f t="shared" si="321"/>
        <v>11371.908376190921</v>
      </c>
      <c r="M1038" s="28" t="str">
        <f t="shared" si="311"/>
        <v/>
      </c>
      <c r="N1038" s="27" t="str">
        <f t="shared" si="322"/>
        <v/>
      </c>
      <c r="O1038" s="26" t="str">
        <f>IF(AND($Q1037=$O$38,IFERROR(LARGE($V$923:$V1037,1)&lt;$N$42,TRUE)),1,IF(AND(ISNUMBER($O1037),$O1037&lt;$N$32),$O1037+1,""))</f>
        <v/>
      </c>
      <c r="P1038" s="26" t="str">
        <f t="shared" si="323"/>
        <v/>
      </c>
      <c r="Q1038" s="26" t="str">
        <f t="shared" si="312"/>
        <v/>
      </c>
      <c r="R1038" s="24" t="str">
        <f t="shared" si="324"/>
        <v/>
      </c>
      <c r="S1038" s="180">
        <f t="shared" si="330"/>
        <v>8</v>
      </c>
      <c r="T1038" s="29">
        <f>SUM($AC$923:$AC1038)</f>
        <v>49500</v>
      </c>
      <c r="U1038" s="25" t="str">
        <f t="shared" si="313"/>
        <v/>
      </c>
      <c r="V1038" s="24" t="str">
        <f>IF(AND(ISNUMBER(R1037),ISNUMBER(R1038)),V1037,IF(AND(R1037="",ISNUMBER(R1038)),IFERROR(LARGE($V$923:$V1037,1)+1,0),""))</f>
        <v/>
      </c>
      <c r="W1038" s="23" t="str">
        <f t="shared" si="325"/>
        <v/>
      </c>
      <c r="X1038" s="22" t="str">
        <f t="shared" si="326"/>
        <v/>
      </c>
      <c r="Y1038" s="236"/>
      <c r="Z1038" s="22"/>
      <c r="AA1038" s="22"/>
      <c r="AB1038" s="22" t="str">
        <f t="shared" si="327"/>
        <v/>
      </c>
      <c r="AC1038" s="22" t="str">
        <f t="shared" si="328"/>
        <v/>
      </c>
      <c r="AD1038" s="22" t="str">
        <f t="shared" si="314"/>
        <v/>
      </c>
      <c r="AE1038" s="22" t="str">
        <f t="shared" si="329"/>
        <v/>
      </c>
      <c r="AF1038" s="22" t="str">
        <f t="shared" si="315"/>
        <v/>
      </c>
      <c r="AG1038" s="22" t="str">
        <f t="shared" si="316"/>
        <v/>
      </c>
      <c r="AH1038" s="22" t="str">
        <f t="shared" si="317"/>
        <v/>
      </c>
      <c r="AI1038" s="22" t="str">
        <f t="shared" si="318"/>
        <v/>
      </c>
      <c r="AJ1038" s="304" t="str">
        <f t="shared" si="319"/>
        <v/>
      </c>
      <c r="AK1038" s="140" t="str">
        <f t="shared" si="320"/>
        <v/>
      </c>
    </row>
    <row r="1039" spans="7:37" x14ac:dyDescent="0.25">
      <c r="G1039" s="235" t="str">
        <f t="shared" si="308"/>
        <v/>
      </c>
      <c r="H1039" s="4" t="str">
        <f t="shared" si="309"/>
        <v/>
      </c>
      <c r="I1039" s="11" t="str">
        <f t="shared" si="310"/>
        <v/>
      </c>
      <c r="K1039" s="30">
        <v>117</v>
      </c>
      <c r="L1039" s="29">
        <f t="shared" si="321"/>
        <v>11371.908376190921</v>
      </c>
      <c r="M1039" s="28" t="str">
        <f t="shared" si="311"/>
        <v/>
      </c>
      <c r="N1039" s="27" t="str">
        <f t="shared" si="322"/>
        <v/>
      </c>
      <c r="O1039" s="26" t="str">
        <f>IF(AND($Q1038=$O$38,IFERROR(LARGE($V$923:$V1038,1)&lt;$N$42,TRUE)),1,IF(AND(ISNUMBER($O1038),$O1038&lt;$N$32),$O1038+1,""))</f>
        <v/>
      </c>
      <c r="P1039" s="26" t="str">
        <f t="shared" si="323"/>
        <v/>
      </c>
      <c r="Q1039" s="26" t="str">
        <f t="shared" si="312"/>
        <v/>
      </c>
      <c r="R1039" s="24" t="str">
        <f t="shared" si="324"/>
        <v/>
      </c>
      <c r="S1039" s="180">
        <f t="shared" si="330"/>
        <v>8</v>
      </c>
      <c r="T1039" s="29">
        <f>SUM($AC$923:$AC1039)</f>
        <v>49500</v>
      </c>
      <c r="U1039" s="25" t="str">
        <f t="shared" si="313"/>
        <v/>
      </c>
      <c r="V1039" s="24" t="str">
        <f>IF(AND(ISNUMBER(R1038),ISNUMBER(R1039)),V1038,IF(AND(R1038="",ISNUMBER(R1039)),IFERROR(LARGE($V$923:$V1038,1)+1,0),""))</f>
        <v/>
      </c>
      <c r="W1039" s="23" t="str">
        <f t="shared" si="325"/>
        <v/>
      </c>
      <c r="X1039" s="22" t="str">
        <f t="shared" si="326"/>
        <v/>
      </c>
      <c r="Y1039" s="236"/>
      <c r="Z1039" s="22"/>
      <c r="AA1039" s="22"/>
      <c r="AB1039" s="22" t="str">
        <f t="shared" si="327"/>
        <v/>
      </c>
      <c r="AC1039" s="22" t="str">
        <f t="shared" si="328"/>
        <v/>
      </c>
      <c r="AD1039" s="22" t="str">
        <f t="shared" si="314"/>
        <v/>
      </c>
      <c r="AE1039" s="22" t="str">
        <f t="shared" si="329"/>
        <v/>
      </c>
      <c r="AF1039" s="22" t="str">
        <f t="shared" si="315"/>
        <v/>
      </c>
      <c r="AG1039" s="22" t="str">
        <f t="shared" si="316"/>
        <v/>
      </c>
      <c r="AH1039" s="22" t="str">
        <f t="shared" si="317"/>
        <v/>
      </c>
      <c r="AI1039" s="22" t="str">
        <f t="shared" si="318"/>
        <v/>
      </c>
      <c r="AJ1039" s="304" t="str">
        <f t="shared" si="319"/>
        <v/>
      </c>
      <c r="AK1039" s="140" t="str">
        <f t="shared" si="320"/>
        <v/>
      </c>
    </row>
    <row r="1040" spans="7:37" x14ac:dyDescent="0.25">
      <c r="G1040" s="235" t="str">
        <f t="shared" si="308"/>
        <v/>
      </c>
      <c r="H1040" s="4" t="str">
        <f t="shared" si="309"/>
        <v/>
      </c>
      <c r="I1040" s="11" t="str">
        <f t="shared" si="310"/>
        <v/>
      </c>
      <c r="K1040" s="30">
        <v>118</v>
      </c>
      <c r="L1040" s="29">
        <f t="shared" si="321"/>
        <v>11371.908376190921</v>
      </c>
      <c r="M1040" s="28" t="str">
        <f t="shared" si="311"/>
        <v/>
      </c>
      <c r="N1040" s="27" t="str">
        <f t="shared" si="322"/>
        <v/>
      </c>
      <c r="O1040" s="26" t="str">
        <f>IF(AND($Q1039=$O$38,IFERROR(LARGE($V$923:$V1039,1)&lt;$N$42,TRUE)),1,IF(AND(ISNUMBER($O1039),$O1039&lt;$N$32),$O1039+1,""))</f>
        <v/>
      </c>
      <c r="P1040" s="26" t="str">
        <f t="shared" si="323"/>
        <v/>
      </c>
      <c r="Q1040" s="26" t="str">
        <f t="shared" si="312"/>
        <v/>
      </c>
      <c r="R1040" s="24" t="str">
        <f t="shared" si="324"/>
        <v/>
      </c>
      <c r="S1040" s="180">
        <f t="shared" si="330"/>
        <v>8</v>
      </c>
      <c r="T1040" s="29">
        <f>SUM($AC$923:$AC1040)</f>
        <v>49500</v>
      </c>
      <c r="U1040" s="25" t="str">
        <f t="shared" si="313"/>
        <v/>
      </c>
      <c r="V1040" s="24" t="str">
        <f>IF(AND(ISNUMBER(R1039),ISNUMBER(R1040)),V1039,IF(AND(R1039="",ISNUMBER(R1040)),IFERROR(LARGE($V$923:$V1039,1)+1,0),""))</f>
        <v/>
      </c>
      <c r="W1040" s="23" t="str">
        <f t="shared" si="325"/>
        <v/>
      </c>
      <c r="X1040" s="22" t="str">
        <f t="shared" si="326"/>
        <v/>
      </c>
      <c r="Y1040" s="236"/>
      <c r="Z1040" s="22"/>
      <c r="AA1040" s="22"/>
      <c r="AB1040" s="22" t="str">
        <f t="shared" si="327"/>
        <v/>
      </c>
      <c r="AC1040" s="22" t="str">
        <f t="shared" si="328"/>
        <v/>
      </c>
      <c r="AD1040" s="22" t="str">
        <f t="shared" si="314"/>
        <v/>
      </c>
      <c r="AE1040" s="22" t="str">
        <f t="shared" si="329"/>
        <v/>
      </c>
      <c r="AF1040" s="22" t="str">
        <f t="shared" si="315"/>
        <v/>
      </c>
      <c r="AG1040" s="22" t="str">
        <f t="shared" si="316"/>
        <v/>
      </c>
      <c r="AH1040" s="22" t="str">
        <f t="shared" si="317"/>
        <v/>
      </c>
      <c r="AI1040" s="22" t="str">
        <f t="shared" si="318"/>
        <v/>
      </c>
      <c r="AJ1040" s="304" t="str">
        <f t="shared" si="319"/>
        <v/>
      </c>
      <c r="AK1040" s="140" t="str">
        <f t="shared" si="320"/>
        <v/>
      </c>
    </row>
    <row r="1041" spans="7:37" x14ac:dyDescent="0.25">
      <c r="G1041" s="235" t="str">
        <f t="shared" si="308"/>
        <v/>
      </c>
      <c r="H1041" s="4" t="str">
        <f t="shared" si="309"/>
        <v/>
      </c>
      <c r="I1041" s="11" t="str">
        <f t="shared" si="310"/>
        <v/>
      </c>
      <c r="K1041" s="30">
        <v>119</v>
      </c>
      <c r="L1041" s="29">
        <f t="shared" si="321"/>
        <v>11371.908376190921</v>
      </c>
      <c r="M1041" s="28" t="str">
        <f t="shared" si="311"/>
        <v/>
      </c>
      <c r="N1041" s="27" t="str">
        <f t="shared" si="322"/>
        <v/>
      </c>
      <c r="O1041" s="26" t="str">
        <f>IF(AND($Q1040=$O$38,IFERROR(LARGE($V$923:$V1040,1)&lt;$N$42,TRUE)),1,IF(AND(ISNUMBER($O1040),$O1040&lt;$N$32),$O1040+1,""))</f>
        <v/>
      </c>
      <c r="P1041" s="26" t="str">
        <f t="shared" si="323"/>
        <v/>
      </c>
      <c r="Q1041" s="26" t="str">
        <f t="shared" si="312"/>
        <v/>
      </c>
      <c r="R1041" s="24" t="str">
        <f t="shared" si="324"/>
        <v/>
      </c>
      <c r="S1041" s="180">
        <f t="shared" si="330"/>
        <v>8</v>
      </c>
      <c r="T1041" s="29">
        <f>SUM($AC$923:$AC1041)</f>
        <v>49500</v>
      </c>
      <c r="U1041" s="25" t="str">
        <f t="shared" si="313"/>
        <v/>
      </c>
      <c r="V1041" s="24" t="str">
        <f>IF(AND(ISNUMBER(R1040),ISNUMBER(R1041)),V1040,IF(AND(R1040="",ISNUMBER(R1041)),IFERROR(LARGE($V$923:$V1040,1)+1,0),""))</f>
        <v/>
      </c>
      <c r="W1041" s="23" t="str">
        <f t="shared" si="325"/>
        <v/>
      </c>
      <c r="X1041" s="22" t="str">
        <f t="shared" si="326"/>
        <v/>
      </c>
      <c r="Y1041" s="236"/>
      <c r="Z1041" s="22"/>
      <c r="AA1041" s="22"/>
      <c r="AB1041" s="22" t="str">
        <f t="shared" si="327"/>
        <v/>
      </c>
      <c r="AC1041" s="22" t="str">
        <f t="shared" si="328"/>
        <v/>
      </c>
      <c r="AD1041" s="22" t="str">
        <f t="shared" si="314"/>
        <v/>
      </c>
      <c r="AE1041" s="22" t="str">
        <f t="shared" si="329"/>
        <v/>
      </c>
      <c r="AF1041" s="22" t="str">
        <f t="shared" si="315"/>
        <v/>
      </c>
      <c r="AG1041" s="22" t="str">
        <f t="shared" si="316"/>
        <v/>
      </c>
      <c r="AH1041" s="22" t="str">
        <f t="shared" si="317"/>
        <v/>
      </c>
      <c r="AI1041" s="22" t="str">
        <f t="shared" si="318"/>
        <v/>
      </c>
      <c r="AJ1041" s="304" t="str">
        <f t="shared" si="319"/>
        <v/>
      </c>
      <c r="AK1041" s="140" t="str">
        <f t="shared" si="320"/>
        <v/>
      </c>
    </row>
    <row r="1042" spans="7:37" x14ac:dyDescent="0.25">
      <c r="G1042" s="235" t="str">
        <f t="shared" si="308"/>
        <v/>
      </c>
      <c r="H1042" s="4" t="str">
        <f t="shared" si="309"/>
        <v/>
      </c>
      <c r="I1042" s="11" t="str">
        <f t="shared" si="310"/>
        <v/>
      </c>
      <c r="K1042" s="30">
        <v>120</v>
      </c>
      <c r="L1042" s="29">
        <f t="shared" si="321"/>
        <v>11371.908376190921</v>
      </c>
      <c r="M1042" s="28" t="str">
        <f t="shared" si="311"/>
        <v/>
      </c>
      <c r="N1042" s="27" t="str">
        <f t="shared" si="322"/>
        <v/>
      </c>
      <c r="O1042" s="26" t="str">
        <f>IF(AND($Q1041=$O$38,IFERROR(LARGE($V$923:$V1041,1)&lt;$N$42,TRUE)),1,IF(AND(ISNUMBER($O1041),$O1041&lt;$N$32),$O1041+1,""))</f>
        <v/>
      </c>
      <c r="P1042" s="26" t="str">
        <f t="shared" si="323"/>
        <v/>
      </c>
      <c r="Q1042" s="26" t="str">
        <f t="shared" si="312"/>
        <v/>
      </c>
      <c r="R1042" s="24" t="str">
        <f t="shared" si="324"/>
        <v/>
      </c>
      <c r="S1042" s="180">
        <f t="shared" si="330"/>
        <v>8</v>
      </c>
      <c r="T1042" s="29">
        <f>SUM($AC$923:$AC1042)</f>
        <v>49500</v>
      </c>
      <c r="U1042" s="25" t="str">
        <f t="shared" si="313"/>
        <v/>
      </c>
      <c r="V1042" s="24" t="str">
        <f>IF(AND(ISNUMBER(R1041),ISNUMBER(R1042)),V1041,IF(AND(R1041="",ISNUMBER(R1042)),IFERROR(LARGE($V$923:$V1041,1)+1,0),""))</f>
        <v/>
      </c>
      <c r="W1042" s="23" t="str">
        <f t="shared" si="325"/>
        <v/>
      </c>
      <c r="X1042" s="22" t="str">
        <f t="shared" si="326"/>
        <v/>
      </c>
      <c r="Y1042" s="236"/>
      <c r="Z1042" s="22"/>
      <c r="AA1042" s="22"/>
      <c r="AB1042" s="22" t="str">
        <f t="shared" si="327"/>
        <v/>
      </c>
      <c r="AC1042" s="22" t="str">
        <f t="shared" si="328"/>
        <v/>
      </c>
      <c r="AD1042" s="22" t="str">
        <f t="shared" si="314"/>
        <v/>
      </c>
      <c r="AE1042" s="22" t="str">
        <f t="shared" si="329"/>
        <v/>
      </c>
      <c r="AF1042" s="22" t="str">
        <f t="shared" si="315"/>
        <v/>
      </c>
      <c r="AG1042" s="22" t="str">
        <f t="shared" si="316"/>
        <v/>
      </c>
      <c r="AH1042" s="22" t="str">
        <f t="shared" si="317"/>
        <v/>
      </c>
      <c r="AI1042" s="22" t="str">
        <f t="shared" si="318"/>
        <v/>
      </c>
      <c r="AJ1042" s="304" t="str">
        <f t="shared" si="319"/>
        <v/>
      </c>
      <c r="AK1042" s="140" t="str">
        <f t="shared" si="320"/>
        <v/>
      </c>
    </row>
    <row r="1043" spans="7:37" x14ac:dyDescent="0.25">
      <c r="G1043" s="235" t="str">
        <f t="shared" si="308"/>
        <v/>
      </c>
      <c r="H1043" s="4" t="str">
        <f t="shared" si="309"/>
        <v/>
      </c>
      <c r="I1043" s="11" t="str">
        <f t="shared" si="310"/>
        <v/>
      </c>
      <c r="K1043" s="30">
        <v>121</v>
      </c>
      <c r="L1043" s="29">
        <f t="shared" si="321"/>
        <v>11371.908376190921</v>
      </c>
      <c r="M1043" s="28" t="str">
        <f t="shared" si="311"/>
        <v/>
      </c>
      <c r="N1043" s="27" t="str">
        <f t="shared" si="322"/>
        <v/>
      </c>
      <c r="O1043" s="26" t="str">
        <f>IF(AND($Q1042=$O$38,IFERROR(LARGE($V$923:$V1042,1)&lt;$N$42,TRUE)),1,IF(AND(ISNUMBER($O1042),$O1042&lt;$N$32),$O1042+1,""))</f>
        <v/>
      </c>
      <c r="P1043" s="26" t="str">
        <f t="shared" si="323"/>
        <v/>
      </c>
      <c r="Q1043" s="26" t="str">
        <f t="shared" si="312"/>
        <v/>
      </c>
      <c r="R1043" s="24" t="str">
        <f t="shared" si="324"/>
        <v/>
      </c>
      <c r="S1043" s="180">
        <f t="shared" si="330"/>
        <v>8</v>
      </c>
      <c r="T1043" s="29">
        <f>SUM($AC$923:$AC1043)</f>
        <v>49500</v>
      </c>
      <c r="U1043" s="25" t="str">
        <f t="shared" si="313"/>
        <v/>
      </c>
      <c r="V1043" s="24" t="str">
        <f>IF(AND(ISNUMBER(R1042),ISNUMBER(R1043)),V1042,IF(AND(R1042="",ISNUMBER(R1043)),IFERROR(LARGE($V$923:$V1042,1)+1,0),""))</f>
        <v/>
      </c>
      <c r="W1043" s="23" t="str">
        <f t="shared" si="325"/>
        <v/>
      </c>
      <c r="X1043" s="22" t="str">
        <f t="shared" si="326"/>
        <v/>
      </c>
      <c r="Y1043" s="236"/>
      <c r="Z1043" s="22"/>
      <c r="AA1043" s="22"/>
      <c r="AB1043" s="22" t="str">
        <f t="shared" si="327"/>
        <v/>
      </c>
      <c r="AC1043" s="22" t="str">
        <f t="shared" si="328"/>
        <v/>
      </c>
      <c r="AD1043" s="22" t="str">
        <f t="shared" si="314"/>
        <v/>
      </c>
      <c r="AE1043" s="22" t="str">
        <f t="shared" si="329"/>
        <v/>
      </c>
      <c r="AF1043" s="22" t="str">
        <f t="shared" si="315"/>
        <v/>
      </c>
      <c r="AG1043" s="22" t="str">
        <f t="shared" si="316"/>
        <v/>
      </c>
      <c r="AH1043" s="22" t="str">
        <f t="shared" si="317"/>
        <v/>
      </c>
      <c r="AI1043" s="22" t="str">
        <f t="shared" si="318"/>
        <v/>
      </c>
      <c r="AJ1043" s="304" t="str">
        <f t="shared" si="319"/>
        <v/>
      </c>
      <c r="AK1043" s="140" t="str">
        <f t="shared" si="320"/>
        <v/>
      </c>
    </row>
    <row r="1044" spans="7:37" x14ac:dyDescent="0.25">
      <c r="G1044" s="235" t="str">
        <f t="shared" si="308"/>
        <v/>
      </c>
      <c r="H1044" s="4" t="str">
        <f t="shared" si="309"/>
        <v/>
      </c>
      <c r="I1044" s="11" t="str">
        <f t="shared" si="310"/>
        <v/>
      </c>
      <c r="K1044" s="30">
        <v>122</v>
      </c>
      <c r="L1044" s="29">
        <f t="shared" si="321"/>
        <v>11371.908376190921</v>
      </c>
      <c r="M1044" s="28" t="str">
        <f t="shared" si="311"/>
        <v/>
      </c>
      <c r="N1044" s="27" t="str">
        <f t="shared" si="322"/>
        <v/>
      </c>
      <c r="O1044" s="26" t="str">
        <f>IF(AND($Q1043=$O$38,IFERROR(LARGE($V$923:$V1043,1)&lt;$N$42,TRUE)),1,IF(AND(ISNUMBER($O1043),$O1043&lt;$N$32),$O1043+1,""))</f>
        <v/>
      </c>
      <c r="P1044" s="26" t="str">
        <f t="shared" si="323"/>
        <v/>
      </c>
      <c r="Q1044" s="26" t="str">
        <f t="shared" si="312"/>
        <v/>
      </c>
      <c r="R1044" s="24" t="str">
        <f t="shared" si="324"/>
        <v/>
      </c>
      <c r="S1044" s="180">
        <f t="shared" si="330"/>
        <v>8</v>
      </c>
      <c r="T1044" s="29">
        <f>SUM($AC$923:$AC1044)</f>
        <v>49500</v>
      </c>
      <c r="U1044" s="25" t="str">
        <f t="shared" si="313"/>
        <v/>
      </c>
      <c r="V1044" s="24" t="str">
        <f>IF(AND(ISNUMBER(R1043),ISNUMBER(R1044)),V1043,IF(AND(R1043="",ISNUMBER(R1044)),IFERROR(LARGE($V$923:$V1043,1)+1,0),""))</f>
        <v/>
      </c>
      <c r="W1044" s="23" t="str">
        <f t="shared" si="325"/>
        <v/>
      </c>
      <c r="X1044" s="22" t="str">
        <f t="shared" si="326"/>
        <v/>
      </c>
      <c r="Y1044" s="236"/>
      <c r="Z1044" s="22"/>
      <c r="AA1044" s="22"/>
      <c r="AB1044" s="22" t="str">
        <f t="shared" si="327"/>
        <v/>
      </c>
      <c r="AC1044" s="22" t="str">
        <f t="shared" si="328"/>
        <v/>
      </c>
      <c r="AD1044" s="22" t="str">
        <f t="shared" si="314"/>
        <v/>
      </c>
      <c r="AE1044" s="22" t="str">
        <f t="shared" si="329"/>
        <v/>
      </c>
      <c r="AF1044" s="22" t="str">
        <f t="shared" si="315"/>
        <v/>
      </c>
      <c r="AG1044" s="22" t="str">
        <f t="shared" si="316"/>
        <v/>
      </c>
      <c r="AH1044" s="22" t="str">
        <f t="shared" si="317"/>
        <v/>
      </c>
      <c r="AI1044" s="22" t="str">
        <f t="shared" si="318"/>
        <v/>
      </c>
      <c r="AJ1044" s="304" t="str">
        <f t="shared" si="319"/>
        <v/>
      </c>
      <c r="AK1044" s="140" t="str">
        <f t="shared" si="320"/>
        <v/>
      </c>
    </row>
    <row r="1045" spans="7:37" x14ac:dyDescent="0.25">
      <c r="G1045" s="235" t="str">
        <f t="shared" si="308"/>
        <v/>
      </c>
      <c r="H1045" s="4" t="str">
        <f t="shared" si="309"/>
        <v/>
      </c>
      <c r="I1045" s="11" t="str">
        <f t="shared" si="310"/>
        <v/>
      </c>
      <c r="K1045" s="30">
        <v>123</v>
      </c>
      <c r="L1045" s="29">
        <f t="shared" si="321"/>
        <v>11371.908376190921</v>
      </c>
      <c r="M1045" s="28" t="str">
        <f t="shared" si="311"/>
        <v/>
      </c>
      <c r="N1045" s="27" t="str">
        <f t="shared" si="322"/>
        <v/>
      </c>
      <c r="O1045" s="26" t="str">
        <f>IF(AND($Q1044=$O$38,IFERROR(LARGE($V$923:$V1044,1)&lt;$N$42,TRUE)),1,IF(AND(ISNUMBER($O1044),$O1044&lt;$N$32),$O1044+1,""))</f>
        <v/>
      </c>
      <c r="P1045" s="26" t="str">
        <f t="shared" si="323"/>
        <v/>
      </c>
      <c r="Q1045" s="26" t="str">
        <f t="shared" si="312"/>
        <v/>
      </c>
      <c r="R1045" s="24" t="str">
        <f t="shared" si="324"/>
        <v/>
      </c>
      <c r="S1045" s="180">
        <f t="shared" si="330"/>
        <v>8</v>
      </c>
      <c r="T1045" s="29">
        <f>SUM($AC$923:$AC1045)</f>
        <v>49500</v>
      </c>
      <c r="U1045" s="25" t="str">
        <f t="shared" si="313"/>
        <v/>
      </c>
      <c r="V1045" s="24" t="str">
        <f>IF(AND(ISNUMBER(R1044),ISNUMBER(R1045)),V1044,IF(AND(R1044="",ISNUMBER(R1045)),IFERROR(LARGE($V$923:$V1044,1)+1,0),""))</f>
        <v/>
      </c>
      <c r="W1045" s="23" t="str">
        <f t="shared" si="325"/>
        <v/>
      </c>
      <c r="X1045" s="22" t="str">
        <f t="shared" si="326"/>
        <v/>
      </c>
      <c r="Y1045" s="236"/>
      <c r="Z1045" s="22"/>
      <c r="AA1045" s="22"/>
      <c r="AB1045" s="22" t="str">
        <f t="shared" si="327"/>
        <v/>
      </c>
      <c r="AC1045" s="22" t="str">
        <f t="shared" si="328"/>
        <v/>
      </c>
      <c r="AD1045" s="22" t="str">
        <f t="shared" si="314"/>
        <v/>
      </c>
      <c r="AE1045" s="22" t="str">
        <f t="shared" si="329"/>
        <v/>
      </c>
      <c r="AF1045" s="22" t="str">
        <f t="shared" si="315"/>
        <v/>
      </c>
      <c r="AG1045" s="22" t="str">
        <f t="shared" si="316"/>
        <v/>
      </c>
      <c r="AH1045" s="22" t="str">
        <f t="shared" si="317"/>
        <v/>
      </c>
      <c r="AI1045" s="22" t="str">
        <f t="shared" si="318"/>
        <v/>
      </c>
      <c r="AJ1045" s="304" t="str">
        <f t="shared" si="319"/>
        <v/>
      </c>
      <c r="AK1045" s="140" t="str">
        <f t="shared" si="320"/>
        <v/>
      </c>
    </row>
    <row r="1046" spans="7:37" x14ac:dyDescent="0.25">
      <c r="G1046" s="235" t="str">
        <f t="shared" si="308"/>
        <v/>
      </c>
      <c r="H1046" s="4" t="str">
        <f t="shared" si="309"/>
        <v/>
      </c>
      <c r="I1046" s="11" t="str">
        <f t="shared" si="310"/>
        <v/>
      </c>
      <c r="K1046" s="30">
        <v>124</v>
      </c>
      <c r="L1046" s="29">
        <f t="shared" si="321"/>
        <v>11371.908376190921</v>
      </c>
      <c r="M1046" s="28" t="str">
        <f t="shared" si="311"/>
        <v/>
      </c>
      <c r="N1046" s="27" t="str">
        <f t="shared" si="322"/>
        <v/>
      </c>
      <c r="O1046" s="26" t="str">
        <f>IF(AND($Q1045=$O$38,IFERROR(LARGE($V$923:$V1045,1)&lt;$N$42,TRUE)),1,IF(AND(ISNUMBER($O1045),$O1045&lt;$N$32),$O1045+1,""))</f>
        <v/>
      </c>
      <c r="P1046" s="26" t="str">
        <f t="shared" si="323"/>
        <v/>
      </c>
      <c r="Q1046" s="26" t="str">
        <f t="shared" si="312"/>
        <v/>
      </c>
      <c r="R1046" s="24" t="str">
        <f t="shared" si="324"/>
        <v/>
      </c>
      <c r="S1046" s="180">
        <f t="shared" si="330"/>
        <v>8</v>
      </c>
      <c r="T1046" s="29">
        <f>SUM($AC$923:$AC1046)</f>
        <v>49500</v>
      </c>
      <c r="U1046" s="25" t="str">
        <f t="shared" si="313"/>
        <v/>
      </c>
      <c r="V1046" s="24" t="str">
        <f>IF(AND(ISNUMBER(R1045),ISNUMBER(R1046)),V1045,IF(AND(R1045="",ISNUMBER(R1046)),IFERROR(LARGE($V$923:$V1045,1)+1,0),""))</f>
        <v/>
      </c>
      <c r="W1046" s="23" t="str">
        <f t="shared" si="325"/>
        <v/>
      </c>
      <c r="X1046" s="22" t="str">
        <f t="shared" si="326"/>
        <v/>
      </c>
      <c r="Y1046" s="236"/>
      <c r="Z1046" s="22"/>
      <c r="AA1046" s="22"/>
      <c r="AB1046" s="22" t="str">
        <f t="shared" si="327"/>
        <v/>
      </c>
      <c r="AC1046" s="22" t="str">
        <f t="shared" si="328"/>
        <v/>
      </c>
      <c r="AD1046" s="22" t="str">
        <f t="shared" si="314"/>
        <v/>
      </c>
      <c r="AE1046" s="22" t="str">
        <f t="shared" si="329"/>
        <v/>
      </c>
      <c r="AF1046" s="22" t="str">
        <f t="shared" si="315"/>
        <v/>
      </c>
      <c r="AG1046" s="22" t="str">
        <f t="shared" si="316"/>
        <v/>
      </c>
      <c r="AH1046" s="22" t="str">
        <f t="shared" si="317"/>
        <v/>
      </c>
      <c r="AI1046" s="22" t="str">
        <f t="shared" si="318"/>
        <v/>
      </c>
      <c r="AJ1046" s="304" t="str">
        <f t="shared" si="319"/>
        <v/>
      </c>
      <c r="AK1046" s="140" t="str">
        <f t="shared" si="320"/>
        <v/>
      </c>
    </row>
    <row r="1047" spans="7:37" x14ac:dyDescent="0.25">
      <c r="G1047" s="235" t="str">
        <f t="shared" si="308"/>
        <v/>
      </c>
      <c r="H1047" s="4" t="str">
        <f t="shared" si="309"/>
        <v/>
      </c>
      <c r="I1047" s="11" t="str">
        <f t="shared" si="310"/>
        <v/>
      </c>
      <c r="K1047" s="30">
        <v>125</v>
      </c>
      <c r="L1047" s="29">
        <f t="shared" si="321"/>
        <v>11371.908376190921</v>
      </c>
      <c r="M1047" s="28" t="str">
        <f t="shared" si="311"/>
        <v/>
      </c>
      <c r="N1047" s="27" t="str">
        <f t="shared" si="322"/>
        <v/>
      </c>
      <c r="O1047" s="26" t="str">
        <f>IF(AND($Q1046=$O$38,IFERROR(LARGE($V$923:$V1046,1)&lt;$N$42,TRUE)),1,IF(AND(ISNUMBER($O1046),$O1046&lt;$N$32),$O1046+1,""))</f>
        <v/>
      </c>
      <c r="P1047" s="26" t="str">
        <f t="shared" si="323"/>
        <v/>
      </c>
      <c r="Q1047" s="26" t="str">
        <f t="shared" si="312"/>
        <v/>
      </c>
      <c r="R1047" s="24" t="str">
        <f t="shared" si="324"/>
        <v/>
      </c>
      <c r="S1047" s="180">
        <f t="shared" si="330"/>
        <v>8</v>
      </c>
      <c r="T1047" s="29">
        <f>SUM($AC$923:$AC1047)</f>
        <v>49500</v>
      </c>
      <c r="U1047" s="25" t="str">
        <f t="shared" si="313"/>
        <v/>
      </c>
      <c r="V1047" s="24" t="str">
        <f>IF(AND(ISNUMBER(R1046),ISNUMBER(R1047)),V1046,IF(AND(R1046="",ISNUMBER(R1047)),IFERROR(LARGE($V$923:$V1046,1)+1,0),""))</f>
        <v/>
      </c>
      <c r="W1047" s="23" t="str">
        <f t="shared" si="325"/>
        <v/>
      </c>
      <c r="X1047" s="22" t="str">
        <f t="shared" si="326"/>
        <v/>
      </c>
      <c r="Y1047" s="236"/>
      <c r="Z1047" s="22"/>
      <c r="AA1047" s="22"/>
      <c r="AB1047" s="22" t="str">
        <f t="shared" si="327"/>
        <v/>
      </c>
      <c r="AC1047" s="22" t="str">
        <f t="shared" si="328"/>
        <v/>
      </c>
      <c r="AD1047" s="22" t="str">
        <f t="shared" si="314"/>
        <v/>
      </c>
      <c r="AE1047" s="22" t="str">
        <f t="shared" si="329"/>
        <v/>
      </c>
      <c r="AF1047" s="22" t="str">
        <f t="shared" si="315"/>
        <v/>
      </c>
      <c r="AG1047" s="22" t="str">
        <f t="shared" si="316"/>
        <v/>
      </c>
      <c r="AH1047" s="22" t="str">
        <f t="shared" si="317"/>
        <v/>
      </c>
      <c r="AI1047" s="22" t="str">
        <f t="shared" si="318"/>
        <v/>
      </c>
      <c r="AJ1047" s="304" t="str">
        <f t="shared" si="319"/>
        <v/>
      </c>
      <c r="AK1047" s="140" t="str">
        <f t="shared" si="320"/>
        <v/>
      </c>
    </row>
    <row r="1048" spans="7:37" x14ac:dyDescent="0.25">
      <c r="G1048" s="235" t="str">
        <f t="shared" si="308"/>
        <v/>
      </c>
      <c r="H1048" s="4" t="str">
        <f t="shared" si="309"/>
        <v/>
      </c>
      <c r="I1048" s="11" t="str">
        <f t="shared" si="310"/>
        <v/>
      </c>
      <c r="K1048" s="30">
        <v>126</v>
      </c>
      <c r="L1048" s="29">
        <f t="shared" si="321"/>
        <v>11371.908376190921</v>
      </c>
      <c r="M1048" s="28" t="str">
        <f t="shared" si="311"/>
        <v/>
      </c>
      <c r="N1048" s="27" t="str">
        <f t="shared" si="322"/>
        <v/>
      </c>
      <c r="O1048" s="26" t="str">
        <f>IF(AND($Q1047=$O$38,IFERROR(LARGE($V$923:$V1047,1)&lt;$N$42,TRUE)),1,IF(AND(ISNUMBER($O1047),$O1047&lt;$N$32),$O1047+1,""))</f>
        <v/>
      </c>
      <c r="P1048" s="26" t="str">
        <f t="shared" si="323"/>
        <v/>
      </c>
      <c r="Q1048" s="26" t="str">
        <f t="shared" si="312"/>
        <v/>
      </c>
      <c r="R1048" s="24" t="str">
        <f t="shared" si="324"/>
        <v/>
      </c>
      <c r="S1048" s="180">
        <f t="shared" si="330"/>
        <v>8</v>
      </c>
      <c r="T1048" s="29">
        <f>SUM($AC$923:$AC1048)</f>
        <v>49500</v>
      </c>
      <c r="U1048" s="25" t="str">
        <f t="shared" si="313"/>
        <v/>
      </c>
      <c r="V1048" s="24" t="str">
        <f>IF(AND(ISNUMBER(R1047),ISNUMBER(R1048)),V1047,IF(AND(R1047="",ISNUMBER(R1048)),IFERROR(LARGE($V$923:$V1047,1)+1,0),""))</f>
        <v/>
      </c>
      <c r="W1048" s="23" t="str">
        <f t="shared" si="325"/>
        <v/>
      </c>
      <c r="X1048" s="22" t="str">
        <f t="shared" si="326"/>
        <v/>
      </c>
      <c r="Y1048" s="236"/>
      <c r="Z1048" s="22"/>
      <c r="AA1048" s="22"/>
      <c r="AB1048" s="22" t="str">
        <f t="shared" si="327"/>
        <v/>
      </c>
      <c r="AC1048" s="22" t="str">
        <f t="shared" si="328"/>
        <v/>
      </c>
      <c r="AD1048" s="22" t="str">
        <f t="shared" si="314"/>
        <v/>
      </c>
      <c r="AE1048" s="22" t="str">
        <f t="shared" si="329"/>
        <v/>
      </c>
      <c r="AF1048" s="22" t="str">
        <f t="shared" si="315"/>
        <v/>
      </c>
      <c r="AG1048" s="22" t="str">
        <f t="shared" si="316"/>
        <v/>
      </c>
      <c r="AH1048" s="22" t="str">
        <f t="shared" si="317"/>
        <v/>
      </c>
      <c r="AI1048" s="22" t="str">
        <f t="shared" si="318"/>
        <v/>
      </c>
      <c r="AJ1048" s="304" t="str">
        <f t="shared" si="319"/>
        <v/>
      </c>
      <c r="AK1048" s="140" t="str">
        <f t="shared" si="320"/>
        <v/>
      </c>
    </row>
    <row r="1049" spans="7:37" x14ac:dyDescent="0.25">
      <c r="G1049" s="235" t="str">
        <f t="shared" si="308"/>
        <v/>
      </c>
      <c r="H1049" s="4" t="str">
        <f t="shared" si="309"/>
        <v/>
      </c>
      <c r="I1049" s="11" t="str">
        <f t="shared" si="310"/>
        <v/>
      </c>
      <c r="K1049" s="30">
        <v>127</v>
      </c>
      <c r="L1049" s="29">
        <f t="shared" si="321"/>
        <v>11371.908376190921</v>
      </c>
      <c r="M1049" s="28" t="str">
        <f t="shared" si="311"/>
        <v/>
      </c>
      <c r="N1049" s="27" t="str">
        <f t="shared" si="322"/>
        <v/>
      </c>
      <c r="O1049" s="26" t="str">
        <f>IF(AND($Q1048=$O$38,IFERROR(LARGE($V$923:$V1048,1)&lt;$N$42,TRUE)),1,IF(AND(ISNUMBER($O1048),$O1048&lt;$N$32),$O1048+1,""))</f>
        <v/>
      </c>
      <c r="P1049" s="26" t="str">
        <f t="shared" si="323"/>
        <v/>
      </c>
      <c r="Q1049" s="26" t="str">
        <f t="shared" si="312"/>
        <v/>
      </c>
      <c r="R1049" s="24" t="str">
        <f t="shared" si="324"/>
        <v/>
      </c>
      <c r="S1049" s="180">
        <f t="shared" si="330"/>
        <v>8</v>
      </c>
      <c r="T1049" s="29">
        <f>SUM($AC$923:$AC1049)</f>
        <v>49500</v>
      </c>
      <c r="U1049" s="25" t="str">
        <f t="shared" si="313"/>
        <v/>
      </c>
      <c r="V1049" s="24" t="str">
        <f>IF(AND(ISNUMBER(R1048),ISNUMBER(R1049)),V1048,IF(AND(R1048="",ISNUMBER(R1049)),IFERROR(LARGE($V$923:$V1048,1)+1,0),""))</f>
        <v/>
      </c>
      <c r="W1049" s="23" t="str">
        <f t="shared" si="325"/>
        <v/>
      </c>
      <c r="X1049" s="22" t="str">
        <f t="shared" si="326"/>
        <v/>
      </c>
      <c r="Y1049" s="236"/>
      <c r="Z1049" s="22"/>
      <c r="AA1049" s="22"/>
      <c r="AB1049" s="22" t="str">
        <f t="shared" si="327"/>
        <v/>
      </c>
      <c r="AC1049" s="22" t="str">
        <f t="shared" si="328"/>
        <v/>
      </c>
      <c r="AD1049" s="22" t="str">
        <f t="shared" si="314"/>
        <v/>
      </c>
      <c r="AE1049" s="22" t="str">
        <f t="shared" si="329"/>
        <v/>
      </c>
      <c r="AF1049" s="22" t="str">
        <f t="shared" si="315"/>
        <v/>
      </c>
      <c r="AG1049" s="22" t="str">
        <f t="shared" si="316"/>
        <v/>
      </c>
      <c r="AH1049" s="22" t="str">
        <f t="shared" si="317"/>
        <v/>
      </c>
      <c r="AI1049" s="22" t="str">
        <f t="shared" si="318"/>
        <v/>
      </c>
      <c r="AJ1049" s="304" t="str">
        <f t="shared" si="319"/>
        <v/>
      </c>
      <c r="AK1049" s="140" t="str">
        <f t="shared" si="320"/>
        <v/>
      </c>
    </row>
    <row r="1050" spans="7:37" x14ac:dyDescent="0.25">
      <c r="G1050" s="235" t="str">
        <f t="shared" si="308"/>
        <v/>
      </c>
      <c r="H1050" s="4" t="str">
        <f t="shared" si="309"/>
        <v/>
      </c>
      <c r="I1050" s="11" t="str">
        <f t="shared" si="310"/>
        <v/>
      </c>
      <c r="K1050" s="30">
        <v>128</v>
      </c>
      <c r="L1050" s="29">
        <f t="shared" si="321"/>
        <v>11371.908376190921</v>
      </c>
      <c r="M1050" s="28" t="str">
        <f t="shared" si="311"/>
        <v/>
      </c>
      <c r="N1050" s="27" t="str">
        <f t="shared" si="322"/>
        <v/>
      </c>
      <c r="O1050" s="26" t="str">
        <f>IF(AND($Q1049=$O$38,IFERROR(LARGE($V$923:$V1049,1)&lt;$N$42,TRUE)),1,IF(AND(ISNUMBER($O1049),$O1049&lt;$N$32),$O1049+1,""))</f>
        <v/>
      </c>
      <c r="P1050" s="26" t="str">
        <f t="shared" si="323"/>
        <v/>
      </c>
      <c r="Q1050" s="26" t="str">
        <f t="shared" si="312"/>
        <v/>
      </c>
      <c r="R1050" s="24" t="str">
        <f t="shared" si="324"/>
        <v/>
      </c>
      <c r="S1050" s="180">
        <f t="shared" si="330"/>
        <v>8</v>
      </c>
      <c r="T1050" s="29">
        <f>SUM($AC$923:$AC1050)</f>
        <v>49500</v>
      </c>
      <c r="U1050" s="25" t="str">
        <f t="shared" si="313"/>
        <v/>
      </c>
      <c r="V1050" s="24" t="str">
        <f>IF(AND(ISNUMBER(R1049),ISNUMBER(R1050)),V1049,IF(AND(R1049="",ISNUMBER(R1050)),IFERROR(LARGE($V$923:$V1049,1)+1,0),""))</f>
        <v/>
      </c>
      <c r="W1050" s="23" t="str">
        <f t="shared" si="325"/>
        <v/>
      </c>
      <c r="X1050" s="22" t="str">
        <f t="shared" si="326"/>
        <v/>
      </c>
      <c r="Y1050" s="236"/>
      <c r="Z1050" s="22"/>
      <c r="AA1050" s="22"/>
      <c r="AB1050" s="22" t="str">
        <f t="shared" si="327"/>
        <v/>
      </c>
      <c r="AC1050" s="22" t="str">
        <f t="shared" si="328"/>
        <v/>
      </c>
      <c r="AD1050" s="22" t="str">
        <f t="shared" si="314"/>
        <v/>
      </c>
      <c r="AE1050" s="22" t="str">
        <f t="shared" si="329"/>
        <v/>
      </c>
      <c r="AF1050" s="22" t="str">
        <f t="shared" si="315"/>
        <v/>
      </c>
      <c r="AG1050" s="22" t="str">
        <f t="shared" si="316"/>
        <v/>
      </c>
      <c r="AH1050" s="22" t="str">
        <f t="shared" si="317"/>
        <v/>
      </c>
      <c r="AI1050" s="22" t="str">
        <f t="shared" si="318"/>
        <v/>
      </c>
      <c r="AJ1050" s="304" t="str">
        <f t="shared" si="319"/>
        <v/>
      </c>
      <c r="AK1050" s="140" t="str">
        <f t="shared" si="320"/>
        <v/>
      </c>
    </row>
    <row r="1051" spans="7:37" x14ac:dyDescent="0.25">
      <c r="G1051" s="235" t="str">
        <f t="shared" ref="G1051:G1114" si="331">IF(RIGHT(H1051,2)=".N","NEW",IF(SUM(N1051:R1051)=0,"",LEFT(H1051,5)))</f>
        <v/>
      </c>
      <c r="H1051" s="4" t="str">
        <f t="shared" ref="H1051:H1114" si="332">IF(SUM(N1051:R1051)&gt;0,CONCATENATE(IF(LEN(ROUNDDOWN(S1051,0))=1,CONCATENATE("0",ROUNDDOWN(S1051,0)),ROUNDDOWN(S1051,0)),".",IF(LEN(ROUND(MOD(S1051,1)*100,0))=1,CONCATENATE("0",ROUND(MOD(S1051,1)*100,0)),ROUND(MOD(S1051,1)*100,0)),IF(N1051&lt;&gt;"",".N",IF(O1051&lt;&gt;"",".R",IF(P1051&lt;&gt;"",".O",IF(Q1051&lt;&gt;"",".I",IF(R1051&lt;&gt;"",".D","")))))),"")</f>
        <v/>
      </c>
      <c r="I1051" s="11" t="str">
        <f t="shared" ref="I1051:I1114" si="333">IF(SUM(N1051:R1051)&gt;0,CONCATENATE(IF(LEN(ROUNDDOWN(S1051,0))=1,CONCATENATE("0",ROUNDDOWN(S1051,0)),ROUNDDOWN(S1051,0)),".",IF(LEN(ROUND(MOD(S1051,1)*100,0))=1,CONCATENATE("0",ROUND(MOD(S1051,1)*100,0)),ROUND(MOD(S1051,1)*100,0)),IF(N1051&lt;&gt;"",".N.",IF(O1051&lt;&gt;"",".R.",IF(P1051&lt;&gt;"",".O.",IF(Q1051&lt;&gt;"",".I.",IF(R1051&lt;&gt;"",".D.",""))))),IF(N1051&lt;&gt;"",N1051,IF(O1051&lt;&gt;"",O1051,IF(P1051&lt;&gt;"",P1051,IF(Q1051&lt;&gt;"",Q1051,IF(R1051&lt;&gt;"",IF(MOD(R1051,$N$44)=0,$N$44,MOD(R1051,$N$44)),"")))))),"")</f>
        <v/>
      </c>
      <c r="K1051" s="30">
        <v>129</v>
      </c>
      <c r="L1051" s="29">
        <f t="shared" si="321"/>
        <v>11371.908376190921</v>
      </c>
      <c r="M1051" s="28" t="str">
        <f t="shared" ref="M1051:M1114" si="334">IFERROR(IF(IF($K1051=1,(($M$23*-1)+($M$24*-1)),IF(ISNUMBER(W1051),W1051,0)+IF(ISNUMBER(X1051),X1051,0)+IF(ISNUMBER(AB1051),AB1051,0)+IF(ISNUMBER(AE1051),AE1051,0)+IF(ISNUMBER(AF1051),AF1051,0)+IF(ISNUMBER(AG1051),AG1051,0)+IF(ISNUMBER(AH1051),AH1051,0)+IF(ISNUMBER(AI1051),AI1051,0)+IF(ISNUMBER(AK1051),AK1051,0))=0,"",IF($K1051=1,(($M$23*-1)+($M$24*-1)),IF(ISNUMBER(W1051),W1051,0)+IF(ISNUMBER(X1051),X1051,0)+IF(ISNUMBER(AB1051),AB1051,0)+IF(ISNUMBER(AE1051),AE1051,0)+IF(ISNUMBER(AF1051),AF1051,0)+IF(ISNUMBER(AG1051),AG1051,0)+IF(ISNUMBER(AH1051),AH1051,0)+IF(ISNUMBER(AI1051),AI1051,0)+IF(ISNUMBER(AK1051),AK1051,0))),"")</f>
        <v/>
      </c>
      <c r="N1051" s="27" t="str">
        <f t="shared" si="322"/>
        <v/>
      </c>
      <c r="O1051" s="26" t="str">
        <f>IF(AND($Q1050=$O$38,IFERROR(LARGE($V$923:$V1050,1)&lt;$N$42,TRUE)),1,IF(AND(ISNUMBER($O1050),$O1050&lt;$N$32),$O1050+1,""))</f>
        <v/>
      </c>
      <c r="P1051" s="26" t="str">
        <f t="shared" si="323"/>
        <v/>
      </c>
      <c r="Q1051" s="26" t="str">
        <f t="shared" ref="Q1051:Q1114" si="335">IF($R1050=($N$43*$N$44),1,IF(AND(ISNUMBER($Q1050),$Q1050&lt;$O$38),$Q1050+1,""))</f>
        <v/>
      </c>
      <c r="R1051" s="24" t="str">
        <f t="shared" si="324"/>
        <v/>
      </c>
      <c r="S1051" s="180">
        <f t="shared" si="330"/>
        <v>8</v>
      </c>
      <c r="T1051" s="29">
        <f>SUM($AC$923:$AC1051)</f>
        <v>49500</v>
      </c>
      <c r="U1051" s="25" t="str">
        <f t="shared" ref="U1051:U1114" si="336">IF(ISNUMBER($R1051),ROUNDUP($R1051/$N$44,0),"")</f>
        <v/>
      </c>
      <c r="V1051" s="24" t="str">
        <f>IF(AND(ISNUMBER(R1050),ISNUMBER(R1051)),V1050,IF(AND(R1050="",ISNUMBER(R1051)),IFERROR(LARGE($V$923:$V1050,1)+1,0),""))</f>
        <v/>
      </c>
      <c r="W1051" s="23" t="str">
        <f t="shared" si="325"/>
        <v/>
      </c>
      <c r="X1051" s="22" t="str">
        <f t="shared" si="326"/>
        <v/>
      </c>
      <c r="Y1051" s="236"/>
      <c r="Z1051" s="22"/>
      <c r="AA1051" s="22"/>
      <c r="AB1051" s="22" t="str">
        <f t="shared" si="327"/>
        <v/>
      </c>
      <c r="AC1051" s="22" t="str">
        <f t="shared" si="328"/>
        <v/>
      </c>
      <c r="AD1051" s="22" t="str">
        <f t="shared" ref="AD1051:AD1114" si="337">IF(IF(OR(AND(ISNUMBER($U1051),IF(ISNUMBER($U1052),$U1052,0)-IF(ISNUMBER($U1051),$U1051,0)=1),AND(ISNUMBER($U1051),$U1052="")),IF($U1051=1,$P$37,0),0)=0,"",IF(OR(AND(ISNUMBER($U1051),IF(ISNUMBER($U1052),$U1052,0)-IF(ISNUMBER($U1051),$U1051,0)=1),AND(ISNUMBER($U1051),$U1052="")),IF($U1051=1,$P$37,0),0))</f>
        <v/>
      </c>
      <c r="AE1051" s="22" t="str">
        <f t="shared" si="329"/>
        <v/>
      </c>
      <c r="AF1051" s="22" t="str">
        <f t="shared" ref="AF1051:AF1114" si="338">IF($O$67="Invoice",IF(AND(ISNUMBER($AC1051),ISNUMBER($O$68)),$AC1051*$O$68*-1,""),IF($O$67="Payment",IF(AND(ISNUMBER($AE1051),ISNUMBER($O$68)),$AE1051*$O$68*-1,""),""))</f>
        <v/>
      </c>
      <c r="AG1051" s="22" t="str">
        <f t="shared" ref="AG1051:AG1114" si="339">IF($O$67="Invoice",IF(AND(ISNUMBER($AC1051),ISNUMBER($O$69)),$AC1051*$O$69*-1,""),IF($O$67="Payment",IF(AND(ISNUMBER($AE1051),ISNUMBER($O$69)),$AE1051*$O$69*-1,""),""))</f>
        <v/>
      </c>
      <c r="AH1051" s="22" t="str">
        <f t="shared" ref="AH1051:AH1114" si="340">IF($O$67="Invoice",IF(AND(ISNUMBER($AC1051),ISNUMBER($O$70)),$AC1051*$O$70*-1,""),IF($O$67="Payment",IF(AND(ISNUMBER($AE1051),ISNUMBER($O$70)),$AE1051*$O$70*-1,""),""))</f>
        <v/>
      </c>
      <c r="AI1051" s="22" t="str">
        <f t="shared" ref="AI1051:AI1114" si="341">IF($O$67="Invoice",IF(AND(ISNUMBER($AC1051),ISNUMBER($O$71)),$AC1051*$O$71*-1,""),IF($O$67="Payment",IF(AND(ISNUMBER($AE1051),ISNUMBER($O$71)),$AE1051*$O$71*-1,""),""))</f>
        <v/>
      </c>
      <c r="AJ1051" s="304" t="str">
        <f t="shared" ref="AJ1051:AJ1114" si="342">IF($O$67="Invoice",IF(AND(ISNUMBER($AC1051),ISNUMBER($O$72)),$AC1051*$O$72*-1,""),IF($O$67="Payment",IF(AND(ISNUMBER($AE1051),ISNUMBER($O$72)),$AE1051*$O$72*-1,""),""))</f>
        <v/>
      </c>
      <c r="AK1051" s="140" t="str">
        <f t="shared" ref="AK1051:AK1114" si="343">IF($O$67="Invoice",IF(AND(ISNUMBER($AC1051),ISNUMBER($O$73)),$AC1051*$O$73*-1,""),IF($O$67="Payment",IF(AND(ISNUMBER($AE1051),ISNUMBER($O$73)),$AE1051*$O$73*-1,""),""))</f>
        <v/>
      </c>
    </row>
    <row r="1052" spans="7:37" x14ac:dyDescent="0.25">
      <c r="G1052" s="235" t="str">
        <f t="shared" si="331"/>
        <v/>
      </c>
      <c r="H1052" s="4" t="str">
        <f t="shared" si="332"/>
        <v/>
      </c>
      <c r="I1052" s="11" t="str">
        <f t="shared" si="333"/>
        <v/>
      </c>
      <c r="K1052" s="30">
        <v>130</v>
      </c>
      <c r="L1052" s="29">
        <f t="shared" ref="L1052:L1115" si="344">IF(ISNUMBER($M1052),$M1052+$L1051,$L1051)</f>
        <v>11371.908376190921</v>
      </c>
      <c r="M1052" s="28" t="str">
        <f t="shared" si="334"/>
        <v/>
      </c>
      <c r="N1052" s="27" t="str">
        <f t="shared" ref="N1052:N1115" si="345">IF($K1051&lt;$N$25,$N1051+1,"")</f>
        <v/>
      </c>
      <c r="O1052" s="26" t="str">
        <f>IF(AND($Q1051=$O$38,IFERROR(LARGE($V$923:$V1051,1)&lt;$N$42,TRUE)),1,IF(AND(ISNUMBER($O1051),$O1051&lt;$N$32),$O1051+1,""))</f>
        <v/>
      </c>
      <c r="P1052" s="26" t="str">
        <f t="shared" ref="P1052:P1115" si="346">IF(OR($N1051=$N$25,O1051=$N$32),1,IF(AND($P1051&lt;$O$37,P1051&gt;0),P1051+1,""))</f>
        <v/>
      </c>
      <c r="Q1052" s="26" t="str">
        <f t="shared" si="335"/>
        <v/>
      </c>
      <c r="R1052" s="24" t="str">
        <f t="shared" ref="R1052:R1115" si="347">IF(AND($P1051=$O$37,$R1051=""),1,IF($R1051&lt;($N$43*$N$44),$R1051+1,""))</f>
        <v/>
      </c>
      <c r="S1052" s="180">
        <f t="shared" si="330"/>
        <v>8</v>
      </c>
      <c r="T1052" s="29">
        <f>SUM($AC$923:$AC1052)</f>
        <v>49500</v>
      </c>
      <c r="U1052" s="25" t="str">
        <f t="shared" si="336"/>
        <v/>
      </c>
      <c r="V1052" s="24" t="str">
        <f>IF(AND(ISNUMBER(R1051),ISNUMBER(R1052)),V1051,IF(AND(R1051="",ISNUMBER(R1052)),IFERROR(LARGE($V$923:$V1051,1)+1,0),""))</f>
        <v/>
      </c>
      <c r="W1052" s="23" t="str">
        <f t="shared" ref="W1052:W1115" si="348">IF($O1052=1,($M$30*-1),"")</f>
        <v/>
      </c>
      <c r="X1052" s="22" t="str">
        <f t="shared" ref="X1052:X1115" si="349">IF($K1052=1,($M$24*-1),IF($O1052=1,($M$31*-1),""))</f>
        <v/>
      </c>
      <c r="Y1052" s="236"/>
      <c r="Z1052" s="22"/>
      <c r="AA1052" s="22"/>
      <c r="AB1052" s="22" t="str">
        <f t="shared" si="327"/>
        <v/>
      </c>
      <c r="AC1052" s="22" t="str">
        <f t="shared" si="328"/>
        <v/>
      </c>
      <c r="AD1052" s="22" t="str">
        <f t="shared" si="337"/>
        <v/>
      </c>
      <c r="AE1052" s="22" t="str">
        <f t="shared" si="329"/>
        <v/>
      </c>
      <c r="AF1052" s="22" t="str">
        <f t="shared" si="338"/>
        <v/>
      </c>
      <c r="AG1052" s="22" t="str">
        <f t="shared" si="339"/>
        <v/>
      </c>
      <c r="AH1052" s="22" t="str">
        <f t="shared" si="340"/>
        <v/>
      </c>
      <c r="AI1052" s="22" t="str">
        <f t="shared" si="341"/>
        <v/>
      </c>
      <c r="AJ1052" s="304" t="str">
        <f t="shared" si="342"/>
        <v/>
      </c>
      <c r="AK1052" s="140" t="str">
        <f t="shared" si="343"/>
        <v/>
      </c>
    </row>
    <row r="1053" spans="7:37" x14ac:dyDescent="0.25">
      <c r="G1053" s="235" t="str">
        <f t="shared" si="331"/>
        <v/>
      </c>
      <c r="H1053" s="4" t="str">
        <f t="shared" si="332"/>
        <v/>
      </c>
      <c r="I1053" s="11" t="str">
        <f t="shared" si="333"/>
        <v/>
      </c>
      <c r="K1053" s="30">
        <v>131</v>
      </c>
      <c r="L1053" s="29">
        <f t="shared" si="344"/>
        <v>11371.908376190921</v>
      </c>
      <c r="M1053" s="28" t="str">
        <f t="shared" si="334"/>
        <v/>
      </c>
      <c r="N1053" s="27" t="str">
        <f t="shared" si="345"/>
        <v/>
      </c>
      <c r="O1053" s="26" t="str">
        <f>IF(AND($Q1052=$O$38,IFERROR(LARGE($V$923:$V1052,1)&lt;$N$42,TRUE)),1,IF(AND(ISNUMBER($O1052),$O1052&lt;$N$32),$O1052+1,""))</f>
        <v/>
      </c>
      <c r="P1053" s="26" t="str">
        <f t="shared" si="346"/>
        <v/>
      </c>
      <c r="Q1053" s="26" t="str">
        <f t="shared" si="335"/>
        <v/>
      </c>
      <c r="R1053" s="24" t="str">
        <f t="shared" si="347"/>
        <v/>
      </c>
      <c r="S1053" s="180">
        <f t="shared" si="330"/>
        <v>8</v>
      </c>
      <c r="T1053" s="29">
        <f>SUM($AC$923:$AC1053)</f>
        <v>49500</v>
      </c>
      <c r="U1053" s="25" t="str">
        <f t="shared" si="336"/>
        <v/>
      </c>
      <c r="V1053" s="24" t="str">
        <f>IF(AND(ISNUMBER(R1052),ISNUMBER(R1053)),V1052,IF(AND(R1052="",ISNUMBER(R1053)),IFERROR(LARGE($V$923:$V1052,1)+1,0),""))</f>
        <v/>
      </c>
      <c r="W1053" s="23" t="str">
        <f t="shared" si="348"/>
        <v/>
      </c>
      <c r="X1053" s="22" t="str">
        <f t="shared" si="349"/>
        <v/>
      </c>
      <c r="Y1053" s="236"/>
      <c r="Z1053" s="22"/>
      <c r="AA1053" s="22"/>
      <c r="AB1053" s="22" t="str">
        <f t="shared" si="327"/>
        <v/>
      </c>
      <c r="AC1053" s="22" t="str">
        <f t="shared" si="328"/>
        <v/>
      </c>
      <c r="AD1053" s="22" t="str">
        <f t="shared" si="337"/>
        <v/>
      </c>
      <c r="AE1053" s="22" t="str">
        <f t="shared" si="329"/>
        <v/>
      </c>
      <c r="AF1053" s="22" t="str">
        <f t="shared" si="338"/>
        <v/>
      </c>
      <c r="AG1053" s="22" t="str">
        <f t="shared" si="339"/>
        <v/>
      </c>
      <c r="AH1053" s="22" t="str">
        <f t="shared" si="340"/>
        <v/>
      </c>
      <c r="AI1053" s="22" t="str">
        <f t="shared" si="341"/>
        <v/>
      </c>
      <c r="AJ1053" s="304" t="str">
        <f t="shared" si="342"/>
        <v/>
      </c>
      <c r="AK1053" s="140" t="str">
        <f t="shared" si="343"/>
        <v/>
      </c>
    </row>
    <row r="1054" spans="7:37" x14ac:dyDescent="0.25">
      <c r="G1054" s="235" t="str">
        <f t="shared" si="331"/>
        <v/>
      </c>
      <c r="H1054" s="4" t="str">
        <f t="shared" si="332"/>
        <v/>
      </c>
      <c r="I1054" s="11" t="str">
        <f t="shared" si="333"/>
        <v/>
      </c>
      <c r="K1054" s="30">
        <v>132</v>
      </c>
      <c r="L1054" s="29">
        <f t="shared" si="344"/>
        <v>11371.908376190921</v>
      </c>
      <c r="M1054" s="28" t="str">
        <f t="shared" si="334"/>
        <v/>
      </c>
      <c r="N1054" s="27" t="str">
        <f t="shared" si="345"/>
        <v/>
      </c>
      <c r="O1054" s="26" t="str">
        <f>IF(AND($Q1053=$O$38,IFERROR(LARGE($V$923:$V1053,1)&lt;$N$42,TRUE)),1,IF(AND(ISNUMBER($O1053),$O1053&lt;$N$32),$O1053+1,""))</f>
        <v/>
      </c>
      <c r="P1054" s="26" t="str">
        <f t="shared" si="346"/>
        <v/>
      </c>
      <c r="Q1054" s="26" t="str">
        <f t="shared" si="335"/>
        <v/>
      </c>
      <c r="R1054" s="24" t="str">
        <f t="shared" si="347"/>
        <v/>
      </c>
      <c r="S1054" s="180">
        <f t="shared" si="330"/>
        <v>8</v>
      </c>
      <c r="T1054" s="29">
        <f>SUM($AC$923:$AC1054)</f>
        <v>49500</v>
      </c>
      <c r="U1054" s="25" t="str">
        <f t="shared" si="336"/>
        <v/>
      </c>
      <c r="V1054" s="24" t="str">
        <f>IF(AND(ISNUMBER(R1053),ISNUMBER(R1054)),V1053,IF(AND(R1053="",ISNUMBER(R1054)),IFERROR(LARGE($V$923:$V1053,1)+1,0),""))</f>
        <v/>
      </c>
      <c r="W1054" s="23" t="str">
        <f t="shared" si="348"/>
        <v/>
      </c>
      <c r="X1054" s="22" t="str">
        <f t="shared" si="349"/>
        <v/>
      </c>
      <c r="Y1054" s="236"/>
      <c r="Z1054" s="22"/>
      <c r="AA1054" s="22"/>
      <c r="AB1054" s="22" t="str">
        <f t="shared" si="327"/>
        <v/>
      </c>
      <c r="AC1054" s="22" t="str">
        <f t="shared" si="328"/>
        <v/>
      </c>
      <c r="AD1054" s="22" t="str">
        <f t="shared" si="337"/>
        <v/>
      </c>
      <c r="AE1054" s="22" t="str">
        <f t="shared" si="329"/>
        <v/>
      </c>
      <c r="AF1054" s="22" t="str">
        <f t="shared" si="338"/>
        <v/>
      </c>
      <c r="AG1054" s="22" t="str">
        <f t="shared" si="339"/>
        <v/>
      </c>
      <c r="AH1054" s="22" t="str">
        <f t="shared" si="340"/>
        <v/>
      </c>
      <c r="AI1054" s="22" t="str">
        <f t="shared" si="341"/>
        <v/>
      </c>
      <c r="AJ1054" s="304" t="str">
        <f t="shared" si="342"/>
        <v/>
      </c>
      <c r="AK1054" s="140" t="str">
        <f t="shared" si="343"/>
        <v/>
      </c>
    </row>
    <row r="1055" spans="7:37" x14ac:dyDescent="0.25">
      <c r="G1055" s="235" t="str">
        <f t="shared" si="331"/>
        <v/>
      </c>
      <c r="H1055" s="4" t="str">
        <f t="shared" si="332"/>
        <v/>
      </c>
      <c r="I1055" s="11" t="str">
        <f t="shared" si="333"/>
        <v/>
      </c>
      <c r="K1055" s="30">
        <v>133</v>
      </c>
      <c r="L1055" s="29">
        <f t="shared" si="344"/>
        <v>11371.908376190921</v>
      </c>
      <c r="M1055" s="28" t="str">
        <f t="shared" si="334"/>
        <v/>
      </c>
      <c r="N1055" s="27" t="str">
        <f t="shared" si="345"/>
        <v/>
      </c>
      <c r="O1055" s="26" t="str">
        <f>IF(AND($Q1054=$O$38,IFERROR(LARGE($V$923:$V1054,1)&lt;$N$42,TRUE)),1,IF(AND(ISNUMBER($O1054),$O1054&lt;$N$32),$O1054+1,""))</f>
        <v/>
      </c>
      <c r="P1055" s="26" t="str">
        <f t="shared" si="346"/>
        <v/>
      </c>
      <c r="Q1055" s="26" t="str">
        <f t="shared" si="335"/>
        <v/>
      </c>
      <c r="R1055" s="24" t="str">
        <f t="shared" si="347"/>
        <v/>
      </c>
      <c r="S1055" s="180">
        <f t="shared" si="330"/>
        <v>8</v>
      </c>
      <c r="T1055" s="29">
        <f>SUM($AC$923:$AC1055)</f>
        <v>49500</v>
      </c>
      <c r="U1055" s="25" t="str">
        <f t="shared" si="336"/>
        <v/>
      </c>
      <c r="V1055" s="24" t="str">
        <f>IF(AND(ISNUMBER(R1054),ISNUMBER(R1055)),V1054,IF(AND(R1054="",ISNUMBER(R1055)),IFERROR(LARGE($V$923:$V1054,1)+1,0),""))</f>
        <v/>
      </c>
      <c r="W1055" s="23" t="str">
        <f t="shared" si="348"/>
        <v/>
      </c>
      <c r="X1055" s="22" t="str">
        <f t="shared" si="349"/>
        <v/>
      </c>
      <c r="Y1055" s="236"/>
      <c r="Z1055" s="22"/>
      <c r="AA1055" s="22"/>
      <c r="AB1055" s="22" t="str">
        <f t="shared" si="327"/>
        <v/>
      </c>
      <c r="AC1055" s="22" t="str">
        <f t="shared" si="328"/>
        <v/>
      </c>
      <c r="AD1055" s="22" t="str">
        <f t="shared" si="337"/>
        <v/>
      </c>
      <c r="AE1055" s="22" t="str">
        <f t="shared" si="329"/>
        <v/>
      </c>
      <c r="AF1055" s="22" t="str">
        <f t="shared" si="338"/>
        <v/>
      </c>
      <c r="AG1055" s="22" t="str">
        <f t="shared" si="339"/>
        <v/>
      </c>
      <c r="AH1055" s="22" t="str">
        <f t="shared" si="340"/>
        <v/>
      </c>
      <c r="AI1055" s="22" t="str">
        <f t="shared" si="341"/>
        <v/>
      </c>
      <c r="AJ1055" s="304" t="str">
        <f t="shared" si="342"/>
        <v/>
      </c>
      <c r="AK1055" s="140" t="str">
        <f t="shared" si="343"/>
        <v/>
      </c>
    </row>
    <row r="1056" spans="7:37" x14ac:dyDescent="0.25">
      <c r="G1056" s="235" t="str">
        <f t="shared" si="331"/>
        <v/>
      </c>
      <c r="H1056" s="4" t="str">
        <f t="shared" si="332"/>
        <v/>
      </c>
      <c r="I1056" s="11" t="str">
        <f t="shared" si="333"/>
        <v/>
      </c>
      <c r="K1056" s="30">
        <v>134</v>
      </c>
      <c r="L1056" s="29">
        <f t="shared" si="344"/>
        <v>11371.908376190921</v>
      </c>
      <c r="M1056" s="28" t="str">
        <f t="shared" si="334"/>
        <v/>
      </c>
      <c r="N1056" s="27" t="str">
        <f t="shared" si="345"/>
        <v/>
      </c>
      <c r="O1056" s="26" t="str">
        <f>IF(AND($Q1055=$O$38,IFERROR(LARGE($V$923:$V1055,1)&lt;$N$42,TRUE)),1,IF(AND(ISNUMBER($O1055),$O1055&lt;$N$32),$O1055+1,""))</f>
        <v/>
      </c>
      <c r="P1056" s="26" t="str">
        <f t="shared" si="346"/>
        <v/>
      </c>
      <c r="Q1056" s="26" t="str">
        <f t="shared" si="335"/>
        <v/>
      </c>
      <c r="R1056" s="24" t="str">
        <f t="shared" si="347"/>
        <v/>
      </c>
      <c r="S1056" s="180">
        <f t="shared" si="330"/>
        <v>8</v>
      </c>
      <c r="T1056" s="29">
        <f>SUM($AC$923:$AC1056)</f>
        <v>49500</v>
      </c>
      <c r="U1056" s="25" t="str">
        <f t="shared" si="336"/>
        <v/>
      </c>
      <c r="V1056" s="24" t="str">
        <f>IF(AND(ISNUMBER(R1055),ISNUMBER(R1056)),V1055,IF(AND(R1055="",ISNUMBER(R1056)),IFERROR(LARGE($V$923:$V1055,1)+1,0),""))</f>
        <v/>
      </c>
      <c r="W1056" s="23" t="str">
        <f t="shared" si="348"/>
        <v/>
      </c>
      <c r="X1056" s="22" t="str">
        <f t="shared" si="349"/>
        <v/>
      </c>
      <c r="Y1056" s="236"/>
      <c r="Z1056" s="22"/>
      <c r="AA1056" s="22"/>
      <c r="AB1056" s="22" t="str">
        <f t="shared" si="327"/>
        <v/>
      </c>
      <c r="AC1056" s="22" t="str">
        <f t="shared" si="328"/>
        <v/>
      </c>
      <c r="AD1056" s="22" t="str">
        <f t="shared" si="337"/>
        <v/>
      </c>
      <c r="AE1056" s="22" t="str">
        <f t="shared" si="329"/>
        <v/>
      </c>
      <c r="AF1056" s="22" t="str">
        <f t="shared" si="338"/>
        <v/>
      </c>
      <c r="AG1056" s="22" t="str">
        <f t="shared" si="339"/>
        <v/>
      </c>
      <c r="AH1056" s="22" t="str">
        <f t="shared" si="340"/>
        <v/>
      </c>
      <c r="AI1056" s="22" t="str">
        <f t="shared" si="341"/>
        <v/>
      </c>
      <c r="AJ1056" s="304" t="str">
        <f t="shared" si="342"/>
        <v/>
      </c>
      <c r="AK1056" s="140" t="str">
        <f t="shared" si="343"/>
        <v/>
      </c>
    </row>
    <row r="1057" spans="7:37" x14ac:dyDescent="0.25">
      <c r="G1057" s="235" t="str">
        <f t="shared" si="331"/>
        <v/>
      </c>
      <c r="H1057" s="4" t="str">
        <f t="shared" si="332"/>
        <v/>
      </c>
      <c r="I1057" s="11" t="str">
        <f t="shared" si="333"/>
        <v/>
      </c>
      <c r="K1057" s="30">
        <v>135</v>
      </c>
      <c r="L1057" s="29">
        <f t="shared" si="344"/>
        <v>11371.908376190921</v>
      </c>
      <c r="M1057" s="28" t="str">
        <f t="shared" si="334"/>
        <v/>
      </c>
      <c r="N1057" s="27" t="str">
        <f t="shared" si="345"/>
        <v/>
      </c>
      <c r="O1057" s="26" t="str">
        <f>IF(AND($Q1056=$O$38,IFERROR(LARGE($V$923:$V1056,1)&lt;$N$42,TRUE)),1,IF(AND(ISNUMBER($O1056),$O1056&lt;$N$32),$O1056+1,""))</f>
        <v/>
      </c>
      <c r="P1057" s="26" t="str">
        <f t="shared" si="346"/>
        <v/>
      </c>
      <c r="Q1057" s="26" t="str">
        <f t="shared" si="335"/>
        <v/>
      </c>
      <c r="R1057" s="24" t="str">
        <f t="shared" si="347"/>
        <v/>
      </c>
      <c r="S1057" s="180">
        <f t="shared" si="330"/>
        <v>8</v>
      </c>
      <c r="T1057" s="29">
        <f>SUM($AC$923:$AC1057)</f>
        <v>49500</v>
      </c>
      <c r="U1057" s="25" t="str">
        <f t="shared" si="336"/>
        <v/>
      </c>
      <c r="V1057" s="24" t="str">
        <f>IF(AND(ISNUMBER(R1056),ISNUMBER(R1057)),V1056,IF(AND(R1056="",ISNUMBER(R1057)),IFERROR(LARGE($V$923:$V1056,1)+1,0),""))</f>
        <v/>
      </c>
      <c r="W1057" s="23" t="str">
        <f t="shared" si="348"/>
        <v/>
      </c>
      <c r="X1057" s="22" t="str">
        <f t="shared" si="349"/>
        <v/>
      </c>
      <c r="Y1057" s="236"/>
      <c r="Z1057" s="22"/>
      <c r="AA1057" s="22"/>
      <c r="AB1057" s="22" t="str">
        <f t="shared" si="327"/>
        <v/>
      </c>
      <c r="AC1057" s="22" t="str">
        <f t="shared" si="328"/>
        <v/>
      </c>
      <c r="AD1057" s="22" t="str">
        <f t="shared" si="337"/>
        <v/>
      </c>
      <c r="AE1057" s="22" t="str">
        <f t="shared" si="329"/>
        <v/>
      </c>
      <c r="AF1057" s="22" t="str">
        <f t="shared" si="338"/>
        <v/>
      </c>
      <c r="AG1057" s="22" t="str">
        <f t="shared" si="339"/>
        <v/>
      </c>
      <c r="AH1057" s="22" t="str">
        <f t="shared" si="340"/>
        <v/>
      </c>
      <c r="AI1057" s="22" t="str">
        <f t="shared" si="341"/>
        <v/>
      </c>
      <c r="AJ1057" s="304" t="str">
        <f t="shared" si="342"/>
        <v/>
      </c>
      <c r="AK1057" s="140" t="str">
        <f t="shared" si="343"/>
        <v/>
      </c>
    </row>
    <row r="1058" spans="7:37" x14ac:dyDescent="0.25">
      <c r="G1058" s="235" t="str">
        <f t="shared" si="331"/>
        <v/>
      </c>
      <c r="H1058" s="4" t="str">
        <f t="shared" si="332"/>
        <v/>
      </c>
      <c r="I1058" s="11" t="str">
        <f t="shared" si="333"/>
        <v/>
      </c>
      <c r="K1058" s="30">
        <v>136</v>
      </c>
      <c r="L1058" s="29">
        <f t="shared" si="344"/>
        <v>11371.908376190921</v>
      </c>
      <c r="M1058" s="28" t="str">
        <f t="shared" si="334"/>
        <v/>
      </c>
      <c r="N1058" s="27" t="str">
        <f t="shared" si="345"/>
        <v/>
      </c>
      <c r="O1058" s="26" t="str">
        <f>IF(AND($Q1057=$O$38,IFERROR(LARGE($V$923:$V1057,1)&lt;$N$42,TRUE)),1,IF(AND(ISNUMBER($O1057),$O1057&lt;$N$32),$O1057+1,""))</f>
        <v/>
      </c>
      <c r="P1058" s="26" t="str">
        <f t="shared" si="346"/>
        <v/>
      </c>
      <c r="Q1058" s="26" t="str">
        <f t="shared" si="335"/>
        <v/>
      </c>
      <c r="R1058" s="24" t="str">
        <f t="shared" si="347"/>
        <v/>
      </c>
      <c r="S1058" s="180">
        <f t="shared" si="330"/>
        <v>8</v>
      </c>
      <c r="T1058" s="29">
        <f>SUM($AC$923:$AC1058)</f>
        <v>49500</v>
      </c>
      <c r="U1058" s="25" t="str">
        <f t="shared" si="336"/>
        <v/>
      </c>
      <c r="V1058" s="24" t="str">
        <f>IF(AND(ISNUMBER(R1057),ISNUMBER(R1058)),V1057,IF(AND(R1057="",ISNUMBER(R1058)),IFERROR(LARGE($V$923:$V1057,1)+1,0),""))</f>
        <v/>
      </c>
      <c r="W1058" s="23" t="str">
        <f t="shared" si="348"/>
        <v/>
      </c>
      <c r="X1058" s="22" t="str">
        <f t="shared" si="349"/>
        <v/>
      </c>
      <c r="Y1058" s="236"/>
      <c r="Z1058" s="22"/>
      <c r="AA1058" s="22"/>
      <c r="AB1058" s="22" t="str">
        <f t="shared" si="327"/>
        <v/>
      </c>
      <c r="AC1058" s="22" t="str">
        <f t="shared" si="328"/>
        <v/>
      </c>
      <c r="AD1058" s="22" t="str">
        <f t="shared" si="337"/>
        <v/>
      </c>
      <c r="AE1058" s="22" t="str">
        <f t="shared" si="329"/>
        <v/>
      </c>
      <c r="AF1058" s="22" t="str">
        <f t="shared" si="338"/>
        <v/>
      </c>
      <c r="AG1058" s="22" t="str">
        <f t="shared" si="339"/>
        <v/>
      </c>
      <c r="AH1058" s="22" t="str">
        <f t="shared" si="340"/>
        <v/>
      </c>
      <c r="AI1058" s="22" t="str">
        <f t="shared" si="341"/>
        <v/>
      </c>
      <c r="AJ1058" s="304" t="str">
        <f t="shared" si="342"/>
        <v/>
      </c>
      <c r="AK1058" s="140" t="str">
        <f t="shared" si="343"/>
        <v/>
      </c>
    </row>
    <row r="1059" spans="7:37" x14ac:dyDescent="0.25">
      <c r="G1059" s="235" t="str">
        <f t="shared" si="331"/>
        <v/>
      </c>
      <c r="H1059" s="4" t="str">
        <f t="shared" si="332"/>
        <v/>
      </c>
      <c r="I1059" s="11" t="str">
        <f t="shared" si="333"/>
        <v/>
      </c>
      <c r="K1059" s="30">
        <v>137</v>
      </c>
      <c r="L1059" s="29">
        <f t="shared" si="344"/>
        <v>11371.908376190921</v>
      </c>
      <c r="M1059" s="28" t="str">
        <f t="shared" si="334"/>
        <v/>
      </c>
      <c r="N1059" s="27" t="str">
        <f t="shared" si="345"/>
        <v/>
      </c>
      <c r="O1059" s="26" t="str">
        <f>IF(AND($Q1058=$O$38,IFERROR(LARGE($V$923:$V1058,1)&lt;$N$42,TRUE)),1,IF(AND(ISNUMBER($O1058),$O1058&lt;$N$32),$O1058+1,""))</f>
        <v/>
      </c>
      <c r="P1059" s="26" t="str">
        <f t="shared" si="346"/>
        <v/>
      </c>
      <c r="Q1059" s="26" t="str">
        <f t="shared" si="335"/>
        <v/>
      </c>
      <c r="R1059" s="24" t="str">
        <f t="shared" si="347"/>
        <v/>
      </c>
      <c r="S1059" s="180">
        <f t="shared" si="330"/>
        <v>8</v>
      </c>
      <c r="T1059" s="29">
        <f>SUM($AC$923:$AC1059)</f>
        <v>49500</v>
      </c>
      <c r="U1059" s="25" t="str">
        <f t="shared" si="336"/>
        <v/>
      </c>
      <c r="V1059" s="24" t="str">
        <f>IF(AND(ISNUMBER(R1058),ISNUMBER(R1059)),V1058,IF(AND(R1058="",ISNUMBER(R1059)),IFERROR(LARGE($V$923:$V1058,1)+1,0),""))</f>
        <v/>
      </c>
      <c r="W1059" s="23" t="str">
        <f t="shared" si="348"/>
        <v/>
      </c>
      <c r="X1059" s="22" t="str">
        <f t="shared" si="349"/>
        <v/>
      </c>
      <c r="Y1059" s="236"/>
      <c r="Z1059" s="22"/>
      <c r="AA1059" s="22"/>
      <c r="AB1059" s="22" t="str">
        <f t="shared" si="327"/>
        <v/>
      </c>
      <c r="AC1059" s="22" t="str">
        <f t="shared" si="328"/>
        <v/>
      </c>
      <c r="AD1059" s="22" t="str">
        <f t="shared" si="337"/>
        <v/>
      </c>
      <c r="AE1059" s="22" t="str">
        <f t="shared" si="329"/>
        <v/>
      </c>
      <c r="AF1059" s="22" t="str">
        <f t="shared" si="338"/>
        <v/>
      </c>
      <c r="AG1059" s="22" t="str">
        <f t="shared" si="339"/>
        <v/>
      </c>
      <c r="AH1059" s="22" t="str">
        <f t="shared" si="340"/>
        <v/>
      </c>
      <c r="AI1059" s="22" t="str">
        <f t="shared" si="341"/>
        <v/>
      </c>
      <c r="AJ1059" s="304" t="str">
        <f t="shared" si="342"/>
        <v/>
      </c>
      <c r="AK1059" s="140" t="str">
        <f t="shared" si="343"/>
        <v/>
      </c>
    </row>
    <row r="1060" spans="7:37" x14ac:dyDescent="0.25">
      <c r="G1060" s="235" t="str">
        <f t="shared" si="331"/>
        <v/>
      </c>
      <c r="H1060" s="4" t="str">
        <f t="shared" si="332"/>
        <v/>
      </c>
      <c r="I1060" s="11" t="str">
        <f t="shared" si="333"/>
        <v/>
      </c>
      <c r="K1060" s="30">
        <v>138</v>
      </c>
      <c r="L1060" s="29">
        <f t="shared" si="344"/>
        <v>11371.908376190921</v>
      </c>
      <c r="M1060" s="28" t="str">
        <f t="shared" si="334"/>
        <v/>
      </c>
      <c r="N1060" s="27" t="str">
        <f t="shared" si="345"/>
        <v/>
      </c>
      <c r="O1060" s="26" t="str">
        <f>IF(AND($Q1059=$O$38,IFERROR(LARGE($V$923:$V1059,1)&lt;$N$42,TRUE)),1,IF(AND(ISNUMBER($O1059),$O1059&lt;$N$32),$O1059+1,""))</f>
        <v/>
      </c>
      <c r="P1060" s="26" t="str">
        <f t="shared" si="346"/>
        <v/>
      </c>
      <c r="Q1060" s="26" t="str">
        <f t="shared" si="335"/>
        <v/>
      </c>
      <c r="R1060" s="24" t="str">
        <f t="shared" si="347"/>
        <v/>
      </c>
      <c r="S1060" s="180">
        <f t="shared" si="330"/>
        <v>8</v>
      </c>
      <c r="T1060" s="29">
        <f>SUM($AC$923:$AC1060)</f>
        <v>49500</v>
      </c>
      <c r="U1060" s="25" t="str">
        <f t="shared" si="336"/>
        <v/>
      </c>
      <c r="V1060" s="24" t="str">
        <f>IF(AND(ISNUMBER(R1059),ISNUMBER(R1060)),V1059,IF(AND(R1059="",ISNUMBER(R1060)),IFERROR(LARGE($V$923:$V1059,1)+1,0),""))</f>
        <v/>
      </c>
      <c r="W1060" s="23" t="str">
        <f t="shared" si="348"/>
        <v/>
      </c>
      <c r="X1060" s="22" t="str">
        <f t="shared" si="349"/>
        <v/>
      </c>
      <c r="Y1060" s="236"/>
      <c r="Z1060" s="22"/>
      <c r="AA1060" s="22"/>
      <c r="AB1060" s="22" t="str">
        <f t="shared" si="327"/>
        <v/>
      </c>
      <c r="AC1060" s="22" t="str">
        <f t="shared" si="328"/>
        <v/>
      </c>
      <c r="AD1060" s="22" t="str">
        <f t="shared" si="337"/>
        <v/>
      </c>
      <c r="AE1060" s="22" t="str">
        <f t="shared" si="329"/>
        <v/>
      </c>
      <c r="AF1060" s="22" t="str">
        <f t="shared" si="338"/>
        <v/>
      </c>
      <c r="AG1060" s="22" t="str">
        <f t="shared" si="339"/>
        <v/>
      </c>
      <c r="AH1060" s="22" t="str">
        <f t="shared" si="340"/>
        <v/>
      </c>
      <c r="AI1060" s="22" t="str">
        <f t="shared" si="341"/>
        <v/>
      </c>
      <c r="AJ1060" s="304" t="str">
        <f t="shared" si="342"/>
        <v/>
      </c>
      <c r="AK1060" s="140" t="str">
        <f t="shared" si="343"/>
        <v/>
      </c>
    </row>
    <row r="1061" spans="7:37" x14ac:dyDescent="0.25">
      <c r="G1061" s="235" t="str">
        <f t="shared" si="331"/>
        <v/>
      </c>
      <c r="H1061" s="4" t="str">
        <f t="shared" si="332"/>
        <v/>
      </c>
      <c r="I1061" s="11" t="str">
        <f t="shared" si="333"/>
        <v/>
      </c>
      <c r="K1061" s="30">
        <v>139</v>
      </c>
      <c r="L1061" s="29">
        <f t="shared" si="344"/>
        <v>11371.908376190921</v>
      </c>
      <c r="M1061" s="28" t="str">
        <f t="shared" si="334"/>
        <v/>
      </c>
      <c r="N1061" s="27" t="str">
        <f t="shared" si="345"/>
        <v/>
      </c>
      <c r="O1061" s="26" t="str">
        <f>IF(AND($Q1060=$O$38,IFERROR(LARGE($V$923:$V1060,1)&lt;$N$42,TRUE)),1,IF(AND(ISNUMBER($O1060),$O1060&lt;$N$32),$O1060+1,""))</f>
        <v/>
      </c>
      <c r="P1061" s="26" t="str">
        <f t="shared" si="346"/>
        <v/>
      </c>
      <c r="Q1061" s="26" t="str">
        <f t="shared" si="335"/>
        <v/>
      </c>
      <c r="R1061" s="24" t="str">
        <f t="shared" si="347"/>
        <v/>
      </c>
      <c r="S1061" s="180">
        <f t="shared" si="330"/>
        <v>8</v>
      </c>
      <c r="T1061" s="29">
        <f>SUM($AC$923:$AC1061)</f>
        <v>49500</v>
      </c>
      <c r="U1061" s="25" t="str">
        <f t="shared" si="336"/>
        <v/>
      </c>
      <c r="V1061" s="24" t="str">
        <f>IF(AND(ISNUMBER(R1060),ISNUMBER(R1061)),V1060,IF(AND(R1060="",ISNUMBER(R1061)),IFERROR(LARGE($V$923:$V1060,1)+1,0),""))</f>
        <v/>
      </c>
      <c r="W1061" s="23" t="str">
        <f t="shared" si="348"/>
        <v/>
      </c>
      <c r="X1061" s="22" t="str">
        <f t="shared" si="349"/>
        <v/>
      </c>
      <c r="Y1061" s="236"/>
      <c r="Z1061" s="22"/>
      <c r="AA1061" s="22"/>
      <c r="AB1061" s="22" t="str">
        <f t="shared" si="327"/>
        <v/>
      </c>
      <c r="AC1061" s="22" t="str">
        <f t="shared" si="328"/>
        <v/>
      </c>
      <c r="AD1061" s="22" t="str">
        <f t="shared" si="337"/>
        <v/>
      </c>
      <c r="AE1061" s="22" t="str">
        <f t="shared" si="329"/>
        <v/>
      </c>
      <c r="AF1061" s="22" t="str">
        <f t="shared" si="338"/>
        <v/>
      </c>
      <c r="AG1061" s="22" t="str">
        <f t="shared" si="339"/>
        <v/>
      </c>
      <c r="AH1061" s="22" t="str">
        <f t="shared" si="340"/>
        <v/>
      </c>
      <c r="AI1061" s="22" t="str">
        <f t="shared" si="341"/>
        <v/>
      </c>
      <c r="AJ1061" s="304" t="str">
        <f t="shared" si="342"/>
        <v/>
      </c>
      <c r="AK1061" s="140" t="str">
        <f t="shared" si="343"/>
        <v/>
      </c>
    </row>
    <row r="1062" spans="7:37" x14ac:dyDescent="0.25">
      <c r="G1062" s="235" t="str">
        <f t="shared" si="331"/>
        <v/>
      </c>
      <c r="H1062" s="4" t="str">
        <f t="shared" si="332"/>
        <v/>
      </c>
      <c r="I1062" s="11" t="str">
        <f t="shared" si="333"/>
        <v/>
      </c>
      <c r="K1062" s="30">
        <v>140</v>
      </c>
      <c r="L1062" s="29">
        <f t="shared" si="344"/>
        <v>11371.908376190921</v>
      </c>
      <c r="M1062" s="28" t="str">
        <f t="shared" si="334"/>
        <v/>
      </c>
      <c r="N1062" s="27" t="str">
        <f t="shared" si="345"/>
        <v/>
      </c>
      <c r="O1062" s="26" t="str">
        <f>IF(AND($Q1061=$O$38,IFERROR(LARGE($V$923:$V1061,1)&lt;$N$42,TRUE)),1,IF(AND(ISNUMBER($O1061),$O1061&lt;$N$32),$O1061+1,""))</f>
        <v/>
      </c>
      <c r="P1062" s="26" t="str">
        <f t="shared" si="346"/>
        <v/>
      </c>
      <c r="Q1062" s="26" t="str">
        <f t="shared" si="335"/>
        <v/>
      </c>
      <c r="R1062" s="24" t="str">
        <f t="shared" si="347"/>
        <v/>
      </c>
      <c r="S1062" s="180">
        <f t="shared" si="330"/>
        <v>8</v>
      </c>
      <c r="T1062" s="29">
        <f>SUM($AC$923:$AC1062)</f>
        <v>49500</v>
      </c>
      <c r="U1062" s="25" t="str">
        <f t="shared" si="336"/>
        <v/>
      </c>
      <c r="V1062" s="24" t="str">
        <f>IF(AND(ISNUMBER(R1061),ISNUMBER(R1062)),V1061,IF(AND(R1061="",ISNUMBER(R1062)),IFERROR(LARGE($V$923:$V1061,1)+1,0),""))</f>
        <v/>
      </c>
      <c r="W1062" s="23" t="str">
        <f t="shared" si="348"/>
        <v/>
      </c>
      <c r="X1062" s="22" t="str">
        <f t="shared" si="349"/>
        <v/>
      </c>
      <c r="Y1062" s="236"/>
      <c r="Z1062" s="22"/>
      <c r="AA1062" s="22"/>
      <c r="AB1062" s="22" t="str">
        <f t="shared" si="327"/>
        <v/>
      </c>
      <c r="AC1062" s="22" t="str">
        <f t="shared" si="328"/>
        <v/>
      </c>
      <c r="AD1062" s="22" t="str">
        <f t="shared" si="337"/>
        <v/>
      </c>
      <c r="AE1062" s="22" t="str">
        <f t="shared" si="329"/>
        <v/>
      </c>
      <c r="AF1062" s="22" t="str">
        <f t="shared" si="338"/>
        <v/>
      </c>
      <c r="AG1062" s="22" t="str">
        <f t="shared" si="339"/>
        <v/>
      </c>
      <c r="AH1062" s="22" t="str">
        <f t="shared" si="340"/>
        <v/>
      </c>
      <c r="AI1062" s="22" t="str">
        <f t="shared" si="341"/>
        <v/>
      </c>
      <c r="AJ1062" s="304" t="str">
        <f t="shared" si="342"/>
        <v/>
      </c>
      <c r="AK1062" s="140" t="str">
        <f t="shared" si="343"/>
        <v/>
      </c>
    </row>
    <row r="1063" spans="7:37" x14ac:dyDescent="0.25">
      <c r="G1063" s="235" t="str">
        <f t="shared" si="331"/>
        <v/>
      </c>
      <c r="H1063" s="4" t="str">
        <f t="shared" si="332"/>
        <v/>
      </c>
      <c r="I1063" s="11" t="str">
        <f t="shared" si="333"/>
        <v/>
      </c>
      <c r="K1063" s="30">
        <v>141</v>
      </c>
      <c r="L1063" s="29">
        <f t="shared" si="344"/>
        <v>11371.908376190921</v>
      </c>
      <c r="M1063" s="28" t="str">
        <f t="shared" si="334"/>
        <v/>
      </c>
      <c r="N1063" s="27" t="str">
        <f t="shared" si="345"/>
        <v/>
      </c>
      <c r="O1063" s="26" t="str">
        <f>IF(AND($Q1062=$O$38,IFERROR(LARGE($V$923:$V1062,1)&lt;$N$42,TRUE)),1,IF(AND(ISNUMBER($O1062),$O1062&lt;$N$32),$O1062+1,""))</f>
        <v/>
      </c>
      <c r="P1063" s="26" t="str">
        <f t="shared" si="346"/>
        <v/>
      </c>
      <c r="Q1063" s="26" t="str">
        <f t="shared" si="335"/>
        <v/>
      </c>
      <c r="R1063" s="24" t="str">
        <f t="shared" si="347"/>
        <v/>
      </c>
      <c r="S1063" s="180">
        <f t="shared" si="330"/>
        <v>8</v>
      </c>
      <c r="T1063" s="29">
        <f>SUM($AC$923:$AC1063)</f>
        <v>49500</v>
      </c>
      <c r="U1063" s="25" t="str">
        <f t="shared" si="336"/>
        <v/>
      </c>
      <c r="V1063" s="24" t="str">
        <f>IF(AND(ISNUMBER(R1062),ISNUMBER(R1063)),V1062,IF(AND(R1062="",ISNUMBER(R1063)),IFERROR(LARGE($V$923:$V1062,1)+1,0),""))</f>
        <v/>
      </c>
      <c r="W1063" s="23" t="str">
        <f t="shared" si="348"/>
        <v/>
      </c>
      <c r="X1063" s="22" t="str">
        <f t="shared" si="349"/>
        <v/>
      </c>
      <c r="Y1063" s="236"/>
      <c r="Z1063" s="22"/>
      <c r="AA1063" s="22"/>
      <c r="AB1063" s="22" t="str">
        <f t="shared" si="327"/>
        <v/>
      </c>
      <c r="AC1063" s="22" t="str">
        <f t="shared" si="328"/>
        <v/>
      </c>
      <c r="AD1063" s="22" t="str">
        <f t="shared" si="337"/>
        <v/>
      </c>
      <c r="AE1063" s="22" t="str">
        <f t="shared" si="329"/>
        <v/>
      </c>
      <c r="AF1063" s="22" t="str">
        <f t="shared" si="338"/>
        <v/>
      </c>
      <c r="AG1063" s="22" t="str">
        <f t="shared" si="339"/>
        <v/>
      </c>
      <c r="AH1063" s="22" t="str">
        <f t="shared" si="340"/>
        <v/>
      </c>
      <c r="AI1063" s="22" t="str">
        <f t="shared" si="341"/>
        <v/>
      </c>
      <c r="AJ1063" s="304" t="str">
        <f t="shared" si="342"/>
        <v/>
      </c>
      <c r="AK1063" s="140" t="str">
        <f t="shared" si="343"/>
        <v/>
      </c>
    </row>
    <row r="1064" spans="7:37" x14ac:dyDescent="0.25">
      <c r="G1064" s="235" t="str">
        <f t="shared" si="331"/>
        <v/>
      </c>
      <c r="H1064" s="4" t="str">
        <f t="shared" si="332"/>
        <v/>
      </c>
      <c r="I1064" s="11" t="str">
        <f t="shared" si="333"/>
        <v/>
      </c>
      <c r="K1064" s="30">
        <v>142</v>
      </c>
      <c r="L1064" s="29">
        <f t="shared" si="344"/>
        <v>11371.908376190921</v>
      </c>
      <c r="M1064" s="28" t="str">
        <f t="shared" si="334"/>
        <v/>
      </c>
      <c r="N1064" s="27" t="str">
        <f t="shared" si="345"/>
        <v/>
      </c>
      <c r="O1064" s="26" t="str">
        <f>IF(AND($Q1063=$O$38,IFERROR(LARGE($V$923:$V1063,1)&lt;$N$42,TRUE)),1,IF(AND(ISNUMBER($O1063),$O1063&lt;$N$32),$O1063+1,""))</f>
        <v/>
      </c>
      <c r="P1064" s="26" t="str">
        <f t="shared" si="346"/>
        <v/>
      </c>
      <c r="Q1064" s="26" t="str">
        <f t="shared" si="335"/>
        <v/>
      </c>
      <c r="R1064" s="24" t="str">
        <f t="shared" si="347"/>
        <v/>
      </c>
      <c r="S1064" s="180">
        <f t="shared" si="330"/>
        <v>8</v>
      </c>
      <c r="T1064" s="29">
        <f>SUM($AC$923:$AC1064)</f>
        <v>49500</v>
      </c>
      <c r="U1064" s="25" t="str">
        <f t="shared" si="336"/>
        <v/>
      </c>
      <c r="V1064" s="24" t="str">
        <f>IF(AND(ISNUMBER(R1063),ISNUMBER(R1064)),V1063,IF(AND(R1063="",ISNUMBER(R1064)),IFERROR(LARGE($V$923:$V1063,1)+1,0),""))</f>
        <v/>
      </c>
      <c r="W1064" s="23" t="str">
        <f t="shared" si="348"/>
        <v/>
      </c>
      <c r="X1064" s="22" t="str">
        <f t="shared" si="349"/>
        <v/>
      </c>
      <c r="Y1064" s="236"/>
      <c r="Z1064" s="22"/>
      <c r="AA1064" s="22"/>
      <c r="AB1064" s="22" t="str">
        <f t="shared" si="327"/>
        <v/>
      </c>
      <c r="AC1064" s="22" t="str">
        <f t="shared" si="328"/>
        <v/>
      </c>
      <c r="AD1064" s="22" t="str">
        <f t="shared" si="337"/>
        <v/>
      </c>
      <c r="AE1064" s="22" t="str">
        <f t="shared" si="329"/>
        <v/>
      </c>
      <c r="AF1064" s="22" t="str">
        <f t="shared" si="338"/>
        <v/>
      </c>
      <c r="AG1064" s="22" t="str">
        <f t="shared" si="339"/>
        <v/>
      </c>
      <c r="AH1064" s="22" t="str">
        <f t="shared" si="340"/>
        <v/>
      </c>
      <c r="AI1064" s="22" t="str">
        <f t="shared" si="341"/>
        <v/>
      </c>
      <c r="AJ1064" s="304" t="str">
        <f t="shared" si="342"/>
        <v/>
      </c>
      <c r="AK1064" s="140" t="str">
        <f t="shared" si="343"/>
        <v/>
      </c>
    </row>
    <row r="1065" spans="7:37" x14ac:dyDescent="0.25">
      <c r="G1065" s="235" t="str">
        <f t="shared" si="331"/>
        <v/>
      </c>
      <c r="H1065" s="4" t="str">
        <f t="shared" si="332"/>
        <v/>
      </c>
      <c r="I1065" s="11" t="str">
        <f t="shared" si="333"/>
        <v/>
      </c>
      <c r="K1065" s="30">
        <v>143</v>
      </c>
      <c r="L1065" s="29">
        <f t="shared" si="344"/>
        <v>11371.908376190921</v>
      </c>
      <c r="M1065" s="28" t="str">
        <f t="shared" si="334"/>
        <v/>
      </c>
      <c r="N1065" s="27" t="str">
        <f t="shared" si="345"/>
        <v/>
      </c>
      <c r="O1065" s="26" t="str">
        <f>IF(AND($Q1064=$O$38,IFERROR(LARGE($V$923:$V1064,1)&lt;$N$42,TRUE)),1,IF(AND(ISNUMBER($O1064),$O1064&lt;$N$32),$O1064+1,""))</f>
        <v/>
      </c>
      <c r="P1065" s="26" t="str">
        <f t="shared" si="346"/>
        <v/>
      </c>
      <c r="Q1065" s="26" t="str">
        <f t="shared" si="335"/>
        <v/>
      </c>
      <c r="R1065" s="24" t="str">
        <f t="shared" si="347"/>
        <v/>
      </c>
      <c r="S1065" s="180">
        <f t="shared" si="330"/>
        <v>8</v>
      </c>
      <c r="T1065" s="29">
        <f>SUM($AC$923:$AC1065)</f>
        <v>49500</v>
      </c>
      <c r="U1065" s="25" t="str">
        <f t="shared" si="336"/>
        <v/>
      </c>
      <c r="V1065" s="24" t="str">
        <f>IF(AND(ISNUMBER(R1064),ISNUMBER(R1065)),V1064,IF(AND(R1064="",ISNUMBER(R1065)),IFERROR(LARGE($V$923:$V1064,1)+1,0),""))</f>
        <v/>
      </c>
      <c r="W1065" s="23" t="str">
        <f t="shared" si="348"/>
        <v/>
      </c>
      <c r="X1065" s="22" t="str">
        <f t="shared" si="349"/>
        <v/>
      </c>
      <c r="Y1065" s="236"/>
      <c r="Z1065" s="22"/>
      <c r="AA1065" s="22"/>
      <c r="AB1065" s="22" t="str">
        <f t="shared" si="327"/>
        <v/>
      </c>
      <c r="AC1065" s="22" t="str">
        <f t="shared" si="328"/>
        <v/>
      </c>
      <c r="AD1065" s="22" t="str">
        <f t="shared" si="337"/>
        <v/>
      </c>
      <c r="AE1065" s="22" t="str">
        <f t="shared" si="329"/>
        <v/>
      </c>
      <c r="AF1065" s="22" t="str">
        <f t="shared" si="338"/>
        <v/>
      </c>
      <c r="AG1065" s="22" t="str">
        <f t="shared" si="339"/>
        <v/>
      </c>
      <c r="AH1065" s="22" t="str">
        <f t="shared" si="340"/>
        <v/>
      </c>
      <c r="AI1065" s="22" t="str">
        <f t="shared" si="341"/>
        <v/>
      </c>
      <c r="AJ1065" s="304" t="str">
        <f t="shared" si="342"/>
        <v/>
      </c>
      <c r="AK1065" s="140" t="str">
        <f t="shared" si="343"/>
        <v/>
      </c>
    </row>
    <row r="1066" spans="7:37" x14ac:dyDescent="0.25">
      <c r="G1066" s="235" t="str">
        <f t="shared" si="331"/>
        <v/>
      </c>
      <c r="H1066" s="4" t="str">
        <f t="shared" si="332"/>
        <v/>
      </c>
      <c r="I1066" s="11" t="str">
        <f t="shared" si="333"/>
        <v/>
      </c>
      <c r="K1066" s="30">
        <v>144</v>
      </c>
      <c r="L1066" s="29">
        <f t="shared" si="344"/>
        <v>11371.908376190921</v>
      </c>
      <c r="M1066" s="28" t="str">
        <f t="shared" si="334"/>
        <v/>
      </c>
      <c r="N1066" s="27" t="str">
        <f t="shared" si="345"/>
        <v/>
      </c>
      <c r="O1066" s="26" t="str">
        <f>IF(AND($Q1065=$O$38,IFERROR(LARGE($V$923:$V1065,1)&lt;$N$42,TRUE)),1,IF(AND(ISNUMBER($O1065),$O1065&lt;$N$32),$O1065+1,""))</f>
        <v/>
      </c>
      <c r="P1066" s="26" t="str">
        <f t="shared" si="346"/>
        <v/>
      </c>
      <c r="Q1066" s="26" t="str">
        <f t="shared" si="335"/>
        <v/>
      </c>
      <c r="R1066" s="24" t="str">
        <f t="shared" si="347"/>
        <v/>
      </c>
      <c r="S1066" s="180">
        <f t="shared" si="330"/>
        <v>8</v>
      </c>
      <c r="T1066" s="29">
        <f>SUM($AC$923:$AC1066)</f>
        <v>49500</v>
      </c>
      <c r="U1066" s="25" t="str">
        <f t="shared" si="336"/>
        <v/>
      </c>
      <c r="V1066" s="24" t="str">
        <f>IF(AND(ISNUMBER(R1065),ISNUMBER(R1066)),V1065,IF(AND(R1065="",ISNUMBER(R1066)),IFERROR(LARGE($V$923:$V1065,1)+1,0),""))</f>
        <v/>
      </c>
      <c r="W1066" s="23" t="str">
        <f t="shared" si="348"/>
        <v/>
      </c>
      <c r="X1066" s="22" t="str">
        <f t="shared" si="349"/>
        <v/>
      </c>
      <c r="Y1066" s="236"/>
      <c r="Z1066" s="22"/>
      <c r="AA1066" s="22"/>
      <c r="AB1066" s="22" t="str">
        <f t="shared" si="327"/>
        <v/>
      </c>
      <c r="AC1066" s="22" t="str">
        <f t="shared" si="328"/>
        <v/>
      </c>
      <c r="AD1066" s="22" t="str">
        <f t="shared" si="337"/>
        <v/>
      </c>
      <c r="AE1066" s="22" t="str">
        <f t="shared" si="329"/>
        <v/>
      </c>
      <c r="AF1066" s="22" t="str">
        <f t="shared" si="338"/>
        <v/>
      </c>
      <c r="AG1066" s="22" t="str">
        <f t="shared" si="339"/>
        <v/>
      </c>
      <c r="AH1066" s="22" t="str">
        <f t="shared" si="340"/>
        <v/>
      </c>
      <c r="AI1066" s="22" t="str">
        <f t="shared" si="341"/>
        <v/>
      </c>
      <c r="AJ1066" s="304" t="str">
        <f t="shared" si="342"/>
        <v/>
      </c>
      <c r="AK1066" s="140" t="str">
        <f t="shared" si="343"/>
        <v/>
      </c>
    </row>
    <row r="1067" spans="7:37" x14ac:dyDescent="0.25">
      <c r="G1067" s="235" t="str">
        <f t="shared" si="331"/>
        <v/>
      </c>
      <c r="H1067" s="4" t="str">
        <f t="shared" si="332"/>
        <v/>
      </c>
      <c r="I1067" s="11" t="str">
        <f t="shared" si="333"/>
        <v/>
      </c>
      <c r="K1067" s="30">
        <v>145</v>
      </c>
      <c r="L1067" s="29">
        <f t="shared" si="344"/>
        <v>11371.908376190921</v>
      </c>
      <c r="M1067" s="28" t="str">
        <f t="shared" si="334"/>
        <v/>
      </c>
      <c r="N1067" s="27" t="str">
        <f t="shared" si="345"/>
        <v/>
      </c>
      <c r="O1067" s="26" t="str">
        <f>IF(AND($Q1066=$O$38,IFERROR(LARGE($V$923:$V1066,1)&lt;$N$42,TRUE)),1,IF(AND(ISNUMBER($O1066),$O1066&lt;$N$32),$O1066+1,""))</f>
        <v/>
      </c>
      <c r="P1067" s="26" t="str">
        <f t="shared" si="346"/>
        <v/>
      </c>
      <c r="Q1067" s="26" t="str">
        <f t="shared" si="335"/>
        <v/>
      </c>
      <c r="R1067" s="24" t="str">
        <f t="shared" si="347"/>
        <v/>
      </c>
      <c r="S1067" s="180">
        <f t="shared" si="330"/>
        <v>8</v>
      </c>
      <c r="T1067" s="29">
        <f>SUM($AC$923:$AC1067)</f>
        <v>49500</v>
      </c>
      <c r="U1067" s="25" t="str">
        <f t="shared" si="336"/>
        <v/>
      </c>
      <c r="V1067" s="24" t="str">
        <f>IF(AND(ISNUMBER(R1066),ISNUMBER(R1067)),V1066,IF(AND(R1066="",ISNUMBER(R1067)),IFERROR(LARGE($V$923:$V1066,1)+1,0),""))</f>
        <v/>
      </c>
      <c r="W1067" s="23" t="str">
        <f t="shared" si="348"/>
        <v/>
      </c>
      <c r="X1067" s="22" t="str">
        <f t="shared" si="349"/>
        <v/>
      </c>
      <c r="Y1067" s="236"/>
      <c r="Z1067" s="22"/>
      <c r="AA1067" s="22"/>
      <c r="AB1067" s="22" t="str">
        <f t="shared" ref="AB1067:AB1130" si="350">IF((IF(AND($P1066="",$P1067=1),($N$37*-1),0)+IF(AND($Q1066="",$Q1067=1),($N$38*-1),0)+IF(OR(AND(ISNUMBER($U1067),IF(ISNUMBER($U1068),$U1068,0)-IF(ISNUMBER($U1067),$U1067,0)=1),AND(ISNUMBER($U1067),$U1068="")),IF($U1067=1,$P$37,0),0))=0,"",(IF(AND($P1066="",$P1067=1),($N$37*-1),0)+IF(AND($Q1066="",$Q1067=1),($N$38*-1),0)+IF(OR(AND(ISNUMBER($U1067),IF(ISNUMBER($U1068),$U1068,0)-IF(ISNUMBER($U1067),$U1067,0)=1),AND(ISNUMBER($U1067),$U1068="")),IF($U1067=1,$P$37,0),0)))</f>
        <v/>
      </c>
      <c r="AC1067" s="22" t="str">
        <f t="shared" ref="AC1067:AC1130" si="351">IF(IF(OR(AND(ISNUMBER($U1067),IF(ISNUMBER($U1068),$U1068,0)-IF(ISNUMBER($U1067),$U1067,0)=1),AND(ISNUMBER($U1067),$U1068="")),VLOOKUP(IF($U1067&gt;$L$63,$L$63,$U1067),$L$52:$N$63,COLUMNS($L$52:$N$52),FALSE),0)=0,"",IF(OR(AND(ISNUMBER($U1067),IF(ISNUMBER($U1068),$U1068,0)-IF(ISNUMBER($U1067),$U1067,0)=1),AND(ISNUMBER($U1067),$U1068="")),VLOOKUP(IF($U1067&gt;$L$63,$L$63,$U1067),$L$52:$N$63,COLUMNS($L$52:$N$52),FALSE),0))</f>
        <v/>
      </c>
      <c r="AD1067" s="22" t="str">
        <f t="shared" si="337"/>
        <v/>
      </c>
      <c r="AE1067" s="22" t="str">
        <f t="shared" ref="AE1067:AE1130" si="352">$AC1067</f>
        <v/>
      </c>
      <c r="AF1067" s="22" t="str">
        <f t="shared" si="338"/>
        <v/>
      </c>
      <c r="AG1067" s="22" t="str">
        <f t="shared" si="339"/>
        <v/>
      </c>
      <c r="AH1067" s="22" t="str">
        <f t="shared" si="340"/>
        <v/>
      </c>
      <c r="AI1067" s="22" t="str">
        <f t="shared" si="341"/>
        <v/>
      </c>
      <c r="AJ1067" s="304" t="str">
        <f t="shared" si="342"/>
        <v/>
      </c>
      <c r="AK1067" s="140" t="str">
        <f t="shared" si="343"/>
        <v/>
      </c>
    </row>
    <row r="1068" spans="7:37" x14ac:dyDescent="0.25">
      <c r="G1068" s="235" t="str">
        <f t="shared" si="331"/>
        <v/>
      </c>
      <c r="H1068" s="4" t="str">
        <f t="shared" si="332"/>
        <v/>
      </c>
      <c r="I1068" s="11" t="str">
        <f t="shared" si="333"/>
        <v/>
      </c>
      <c r="K1068" s="30">
        <v>146</v>
      </c>
      <c r="L1068" s="29">
        <f t="shared" si="344"/>
        <v>11371.908376190921</v>
      </c>
      <c r="M1068" s="28" t="str">
        <f t="shared" si="334"/>
        <v/>
      </c>
      <c r="N1068" s="27" t="str">
        <f t="shared" si="345"/>
        <v/>
      </c>
      <c r="O1068" s="26" t="str">
        <f>IF(AND($Q1067=$O$38,IFERROR(LARGE($V$923:$V1067,1)&lt;$N$42,TRUE)),1,IF(AND(ISNUMBER($O1067),$O1067&lt;$N$32),$O1067+1,""))</f>
        <v/>
      </c>
      <c r="P1068" s="26" t="str">
        <f t="shared" si="346"/>
        <v/>
      </c>
      <c r="Q1068" s="26" t="str">
        <f t="shared" si="335"/>
        <v/>
      </c>
      <c r="R1068" s="24" t="str">
        <f t="shared" si="347"/>
        <v/>
      </c>
      <c r="S1068" s="180">
        <f t="shared" si="330"/>
        <v>8</v>
      </c>
      <c r="T1068" s="29">
        <f>SUM($AC$923:$AC1068)</f>
        <v>49500</v>
      </c>
      <c r="U1068" s="25" t="str">
        <f t="shared" si="336"/>
        <v/>
      </c>
      <c r="V1068" s="24" t="str">
        <f>IF(AND(ISNUMBER(R1067),ISNUMBER(R1068)),V1067,IF(AND(R1067="",ISNUMBER(R1068)),IFERROR(LARGE($V$923:$V1067,1)+1,0),""))</f>
        <v/>
      </c>
      <c r="W1068" s="23" t="str">
        <f t="shared" si="348"/>
        <v/>
      </c>
      <c r="X1068" s="22" t="str">
        <f t="shared" si="349"/>
        <v/>
      </c>
      <c r="Y1068" s="236"/>
      <c r="Z1068" s="22"/>
      <c r="AA1068" s="22"/>
      <c r="AB1068" s="22" t="str">
        <f t="shared" si="350"/>
        <v/>
      </c>
      <c r="AC1068" s="22" t="str">
        <f t="shared" si="351"/>
        <v/>
      </c>
      <c r="AD1068" s="22" t="str">
        <f t="shared" si="337"/>
        <v/>
      </c>
      <c r="AE1068" s="22" t="str">
        <f t="shared" si="352"/>
        <v/>
      </c>
      <c r="AF1068" s="22" t="str">
        <f t="shared" si="338"/>
        <v/>
      </c>
      <c r="AG1068" s="22" t="str">
        <f t="shared" si="339"/>
        <v/>
      </c>
      <c r="AH1068" s="22" t="str">
        <f t="shared" si="340"/>
        <v/>
      </c>
      <c r="AI1068" s="22" t="str">
        <f t="shared" si="341"/>
        <v/>
      </c>
      <c r="AJ1068" s="304" t="str">
        <f t="shared" si="342"/>
        <v/>
      </c>
      <c r="AK1068" s="140" t="str">
        <f t="shared" si="343"/>
        <v/>
      </c>
    </row>
    <row r="1069" spans="7:37" x14ac:dyDescent="0.25">
      <c r="G1069" s="235" t="str">
        <f t="shared" si="331"/>
        <v/>
      </c>
      <c r="H1069" s="4" t="str">
        <f t="shared" si="332"/>
        <v/>
      </c>
      <c r="I1069" s="11" t="str">
        <f t="shared" si="333"/>
        <v/>
      </c>
      <c r="K1069" s="30">
        <v>147</v>
      </c>
      <c r="L1069" s="29">
        <f t="shared" si="344"/>
        <v>11371.908376190921</v>
      </c>
      <c r="M1069" s="28" t="str">
        <f t="shared" si="334"/>
        <v/>
      </c>
      <c r="N1069" s="27" t="str">
        <f t="shared" si="345"/>
        <v/>
      </c>
      <c r="O1069" s="26" t="str">
        <f>IF(AND($Q1068=$O$38,IFERROR(LARGE($V$923:$V1068,1)&lt;$N$42,TRUE)),1,IF(AND(ISNUMBER($O1068),$O1068&lt;$N$32),$O1068+1,""))</f>
        <v/>
      </c>
      <c r="P1069" s="26" t="str">
        <f t="shared" si="346"/>
        <v/>
      </c>
      <c r="Q1069" s="26" t="str">
        <f t="shared" si="335"/>
        <v/>
      </c>
      <c r="R1069" s="24" t="str">
        <f t="shared" si="347"/>
        <v/>
      </c>
      <c r="S1069" s="180">
        <f t="shared" si="330"/>
        <v>8</v>
      </c>
      <c r="T1069" s="29">
        <f>SUM($AC$923:$AC1069)</f>
        <v>49500</v>
      </c>
      <c r="U1069" s="25" t="str">
        <f t="shared" si="336"/>
        <v/>
      </c>
      <c r="V1069" s="24" t="str">
        <f>IF(AND(ISNUMBER(R1068),ISNUMBER(R1069)),V1068,IF(AND(R1068="",ISNUMBER(R1069)),IFERROR(LARGE($V$923:$V1068,1)+1,0),""))</f>
        <v/>
      </c>
      <c r="W1069" s="23" t="str">
        <f t="shared" si="348"/>
        <v/>
      </c>
      <c r="X1069" s="22" t="str">
        <f t="shared" si="349"/>
        <v/>
      </c>
      <c r="Y1069" s="236"/>
      <c r="Z1069" s="22"/>
      <c r="AA1069" s="22"/>
      <c r="AB1069" s="22" t="str">
        <f t="shared" si="350"/>
        <v/>
      </c>
      <c r="AC1069" s="22" t="str">
        <f t="shared" si="351"/>
        <v/>
      </c>
      <c r="AD1069" s="22" t="str">
        <f t="shared" si="337"/>
        <v/>
      </c>
      <c r="AE1069" s="22" t="str">
        <f t="shared" si="352"/>
        <v/>
      </c>
      <c r="AF1069" s="22" t="str">
        <f t="shared" si="338"/>
        <v/>
      </c>
      <c r="AG1069" s="22" t="str">
        <f t="shared" si="339"/>
        <v/>
      </c>
      <c r="AH1069" s="22" t="str">
        <f t="shared" si="340"/>
        <v/>
      </c>
      <c r="AI1069" s="22" t="str">
        <f t="shared" si="341"/>
        <v/>
      </c>
      <c r="AJ1069" s="304" t="str">
        <f t="shared" si="342"/>
        <v/>
      </c>
      <c r="AK1069" s="140" t="str">
        <f t="shared" si="343"/>
        <v/>
      </c>
    </row>
    <row r="1070" spans="7:37" x14ac:dyDescent="0.25">
      <c r="G1070" s="235" t="str">
        <f t="shared" si="331"/>
        <v/>
      </c>
      <c r="H1070" s="4" t="str">
        <f t="shared" si="332"/>
        <v/>
      </c>
      <c r="I1070" s="11" t="str">
        <f t="shared" si="333"/>
        <v/>
      </c>
      <c r="K1070" s="30">
        <v>148</v>
      </c>
      <c r="L1070" s="29">
        <f t="shared" si="344"/>
        <v>11371.908376190921</v>
      </c>
      <c r="M1070" s="28" t="str">
        <f t="shared" si="334"/>
        <v/>
      </c>
      <c r="N1070" s="27" t="str">
        <f t="shared" si="345"/>
        <v/>
      </c>
      <c r="O1070" s="26" t="str">
        <f>IF(AND($Q1069=$O$38,IFERROR(LARGE($V$923:$V1069,1)&lt;$N$42,TRUE)),1,IF(AND(ISNUMBER($O1069),$O1069&lt;$N$32),$O1069+1,""))</f>
        <v/>
      </c>
      <c r="P1070" s="26" t="str">
        <f t="shared" si="346"/>
        <v/>
      </c>
      <c r="Q1070" s="26" t="str">
        <f t="shared" si="335"/>
        <v/>
      </c>
      <c r="R1070" s="24" t="str">
        <f t="shared" si="347"/>
        <v/>
      </c>
      <c r="S1070" s="180">
        <f t="shared" si="330"/>
        <v>8</v>
      </c>
      <c r="T1070" s="29">
        <f>SUM($AC$923:$AC1070)</f>
        <v>49500</v>
      </c>
      <c r="U1070" s="25" t="str">
        <f t="shared" si="336"/>
        <v/>
      </c>
      <c r="V1070" s="24" t="str">
        <f>IF(AND(ISNUMBER(R1069),ISNUMBER(R1070)),V1069,IF(AND(R1069="",ISNUMBER(R1070)),IFERROR(LARGE($V$923:$V1069,1)+1,0),""))</f>
        <v/>
      </c>
      <c r="W1070" s="23" t="str">
        <f t="shared" si="348"/>
        <v/>
      </c>
      <c r="X1070" s="22" t="str">
        <f t="shared" si="349"/>
        <v/>
      </c>
      <c r="Y1070" s="236"/>
      <c r="Z1070" s="22"/>
      <c r="AA1070" s="22"/>
      <c r="AB1070" s="22" t="str">
        <f t="shared" si="350"/>
        <v/>
      </c>
      <c r="AC1070" s="22" t="str">
        <f t="shared" si="351"/>
        <v/>
      </c>
      <c r="AD1070" s="22" t="str">
        <f t="shared" si="337"/>
        <v/>
      </c>
      <c r="AE1070" s="22" t="str">
        <f t="shared" si="352"/>
        <v/>
      </c>
      <c r="AF1070" s="22" t="str">
        <f t="shared" si="338"/>
        <v/>
      </c>
      <c r="AG1070" s="22" t="str">
        <f t="shared" si="339"/>
        <v/>
      </c>
      <c r="AH1070" s="22" t="str">
        <f t="shared" si="340"/>
        <v/>
      </c>
      <c r="AI1070" s="22" t="str">
        <f t="shared" si="341"/>
        <v/>
      </c>
      <c r="AJ1070" s="304" t="str">
        <f t="shared" si="342"/>
        <v/>
      </c>
      <c r="AK1070" s="140" t="str">
        <f t="shared" si="343"/>
        <v/>
      </c>
    </row>
    <row r="1071" spans="7:37" x14ac:dyDescent="0.25">
      <c r="G1071" s="235" t="str">
        <f t="shared" si="331"/>
        <v/>
      </c>
      <c r="H1071" s="4" t="str">
        <f t="shared" si="332"/>
        <v/>
      </c>
      <c r="I1071" s="11" t="str">
        <f t="shared" si="333"/>
        <v/>
      </c>
      <c r="K1071" s="30">
        <v>149</v>
      </c>
      <c r="L1071" s="29">
        <f t="shared" si="344"/>
        <v>11371.908376190921</v>
      </c>
      <c r="M1071" s="28" t="str">
        <f t="shared" si="334"/>
        <v/>
      </c>
      <c r="N1071" s="27" t="str">
        <f t="shared" si="345"/>
        <v/>
      </c>
      <c r="O1071" s="26" t="str">
        <f>IF(AND($Q1070=$O$38,IFERROR(LARGE($V$923:$V1070,1)&lt;$N$42,TRUE)),1,IF(AND(ISNUMBER($O1070),$O1070&lt;$N$32),$O1070+1,""))</f>
        <v/>
      </c>
      <c r="P1071" s="26" t="str">
        <f t="shared" si="346"/>
        <v/>
      </c>
      <c r="Q1071" s="26" t="str">
        <f t="shared" si="335"/>
        <v/>
      </c>
      <c r="R1071" s="24" t="str">
        <f t="shared" si="347"/>
        <v/>
      </c>
      <c r="S1071" s="180">
        <f t="shared" si="330"/>
        <v>8</v>
      </c>
      <c r="T1071" s="29">
        <f>SUM($AC$923:$AC1071)</f>
        <v>49500</v>
      </c>
      <c r="U1071" s="25" t="str">
        <f t="shared" si="336"/>
        <v/>
      </c>
      <c r="V1071" s="24" t="str">
        <f>IF(AND(ISNUMBER(R1070),ISNUMBER(R1071)),V1070,IF(AND(R1070="",ISNUMBER(R1071)),IFERROR(LARGE($V$923:$V1070,1)+1,0),""))</f>
        <v/>
      </c>
      <c r="W1071" s="23" t="str">
        <f t="shared" si="348"/>
        <v/>
      </c>
      <c r="X1071" s="22" t="str">
        <f t="shared" si="349"/>
        <v/>
      </c>
      <c r="Y1071" s="236"/>
      <c r="Z1071" s="22"/>
      <c r="AA1071" s="22"/>
      <c r="AB1071" s="22" t="str">
        <f t="shared" si="350"/>
        <v/>
      </c>
      <c r="AC1071" s="22" t="str">
        <f t="shared" si="351"/>
        <v/>
      </c>
      <c r="AD1071" s="22" t="str">
        <f t="shared" si="337"/>
        <v/>
      </c>
      <c r="AE1071" s="22" t="str">
        <f t="shared" si="352"/>
        <v/>
      </c>
      <c r="AF1071" s="22" t="str">
        <f t="shared" si="338"/>
        <v/>
      </c>
      <c r="AG1071" s="22" t="str">
        <f t="shared" si="339"/>
        <v/>
      </c>
      <c r="AH1071" s="22" t="str">
        <f t="shared" si="340"/>
        <v/>
      </c>
      <c r="AI1071" s="22" t="str">
        <f t="shared" si="341"/>
        <v/>
      </c>
      <c r="AJ1071" s="304" t="str">
        <f t="shared" si="342"/>
        <v/>
      </c>
      <c r="AK1071" s="140" t="str">
        <f t="shared" si="343"/>
        <v/>
      </c>
    </row>
    <row r="1072" spans="7:37" x14ac:dyDescent="0.25">
      <c r="G1072" s="235" t="str">
        <f t="shared" si="331"/>
        <v/>
      </c>
      <c r="H1072" s="4" t="str">
        <f t="shared" si="332"/>
        <v/>
      </c>
      <c r="I1072" s="11" t="str">
        <f t="shared" si="333"/>
        <v/>
      </c>
      <c r="K1072" s="30">
        <v>150</v>
      </c>
      <c r="L1072" s="29">
        <f t="shared" si="344"/>
        <v>11371.908376190921</v>
      </c>
      <c r="M1072" s="28" t="str">
        <f t="shared" si="334"/>
        <v/>
      </c>
      <c r="N1072" s="27" t="str">
        <f t="shared" si="345"/>
        <v/>
      </c>
      <c r="O1072" s="26" t="str">
        <f>IF(AND($Q1071=$O$38,IFERROR(LARGE($V$923:$V1071,1)&lt;$N$42,TRUE)),1,IF(AND(ISNUMBER($O1071),$O1071&lt;$N$32),$O1071+1,""))</f>
        <v/>
      </c>
      <c r="P1072" s="26" t="str">
        <f t="shared" si="346"/>
        <v/>
      </c>
      <c r="Q1072" s="26" t="str">
        <f t="shared" si="335"/>
        <v/>
      </c>
      <c r="R1072" s="24" t="str">
        <f t="shared" si="347"/>
        <v/>
      </c>
      <c r="S1072" s="180">
        <f t="shared" si="330"/>
        <v>8</v>
      </c>
      <c r="T1072" s="29">
        <f>SUM($AC$923:$AC1072)</f>
        <v>49500</v>
      </c>
      <c r="U1072" s="25" t="str">
        <f t="shared" si="336"/>
        <v/>
      </c>
      <c r="V1072" s="24" t="str">
        <f>IF(AND(ISNUMBER(R1071),ISNUMBER(R1072)),V1071,IF(AND(R1071="",ISNUMBER(R1072)),IFERROR(LARGE($V$923:$V1071,1)+1,0),""))</f>
        <v/>
      </c>
      <c r="W1072" s="23" t="str">
        <f t="shared" si="348"/>
        <v/>
      </c>
      <c r="X1072" s="22" t="str">
        <f t="shared" si="349"/>
        <v/>
      </c>
      <c r="Y1072" s="236"/>
      <c r="Z1072" s="22"/>
      <c r="AA1072" s="22"/>
      <c r="AB1072" s="22" t="str">
        <f t="shared" si="350"/>
        <v/>
      </c>
      <c r="AC1072" s="22" t="str">
        <f t="shared" si="351"/>
        <v/>
      </c>
      <c r="AD1072" s="22" t="str">
        <f t="shared" si="337"/>
        <v/>
      </c>
      <c r="AE1072" s="22" t="str">
        <f t="shared" si="352"/>
        <v/>
      </c>
      <c r="AF1072" s="22" t="str">
        <f t="shared" si="338"/>
        <v/>
      </c>
      <c r="AG1072" s="22" t="str">
        <f t="shared" si="339"/>
        <v/>
      </c>
      <c r="AH1072" s="22" t="str">
        <f t="shared" si="340"/>
        <v/>
      </c>
      <c r="AI1072" s="22" t="str">
        <f t="shared" si="341"/>
        <v/>
      </c>
      <c r="AJ1072" s="304" t="str">
        <f t="shared" si="342"/>
        <v/>
      </c>
      <c r="AK1072" s="140" t="str">
        <f t="shared" si="343"/>
        <v/>
      </c>
    </row>
    <row r="1073" spans="7:37" x14ac:dyDescent="0.25">
      <c r="G1073" s="235" t="str">
        <f t="shared" si="331"/>
        <v/>
      </c>
      <c r="H1073" s="4" t="str">
        <f t="shared" si="332"/>
        <v/>
      </c>
      <c r="I1073" s="11" t="str">
        <f t="shared" si="333"/>
        <v/>
      </c>
      <c r="K1073" s="30">
        <v>151</v>
      </c>
      <c r="L1073" s="29">
        <f t="shared" si="344"/>
        <v>11371.908376190921</v>
      </c>
      <c r="M1073" s="28" t="str">
        <f t="shared" si="334"/>
        <v/>
      </c>
      <c r="N1073" s="27" t="str">
        <f t="shared" si="345"/>
        <v/>
      </c>
      <c r="O1073" s="26" t="str">
        <f>IF(AND($Q1072=$O$38,IFERROR(LARGE($V$923:$V1072,1)&lt;$N$42,TRUE)),1,IF(AND(ISNUMBER($O1072),$O1072&lt;$N$32),$O1072+1,""))</f>
        <v/>
      </c>
      <c r="P1073" s="26" t="str">
        <f t="shared" si="346"/>
        <v/>
      </c>
      <c r="Q1073" s="26" t="str">
        <f t="shared" si="335"/>
        <v/>
      </c>
      <c r="R1073" s="24" t="str">
        <f t="shared" si="347"/>
        <v/>
      </c>
      <c r="S1073" s="180">
        <f t="shared" si="330"/>
        <v>8</v>
      </c>
      <c r="T1073" s="29">
        <f>SUM($AC$923:$AC1073)</f>
        <v>49500</v>
      </c>
      <c r="U1073" s="25" t="str">
        <f t="shared" si="336"/>
        <v/>
      </c>
      <c r="V1073" s="24" t="str">
        <f>IF(AND(ISNUMBER(R1072),ISNUMBER(R1073)),V1072,IF(AND(R1072="",ISNUMBER(R1073)),IFERROR(LARGE($V$923:$V1072,1)+1,0),""))</f>
        <v/>
      </c>
      <c r="W1073" s="23" t="str">
        <f t="shared" si="348"/>
        <v/>
      </c>
      <c r="X1073" s="22" t="str">
        <f t="shared" si="349"/>
        <v/>
      </c>
      <c r="Y1073" s="236"/>
      <c r="Z1073" s="22"/>
      <c r="AA1073" s="22"/>
      <c r="AB1073" s="22" t="str">
        <f t="shared" si="350"/>
        <v/>
      </c>
      <c r="AC1073" s="22" t="str">
        <f t="shared" si="351"/>
        <v/>
      </c>
      <c r="AD1073" s="22" t="str">
        <f t="shared" si="337"/>
        <v/>
      </c>
      <c r="AE1073" s="22" t="str">
        <f t="shared" si="352"/>
        <v/>
      </c>
      <c r="AF1073" s="22" t="str">
        <f t="shared" si="338"/>
        <v/>
      </c>
      <c r="AG1073" s="22" t="str">
        <f t="shared" si="339"/>
        <v/>
      </c>
      <c r="AH1073" s="22" t="str">
        <f t="shared" si="340"/>
        <v/>
      </c>
      <c r="AI1073" s="22" t="str">
        <f t="shared" si="341"/>
        <v/>
      </c>
      <c r="AJ1073" s="304" t="str">
        <f t="shared" si="342"/>
        <v/>
      </c>
      <c r="AK1073" s="140" t="str">
        <f t="shared" si="343"/>
        <v/>
      </c>
    </row>
    <row r="1074" spans="7:37" x14ac:dyDescent="0.25">
      <c r="G1074" s="235" t="str">
        <f t="shared" si="331"/>
        <v/>
      </c>
      <c r="H1074" s="4" t="str">
        <f t="shared" si="332"/>
        <v/>
      </c>
      <c r="I1074" s="11" t="str">
        <f t="shared" si="333"/>
        <v/>
      </c>
      <c r="K1074" s="30">
        <v>152</v>
      </c>
      <c r="L1074" s="29">
        <f t="shared" si="344"/>
        <v>11371.908376190921</v>
      </c>
      <c r="M1074" s="28" t="str">
        <f t="shared" si="334"/>
        <v/>
      </c>
      <c r="N1074" s="27" t="str">
        <f t="shared" si="345"/>
        <v/>
      </c>
      <c r="O1074" s="26" t="str">
        <f>IF(AND($Q1073=$O$38,IFERROR(LARGE($V$923:$V1073,1)&lt;$N$42,TRUE)),1,IF(AND(ISNUMBER($O1073),$O1073&lt;$N$32),$O1073+1,""))</f>
        <v/>
      </c>
      <c r="P1074" s="26" t="str">
        <f t="shared" si="346"/>
        <v/>
      </c>
      <c r="Q1074" s="26" t="str">
        <f t="shared" si="335"/>
        <v/>
      </c>
      <c r="R1074" s="24" t="str">
        <f t="shared" si="347"/>
        <v/>
      </c>
      <c r="S1074" s="180">
        <f t="shared" ref="S1074:S1137" si="353">IF($Q1074=1,ROUNDDOWN($S1073,0),IF($O1074=1,ROUNDDOWN($S1073,0)+1,IF($R1074=1,$S1073+0.01,IF(ISNUMBER($U1074),IF(AND($U1074&gt;1,($U1074-$U1073)=1),$S1073+0.01,$S1073),$S1073))))</f>
        <v>8</v>
      </c>
      <c r="T1074" s="29">
        <f>SUM($AC$923:$AC1074)</f>
        <v>49500</v>
      </c>
      <c r="U1074" s="25" t="str">
        <f t="shared" si="336"/>
        <v/>
      </c>
      <c r="V1074" s="24" t="str">
        <f>IF(AND(ISNUMBER(R1073),ISNUMBER(R1074)),V1073,IF(AND(R1073="",ISNUMBER(R1074)),IFERROR(LARGE($V$923:$V1073,1)+1,0),""))</f>
        <v/>
      </c>
      <c r="W1074" s="23" t="str">
        <f t="shared" si="348"/>
        <v/>
      </c>
      <c r="X1074" s="22" t="str">
        <f t="shared" si="349"/>
        <v/>
      </c>
      <c r="Y1074" s="236"/>
      <c r="Z1074" s="22"/>
      <c r="AA1074" s="22"/>
      <c r="AB1074" s="22" t="str">
        <f t="shared" si="350"/>
        <v/>
      </c>
      <c r="AC1074" s="22" t="str">
        <f t="shared" si="351"/>
        <v/>
      </c>
      <c r="AD1074" s="22" t="str">
        <f t="shared" si="337"/>
        <v/>
      </c>
      <c r="AE1074" s="22" t="str">
        <f t="shared" si="352"/>
        <v/>
      </c>
      <c r="AF1074" s="22" t="str">
        <f t="shared" si="338"/>
        <v/>
      </c>
      <c r="AG1074" s="22" t="str">
        <f t="shared" si="339"/>
        <v/>
      </c>
      <c r="AH1074" s="22" t="str">
        <f t="shared" si="340"/>
        <v/>
      </c>
      <c r="AI1074" s="22" t="str">
        <f t="shared" si="341"/>
        <v/>
      </c>
      <c r="AJ1074" s="304" t="str">
        <f t="shared" si="342"/>
        <v/>
      </c>
      <c r="AK1074" s="140" t="str">
        <f t="shared" si="343"/>
        <v/>
      </c>
    </row>
    <row r="1075" spans="7:37" x14ac:dyDescent="0.25">
      <c r="G1075" s="235" t="str">
        <f t="shared" si="331"/>
        <v/>
      </c>
      <c r="H1075" s="4" t="str">
        <f t="shared" si="332"/>
        <v/>
      </c>
      <c r="I1075" s="11" t="str">
        <f t="shared" si="333"/>
        <v/>
      </c>
      <c r="K1075" s="30">
        <v>153</v>
      </c>
      <c r="L1075" s="29">
        <f t="shared" si="344"/>
        <v>11371.908376190921</v>
      </c>
      <c r="M1075" s="28" t="str">
        <f t="shared" si="334"/>
        <v/>
      </c>
      <c r="N1075" s="27" t="str">
        <f t="shared" si="345"/>
        <v/>
      </c>
      <c r="O1075" s="26" t="str">
        <f>IF(AND($Q1074=$O$38,IFERROR(LARGE($V$923:$V1074,1)&lt;$N$42,TRUE)),1,IF(AND(ISNUMBER($O1074),$O1074&lt;$N$32),$O1074+1,""))</f>
        <v/>
      </c>
      <c r="P1075" s="26" t="str">
        <f t="shared" si="346"/>
        <v/>
      </c>
      <c r="Q1075" s="26" t="str">
        <f t="shared" si="335"/>
        <v/>
      </c>
      <c r="R1075" s="24" t="str">
        <f t="shared" si="347"/>
        <v/>
      </c>
      <c r="S1075" s="180">
        <f t="shared" si="353"/>
        <v>8</v>
      </c>
      <c r="T1075" s="29">
        <f>SUM($AC$923:$AC1075)</f>
        <v>49500</v>
      </c>
      <c r="U1075" s="25" t="str">
        <f t="shared" si="336"/>
        <v/>
      </c>
      <c r="V1075" s="24" t="str">
        <f>IF(AND(ISNUMBER(R1074),ISNUMBER(R1075)),V1074,IF(AND(R1074="",ISNUMBER(R1075)),IFERROR(LARGE($V$923:$V1074,1)+1,0),""))</f>
        <v/>
      </c>
      <c r="W1075" s="23" t="str">
        <f t="shared" si="348"/>
        <v/>
      </c>
      <c r="X1075" s="22" t="str">
        <f t="shared" si="349"/>
        <v/>
      </c>
      <c r="Y1075" s="236"/>
      <c r="Z1075" s="22"/>
      <c r="AA1075" s="22"/>
      <c r="AB1075" s="22" t="str">
        <f t="shared" si="350"/>
        <v/>
      </c>
      <c r="AC1075" s="22" t="str">
        <f t="shared" si="351"/>
        <v/>
      </c>
      <c r="AD1075" s="22" t="str">
        <f t="shared" si="337"/>
        <v/>
      </c>
      <c r="AE1075" s="22" t="str">
        <f t="shared" si="352"/>
        <v/>
      </c>
      <c r="AF1075" s="22" t="str">
        <f t="shared" si="338"/>
        <v/>
      </c>
      <c r="AG1075" s="22" t="str">
        <f t="shared" si="339"/>
        <v/>
      </c>
      <c r="AH1075" s="22" t="str">
        <f t="shared" si="340"/>
        <v/>
      </c>
      <c r="AI1075" s="22" t="str">
        <f t="shared" si="341"/>
        <v/>
      </c>
      <c r="AJ1075" s="304" t="str">
        <f t="shared" si="342"/>
        <v/>
      </c>
      <c r="AK1075" s="140" t="str">
        <f t="shared" si="343"/>
        <v/>
      </c>
    </row>
    <row r="1076" spans="7:37" x14ac:dyDescent="0.25">
      <c r="G1076" s="235" t="str">
        <f t="shared" si="331"/>
        <v/>
      </c>
      <c r="H1076" s="4" t="str">
        <f t="shared" si="332"/>
        <v/>
      </c>
      <c r="I1076" s="11" t="str">
        <f t="shared" si="333"/>
        <v/>
      </c>
      <c r="K1076" s="30">
        <v>154</v>
      </c>
      <c r="L1076" s="29">
        <f t="shared" si="344"/>
        <v>11371.908376190921</v>
      </c>
      <c r="M1076" s="28" t="str">
        <f t="shared" si="334"/>
        <v/>
      </c>
      <c r="N1076" s="27" t="str">
        <f t="shared" si="345"/>
        <v/>
      </c>
      <c r="O1076" s="26" t="str">
        <f>IF(AND($Q1075=$O$38,IFERROR(LARGE($V$923:$V1075,1)&lt;$N$42,TRUE)),1,IF(AND(ISNUMBER($O1075),$O1075&lt;$N$32),$O1075+1,""))</f>
        <v/>
      </c>
      <c r="P1076" s="26" t="str">
        <f t="shared" si="346"/>
        <v/>
      </c>
      <c r="Q1076" s="26" t="str">
        <f t="shared" si="335"/>
        <v/>
      </c>
      <c r="R1076" s="24" t="str">
        <f t="shared" si="347"/>
        <v/>
      </c>
      <c r="S1076" s="180">
        <f t="shared" si="353"/>
        <v>8</v>
      </c>
      <c r="T1076" s="29">
        <f>SUM($AC$923:$AC1076)</f>
        <v>49500</v>
      </c>
      <c r="U1076" s="25" t="str">
        <f t="shared" si="336"/>
        <v/>
      </c>
      <c r="V1076" s="24" t="str">
        <f>IF(AND(ISNUMBER(R1075),ISNUMBER(R1076)),V1075,IF(AND(R1075="",ISNUMBER(R1076)),IFERROR(LARGE($V$923:$V1075,1)+1,0),""))</f>
        <v/>
      </c>
      <c r="W1076" s="23" t="str">
        <f t="shared" si="348"/>
        <v/>
      </c>
      <c r="X1076" s="22" t="str">
        <f t="shared" si="349"/>
        <v/>
      </c>
      <c r="Y1076" s="236"/>
      <c r="Z1076" s="22"/>
      <c r="AA1076" s="22"/>
      <c r="AB1076" s="22" t="str">
        <f t="shared" si="350"/>
        <v/>
      </c>
      <c r="AC1076" s="22" t="str">
        <f t="shared" si="351"/>
        <v/>
      </c>
      <c r="AD1076" s="22" t="str">
        <f t="shared" si="337"/>
        <v/>
      </c>
      <c r="AE1076" s="22" t="str">
        <f t="shared" si="352"/>
        <v/>
      </c>
      <c r="AF1076" s="22" t="str">
        <f t="shared" si="338"/>
        <v/>
      </c>
      <c r="AG1076" s="22" t="str">
        <f t="shared" si="339"/>
        <v/>
      </c>
      <c r="AH1076" s="22" t="str">
        <f t="shared" si="340"/>
        <v/>
      </c>
      <c r="AI1076" s="22" t="str">
        <f t="shared" si="341"/>
        <v/>
      </c>
      <c r="AJ1076" s="304" t="str">
        <f t="shared" si="342"/>
        <v/>
      </c>
      <c r="AK1076" s="140" t="str">
        <f t="shared" si="343"/>
        <v/>
      </c>
    </row>
    <row r="1077" spans="7:37" x14ac:dyDescent="0.25">
      <c r="G1077" s="235" t="str">
        <f t="shared" si="331"/>
        <v/>
      </c>
      <c r="H1077" s="4" t="str">
        <f t="shared" si="332"/>
        <v/>
      </c>
      <c r="I1077" s="11" t="str">
        <f t="shared" si="333"/>
        <v/>
      </c>
      <c r="K1077" s="30">
        <v>155</v>
      </c>
      <c r="L1077" s="29">
        <f t="shared" si="344"/>
        <v>11371.908376190921</v>
      </c>
      <c r="M1077" s="28" t="str">
        <f t="shared" si="334"/>
        <v/>
      </c>
      <c r="N1077" s="27" t="str">
        <f t="shared" si="345"/>
        <v/>
      </c>
      <c r="O1077" s="26" t="str">
        <f>IF(AND($Q1076=$O$38,IFERROR(LARGE($V$923:$V1076,1)&lt;$N$42,TRUE)),1,IF(AND(ISNUMBER($O1076),$O1076&lt;$N$32),$O1076+1,""))</f>
        <v/>
      </c>
      <c r="P1077" s="26" t="str">
        <f t="shared" si="346"/>
        <v/>
      </c>
      <c r="Q1077" s="26" t="str">
        <f t="shared" si="335"/>
        <v/>
      </c>
      <c r="R1077" s="24" t="str">
        <f t="shared" si="347"/>
        <v/>
      </c>
      <c r="S1077" s="180">
        <f t="shared" si="353"/>
        <v>8</v>
      </c>
      <c r="T1077" s="29">
        <f>SUM($AC$923:$AC1077)</f>
        <v>49500</v>
      </c>
      <c r="U1077" s="25" t="str">
        <f t="shared" si="336"/>
        <v/>
      </c>
      <c r="V1077" s="24" t="str">
        <f>IF(AND(ISNUMBER(R1076),ISNUMBER(R1077)),V1076,IF(AND(R1076="",ISNUMBER(R1077)),IFERROR(LARGE($V$923:$V1076,1)+1,0),""))</f>
        <v/>
      </c>
      <c r="W1077" s="23" t="str">
        <f t="shared" si="348"/>
        <v/>
      </c>
      <c r="X1077" s="22" t="str">
        <f t="shared" si="349"/>
        <v/>
      </c>
      <c r="Y1077" s="236"/>
      <c r="Z1077" s="22"/>
      <c r="AA1077" s="22"/>
      <c r="AB1077" s="22" t="str">
        <f t="shared" si="350"/>
        <v/>
      </c>
      <c r="AC1077" s="22" t="str">
        <f t="shared" si="351"/>
        <v/>
      </c>
      <c r="AD1077" s="22" t="str">
        <f t="shared" si="337"/>
        <v/>
      </c>
      <c r="AE1077" s="22" t="str">
        <f t="shared" si="352"/>
        <v/>
      </c>
      <c r="AF1077" s="22" t="str">
        <f t="shared" si="338"/>
        <v/>
      </c>
      <c r="AG1077" s="22" t="str">
        <f t="shared" si="339"/>
        <v/>
      </c>
      <c r="AH1077" s="22" t="str">
        <f t="shared" si="340"/>
        <v/>
      </c>
      <c r="AI1077" s="22" t="str">
        <f t="shared" si="341"/>
        <v/>
      </c>
      <c r="AJ1077" s="304" t="str">
        <f t="shared" si="342"/>
        <v/>
      </c>
      <c r="AK1077" s="140" t="str">
        <f t="shared" si="343"/>
        <v/>
      </c>
    </row>
    <row r="1078" spans="7:37" x14ac:dyDescent="0.25">
      <c r="G1078" s="235" t="str">
        <f t="shared" si="331"/>
        <v/>
      </c>
      <c r="H1078" s="4" t="str">
        <f t="shared" si="332"/>
        <v/>
      </c>
      <c r="I1078" s="11" t="str">
        <f t="shared" si="333"/>
        <v/>
      </c>
      <c r="K1078" s="30">
        <v>156</v>
      </c>
      <c r="L1078" s="29">
        <f t="shared" si="344"/>
        <v>11371.908376190921</v>
      </c>
      <c r="M1078" s="28" t="str">
        <f t="shared" si="334"/>
        <v/>
      </c>
      <c r="N1078" s="27" t="str">
        <f t="shared" si="345"/>
        <v/>
      </c>
      <c r="O1078" s="26" t="str">
        <f>IF(AND($Q1077=$O$38,IFERROR(LARGE($V$923:$V1077,1)&lt;$N$42,TRUE)),1,IF(AND(ISNUMBER($O1077),$O1077&lt;$N$32),$O1077+1,""))</f>
        <v/>
      </c>
      <c r="P1078" s="26" t="str">
        <f t="shared" si="346"/>
        <v/>
      </c>
      <c r="Q1078" s="26" t="str">
        <f t="shared" si="335"/>
        <v/>
      </c>
      <c r="R1078" s="24" t="str">
        <f t="shared" si="347"/>
        <v/>
      </c>
      <c r="S1078" s="180">
        <f t="shared" si="353"/>
        <v>8</v>
      </c>
      <c r="T1078" s="29">
        <f>SUM($AC$923:$AC1078)</f>
        <v>49500</v>
      </c>
      <c r="U1078" s="25" t="str">
        <f t="shared" si="336"/>
        <v/>
      </c>
      <c r="V1078" s="24" t="str">
        <f>IF(AND(ISNUMBER(R1077),ISNUMBER(R1078)),V1077,IF(AND(R1077="",ISNUMBER(R1078)),IFERROR(LARGE($V$923:$V1077,1)+1,0),""))</f>
        <v/>
      </c>
      <c r="W1078" s="23" t="str">
        <f t="shared" si="348"/>
        <v/>
      </c>
      <c r="X1078" s="22" t="str">
        <f t="shared" si="349"/>
        <v/>
      </c>
      <c r="Y1078" s="236"/>
      <c r="Z1078" s="22"/>
      <c r="AA1078" s="22"/>
      <c r="AB1078" s="22" t="str">
        <f t="shared" si="350"/>
        <v/>
      </c>
      <c r="AC1078" s="22" t="str">
        <f t="shared" si="351"/>
        <v/>
      </c>
      <c r="AD1078" s="22" t="str">
        <f t="shared" si="337"/>
        <v/>
      </c>
      <c r="AE1078" s="22" t="str">
        <f t="shared" si="352"/>
        <v/>
      </c>
      <c r="AF1078" s="22" t="str">
        <f t="shared" si="338"/>
        <v/>
      </c>
      <c r="AG1078" s="22" t="str">
        <f t="shared" si="339"/>
        <v/>
      </c>
      <c r="AH1078" s="22" t="str">
        <f t="shared" si="340"/>
        <v/>
      </c>
      <c r="AI1078" s="22" t="str">
        <f t="shared" si="341"/>
        <v/>
      </c>
      <c r="AJ1078" s="304" t="str">
        <f t="shared" si="342"/>
        <v/>
      </c>
      <c r="AK1078" s="140" t="str">
        <f t="shared" si="343"/>
        <v/>
      </c>
    </row>
    <row r="1079" spans="7:37" x14ac:dyDescent="0.25">
      <c r="G1079" s="235" t="str">
        <f t="shared" si="331"/>
        <v/>
      </c>
      <c r="H1079" s="4" t="str">
        <f t="shared" si="332"/>
        <v/>
      </c>
      <c r="I1079" s="11" t="str">
        <f t="shared" si="333"/>
        <v/>
      </c>
      <c r="K1079" s="30">
        <v>157</v>
      </c>
      <c r="L1079" s="29">
        <f t="shared" si="344"/>
        <v>11371.908376190921</v>
      </c>
      <c r="M1079" s="28" t="str">
        <f t="shared" si="334"/>
        <v/>
      </c>
      <c r="N1079" s="27" t="str">
        <f t="shared" si="345"/>
        <v/>
      </c>
      <c r="O1079" s="26" t="str">
        <f>IF(AND($Q1078=$O$38,IFERROR(LARGE($V$923:$V1078,1)&lt;$N$42,TRUE)),1,IF(AND(ISNUMBER($O1078),$O1078&lt;$N$32),$O1078+1,""))</f>
        <v/>
      </c>
      <c r="P1079" s="26" t="str">
        <f t="shared" si="346"/>
        <v/>
      </c>
      <c r="Q1079" s="26" t="str">
        <f t="shared" si="335"/>
        <v/>
      </c>
      <c r="R1079" s="24" t="str">
        <f t="shared" si="347"/>
        <v/>
      </c>
      <c r="S1079" s="180">
        <f t="shared" si="353"/>
        <v>8</v>
      </c>
      <c r="T1079" s="29">
        <f>SUM($AC$923:$AC1079)</f>
        <v>49500</v>
      </c>
      <c r="U1079" s="25" t="str">
        <f t="shared" si="336"/>
        <v/>
      </c>
      <c r="V1079" s="24" t="str">
        <f>IF(AND(ISNUMBER(R1078),ISNUMBER(R1079)),V1078,IF(AND(R1078="",ISNUMBER(R1079)),IFERROR(LARGE($V$923:$V1078,1)+1,0),""))</f>
        <v/>
      </c>
      <c r="W1079" s="23" t="str">
        <f t="shared" si="348"/>
        <v/>
      </c>
      <c r="X1079" s="22" t="str">
        <f t="shared" si="349"/>
        <v/>
      </c>
      <c r="Y1079" s="236"/>
      <c r="Z1079" s="22"/>
      <c r="AA1079" s="22"/>
      <c r="AB1079" s="22" t="str">
        <f t="shared" si="350"/>
        <v/>
      </c>
      <c r="AC1079" s="22" t="str">
        <f t="shared" si="351"/>
        <v/>
      </c>
      <c r="AD1079" s="22" t="str">
        <f t="shared" si="337"/>
        <v/>
      </c>
      <c r="AE1079" s="22" t="str">
        <f t="shared" si="352"/>
        <v/>
      </c>
      <c r="AF1079" s="22" t="str">
        <f t="shared" si="338"/>
        <v/>
      </c>
      <c r="AG1079" s="22" t="str">
        <f t="shared" si="339"/>
        <v/>
      </c>
      <c r="AH1079" s="22" t="str">
        <f t="shared" si="340"/>
        <v/>
      </c>
      <c r="AI1079" s="22" t="str">
        <f t="shared" si="341"/>
        <v/>
      </c>
      <c r="AJ1079" s="304" t="str">
        <f t="shared" si="342"/>
        <v/>
      </c>
      <c r="AK1079" s="140" t="str">
        <f t="shared" si="343"/>
        <v/>
      </c>
    </row>
    <row r="1080" spans="7:37" x14ac:dyDescent="0.25">
      <c r="G1080" s="235" t="str">
        <f t="shared" si="331"/>
        <v/>
      </c>
      <c r="H1080" s="4" t="str">
        <f t="shared" si="332"/>
        <v/>
      </c>
      <c r="I1080" s="11" t="str">
        <f t="shared" si="333"/>
        <v/>
      </c>
      <c r="K1080" s="30">
        <v>158</v>
      </c>
      <c r="L1080" s="29">
        <f t="shared" si="344"/>
        <v>11371.908376190921</v>
      </c>
      <c r="M1080" s="28" t="str">
        <f t="shared" si="334"/>
        <v/>
      </c>
      <c r="N1080" s="27" t="str">
        <f t="shared" si="345"/>
        <v/>
      </c>
      <c r="O1080" s="26" t="str">
        <f>IF(AND($Q1079=$O$38,IFERROR(LARGE($V$923:$V1079,1)&lt;$N$42,TRUE)),1,IF(AND(ISNUMBER($O1079),$O1079&lt;$N$32),$O1079+1,""))</f>
        <v/>
      </c>
      <c r="P1080" s="26" t="str">
        <f t="shared" si="346"/>
        <v/>
      </c>
      <c r="Q1080" s="26" t="str">
        <f t="shared" si="335"/>
        <v/>
      </c>
      <c r="R1080" s="24" t="str">
        <f t="shared" si="347"/>
        <v/>
      </c>
      <c r="S1080" s="180">
        <f t="shared" si="353"/>
        <v>8</v>
      </c>
      <c r="T1080" s="29">
        <f>SUM($AC$923:$AC1080)</f>
        <v>49500</v>
      </c>
      <c r="U1080" s="25" t="str">
        <f t="shared" si="336"/>
        <v/>
      </c>
      <c r="V1080" s="24" t="str">
        <f>IF(AND(ISNUMBER(R1079),ISNUMBER(R1080)),V1079,IF(AND(R1079="",ISNUMBER(R1080)),IFERROR(LARGE($V$923:$V1079,1)+1,0),""))</f>
        <v/>
      </c>
      <c r="W1080" s="23" t="str">
        <f t="shared" si="348"/>
        <v/>
      </c>
      <c r="X1080" s="22" t="str">
        <f t="shared" si="349"/>
        <v/>
      </c>
      <c r="Y1080" s="236"/>
      <c r="Z1080" s="22"/>
      <c r="AA1080" s="22"/>
      <c r="AB1080" s="22" t="str">
        <f t="shared" si="350"/>
        <v/>
      </c>
      <c r="AC1080" s="22" t="str">
        <f t="shared" si="351"/>
        <v/>
      </c>
      <c r="AD1080" s="22" t="str">
        <f t="shared" si="337"/>
        <v/>
      </c>
      <c r="AE1080" s="22" t="str">
        <f t="shared" si="352"/>
        <v/>
      </c>
      <c r="AF1080" s="22" t="str">
        <f t="shared" si="338"/>
        <v/>
      </c>
      <c r="AG1080" s="22" t="str">
        <f t="shared" si="339"/>
        <v/>
      </c>
      <c r="AH1080" s="22" t="str">
        <f t="shared" si="340"/>
        <v/>
      </c>
      <c r="AI1080" s="22" t="str">
        <f t="shared" si="341"/>
        <v/>
      </c>
      <c r="AJ1080" s="304" t="str">
        <f t="shared" si="342"/>
        <v/>
      </c>
      <c r="AK1080" s="140" t="str">
        <f t="shared" si="343"/>
        <v/>
      </c>
    </row>
    <row r="1081" spans="7:37" x14ac:dyDescent="0.25">
      <c r="G1081" s="235" t="str">
        <f t="shared" si="331"/>
        <v/>
      </c>
      <c r="H1081" s="4" t="str">
        <f t="shared" si="332"/>
        <v/>
      </c>
      <c r="I1081" s="11" t="str">
        <f t="shared" si="333"/>
        <v/>
      </c>
      <c r="K1081" s="30">
        <v>159</v>
      </c>
      <c r="L1081" s="29">
        <f t="shared" si="344"/>
        <v>11371.908376190921</v>
      </c>
      <c r="M1081" s="28" t="str">
        <f t="shared" si="334"/>
        <v/>
      </c>
      <c r="N1081" s="27" t="str">
        <f t="shared" si="345"/>
        <v/>
      </c>
      <c r="O1081" s="26" t="str">
        <f>IF(AND($Q1080=$O$38,IFERROR(LARGE($V$923:$V1080,1)&lt;$N$42,TRUE)),1,IF(AND(ISNUMBER($O1080),$O1080&lt;$N$32),$O1080+1,""))</f>
        <v/>
      </c>
      <c r="P1081" s="26" t="str">
        <f t="shared" si="346"/>
        <v/>
      </c>
      <c r="Q1081" s="26" t="str">
        <f t="shared" si="335"/>
        <v/>
      </c>
      <c r="R1081" s="24" t="str">
        <f t="shared" si="347"/>
        <v/>
      </c>
      <c r="S1081" s="180">
        <f t="shared" si="353"/>
        <v>8</v>
      </c>
      <c r="T1081" s="29">
        <f>SUM($AC$923:$AC1081)</f>
        <v>49500</v>
      </c>
      <c r="U1081" s="25" t="str">
        <f t="shared" si="336"/>
        <v/>
      </c>
      <c r="V1081" s="24" t="str">
        <f>IF(AND(ISNUMBER(R1080),ISNUMBER(R1081)),V1080,IF(AND(R1080="",ISNUMBER(R1081)),IFERROR(LARGE($V$923:$V1080,1)+1,0),""))</f>
        <v/>
      </c>
      <c r="W1081" s="23" t="str">
        <f t="shared" si="348"/>
        <v/>
      </c>
      <c r="X1081" s="22" t="str">
        <f t="shared" si="349"/>
        <v/>
      </c>
      <c r="Y1081" s="236"/>
      <c r="Z1081" s="22"/>
      <c r="AA1081" s="22"/>
      <c r="AB1081" s="22" t="str">
        <f t="shared" si="350"/>
        <v/>
      </c>
      <c r="AC1081" s="22" t="str">
        <f t="shared" si="351"/>
        <v/>
      </c>
      <c r="AD1081" s="22" t="str">
        <f t="shared" si="337"/>
        <v/>
      </c>
      <c r="AE1081" s="22" t="str">
        <f t="shared" si="352"/>
        <v/>
      </c>
      <c r="AF1081" s="22" t="str">
        <f t="shared" si="338"/>
        <v/>
      </c>
      <c r="AG1081" s="22" t="str">
        <f t="shared" si="339"/>
        <v/>
      </c>
      <c r="AH1081" s="22" t="str">
        <f t="shared" si="340"/>
        <v/>
      </c>
      <c r="AI1081" s="22" t="str">
        <f t="shared" si="341"/>
        <v/>
      </c>
      <c r="AJ1081" s="304" t="str">
        <f t="shared" si="342"/>
        <v/>
      </c>
      <c r="AK1081" s="140" t="str">
        <f t="shared" si="343"/>
        <v/>
      </c>
    </row>
    <row r="1082" spans="7:37" x14ac:dyDescent="0.25">
      <c r="G1082" s="235" t="str">
        <f t="shared" si="331"/>
        <v/>
      </c>
      <c r="H1082" s="4" t="str">
        <f t="shared" si="332"/>
        <v/>
      </c>
      <c r="I1082" s="11" t="str">
        <f t="shared" si="333"/>
        <v/>
      </c>
      <c r="K1082" s="30">
        <v>160</v>
      </c>
      <c r="L1082" s="29">
        <f t="shared" si="344"/>
        <v>11371.908376190921</v>
      </c>
      <c r="M1082" s="28" t="str">
        <f t="shared" si="334"/>
        <v/>
      </c>
      <c r="N1082" s="27" t="str">
        <f t="shared" si="345"/>
        <v/>
      </c>
      <c r="O1082" s="26" t="str">
        <f>IF(AND($Q1081=$O$38,IFERROR(LARGE($V$923:$V1081,1)&lt;$N$42,TRUE)),1,IF(AND(ISNUMBER($O1081),$O1081&lt;$N$32),$O1081+1,""))</f>
        <v/>
      </c>
      <c r="P1082" s="26" t="str">
        <f t="shared" si="346"/>
        <v/>
      </c>
      <c r="Q1082" s="26" t="str">
        <f t="shared" si="335"/>
        <v/>
      </c>
      <c r="R1082" s="24" t="str">
        <f t="shared" si="347"/>
        <v/>
      </c>
      <c r="S1082" s="180">
        <f t="shared" si="353"/>
        <v>8</v>
      </c>
      <c r="T1082" s="29">
        <f>SUM($AC$923:$AC1082)</f>
        <v>49500</v>
      </c>
      <c r="U1082" s="25" t="str">
        <f t="shared" si="336"/>
        <v/>
      </c>
      <c r="V1082" s="24" t="str">
        <f>IF(AND(ISNUMBER(R1081),ISNUMBER(R1082)),V1081,IF(AND(R1081="",ISNUMBER(R1082)),IFERROR(LARGE($V$923:$V1081,1)+1,0),""))</f>
        <v/>
      </c>
      <c r="W1082" s="23" t="str">
        <f t="shared" si="348"/>
        <v/>
      </c>
      <c r="X1082" s="22" t="str">
        <f t="shared" si="349"/>
        <v/>
      </c>
      <c r="Y1082" s="236"/>
      <c r="Z1082" s="22"/>
      <c r="AA1082" s="22"/>
      <c r="AB1082" s="22" t="str">
        <f t="shared" si="350"/>
        <v/>
      </c>
      <c r="AC1082" s="22" t="str">
        <f t="shared" si="351"/>
        <v/>
      </c>
      <c r="AD1082" s="22" t="str">
        <f t="shared" si="337"/>
        <v/>
      </c>
      <c r="AE1082" s="22" t="str">
        <f t="shared" si="352"/>
        <v/>
      </c>
      <c r="AF1082" s="22" t="str">
        <f t="shared" si="338"/>
        <v/>
      </c>
      <c r="AG1082" s="22" t="str">
        <f t="shared" si="339"/>
        <v/>
      </c>
      <c r="AH1082" s="22" t="str">
        <f t="shared" si="340"/>
        <v/>
      </c>
      <c r="AI1082" s="22" t="str">
        <f t="shared" si="341"/>
        <v/>
      </c>
      <c r="AJ1082" s="304" t="str">
        <f t="shared" si="342"/>
        <v/>
      </c>
      <c r="AK1082" s="140" t="str">
        <f t="shared" si="343"/>
        <v/>
      </c>
    </row>
    <row r="1083" spans="7:37" x14ac:dyDescent="0.25">
      <c r="G1083" s="235" t="str">
        <f t="shared" si="331"/>
        <v/>
      </c>
      <c r="H1083" s="4" t="str">
        <f t="shared" si="332"/>
        <v/>
      </c>
      <c r="I1083" s="11" t="str">
        <f t="shared" si="333"/>
        <v/>
      </c>
      <c r="K1083" s="30">
        <v>161</v>
      </c>
      <c r="L1083" s="29">
        <f t="shared" si="344"/>
        <v>11371.908376190921</v>
      </c>
      <c r="M1083" s="28" t="str">
        <f t="shared" si="334"/>
        <v/>
      </c>
      <c r="N1083" s="27" t="str">
        <f t="shared" si="345"/>
        <v/>
      </c>
      <c r="O1083" s="26" t="str">
        <f>IF(AND($Q1082=$O$38,IFERROR(LARGE($V$923:$V1082,1)&lt;$N$42,TRUE)),1,IF(AND(ISNUMBER($O1082),$O1082&lt;$N$32),$O1082+1,""))</f>
        <v/>
      </c>
      <c r="P1083" s="26" t="str">
        <f t="shared" si="346"/>
        <v/>
      </c>
      <c r="Q1083" s="26" t="str">
        <f t="shared" si="335"/>
        <v/>
      </c>
      <c r="R1083" s="24" t="str">
        <f t="shared" si="347"/>
        <v/>
      </c>
      <c r="S1083" s="180">
        <f t="shared" si="353"/>
        <v>8</v>
      </c>
      <c r="T1083" s="29">
        <f>SUM($AC$923:$AC1083)</f>
        <v>49500</v>
      </c>
      <c r="U1083" s="25" t="str">
        <f t="shared" si="336"/>
        <v/>
      </c>
      <c r="V1083" s="24" t="str">
        <f>IF(AND(ISNUMBER(R1082),ISNUMBER(R1083)),V1082,IF(AND(R1082="",ISNUMBER(R1083)),IFERROR(LARGE($V$923:$V1082,1)+1,0),""))</f>
        <v/>
      </c>
      <c r="W1083" s="23" t="str">
        <f t="shared" si="348"/>
        <v/>
      </c>
      <c r="X1083" s="22" t="str">
        <f t="shared" si="349"/>
        <v/>
      </c>
      <c r="Y1083" s="236"/>
      <c r="Z1083" s="22"/>
      <c r="AA1083" s="22"/>
      <c r="AB1083" s="22" t="str">
        <f t="shared" si="350"/>
        <v/>
      </c>
      <c r="AC1083" s="22" t="str">
        <f t="shared" si="351"/>
        <v/>
      </c>
      <c r="AD1083" s="22" t="str">
        <f t="shared" si="337"/>
        <v/>
      </c>
      <c r="AE1083" s="22" t="str">
        <f t="shared" si="352"/>
        <v/>
      </c>
      <c r="AF1083" s="22" t="str">
        <f t="shared" si="338"/>
        <v/>
      </c>
      <c r="AG1083" s="22" t="str">
        <f t="shared" si="339"/>
        <v/>
      </c>
      <c r="AH1083" s="22" t="str">
        <f t="shared" si="340"/>
        <v/>
      </c>
      <c r="AI1083" s="22" t="str">
        <f t="shared" si="341"/>
        <v/>
      </c>
      <c r="AJ1083" s="304" t="str">
        <f t="shared" si="342"/>
        <v/>
      </c>
      <c r="AK1083" s="140" t="str">
        <f t="shared" si="343"/>
        <v/>
      </c>
    </row>
    <row r="1084" spans="7:37" x14ac:dyDescent="0.25">
      <c r="G1084" s="235" t="str">
        <f t="shared" si="331"/>
        <v/>
      </c>
      <c r="H1084" s="4" t="str">
        <f t="shared" si="332"/>
        <v/>
      </c>
      <c r="I1084" s="11" t="str">
        <f t="shared" si="333"/>
        <v/>
      </c>
      <c r="K1084" s="30">
        <v>162</v>
      </c>
      <c r="L1084" s="29">
        <f t="shared" si="344"/>
        <v>11371.908376190921</v>
      </c>
      <c r="M1084" s="28" t="str">
        <f t="shared" si="334"/>
        <v/>
      </c>
      <c r="N1084" s="27" t="str">
        <f t="shared" si="345"/>
        <v/>
      </c>
      <c r="O1084" s="26" t="str">
        <f>IF(AND($Q1083=$O$38,IFERROR(LARGE($V$923:$V1083,1)&lt;$N$42,TRUE)),1,IF(AND(ISNUMBER($O1083),$O1083&lt;$N$32),$O1083+1,""))</f>
        <v/>
      </c>
      <c r="P1084" s="26" t="str">
        <f t="shared" si="346"/>
        <v/>
      </c>
      <c r="Q1084" s="26" t="str">
        <f t="shared" si="335"/>
        <v/>
      </c>
      <c r="R1084" s="24" t="str">
        <f t="shared" si="347"/>
        <v/>
      </c>
      <c r="S1084" s="180">
        <f t="shared" si="353"/>
        <v>8</v>
      </c>
      <c r="T1084" s="29">
        <f>SUM($AC$923:$AC1084)</f>
        <v>49500</v>
      </c>
      <c r="U1084" s="25" t="str">
        <f t="shared" si="336"/>
        <v/>
      </c>
      <c r="V1084" s="24" t="str">
        <f>IF(AND(ISNUMBER(R1083),ISNUMBER(R1084)),V1083,IF(AND(R1083="",ISNUMBER(R1084)),IFERROR(LARGE($V$923:$V1083,1)+1,0),""))</f>
        <v/>
      </c>
      <c r="W1084" s="23" t="str">
        <f t="shared" si="348"/>
        <v/>
      </c>
      <c r="X1084" s="22" t="str">
        <f t="shared" si="349"/>
        <v/>
      </c>
      <c r="Y1084" s="236"/>
      <c r="Z1084" s="22"/>
      <c r="AA1084" s="22"/>
      <c r="AB1084" s="22" t="str">
        <f t="shared" si="350"/>
        <v/>
      </c>
      <c r="AC1084" s="22" t="str">
        <f t="shared" si="351"/>
        <v/>
      </c>
      <c r="AD1084" s="22" t="str">
        <f t="shared" si="337"/>
        <v/>
      </c>
      <c r="AE1084" s="22" t="str">
        <f t="shared" si="352"/>
        <v/>
      </c>
      <c r="AF1084" s="22" t="str">
        <f t="shared" si="338"/>
        <v/>
      </c>
      <c r="AG1084" s="22" t="str">
        <f t="shared" si="339"/>
        <v/>
      </c>
      <c r="AH1084" s="22" t="str">
        <f t="shared" si="340"/>
        <v/>
      </c>
      <c r="AI1084" s="22" t="str">
        <f t="shared" si="341"/>
        <v/>
      </c>
      <c r="AJ1084" s="304" t="str">
        <f t="shared" si="342"/>
        <v/>
      </c>
      <c r="AK1084" s="140" t="str">
        <f t="shared" si="343"/>
        <v/>
      </c>
    </row>
    <row r="1085" spans="7:37" x14ac:dyDescent="0.25">
      <c r="G1085" s="235" t="str">
        <f t="shared" si="331"/>
        <v/>
      </c>
      <c r="H1085" s="4" t="str">
        <f t="shared" si="332"/>
        <v/>
      </c>
      <c r="I1085" s="11" t="str">
        <f t="shared" si="333"/>
        <v/>
      </c>
      <c r="K1085" s="30">
        <v>163</v>
      </c>
      <c r="L1085" s="29">
        <f t="shared" si="344"/>
        <v>11371.908376190921</v>
      </c>
      <c r="M1085" s="28" t="str">
        <f t="shared" si="334"/>
        <v/>
      </c>
      <c r="N1085" s="27" t="str">
        <f t="shared" si="345"/>
        <v/>
      </c>
      <c r="O1085" s="26" t="str">
        <f>IF(AND($Q1084=$O$38,IFERROR(LARGE($V$923:$V1084,1)&lt;$N$42,TRUE)),1,IF(AND(ISNUMBER($O1084),$O1084&lt;$N$32),$O1084+1,""))</f>
        <v/>
      </c>
      <c r="P1085" s="26" t="str">
        <f t="shared" si="346"/>
        <v/>
      </c>
      <c r="Q1085" s="26" t="str">
        <f t="shared" si="335"/>
        <v/>
      </c>
      <c r="R1085" s="24" t="str">
        <f t="shared" si="347"/>
        <v/>
      </c>
      <c r="S1085" s="180">
        <f t="shared" si="353"/>
        <v>8</v>
      </c>
      <c r="T1085" s="29">
        <f>SUM($AC$923:$AC1085)</f>
        <v>49500</v>
      </c>
      <c r="U1085" s="25" t="str">
        <f t="shared" si="336"/>
        <v/>
      </c>
      <c r="V1085" s="24" t="str">
        <f>IF(AND(ISNUMBER(R1084),ISNUMBER(R1085)),V1084,IF(AND(R1084="",ISNUMBER(R1085)),IFERROR(LARGE($V$923:$V1084,1)+1,0),""))</f>
        <v/>
      </c>
      <c r="W1085" s="23" t="str">
        <f t="shared" si="348"/>
        <v/>
      </c>
      <c r="X1085" s="22" t="str">
        <f t="shared" si="349"/>
        <v/>
      </c>
      <c r="Y1085" s="236"/>
      <c r="Z1085" s="22"/>
      <c r="AA1085" s="22"/>
      <c r="AB1085" s="22" t="str">
        <f t="shared" si="350"/>
        <v/>
      </c>
      <c r="AC1085" s="22" t="str">
        <f t="shared" si="351"/>
        <v/>
      </c>
      <c r="AD1085" s="22" t="str">
        <f t="shared" si="337"/>
        <v/>
      </c>
      <c r="AE1085" s="22" t="str">
        <f t="shared" si="352"/>
        <v/>
      </c>
      <c r="AF1085" s="22" t="str">
        <f t="shared" si="338"/>
        <v/>
      </c>
      <c r="AG1085" s="22" t="str">
        <f t="shared" si="339"/>
        <v/>
      </c>
      <c r="AH1085" s="22" t="str">
        <f t="shared" si="340"/>
        <v/>
      </c>
      <c r="AI1085" s="22" t="str">
        <f t="shared" si="341"/>
        <v/>
      </c>
      <c r="AJ1085" s="304" t="str">
        <f t="shared" si="342"/>
        <v/>
      </c>
      <c r="AK1085" s="140" t="str">
        <f t="shared" si="343"/>
        <v/>
      </c>
    </row>
    <row r="1086" spans="7:37" x14ac:dyDescent="0.25">
      <c r="G1086" s="235" t="str">
        <f t="shared" si="331"/>
        <v/>
      </c>
      <c r="H1086" s="4" t="str">
        <f t="shared" si="332"/>
        <v/>
      </c>
      <c r="I1086" s="11" t="str">
        <f t="shared" si="333"/>
        <v/>
      </c>
      <c r="K1086" s="30">
        <v>164</v>
      </c>
      <c r="L1086" s="29">
        <f t="shared" si="344"/>
        <v>11371.908376190921</v>
      </c>
      <c r="M1086" s="28" t="str">
        <f t="shared" si="334"/>
        <v/>
      </c>
      <c r="N1086" s="27" t="str">
        <f t="shared" si="345"/>
        <v/>
      </c>
      <c r="O1086" s="26" t="str">
        <f>IF(AND($Q1085=$O$38,IFERROR(LARGE($V$923:$V1085,1)&lt;$N$42,TRUE)),1,IF(AND(ISNUMBER($O1085),$O1085&lt;$N$32),$O1085+1,""))</f>
        <v/>
      </c>
      <c r="P1086" s="26" t="str">
        <f t="shared" si="346"/>
        <v/>
      </c>
      <c r="Q1086" s="26" t="str">
        <f t="shared" si="335"/>
        <v/>
      </c>
      <c r="R1086" s="24" t="str">
        <f t="shared" si="347"/>
        <v/>
      </c>
      <c r="S1086" s="180">
        <f t="shared" si="353"/>
        <v>8</v>
      </c>
      <c r="T1086" s="29">
        <f>SUM($AC$923:$AC1086)</f>
        <v>49500</v>
      </c>
      <c r="U1086" s="25" t="str">
        <f t="shared" si="336"/>
        <v/>
      </c>
      <c r="V1086" s="24" t="str">
        <f>IF(AND(ISNUMBER(R1085),ISNUMBER(R1086)),V1085,IF(AND(R1085="",ISNUMBER(R1086)),IFERROR(LARGE($V$923:$V1085,1)+1,0),""))</f>
        <v/>
      </c>
      <c r="W1086" s="23" t="str">
        <f t="shared" si="348"/>
        <v/>
      </c>
      <c r="X1086" s="22" t="str">
        <f t="shared" si="349"/>
        <v/>
      </c>
      <c r="Y1086" s="236"/>
      <c r="Z1086" s="22"/>
      <c r="AA1086" s="22"/>
      <c r="AB1086" s="22" t="str">
        <f t="shared" si="350"/>
        <v/>
      </c>
      <c r="AC1086" s="22" t="str">
        <f t="shared" si="351"/>
        <v/>
      </c>
      <c r="AD1086" s="22" t="str">
        <f t="shared" si="337"/>
        <v/>
      </c>
      <c r="AE1086" s="22" t="str">
        <f t="shared" si="352"/>
        <v/>
      </c>
      <c r="AF1086" s="22" t="str">
        <f t="shared" si="338"/>
        <v/>
      </c>
      <c r="AG1086" s="22" t="str">
        <f t="shared" si="339"/>
        <v/>
      </c>
      <c r="AH1086" s="22" t="str">
        <f t="shared" si="340"/>
        <v/>
      </c>
      <c r="AI1086" s="22" t="str">
        <f t="shared" si="341"/>
        <v/>
      </c>
      <c r="AJ1086" s="304" t="str">
        <f t="shared" si="342"/>
        <v/>
      </c>
      <c r="AK1086" s="140" t="str">
        <f t="shared" si="343"/>
        <v/>
      </c>
    </row>
    <row r="1087" spans="7:37" x14ac:dyDescent="0.25">
      <c r="G1087" s="235" t="str">
        <f t="shared" si="331"/>
        <v/>
      </c>
      <c r="H1087" s="4" t="str">
        <f t="shared" si="332"/>
        <v/>
      </c>
      <c r="I1087" s="11" t="str">
        <f t="shared" si="333"/>
        <v/>
      </c>
      <c r="K1087" s="30">
        <v>165</v>
      </c>
      <c r="L1087" s="29">
        <f t="shared" si="344"/>
        <v>11371.908376190921</v>
      </c>
      <c r="M1087" s="28" t="str">
        <f t="shared" si="334"/>
        <v/>
      </c>
      <c r="N1087" s="27" t="str">
        <f t="shared" si="345"/>
        <v/>
      </c>
      <c r="O1087" s="26" t="str">
        <f>IF(AND($Q1086=$O$38,IFERROR(LARGE($V$923:$V1086,1)&lt;$N$42,TRUE)),1,IF(AND(ISNUMBER($O1086),$O1086&lt;$N$32),$O1086+1,""))</f>
        <v/>
      </c>
      <c r="P1087" s="26" t="str">
        <f t="shared" si="346"/>
        <v/>
      </c>
      <c r="Q1087" s="26" t="str">
        <f t="shared" si="335"/>
        <v/>
      </c>
      <c r="R1087" s="24" t="str">
        <f t="shared" si="347"/>
        <v/>
      </c>
      <c r="S1087" s="180">
        <f t="shared" si="353"/>
        <v>8</v>
      </c>
      <c r="T1087" s="29">
        <f>SUM($AC$923:$AC1087)</f>
        <v>49500</v>
      </c>
      <c r="U1087" s="25" t="str">
        <f t="shared" si="336"/>
        <v/>
      </c>
      <c r="V1087" s="24" t="str">
        <f>IF(AND(ISNUMBER(R1086),ISNUMBER(R1087)),V1086,IF(AND(R1086="",ISNUMBER(R1087)),IFERROR(LARGE($V$923:$V1086,1)+1,0),""))</f>
        <v/>
      </c>
      <c r="W1087" s="23" t="str">
        <f t="shared" si="348"/>
        <v/>
      </c>
      <c r="X1087" s="22" t="str">
        <f t="shared" si="349"/>
        <v/>
      </c>
      <c r="Y1087" s="236"/>
      <c r="Z1087" s="22"/>
      <c r="AA1087" s="22"/>
      <c r="AB1087" s="22" t="str">
        <f t="shared" si="350"/>
        <v/>
      </c>
      <c r="AC1087" s="22" t="str">
        <f t="shared" si="351"/>
        <v/>
      </c>
      <c r="AD1087" s="22" t="str">
        <f t="shared" si="337"/>
        <v/>
      </c>
      <c r="AE1087" s="22" t="str">
        <f t="shared" si="352"/>
        <v/>
      </c>
      <c r="AF1087" s="22" t="str">
        <f t="shared" si="338"/>
        <v/>
      </c>
      <c r="AG1087" s="22" t="str">
        <f t="shared" si="339"/>
        <v/>
      </c>
      <c r="AH1087" s="22" t="str">
        <f t="shared" si="340"/>
        <v/>
      </c>
      <c r="AI1087" s="22" t="str">
        <f t="shared" si="341"/>
        <v/>
      </c>
      <c r="AJ1087" s="304" t="str">
        <f t="shared" si="342"/>
        <v/>
      </c>
      <c r="AK1087" s="140" t="str">
        <f t="shared" si="343"/>
        <v/>
      </c>
    </row>
    <row r="1088" spans="7:37" x14ac:dyDescent="0.25">
      <c r="G1088" s="235" t="str">
        <f t="shared" si="331"/>
        <v/>
      </c>
      <c r="H1088" s="4" t="str">
        <f t="shared" si="332"/>
        <v/>
      </c>
      <c r="I1088" s="11" t="str">
        <f t="shared" si="333"/>
        <v/>
      </c>
      <c r="K1088" s="30">
        <v>166</v>
      </c>
      <c r="L1088" s="29">
        <f t="shared" si="344"/>
        <v>11371.908376190921</v>
      </c>
      <c r="M1088" s="28" t="str">
        <f t="shared" si="334"/>
        <v/>
      </c>
      <c r="N1088" s="27" t="str">
        <f t="shared" si="345"/>
        <v/>
      </c>
      <c r="O1088" s="26" t="str">
        <f>IF(AND($Q1087=$O$38,IFERROR(LARGE($V$923:$V1087,1)&lt;$N$42,TRUE)),1,IF(AND(ISNUMBER($O1087),$O1087&lt;$N$32),$O1087+1,""))</f>
        <v/>
      </c>
      <c r="P1088" s="26" t="str">
        <f t="shared" si="346"/>
        <v/>
      </c>
      <c r="Q1088" s="26" t="str">
        <f t="shared" si="335"/>
        <v/>
      </c>
      <c r="R1088" s="24" t="str">
        <f t="shared" si="347"/>
        <v/>
      </c>
      <c r="S1088" s="180">
        <f t="shared" si="353"/>
        <v>8</v>
      </c>
      <c r="T1088" s="29">
        <f>SUM($AC$923:$AC1088)</f>
        <v>49500</v>
      </c>
      <c r="U1088" s="25" t="str">
        <f t="shared" si="336"/>
        <v/>
      </c>
      <c r="V1088" s="24" t="str">
        <f>IF(AND(ISNUMBER(R1087),ISNUMBER(R1088)),V1087,IF(AND(R1087="",ISNUMBER(R1088)),IFERROR(LARGE($V$923:$V1087,1)+1,0),""))</f>
        <v/>
      </c>
      <c r="W1088" s="23" t="str">
        <f t="shared" si="348"/>
        <v/>
      </c>
      <c r="X1088" s="22" t="str">
        <f t="shared" si="349"/>
        <v/>
      </c>
      <c r="Y1088" s="236"/>
      <c r="Z1088" s="22"/>
      <c r="AA1088" s="22"/>
      <c r="AB1088" s="22" t="str">
        <f t="shared" si="350"/>
        <v/>
      </c>
      <c r="AC1088" s="22" t="str">
        <f t="shared" si="351"/>
        <v/>
      </c>
      <c r="AD1088" s="22" t="str">
        <f t="shared" si="337"/>
        <v/>
      </c>
      <c r="AE1088" s="22" t="str">
        <f t="shared" si="352"/>
        <v/>
      </c>
      <c r="AF1088" s="22" t="str">
        <f t="shared" si="338"/>
        <v/>
      </c>
      <c r="AG1088" s="22" t="str">
        <f t="shared" si="339"/>
        <v/>
      </c>
      <c r="AH1088" s="22" t="str">
        <f t="shared" si="340"/>
        <v/>
      </c>
      <c r="AI1088" s="22" t="str">
        <f t="shared" si="341"/>
        <v/>
      </c>
      <c r="AJ1088" s="304" t="str">
        <f t="shared" si="342"/>
        <v/>
      </c>
      <c r="AK1088" s="140" t="str">
        <f t="shared" si="343"/>
        <v/>
      </c>
    </row>
    <row r="1089" spans="7:37" x14ac:dyDescent="0.25">
      <c r="G1089" s="235" t="str">
        <f t="shared" si="331"/>
        <v/>
      </c>
      <c r="H1089" s="4" t="str">
        <f t="shared" si="332"/>
        <v/>
      </c>
      <c r="I1089" s="11" t="str">
        <f t="shared" si="333"/>
        <v/>
      </c>
      <c r="K1089" s="30">
        <v>167</v>
      </c>
      <c r="L1089" s="29">
        <f t="shared" si="344"/>
        <v>11371.908376190921</v>
      </c>
      <c r="M1089" s="28" t="str">
        <f t="shared" si="334"/>
        <v/>
      </c>
      <c r="N1089" s="27" t="str">
        <f t="shared" si="345"/>
        <v/>
      </c>
      <c r="O1089" s="26" t="str">
        <f>IF(AND($Q1088=$O$38,IFERROR(LARGE($V$923:$V1088,1)&lt;$N$42,TRUE)),1,IF(AND(ISNUMBER($O1088),$O1088&lt;$N$32),$O1088+1,""))</f>
        <v/>
      </c>
      <c r="P1089" s="26" t="str">
        <f t="shared" si="346"/>
        <v/>
      </c>
      <c r="Q1089" s="26" t="str">
        <f t="shared" si="335"/>
        <v/>
      </c>
      <c r="R1089" s="24" t="str">
        <f t="shared" si="347"/>
        <v/>
      </c>
      <c r="S1089" s="180">
        <f t="shared" si="353"/>
        <v>8</v>
      </c>
      <c r="T1089" s="29">
        <f>SUM($AC$923:$AC1089)</f>
        <v>49500</v>
      </c>
      <c r="U1089" s="25" t="str">
        <f t="shared" si="336"/>
        <v/>
      </c>
      <c r="V1089" s="24" t="str">
        <f>IF(AND(ISNUMBER(R1088),ISNUMBER(R1089)),V1088,IF(AND(R1088="",ISNUMBER(R1089)),IFERROR(LARGE($V$923:$V1088,1)+1,0),""))</f>
        <v/>
      </c>
      <c r="W1089" s="23" t="str">
        <f t="shared" si="348"/>
        <v/>
      </c>
      <c r="X1089" s="22" t="str">
        <f t="shared" si="349"/>
        <v/>
      </c>
      <c r="Y1089" s="236"/>
      <c r="Z1089" s="22"/>
      <c r="AA1089" s="22"/>
      <c r="AB1089" s="22" t="str">
        <f t="shared" si="350"/>
        <v/>
      </c>
      <c r="AC1089" s="22" t="str">
        <f t="shared" si="351"/>
        <v/>
      </c>
      <c r="AD1089" s="22" t="str">
        <f t="shared" si="337"/>
        <v/>
      </c>
      <c r="AE1089" s="22" t="str">
        <f t="shared" si="352"/>
        <v/>
      </c>
      <c r="AF1089" s="22" t="str">
        <f t="shared" si="338"/>
        <v/>
      </c>
      <c r="AG1089" s="22" t="str">
        <f t="shared" si="339"/>
        <v/>
      </c>
      <c r="AH1089" s="22" t="str">
        <f t="shared" si="340"/>
        <v/>
      </c>
      <c r="AI1089" s="22" t="str">
        <f t="shared" si="341"/>
        <v/>
      </c>
      <c r="AJ1089" s="304" t="str">
        <f t="shared" si="342"/>
        <v/>
      </c>
      <c r="AK1089" s="140" t="str">
        <f t="shared" si="343"/>
        <v/>
      </c>
    </row>
    <row r="1090" spans="7:37" x14ac:dyDescent="0.25">
      <c r="G1090" s="235" t="str">
        <f t="shared" si="331"/>
        <v/>
      </c>
      <c r="H1090" s="4" t="str">
        <f t="shared" si="332"/>
        <v/>
      </c>
      <c r="I1090" s="11" t="str">
        <f t="shared" si="333"/>
        <v/>
      </c>
      <c r="K1090" s="30">
        <v>168</v>
      </c>
      <c r="L1090" s="29">
        <f t="shared" si="344"/>
        <v>11371.908376190921</v>
      </c>
      <c r="M1090" s="28" t="str">
        <f t="shared" si="334"/>
        <v/>
      </c>
      <c r="N1090" s="27" t="str">
        <f t="shared" si="345"/>
        <v/>
      </c>
      <c r="O1090" s="26" t="str">
        <f>IF(AND($Q1089=$O$38,IFERROR(LARGE($V$923:$V1089,1)&lt;$N$42,TRUE)),1,IF(AND(ISNUMBER($O1089),$O1089&lt;$N$32),$O1089+1,""))</f>
        <v/>
      </c>
      <c r="P1090" s="26" t="str">
        <f t="shared" si="346"/>
        <v/>
      </c>
      <c r="Q1090" s="26" t="str">
        <f t="shared" si="335"/>
        <v/>
      </c>
      <c r="R1090" s="24" t="str">
        <f t="shared" si="347"/>
        <v/>
      </c>
      <c r="S1090" s="180">
        <f t="shared" si="353"/>
        <v>8</v>
      </c>
      <c r="T1090" s="29">
        <f>SUM($AC$923:$AC1090)</f>
        <v>49500</v>
      </c>
      <c r="U1090" s="25" t="str">
        <f t="shared" si="336"/>
        <v/>
      </c>
      <c r="V1090" s="24" t="str">
        <f>IF(AND(ISNUMBER(R1089),ISNUMBER(R1090)),V1089,IF(AND(R1089="",ISNUMBER(R1090)),IFERROR(LARGE($V$923:$V1089,1)+1,0),""))</f>
        <v/>
      </c>
      <c r="W1090" s="23" t="str">
        <f t="shared" si="348"/>
        <v/>
      </c>
      <c r="X1090" s="22" t="str">
        <f t="shared" si="349"/>
        <v/>
      </c>
      <c r="Y1090" s="236"/>
      <c r="Z1090" s="22"/>
      <c r="AA1090" s="22"/>
      <c r="AB1090" s="22" t="str">
        <f t="shared" si="350"/>
        <v/>
      </c>
      <c r="AC1090" s="22" t="str">
        <f t="shared" si="351"/>
        <v/>
      </c>
      <c r="AD1090" s="22" t="str">
        <f t="shared" si="337"/>
        <v/>
      </c>
      <c r="AE1090" s="22" t="str">
        <f t="shared" si="352"/>
        <v/>
      </c>
      <c r="AF1090" s="22" t="str">
        <f t="shared" si="338"/>
        <v/>
      </c>
      <c r="AG1090" s="22" t="str">
        <f t="shared" si="339"/>
        <v/>
      </c>
      <c r="AH1090" s="22" t="str">
        <f t="shared" si="340"/>
        <v/>
      </c>
      <c r="AI1090" s="22" t="str">
        <f t="shared" si="341"/>
        <v/>
      </c>
      <c r="AJ1090" s="304" t="str">
        <f t="shared" si="342"/>
        <v/>
      </c>
      <c r="AK1090" s="140" t="str">
        <f t="shared" si="343"/>
        <v/>
      </c>
    </row>
    <row r="1091" spans="7:37" x14ac:dyDescent="0.25">
      <c r="G1091" s="235" t="str">
        <f t="shared" si="331"/>
        <v/>
      </c>
      <c r="H1091" s="4" t="str">
        <f t="shared" si="332"/>
        <v/>
      </c>
      <c r="I1091" s="11" t="str">
        <f t="shared" si="333"/>
        <v/>
      </c>
      <c r="K1091" s="30">
        <v>169</v>
      </c>
      <c r="L1091" s="29">
        <f t="shared" si="344"/>
        <v>11371.908376190921</v>
      </c>
      <c r="M1091" s="28" t="str">
        <f t="shared" si="334"/>
        <v/>
      </c>
      <c r="N1091" s="27" t="str">
        <f t="shared" si="345"/>
        <v/>
      </c>
      <c r="O1091" s="26" t="str">
        <f>IF(AND($Q1090=$O$38,IFERROR(LARGE($V$923:$V1090,1)&lt;$N$42,TRUE)),1,IF(AND(ISNUMBER($O1090),$O1090&lt;$N$32),$O1090+1,""))</f>
        <v/>
      </c>
      <c r="P1091" s="26" t="str">
        <f t="shared" si="346"/>
        <v/>
      </c>
      <c r="Q1091" s="26" t="str">
        <f t="shared" si="335"/>
        <v/>
      </c>
      <c r="R1091" s="24" t="str">
        <f t="shared" si="347"/>
        <v/>
      </c>
      <c r="S1091" s="180">
        <f t="shared" si="353"/>
        <v>8</v>
      </c>
      <c r="T1091" s="29">
        <f>SUM($AC$923:$AC1091)</f>
        <v>49500</v>
      </c>
      <c r="U1091" s="25" t="str">
        <f t="shared" si="336"/>
        <v/>
      </c>
      <c r="V1091" s="24" t="str">
        <f>IF(AND(ISNUMBER(R1090),ISNUMBER(R1091)),V1090,IF(AND(R1090="",ISNUMBER(R1091)),IFERROR(LARGE($V$923:$V1090,1)+1,0),""))</f>
        <v/>
      </c>
      <c r="W1091" s="23" t="str">
        <f t="shared" si="348"/>
        <v/>
      </c>
      <c r="X1091" s="22" t="str">
        <f t="shared" si="349"/>
        <v/>
      </c>
      <c r="Y1091" s="236"/>
      <c r="Z1091" s="22"/>
      <c r="AA1091" s="22"/>
      <c r="AB1091" s="22" t="str">
        <f t="shared" si="350"/>
        <v/>
      </c>
      <c r="AC1091" s="22" t="str">
        <f t="shared" si="351"/>
        <v/>
      </c>
      <c r="AD1091" s="22" t="str">
        <f t="shared" si="337"/>
        <v/>
      </c>
      <c r="AE1091" s="22" t="str">
        <f t="shared" si="352"/>
        <v/>
      </c>
      <c r="AF1091" s="22" t="str">
        <f t="shared" si="338"/>
        <v/>
      </c>
      <c r="AG1091" s="22" t="str">
        <f t="shared" si="339"/>
        <v/>
      </c>
      <c r="AH1091" s="22" t="str">
        <f t="shared" si="340"/>
        <v/>
      </c>
      <c r="AI1091" s="22" t="str">
        <f t="shared" si="341"/>
        <v/>
      </c>
      <c r="AJ1091" s="304" t="str">
        <f t="shared" si="342"/>
        <v/>
      </c>
      <c r="AK1091" s="140" t="str">
        <f t="shared" si="343"/>
        <v/>
      </c>
    </row>
    <row r="1092" spans="7:37" x14ac:dyDescent="0.25">
      <c r="G1092" s="235" t="str">
        <f t="shared" si="331"/>
        <v/>
      </c>
      <c r="H1092" s="4" t="str">
        <f t="shared" si="332"/>
        <v/>
      </c>
      <c r="I1092" s="11" t="str">
        <f t="shared" si="333"/>
        <v/>
      </c>
      <c r="K1092" s="30">
        <v>170</v>
      </c>
      <c r="L1092" s="29">
        <f t="shared" si="344"/>
        <v>11371.908376190921</v>
      </c>
      <c r="M1092" s="28" t="str">
        <f t="shared" si="334"/>
        <v/>
      </c>
      <c r="N1092" s="27" t="str">
        <f t="shared" si="345"/>
        <v/>
      </c>
      <c r="O1092" s="26" t="str">
        <f>IF(AND($Q1091=$O$38,IFERROR(LARGE($V$923:$V1091,1)&lt;$N$42,TRUE)),1,IF(AND(ISNUMBER($O1091),$O1091&lt;$N$32),$O1091+1,""))</f>
        <v/>
      </c>
      <c r="P1092" s="26" t="str">
        <f t="shared" si="346"/>
        <v/>
      </c>
      <c r="Q1092" s="26" t="str">
        <f t="shared" si="335"/>
        <v/>
      </c>
      <c r="R1092" s="24" t="str">
        <f t="shared" si="347"/>
        <v/>
      </c>
      <c r="S1092" s="180">
        <f t="shared" si="353"/>
        <v>8</v>
      </c>
      <c r="T1092" s="29">
        <f>SUM($AC$923:$AC1092)</f>
        <v>49500</v>
      </c>
      <c r="U1092" s="25" t="str">
        <f t="shared" si="336"/>
        <v/>
      </c>
      <c r="V1092" s="24" t="str">
        <f>IF(AND(ISNUMBER(R1091),ISNUMBER(R1092)),V1091,IF(AND(R1091="",ISNUMBER(R1092)),IFERROR(LARGE($V$923:$V1091,1)+1,0),""))</f>
        <v/>
      </c>
      <c r="W1092" s="23" t="str">
        <f t="shared" si="348"/>
        <v/>
      </c>
      <c r="X1092" s="22" t="str">
        <f t="shared" si="349"/>
        <v/>
      </c>
      <c r="Y1092" s="236"/>
      <c r="Z1092" s="22"/>
      <c r="AA1092" s="22"/>
      <c r="AB1092" s="22" t="str">
        <f t="shared" si="350"/>
        <v/>
      </c>
      <c r="AC1092" s="22" t="str">
        <f t="shared" si="351"/>
        <v/>
      </c>
      <c r="AD1092" s="22" t="str">
        <f t="shared" si="337"/>
        <v/>
      </c>
      <c r="AE1092" s="22" t="str">
        <f t="shared" si="352"/>
        <v/>
      </c>
      <c r="AF1092" s="22" t="str">
        <f t="shared" si="338"/>
        <v/>
      </c>
      <c r="AG1092" s="22" t="str">
        <f t="shared" si="339"/>
        <v/>
      </c>
      <c r="AH1092" s="22" t="str">
        <f t="shared" si="340"/>
        <v/>
      </c>
      <c r="AI1092" s="22" t="str">
        <f t="shared" si="341"/>
        <v/>
      </c>
      <c r="AJ1092" s="304" t="str">
        <f t="shared" si="342"/>
        <v/>
      </c>
      <c r="AK1092" s="140" t="str">
        <f t="shared" si="343"/>
        <v/>
      </c>
    </row>
    <row r="1093" spans="7:37" x14ac:dyDescent="0.25">
      <c r="G1093" s="235" t="str">
        <f t="shared" si="331"/>
        <v/>
      </c>
      <c r="H1093" s="4" t="str">
        <f t="shared" si="332"/>
        <v/>
      </c>
      <c r="I1093" s="11" t="str">
        <f t="shared" si="333"/>
        <v/>
      </c>
      <c r="K1093" s="30">
        <v>171</v>
      </c>
      <c r="L1093" s="29">
        <f t="shared" si="344"/>
        <v>11371.908376190921</v>
      </c>
      <c r="M1093" s="28" t="str">
        <f t="shared" si="334"/>
        <v/>
      </c>
      <c r="N1093" s="27" t="str">
        <f t="shared" si="345"/>
        <v/>
      </c>
      <c r="O1093" s="26" t="str">
        <f>IF(AND($Q1092=$O$38,IFERROR(LARGE($V$923:$V1092,1)&lt;$N$42,TRUE)),1,IF(AND(ISNUMBER($O1092),$O1092&lt;$N$32),$O1092+1,""))</f>
        <v/>
      </c>
      <c r="P1093" s="26" t="str">
        <f t="shared" si="346"/>
        <v/>
      </c>
      <c r="Q1093" s="26" t="str">
        <f t="shared" si="335"/>
        <v/>
      </c>
      <c r="R1093" s="24" t="str">
        <f t="shared" si="347"/>
        <v/>
      </c>
      <c r="S1093" s="180">
        <f t="shared" si="353"/>
        <v>8</v>
      </c>
      <c r="T1093" s="29">
        <f>SUM($AC$923:$AC1093)</f>
        <v>49500</v>
      </c>
      <c r="U1093" s="25" t="str">
        <f t="shared" si="336"/>
        <v/>
      </c>
      <c r="V1093" s="24" t="str">
        <f>IF(AND(ISNUMBER(R1092),ISNUMBER(R1093)),V1092,IF(AND(R1092="",ISNUMBER(R1093)),IFERROR(LARGE($V$923:$V1092,1)+1,0),""))</f>
        <v/>
      </c>
      <c r="W1093" s="23" t="str">
        <f t="shared" si="348"/>
        <v/>
      </c>
      <c r="X1093" s="22" t="str">
        <f t="shared" si="349"/>
        <v/>
      </c>
      <c r="Y1093" s="236"/>
      <c r="Z1093" s="22"/>
      <c r="AA1093" s="22"/>
      <c r="AB1093" s="22" t="str">
        <f t="shared" si="350"/>
        <v/>
      </c>
      <c r="AC1093" s="22" t="str">
        <f t="shared" si="351"/>
        <v/>
      </c>
      <c r="AD1093" s="22" t="str">
        <f t="shared" si="337"/>
        <v/>
      </c>
      <c r="AE1093" s="22" t="str">
        <f t="shared" si="352"/>
        <v/>
      </c>
      <c r="AF1093" s="22" t="str">
        <f t="shared" si="338"/>
        <v/>
      </c>
      <c r="AG1093" s="22" t="str">
        <f t="shared" si="339"/>
        <v/>
      </c>
      <c r="AH1093" s="22" t="str">
        <f t="shared" si="340"/>
        <v/>
      </c>
      <c r="AI1093" s="22" t="str">
        <f t="shared" si="341"/>
        <v/>
      </c>
      <c r="AJ1093" s="304" t="str">
        <f t="shared" si="342"/>
        <v/>
      </c>
      <c r="AK1093" s="140" t="str">
        <f t="shared" si="343"/>
        <v/>
      </c>
    </row>
    <row r="1094" spans="7:37" x14ac:dyDescent="0.25">
      <c r="G1094" s="235" t="str">
        <f t="shared" si="331"/>
        <v/>
      </c>
      <c r="H1094" s="4" t="str">
        <f t="shared" si="332"/>
        <v/>
      </c>
      <c r="I1094" s="11" t="str">
        <f t="shared" si="333"/>
        <v/>
      </c>
      <c r="K1094" s="30">
        <v>172</v>
      </c>
      <c r="L1094" s="29">
        <f t="shared" si="344"/>
        <v>11371.908376190921</v>
      </c>
      <c r="M1094" s="28" t="str">
        <f t="shared" si="334"/>
        <v/>
      </c>
      <c r="N1094" s="27" t="str">
        <f t="shared" si="345"/>
        <v/>
      </c>
      <c r="O1094" s="26" t="str">
        <f>IF(AND($Q1093=$O$38,IFERROR(LARGE($V$923:$V1093,1)&lt;$N$42,TRUE)),1,IF(AND(ISNUMBER($O1093),$O1093&lt;$N$32),$O1093+1,""))</f>
        <v/>
      </c>
      <c r="P1094" s="26" t="str">
        <f t="shared" si="346"/>
        <v/>
      </c>
      <c r="Q1094" s="26" t="str">
        <f t="shared" si="335"/>
        <v/>
      </c>
      <c r="R1094" s="24" t="str">
        <f t="shared" si="347"/>
        <v/>
      </c>
      <c r="S1094" s="180">
        <f t="shared" si="353"/>
        <v>8</v>
      </c>
      <c r="T1094" s="29">
        <f>SUM($AC$923:$AC1094)</f>
        <v>49500</v>
      </c>
      <c r="U1094" s="25" t="str">
        <f t="shared" si="336"/>
        <v/>
      </c>
      <c r="V1094" s="24" t="str">
        <f>IF(AND(ISNUMBER(R1093),ISNUMBER(R1094)),V1093,IF(AND(R1093="",ISNUMBER(R1094)),IFERROR(LARGE($V$923:$V1093,1)+1,0),""))</f>
        <v/>
      </c>
      <c r="W1094" s="23" t="str">
        <f t="shared" si="348"/>
        <v/>
      </c>
      <c r="X1094" s="22" t="str">
        <f t="shared" si="349"/>
        <v/>
      </c>
      <c r="Y1094" s="236"/>
      <c r="Z1094" s="22"/>
      <c r="AA1094" s="22"/>
      <c r="AB1094" s="22" t="str">
        <f t="shared" si="350"/>
        <v/>
      </c>
      <c r="AC1094" s="22" t="str">
        <f t="shared" si="351"/>
        <v/>
      </c>
      <c r="AD1094" s="22" t="str">
        <f t="shared" si="337"/>
        <v/>
      </c>
      <c r="AE1094" s="22" t="str">
        <f t="shared" si="352"/>
        <v/>
      </c>
      <c r="AF1094" s="22" t="str">
        <f t="shared" si="338"/>
        <v/>
      </c>
      <c r="AG1094" s="22" t="str">
        <f t="shared" si="339"/>
        <v/>
      </c>
      <c r="AH1094" s="22" t="str">
        <f t="shared" si="340"/>
        <v/>
      </c>
      <c r="AI1094" s="22" t="str">
        <f t="shared" si="341"/>
        <v/>
      </c>
      <c r="AJ1094" s="304" t="str">
        <f t="shared" si="342"/>
        <v/>
      </c>
      <c r="AK1094" s="140" t="str">
        <f t="shared" si="343"/>
        <v/>
      </c>
    </row>
    <row r="1095" spans="7:37" x14ac:dyDescent="0.25">
      <c r="G1095" s="235" t="str">
        <f t="shared" si="331"/>
        <v/>
      </c>
      <c r="H1095" s="4" t="str">
        <f t="shared" si="332"/>
        <v/>
      </c>
      <c r="I1095" s="11" t="str">
        <f t="shared" si="333"/>
        <v/>
      </c>
      <c r="K1095" s="30">
        <v>173</v>
      </c>
      <c r="L1095" s="29">
        <f t="shared" si="344"/>
        <v>11371.908376190921</v>
      </c>
      <c r="M1095" s="28" t="str">
        <f t="shared" si="334"/>
        <v/>
      </c>
      <c r="N1095" s="27" t="str">
        <f t="shared" si="345"/>
        <v/>
      </c>
      <c r="O1095" s="26" t="str">
        <f>IF(AND($Q1094=$O$38,IFERROR(LARGE($V$923:$V1094,1)&lt;$N$42,TRUE)),1,IF(AND(ISNUMBER($O1094),$O1094&lt;$N$32),$O1094+1,""))</f>
        <v/>
      </c>
      <c r="P1095" s="26" t="str">
        <f t="shared" si="346"/>
        <v/>
      </c>
      <c r="Q1095" s="26" t="str">
        <f t="shared" si="335"/>
        <v/>
      </c>
      <c r="R1095" s="24" t="str">
        <f t="shared" si="347"/>
        <v/>
      </c>
      <c r="S1095" s="180">
        <f t="shared" si="353"/>
        <v>8</v>
      </c>
      <c r="T1095" s="29">
        <f>SUM($AC$923:$AC1095)</f>
        <v>49500</v>
      </c>
      <c r="U1095" s="25" t="str">
        <f t="shared" si="336"/>
        <v/>
      </c>
      <c r="V1095" s="24" t="str">
        <f>IF(AND(ISNUMBER(R1094),ISNUMBER(R1095)),V1094,IF(AND(R1094="",ISNUMBER(R1095)),IFERROR(LARGE($V$923:$V1094,1)+1,0),""))</f>
        <v/>
      </c>
      <c r="W1095" s="23" t="str">
        <f t="shared" si="348"/>
        <v/>
      </c>
      <c r="X1095" s="22" t="str">
        <f t="shared" si="349"/>
        <v/>
      </c>
      <c r="Y1095" s="236"/>
      <c r="Z1095" s="22"/>
      <c r="AA1095" s="22"/>
      <c r="AB1095" s="22" t="str">
        <f t="shared" si="350"/>
        <v/>
      </c>
      <c r="AC1095" s="22" t="str">
        <f t="shared" si="351"/>
        <v/>
      </c>
      <c r="AD1095" s="22" t="str">
        <f t="shared" si="337"/>
        <v/>
      </c>
      <c r="AE1095" s="22" t="str">
        <f t="shared" si="352"/>
        <v/>
      </c>
      <c r="AF1095" s="22" t="str">
        <f t="shared" si="338"/>
        <v/>
      </c>
      <c r="AG1095" s="22" t="str">
        <f t="shared" si="339"/>
        <v/>
      </c>
      <c r="AH1095" s="22" t="str">
        <f t="shared" si="340"/>
        <v/>
      </c>
      <c r="AI1095" s="22" t="str">
        <f t="shared" si="341"/>
        <v/>
      </c>
      <c r="AJ1095" s="304" t="str">
        <f t="shared" si="342"/>
        <v/>
      </c>
      <c r="AK1095" s="140" t="str">
        <f t="shared" si="343"/>
        <v/>
      </c>
    </row>
    <row r="1096" spans="7:37" x14ac:dyDescent="0.25">
      <c r="G1096" s="235" t="str">
        <f t="shared" si="331"/>
        <v/>
      </c>
      <c r="H1096" s="4" t="str">
        <f t="shared" si="332"/>
        <v/>
      </c>
      <c r="I1096" s="11" t="str">
        <f t="shared" si="333"/>
        <v/>
      </c>
      <c r="K1096" s="30">
        <v>174</v>
      </c>
      <c r="L1096" s="29">
        <f t="shared" si="344"/>
        <v>11371.908376190921</v>
      </c>
      <c r="M1096" s="28" t="str">
        <f t="shared" si="334"/>
        <v/>
      </c>
      <c r="N1096" s="27" t="str">
        <f t="shared" si="345"/>
        <v/>
      </c>
      <c r="O1096" s="26" t="str">
        <f>IF(AND($Q1095=$O$38,IFERROR(LARGE($V$923:$V1095,1)&lt;$N$42,TRUE)),1,IF(AND(ISNUMBER($O1095),$O1095&lt;$N$32),$O1095+1,""))</f>
        <v/>
      </c>
      <c r="P1096" s="26" t="str">
        <f t="shared" si="346"/>
        <v/>
      </c>
      <c r="Q1096" s="26" t="str">
        <f t="shared" si="335"/>
        <v/>
      </c>
      <c r="R1096" s="24" t="str">
        <f t="shared" si="347"/>
        <v/>
      </c>
      <c r="S1096" s="180">
        <f t="shared" si="353"/>
        <v>8</v>
      </c>
      <c r="T1096" s="29">
        <f>SUM($AC$923:$AC1096)</f>
        <v>49500</v>
      </c>
      <c r="U1096" s="25" t="str">
        <f t="shared" si="336"/>
        <v/>
      </c>
      <c r="V1096" s="24" t="str">
        <f>IF(AND(ISNUMBER(R1095),ISNUMBER(R1096)),V1095,IF(AND(R1095="",ISNUMBER(R1096)),IFERROR(LARGE($V$923:$V1095,1)+1,0),""))</f>
        <v/>
      </c>
      <c r="W1096" s="23" t="str">
        <f t="shared" si="348"/>
        <v/>
      </c>
      <c r="X1096" s="22" t="str">
        <f t="shared" si="349"/>
        <v/>
      </c>
      <c r="Y1096" s="236"/>
      <c r="Z1096" s="22"/>
      <c r="AA1096" s="22"/>
      <c r="AB1096" s="22" t="str">
        <f t="shared" si="350"/>
        <v/>
      </c>
      <c r="AC1096" s="22" t="str">
        <f t="shared" si="351"/>
        <v/>
      </c>
      <c r="AD1096" s="22" t="str">
        <f t="shared" si="337"/>
        <v/>
      </c>
      <c r="AE1096" s="22" t="str">
        <f t="shared" si="352"/>
        <v/>
      </c>
      <c r="AF1096" s="22" t="str">
        <f t="shared" si="338"/>
        <v/>
      </c>
      <c r="AG1096" s="22" t="str">
        <f t="shared" si="339"/>
        <v/>
      </c>
      <c r="AH1096" s="22" t="str">
        <f t="shared" si="340"/>
        <v/>
      </c>
      <c r="AI1096" s="22" t="str">
        <f t="shared" si="341"/>
        <v/>
      </c>
      <c r="AJ1096" s="304" t="str">
        <f t="shared" si="342"/>
        <v/>
      </c>
      <c r="AK1096" s="140" t="str">
        <f t="shared" si="343"/>
        <v/>
      </c>
    </row>
    <row r="1097" spans="7:37" x14ac:dyDescent="0.25">
      <c r="G1097" s="235" t="str">
        <f t="shared" si="331"/>
        <v/>
      </c>
      <c r="H1097" s="4" t="str">
        <f t="shared" si="332"/>
        <v/>
      </c>
      <c r="I1097" s="11" t="str">
        <f t="shared" si="333"/>
        <v/>
      </c>
      <c r="K1097" s="30">
        <v>175</v>
      </c>
      <c r="L1097" s="29">
        <f t="shared" si="344"/>
        <v>11371.908376190921</v>
      </c>
      <c r="M1097" s="28" t="str">
        <f t="shared" si="334"/>
        <v/>
      </c>
      <c r="N1097" s="27" t="str">
        <f t="shared" si="345"/>
        <v/>
      </c>
      <c r="O1097" s="26" t="str">
        <f>IF(AND($Q1096=$O$38,IFERROR(LARGE($V$923:$V1096,1)&lt;$N$42,TRUE)),1,IF(AND(ISNUMBER($O1096),$O1096&lt;$N$32),$O1096+1,""))</f>
        <v/>
      </c>
      <c r="P1097" s="26" t="str">
        <f t="shared" si="346"/>
        <v/>
      </c>
      <c r="Q1097" s="26" t="str">
        <f t="shared" si="335"/>
        <v/>
      </c>
      <c r="R1097" s="24" t="str">
        <f t="shared" si="347"/>
        <v/>
      </c>
      <c r="S1097" s="180">
        <f t="shared" si="353"/>
        <v>8</v>
      </c>
      <c r="T1097" s="29">
        <f>SUM($AC$923:$AC1097)</f>
        <v>49500</v>
      </c>
      <c r="U1097" s="25" t="str">
        <f t="shared" si="336"/>
        <v/>
      </c>
      <c r="V1097" s="24" t="str">
        <f>IF(AND(ISNUMBER(R1096),ISNUMBER(R1097)),V1096,IF(AND(R1096="",ISNUMBER(R1097)),IFERROR(LARGE($V$923:$V1096,1)+1,0),""))</f>
        <v/>
      </c>
      <c r="W1097" s="23" t="str">
        <f t="shared" si="348"/>
        <v/>
      </c>
      <c r="X1097" s="22" t="str">
        <f t="shared" si="349"/>
        <v/>
      </c>
      <c r="Y1097" s="236"/>
      <c r="Z1097" s="22"/>
      <c r="AA1097" s="22"/>
      <c r="AB1097" s="22" t="str">
        <f t="shared" si="350"/>
        <v/>
      </c>
      <c r="AC1097" s="22" t="str">
        <f t="shared" si="351"/>
        <v/>
      </c>
      <c r="AD1097" s="22" t="str">
        <f t="shared" si="337"/>
        <v/>
      </c>
      <c r="AE1097" s="22" t="str">
        <f t="shared" si="352"/>
        <v/>
      </c>
      <c r="AF1097" s="22" t="str">
        <f t="shared" si="338"/>
        <v/>
      </c>
      <c r="AG1097" s="22" t="str">
        <f t="shared" si="339"/>
        <v/>
      </c>
      <c r="AH1097" s="22" t="str">
        <f t="shared" si="340"/>
        <v/>
      </c>
      <c r="AI1097" s="22" t="str">
        <f t="shared" si="341"/>
        <v/>
      </c>
      <c r="AJ1097" s="304" t="str">
        <f t="shared" si="342"/>
        <v/>
      </c>
      <c r="AK1097" s="140" t="str">
        <f t="shared" si="343"/>
        <v/>
      </c>
    </row>
    <row r="1098" spans="7:37" x14ac:dyDescent="0.25">
      <c r="G1098" s="235" t="str">
        <f t="shared" si="331"/>
        <v/>
      </c>
      <c r="H1098" s="4" t="str">
        <f t="shared" si="332"/>
        <v/>
      </c>
      <c r="I1098" s="11" t="str">
        <f t="shared" si="333"/>
        <v/>
      </c>
      <c r="K1098" s="30">
        <v>176</v>
      </c>
      <c r="L1098" s="29">
        <f t="shared" si="344"/>
        <v>11371.908376190921</v>
      </c>
      <c r="M1098" s="28" t="str">
        <f t="shared" si="334"/>
        <v/>
      </c>
      <c r="N1098" s="27" t="str">
        <f t="shared" si="345"/>
        <v/>
      </c>
      <c r="O1098" s="26" t="str">
        <f>IF(AND($Q1097=$O$38,IFERROR(LARGE($V$923:$V1097,1)&lt;$N$42,TRUE)),1,IF(AND(ISNUMBER($O1097),$O1097&lt;$N$32),$O1097+1,""))</f>
        <v/>
      </c>
      <c r="P1098" s="26" t="str">
        <f t="shared" si="346"/>
        <v/>
      </c>
      <c r="Q1098" s="26" t="str">
        <f t="shared" si="335"/>
        <v/>
      </c>
      <c r="R1098" s="24" t="str">
        <f t="shared" si="347"/>
        <v/>
      </c>
      <c r="S1098" s="180">
        <f t="shared" si="353"/>
        <v>8</v>
      </c>
      <c r="T1098" s="29">
        <f>SUM($AC$923:$AC1098)</f>
        <v>49500</v>
      </c>
      <c r="U1098" s="25" t="str">
        <f t="shared" si="336"/>
        <v/>
      </c>
      <c r="V1098" s="24" t="str">
        <f>IF(AND(ISNUMBER(R1097),ISNUMBER(R1098)),V1097,IF(AND(R1097="",ISNUMBER(R1098)),IFERROR(LARGE($V$923:$V1097,1)+1,0),""))</f>
        <v/>
      </c>
      <c r="W1098" s="23" t="str">
        <f t="shared" si="348"/>
        <v/>
      </c>
      <c r="X1098" s="22" t="str">
        <f t="shared" si="349"/>
        <v/>
      </c>
      <c r="Y1098" s="236"/>
      <c r="Z1098" s="22"/>
      <c r="AA1098" s="22"/>
      <c r="AB1098" s="22" t="str">
        <f t="shared" si="350"/>
        <v/>
      </c>
      <c r="AC1098" s="22" t="str">
        <f t="shared" si="351"/>
        <v/>
      </c>
      <c r="AD1098" s="22" t="str">
        <f t="shared" si="337"/>
        <v/>
      </c>
      <c r="AE1098" s="22" t="str">
        <f t="shared" si="352"/>
        <v/>
      </c>
      <c r="AF1098" s="22" t="str">
        <f t="shared" si="338"/>
        <v/>
      </c>
      <c r="AG1098" s="22" t="str">
        <f t="shared" si="339"/>
        <v/>
      </c>
      <c r="AH1098" s="22" t="str">
        <f t="shared" si="340"/>
        <v/>
      </c>
      <c r="AI1098" s="22" t="str">
        <f t="shared" si="341"/>
        <v/>
      </c>
      <c r="AJ1098" s="304" t="str">
        <f t="shared" si="342"/>
        <v/>
      </c>
      <c r="AK1098" s="140" t="str">
        <f t="shared" si="343"/>
        <v/>
      </c>
    </row>
    <row r="1099" spans="7:37" x14ac:dyDescent="0.25">
      <c r="G1099" s="235" t="str">
        <f t="shared" si="331"/>
        <v/>
      </c>
      <c r="H1099" s="4" t="str">
        <f t="shared" si="332"/>
        <v/>
      </c>
      <c r="I1099" s="11" t="str">
        <f t="shared" si="333"/>
        <v/>
      </c>
      <c r="K1099" s="30">
        <v>177</v>
      </c>
      <c r="L1099" s="29">
        <f t="shared" si="344"/>
        <v>11371.908376190921</v>
      </c>
      <c r="M1099" s="28" t="str">
        <f t="shared" si="334"/>
        <v/>
      </c>
      <c r="N1099" s="27" t="str">
        <f t="shared" si="345"/>
        <v/>
      </c>
      <c r="O1099" s="26" t="str">
        <f>IF(AND($Q1098=$O$38,IFERROR(LARGE($V$923:$V1098,1)&lt;$N$42,TRUE)),1,IF(AND(ISNUMBER($O1098),$O1098&lt;$N$32),$O1098+1,""))</f>
        <v/>
      </c>
      <c r="P1099" s="26" t="str">
        <f t="shared" si="346"/>
        <v/>
      </c>
      <c r="Q1099" s="26" t="str">
        <f t="shared" si="335"/>
        <v/>
      </c>
      <c r="R1099" s="24" t="str">
        <f t="shared" si="347"/>
        <v/>
      </c>
      <c r="S1099" s="180">
        <f t="shared" si="353"/>
        <v>8</v>
      </c>
      <c r="T1099" s="29">
        <f>SUM($AC$923:$AC1099)</f>
        <v>49500</v>
      </c>
      <c r="U1099" s="25" t="str">
        <f t="shared" si="336"/>
        <v/>
      </c>
      <c r="V1099" s="24" t="str">
        <f>IF(AND(ISNUMBER(R1098),ISNUMBER(R1099)),V1098,IF(AND(R1098="",ISNUMBER(R1099)),IFERROR(LARGE($V$923:$V1098,1)+1,0),""))</f>
        <v/>
      </c>
      <c r="W1099" s="23" t="str">
        <f t="shared" si="348"/>
        <v/>
      </c>
      <c r="X1099" s="22" t="str">
        <f t="shared" si="349"/>
        <v/>
      </c>
      <c r="Y1099" s="236"/>
      <c r="Z1099" s="22"/>
      <c r="AA1099" s="22"/>
      <c r="AB1099" s="22" t="str">
        <f t="shared" si="350"/>
        <v/>
      </c>
      <c r="AC1099" s="22" t="str">
        <f t="shared" si="351"/>
        <v/>
      </c>
      <c r="AD1099" s="22" t="str">
        <f t="shared" si="337"/>
        <v/>
      </c>
      <c r="AE1099" s="22" t="str">
        <f t="shared" si="352"/>
        <v/>
      </c>
      <c r="AF1099" s="22" t="str">
        <f t="shared" si="338"/>
        <v/>
      </c>
      <c r="AG1099" s="22" t="str">
        <f t="shared" si="339"/>
        <v/>
      </c>
      <c r="AH1099" s="22" t="str">
        <f t="shared" si="340"/>
        <v/>
      </c>
      <c r="AI1099" s="22" t="str">
        <f t="shared" si="341"/>
        <v/>
      </c>
      <c r="AJ1099" s="304" t="str">
        <f t="shared" si="342"/>
        <v/>
      </c>
      <c r="AK1099" s="140" t="str">
        <f t="shared" si="343"/>
        <v/>
      </c>
    </row>
    <row r="1100" spans="7:37" x14ac:dyDescent="0.25">
      <c r="G1100" s="235" t="str">
        <f t="shared" si="331"/>
        <v/>
      </c>
      <c r="H1100" s="4" t="str">
        <f t="shared" si="332"/>
        <v/>
      </c>
      <c r="I1100" s="11" t="str">
        <f t="shared" si="333"/>
        <v/>
      </c>
      <c r="K1100" s="30">
        <v>178</v>
      </c>
      <c r="L1100" s="29">
        <f t="shared" si="344"/>
        <v>11371.908376190921</v>
      </c>
      <c r="M1100" s="28" t="str">
        <f t="shared" si="334"/>
        <v/>
      </c>
      <c r="N1100" s="27" t="str">
        <f t="shared" si="345"/>
        <v/>
      </c>
      <c r="O1100" s="26" t="str">
        <f>IF(AND($Q1099=$O$38,IFERROR(LARGE($V$923:$V1099,1)&lt;$N$42,TRUE)),1,IF(AND(ISNUMBER($O1099),$O1099&lt;$N$32),$O1099+1,""))</f>
        <v/>
      </c>
      <c r="P1100" s="26" t="str">
        <f t="shared" si="346"/>
        <v/>
      </c>
      <c r="Q1100" s="26" t="str">
        <f t="shared" si="335"/>
        <v/>
      </c>
      <c r="R1100" s="24" t="str">
        <f t="shared" si="347"/>
        <v/>
      </c>
      <c r="S1100" s="180">
        <f t="shared" si="353"/>
        <v>8</v>
      </c>
      <c r="T1100" s="29">
        <f>SUM($AC$923:$AC1100)</f>
        <v>49500</v>
      </c>
      <c r="U1100" s="25" t="str">
        <f t="shared" si="336"/>
        <v/>
      </c>
      <c r="V1100" s="24" t="str">
        <f>IF(AND(ISNUMBER(R1099),ISNUMBER(R1100)),V1099,IF(AND(R1099="",ISNUMBER(R1100)),IFERROR(LARGE($V$923:$V1099,1)+1,0),""))</f>
        <v/>
      </c>
      <c r="W1100" s="23" t="str">
        <f t="shared" si="348"/>
        <v/>
      </c>
      <c r="X1100" s="22" t="str">
        <f t="shared" si="349"/>
        <v/>
      </c>
      <c r="Y1100" s="236"/>
      <c r="Z1100" s="22"/>
      <c r="AA1100" s="22"/>
      <c r="AB1100" s="22" t="str">
        <f t="shared" si="350"/>
        <v/>
      </c>
      <c r="AC1100" s="22" t="str">
        <f t="shared" si="351"/>
        <v/>
      </c>
      <c r="AD1100" s="22" t="str">
        <f t="shared" si="337"/>
        <v/>
      </c>
      <c r="AE1100" s="22" t="str">
        <f t="shared" si="352"/>
        <v/>
      </c>
      <c r="AF1100" s="22" t="str">
        <f t="shared" si="338"/>
        <v/>
      </c>
      <c r="AG1100" s="22" t="str">
        <f t="shared" si="339"/>
        <v/>
      </c>
      <c r="AH1100" s="22" t="str">
        <f t="shared" si="340"/>
        <v/>
      </c>
      <c r="AI1100" s="22" t="str">
        <f t="shared" si="341"/>
        <v/>
      </c>
      <c r="AJ1100" s="304" t="str">
        <f t="shared" si="342"/>
        <v/>
      </c>
      <c r="AK1100" s="140" t="str">
        <f t="shared" si="343"/>
        <v/>
      </c>
    </row>
    <row r="1101" spans="7:37" x14ac:dyDescent="0.25">
      <c r="G1101" s="235" t="str">
        <f t="shared" si="331"/>
        <v/>
      </c>
      <c r="H1101" s="4" t="str">
        <f t="shared" si="332"/>
        <v/>
      </c>
      <c r="I1101" s="11" t="str">
        <f t="shared" si="333"/>
        <v/>
      </c>
      <c r="K1101" s="30">
        <v>179</v>
      </c>
      <c r="L1101" s="29">
        <f t="shared" si="344"/>
        <v>11371.908376190921</v>
      </c>
      <c r="M1101" s="28" t="str">
        <f t="shared" si="334"/>
        <v/>
      </c>
      <c r="N1101" s="27" t="str">
        <f t="shared" si="345"/>
        <v/>
      </c>
      <c r="O1101" s="26" t="str">
        <f>IF(AND($Q1100=$O$38,IFERROR(LARGE($V$923:$V1100,1)&lt;$N$42,TRUE)),1,IF(AND(ISNUMBER($O1100),$O1100&lt;$N$32),$O1100+1,""))</f>
        <v/>
      </c>
      <c r="P1101" s="26" t="str">
        <f t="shared" si="346"/>
        <v/>
      </c>
      <c r="Q1101" s="26" t="str">
        <f t="shared" si="335"/>
        <v/>
      </c>
      <c r="R1101" s="24" t="str">
        <f t="shared" si="347"/>
        <v/>
      </c>
      <c r="S1101" s="180">
        <f t="shared" si="353"/>
        <v>8</v>
      </c>
      <c r="T1101" s="29">
        <f>SUM($AC$923:$AC1101)</f>
        <v>49500</v>
      </c>
      <c r="U1101" s="25" t="str">
        <f t="shared" si="336"/>
        <v/>
      </c>
      <c r="V1101" s="24" t="str">
        <f>IF(AND(ISNUMBER(R1100),ISNUMBER(R1101)),V1100,IF(AND(R1100="",ISNUMBER(R1101)),IFERROR(LARGE($V$923:$V1100,1)+1,0),""))</f>
        <v/>
      </c>
      <c r="W1101" s="23" t="str">
        <f t="shared" si="348"/>
        <v/>
      </c>
      <c r="X1101" s="22" t="str">
        <f t="shared" si="349"/>
        <v/>
      </c>
      <c r="Y1101" s="236"/>
      <c r="Z1101" s="22"/>
      <c r="AA1101" s="22"/>
      <c r="AB1101" s="22" t="str">
        <f t="shared" si="350"/>
        <v/>
      </c>
      <c r="AC1101" s="22" t="str">
        <f t="shared" si="351"/>
        <v/>
      </c>
      <c r="AD1101" s="22" t="str">
        <f t="shared" si="337"/>
        <v/>
      </c>
      <c r="AE1101" s="22" t="str">
        <f t="shared" si="352"/>
        <v/>
      </c>
      <c r="AF1101" s="22" t="str">
        <f t="shared" si="338"/>
        <v/>
      </c>
      <c r="AG1101" s="22" t="str">
        <f t="shared" si="339"/>
        <v/>
      </c>
      <c r="AH1101" s="22" t="str">
        <f t="shared" si="340"/>
        <v/>
      </c>
      <c r="AI1101" s="22" t="str">
        <f t="shared" si="341"/>
        <v/>
      </c>
      <c r="AJ1101" s="304" t="str">
        <f t="shared" si="342"/>
        <v/>
      </c>
      <c r="AK1101" s="140" t="str">
        <f t="shared" si="343"/>
        <v/>
      </c>
    </row>
    <row r="1102" spans="7:37" x14ac:dyDescent="0.25">
      <c r="G1102" s="235" t="str">
        <f t="shared" si="331"/>
        <v/>
      </c>
      <c r="H1102" s="4" t="str">
        <f t="shared" si="332"/>
        <v/>
      </c>
      <c r="I1102" s="11" t="str">
        <f t="shared" si="333"/>
        <v/>
      </c>
      <c r="K1102" s="30">
        <v>180</v>
      </c>
      <c r="L1102" s="29">
        <f t="shared" si="344"/>
        <v>11371.908376190921</v>
      </c>
      <c r="M1102" s="28" t="str">
        <f t="shared" si="334"/>
        <v/>
      </c>
      <c r="N1102" s="27" t="str">
        <f t="shared" si="345"/>
        <v/>
      </c>
      <c r="O1102" s="26" t="str">
        <f>IF(AND($Q1101=$O$38,IFERROR(LARGE($V$923:$V1101,1)&lt;$N$42,TRUE)),1,IF(AND(ISNUMBER($O1101),$O1101&lt;$N$32),$O1101+1,""))</f>
        <v/>
      </c>
      <c r="P1102" s="26" t="str">
        <f t="shared" si="346"/>
        <v/>
      </c>
      <c r="Q1102" s="26" t="str">
        <f t="shared" si="335"/>
        <v/>
      </c>
      <c r="R1102" s="24" t="str">
        <f t="shared" si="347"/>
        <v/>
      </c>
      <c r="S1102" s="180">
        <f t="shared" si="353"/>
        <v>8</v>
      </c>
      <c r="T1102" s="29">
        <f>SUM($AC$923:$AC1102)</f>
        <v>49500</v>
      </c>
      <c r="U1102" s="25" t="str">
        <f t="shared" si="336"/>
        <v/>
      </c>
      <c r="V1102" s="24" t="str">
        <f>IF(AND(ISNUMBER(R1101),ISNUMBER(R1102)),V1101,IF(AND(R1101="",ISNUMBER(R1102)),IFERROR(LARGE($V$923:$V1101,1)+1,0),""))</f>
        <v/>
      </c>
      <c r="W1102" s="23" t="str">
        <f t="shared" si="348"/>
        <v/>
      </c>
      <c r="X1102" s="22" t="str">
        <f t="shared" si="349"/>
        <v/>
      </c>
      <c r="Y1102" s="236"/>
      <c r="Z1102" s="22"/>
      <c r="AA1102" s="22"/>
      <c r="AB1102" s="22" t="str">
        <f t="shared" si="350"/>
        <v/>
      </c>
      <c r="AC1102" s="22" t="str">
        <f t="shared" si="351"/>
        <v/>
      </c>
      <c r="AD1102" s="22" t="str">
        <f t="shared" si="337"/>
        <v/>
      </c>
      <c r="AE1102" s="22" t="str">
        <f t="shared" si="352"/>
        <v/>
      </c>
      <c r="AF1102" s="22" t="str">
        <f t="shared" si="338"/>
        <v/>
      </c>
      <c r="AG1102" s="22" t="str">
        <f t="shared" si="339"/>
        <v/>
      </c>
      <c r="AH1102" s="22" t="str">
        <f t="shared" si="340"/>
        <v/>
      </c>
      <c r="AI1102" s="22" t="str">
        <f t="shared" si="341"/>
        <v/>
      </c>
      <c r="AJ1102" s="304" t="str">
        <f t="shared" si="342"/>
        <v/>
      </c>
      <c r="AK1102" s="140" t="str">
        <f t="shared" si="343"/>
        <v/>
      </c>
    </row>
    <row r="1103" spans="7:37" x14ac:dyDescent="0.25">
      <c r="G1103" s="235" t="str">
        <f t="shared" si="331"/>
        <v/>
      </c>
      <c r="H1103" s="4" t="str">
        <f t="shared" si="332"/>
        <v/>
      </c>
      <c r="I1103" s="11" t="str">
        <f t="shared" si="333"/>
        <v/>
      </c>
      <c r="K1103" s="30">
        <v>181</v>
      </c>
      <c r="L1103" s="29">
        <f t="shared" si="344"/>
        <v>11371.908376190921</v>
      </c>
      <c r="M1103" s="28" t="str">
        <f t="shared" si="334"/>
        <v/>
      </c>
      <c r="N1103" s="27" t="str">
        <f t="shared" si="345"/>
        <v/>
      </c>
      <c r="O1103" s="26" t="str">
        <f>IF(AND($Q1102=$O$38,IFERROR(LARGE($V$923:$V1102,1)&lt;$N$42,TRUE)),1,IF(AND(ISNUMBER($O1102),$O1102&lt;$N$32),$O1102+1,""))</f>
        <v/>
      </c>
      <c r="P1103" s="26" t="str">
        <f t="shared" si="346"/>
        <v/>
      </c>
      <c r="Q1103" s="26" t="str">
        <f t="shared" si="335"/>
        <v/>
      </c>
      <c r="R1103" s="24" t="str">
        <f t="shared" si="347"/>
        <v/>
      </c>
      <c r="S1103" s="180">
        <f t="shared" si="353"/>
        <v>8</v>
      </c>
      <c r="T1103" s="29">
        <f>SUM($AC$923:$AC1103)</f>
        <v>49500</v>
      </c>
      <c r="U1103" s="25" t="str">
        <f t="shared" si="336"/>
        <v/>
      </c>
      <c r="V1103" s="24" t="str">
        <f>IF(AND(ISNUMBER(R1102),ISNUMBER(R1103)),V1102,IF(AND(R1102="",ISNUMBER(R1103)),IFERROR(LARGE($V$923:$V1102,1)+1,0),""))</f>
        <v/>
      </c>
      <c r="W1103" s="23" t="str">
        <f t="shared" si="348"/>
        <v/>
      </c>
      <c r="X1103" s="22" t="str">
        <f t="shared" si="349"/>
        <v/>
      </c>
      <c r="Y1103" s="236"/>
      <c r="Z1103" s="22"/>
      <c r="AA1103" s="22"/>
      <c r="AB1103" s="22" t="str">
        <f t="shared" si="350"/>
        <v/>
      </c>
      <c r="AC1103" s="22" t="str">
        <f t="shared" si="351"/>
        <v/>
      </c>
      <c r="AD1103" s="22" t="str">
        <f t="shared" si="337"/>
        <v/>
      </c>
      <c r="AE1103" s="22" t="str">
        <f t="shared" si="352"/>
        <v/>
      </c>
      <c r="AF1103" s="22" t="str">
        <f t="shared" si="338"/>
        <v/>
      </c>
      <c r="AG1103" s="22" t="str">
        <f t="shared" si="339"/>
        <v/>
      </c>
      <c r="AH1103" s="22" t="str">
        <f t="shared" si="340"/>
        <v/>
      </c>
      <c r="AI1103" s="22" t="str">
        <f t="shared" si="341"/>
        <v/>
      </c>
      <c r="AJ1103" s="304" t="str">
        <f t="shared" si="342"/>
        <v/>
      </c>
      <c r="AK1103" s="140" t="str">
        <f t="shared" si="343"/>
        <v/>
      </c>
    </row>
    <row r="1104" spans="7:37" x14ac:dyDescent="0.25">
      <c r="G1104" s="235" t="str">
        <f t="shared" si="331"/>
        <v/>
      </c>
      <c r="H1104" s="4" t="str">
        <f t="shared" si="332"/>
        <v/>
      </c>
      <c r="I1104" s="11" t="str">
        <f t="shared" si="333"/>
        <v/>
      </c>
      <c r="K1104" s="30">
        <v>182</v>
      </c>
      <c r="L1104" s="29">
        <f t="shared" si="344"/>
        <v>11371.908376190921</v>
      </c>
      <c r="M1104" s="28" t="str">
        <f t="shared" si="334"/>
        <v/>
      </c>
      <c r="N1104" s="27" t="str">
        <f t="shared" si="345"/>
        <v/>
      </c>
      <c r="O1104" s="26" t="str">
        <f>IF(AND($Q1103=$O$38,IFERROR(LARGE($V$923:$V1103,1)&lt;$N$42,TRUE)),1,IF(AND(ISNUMBER($O1103),$O1103&lt;$N$32),$O1103+1,""))</f>
        <v/>
      </c>
      <c r="P1104" s="26" t="str">
        <f t="shared" si="346"/>
        <v/>
      </c>
      <c r="Q1104" s="26" t="str">
        <f t="shared" si="335"/>
        <v/>
      </c>
      <c r="R1104" s="24" t="str">
        <f t="shared" si="347"/>
        <v/>
      </c>
      <c r="S1104" s="180">
        <f t="shared" si="353"/>
        <v>8</v>
      </c>
      <c r="T1104" s="29">
        <f>SUM($AC$923:$AC1104)</f>
        <v>49500</v>
      </c>
      <c r="U1104" s="25" t="str">
        <f t="shared" si="336"/>
        <v/>
      </c>
      <c r="V1104" s="24" t="str">
        <f>IF(AND(ISNUMBER(R1103),ISNUMBER(R1104)),V1103,IF(AND(R1103="",ISNUMBER(R1104)),IFERROR(LARGE($V$923:$V1103,1)+1,0),""))</f>
        <v/>
      </c>
      <c r="W1104" s="23" t="str">
        <f t="shared" si="348"/>
        <v/>
      </c>
      <c r="X1104" s="22" t="str">
        <f t="shared" si="349"/>
        <v/>
      </c>
      <c r="Y1104" s="236"/>
      <c r="Z1104" s="22"/>
      <c r="AA1104" s="22"/>
      <c r="AB1104" s="22" t="str">
        <f t="shared" si="350"/>
        <v/>
      </c>
      <c r="AC1104" s="22" t="str">
        <f t="shared" si="351"/>
        <v/>
      </c>
      <c r="AD1104" s="22" t="str">
        <f t="shared" si="337"/>
        <v/>
      </c>
      <c r="AE1104" s="22" t="str">
        <f t="shared" si="352"/>
        <v/>
      </c>
      <c r="AF1104" s="22" t="str">
        <f t="shared" si="338"/>
        <v/>
      </c>
      <c r="AG1104" s="22" t="str">
        <f t="shared" si="339"/>
        <v/>
      </c>
      <c r="AH1104" s="22" t="str">
        <f t="shared" si="340"/>
        <v/>
      </c>
      <c r="AI1104" s="22" t="str">
        <f t="shared" si="341"/>
        <v/>
      </c>
      <c r="AJ1104" s="304" t="str">
        <f t="shared" si="342"/>
        <v/>
      </c>
      <c r="AK1104" s="140" t="str">
        <f t="shared" si="343"/>
        <v/>
      </c>
    </row>
    <row r="1105" spans="7:37" x14ac:dyDescent="0.25">
      <c r="G1105" s="235" t="str">
        <f t="shared" si="331"/>
        <v/>
      </c>
      <c r="H1105" s="4" t="str">
        <f t="shared" si="332"/>
        <v/>
      </c>
      <c r="I1105" s="11" t="str">
        <f t="shared" si="333"/>
        <v/>
      </c>
      <c r="K1105" s="30">
        <v>183</v>
      </c>
      <c r="L1105" s="29">
        <f t="shared" si="344"/>
        <v>11371.908376190921</v>
      </c>
      <c r="M1105" s="28" t="str">
        <f t="shared" si="334"/>
        <v/>
      </c>
      <c r="N1105" s="27" t="str">
        <f t="shared" si="345"/>
        <v/>
      </c>
      <c r="O1105" s="26" t="str">
        <f>IF(AND($Q1104=$O$38,IFERROR(LARGE($V$923:$V1104,1)&lt;$N$42,TRUE)),1,IF(AND(ISNUMBER($O1104),$O1104&lt;$N$32),$O1104+1,""))</f>
        <v/>
      </c>
      <c r="P1105" s="26" t="str">
        <f t="shared" si="346"/>
        <v/>
      </c>
      <c r="Q1105" s="26" t="str">
        <f t="shared" si="335"/>
        <v/>
      </c>
      <c r="R1105" s="24" t="str">
        <f t="shared" si="347"/>
        <v/>
      </c>
      <c r="S1105" s="180">
        <f t="shared" si="353"/>
        <v>8</v>
      </c>
      <c r="T1105" s="29">
        <f>SUM($AC$923:$AC1105)</f>
        <v>49500</v>
      </c>
      <c r="U1105" s="25" t="str">
        <f t="shared" si="336"/>
        <v/>
      </c>
      <c r="V1105" s="24" t="str">
        <f>IF(AND(ISNUMBER(R1104),ISNUMBER(R1105)),V1104,IF(AND(R1104="",ISNUMBER(R1105)),IFERROR(LARGE($V$923:$V1104,1)+1,0),""))</f>
        <v/>
      </c>
      <c r="W1105" s="23" t="str">
        <f t="shared" si="348"/>
        <v/>
      </c>
      <c r="X1105" s="22" t="str">
        <f t="shared" si="349"/>
        <v/>
      </c>
      <c r="Y1105" s="236"/>
      <c r="Z1105" s="22"/>
      <c r="AA1105" s="22"/>
      <c r="AB1105" s="22" t="str">
        <f t="shared" si="350"/>
        <v/>
      </c>
      <c r="AC1105" s="22" t="str">
        <f t="shared" si="351"/>
        <v/>
      </c>
      <c r="AD1105" s="22" t="str">
        <f t="shared" si="337"/>
        <v/>
      </c>
      <c r="AE1105" s="22" t="str">
        <f t="shared" si="352"/>
        <v/>
      </c>
      <c r="AF1105" s="22" t="str">
        <f t="shared" si="338"/>
        <v/>
      </c>
      <c r="AG1105" s="22" t="str">
        <f t="shared" si="339"/>
        <v/>
      </c>
      <c r="AH1105" s="22" t="str">
        <f t="shared" si="340"/>
        <v/>
      </c>
      <c r="AI1105" s="22" t="str">
        <f t="shared" si="341"/>
        <v/>
      </c>
      <c r="AJ1105" s="304" t="str">
        <f t="shared" si="342"/>
        <v/>
      </c>
      <c r="AK1105" s="140" t="str">
        <f t="shared" si="343"/>
        <v/>
      </c>
    </row>
    <row r="1106" spans="7:37" x14ac:dyDescent="0.25">
      <c r="G1106" s="235" t="str">
        <f t="shared" si="331"/>
        <v/>
      </c>
      <c r="H1106" s="4" t="str">
        <f t="shared" si="332"/>
        <v/>
      </c>
      <c r="I1106" s="11" t="str">
        <f t="shared" si="333"/>
        <v/>
      </c>
      <c r="K1106" s="30">
        <v>184</v>
      </c>
      <c r="L1106" s="29">
        <f t="shared" si="344"/>
        <v>11371.908376190921</v>
      </c>
      <c r="M1106" s="28" t="str">
        <f t="shared" si="334"/>
        <v/>
      </c>
      <c r="N1106" s="27" t="str">
        <f t="shared" si="345"/>
        <v/>
      </c>
      <c r="O1106" s="26" t="str">
        <f>IF(AND($Q1105=$O$38,IFERROR(LARGE($V$923:$V1105,1)&lt;$N$42,TRUE)),1,IF(AND(ISNUMBER($O1105),$O1105&lt;$N$32),$O1105+1,""))</f>
        <v/>
      </c>
      <c r="P1106" s="26" t="str">
        <f t="shared" si="346"/>
        <v/>
      </c>
      <c r="Q1106" s="26" t="str">
        <f t="shared" si="335"/>
        <v/>
      </c>
      <c r="R1106" s="24" t="str">
        <f t="shared" si="347"/>
        <v/>
      </c>
      <c r="S1106" s="180">
        <f t="shared" si="353"/>
        <v>8</v>
      </c>
      <c r="T1106" s="29">
        <f>SUM($AC$923:$AC1106)</f>
        <v>49500</v>
      </c>
      <c r="U1106" s="25" t="str">
        <f t="shared" si="336"/>
        <v/>
      </c>
      <c r="V1106" s="24" t="str">
        <f>IF(AND(ISNUMBER(R1105),ISNUMBER(R1106)),V1105,IF(AND(R1105="",ISNUMBER(R1106)),IFERROR(LARGE($V$923:$V1105,1)+1,0),""))</f>
        <v/>
      </c>
      <c r="W1106" s="23" t="str">
        <f t="shared" si="348"/>
        <v/>
      </c>
      <c r="X1106" s="22" t="str">
        <f t="shared" si="349"/>
        <v/>
      </c>
      <c r="Y1106" s="236"/>
      <c r="Z1106" s="22"/>
      <c r="AA1106" s="22"/>
      <c r="AB1106" s="22" t="str">
        <f t="shared" si="350"/>
        <v/>
      </c>
      <c r="AC1106" s="22" t="str">
        <f t="shared" si="351"/>
        <v/>
      </c>
      <c r="AD1106" s="22" t="str">
        <f t="shared" si="337"/>
        <v/>
      </c>
      <c r="AE1106" s="22" t="str">
        <f t="shared" si="352"/>
        <v/>
      </c>
      <c r="AF1106" s="22" t="str">
        <f t="shared" si="338"/>
        <v/>
      </c>
      <c r="AG1106" s="22" t="str">
        <f t="shared" si="339"/>
        <v/>
      </c>
      <c r="AH1106" s="22" t="str">
        <f t="shared" si="340"/>
        <v/>
      </c>
      <c r="AI1106" s="22" t="str">
        <f t="shared" si="341"/>
        <v/>
      </c>
      <c r="AJ1106" s="304" t="str">
        <f t="shared" si="342"/>
        <v/>
      </c>
      <c r="AK1106" s="140" t="str">
        <f t="shared" si="343"/>
        <v/>
      </c>
    </row>
    <row r="1107" spans="7:37" x14ac:dyDescent="0.25">
      <c r="G1107" s="235" t="str">
        <f t="shared" si="331"/>
        <v/>
      </c>
      <c r="H1107" s="4" t="str">
        <f t="shared" si="332"/>
        <v/>
      </c>
      <c r="I1107" s="11" t="str">
        <f t="shared" si="333"/>
        <v/>
      </c>
      <c r="K1107" s="30">
        <v>185</v>
      </c>
      <c r="L1107" s="29">
        <f t="shared" si="344"/>
        <v>11371.908376190921</v>
      </c>
      <c r="M1107" s="28" t="str">
        <f t="shared" si="334"/>
        <v/>
      </c>
      <c r="N1107" s="27" t="str">
        <f t="shared" si="345"/>
        <v/>
      </c>
      <c r="O1107" s="26" t="str">
        <f>IF(AND($Q1106=$O$38,IFERROR(LARGE($V$923:$V1106,1)&lt;$N$42,TRUE)),1,IF(AND(ISNUMBER($O1106),$O1106&lt;$N$32),$O1106+1,""))</f>
        <v/>
      </c>
      <c r="P1107" s="26" t="str">
        <f t="shared" si="346"/>
        <v/>
      </c>
      <c r="Q1107" s="26" t="str">
        <f t="shared" si="335"/>
        <v/>
      </c>
      <c r="R1107" s="24" t="str">
        <f t="shared" si="347"/>
        <v/>
      </c>
      <c r="S1107" s="180">
        <f t="shared" si="353"/>
        <v>8</v>
      </c>
      <c r="T1107" s="29">
        <f>SUM($AC$923:$AC1107)</f>
        <v>49500</v>
      </c>
      <c r="U1107" s="25" t="str">
        <f t="shared" si="336"/>
        <v/>
      </c>
      <c r="V1107" s="24" t="str">
        <f>IF(AND(ISNUMBER(R1106),ISNUMBER(R1107)),V1106,IF(AND(R1106="",ISNUMBER(R1107)),IFERROR(LARGE($V$923:$V1106,1)+1,0),""))</f>
        <v/>
      </c>
      <c r="W1107" s="23" t="str">
        <f t="shared" si="348"/>
        <v/>
      </c>
      <c r="X1107" s="22" t="str">
        <f t="shared" si="349"/>
        <v/>
      </c>
      <c r="Y1107" s="236"/>
      <c r="Z1107" s="22"/>
      <c r="AA1107" s="22"/>
      <c r="AB1107" s="22" t="str">
        <f t="shared" si="350"/>
        <v/>
      </c>
      <c r="AC1107" s="22" t="str">
        <f t="shared" si="351"/>
        <v/>
      </c>
      <c r="AD1107" s="22" t="str">
        <f t="shared" si="337"/>
        <v/>
      </c>
      <c r="AE1107" s="22" t="str">
        <f t="shared" si="352"/>
        <v/>
      </c>
      <c r="AF1107" s="22" t="str">
        <f t="shared" si="338"/>
        <v/>
      </c>
      <c r="AG1107" s="22" t="str">
        <f t="shared" si="339"/>
        <v/>
      </c>
      <c r="AH1107" s="22" t="str">
        <f t="shared" si="340"/>
        <v/>
      </c>
      <c r="AI1107" s="22" t="str">
        <f t="shared" si="341"/>
        <v/>
      </c>
      <c r="AJ1107" s="304" t="str">
        <f t="shared" si="342"/>
        <v/>
      </c>
      <c r="AK1107" s="140" t="str">
        <f t="shared" si="343"/>
        <v/>
      </c>
    </row>
    <row r="1108" spans="7:37" x14ac:dyDescent="0.25">
      <c r="G1108" s="235" t="str">
        <f t="shared" si="331"/>
        <v/>
      </c>
      <c r="H1108" s="4" t="str">
        <f t="shared" si="332"/>
        <v/>
      </c>
      <c r="I1108" s="11" t="str">
        <f t="shared" si="333"/>
        <v/>
      </c>
      <c r="K1108" s="30">
        <v>186</v>
      </c>
      <c r="L1108" s="29">
        <f t="shared" si="344"/>
        <v>11371.908376190921</v>
      </c>
      <c r="M1108" s="28" t="str">
        <f t="shared" si="334"/>
        <v/>
      </c>
      <c r="N1108" s="27" t="str">
        <f t="shared" si="345"/>
        <v/>
      </c>
      <c r="O1108" s="26" t="str">
        <f>IF(AND($Q1107=$O$38,IFERROR(LARGE($V$923:$V1107,1)&lt;$N$42,TRUE)),1,IF(AND(ISNUMBER($O1107),$O1107&lt;$N$32),$O1107+1,""))</f>
        <v/>
      </c>
      <c r="P1108" s="26" t="str">
        <f t="shared" si="346"/>
        <v/>
      </c>
      <c r="Q1108" s="26" t="str">
        <f t="shared" si="335"/>
        <v/>
      </c>
      <c r="R1108" s="24" t="str">
        <f t="shared" si="347"/>
        <v/>
      </c>
      <c r="S1108" s="180">
        <f t="shared" si="353"/>
        <v>8</v>
      </c>
      <c r="T1108" s="29">
        <f>SUM($AC$923:$AC1108)</f>
        <v>49500</v>
      </c>
      <c r="U1108" s="25" t="str">
        <f t="shared" si="336"/>
        <v/>
      </c>
      <c r="V1108" s="24" t="str">
        <f>IF(AND(ISNUMBER(R1107),ISNUMBER(R1108)),V1107,IF(AND(R1107="",ISNUMBER(R1108)),IFERROR(LARGE($V$923:$V1107,1)+1,0),""))</f>
        <v/>
      </c>
      <c r="W1108" s="23" t="str">
        <f t="shared" si="348"/>
        <v/>
      </c>
      <c r="X1108" s="22" t="str">
        <f t="shared" si="349"/>
        <v/>
      </c>
      <c r="Y1108" s="236"/>
      <c r="Z1108" s="22"/>
      <c r="AA1108" s="22"/>
      <c r="AB1108" s="22" t="str">
        <f t="shared" si="350"/>
        <v/>
      </c>
      <c r="AC1108" s="22" t="str">
        <f t="shared" si="351"/>
        <v/>
      </c>
      <c r="AD1108" s="22" t="str">
        <f t="shared" si="337"/>
        <v/>
      </c>
      <c r="AE1108" s="22" t="str">
        <f t="shared" si="352"/>
        <v/>
      </c>
      <c r="AF1108" s="22" t="str">
        <f t="shared" si="338"/>
        <v/>
      </c>
      <c r="AG1108" s="22" t="str">
        <f t="shared" si="339"/>
        <v/>
      </c>
      <c r="AH1108" s="22" t="str">
        <f t="shared" si="340"/>
        <v/>
      </c>
      <c r="AI1108" s="22" t="str">
        <f t="shared" si="341"/>
        <v/>
      </c>
      <c r="AJ1108" s="304" t="str">
        <f t="shared" si="342"/>
        <v/>
      </c>
      <c r="AK1108" s="140" t="str">
        <f t="shared" si="343"/>
        <v/>
      </c>
    </row>
    <row r="1109" spans="7:37" x14ac:dyDescent="0.25">
      <c r="G1109" s="235" t="str">
        <f t="shared" si="331"/>
        <v/>
      </c>
      <c r="H1109" s="4" t="str">
        <f t="shared" si="332"/>
        <v/>
      </c>
      <c r="I1109" s="11" t="str">
        <f t="shared" si="333"/>
        <v/>
      </c>
      <c r="K1109" s="30">
        <v>187</v>
      </c>
      <c r="L1109" s="29">
        <f t="shared" si="344"/>
        <v>11371.908376190921</v>
      </c>
      <c r="M1109" s="28" t="str">
        <f t="shared" si="334"/>
        <v/>
      </c>
      <c r="N1109" s="27" t="str">
        <f t="shared" si="345"/>
        <v/>
      </c>
      <c r="O1109" s="26" t="str">
        <f>IF(AND($Q1108=$O$38,IFERROR(LARGE($V$923:$V1108,1)&lt;$N$42,TRUE)),1,IF(AND(ISNUMBER($O1108),$O1108&lt;$N$32),$O1108+1,""))</f>
        <v/>
      </c>
      <c r="P1109" s="26" t="str">
        <f t="shared" si="346"/>
        <v/>
      </c>
      <c r="Q1109" s="26" t="str">
        <f t="shared" si="335"/>
        <v/>
      </c>
      <c r="R1109" s="24" t="str">
        <f t="shared" si="347"/>
        <v/>
      </c>
      <c r="S1109" s="180">
        <f t="shared" si="353"/>
        <v>8</v>
      </c>
      <c r="T1109" s="29">
        <f>SUM($AC$923:$AC1109)</f>
        <v>49500</v>
      </c>
      <c r="U1109" s="25" t="str">
        <f t="shared" si="336"/>
        <v/>
      </c>
      <c r="V1109" s="24" t="str">
        <f>IF(AND(ISNUMBER(R1108),ISNUMBER(R1109)),V1108,IF(AND(R1108="",ISNUMBER(R1109)),IFERROR(LARGE($V$923:$V1108,1)+1,0),""))</f>
        <v/>
      </c>
      <c r="W1109" s="23" t="str">
        <f t="shared" si="348"/>
        <v/>
      </c>
      <c r="X1109" s="22" t="str">
        <f t="shared" si="349"/>
        <v/>
      </c>
      <c r="Y1109" s="236"/>
      <c r="Z1109" s="22"/>
      <c r="AA1109" s="22"/>
      <c r="AB1109" s="22" t="str">
        <f t="shared" si="350"/>
        <v/>
      </c>
      <c r="AC1109" s="22" t="str">
        <f t="shared" si="351"/>
        <v/>
      </c>
      <c r="AD1109" s="22" t="str">
        <f t="shared" si="337"/>
        <v/>
      </c>
      <c r="AE1109" s="22" t="str">
        <f t="shared" si="352"/>
        <v/>
      </c>
      <c r="AF1109" s="22" t="str">
        <f t="shared" si="338"/>
        <v/>
      </c>
      <c r="AG1109" s="22" t="str">
        <f t="shared" si="339"/>
        <v/>
      </c>
      <c r="AH1109" s="22" t="str">
        <f t="shared" si="340"/>
        <v/>
      </c>
      <c r="AI1109" s="22" t="str">
        <f t="shared" si="341"/>
        <v/>
      </c>
      <c r="AJ1109" s="304" t="str">
        <f t="shared" si="342"/>
        <v/>
      </c>
      <c r="AK1109" s="140" t="str">
        <f t="shared" si="343"/>
        <v/>
      </c>
    </row>
    <row r="1110" spans="7:37" x14ac:dyDescent="0.25">
      <c r="G1110" s="235" t="str">
        <f t="shared" si="331"/>
        <v/>
      </c>
      <c r="H1110" s="4" t="str">
        <f t="shared" si="332"/>
        <v/>
      </c>
      <c r="I1110" s="11" t="str">
        <f t="shared" si="333"/>
        <v/>
      </c>
      <c r="K1110" s="30">
        <v>188</v>
      </c>
      <c r="L1110" s="29">
        <f t="shared" si="344"/>
        <v>11371.908376190921</v>
      </c>
      <c r="M1110" s="28" t="str">
        <f t="shared" si="334"/>
        <v/>
      </c>
      <c r="N1110" s="27" t="str">
        <f t="shared" si="345"/>
        <v/>
      </c>
      <c r="O1110" s="26" t="str">
        <f>IF(AND($Q1109=$O$38,IFERROR(LARGE($V$923:$V1109,1)&lt;$N$42,TRUE)),1,IF(AND(ISNUMBER($O1109),$O1109&lt;$N$32),$O1109+1,""))</f>
        <v/>
      </c>
      <c r="P1110" s="26" t="str">
        <f t="shared" si="346"/>
        <v/>
      </c>
      <c r="Q1110" s="26" t="str">
        <f t="shared" si="335"/>
        <v/>
      </c>
      <c r="R1110" s="24" t="str">
        <f t="shared" si="347"/>
        <v/>
      </c>
      <c r="S1110" s="180">
        <f t="shared" si="353"/>
        <v>8</v>
      </c>
      <c r="T1110" s="29">
        <f>SUM($AC$923:$AC1110)</f>
        <v>49500</v>
      </c>
      <c r="U1110" s="25" t="str">
        <f t="shared" si="336"/>
        <v/>
      </c>
      <c r="V1110" s="24" t="str">
        <f>IF(AND(ISNUMBER(R1109),ISNUMBER(R1110)),V1109,IF(AND(R1109="",ISNUMBER(R1110)),IFERROR(LARGE($V$923:$V1109,1)+1,0),""))</f>
        <v/>
      </c>
      <c r="W1110" s="23" t="str">
        <f t="shared" si="348"/>
        <v/>
      </c>
      <c r="X1110" s="22" t="str">
        <f t="shared" si="349"/>
        <v/>
      </c>
      <c r="Y1110" s="236"/>
      <c r="Z1110" s="22"/>
      <c r="AA1110" s="22"/>
      <c r="AB1110" s="22" t="str">
        <f t="shared" si="350"/>
        <v/>
      </c>
      <c r="AC1110" s="22" t="str">
        <f t="shared" si="351"/>
        <v/>
      </c>
      <c r="AD1110" s="22" t="str">
        <f t="shared" si="337"/>
        <v/>
      </c>
      <c r="AE1110" s="22" t="str">
        <f t="shared" si="352"/>
        <v/>
      </c>
      <c r="AF1110" s="22" t="str">
        <f t="shared" si="338"/>
        <v/>
      </c>
      <c r="AG1110" s="22" t="str">
        <f t="shared" si="339"/>
        <v/>
      </c>
      <c r="AH1110" s="22" t="str">
        <f t="shared" si="340"/>
        <v/>
      </c>
      <c r="AI1110" s="22" t="str">
        <f t="shared" si="341"/>
        <v/>
      </c>
      <c r="AJ1110" s="304" t="str">
        <f t="shared" si="342"/>
        <v/>
      </c>
      <c r="AK1110" s="140" t="str">
        <f t="shared" si="343"/>
        <v/>
      </c>
    </row>
    <row r="1111" spans="7:37" x14ac:dyDescent="0.25">
      <c r="G1111" s="235" t="str">
        <f t="shared" si="331"/>
        <v/>
      </c>
      <c r="H1111" s="4" t="str">
        <f t="shared" si="332"/>
        <v/>
      </c>
      <c r="I1111" s="11" t="str">
        <f t="shared" si="333"/>
        <v/>
      </c>
      <c r="K1111" s="30">
        <v>189</v>
      </c>
      <c r="L1111" s="29">
        <f t="shared" si="344"/>
        <v>11371.908376190921</v>
      </c>
      <c r="M1111" s="28" t="str">
        <f t="shared" si="334"/>
        <v/>
      </c>
      <c r="N1111" s="27" t="str">
        <f t="shared" si="345"/>
        <v/>
      </c>
      <c r="O1111" s="26" t="str">
        <f>IF(AND($Q1110=$O$38,IFERROR(LARGE($V$923:$V1110,1)&lt;$N$42,TRUE)),1,IF(AND(ISNUMBER($O1110),$O1110&lt;$N$32),$O1110+1,""))</f>
        <v/>
      </c>
      <c r="P1111" s="26" t="str">
        <f t="shared" si="346"/>
        <v/>
      </c>
      <c r="Q1111" s="26" t="str">
        <f t="shared" si="335"/>
        <v/>
      </c>
      <c r="R1111" s="24" t="str">
        <f t="shared" si="347"/>
        <v/>
      </c>
      <c r="S1111" s="180">
        <f t="shared" si="353"/>
        <v>8</v>
      </c>
      <c r="T1111" s="29">
        <f>SUM($AC$923:$AC1111)</f>
        <v>49500</v>
      </c>
      <c r="U1111" s="25" t="str">
        <f t="shared" si="336"/>
        <v/>
      </c>
      <c r="V1111" s="24" t="str">
        <f>IF(AND(ISNUMBER(R1110),ISNUMBER(R1111)),V1110,IF(AND(R1110="",ISNUMBER(R1111)),IFERROR(LARGE($V$923:$V1110,1)+1,0),""))</f>
        <v/>
      </c>
      <c r="W1111" s="23" t="str">
        <f t="shared" si="348"/>
        <v/>
      </c>
      <c r="X1111" s="22" t="str">
        <f t="shared" si="349"/>
        <v/>
      </c>
      <c r="Y1111" s="236"/>
      <c r="Z1111" s="22"/>
      <c r="AA1111" s="22"/>
      <c r="AB1111" s="22" t="str">
        <f t="shared" si="350"/>
        <v/>
      </c>
      <c r="AC1111" s="22" t="str">
        <f t="shared" si="351"/>
        <v/>
      </c>
      <c r="AD1111" s="22" t="str">
        <f t="shared" si="337"/>
        <v/>
      </c>
      <c r="AE1111" s="22" t="str">
        <f t="shared" si="352"/>
        <v/>
      </c>
      <c r="AF1111" s="22" t="str">
        <f t="shared" si="338"/>
        <v/>
      </c>
      <c r="AG1111" s="22" t="str">
        <f t="shared" si="339"/>
        <v/>
      </c>
      <c r="AH1111" s="22" t="str">
        <f t="shared" si="340"/>
        <v/>
      </c>
      <c r="AI1111" s="22" t="str">
        <f t="shared" si="341"/>
        <v/>
      </c>
      <c r="AJ1111" s="304" t="str">
        <f t="shared" si="342"/>
        <v/>
      </c>
      <c r="AK1111" s="140" t="str">
        <f t="shared" si="343"/>
        <v/>
      </c>
    </row>
    <row r="1112" spans="7:37" x14ac:dyDescent="0.25">
      <c r="G1112" s="235" t="str">
        <f t="shared" si="331"/>
        <v/>
      </c>
      <c r="H1112" s="4" t="str">
        <f t="shared" si="332"/>
        <v/>
      </c>
      <c r="I1112" s="11" t="str">
        <f t="shared" si="333"/>
        <v/>
      </c>
      <c r="K1112" s="30">
        <v>190</v>
      </c>
      <c r="L1112" s="29">
        <f t="shared" si="344"/>
        <v>11371.908376190921</v>
      </c>
      <c r="M1112" s="28" t="str">
        <f t="shared" si="334"/>
        <v/>
      </c>
      <c r="N1112" s="27" t="str">
        <f t="shared" si="345"/>
        <v/>
      </c>
      <c r="O1112" s="26" t="str">
        <f>IF(AND($Q1111=$O$38,IFERROR(LARGE($V$923:$V1111,1)&lt;$N$42,TRUE)),1,IF(AND(ISNUMBER($O1111),$O1111&lt;$N$32),$O1111+1,""))</f>
        <v/>
      </c>
      <c r="P1112" s="26" t="str">
        <f t="shared" si="346"/>
        <v/>
      </c>
      <c r="Q1112" s="26" t="str">
        <f t="shared" si="335"/>
        <v/>
      </c>
      <c r="R1112" s="24" t="str">
        <f t="shared" si="347"/>
        <v/>
      </c>
      <c r="S1112" s="180">
        <f t="shared" si="353"/>
        <v>8</v>
      </c>
      <c r="T1112" s="29">
        <f>SUM($AC$923:$AC1112)</f>
        <v>49500</v>
      </c>
      <c r="U1112" s="25" t="str">
        <f t="shared" si="336"/>
        <v/>
      </c>
      <c r="V1112" s="24" t="str">
        <f>IF(AND(ISNUMBER(R1111),ISNUMBER(R1112)),V1111,IF(AND(R1111="",ISNUMBER(R1112)),IFERROR(LARGE($V$923:$V1111,1)+1,0),""))</f>
        <v/>
      </c>
      <c r="W1112" s="23" t="str">
        <f t="shared" si="348"/>
        <v/>
      </c>
      <c r="X1112" s="22" t="str">
        <f t="shared" si="349"/>
        <v/>
      </c>
      <c r="Y1112" s="236"/>
      <c r="Z1112" s="22"/>
      <c r="AA1112" s="22"/>
      <c r="AB1112" s="22" t="str">
        <f t="shared" si="350"/>
        <v/>
      </c>
      <c r="AC1112" s="22" t="str">
        <f t="shared" si="351"/>
        <v/>
      </c>
      <c r="AD1112" s="22" t="str">
        <f t="shared" si="337"/>
        <v/>
      </c>
      <c r="AE1112" s="22" t="str">
        <f t="shared" si="352"/>
        <v/>
      </c>
      <c r="AF1112" s="22" t="str">
        <f t="shared" si="338"/>
        <v/>
      </c>
      <c r="AG1112" s="22" t="str">
        <f t="shared" si="339"/>
        <v/>
      </c>
      <c r="AH1112" s="22" t="str">
        <f t="shared" si="340"/>
        <v/>
      </c>
      <c r="AI1112" s="22" t="str">
        <f t="shared" si="341"/>
        <v/>
      </c>
      <c r="AJ1112" s="304" t="str">
        <f t="shared" si="342"/>
        <v/>
      </c>
      <c r="AK1112" s="140" t="str">
        <f t="shared" si="343"/>
        <v/>
      </c>
    </row>
    <row r="1113" spans="7:37" x14ac:dyDescent="0.25">
      <c r="G1113" s="235" t="str">
        <f t="shared" si="331"/>
        <v/>
      </c>
      <c r="H1113" s="4" t="str">
        <f t="shared" si="332"/>
        <v/>
      </c>
      <c r="I1113" s="11" t="str">
        <f t="shared" si="333"/>
        <v/>
      </c>
      <c r="K1113" s="30">
        <v>191</v>
      </c>
      <c r="L1113" s="29">
        <f t="shared" si="344"/>
        <v>11371.908376190921</v>
      </c>
      <c r="M1113" s="28" t="str">
        <f t="shared" si="334"/>
        <v/>
      </c>
      <c r="N1113" s="27" t="str">
        <f t="shared" si="345"/>
        <v/>
      </c>
      <c r="O1113" s="26" t="str">
        <f>IF(AND($Q1112=$O$38,IFERROR(LARGE($V$923:$V1112,1)&lt;$N$42,TRUE)),1,IF(AND(ISNUMBER($O1112),$O1112&lt;$N$32),$O1112+1,""))</f>
        <v/>
      </c>
      <c r="P1113" s="26" t="str">
        <f t="shared" si="346"/>
        <v/>
      </c>
      <c r="Q1113" s="26" t="str">
        <f t="shared" si="335"/>
        <v/>
      </c>
      <c r="R1113" s="24" t="str">
        <f t="shared" si="347"/>
        <v/>
      </c>
      <c r="S1113" s="180">
        <f t="shared" si="353"/>
        <v>8</v>
      </c>
      <c r="T1113" s="29">
        <f>SUM($AC$923:$AC1113)</f>
        <v>49500</v>
      </c>
      <c r="U1113" s="25" t="str">
        <f t="shared" si="336"/>
        <v/>
      </c>
      <c r="V1113" s="24" t="str">
        <f>IF(AND(ISNUMBER(R1112),ISNUMBER(R1113)),V1112,IF(AND(R1112="",ISNUMBER(R1113)),IFERROR(LARGE($V$923:$V1112,1)+1,0),""))</f>
        <v/>
      </c>
      <c r="W1113" s="23" t="str">
        <f t="shared" si="348"/>
        <v/>
      </c>
      <c r="X1113" s="22" t="str">
        <f t="shared" si="349"/>
        <v/>
      </c>
      <c r="Y1113" s="236"/>
      <c r="Z1113" s="22"/>
      <c r="AA1113" s="22"/>
      <c r="AB1113" s="22" t="str">
        <f t="shared" si="350"/>
        <v/>
      </c>
      <c r="AC1113" s="22" t="str">
        <f t="shared" si="351"/>
        <v/>
      </c>
      <c r="AD1113" s="22" t="str">
        <f t="shared" si="337"/>
        <v/>
      </c>
      <c r="AE1113" s="22" t="str">
        <f t="shared" si="352"/>
        <v/>
      </c>
      <c r="AF1113" s="22" t="str">
        <f t="shared" si="338"/>
        <v/>
      </c>
      <c r="AG1113" s="22" t="str">
        <f t="shared" si="339"/>
        <v/>
      </c>
      <c r="AH1113" s="22" t="str">
        <f t="shared" si="340"/>
        <v/>
      </c>
      <c r="AI1113" s="22" t="str">
        <f t="shared" si="341"/>
        <v/>
      </c>
      <c r="AJ1113" s="304" t="str">
        <f t="shared" si="342"/>
        <v/>
      </c>
      <c r="AK1113" s="140" t="str">
        <f t="shared" si="343"/>
        <v/>
      </c>
    </row>
    <row r="1114" spans="7:37" x14ac:dyDescent="0.25">
      <c r="G1114" s="235" t="str">
        <f t="shared" si="331"/>
        <v/>
      </c>
      <c r="H1114" s="4" t="str">
        <f t="shared" si="332"/>
        <v/>
      </c>
      <c r="I1114" s="11" t="str">
        <f t="shared" si="333"/>
        <v/>
      </c>
      <c r="K1114" s="30">
        <v>192</v>
      </c>
      <c r="L1114" s="29">
        <f t="shared" si="344"/>
        <v>11371.908376190921</v>
      </c>
      <c r="M1114" s="28" t="str">
        <f t="shared" si="334"/>
        <v/>
      </c>
      <c r="N1114" s="27" t="str">
        <f t="shared" si="345"/>
        <v/>
      </c>
      <c r="O1114" s="26" t="str">
        <f>IF(AND($Q1113=$O$38,IFERROR(LARGE($V$923:$V1113,1)&lt;$N$42,TRUE)),1,IF(AND(ISNUMBER($O1113),$O1113&lt;$N$32),$O1113+1,""))</f>
        <v/>
      </c>
      <c r="P1114" s="26" t="str">
        <f t="shared" si="346"/>
        <v/>
      </c>
      <c r="Q1114" s="26" t="str">
        <f t="shared" si="335"/>
        <v/>
      </c>
      <c r="R1114" s="24" t="str">
        <f t="shared" si="347"/>
        <v/>
      </c>
      <c r="S1114" s="180">
        <f t="shared" si="353"/>
        <v>8</v>
      </c>
      <c r="T1114" s="29">
        <f>SUM($AC$923:$AC1114)</f>
        <v>49500</v>
      </c>
      <c r="U1114" s="25" t="str">
        <f t="shared" si="336"/>
        <v/>
      </c>
      <c r="V1114" s="24" t="str">
        <f>IF(AND(ISNUMBER(R1113),ISNUMBER(R1114)),V1113,IF(AND(R1113="",ISNUMBER(R1114)),IFERROR(LARGE($V$923:$V1113,1)+1,0),""))</f>
        <v/>
      </c>
      <c r="W1114" s="23" t="str">
        <f t="shared" si="348"/>
        <v/>
      </c>
      <c r="X1114" s="22" t="str">
        <f t="shared" si="349"/>
        <v/>
      </c>
      <c r="Y1114" s="236"/>
      <c r="Z1114" s="22"/>
      <c r="AA1114" s="22"/>
      <c r="AB1114" s="22" t="str">
        <f t="shared" si="350"/>
        <v/>
      </c>
      <c r="AC1114" s="22" t="str">
        <f t="shared" si="351"/>
        <v/>
      </c>
      <c r="AD1114" s="22" t="str">
        <f t="shared" si="337"/>
        <v/>
      </c>
      <c r="AE1114" s="22" t="str">
        <f t="shared" si="352"/>
        <v/>
      </c>
      <c r="AF1114" s="22" t="str">
        <f t="shared" si="338"/>
        <v/>
      </c>
      <c r="AG1114" s="22" t="str">
        <f t="shared" si="339"/>
        <v/>
      </c>
      <c r="AH1114" s="22" t="str">
        <f t="shared" si="340"/>
        <v/>
      </c>
      <c r="AI1114" s="22" t="str">
        <f t="shared" si="341"/>
        <v/>
      </c>
      <c r="AJ1114" s="304" t="str">
        <f t="shared" si="342"/>
        <v/>
      </c>
      <c r="AK1114" s="140" t="str">
        <f t="shared" si="343"/>
        <v/>
      </c>
    </row>
    <row r="1115" spans="7:37" x14ac:dyDescent="0.25">
      <c r="G1115" s="235" t="str">
        <f t="shared" ref="G1115:G1178" si="354">IF(RIGHT(H1115,2)=".N","NEW",IF(SUM(N1115:R1115)=0,"",LEFT(H1115,5)))</f>
        <v/>
      </c>
      <c r="H1115" s="4" t="str">
        <f t="shared" ref="H1115:H1144" si="355">IF(SUM(N1115:R1115)&gt;0,CONCATENATE(IF(LEN(ROUNDDOWN(S1115,0))=1,CONCATENATE("0",ROUNDDOWN(S1115,0)),ROUNDDOWN(S1115,0)),".",IF(LEN(ROUND(MOD(S1115,1)*100,0))=1,CONCATENATE("0",ROUND(MOD(S1115,1)*100,0)),ROUND(MOD(S1115,1)*100,0)),IF(N1115&lt;&gt;"",".N",IF(O1115&lt;&gt;"",".R",IF(P1115&lt;&gt;"",".O",IF(Q1115&lt;&gt;"",".I",IF(R1115&lt;&gt;"",".D","")))))),"")</f>
        <v/>
      </c>
      <c r="I1115" s="11" t="str">
        <f t="shared" ref="I1115:I1178" si="356">IF(SUM(N1115:R1115)&gt;0,CONCATENATE(IF(LEN(ROUNDDOWN(S1115,0))=1,CONCATENATE("0",ROUNDDOWN(S1115,0)),ROUNDDOWN(S1115,0)),".",IF(LEN(ROUND(MOD(S1115,1)*100,0))=1,CONCATENATE("0",ROUND(MOD(S1115,1)*100,0)),ROUND(MOD(S1115,1)*100,0)),IF(N1115&lt;&gt;"",".N.",IF(O1115&lt;&gt;"",".R.",IF(P1115&lt;&gt;"",".O.",IF(Q1115&lt;&gt;"",".I.",IF(R1115&lt;&gt;"",".D.",""))))),IF(N1115&lt;&gt;"",N1115,IF(O1115&lt;&gt;"",O1115,IF(P1115&lt;&gt;"",P1115,IF(Q1115&lt;&gt;"",Q1115,IF(R1115&lt;&gt;"",IF(MOD(R1115,$N$44)=0,$N$44,MOD(R1115,$N$44)),"")))))),"")</f>
        <v/>
      </c>
      <c r="K1115" s="30">
        <v>193</v>
      </c>
      <c r="L1115" s="29">
        <f t="shared" si="344"/>
        <v>11371.908376190921</v>
      </c>
      <c r="M1115" s="28" t="str">
        <f t="shared" ref="M1115:M1178" si="357">IFERROR(IF(IF($K1115=1,(($M$23*-1)+($M$24*-1)),IF(ISNUMBER(W1115),W1115,0)+IF(ISNUMBER(X1115),X1115,0)+IF(ISNUMBER(AB1115),AB1115,0)+IF(ISNUMBER(AE1115),AE1115,0)+IF(ISNUMBER(AF1115),AF1115,0)+IF(ISNUMBER(AG1115),AG1115,0)+IF(ISNUMBER(AH1115),AH1115,0)+IF(ISNUMBER(AI1115),AI1115,0)+IF(ISNUMBER(AK1115),AK1115,0))=0,"",IF($K1115=1,(($M$23*-1)+($M$24*-1)),IF(ISNUMBER(W1115),W1115,0)+IF(ISNUMBER(X1115),X1115,0)+IF(ISNUMBER(AB1115),AB1115,0)+IF(ISNUMBER(AE1115),AE1115,0)+IF(ISNUMBER(AF1115),AF1115,0)+IF(ISNUMBER(AG1115),AG1115,0)+IF(ISNUMBER(AH1115),AH1115,0)+IF(ISNUMBER(AI1115),AI1115,0)+IF(ISNUMBER(AK1115),AK1115,0))),"")</f>
        <v/>
      </c>
      <c r="N1115" s="27" t="str">
        <f t="shared" si="345"/>
        <v/>
      </c>
      <c r="O1115" s="26" t="str">
        <f>IF(AND($Q1114=$O$38,IFERROR(LARGE($V$923:$V1114,1)&lt;$N$42,TRUE)),1,IF(AND(ISNUMBER($O1114),$O1114&lt;$N$32),$O1114+1,""))</f>
        <v/>
      </c>
      <c r="P1115" s="26" t="str">
        <f t="shared" si="346"/>
        <v/>
      </c>
      <c r="Q1115" s="26" t="str">
        <f t="shared" ref="Q1115:Q1178" si="358">IF($R1114=($N$43*$N$44),1,IF(AND(ISNUMBER($Q1114),$Q1114&lt;$O$38),$Q1114+1,""))</f>
        <v/>
      </c>
      <c r="R1115" s="24" t="str">
        <f t="shared" si="347"/>
        <v/>
      </c>
      <c r="S1115" s="180">
        <f t="shared" si="353"/>
        <v>8</v>
      </c>
      <c r="T1115" s="29">
        <f>SUM($AC$923:$AC1115)</f>
        <v>49500</v>
      </c>
      <c r="U1115" s="25" t="str">
        <f t="shared" ref="U1115:U1178" si="359">IF(ISNUMBER($R1115),ROUNDUP($R1115/$N$44,0),"")</f>
        <v/>
      </c>
      <c r="V1115" s="24" t="str">
        <f>IF(AND(ISNUMBER(R1114),ISNUMBER(R1115)),V1114,IF(AND(R1114="",ISNUMBER(R1115)),IFERROR(LARGE($V$923:$V1114,1)+1,0),""))</f>
        <v/>
      </c>
      <c r="W1115" s="23" t="str">
        <f t="shared" si="348"/>
        <v/>
      </c>
      <c r="X1115" s="22" t="str">
        <f t="shared" si="349"/>
        <v/>
      </c>
      <c r="Y1115" s="236"/>
      <c r="Z1115" s="22"/>
      <c r="AA1115" s="22"/>
      <c r="AB1115" s="22" t="str">
        <f t="shared" si="350"/>
        <v/>
      </c>
      <c r="AC1115" s="22" t="str">
        <f t="shared" si="351"/>
        <v/>
      </c>
      <c r="AD1115" s="22" t="str">
        <f t="shared" ref="AD1115:AD1178" si="360">IF(IF(OR(AND(ISNUMBER($U1115),IF(ISNUMBER($U1116),$U1116,0)-IF(ISNUMBER($U1115),$U1115,0)=1),AND(ISNUMBER($U1115),$U1116="")),IF($U1115=1,$P$37,0),0)=0,"",IF(OR(AND(ISNUMBER($U1115),IF(ISNUMBER($U1116),$U1116,0)-IF(ISNUMBER($U1115),$U1115,0)=1),AND(ISNUMBER($U1115),$U1116="")),IF($U1115=1,$P$37,0),0))</f>
        <v/>
      </c>
      <c r="AE1115" s="22" t="str">
        <f t="shared" si="352"/>
        <v/>
      </c>
      <c r="AF1115" s="22" t="str">
        <f t="shared" ref="AF1115:AF1178" si="361">IF($O$67="Invoice",IF(AND(ISNUMBER($AC1115),ISNUMBER($O$68)),$AC1115*$O$68*-1,""),IF($O$67="Payment",IF(AND(ISNUMBER($AE1115),ISNUMBER($O$68)),$AE1115*$O$68*-1,""),""))</f>
        <v/>
      </c>
      <c r="AG1115" s="22" t="str">
        <f t="shared" ref="AG1115:AG1178" si="362">IF($O$67="Invoice",IF(AND(ISNUMBER($AC1115),ISNUMBER($O$69)),$AC1115*$O$69*-1,""),IF($O$67="Payment",IF(AND(ISNUMBER($AE1115),ISNUMBER($O$69)),$AE1115*$O$69*-1,""),""))</f>
        <v/>
      </c>
      <c r="AH1115" s="22" t="str">
        <f t="shared" ref="AH1115:AH1178" si="363">IF($O$67="Invoice",IF(AND(ISNUMBER($AC1115),ISNUMBER($O$70)),$AC1115*$O$70*-1,""),IF($O$67="Payment",IF(AND(ISNUMBER($AE1115),ISNUMBER($O$70)),$AE1115*$O$70*-1,""),""))</f>
        <v/>
      </c>
      <c r="AI1115" s="22" t="str">
        <f t="shared" ref="AI1115:AI1178" si="364">IF($O$67="Invoice",IF(AND(ISNUMBER($AC1115),ISNUMBER($O$71)),$AC1115*$O$71*-1,""),IF($O$67="Payment",IF(AND(ISNUMBER($AE1115),ISNUMBER($O$71)),$AE1115*$O$71*-1,""),""))</f>
        <v/>
      </c>
      <c r="AJ1115" s="304" t="str">
        <f t="shared" ref="AJ1115:AJ1178" si="365">IF($O$67="Invoice",IF(AND(ISNUMBER($AC1115),ISNUMBER($O$72)),$AC1115*$O$72*-1,""),IF($O$67="Payment",IF(AND(ISNUMBER($AE1115),ISNUMBER($O$72)),$AE1115*$O$72*-1,""),""))</f>
        <v/>
      </c>
      <c r="AK1115" s="140" t="str">
        <f t="shared" ref="AK1115:AK1178" si="366">IF($O$67="Invoice",IF(AND(ISNUMBER($AC1115),ISNUMBER($O$73)),$AC1115*$O$73*-1,""),IF($O$67="Payment",IF(AND(ISNUMBER($AE1115),ISNUMBER($O$73)),$AE1115*$O$73*-1,""),""))</f>
        <v/>
      </c>
    </row>
    <row r="1116" spans="7:37" x14ac:dyDescent="0.25">
      <c r="G1116" s="235" t="str">
        <f t="shared" si="354"/>
        <v/>
      </c>
      <c r="H1116" s="4" t="str">
        <f t="shared" si="355"/>
        <v/>
      </c>
      <c r="I1116" s="11" t="str">
        <f t="shared" si="356"/>
        <v/>
      </c>
      <c r="K1116" s="30">
        <v>194</v>
      </c>
      <c r="L1116" s="29">
        <f t="shared" ref="L1116:L1179" si="367">IF(ISNUMBER($M1116),$M1116+$L1115,$L1115)</f>
        <v>11371.908376190921</v>
      </c>
      <c r="M1116" s="28" t="str">
        <f t="shared" si="357"/>
        <v/>
      </c>
      <c r="N1116" s="27" t="str">
        <f t="shared" ref="N1116:N1179" si="368">IF($K1115&lt;$N$25,$N1115+1,"")</f>
        <v/>
      </c>
      <c r="O1116" s="26" t="str">
        <f>IF(AND($Q1115=$O$38,IFERROR(LARGE($V$923:$V1115,1)&lt;$N$42,TRUE)),1,IF(AND(ISNUMBER($O1115),$O1115&lt;$N$32),$O1115+1,""))</f>
        <v/>
      </c>
      <c r="P1116" s="26" t="str">
        <f t="shared" ref="P1116:P1179" si="369">IF(OR($N1115=$N$25,O1115=$N$32),1,IF(AND($P1115&lt;$O$37,P1115&gt;0),P1115+1,""))</f>
        <v/>
      </c>
      <c r="Q1116" s="26" t="str">
        <f t="shared" si="358"/>
        <v/>
      </c>
      <c r="R1116" s="24" t="str">
        <f t="shared" ref="R1116:R1179" si="370">IF(AND($P1115=$O$37,$R1115=""),1,IF($R1115&lt;($N$43*$N$44),$R1115+1,""))</f>
        <v/>
      </c>
      <c r="S1116" s="180">
        <f t="shared" si="353"/>
        <v>8</v>
      </c>
      <c r="T1116" s="29">
        <f>SUM($AC$923:$AC1116)</f>
        <v>49500</v>
      </c>
      <c r="U1116" s="25" t="str">
        <f t="shared" si="359"/>
        <v/>
      </c>
      <c r="V1116" s="24" t="str">
        <f>IF(AND(ISNUMBER(R1115),ISNUMBER(R1116)),V1115,IF(AND(R1115="",ISNUMBER(R1116)),IFERROR(LARGE($V$923:$V1115,1)+1,0),""))</f>
        <v/>
      </c>
      <c r="W1116" s="23" t="str">
        <f t="shared" ref="W1116:W1179" si="371">IF($O1116=1,($M$30*-1),"")</f>
        <v/>
      </c>
      <c r="X1116" s="22" t="str">
        <f t="shared" ref="X1116:X1179" si="372">IF($K1116=1,($M$24*-1),IF($O1116=1,($M$31*-1),""))</f>
        <v/>
      </c>
      <c r="Y1116" s="236"/>
      <c r="Z1116" s="22"/>
      <c r="AA1116" s="22"/>
      <c r="AB1116" s="22" t="str">
        <f t="shared" si="350"/>
        <v/>
      </c>
      <c r="AC1116" s="22" t="str">
        <f t="shared" si="351"/>
        <v/>
      </c>
      <c r="AD1116" s="22" t="str">
        <f t="shared" si="360"/>
        <v/>
      </c>
      <c r="AE1116" s="22" t="str">
        <f t="shared" si="352"/>
        <v/>
      </c>
      <c r="AF1116" s="22" t="str">
        <f t="shared" si="361"/>
        <v/>
      </c>
      <c r="AG1116" s="22" t="str">
        <f t="shared" si="362"/>
        <v/>
      </c>
      <c r="AH1116" s="22" t="str">
        <f t="shared" si="363"/>
        <v/>
      </c>
      <c r="AI1116" s="22" t="str">
        <f t="shared" si="364"/>
        <v/>
      </c>
      <c r="AJ1116" s="304" t="str">
        <f t="shared" si="365"/>
        <v/>
      </c>
      <c r="AK1116" s="140" t="str">
        <f t="shared" si="366"/>
        <v/>
      </c>
    </row>
    <row r="1117" spans="7:37" x14ac:dyDescent="0.25">
      <c r="G1117" s="235" t="str">
        <f t="shared" si="354"/>
        <v/>
      </c>
      <c r="H1117" s="4" t="str">
        <f t="shared" si="355"/>
        <v/>
      </c>
      <c r="I1117" s="11" t="str">
        <f t="shared" si="356"/>
        <v/>
      </c>
      <c r="K1117" s="30">
        <v>195</v>
      </c>
      <c r="L1117" s="29">
        <f t="shared" si="367"/>
        <v>11371.908376190921</v>
      </c>
      <c r="M1117" s="28" t="str">
        <f t="shared" si="357"/>
        <v/>
      </c>
      <c r="N1117" s="27" t="str">
        <f t="shared" si="368"/>
        <v/>
      </c>
      <c r="O1117" s="26" t="str">
        <f>IF(AND($Q1116=$O$38,IFERROR(LARGE($V$923:$V1116,1)&lt;$N$42,TRUE)),1,IF(AND(ISNUMBER($O1116),$O1116&lt;$N$32),$O1116+1,""))</f>
        <v/>
      </c>
      <c r="P1117" s="26" t="str">
        <f t="shared" si="369"/>
        <v/>
      </c>
      <c r="Q1117" s="26" t="str">
        <f t="shared" si="358"/>
        <v/>
      </c>
      <c r="R1117" s="24" t="str">
        <f t="shared" si="370"/>
        <v/>
      </c>
      <c r="S1117" s="180">
        <f t="shared" si="353"/>
        <v>8</v>
      </c>
      <c r="T1117" s="29">
        <f>SUM($AC$923:$AC1117)</f>
        <v>49500</v>
      </c>
      <c r="U1117" s="25" t="str">
        <f t="shared" si="359"/>
        <v/>
      </c>
      <c r="V1117" s="24" t="str">
        <f>IF(AND(ISNUMBER(R1116),ISNUMBER(R1117)),V1116,IF(AND(R1116="",ISNUMBER(R1117)),IFERROR(LARGE($V$923:$V1116,1)+1,0),""))</f>
        <v/>
      </c>
      <c r="W1117" s="23" t="str">
        <f t="shared" si="371"/>
        <v/>
      </c>
      <c r="X1117" s="22" t="str">
        <f t="shared" si="372"/>
        <v/>
      </c>
      <c r="Y1117" s="236"/>
      <c r="Z1117" s="22"/>
      <c r="AA1117" s="22"/>
      <c r="AB1117" s="22" t="str">
        <f t="shared" si="350"/>
        <v/>
      </c>
      <c r="AC1117" s="22" t="str">
        <f t="shared" si="351"/>
        <v/>
      </c>
      <c r="AD1117" s="22" t="str">
        <f t="shared" si="360"/>
        <v/>
      </c>
      <c r="AE1117" s="22" t="str">
        <f t="shared" si="352"/>
        <v/>
      </c>
      <c r="AF1117" s="22" t="str">
        <f t="shared" si="361"/>
        <v/>
      </c>
      <c r="AG1117" s="22" t="str">
        <f t="shared" si="362"/>
        <v/>
      </c>
      <c r="AH1117" s="22" t="str">
        <f t="shared" si="363"/>
        <v/>
      </c>
      <c r="AI1117" s="22" t="str">
        <f t="shared" si="364"/>
        <v/>
      </c>
      <c r="AJ1117" s="304" t="str">
        <f t="shared" si="365"/>
        <v/>
      </c>
      <c r="AK1117" s="140" t="str">
        <f t="shared" si="366"/>
        <v/>
      </c>
    </row>
    <row r="1118" spans="7:37" x14ac:dyDescent="0.25">
      <c r="G1118" s="235" t="str">
        <f t="shared" si="354"/>
        <v/>
      </c>
      <c r="H1118" s="4" t="str">
        <f t="shared" si="355"/>
        <v/>
      </c>
      <c r="I1118" s="11" t="str">
        <f t="shared" si="356"/>
        <v/>
      </c>
      <c r="K1118" s="30">
        <v>196</v>
      </c>
      <c r="L1118" s="29">
        <f t="shared" si="367"/>
        <v>11371.908376190921</v>
      </c>
      <c r="M1118" s="28" t="str">
        <f t="shared" si="357"/>
        <v/>
      </c>
      <c r="N1118" s="27" t="str">
        <f t="shared" si="368"/>
        <v/>
      </c>
      <c r="O1118" s="26" t="str">
        <f>IF(AND($Q1117=$O$38,IFERROR(LARGE($V$923:$V1117,1)&lt;$N$42,TRUE)),1,IF(AND(ISNUMBER($O1117),$O1117&lt;$N$32),$O1117+1,""))</f>
        <v/>
      </c>
      <c r="P1118" s="26" t="str">
        <f t="shared" si="369"/>
        <v/>
      </c>
      <c r="Q1118" s="26" t="str">
        <f t="shared" si="358"/>
        <v/>
      </c>
      <c r="R1118" s="24" t="str">
        <f t="shared" si="370"/>
        <v/>
      </c>
      <c r="S1118" s="180">
        <f t="shared" si="353"/>
        <v>8</v>
      </c>
      <c r="T1118" s="29">
        <f>SUM($AC$923:$AC1118)</f>
        <v>49500</v>
      </c>
      <c r="U1118" s="25" t="str">
        <f t="shared" si="359"/>
        <v/>
      </c>
      <c r="V1118" s="24" t="str">
        <f>IF(AND(ISNUMBER(R1117),ISNUMBER(R1118)),V1117,IF(AND(R1117="",ISNUMBER(R1118)),IFERROR(LARGE($V$923:$V1117,1)+1,0),""))</f>
        <v/>
      </c>
      <c r="W1118" s="23" t="str">
        <f t="shared" si="371"/>
        <v/>
      </c>
      <c r="X1118" s="22" t="str">
        <f t="shared" si="372"/>
        <v/>
      </c>
      <c r="Y1118" s="236"/>
      <c r="Z1118" s="22"/>
      <c r="AA1118" s="22"/>
      <c r="AB1118" s="22" t="str">
        <f t="shared" si="350"/>
        <v/>
      </c>
      <c r="AC1118" s="22" t="str">
        <f t="shared" si="351"/>
        <v/>
      </c>
      <c r="AD1118" s="22" t="str">
        <f t="shared" si="360"/>
        <v/>
      </c>
      <c r="AE1118" s="22" t="str">
        <f t="shared" si="352"/>
        <v/>
      </c>
      <c r="AF1118" s="22" t="str">
        <f t="shared" si="361"/>
        <v/>
      </c>
      <c r="AG1118" s="22" t="str">
        <f t="shared" si="362"/>
        <v/>
      </c>
      <c r="AH1118" s="22" t="str">
        <f t="shared" si="363"/>
        <v/>
      </c>
      <c r="AI1118" s="22" t="str">
        <f t="shared" si="364"/>
        <v/>
      </c>
      <c r="AJ1118" s="304" t="str">
        <f t="shared" si="365"/>
        <v/>
      </c>
      <c r="AK1118" s="140" t="str">
        <f t="shared" si="366"/>
        <v/>
      </c>
    </row>
    <row r="1119" spans="7:37" x14ac:dyDescent="0.25">
      <c r="G1119" s="235" t="str">
        <f t="shared" si="354"/>
        <v/>
      </c>
      <c r="H1119" s="4" t="str">
        <f t="shared" si="355"/>
        <v/>
      </c>
      <c r="I1119" s="11" t="str">
        <f t="shared" si="356"/>
        <v/>
      </c>
      <c r="K1119" s="30">
        <v>197</v>
      </c>
      <c r="L1119" s="29">
        <f t="shared" si="367"/>
        <v>11371.908376190921</v>
      </c>
      <c r="M1119" s="28" t="str">
        <f t="shared" si="357"/>
        <v/>
      </c>
      <c r="N1119" s="27" t="str">
        <f t="shared" si="368"/>
        <v/>
      </c>
      <c r="O1119" s="26" t="str">
        <f>IF(AND($Q1118=$O$38,IFERROR(LARGE($V$923:$V1118,1)&lt;$N$42,TRUE)),1,IF(AND(ISNUMBER($O1118),$O1118&lt;$N$32),$O1118+1,""))</f>
        <v/>
      </c>
      <c r="P1119" s="26" t="str">
        <f t="shared" si="369"/>
        <v/>
      </c>
      <c r="Q1119" s="26" t="str">
        <f t="shared" si="358"/>
        <v/>
      </c>
      <c r="R1119" s="24" t="str">
        <f t="shared" si="370"/>
        <v/>
      </c>
      <c r="S1119" s="180">
        <f t="shared" si="353"/>
        <v>8</v>
      </c>
      <c r="T1119" s="29">
        <f>SUM($AC$923:$AC1119)</f>
        <v>49500</v>
      </c>
      <c r="U1119" s="25" t="str">
        <f t="shared" si="359"/>
        <v/>
      </c>
      <c r="V1119" s="24" t="str">
        <f>IF(AND(ISNUMBER(R1118),ISNUMBER(R1119)),V1118,IF(AND(R1118="",ISNUMBER(R1119)),IFERROR(LARGE($V$923:$V1118,1)+1,0),""))</f>
        <v/>
      </c>
      <c r="W1119" s="23" t="str">
        <f t="shared" si="371"/>
        <v/>
      </c>
      <c r="X1119" s="22" t="str">
        <f t="shared" si="372"/>
        <v/>
      </c>
      <c r="Y1119" s="236"/>
      <c r="Z1119" s="22"/>
      <c r="AA1119" s="22"/>
      <c r="AB1119" s="22" t="str">
        <f t="shared" si="350"/>
        <v/>
      </c>
      <c r="AC1119" s="22" t="str">
        <f t="shared" si="351"/>
        <v/>
      </c>
      <c r="AD1119" s="22" t="str">
        <f t="shared" si="360"/>
        <v/>
      </c>
      <c r="AE1119" s="22" t="str">
        <f t="shared" si="352"/>
        <v/>
      </c>
      <c r="AF1119" s="22" t="str">
        <f t="shared" si="361"/>
        <v/>
      </c>
      <c r="AG1119" s="22" t="str">
        <f t="shared" si="362"/>
        <v/>
      </c>
      <c r="AH1119" s="22" t="str">
        <f t="shared" si="363"/>
        <v/>
      </c>
      <c r="AI1119" s="22" t="str">
        <f t="shared" si="364"/>
        <v/>
      </c>
      <c r="AJ1119" s="304" t="str">
        <f t="shared" si="365"/>
        <v/>
      </c>
      <c r="AK1119" s="140" t="str">
        <f t="shared" si="366"/>
        <v/>
      </c>
    </row>
    <row r="1120" spans="7:37" x14ac:dyDescent="0.25">
      <c r="G1120" s="235" t="str">
        <f t="shared" si="354"/>
        <v/>
      </c>
      <c r="H1120" s="4" t="str">
        <f t="shared" si="355"/>
        <v/>
      </c>
      <c r="I1120" s="11" t="str">
        <f t="shared" si="356"/>
        <v/>
      </c>
      <c r="K1120" s="30">
        <v>198</v>
      </c>
      <c r="L1120" s="29">
        <f t="shared" si="367"/>
        <v>11371.908376190921</v>
      </c>
      <c r="M1120" s="28" t="str">
        <f t="shared" si="357"/>
        <v/>
      </c>
      <c r="N1120" s="27" t="str">
        <f t="shared" si="368"/>
        <v/>
      </c>
      <c r="O1120" s="26" t="str">
        <f>IF(AND($Q1119=$O$38,IFERROR(LARGE($V$923:$V1119,1)&lt;$N$42,TRUE)),1,IF(AND(ISNUMBER($O1119),$O1119&lt;$N$32),$O1119+1,""))</f>
        <v/>
      </c>
      <c r="P1120" s="26" t="str">
        <f t="shared" si="369"/>
        <v/>
      </c>
      <c r="Q1120" s="26" t="str">
        <f t="shared" si="358"/>
        <v/>
      </c>
      <c r="R1120" s="24" t="str">
        <f t="shared" si="370"/>
        <v/>
      </c>
      <c r="S1120" s="180">
        <f t="shared" si="353"/>
        <v>8</v>
      </c>
      <c r="T1120" s="29">
        <f>SUM($AC$923:$AC1120)</f>
        <v>49500</v>
      </c>
      <c r="U1120" s="25" t="str">
        <f t="shared" si="359"/>
        <v/>
      </c>
      <c r="V1120" s="24" t="str">
        <f>IF(AND(ISNUMBER(R1119),ISNUMBER(R1120)),V1119,IF(AND(R1119="",ISNUMBER(R1120)),IFERROR(LARGE($V$923:$V1119,1)+1,0),""))</f>
        <v/>
      </c>
      <c r="W1120" s="23" t="str">
        <f t="shared" si="371"/>
        <v/>
      </c>
      <c r="X1120" s="22" t="str">
        <f t="shared" si="372"/>
        <v/>
      </c>
      <c r="Y1120" s="236"/>
      <c r="Z1120" s="22"/>
      <c r="AA1120" s="22"/>
      <c r="AB1120" s="22" t="str">
        <f t="shared" si="350"/>
        <v/>
      </c>
      <c r="AC1120" s="22" t="str">
        <f t="shared" si="351"/>
        <v/>
      </c>
      <c r="AD1120" s="22" t="str">
        <f t="shared" si="360"/>
        <v/>
      </c>
      <c r="AE1120" s="22" t="str">
        <f t="shared" si="352"/>
        <v/>
      </c>
      <c r="AF1120" s="22" t="str">
        <f t="shared" si="361"/>
        <v/>
      </c>
      <c r="AG1120" s="22" t="str">
        <f t="shared" si="362"/>
        <v/>
      </c>
      <c r="AH1120" s="22" t="str">
        <f t="shared" si="363"/>
        <v/>
      </c>
      <c r="AI1120" s="22" t="str">
        <f t="shared" si="364"/>
        <v/>
      </c>
      <c r="AJ1120" s="304" t="str">
        <f t="shared" si="365"/>
        <v/>
      </c>
      <c r="AK1120" s="140" t="str">
        <f t="shared" si="366"/>
        <v/>
      </c>
    </row>
    <row r="1121" spans="7:37" x14ac:dyDescent="0.25">
      <c r="G1121" s="235" t="str">
        <f t="shared" si="354"/>
        <v/>
      </c>
      <c r="H1121" s="4" t="str">
        <f t="shared" si="355"/>
        <v/>
      </c>
      <c r="I1121" s="11" t="str">
        <f t="shared" si="356"/>
        <v/>
      </c>
      <c r="K1121" s="30">
        <v>199</v>
      </c>
      <c r="L1121" s="29">
        <f t="shared" si="367"/>
        <v>11371.908376190921</v>
      </c>
      <c r="M1121" s="28" t="str">
        <f t="shared" si="357"/>
        <v/>
      </c>
      <c r="N1121" s="27" t="str">
        <f t="shared" si="368"/>
        <v/>
      </c>
      <c r="O1121" s="26" t="str">
        <f>IF(AND($Q1120=$O$38,IFERROR(LARGE($V$923:$V1120,1)&lt;$N$42,TRUE)),1,IF(AND(ISNUMBER($O1120),$O1120&lt;$N$32),$O1120+1,""))</f>
        <v/>
      </c>
      <c r="P1121" s="26" t="str">
        <f t="shared" si="369"/>
        <v/>
      </c>
      <c r="Q1121" s="26" t="str">
        <f t="shared" si="358"/>
        <v/>
      </c>
      <c r="R1121" s="24" t="str">
        <f t="shared" si="370"/>
        <v/>
      </c>
      <c r="S1121" s="180">
        <f t="shared" si="353"/>
        <v>8</v>
      </c>
      <c r="T1121" s="29">
        <f>SUM($AC$923:$AC1121)</f>
        <v>49500</v>
      </c>
      <c r="U1121" s="25" t="str">
        <f t="shared" si="359"/>
        <v/>
      </c>
      <c r="V1121" s="24" t="str">
        <f>IF(AND(ISNUMBER(R1120),ISNUMBER(R1121)),V1120,IF(AND(R1120="",ISNUMBER(R1121)),IFERROR(LARGE($V$923:$V1120,1)+1,0),""))</f>
        <v/>
      </c>
      <c r="W1121" s="23" t="str">
        <f t="shared" si="371"/>
        <v/>
      </c>
      <c r="X1121" s="22" t="str">
        <f t="shared" si="372"/>
        <v/>
      </c>
      <c r="Y1121" s="236"/>
      <c r="Z1121" s="22"/>
      <c r="AA1121" s="22"/>
      <c r="AB1121" s="22" t="str">
        <f t="shared" si="350"/>
        <v/>
      </c>
      <c r="AC1121" s="22" t="str">
        <f t="shared" si="351"/>
        <v/>
      </c>
      <c r="AD1121" s="22" t="str">
        <f t="shared" si="360"/>
        <v/>
      </c>
      <c r="AE1121" s="22" t="str">
        <f t="shared" si="352"/>
        <v/>
      </c>
      <c r="AF1121" s="22" t="str">
        <f t="shared" si="361"/>
        <v/>
      </c>
      <c r="AG1121" s="22" t="str">
        <f t="shared" si="362"/>
        <v/>
      </c>
      <c r="AH1121" s="22" t="str">
        <f t="shared" si="363"/>
        <v/>
      </c>
      <c r="AI1121" s="22" t="str">
        <f t="shared" si="364"/>
        <v/>
      </c>
      <c r="AJ1121" s="304" t="str">
        <f t="shared" si="365"/>
        <v/>
      </c>
      <c r="AK1121" s="140" t="str">
        <f t="shared" si="366"/>
        <v/>
      </c>
    </row>
    <row r="1122" spans="7:37" x14ac:dyDescent="0.25">
      <c r="G1122" s="235" t="str">
        <f t="shared" si="354"/>
        <v/>
      </c>
      <c r="H1122" s="4" t="str">
        <f t="shared" si="355"/>
        <v/>
      </c>
      <c r="I1122" s="11" t="str">
        <f t="shared" si="356"/>
        <v/>
      </c>
      <c r="K1122" s="30">
        <v>200</v>
      </c>
      <c r="L1122" s="29">
        <f t="shared" si="367"/>
        <v>11371.908376190921</v>
      </c>
      <c r="M1122" s="28" t="str">
        <f t="shared" si="357"/>
        <v/>
      </c>
      <c r="N1122" s="27" t="str">
        <f t="shared" si="368"/>
        <v/>
      </c>
      <c r="O1122" s="26" t="str">
        <f>IF(AND($Q1121=$O$38,IFERROR(LARGE($V$923:$V1121,1)&lt;$N$42,TRUE)),1,IF(AND(ISNUMBER($O1121),$O1121&lt;$N$32),$O1121+1,""))</f>
        <v/>
      </c>
      <c r="P1122" s="26" t="str">
        <f t="shared" si="369"/>
        <v/>
      </c>
      <c r="Q1122" s="26" t="str">
        <f t="shared" si="358"/>
        <v/>
      </c>
      <c r="R1122" s="24" t="str">
        <f t="shared" si="370"/>
        <v/>
      </c>
      <c r="S1122" s="180">
        <f t="shared" si="353"/>
        <v>8</v>
      </c>
      <c r="T1122" s="29">
        <f>SUM($AC$923:$AC1122)</f>
        <v>49500</v>
      </c>
      <c r="U1122" s="25" t="str">
        <f t="shared" si="359"/>
        <v/>
      </c>
      <c r="V1122" s="24" t="str">
        <f>IF(AND(ISNUMBER(R1121),ISNUMBER(R1122)),V1121,IF(AND(R1121="",ISNUMBER(R1122)),IFERROR(LARGE($V$923:$V1121,1)+1,0),""))</f>
        <v/>
      </c>
      <c r="W1122" s="23" t="str">
        <f t="shared" si="371"/>
        <v/>
      </c>
      <c r="X1122" s="22" t="str">
        <f t="shared" si="372"/>
        <v/>
      </c>
      <c r="Y1122" s="236"/>
      <c r="Z1122" s="22"/>
      <c r="AA1122" s="22"/>
      <c r="AB1122" s="22" t="str">
        <f t="shared" si="350"/>
        <v/>
      </c>
      <c r="AC1122" s="22" t="str">
        <f t="shared" si="351"/>
        <v/>
      </c>
      <c r="AD1122" s="22" t="str">
        <f t="shared" si="360"/>
        <v/>
      </c>
      <c r="AE1122" s="22" t="str">
        <f t="shared" si="352"/>
        <v/>
      </c>
      <c r="AF1122" s="22" t="str">
        <f t="shared" si="361"/>
        <v/>
      </c>
      <c r="AG1122" s="22" t="str">
        <f t="shared" si="362"/>
        <v/>
      </c>
      <c r="AH1122" s="22" t="str">
        <f t="shared" si="363"/>
        <v/>
      </c>
      <c r="AI1122" s="22" t="str">
        <f t="shared" si="364"/>
        <v/>
      </c>
      <c r="AJ1122" s="304" t="str">
        <f t="shared" si="365"/>
        <v/>
      </c>
      <c r="AK1122" s="140" t="str">
        <f t="shared" si="366"/>
        <v/>
      </c>
    </row>
    <row r="1123" spans="7:37" x14ac:dyDescent="0.25">
      <c r="G1123" s="235" t="str">
        <f t="shared" si="354"/>
        <v/>
      </c>
      <c r="H1123" s="4" t="str">
        <f t="shared" si="355"/>
        <v/>
      </c>
      <c r="I1123" s="11" t="str">
        <f t="shared" si="356"/>
        <v/>
      </c>
      <c r="K1123" s="30">
        <v>201</v>
      </c>
      <c r="L1123" s="29">
        <f t="shared" si="367"/>
        <v>11371.908376190921</v>
      </c>
      <c r="M1123" s="28" t="str">
        <f t="shared" si="357"/>
        <v/>
      </c>
      <c r="N1123" s="27" t="str">
        <f t="shared" si="368"/>
        <v/>
      </c>
      <c r="O1123" s="26" t="str">
        <f>IF(AND($Q1122=$O$38,IFERROR(LARGE($V$923:$V1122,1)&lt;$N$42,TRUE)),1,IF(AND(ISNUMBER($O1122),$O1122&lt;$N$32),$O1122+1,""))</f>
        <v/>
      </c>
      <c r="P1123" s="26" t="str">
        <f t="shared" si="369"/>
        <v/>
      </c>
      <c r="Q1123" s="26" t="str">
        <f t="shared" si="358"/>
        <v/>
      </c>
      <c r="R1123" s="24" t="str">
        <f t="shared" si="370"/>
        <v/>
      </c>
      <c r="S1123" s="180">
        <f t="shared" si="353"/>
        <v>8</v>
      </c>
      <c r="T1123" s="29">
        <f>SUM($AC$923:$AC1123)</f>
        <v>49500</v>
      </c>
      <c r="U1123" s="25" t="str">
        <f t="shared" si="359"/>
        <v/>
      </c>
      <c r="V1123" s="24" t="str">
        <f>IF(AND(ISNUMBER(R1122),ISNUMBER(R1123)),V1122,IF(AND(R1122="",ISNUMBER(R1123)),IFERROR(LARGE($V$923:$V1122,1)+1,0),""))</f>
        <v/>
      </c>
      <c r="W1123" s="23" t="str">
        <f t="shared" si="371"/>
        <v/>
      </c>
      <c r="X1123" s="22" t="str">
        <f t="shared" si="372"/>
        <v/>
      </c>
      <c r="Y1123" s="236"/>
      <c r="Z1123" s="22"/>
      <c r="AA1123" s="22"/>
      <c r="AB1123" s="22" t="str">
        <f t="shared" si="350"/>
        <v/>
      </c>
      <c r="AC1123" s="22" t="str">
        <f t="shared" si="351"/>
        <v/>
      </c>
      <c r="AD1123" s="22" t="str">
        <f t="shared" si="360"/>
        <v/>
      </c>
      <c r="AE1123" s="22" t="str">
        <f t="shared" si="352"/>
        <v/>
      </c>
      <c r="AF1123" s="22" t="str">
        <f t="shared" si="361"/>
        <v/>
      </c>
      <c r="AG1123" s="22" t="str">
        <f t="shared" si="362"/>
        <v/>
      </c>
      <c r="AH1123" s="22" t="str">
        <f t="shared" si="363"/>
        <v/>
      </c>
      <c r="AI1123" s="22" t="str">
        <f t="shared" si="364"/>
        <v/>
      </c>
      <c r="AJ1123" s="304" t="str">
        <f t="shared" si="365"/>
        <v/>
      </c>
      <c r="AK1123" s="140" t="str">
        <f t="shared" si="366"/>
        <v/>
      </c>
    </row>
    <row r="1124" spans="7:37" x14ac:dyDescent="0.25">
      <c r="G1124" s="235" t="str">
        <f t="shared" si="354"/>
        <v/>
      </c>
      <c r="H1124" s="4" t="str">
        <f t="shared" si="355"/>
        <v/>
      </c>
      <c r="I1124" s="11" t="str">
        <f t="shared" si="356"/>
        <v/>
      </c>
      <c r="K1124" s="30">
        <v>202</v>
      </c>
      <c r="L1124" s="29">
        <f t="shared" si="367"/>
        <v>11371.908376190921</v>
      </c>
      <c r="M1124" s="28" t="str">
        <f t="shared" si="357"/>
        <v/>
      </c>
      <c r="N1124" s="27" t="str">
        <f t="shared" si="368"/>
        <v/>
      </c>
      <c r="O1124" s="26" t="str">
        <f>IF(AND($Q1123=$O$38,IFERROR(LARGE($V$923:$V1123,1)&lt;$N$42,TRUE)),1,IF(AND(ISNUMBER($O1123),$O1123&lt;$N$32),$O1123+1,""))</f>
        <v/>
      </c>
      <c r="P1124" s="26" t="str">
        <f t="shared" si="369"/>
        <v/>
      </c>
      <c r="Q1124" s="26" t="str">
        <f t="shared" si="358"/>
        <v/>
      </c>
      <c r="R1124" s="24" t="str">
        <f t="shared" si="370"/>
        <v/>
      </c>
      <c r="S1124" s="180">
        <f t="shared" si="353"/>
        <v>8</v>
      </c>
      <c r="T1124" s="29">
        <f>SUM($AC$923:$AC1124)</f>
        <v>49500</v>
      </c>
      <c r="U1124" s="25" t="str">
        <f t="shared" si="359"/>
        <v/>
      </c>
      <c r="V1124" s="24" t="str">
        <f>IF(AND(ISNUMBER(R1123),ISNUMBER(R1124)),V1123,IF(AND(R1123="",ISNUMBER(R1124)),IFERROR(LARGE($V$923:$V1123,1)+1,0),""))</f>
        <v/>
      </c>
      <c r="W1124" s="23" t="str">
        <f t="shared" si="371"/>
        <v/>
      </c>
      <c r="X1124" s="22" t="str">
        <f t="shared" si="372"/>
        <v/>
      </c>
      <c r="Y1124" s="236"/>
      <c r="Z1124" s="22"/>
      <c r="AA1124" s="22"/>
      <c r="AB1124" s="22" t="str">
        <f t="shared" si="350"/>
        <v/>
      </c>
      <c r="AC1124" s="22" t="str">
        <f t="shared" si="351"/>
        <v/>
      </c>
      <c r="AD1124" s="22" t="str">
        <f t="shared" si="360"/>
        <v/>
      </c>
      <c r="AE1124" s="22" t="str">
        <f t="shared" si="352"/>
        <v/>
      </c>
      <c r="AF1124" s="22" t="str">
        <f t="shared" si="361"/>
        <v/>
      </c>
      <c r="AG1124" s="22" t="str">
        <f t="shared" si="362"/>
        <v/>
      </c>
      <c r="AH1124" s="22" t="str">
        <f t="shared" si="363"/>
        <v/>
      </c>
      <c r="AI1124" s="22" t="str">
        <f t="shared" si="364"/>
        <v/>
      </c>
      <c r="AJ1124" s="304" t="str">
        <f t="shared" si="365"/>
        <v/>
      </c>
      <c r="AK1124" s="140" t="str">
        <f t="shared" si="366"/>
        <v/>
      </c>
    </row>
    <row r="1125" spans="7:37" x14ac:dyDescent="0.25">
      <c r="G1125" s="235" t="str">
        <f t="shared" si="354"/>
        <v/>
      </c>
      <c r="H1125" s="4" t="str">
        <f t="shared" si="355"/>
        <v/>
      </c>
      <c r="I1125" s="11" t="str">
        <f t="shared" si="356"/>
        <v/>
      </c>
      <c r="K1125" s="30">
        <v>203</v>
      </c>
      <c r="L1125" s="29">
        <f t="shared" si="367"/>
        <v>11371.908376190921</v>
      </c>
      <c r="M1125" s="28" t="str">
        <f t="shared" si="357"/>
        <v/>
      </c>
      <c r="N1125" s="27" t="str">
        <f t="shared" si="368"/>
        <v/>
      </c>
      <c r="O1125" s="26" t="str">
        <f>IF(AND($Q1124=$O$38,IFERROR(LARGE($V$923:$V1124,1)&lt;$N$42,TRUE)),1,IF(AND(ISNUMBER($O1124),$O1124&lt;$N$32),$O1124+1,""))</f>
        <v/>
      </c>
      <c r="P1125" s="26" t="str">
        <f t="shared" si="369"/>
        <v/>
      </c>
      <c r="Q1125" s="26" t="str">
        <f t="shared" si="358"/>
        <v/>
      </c>
      <c r="R1125" s="24" t="str">
        <f t="shared" si="370"/>
        <v/>
      </c>
      <c r="S1125" s="180">
        <f t="shared" si="353"/>
        <v>8</v>
      </c>
      <c r="T1125" s="29">
        <f>SUM($AC$923:$AC1125)</f>
        <v>49500</v>
      </c>
      <c r="U1125" s="25" t="str">
        <f t="shared" si="359"/>
        <v/>
      </c>
      <c r="V1125" s="24" t="str">
        <f>IF(AND(ISNUMBER(R1124),ISNUMBER(R1125)),V1124,IF(AND(R1124="",ISNUMBER(R1125)),IFERROR(LARGE($V$923:$V1124,1)+1,0),""))</f>
        <v/>
      </c>
      <c r="W1125" s="23" t="str">
        <f t="shared" si="371"/>
        <v/>
      </c>
      <c r="X1125" s="22" t="str">
        <f t="shared" si="372"/>
        <v/>
      </c>
      <c r="Y1125" s="236"/>
      <c r="Z1125" s="22"/>
      <c r="AA1125" s="22"/>
      <c r="AB1125" s="22" t="str">
        <f t="shared" si="350"/>
        <v/>
      </c>
      <c r="AC1125" s="22" t="str">
        <f t="shared" si="351"/>
        <v/>
      </c>
      <c r="AD1125" s="22" t="str">
        <f t="shared" si="360"/>
        <v/>
      </c>
      <c r="AE1125" s="22" t="str">
        <f t="shared" si="352"/>
        <v/>
      </c>
      <c r="AF1125" s="22" t="str">
        <f t="shared" si="361"/>
        <v/>
      </c>
      <c r="AG1125" s="22" t="str">
        <f t="shared" si="362"/>
        <v/>
      </c>
      <c r="AH1125" s="22" t="str">
        <f t="shared" si="363"/>
        <v/>
      </c>
      <c r="AI1125" s="22" t="str">
        <f t="shared" si="364"/>
        <v/>
      </c>
      <c r="AJ1125" s="304" t="str">
        <f t="shared" si="365"/>
        <v/>
      </c>
      <c r="AK1125" s="140" t="str">
        <f t="shared" si="366"/>
        <v/>
      </c>
    </row>
    <row r="1126" spans="7:37" x14ac:dyDescent="0.25">
      <c r="G1126" s="235" t="str">
        <f t="shared" si="354"/>
        <v/>
      </c>
      <c r="H1126" s="4" t="str">
        <f t="shared" si="355"/>
        <v/>
      </c>
      <c r="I1126" s="11" t="str">
        <f t="shared" si="356"/>
        <v/>
      </c>
      <c r="K1126" s="30">
        <v>204</v>
      </c>
      <c r="L1126" s="29">
        <f t="shared" si="367"/>
        <v>11371.908376190921</v>
      </c>
      <c r="M1126" s="28" t="str">
        <f t="shared" si="357"/>
        <v/>
      </c>
      <c r="N1126" s="27" t="str">
        <f t="shared" si="368"/>
        <v/>
      </c>
      <c r="O1126" s="26" t="str">
        <f>IF(AND($Q1125=$O$38,IFERROR(LARGE($V$923:$V1125,1)&lt;$N$42,TRUE)),1,IF(AND(ISNUMBER($O1125),$O1125&lt;$N$32),$O1125+1,""))</f>
        <v/>
      </c>
      <c r="P1126" s="26" t="str">
        <f t="shared" si="369"/>
        <v/>
      </c>
      <c r="Q1126" s="26" t="str">
        <f t="shared" si="358"/>
        <v/>
      </c>
      <c r="R1126" s="24" t="str">
        <f t="shared" si="370"/>
        <v/>
      </c>
      <c r="S1126" s="180">
        <f t="shared" si="353"/>
        <v>8</v>
      </c>
      <c r="T1126" s="29">
        <f>SUM($AC$923:$AC1126)</f>
        <v>49500</v>
      </c>
      <c r="U1126" s="25" t="str">
        <f t="shared" si="359"/>
        <v/>
      </c>
      <c r="V1126" s="24" t="str">
        <f>IF(AND(ISNUMBER(R1125),ISNUMBER(R1126)),V1125,IF(AND(R1125="",ISNUMBER(R1126)),IFERROR(LARGE($V$923:$V1125,1)+1,0),""))</f>
        <v/>
      </c>
      <c r="W1126" s="23" t="str">
        <f t="shared" si="371"/>
        <v/>
      </c>
      <c r="X1126" s="22" t="str">
        <f t="shared" si="372"/>
        <v/>
      </c>
      <c r="Y1126" s="236"/>
      <c r="Z1126" s="22"/>
      <c r="AA1126" s="22"/>
      <c r="AB1126" s="22" t="str">
        <f t="shared" si="350"/>
        <v/>
      </c>
      <c r="AC1126" s="22" t="str">
        <f t="shared" si="351"/>
        <v/>
      </c>
      <c r="AD1126" s="22" t="str">
        <f t="shared" si="360"/>
        <v/>
      </c>
      <c r="AE1126" s="22" t="str">
        <f t="shared" si="352"/>
        <v/>
      </c>
      <c r="AF1126" s="22" t="str">
        <f t="shared" si="361"/>
        <v/>
      </c>
      <c r="AG1126" s="22" t="str">
        <f t="shared" si="362"/>
        <v/>
      </c>
      <c r="AH1126" s="22" t="str">
        <f t="shared" si="363"/>
        <v/>
      </c>
      <c r="AI1126" s="22" t="str">
        <f t="shared" si="364"/>
        <v/>
      </c>
      <c r="AJ1126" s="304" t="str">
        <f t="shared" si="365"/>
        <v/>
      </c>
      <c r="AK1126" s="140" t="str">
        <f t="shared" si="366"/>
        <v/>
      </c>
    </row>
    <row r="1127" spans="7:37" x14ac:dyDescent="0.25">
      <c r="G1127" s="235" t="str">
        <f t="shared" si="354"/>
        <v/>
      </c>
      <c r="H1127" s="4" t="str">
        <f t="shared" si="355"/>
        <v/>
      </c>
      <c r="I1127" s="11" t="str">
        <f t="shared" si="356"/>
        <v/>
      </c>
      <c r="K1127" s="30">
        <v>205</v>
      </c>
      <c r="L1127" s="29">
        <f t="shared" si="367"/>
        <v>11371.908376190921</v>
      </c>
      <c r="M1127" s="28" t="str">
        <f t="shared" si="357"/>
        <v/>
      </c>
      <c r="N1127" s="27" t="str">
        <f t="shared" si="368"/>
        <v/>
      </c>
      <c r="O1127" s="26" t="str">
        <f>IF(AND($Q1126=$O$38,IFERROR(LARGE($V$923:$V1126,1)&lt;$N$42,TRUE)),1,IF(AND(ISNUMBER($O1126),$O1126&lt;$N$32),$O1126+1,""))</f>
        <v/>
      </c>
      <c r="P1127" s="26" t="str">
        <f t="shared" si="369"/>
        <v/>
      </c>
      <c r="Q1127" s="26" t="str">
        <f t="shared" si="358"/>
        <v/>
      </c>
      <c r="R1127" s="24" t="str">
        <f t="shared" si="370"/>
        <v/>
      </c>
      <c r="S1127" s="180">
        <f t="shared" si="353"/>
        <v>8</v>
      </c>
      <c r="T1127" s="29">
        <f>SUM($AC$923:$AC1127)</f>
        <v>49500</v>
      </c>
      <c r="U1127" s="25" t="str">
        <f t="shared" si="359"/>
        <v/>
      </c>
      <c r="V1127" s="24" t="str">
        <f>IF(AND(ISNUMBER(R1126),ISNUMBER(R1127)),V1126,IF(AND(R1126="",ISNUMBER(R1127)),IFERROR(LARGE($V$923:$V1126,1)+1,0),""))</f>
        <v/>
      </c>
      <c r="W1127" s="23" t="str">
        <f t="shared" si="371"/>
        <v/>
      </c>
      <c r="X1127" s="22" t="str">
        <f t="shared" si="372"/>
        <v/>
      </c>
      <c r="Y1127" s="236"/>
      <c r="Z1127" s="22"/>
      <c r="AA1127" s="22"/>
      <c r="AB1127" s="22" t="str">
        <f t="shared" si="350"/>
        <v/>
      </c>
      <c r="AC1127" s="22" t="str">
        <f t="shared" si="351"/>
        <v/>
      </c>
      <c r="AD1127" s="22" t="str">
        <f t="shared" si="360"/>
        <v/>
      </c>
      <c r="AE1127" s="22" t="str">
        <f t="shared" si="352"/>
        <v/>
      </c>
      <c r="AF1127" s="22" t="str">
        <f t="shared" si="361"/>
        <v/>
      </c>
      <c r="AG1127" s="22" t="str">
        <f t="shared" si="362"/>
        <v/>
      </c>
      <c r="AH1127" s="22" t="str">
        <f t="shared" si="363"/>
        <v/>
      </c>
      <c r="AI1127" s="22" t="str">
        <f t="shared" si="364"/>
        <v/>
      </c>
      <c r="AJ1127" s="304" t="str">
        <f t="shared" si="365"/>
        <v/>
      </c>
      <c r="AK1127" s="140" t="str">
        <f t="shared" si="366"/>
        <v/>
      </c>
    </row>
    <row r="1128" spans="7:37" x14ac:dyDescent="0.25">
      <c r="G1128" s="235" t="str">
        <f t="shared" si="354"/>
        <v/>
      </c>
      <c r="H1128" s="4" t="str">
        <f t="shared" si="355"/>
        <v/>
      </c>
      <c r="I1128" s="11" t="str">
        <f t="shared" si="356"/>
        <v/>
      </c>
      <c r="K1128" s="30">
        <v>206</v>
      </c>
      <c r="L1128" s="29">
        <f t="shared" si="367"/>
        <v>11371.908376190921</v>
      </c>
      <c r="M1128" s="28" t="str">
        <f t="shared" si="357"/>
        <v/>
      </c>
      <c r="N1128" s="27" t="str">
        <f t="shared" si="368"/>
        <v/>
      </c>
      <c r="O1128" s="26" t="str">
        <f>IF(AND($Q1127=$O$38,IFERROR(LARGE($V$923:$V1127,1)&lt;$N$42,TRUE)),1,IF(AND(ISNUMBER($O1127),$O1127&lt;$N$32),$O1127+1,""))</f>
        <v/>
      </c>
      <c r="P1128" s="26" t="str">
        <f t="shared" si="369"/>
        <v/>
      </c>
      <c r="Q1128" s="26" t="str">
        <f t="shared" si="358"/>
        <v/>
      </c>
      <c r="R1128" s="24" t="str">
        <f t="shared" si="370"/>
        <v/>
      </c>
      <c r="S1128" s="180">
        <f t="shared" si="353"/>
        <v>8</v>
      </c>
      <c r="T1128" s="29">
        <f>SUM($AC$923:$AC1128)</f>
        <v>49500</v>
      </c>
      <c r="U1128" s="25" t="str">
        <f t="shared" si="359"/>
        <v/>
      </c>
      <c r="V1128" s="24" t="str">
        <f>IF(AND(ISNUMBER(R1127),ISNUMBER(R1128)),V1127,IF(AND(R1127="",ISNUMBER(R1128)),IFERROR(LARGE($V$923:$V1127,1)+1,0),""))</f>
        <v/>
      </c>
      <c r="W1128" s="23" t="str">
        <f t="shared" si="371"/>
        <v/>
      </c>
      <c r="X1128" s="22" t="str">
        <f t="shared" si="372"/>
        <v/>
      </c>
      <c r="Y1128" s="236"/>
      <c r="Z1128" s="22"/>
      <c r="AA1128" s="22"/>
      <c r="AB1128" s="22" t="str">
        <f t="shared" si="350"/>
        <v/>
      </c>
      <c r="AC1128" s="22" t="str">
        <f t="shared" si="351"/>
        <v/>
      </c>
      <c r="AD1128" s="22" t="str">
        <f t="shared" si="360"/>
        <v/>
      </c>
      <c r="AE1128" s="22" t="str">
        <f t="shared" si="352"/>
        <v/>
      </c>
      <c r="AF1128" s="22" t="str">
        <f t="shared" si="361"/>
        <v/>
      </c>
      <c r="AG1128" s="22" t="str">
        <f t="shared" si="362"/>
        <v/>
      </c>
      <c r="AH1128" s="22" t="str">
        <f t="shared" si="363"/>
        <v/>
      </c>
      <c r="AI1128" s="22" t="str">
        <f t="shared" si="364"/>
        <v/>
      </c>
      <c r="AJ1128" s="304" t="str">
        <f t="shared" si="365"/>
        <v/>
      </c>
      <c r="AK1128" s="140" t="str">
        <f t="shared" si="366"/>
        <v/>
      </c>
    </row>
    <row r="1129" spans="7:37" x14ac:dyDescent="0.25">
      <c r="G1129" s="235" t="str">
        <f t="shared" si="354"/>
        <v/>
      </c>
      <c r="H1129" s="4" t="str">
        <f t="shared" si="355"/>
        <v/>
      </c>
      <c r="I1129" s="11" t="str">
        <f t="shared" si="356"/>
        <v/>
      </c>
      <c r="K1129" s="30">
        <v>207</v>
      </c>
      <c r="L1129" s="29">
        <f t="shared" si="367"/>
        <v>11371.908376190921</v>
      </c>
      <c r="M1129" s="28" t="str">
        <f t="shared" si="357"/>
        <v/>
      </c>
      <c r="N1129" s="27" t="str">
        <f t="shared" si="368"/>
        <v/>
      </c>
      <c r="O1129" s="26" t="str">
        <f>IF(AND($Q1128=$O$38,IFERROR(LARGE($V$923:$V1128,1)&lt;$N$42,TRUE)),1,IF(AND(ISNUMBER($O1128),$O1128&lt;$N$32),$O1128+1,""))</f>
        <v/>
      </c>
      <c r="P1129" s="26" t="str">
        <f t="shared" si="369"/>
        <v/>
      </c>
      <c r="Q1129" s="26" t="str">
        <f t="shared" si="358"/>
        <v/>
      </c>
      <c r="R1129" s="24" t="str">
        <f t="shared" si="370"/>
        <v/>
      </c>
      <c r="S1129" s="180">
        <f t="shared" si="353"/>
        <v>8</v>
      </c>
      <c r="T1129" s="29">
        <f>SUM($AC$923:$AC1129)</f>
        <v>49500</v>
      </c>
      <c r="U1129" s="25" t="str">
        <f t="shared" si="359"/>
        <v/>
      </c>
      <c r="V1129" s="24" t="str">
        <f>IF(AND(ISNUMBER(R1128),ISNUMBER(R1129)),V1128,IF(AND(R1128="",ISNUMBER(R1129)),IFERROR(LARGE($V$923:$V1128,1)+1,0),""))</f>
        <v/>
      </c>
      <c r="W1129" s="23" t="str">
        <f t="shared" si="371"/>
        <v/>
      </c>
      <c r="X1129" s="22" t="str">
        <f t="shared" si="372"/>
        <v/>
      </c>
      <c r="Y1129" s="236"/>
      <c r="Z1129" s="22"/>
      <c r="AA1129" s="22"/>
      <c r="AB1129" s="22" t="str">
        <f t="shared" si="350"/>
        <v/>
      </c>
      <c r="AC1129" s="22" t="str">
        <f t="shared" si="351"/>
        <v/>
      </c>
      <c r="AD1129" s="22" t="str">
        <f t="shared" si="360"/>
        <v/>
      </c>
      <c r="AE1129" s="22" t="str">
        <f t="shared" si="352"/>
        <v/>
      </c>
      <c r="AF1129" s="22" t="str">
        <f t="shared" si="361"/>
        <v/>
      </c>
      <c r="AG1129" s="22" t="str">
        <f t="shared" si="362"/>
        <v/>
      </c>
      <c r="AH1129" s="22" t="str">
        <f t="shared" si="363"/>
        <v/>
      </c>
      <c r="AI1129" s="22" t="str">
        <f t="shared" si="364"/>
        <v/>
      </c>
      <c r="AJ1129" s="304" t="str">
        <f t="shared" si="365"/>
        <v/>
      </c>
      <c r="AK1129" s="140" t="str">
        <f t="shared" si="366"/>
        <v/>
      </c>
    </row>
    <row r="1130" spans="7:37" x14ac:dyDescent="0.25">
      <c r="G1130" s="235" t="str">
        <f t="shared" si="354"/>
        <v/>
      </c>
      <c r="H1130" s="4" t="str">
        <f t="shared" si="355"/>
        <v/>
      </c>
      <c r="I1130" s="11" t="str">
        <f t="shared" si="356"/>
        <v/>
      </c>
      <c r="K1130" s="30">
        <v>208</v>
      </c>
      <c r="L1130" s="29">
        <f t="shared" si="367"/>
        <v>11371.908376190921</v>
      </c>
      <c r="M1130" s="28" t="str">
        <f t="shared" si="357"/>
        <v/>
      </c>
      <c r="N1130" s="27" t="str">
        <f t="shared" si="368"/>
        <v/>
      </c>
      <c r="O1130" s="26" t="str">
        <f>IF(AND($Q1129=$O$38,IFERROR(LARGE($V$923:$V1129,1)&lt;$N$42,TRUE)),1,IF(AND(ISNUMBER($O1129),$O1129&lt;$N$32),$O1129+1,""))</f>
        <v/>
      </c>
      <c r="P1130" s="26" t="str">
        <f t="shared" si="369"/>
        <v/>
      </c>
      <c r="Q1130" s="26" t="str">
        <f t="shared" si="358"/>
        <v/>
      </c>
      <c r="R1130" s="24" t="str">
        <f t="shared" si="370"/>
        <v/>
      </c>
      <c r="S1130" s="180">
        <f t="shared" si="353"/>
        <v>8</v>
      </c>
      <c r="T1130" s="29">
        <f>SUM($AC$923:$AC1130)</f>
        <v>49500</v>
      </c>
      <c r="U1130" s="25" t="str">
        <f t="shared" si="359"/>
        <v/>
      </c>
      <c r="V1130" s="24" t="str">
        <f>IF(AND(ISNUMBER(R1129),ISNUMBER(R1130)),V1129,IF(AND(R1129="",ISNUMBER(R1130)),IFERROR(LARGE($V$923:$V1129,1)+1,0),""))</f>
        <v/>
      </c>
      <c r="W1130" s="23" t="str">
        <f t="shared" si="371"/>
        <v/>
      </c>
      <c r="X1130" s="22" t="str">
        <f t="shared" si="372"/>
        <v/>
      </c>
      <c r="Y1130" s="236"/>
      <c r="Z1130" s="22"/>
      <c r="AA1130" s="22"/>
      <c r="AB1130" s="22" t="str">
        <f t="shared" si="350"/>
        <v/>
      </c>
      <c r="AC1130" s="22" t="str">
        <f t="shared" si="351"/>
        <v/>
      </c>
      <c r="AD1130" s="22" t="str">
        <f t="shared" si="360"/>
        <v/>
      </c>
      <c r="AE1130" s="22" t="str">
        <f t="shared" si="352"/>
        <v/>
      </c>
      <c r="AF1130" s="22" t="str">
        <f t="shared" si="361"/>
        <v/>
      </c>
      <c r="AG1130" s="22" t="str">
        <f t="shared" si="362"/>
        <v/>
      </c>
      <c r="AH1130" s="22" t="str">
        <f t="shared" si="363"/>
        <v/>
      </c>
      <c r="AI1130" s="22" t="str">
        <f t="shared" si="364"/>
        <v/>
      </c>
      <c r="AJ1130" s="304" t="str">
        <f t="shared" si="365"/>
        <v/>
      </c>
      <c r="AK1130" s="140" t="str">
        <f t="shared" si="366"/>
        <v/>
      </c>
    </row>
    <row r="1131" spans="7:37" x14ac:dyDescent="0.25">
      <c r="G1131" s="235" t="str">
        <f t="shared" si="354"/>
        <v/>
      </c>
      <c r="H1131" s="4" t="str">
        <f t="shared" si="355"/>
        <v/>
      </c>
      <c r="I1131" s="11" t="str">
        <f t="shared" si="356"/>
        <v/>
      </c>
      <c r="K1131" s="30">
        <v>209</v>
      </c>
      <c r="L1131" s="29">
        <f t="shared" si="367"/>
        <v>11371.908376190921</v>
      </c>
      <c r="M1131" s="28" t="str">
        <f t="shared" si="357"/>
        <v/>
      </c>
      <c r="N1131" s="27" t="str">
        <f t="shared" si="368"/>
        <v/>
      </c>
      <c r="O1131" s="26" t="str">
        <f>IF(AND($Q1130=$O$38,IFERROR(LARGE($V$923:$V1130,1)&lt;$N$42,TRUE)),1,IF(AND(ISNUMBER($O1130),$O1130&lt;$N$32),$O1130+1,""))</f>
        <v/>
      </c>
      <c r="P1131" s="26" t="str">
        <f t="shared" si="369"/>
        <v/>
      </c>
      <c r="Q1131" s="26" t="str">
        <f t="shared" si="358"/>
        <v/>
      </c>
      <c r="R1131" s="24" t="str">
        <f t="shared" si="370"/>
        <v/>
      </c>
      <c r="S1131" s="180">
        <f t="shared" si="353"/>
        <v>8</v>
      </c>
      <c r="T1131" s="29">
        <f>SUM($AC$923:$AC1131)</f>
        <v>49500</v>
      </c>
      <c r="U1131" s="25" t="str">
        <f t="shared" si="359"/>
        <v/>
      </c>
      <c r="V1131" s="24" t="str">
        <f>IF(AND(ISNUMBER(R1130),ISNUMBER(R1131)),V1130,IF(AND(R1130="",ISNUMBER(R1131)),IFERROR(LARGE($V$923:$V1130,1)+1,0),""))</f>
        <v/>
      </c>
      <c r="W1131" s="23" t="str">
        <f t="shared" si="371"/>
        <v/>
      </c>
      <c r="X1131" s="22" t="str">
        <f t="shared" si="372"/>
        <v/>
      </c>
      <c r="Y1131" s="236"/>
      <c r="Z1131" s="22"/>
      <c r="AA1131" s="22"/>
      <c r="AB1131" s="22" t="str">
        <f t="shared" ref="AB1131:AB1194" si="373">IF((IF(AND($P1130="",$P1131=1),($N$37*-1),0)+IF(AND($Q1130="",$Q1131=1),($N$38*-1),0)+IF(OR(AND(ISNUMBER($U1131),IF(ISNUMBER($U1132),$U1132,0)-IF(ISNUMBER($U1131),$U1131,0)=1),AND(ISNUMBER($U1131),$U1132="")),IF($U1131=1,$P$37,0),0))=0,"",(IF(AND($P1130="",$P1131=1),($N$37*-1),0)+IF(AND($Q1130="",$Q1131=1),($N$38*-1),0)+IF(OR(AND(ISNUMBER($U1131),IF(ISNUMBER($U1132),$U1132,0)-IF(ISNUMBER($U1131),$U1131,0)=1),AND(ISNUMBER($U1131),$U1132="")),IF($U1131=1,$P$37,0),0)))</f>
        <v/>
      </c>
      <c r="AC1131" s="22" t="str">
        <f t="shared" ref="AC1131:AC1194" si="374">IF(IF(OR(AND(ISNUMBER($U1131),IF(ISNUMBER($U1132),$U1132,0)-IF(ISNUMBER($U1131),$U1131,0)=1),AND(ISNUMBER($U1131),$U1132="")),VLOOKUP(IF($U1131&gt;$L$63,$L$63,$U1131),$L$52:$N$63,COLUMNS($L$52:$N$52),FALSE),0)=0,"",IF(OR(AND(ISNUMBER($U1131),IF(ISNUMBER($U1132),$U1132,0)-IF(ISNUMBER($U1131),$U1131,0)=1),AND(ISNUMBER($U1131),$U1132="")),VLOOKUP(IF($U1131&gt;$L$63,$L$63,$U1131),$L$52:$N$63,COLUMNS($L$52:$N$52),FALSE),0))</f>
        <v/>
      </c>
      <c r="AD1131" s="22" t="str">
        <f t="shared" si="360"/>
        <v/>
      </c>
      <c r="AE1131" s="22" t="str">
        <f t="shared" ref="AE1131:AE1194" si="375">$AC1131</f>
        <v/>
      </c>
      <c r="AF1131" s="22" t="str">
        <f t="shared" si="361"/>
        <v/>
      </c>
      <c r="AG1131" s="22" t="str">
        <f t="shared" si="362"/>
        <v/>
      </c>
      <c r="AH1131" s="22" t="str">
        <f t="shared" si="363"/>
        <v/>
      </c>
      <c r="AI1131" s="22" t="str">
        <f t="shared" si="364"/>
        <v/>
      </c>
      <c r="AJ1131" s="304" t="str">
        <f t="shared" si="365"/>
        <v/>
      </c>
      <c r="AK1131" s="140" t="str">
        <f t="shared" si="366"/>
        <v/>
      </c>
    </row>
    <row r="1132" spans="7:37" x14ac:dyDescent="0.25">
      <c r="G1132" s="235" t="str">
        <f t="shared" si="354"/>
        <v/>
      </c>
      <c r="H1132" s="4" t="str">
        <f t="shared" si="355"/>
        <v/>
      </c>
      <c r="I1132" s="11" t="str">
        <f t="shared" si="356"/>
        <v/>
      </c>
      <c r="K1132" s="30">
        <v>210</v>
      </c>
      <c r="L1132" s="29">
        <f t="shared" si="367"/>
        <v>11371.908376190921</v>
      </c>
      <c r="M1132" s="28" t="str">
        <f t="shared" si="357"/>
        <v/>
      </c>
      <c r="N1132" s="27" t="str">
        <f t="shared" si="368"/>
        <v/>
      </c>
      <c r="O1132" s="26" t="str">
        <f>IF(AND($Q1131=$O$38,IFERROR(LARGE($V$923:$V1131,1)&lt;$N$42,TRUE)),1,IF(AND(ISNUMBER($O1131),$O1131&lt;$N$32),$O1131+1,""))</f>
        <v/>
      </c>
      <c r="P1132" s="26" t="str">
        <f t="shared" si="369"/>
        <v/>
      </c>
      <c r="Q1132" s="26" t="str">
        <f t="shared" si="358"/>
        <v/>
      </c>
      <c r="R1132" s="24" t="str">
        <f t="shared" si="370"/>
        <v/>
      </c>
      <c r="S1132" s="180">
        <f t="shared" si="353"/>
        <v>8</v>
      </c>
      <c r="T1132" s="29">
        <f>SUM($AC$923:$AC1132)</f>
        <v>49500</v>
      </c>
      <c r="U1132" s="25" t="str">
        <f t="shared" si="359"/>
        <v/>
      </c>
      <c r="V1132" s="24" t="str">
        <f>IF(AND(ISNUMBER(R1131),ISNUMBER(R1132)),V1131,IF(AND(R1131="",ISNUMBER(R1132)),IFERROR(LARGE($V$923:$V1131,1)+1,0),""))</f>
        <v/>
      </c>
      <c r="W1132" s="23" t="str">
        <f t="shared" si="371"/>
        <v/>
      </c>
      <c r="X1132" s="22" t="str">
        <f t="shared" si="372"/>
        <v/>
      </c>
      <c r="Y1132" s="236"/>
      <c r="Z1132" s="22"/>
      <c r="AA1132" s="22"/>
      <c r="AB1132" s="22" t="str">
        <f t="shared" si="373"/>
        <v/>
      </c>
      <c r="AC1132" s="22" t="str">
        <f t="shared" si="374"/>
        <v/>
      </c>
      <c r="AD1132" s="22" t="str">
        <f t="shared" si="360"/>
        <v/>
      </c>
      <c r="AE1132" s="22" t="str">
        <f t="shared" si="375"/>
        <v/>
      </c>
      <c r="AF1132" s="22" t="str">
        <f t="shared" si="361"/>
        <v/>
      </c>
      <c r="AG1132" s="22" t="str">
        <f t="shared" si="362"/>
        <v/>
      </c>
      <c r="AH1132" s="22" t="str">
        <f t="shared" si="363"/>
        <v/>
      </c>
      <c r="AI1132" s="22" t="str">
        <f t="shared" si="364"/>
        <v/>
      </c>
      <c r="AJ1132" s="304" t="str">
        <f t="shared" si="365"/>
        <v/>
      </c>
      <c r="AK1132" s="140" t="str">
        <f t="shared" si="366"/>
        <v/>
      </c>
    </row>
    <row r="1133" spans="7:37" x14ac:dyDescent="0.25">
      <c r="G1133" s="235" t="str">
        <f t="shared" si="354"/>
        <v/>
      </c>
      <c r="H1133" s="4" t="str">
        <f t="shared" si="355"/>
        <v/>
      </c>
      <c r="I1133" s="11" t="str">
        <f t="shared" si="356"/>
        <v/>
      </c>
      <c r="K1133" s="30">
        <v>211</v>
      </c>
      <c r="L1133" s="29">
        <f t="shared" si="367"/>
        <v>11371.908376190921</v>
      </c>
      <c r="M1133" s="28" t="str">
        <f t="shared" si="357"/>
        <v/>
      </c>
      <c r="N1133" s="27" t="str">
        <f t="shared" si="368"/>
        <v/>
      </c>
      <c r="O1133" s="26" t="str">
        <f>IF(AND($Q1132=$O$38,IFERROR(LARGE($V$923:$V1132,1)&lt;$N$42,TRUE)),1,IF(AND(ISNUMBER($O1132),$O1132&lt;$N$32),$O1132+1,""))</f>
        <v/>
      </c>
      <c r="P1133" s="26" t="str">
        <f t="shared" si="369"/>
        <v/>
      </c>
      <c r="Q1133" s="26" t="str">
        <f t="shared" si="358"/>
        <v/>
      </c>
      <c r="R1133" s="24" t="str">
        <f t="shared" si="370"/>
        <v/>
      </c>
      <c r="S1133" s="180">
        <f t="shared" si="353"/>
        <v>8</v>
      </c>
      <c r="T1133" s="29">
        <f>SUM($AC$923:$AC1133)</f>
        <v>49500</v>
      </c>
      <c r="U1133" s="25" t="str">
        <f t="shared" si="359"/>
        <v/>
      </c>
      <c r="V1133" s="24" t="str">
        <f>IF(AND(ISNUMBER(R1132),ISNUMBER(R1133)),V1132,IF(AND(R1132="",ISNUMBER(R1133)),IFERROR(LARGE($V$923:$V1132,1)+1,0),""))</f>
        <v/>
      </c>
      <c r="W1133" s="23" t="str">
        <f t="shared" si="371"/>
        <v/>
      </c>
      <c r="X1133" s="22" t="str">
        <f t="shared" si="372"/>
        <v/>
      </c>
      <c r="Y1133" s="236"/>
      <c r="Z1133" s="22"/>
      <c r="AA1133" s="22"/>
      <c r="AB1133" s="22" t="str">
        <f t="shared" si="373"/>
        <v/>
      </c>
      <c r="AC1133" s="22" t="str">
        <f t="shared" si="374"/>
        <v/>
      </c>
      <c r="AD1133" s="22" t="str">
        <f t="shared" si="360"/>
        <v/>
      </c>
      <c r="AE1133" s="22" t="str">
        <f t="shared" si="375"/>
        <v/>
      </c>
      <c r="AF1133" s="22" t="str">
        <f t="shared" si="361"/>
        <v/>
      </c>
      <c r="AG1133" s="22" t="str">
        <f t="shared" si="362"/>
        <v/>
      </c>
      <c r="AH1133" s="22" t="str">
        <f t="shared" si="363"/>
        <v/>
      </c>
      <c r="AI1133" s="22" t="str">
        <f t="shared" si="364"/>
        <v/>
      </c>
      <c r="AJ1133" s="304" t="str">
        <f t="shared" si="365"/>
        <v/>
      </c>
      <c r="AK1133" s="140" t="str">
        <f t="shared" si="366"/>
        <v/>
      </c>
    </row>
    <row r="1134" spans="7:37" x14ac:dyDescent="0.25">
      <c r="G1134" s="235" t="str">
        <f t="shared" si="354"/>
        <v/>
      </c>
      <c r="H1134" s="4" t="str">
        <f t="shared" si="355"/>
        <v/>
      </c>
      <c r="I1134" s="11" t="str">
        <f t="shared" si="356"/>
        <v/>
      </c>
      <c r="K1134" s="30">
        <v>212</v>
      </c>
      <c r="L1134" s="29">
        <f t="shared" si="367"/>
        <v>11371.908376190921</v>
      </c>
      <c r="M1134" s="28" t="str">
        <f t="shared" si="357"/>
        <v/>
      </c>
      <c r="N1134" s="27" t="str">
        <f t="shared" si="368"/>
        <v/>
      </c>
      <c r="O1134" s="26" t="str">
        <f>IF(AND($Q1133=$O$38,IFERROR(LARGE($V$923:$V1133,1)&lt;$N$42,TRUE)),1,IF(AND(ISNUMBER($O1133),$O1133&lt;$N$32),$O1133+1,""))</f>
        <v/>
      </c>
      <c r="P1134" s="26" t="str">
        <f t="shared" si="369"/>
        <v/>
      </c>
      <c r="Q1134" s="26" t="str">
        <f t="shared" si="358"/>
        <v/>
      </c>
      <c r="R1134" s="24" t="str">
        <f t="shared" si="370"/>
        <v/>
      </c>
      <c r="S1134" s="180">
        <f t="shared" si="353"/>
        <v>8</v>
      </c>
      <c r="T1134" s="29">
        <f>SUM($AC$923:$AC1134)</f>
        <v>49500</v>
      </c>
      <c r="U1134" s="25" t="str">
        <f t="shared" si="359"/>
        <v/>
      </c>
      <c r="V1134" s="24" t="str">
        <f>IF(AND(ISNUMBER(R1133),ISNUMBER(R1134)),V1133,IF(AND(R1133="",ISNUMBER(R1134)),IFERROR(LARGE($V$923:$V1133,1)+1,0),""))</f>
        <v/>
      </c>
      <c r="W1134" s="23" t="str">
        <f t="shared" si="371"/>
        <v/>
      </c>
      <c r="X1134" s="22" t="str">
        <f t="shared" si="372"/>
        <v/>
      </c>
      <c r="Y1134" s="236"/>
      <c r="Z1134" s="22"/>
      <c r="AA1134" s="22"/>
      <c r="AB1134" s="22" t="str">
        <f t="shared" si="373"/>
        <v/>
      </c>
      <c r="AC1134" s="22" t="str">
        <f t="shared" si="374"/>
        <v/>
      </c>
      <c r="AD1134" s="22" t="str">
        <f t="shared" si="360"/>
        <v/>
      </c>
      <c r="AE1134" s="22" t="str">
        <f t="shared" si="375"/>
        <v/>
      </c>
      <c r="AF1134" s="22" t="str">
        <f t="shared" si="361"/>
        <v/>
      </c>
      <c r="AG1134" s="22" t="str">
        <f t="shared" si="362"/>
        <v/>
      </c>
      <c r="AH1134" s="22" t="str">
        <f t="shared" si="363"/>
        <v/>
      </c>
      <c r="AI1134" s="22" t="str">
        <f t="shared" si="364"/>
        <v/>
      </c>
      <c r="AJ1134" s="304" t="str">
        <f t="shared" si="365"/>
        <v/>
      </c>
      <c r="AK1134" s="140" t="str">
        <f t="shared" si="366"/>
        <v/>
      </c>
    </row>
    <row r="1135" spans="7:37" x14ac:dyDescent="0.25">
      <c r="G1135" s="235" t="str">
        <f t="shared" si="354"/>
        <v/>
      </c>
      <c r="H1135" s="4" t="str">
        <f t="shared" si="355"/>
        <v/>
      </c>
      <c r="I1135" s="11" t="str">
        <f t="shared" si="356"/>
        <v/>
      </c>
      <c r="K1135" s="30">
        <v>213</v>
      </c>
      <c r="L1135" s="29">
        <f t="shared" si="367"/>
        <v>11371.908376190921</v>
      </c>
      <c r="M1135" s="28" t="str">
        <f t="shared" si="357"/>
        <v/>
      </c>
      <c r="N1135" s="27" t="str">
        <f t="shared" si="368"/>
        <v/>
      </c>
      <c r="O1135" s="26" t="str">
        <f>IF(AND($Q1134=$O$38,IFERROR(LARGE($V$923:$V1134,1)&lt;$N$42,TRUE)),1,IF(AND(ISNUMBER($O1134),$O1134&lt;$N$32),$O1134+1,""))</f>
        <v/>
      </c>
      <c r="P1135" s="26" t="str">
        <f t="shared" si="369"/>
        <v/>
      </c>
      <c r="Q1135" s="26" t="str">
        <f t="shared" si="358"/>
        <v/>
      </c>
      <c r="R1135" s="24" t="str">
        <f t="shared" si="370"/>
        <v/>
      </c>
      <c r="S1135" s="180">
        <f t="shared" si="353"/>
        <v>8</v>
      </c>
      <c r="T1135" s="29">
        <f>SUM($AC$923:$AC1135)</f>
        <v>49500</v>
      </c>
      <c r="U1135" s="25" t="str">
        <f t="shared" si="359"/>
        <v/>
      </c>
      <c r="V1135" s="24" t="str">
        <f>IF(AND(ISNUMBER(R1134),ISNUMBER(R1135)),V1134,IF(AND(R1134="",ISNUMBER(R1135)),IFERROR(LARGE($V$923:$V1134,1)+1,0),""))</f>
        <v/>
      </c>
      <c r="W1135" s="23" t="str">
        <f t="shared" si="371"/>
        <v/>
      </c>
      <c r="X1135" s="22" t="str">
        <f t="shared" si="372"/>
        <v/>
      </c>
      <c r="Y1135" s="236"/>
      <c r="Z1135" s="22"/>
      <c r="AA1135" s="22"/>
      <c r="AB1135" s="22" t="str">
        <f t="shared" si="373"/>
        <v/>
      </c>
      <c r="AC1135" s="22" t="str">
        <f t="shared" si="374"/>
        <v/>
      </c>
      <c r="AD1135" s="22" t="str">
        <f t="shared" si="360"/>
        <v/>
      </c>
      <c r="AE1135" s="22" t="str">
        <f t="shared" si="375"/>
        <v/>
      </c>
      <c r="AF1135" s="22" t="str">
        <f t="shared" si="361"/>
        <v/>
      </c>
      <c r="AG1135" s="22" t="str">
        <f t="shared" si="362"/>
        <v/>
      </c>
      <c r="AH1135" s="22" t="str">
        <f t="shared" si="363"/>
        <v/>
      </c>
      <c r="AI1135" s="22" t="str">
        <f t="shared" si="364"/>
        <v/>
      </c>
      <c r="AJ1135" s="304" t="str">
        <f t="shared" si="365"/>
        <v/>
      </c>
      <c r="AK1135" s="140" t="str">
        <f t="shared" si="366"/>
        <v/>
      </c>
    </row>
    <row r="1136" spans="7:37" x14ac:dyDescent="0.25">
      <c r="G1136" s="235" t="str">
        <f t="shared" si="354"/>
        <v/>
      </c>
      <c r="H1136" s="4" t="str">
        <f t="shared" si="355"/>
        <v/>
      </c>
      <c r="I1136" s="11" t="str">
        <f t="shared" si="356"/>
        <v/>
      </c>
      <c r="K1136" s="30">
        <v>214</v>
      </c>
      <c r="L1136" s="29">
        <f t="shared" si="367"/>
        <v>11371.908376190921</v>
      </c>
      <c r="M1136" s="28" t="str">
        <f t="shared" si="357"/>
        <v/>
      </c>
      <c r="N1136" s="27" t="str">
        <f t="shared" si="368"/>
        <v/>
      </c>
      <c r="O1136" s="26" t="str">
        <f>IF(AND($Q1135=$O$38,IFERROR(LARGE($V$923:$V1135,1)&lt;$N$42,TRUE)),1,IF(AND(ISNUMBER($O1135),$O1135&lt;$N$32),$O1135+1,""))</f>
        <v/>
      </c>
      <c r="P1136" s="26" t="str">
        <f t="shared" si="369"/>
        <v/>
      </c>
      <c r="Q1136" s="26" t="str">
        <f t="shared" si="358"/>
        <v/>
      </c>
      <c r="R1136" s="24" t="str">
        <f t="shared" si="370"/>
        <v/>
      </c>
      <c r="S1136" s="180">
        <f t="shared" si="353"/>
        <v>8</v>
      </c>
      <c r="T1136" s="29">
        <f>SUM($AC$923:$AC1136)</f>
        <v>49500</v>
      </c>
      <c r="U1136" s="25" t="str">
        <f t="shared" si="359"/>
        <v/>
      </c>
      <c r="V1136" s="24" t="str">
        <f>IF(AND(ISNUMBER(R1135),ISNUMBER(R1136)),V1135,IF(AND(R1135="",ISNUMBER(R1136)),IFERROR(LARGE($V$923:$V1135,1)+1,0),""))</f>
        <v/>
      </c>
      <c r="W1136" s="23" t="str">
        <f t="shared" si="371"/>
        <v/>
      </c>
      <c r="X1136" s="22" t="str">
        <f t="shared" si="372"/>
        <v/>
      </c>
      <c r="Y1136" s="236"/>
      <c r="Z1136" s="22"/>
      <c r="AA1136" s="22"/>
      <c r="AB1136" s="22" t="str">
        <f t="shared" si="373"/>
        <v/>
      </c>
      <c r="AC1136" s="22" t="str">
        <f t="shared" si="374"/>
        <v/>
      </c>
      <c r="AD1136" s="22" t="str">
        <f t="shared" si="360"/>
        <v/>
      </c>
      <c r="AE1136" s="22" t="str">
        <f t="shared" si="375"/>
        <v/>
      </c>
      <c r="AF1136" s="22" t="str">
        <f t="shared" si="361"/>
        <v/>
      </c>
      <c r="AG1136" s="22" t="str">
        <f t="shared" si="362"/>
        <v/>
      </c>
      <c r="AH1136" s="22" t="str">
        <f t="shared" si="363"/>
        <v/>
      </c>
      <c r="AI1136" s="22" t="str">
        <f t="shared" si="364"/>
        <v/>
      </c>
      <c r="AJ1136" s="304" t="str">
        <f t="shared" si="365"/>
        <v/>
      </c>
      <c r="AK1136" s="140" t="str">
        <f t="shared" si="366"/>
        <v/>
      </c>
    </row>
    <row r="1137" spans="7:37" x14ac:dyDescent="0.25">
      <c r="G1137" s="235" t="str">
        <f t="shared" si="354"/>
        <v/>
      </c>
      <c r="H1137" s="4" t="str">
        <f t="shared" si="355"/>
        <v/>
      </c>
      <c r="I1137" s="11" t="str">
        <f t="shared" si="356"/>
        <v/>
      </c>
      <c r="K1137" s="30">
        <v>215</v>
      </c>
      <c r="L1137" s="29">
        <f t="shared" si="367"/>
        <v>11371.908376190921</v>
      </c>
      <c r="M1137" s="28" t="str">
        <f t="shared" si="357"/>
        <v/>
      </c>
      <c r="N1137" s="27" t="str">
        <f t="shared" si="368"/>
        <v/>
      </c>
      <c r="O1137" s="26" t="str">
        <f>IF(AND($Q1136=$O$38,IFERROR(LARGE($V$923:$V1136,1)&lt;$N$42,TRUE)),1,IF(AND(ISNUMBER($O1136),$O1136&lt;$N$32),$O1136+1,""))</f>
        <v/>
      </c>
      <c r="P1137" s="26" t="str">
        <f t="shared" si="369"/>
        <v/>
      </c>
      <c r="Q1137" s="26" t="str">
        <f t="shared" si="358"/>
        <v/>
      </c>
      <c r="R1137" s="24" t="str">
        <f t="shared" si="370"/>
        <v/>
      </c>
      <c r="S1137" s="180">
        <f t="shared" si="353"/>
        <v>8</v>
      </c>
      <c r="T1137" s="29">
        <f>SUM($AC$923:$AC1137)</f>
        <v>49500</v>
      </c>
      <c r="U1137" s="25" t="str">
        <f t="shared" si="359"/>
        <v/>
      </c>
      <c r="V1137" s="24" t="str">
        <f>IF(AND(ISNUMBER(R1136),ISNUMBER(R1137)),V1136,IF(AND(R1136="",ISNUMBER(R1137)),IFERROR(LARGE($V$923:$V1136,1)+1,0),""))</f>
        <v/>
      </c>
      <c r="W1137" s="23" t="str">
        <f t="shared" si="371"/>
        <v/>
      </c>
      <c r="X1137" s="22" t="str">
        <f t="shared" si="372"/>
        <v/>
      </c>
      <c r="Y1137" s="236"/>
      <c r="Z1137" s="22"/>
      <c r="AA1137" s="22"/>
      <c r="AB1137" s="22" t="str">
        <f t="shared" si="373"/>
        <v/>
      </c>
      <c r="AC1137" s="22" t="str">
        <f t="shared" si="374"/>
        <v/>
      </c>
      <c r="AD1137" s="22" t="str">
        <f t="shared" si="360"/>
        <v/>
      </c>
      <c r="AE1137" s="22" t="str">
        <f t="shared" si="375"/>
        <v/>
      </c>
      <c r="AF1137" s="22" t="str">
        <f t="shared" si="361"/>
        <v/>
      </c>
      <c r="AG1137" s="22" t="str">
        <f t="shared" si="362"/>
        <v/>
      </c>
      <c r="AH1137" s="22" t="str">
        <f t="shared" si="363"/>
        <v/>
      </c>
      <c r="AI1137" s="22" t="str">
        <f t="shared" si="364"/>
        <v/>
      </c>
      <c r="AJ1137" s="304" t="str">
        <f t="shared" si="365"/>
        <v/>
      </c>
      <c r="AK1137" s="140" t="str">
        <f t="shared" si="366"/>
        <v/>
      </c>
    </row>
    <row r="1138" spans="7:37" x14ac:dyDescent="0.25">
      <c r="G1138" s="235" t="str">
        <f t="shared" si="354"/>
        <v/>
      </c>
      <c r="H1138" s="4" t="str">
        <f t="shared" si="355"/>
        <v/>
      </c>
      <c r="I1138" s="11" t="str">
        <f t="shared" si="356"/>
        <v/>
      </c>
      <c r="K1138" s="30">
        <v>216</v>
      </c>
      <c r="L1138" s="29">
        <f t="shared" si="367"/>
        <v>11371.908376190921</v>
      </c>
      <c r="M1138" s="28" t="str">
        <f t="shared" si="357"/>
        <v/>
      </c>
      <c r="N1138" s="27" t="str">
        <f t="shared" si="368"/>
        <v/>
      </c>
      <c r="O1138" s="26" t="str">
        <f>IF(AND($Q1137=$O$38,IFERROR(LARGE($V$923:$V1137,1)&lt;$N$42,TRUE)),1,IF(AND(ISNUMBER($O1137),$O1137&lt;$N$32),$O1137+1,""))</f>
        <v/>
      </c>
      <c r="P1138" s="26" t="str">
        <f t="shared" si="369"/>
        <v/>
      </c>
      <c r="Q1138" s="26" t="str">
        <f t="shared" si="358"/>
        <v/>
      </c>
      <c r="R1138" s="24" t="str">
        <f t="shared" si="370"/>
        <v/>
      </c>
      <c r="S1138" s="180">
        <f t="shared" ref="S1138:S1201" si="376">IF($Q1138=1,ROUNDDOWN($S1137,0),IF($O1138=1,ROUNDDOWN($S1137,0)+1,IF($R1138=1,$S1137+0.01,IF(ISNUMBER($U1138),IF(AND($U1138&gt;1,($U1138-$U1137)=1),$S1137+0.01,$S1137),$S1137))))</f>
        <v>8</v>
      </c>
      <c r="T1138" s="29">
        <f>SUM($AC$923:$AC1138)</f>
        <v>49500</v>
      </c>
      <c r="U1138" s="25" t="str">
        <f t="shared" si="359"/>
        <v/>
      </c>
      <c r="V1138" s="24" t="str">
        <f>IF(AND(ISNUMBER(R1137),ISNUMBER(R1138)),V1137,IF(AND(R1137="",ISNUMBER(R1138)),IFERROR(LARGE($V$923:$V1137,1)+1,0),""))</f>
        <v/>
      </c>
      <c r="W1138" s="23" t="str">
        <f t="shared" si="371"/>
        <v/>
      </c>
      <c r="X1138" s="22" t="str">
        <f t="shared" si="372"/>
        <v/>
      </c>
      <c r="Y1138" s="236"/>
      <c r="Z1138" s="22"/>
      <c r="AA1138" s="22"/>
      <c r="AB1138" s="22" t="str">
        <f t="shared" si="373"/>
        <v/>
      </c>
      <c r="AC1138" s="22" t="str">
        <f t="shared" si="374"/>
        <v/>
      </c>
      <c r="AD1138" s="22" t="str">
        <f t="shared" si="360"/>
        <v/>
      </c>
      <c r="AE1138" s="22" t="str">
        <f t="shared" si="375"/>
        <v/>
      </c>
      <c r="AF1138" s="22" t="str">
        <f t="shared" si="361"/>
        <v/>
      </c>
      <c r="AG1138" s="22" t="str">
        <f t="shared" si="362"/>
        <v/>
      </c>
      <c r="AH1138" s="22" t="str">
        <f t="shared" si="363"/>
        <v/>
      </c>
      <c r="AI1138" s="22" t="str">
        <f t="shared" si="364"/>
        <v/>
      </c>
      <c r="AJ1138" s="304" t="str">
        <f t="shared" si="365"/>
        <v/>
      </c>
      <c r="AK1138" s="140" t="str">
        <f t="shared" si="366"/>
        <v/>
      </c>
    </row>
    <row r="1139" spans="7:37" x14ac:dyDescent="0.25">
      <c r="G1139" s="235" t="str">
        <f t="shared" si="354"/>
        <v/>
      </c>
      <c r="H1139" s="4" t="str">
        <f t="shared" si="355"/>
        <v/>
      </c>
      <c r="I1139" s="11" t="str">
        <f t="shared" si="356"/>
        <v/>
      </c>
      <c r="K1139" s="30">
        <v>217</v>
      </c>
      <c r="L1139" s="29">
        <f t="shared" si="367"/>
        <v>11371.908376190921</v>
      </c>
      <c r="M1139" s="28" t="str">
        <f t="shared" si="357"/>
        <v/>
      </c>
      <c r="N1139" s="27" t="str">
        <f t="shared" si="368"/>
        <v/>
      </c>
      <c r="O1139" s="26" t="str">
        <f>IF(AND($Q1138=$O$38,IFERROR(LARGE($V$923:$V1138,1)&lt;$N$42,TRUE)),1,IF(AND(ISNUMBER($O1138),$O1138&lt;$N$32),$O1138+1,""))</f>
        <v/>
      </c>
      <c r="P1139" s="26" t="str">
        <f t="shared" si="369"/>
        <v/>
      </c>
      <c r="Q1139" s="26" t="str">
        <f t="shared" si="358"/>
        <v/>
      </c>
      <c r="R1139" s="24" t="str">
        <f t="shared" si="370"/>
        <v/>
      </c>
      <c r="S1139" s="180">
        <f t="shared" si="376"/>
        <v>8</v>
      </c>
      <c r="T1139" s="29">
        <f>SUM($AC$923:$AC1139)</f>
        <v>49500</v>
      </c>
      <c r="U1139" s="25" t="str">
        <f t="shared" si="359"/>
        <v/>
      </c>
      <c r="V1139" s="24" t="str">
        <f>IF(AND(ISNUMBER(R1138),ISNUMBER(R1139)),V1138,IF(AND(R1138="",ISNUMBER(R1139)),IFERROR(LARGE($V$923:$V1138,1)+1,0),""))</f>
        <v/>
      </c>
      <c r="W1139" s="23" t="str">
        <f t="shared" si="371"/>
        <v/>
      </c>
      <c r="X1139" s="22" t="str">
        <f t="shared" si="372"/>
        <v/>
      </c>
      <c r="Y1139" s="236"/>
      <c r="Z1139" s="22"/>
      <c r="AA1139" s="22"/>
      <c r="AB1139" s="22" t="str">
        <f t="shared" si="373"/>
        <v/>
      </c>
      <c r="AC1139" s="22" t="str">
        <f t="shared" si="374"/>
        <v/>
      </c>
      <c r="AD1139" s="22" t="str">
        <f t="shared" si="360"/>
        <v/>
      </c>
      <c r="AE1139" s="22" t="str">
        <f t="shared" si="375"/>
        <v/>
      </c>
      <c r="AF1139" s="22" t="str">
        <f t="shared" si="361"/>
        <v/>
      </c>
      <c r="AG1139" s="22" t="str">
        <f t="shared" si="362"/>
        <v/>
      </c>
      <c r="AH1139" s="22" t="str">
        <f t="shared" si="363"/>
        <v/>
      </c>
      <c r="AI1139" s="22" t="str">
        <f t="shared" si="364"/>
        <v/>
      </c>
      <c r="AJ1139" s="304" t="str">
        <f t="shared" si="365"/>
        <v/>
      </c>
      <c r="AK1139" s="140" t="str">
        <f t="shared" si="366"/>
        <v/>
      </c>
    </row>
    <row r="1140" spans="7:37" x14ac:dyDescent="0.25">
      <c r="G1140" s="235" t="str">
        <f t="shared" si="354"/>
        <v/>
      </c>
      <c r="H1140" s="4" t="str">
        <f t="shared" si="355"/>
        <v/>
      </c>
      <c r="I1140" s="11" t="str">
        <f t="shared" si="356"/>
        <v/>
      </c>
      <c r="K1140" s="30">
        <v>218</v>
      </c>
      <c r="L1140" s="29">
        <f t="shared" si="367"/>
        <v>11371.908376190921</v>
      </c>
      <c r="M1140" s="28" t="str">
        <f t="shared" si="357"/>
        <v/>
      </c>
      <c r="N1140" s="27" t="str">
        <f t="shared" si="368"/>
        <v/>
      </c>
      <c r="O1140" s="26" t="str">
        <f>IF(AND($Q1139=$O$38,IFERROR(LARGE($V$923:$V1139,1)&lt;$N$42,TRUE)),1,IF(AND(ISNUMBER($O1139),$O1139&lt;$N$32),$O1139+1,""))</f>
        <v/>
      </c>
      <c r="P1140" s="26" t="str">
        <f t="shared" si="369"/>
        <v/>
      </c>
      <c r="Q1140" s="26" t="str">
        <f t="shared" si="358"/>
        <v/>
      </c>
      <c r="R1140" s="24" t="str">
        <f t="shared" si="370"/>
        <v/>
      </c>
      <c r="S1140" s="180">
        <f t="shared" si="376"/>
        <v>8</v>
      </c>
      <c r="T1140" s="29">
        <f>SUM($AC$923:$AC1140)</f>
        <v>49500</v>
      </c>
      <c r="U1140" s="25" t="str">
        <f t="shared" si="359"/>
        <v/>
      </c>
      <c r="V1140" s="24" t="str">
        <f>IF(AND(ISNUMBER(R1139),ISNUMBER(R1140)),V1139,IF(AND(R1139="",ISNUMBER(R1140)),IFERROR(LARGE($V$923:$V1139,1)+1,0),""))</f>
        <v/>
      </c>
      <c r="W1140" s="23" t="str">
        <f t="shared" si="371"/>
        <v/>
      </c>
      <c r="X1140" s="22" t="str">
        <f t="shared" si="372"/>
        <v/>
      </c>
      <c r="Y1140" s="236"/>
      <c r="Z1140" s="22"/>
      <c r="AA1140" s="22"/>
      <c r="AB1140" s="22" t="str">
        <f t="shared" si="373"/>
        <v/>
      </c>
      <c r="AC1140" s="22" t="str">
        <f t="shared" si="374"/>
        <v/>
      </c>
      <c r="AD1140" s="22" t="str">
        <f t="shared" si="360"/>
        <v/>
      </c>
      <c r="AE1140" s="22" t="str">
        <f t="shared" si="375"/>
        <v/>
      </c>
      <c r="AF1140" s="22" t="str">
        <f t="shared" si="361"/>
        <v/>
      </c>
      <c r="AG1140" s="22" t="str">
        <f t="shared" si="362"/>
        <v/>
      </c>
      <c r="AH1140" s="22" t="str">
        <f t="shared" si="363"/>
        <v/>
      </c>
      <c r="AI1140" s="22" t="str">
        <f t="shared" si="364"/>
        <v/>
      </c>
      <c r="AJ1140" s="304" t="str">
        <f t="shared" si="365"/>
        <v/>
      </c>
      <c r="AK1140" s="140" t="str">
        <f t="shared" si="366"/>
        <v/>
      </c>
    </row>
    <row r="1141" spans="7:37" x14ac:dyDescent="0.25">
      <c r="G1141" s="235" t="str">
        <f t="shared" si="354"/>
        <v/>
      </c>
      <c r="H1141" s="4" t="str">
        <f t="shared" si="355"/>
        <v/>
      </c>
      <c r="I1141" s="11" t="str">
        <f t="shared" si="356"/>
        <v/>
      </c>
      <c r="K1141" s="30">
        <v>219</v>
      </c>
      <c r="L1141" s="29">
        <f t="shared" si="367"/>
        <v>11371.908376190921</v>
      </c>
      <c r="M1141" s="28" t="str">
        <f t="shared" si="357"/>
        <v/>
      </c>
      <c r="N1141" s="27" t="str">
        <f t="shared" si="368"/>
        <v/>
      </c>
      <c r="O1141" s="26" t="str">
        <f>IF(AND($Q1140=$O$38,IFERROR(LARGE($V$923:$V1140,1)&lt;$N$42,TRUE)),1,IF(AND(ISNUMBER($O1140),$O1140&lt;$N$32),$O1140+1,""))</f>
        <v/>
      </c>
      <c r="P1141" s="26" t="str">
        <f t="shared" si="369"/>
        <v/>
      </c>
      <c r="Q1141" s="26" t="str">
        <f t="shared" si="358"/>
        <v/>
      </c>
      <c r="R1141" s="24" t="str">
        <f t="shared" si="370"/>
        <v/>
      </c>
      <c r="S1141" s="180">
        <f t="shared" si="376"/>
        <v>8</v>
      </c>
      <c r="T1141" s="29">
        <f>SUM($AC$923:$AC1141)</f>
        <v>49500</v>
      </c>
      <c r="U1141" s="25" t="str">
        <f t="shared" si="359"/>
        <v/>
      </c>
      <c r="V1141" s="24" t="str">
        <f>IF(AND(ISNUMBER(R1140),ISNUMBER(R1141)),V1140,IF(AND(R1140="",ISNUMBER(R1141)),IFERROR(LARGE($V$923:$V1140,1)+1,0),""))</f>
        <v/>
      </c>
      <c r="W1141" s="23" t="str">
        <f t="shared" si="371"/>
        <v/>
      </c>
      <c r="X1141" s="22" t="str">
        <f t="shared" si="372"/>
        <v/>
      </c>
      <c r="Y1141" s="236"/>
      <c r="Z1141" s="22"/>
      <c r="AA1141" s="22"/>
      <c r="AB1141" s="22" t="str">
        <f t="shared" si="373"/>
        <v/>
      </c>
      <c r="AC1141" s="22" t="str">
        <f t="shared" si="374"/>
        <v/>
      </c>
      <c r="AD1141" s="22" t="str">
        <f t="shared" si="360"/>
        <v/>
      </c>
      <c r="AE1141" s="22" t="str">
        <f t="shared" si="375"/>
        <v/>
      </c>
      <c r="AF1141" s="22" t="str">
        <f t="shared" si="361"/>
        <v/>
      </c>
      <c r="AG1141" s="22" t="str">
        <f t="shared" si="362"/>
        <v/>
      </c>
      <c r="AH1141" s="22" t="str">
        <f t="shared" si="363"/>
        <v/>
      </c>
      <c r="AI1141" s="22" t="str">
        <f t="shared" si="364"/>
        <v/>
      </c>
      <c r="AJ1141" s="304" t="str">
        <f t="shared" si="365"/>
        <v/>
      </c>
      <c r="AK1141" s="140" t="str">
        <f t="shared" si="366"/>
        <v/>
      </c>
    </row>
    <row r="1142" spans="7:37" x14ac:dyDescent="0.25">
      <c r="G1142" s="235" t="str">
        <f t="shared" si="354"/>
        <v/>
      </c>
      <c r="H1142" s="4" t="str">
        <f t="shared" si="355"/>
        <v/>
      </c>
      <c r="I1142" s="11" t="str">
        <f t="shared" si="356"/>
        <v/>
      </c>
      <c r="K1142" s="30">
        <v>220</v>
      </c>
      <c r="L1142" s="29">
        <f t="shared" si="367"/>
        <v>11371.908376190921</v>
      </c>
      <c r="M1142" s="28" t="str">
        <f t="shared" si="357"/>
        <v/>
      </c>
      <c r="N1142" s="27" t="str">
        <f t="shared" si="368"/>
        <v/>
      </c>
      <c r="O1142" s="26" t="str">
        <f>IF(AND($Q1141=$O$38,IFERROR(LARGE($V$923:$V1141,1)&lt;$N$42,TRUE)),1,IF(AND(ISNUMBER($O1141),$O1141&lt;$N$32),$O1141+1,""))</f>
        <v/>
      </c>
      <c r="P1142" s="26" t="str">
        <f t="shared" si="369"/>
        <v/>
      </c>
      <c r="Q1142" s="26" t="str">
        <f t="shared" si="358"/>
        <v/>
      </c>
      <c r="R1142" s="24" t="str">
        <f t="shared" si="370"/>
        <v/>
      </c>
      <c r="S1142" s="180">
        <f t="shared" si="376"/>
        <v>8</v>
      </c>
      <c r="T1142" s="29">
        <f>SUM($AC$923:$AC1142)</f>
        <v>49500</v>
      </c>
      <c r="U1142" s="25" t="str">
        <f t="shared" si="359"/>
        <v/>
      </c>
      <c r="V1142" s="24" t="str">
        <f>IF(AND(ISNUMBER(R1141),ISNUMBER(R1142)),V1141,IF(AND(R1141="",ISNUMBER(R1142)),IFERROR(LARGE($V$923:$V1141,1)+1,0),""))</f>
        <v/>
      </c>
      <c r="W1142" s="23" t="str">
        <f t="shared" si="371"/>
        <v/>
      </c>
      <c r="X1142" s="22" t="str">
        <f t="shared" si="372"/>
        <v/>
      </c>
      <c r="Y1142" s="236"/>
      <c r="Z1142" s="22"/>
      <c r="AA1142" s="22"/>
      <c r="AB1142" s="22" t="str">
        <f t="shared" si="373"/>
        <v/>
      </c>
      <c r="AC1142" s="22" t="str">
        <f t="shared" si="374"/>
        <v/>
      </c>
      <c r="AD1142" s="22" t="str">
        <f t="shared" si="360"/>
        <v/>
      </c>
      <c r="AE1142" s="22" t="str">
        <f t="shared" si="375"/>
        <v/>
      </c>
      <c r="AF1142" s="22" t="str">
        <f t="shared" si="361"/>
        <v/>
      </c>
      <c r="AG1142" s="22" t="str">
        <f t="shared" si="362"/>
        <v/>
      </c>
      <c r="AH1142" s="22" t="str">
        <f t="shared" si="363"/>
        <v/>
      </c>
      <c r="AI1142" s="22" t="str">
        <f t="shared" si="364"/>
        <v/>
      </c>
      <c r="AJ1142" s="304" t="str">
        <f t="shared" si="365"/>
        <v/>
      </c>
      <c r="AK1142" s="140" t="str">
        <f t="shared" si="366"/>
        <v/>
      </c>
    </row>
    <row r="1143" spans="7:37" x14ac:dyDescent="0.25">
      <c r="G1143" s="235" t="str">
        <f t="shared" si="354"/>
        <v/>
      </c>
      <c r="H1143" s="4" t="str">
        <f t="shared" si="355"/>
        <v/>
      </c>
      <c r="I1143" s="11" t="str">
        <f t="shared" si="356"/>
        <v/>
      </c>
      <c r="K1143" s="30">
        <v>221</v>
      </c>
      <c r="L1143" s="29">
        <f t="shared" si="367"/>
        <v>11371.908376190921</v>
      </c>
      <c r="M1143" s="28" t="str">
        <f t="shared" si="357"/>
        <v/>
      </c>
      <c r="N1143" s="27" t="str">
        <f t="shared" si="368"/>
        <v/>
      </c>
      <c r="O1143" s="26" t="str">
        <f>IF(AND($Q1142=$O$38,IFERROR(LARGE($V$923:$V1142,1)&lt;$N$42,TRUE)),1,IF(AND(ISNUMBER($O1142),$O1142&lt;$N$32),$O1142+1,""))</f>
        <v/>
      </c>
      <c r="P1143" s="26" t="str">
        <f t="shared" si="369"/>
        <v/>
      </c>
      <c r="Q1143" s="26" t="str">
        <f t="shared" si="358"/>
        <v/>
      </c>
      <c r="R1143" s="24" t="str">
        <f t="shared" si="370"/>
        <v/>
      </c>
      <c r="S1143" s="180">
        <f t="shared" si="376"/>
        <v>8</v>
      </c>
      <c r="T1143" s="29">
        <f>SUM($AC$923:$AC1143)</f>
        <v>49500</v>
      </c>
      <c r="U1143" s="25" t="str">
        <f t="shared" si="359"/>
        <v/>
      </c>
      <c r="V1143" s="24" t="str">
        <f>IF(AND(ISNUMBER(R1142),ISNUMBER(R1143)),V1142,IF(AND(R1142="",ISNUMBER(R1143)),IFERROR(LARGE($V$923:$V1142,1)+1,0),""))</f>
        <v/>
      </c>
      <c r="W1143" s="23" t="str">
        <f t="shared" si="371"/>
        <v/>
      </c>
      <c r="X1143" s="22" t="str">
        <f t="shared" si="372"/>
        <v/>
      </c>
      <c r="Y1143" s="236"/>
      <c r="Z1143" s="22"/>
      <c r="AA1143" s="22"/>
      <c r="AB1143" s="22" t="str">
        <f t="shared" si="373"/>
        <v/>
      </c>
      <c r="AC1143" s="22" t="str">
        <f t="shared" si="374"/>
        <v/>
      </c>
      <c r="AD1143" s="22" t="str">
        <f t="shared" si="360"/>
        <v/>
      </c>
      <c r="AE1143" s="22" t="str">
        <f t="shared" si="375"/>
        <v/>
      </c>
      <c r="AF1143" s="22" t="str">
        <f t="shared" si="361"/>
        <v/>
      </c>
      <c r="AG1143" s="22" t="str">
        <f t="shared" si="362"/>
        <v/>
      </c>
      <c r="AH1143" s="22" t="str">
        <f t="shared" si="363"/>
        <v/>
      </c>
      <c r="AI1143" s="22" t="str">
        <f t="shared" si="364"/>
        <v/>
      </c>
      <c r="AJ1143" s="304" t="str">
        <f t="shared" si="365"/>
        <v/>
      </c>
      <c r="AK1143" s="140" t="str">
        <f t="shared" si="366"/>
        <v/>
      </c>
    </row>
    <row r="1144" spans="7:37" x14ac:dyDescent="0.25">
      <c r="G1144" s="235" t="str">
        <f>IF(RIGHT(H1144,2)=".N","NEW",IF(SUM(N1144:R1144)=0,"",LEFT(H1144,5)))</f>
        <v/>
      </c>
      <c r="H1144" s="4" t="str">
        <f t="shared" si="355"/>
        <v/>
      </c>
      <c r="I1144" s="11" t="str">
        <f t="shared" si="356"/>
        <v/>
      </c>
      <c r="K1144" s="30">
        <v>222</v>
      </c>
      <c r="L1144" s="29">
        <f t="shared" si="367"/>
        <v>11371.908376190921</v>
      </c>
      <c r="M1144" s="28" t="str">
        <f t="shared" si="357"/>
        <v/>
      </c>
      <c r="N1144" s="27" t="str">
        <f t="shared" si="368"/>
        <v/>
      </c>
      <c r="O1144" s="26" t="str">
        <f>IF(AND($Q1143=$O$38,IFERROR(LARGE($V$923:$V1143,1)&lt;$N$42,TRUE)),1,IF(AND(ISNUMBER($O1143),$O1143&lt;$N$32),$O1143+1,""))</f>
        <v/>
      </c>
      <c r="P1144" s="26" t="str">
        <f t="shared" si="369"/>
        <v/>
      </c>
      <c r="Q1144" s="26" t="str">
        <f t="shared" si="358"/>
        <v/>
      </c>
      <c r="R1144" s="24" t="str">
        <f t="shared" si="370"/>
        <v/>
      </c>
      <c r="S1144" s="180">
        <f t="shared" si="376"/>
        <v>8</v>
      </c>
      <c r="T1144" s="29">
        <f>SUM($AC$923:$AC1144)</f>
        <v>49500</v>
      </c>
      <c r="U1144" s="25" t="str">
        <f t="shared" si="359"/>
        <v/>
      </c>
      <c r="V1144" s="24" t="str">
        <f>IF(AND(ISNUMBER(R1143),ISNUMBER(R1144)),V1143,IF(AND(R1143="",ISNUMBER(R1144)),IFERROR(LARGE($V$923:$V1143,1)+1,0),""))</f>
        <v/>
      </c>
      <c r="W1144" s="23" t="str">
        <f t="shared" si="371"/>
        <v/>
      </c>
      <c r="X1144" s="22" t="str">
        <f t="shared" si="372"/>
        <v/>
      </c>
      <c r="Y1144" s="236"/>
      <c r="Z1144" s="22"/>
      <c r="AA1144" s="22"/>
      <c r="AB1144" s="22" t="str">
        <f t="shared" si="373"/>
        <v/>
      </c>
      <c r="AC1144" s="22" t="str">
        <f t="shared" si="374"/>
        <v/>
      </c>
      <c r="AD1144" s="22" t="str">
        <f t="shared" si="360"/>
        <v/>
      </c>
      <c r="AE1144" s="22" t="str">
        <f t="shared" si="375"/>
        <v/>
      </c>
      <c r="AF1144" s="22" t="str">
        <f t="shared" si="361"/>
        <v/>
      </c>
      <c r="AG1144" s="22" t="str">
        <f t="shared" si="362"/>
        <v/>
      </c>
      <c r="AH1144" s="22" t="str">
        <f t="shared" si="363"/>
        <v/>
      </c>
      <c r="AI1144" s="22" t="str">
        <f t="shared" si="364"/>
        <v/>
      </c>
      <c r="AJ1144" s="304" t="str">
        <f t="shared" si="365"/>
        <v/>
      </c>
      <c r="AK1144" s="140" t="str">
        <f t="shared" si="366"/>
        <v/>
      </c>
    </row>
    <row r="1145" spans="7:37" x14ac:dyDescent="0.25">
      <c r="G1145" s="235" t="str">
        <f t="shared" si="354"/>
        <v/>
      </c>
      <c r="H1145" s="4" t="str">
        <f>IF(SUM(N1145:R1145)&gt;0,CONCATENATE(IF(LEN(ROUNDDOWN(S1145,0))=1,CONCATENATE("0",ROUNDDOWN(S1145,0)),ROUNDDOWN(S1145,0)),".",IF(LEN(ROUND(MOD(S1145,1)*100,0))=1,CONCATENATE("0",ROUND(MOD(S1145,1)*100,0)),ROUND(MOD(S1145,1)*100,0)),IF(N1145&lt;&gt;"",".N",IF(O1145&lt;&gt;"",".R",IF(P1145&lt;&gt;"",".O",IF(Q1145&lt;&gt;"",".I",IF(R1145&lt;&gt;"",".D","")))))),"")</f>
        <v/>
      </c>
      <c r="I1145" s="11" t="str">
        <f t="shared" si="356"/>
        <v/>
      </c>
      <c r="K1145" s="30">
        <v>223</v>
      </c>
      <c r="L1145" s="29">
        <f t="shared" si="367"/>
        <v>11371.908376190921</v>
      </c>
      <c r="M1145" s="28" t="str">
        <f t="shared" si="357"/>
        <v/>
      </c>
      <c r="N1145" s="27" t="str">
        <f t="shared" si="368"/>
        <v/>
      </c>
      <c r="O1145" s="26" t="str">
        <f>IF(AND($Q1144=$O$38,IFERROR(LARGE($V$923:$V1144,1)&lt;$N$42,TRUE)),1,IF(AND(ISNUMBER($O1144),$O1144&lt;$N$32),$O1144+1,""))</f>
        <v/>
      </c>
      <c r="P1145" s="26" t="str">
        <f t="shared" si="369"/>
        <v/>
      </c>
      <c r="Q1145" s="26" t="str">
        <f t="shared" si="358"/>
        <v/>
      </c>
      <c r="R1145" s="24" t="str">
        <f t="shared" si="370"/>
        <v/>
      </c>
      <c r="S1145" s="180">
        <f t="shared" si="376"/>
        <v>8</v>
      </c>
      <c r="T1145" s="29">
        <f>SUM($AC$923:$AC1145)</f>
        <v>49500</v>
      </c>
      <c r="U1145" s="25" t="str">
        <f t="shared" si="359"/>
        <v/>
      </c>
      <c r="V1145" s="24" t="str">
        <f>IF(AND(ISNUMBER(R1144),ISNUMBER(R1145)),V1144,IF(AND(R1144="",ISNUMBER(R1145)),IFERROR(LARGE($V$923:$V1144,1)+1,0),""))</f>
        <v/>
      </c>
      <c r="W1145" s="23" t="str">
        <f t="shared" si="371"/>
        <v/>
      </c>
      <c r="X1145" s="22" t="str">
        <f t="shared" si="372"/>
        <v/>
      </c>
      <c r="Y1145" s="236"/>
      <c r="Z1145" s="22"/>
      <c r="AA1145" s="22"/>
      <c r="AB1145" s="22" t="str">
        <f t="shared" si="373"/>
        <v/>
      </c>
      <c r="AC1145" s="22" t="str">
        <f t="shared" si="374"/>
        <v/>
      </c>
      <c r="AD1145" s="22" t="str">
        <f t="shared" si="360"/>
        <v/>
      </c>
      <c r="AE1145" s="22" t="str">
        <f t="shared" si="375"/>
        <v/>
      </c>
      <c r="AF1145" s="22" t="str">
        <f t="shared" si="361"/>
        <v/>
      </c>
      <c r="AG1145" s="22" t="str">
        <f t="shared" si="362"/>
        <v/>
      </c>
      <c r="AH1145" s="22" t="str">
        <f t="shared" si="363"/>
        <v/>
      </c>
      <c r="AI1145" s="22" t="str">
        <f t="shared" si="364"/>
        <v/>
      </c>
      <c r="AJ1145" s="304" t="str">
        <f t="shared" si="365"/>
        <v/>
      </c>
      <c r="AK1145" s="140" t="str">
        <f t="shared" si="366"/>
        <v/>
      </c>
    </row>
    <row r="1146" spans="7:37" x14ac:dyDescent="0.25">
      <c r="G1146" s="235" t="str">
        <f t="shared" si="354"/>
        <v/>
      </c>
      <c r="H1146" s="4" t="str">
        <f t="shared" ref="H1146:H1209" si="377">IF(SUM(N1146:R1146)&gt;0,CONCATENATE(IF(LEN(ROUNDDOWN(S1146,0))=1,CONCATENATE("0",ROUNDDOWN(S1146,0)),ROUNDDOWN(S1146,0)),".",IF(LEN(ROUND(MOD(S1146,1)*100,0))=1,CONCATENATE("0",ROUND(MOD(S1146,1)*100,0)),ROUND(MOD(S1146,1)*100,0)),IF(N1146&lt;&gt;"",".N",IF(O1146&lt;&gt;"",".R",IF(P1146&lt;&gt;"",".O",IF(Q1146&lt;&gt;"",".I",IF(R1146&lt;&gt;"",".D","")))))),"")</f>
        <v/>
      </c>
      <c r="I1146" s="11" t="str">
        <f t="shared" si="356"/>
        <v/>
      </c>
      <c r="K1146" s="30">
        <v>224</v>
      </c>
      <c r="L1146" s="29">
        <f t="shared" si="367"/>
        <v>11371.908376190921</v>
      </c>
      <c r="M1146" s="28" t="str">
        <f t="shared" si="357"/>
        <v/>
      </c>
      <c r="N1146" s="27" t="str">
        <f t="shared" si="368"/>
        <v/>
      </c>
      <c r="O1146" s="26" t="str">
        <f>IF(AND($Q1145=$O$38,IFERROR(LARGE($V$923:$V1145,1)&lt;$N$42,TRUE)),1,IF(AND(ISNUMBER($O1145),$O1145&lt;$N$32),$O1145+1,""))</f>
        <v/>
      </c>
      <c r="P1146" s="26" t="str">
        <f t="shared" si="369"/>
        <v/>
      </c>
      <c r="Q1146" s="26" t="str">
        <f t="shared" si="358"/>
        <v/>
      </c>
      <c r="R1146" s="24" t="str">
        <f t="shared" si="370"/>
        <v/>
      </c>
      <c r="S1146" s="180">
        <f t="shared" si="376"/>
        <v>8</v>
      </c>
      <c r="T1146" s="29">
        <f>SUM($AC$923:$AC1146)</f>
        <v>49500</v>
      </c>
      <c r="U1146" s="25" t="str">
        <f t="shared" si="359"/>
        <v/>
      </c>
      <c r="V1146" s="24" t="str">
        <f>IF(AND(ISNUMBER(R1145),ISNUMBER(R1146)),V1145,IF(AND(R1145="",ISNUMBER(R1146)),IFERROR(LARGE($V$923:$V1145,1)+1,0),""))</f>
        <v/>
      </c>
      <c r="W1146" s="23" t="str">
        <f t="shared" si="371"/>
        <v/>
      </c>
      <c r="X1146" s="22" t="str">
        <f t="shared" si="372"/>
        <v/>
      </c>
      <c r="Y1146" s="236"/>
      <c r="Z1146" s="22"/>
      <c r="AA1146" s="22"/>
      <c r="AB1146" s="22" t="str">
        <f t="shared" si="373"/>
        <v/>
      </c>
      <c r="AC1146" s="22" t="str">
        <f t="shared" si="374"/>
        <v/>
      </c>
      <c r="AD1146" s="22" t="str">
        <f t="shared" si="360"/>
        <v/>
      </c>
      <c r="AE1146" s="22" t="str">
        <f t="shared" si="375"/>
        <v/>
      </c>
      <c r="AF1146" s="22" t="str">
        <f t="shared" si="361"/>
        <v/>
      </c>
      <c r="AG1146" s="22" t="str">
        <f t="shared" si="362"/>
        <v/>
      </c>
      <c r="AH1146" s="22" t="str">
        <f t="shared" si="363"/>
        <v/>
      </c>
      <c r="AI1146" s="22" t="str">
        <f t="shared" si="364"/>
        <v/>
      </c>
      <c r="AJ1146" s="304" t="str">
        <f t="shared" si="365"/>
        <v/>
      </c>
      <c r="AK1146" s="140" t="str">
        <f t="shared" si="366"/>
        <v/>
      </c>
    </row>
    <row r="1147" spans="7:37" x14ac:dyDescent="0.25">
      <c r="G1147" s="235" t="str">
        <f t="shared" si="354"/>
        <v/>
      </c>
      <c r="H1147" s="4" t="str">
        <f t="shared" si="377"/>
        <v/>
      </c>
      <c r="I1147" s="11" t="str">
        <f t="shared" si="356"/>
        <v/>
      </c>
      <c r="K1147" s="30">
        <v>225</v>
      </c>
      <c r="L1147" s="29">
        <f t="shared" si="367"/>
        <v>11371.908376190921</v>
      </c>
      <c r="M1147" s="28" t="str">
        <f t="shared" si="357"/>
        <v/>
      </c>
      <c r="N1147" s="27" t="str">
        <f t="shared" si="368"/>
        <v/>
      </c>
      <c r="O1147" s="26" t="str">
        <f>IF(AND($Q1146=$O$38,IFERROR(LARGE($V$923:$V1146,1)&lt;$N$42,TRUE)),1,IF(AND(ISNUMBER($O1146),$O1146&lt;$N$32),$O1146+1,""))</f>
        <v/>
      </c>
      <c r="P1147" s="26" t="str">
        <f t="shared" si="369"/>
        <v/>
      </c>
      <c r="Q1147" s="26" t="str">
        <f t="shared" si="358"/>
        <v/>
      </c>
      <c r="R1147" s="24" t="str">
        <f t="shared" si="370"/>
        <v/>
      </c>
      <c r="S1147" s="180">
        <f t="shared" si="376"/>
        <v>8</v>
      </c>
      <c r="T1147" s="29">
        <f>SUM($AC$923:$AC1147)</f>
        <v>49500</v>
      </c>
      <c r="U1147" s="25" t="str">
        <f t="shared" si="359"/>
        <v/>
      </c>
      <c r="V1147" s="24" t="str">
        <f>IF(AND(ISNUMBER(R1146),ISNUMBER(R1147)),V1146,IF(AND(R1146="",ISNUMBER(R1147)),IFERROR(LARGE($V$923:$V1146,1)+1,0),""))</f>
        <v/>
      </c>
      <c r="W1147" s="23" t="str">
        <f t="shared" si="371"/>
        <v/>
      </c>
      <c r="X1147" s="22" t="str">
        <f t="shared" si="372"/>
        <v/>
      </c>
      <c r="Y1147" s="236"/>
      <c r="Z1147" s="22"/>
      <c r="AA1147" s="22"/>
      <c r="AB1147" s="22" t="str">
        <f t="shared" si="373"/>
        <v/>
      </c>
      <c r="AC1147" s="22" t="str">
        <f t="shared" si="374"/>
        <v/>
      </c>
      <c r="AD1147" s="22" t="str">
        <f t="shared" si="360"/>
        <v/>
      </c>
      <c r="AE1147" s="22" t="str">
        <f t="shared" si="375"/>
        <v/>
      </c>
      <c r="AF1147" s="22" t="str">
        <f t="shared" si="361"/>
        <v/>
      </c>
      <c r="AG1147" s="22" t="str">
        <f t="shared" si="362"/>
        <v/>
      </c>
      <c r="AH1147" s="22" t="str">
        <f t="shared" si="363"/>
        <v/>
      </c>
      <c r="AI1147" s="22" t="str">
        <f t="shared" si="364"/>
        <v/>
      </c>
      <c r="AJ1147" s="304" t="str">
        <f t="shared" si="365"/>
        <v/>
      </c>
      <c r="AK1147" s="140" t="str">
        <f t="shared" si="366"/>
        <v/>
      </c>
    </row>
    <row r="1148" spans="7:37" x14ac:dyDescent="0.25">
      <c r="G1148" s="235" t="str">
        <f t="shared" si="354"/>
        <v/>
      </c>
      <c r="H1148" s="4" t="str">
        <f t="shared" si="377"/>
        <v/>
      </c>
      <c r="I1148" s="11" t="str">
        <f t="shared" si="356"/>
        <v/>
      </c>
      <c r="K1148" s="30">
        <v>226</v>
      </c>
      <c r="L1148" s="29">
        <f t="shared" si="367"/>
        <v>11371.908376190921</v>
      </c>
      <c r="M1148" s="28" t="str">
        <f t="shared" si="357"/>
        <v/>
      </c>
      <c r="N1148" s="27" t="str">
        <f t="shared" si="368"/>
        <v/>
      </c>
      <c r="O1148" s="26" t="str">
        <f>IF(AND($Q1147=$O$38,IFERROR(LARGE($V$923:$V1147,1)&lt;$N$42,TRUE)),1,IF(AND(ISNUMBER($O1147),$O1147&lt;$N$32),$O1147+1,""))</f>
        <v/>
      </c>
      <c r="P1148" s="26" t="str">
        <f t="shared" si="369"/>
        <v/>
      </c>
      <c r="Q1148" s="26" t="str">
        <f t="shared" si="358"/>
        <v/>
      </c>
      <c r="R1148" s="24" t="str">
        <f t="shared" si="370"/>
        <v/>
      </c>
      <c r="S1148" s="180">
        <f t="shared" si="376"/>
        <v>8</v>
      </c>
      <c r="T1148" s="29">
        <f>SUM($AC$923:$AC1148)</f>
        <v>49500</v>
      </c>
      <c r="U1148" s="25" t="str">
        <f t="shared" si="359"/>
        <v/>
      </c>
      <c r="V1148" s="24" t="str">
        <f>IF(AND(ISNUMBER(R1147),ISNUMBER(R1148)),V1147,IF(AND(R1147="",ISNUMBER(R1148)),IFERROR(LARGE($V$923:$V1147,1)+1,0),""))</f>
        <v/>
      </c>
      <c r="W1148" s="23" t="str">
        <f t="shared" si="371"/>
        <v/>
      </c>
      <c r="X1148" s="22" t="str">
        <f t="shared" si="372"/>
        <v/>
      </c>
      <c r="Y1148" s="236"/>
      <c r="Z1148" s="22"/>
      <c r="AA1148" s="22"/>
      <c r="AB1148" s="22" t="str">
        <f t="shared" si="373"/>
        <v/>
      </c>
      <c r="AC1148" s="22" t="str">
        <f t="shared" si="374"/>
        <v/>
      </c>
      <c r="AD1148" s="22" t="str">
        <f t="shared" si="360"/>
        <v/>
      </c>
      <c r="AE1148" s="22" t="str">
        <f t="shared" si="375"/>
        <v/>
      </c>
      <c r="AF1148" s="22" t="str">
        <f t="shared" si="361"/>
        <v/>
      </c>
      <c r="AG1148" s="22" t="str">
        <f t="shared" si="362"/>
        <v/>
      </c>
      <c r="AH1148" s="22" t="str">
        <f t="shared" si="363"/>
        <v/>
      </c>
      <c r="AI1148" s="22" t="str">
        <f t="shared" si="364"/>
        <v/>
      </c>
      <c r="AJ1148" s="304" t="str">
        <f t="shared" si="365"/>
        <v/>
      </c>
      <c r="AK1148" s="140" t="str">
        <f t="shared" si="366"/>
        <v/>
      </c>
    </row>
    <row r="1149" spans="7:37" x14ac:dyDescent="0.25">
      <c r="G1149" s="235" t="str">
        <f t="shared" si="354"/>
        <v/>
      </c>
      <c r="H1149" s="4" t="str">
        <f t="shared" si="377"/>
        <v/>
      </c>
      <c r="I1149" s="11" t="str">
        <f t="shared" si="356"/>
        <v/>
      </c>
      <c r="K1149" s="30">
        <v>227</v>
      </c>
      <c r="L1149" s="29">
        <f t="shared" si="367"/>
        <v>11371.908376190921</v>
      </c>
      <c r="M1149" s="28" t="str">
        <f t="shared" si="357"/>
        <v/>
      </c>
      <c r="N1149" s="27" t="str">
        <f t="shared" si="368"/>
        <v/>
      </c>
      <c r="O1149" s="26" t="str">
        <f>IF(AND($Q1148=$O$38,IFERROR(LARGE($V$923:$V1148,1)&lt;$N$42,TRUE)),1,IF(AND(ISNUMBER($O1148),$O1148&lt;$N$32),$O1148+1,""))</f>
        <v/>
      </c>
      <c r="P1149" s="26" t="str">
        <f t="shared" si="369"/>
        <v/>
      </c>
      <c r="Q1149" s="26" t="str">
        <f t="shared" si="358"/>
        <v/>
      </c>
      <c r="R1149" s="24" t="str">
        <f t="shared" si="370"/>
        <v/>
      </c>
      <c r="S1149" s="180">
        <f t="shared" si="376"/>
        <v>8</v>
      </c>
      <c r="T1149" s="29">
        <f>SUM($AC$923:$AC1149)</f>
        <v>49500</v>
      </c>
      <c r="U1149" s="25" t="str">
        <f t="shared" si="359"/>
        <v/>
      </c>
      <c r="V1149" s="24" t="str">
        <f>IF(AND(ISNUMBER(R1148),ISNUMBER(R1149)),V1148,IF(AND(R1148="",ISNUMBER(R1149)),IFERROR(LARGE($V$923:$V1148,1)+1,0),""))</f>
        <v/>
      </c>
      <c r="W1149" s="23" t="str">
        <f t="shared" si="371"/>
        <v/>
      </c>
      <c r="X1149" s="22" t="str">
        <f t="shared" si="372"/>
        <v/>
      </c>
      <c r="Y1149" s="236"/>
      <c r="Z1149" s="22"/>
      <c r="AA1149" s="22"/>
      <c r="AB1149" s="22" t="str">
        <f t="shared" si="373"/>
        <v/>
      </c>
      <c r="AC1149" s="22" t="str">
        <f t="shared" si="374"/>
        <v/>
      </c>
      <c r="AD1149" s="22" t="str">
        <f t="shared" si="360"/>
        <v/>
      </c>
      <c r="AE1149" s="22" t="str">
        <f t="shared" si="375"/>
        <v/>
      </c>
      <c r="AF1149" s="22" t="str">
        <f t="shared" si="361"/>
        <v/>
      </c>
      <c r="AG1149" s="22" t="str">
        <f t="shared" si="362"/>
        <v/>
      </c>
      <c r="AH1149" s="22" t="str">
        <f t="shared" si="363"/>
        <v/>
      </c>
      <c r="AI1149" s="22" t="str">
        <f t="shared" si="364"/>
        <v/>
      </c>
      <c r="AJ1149" s="304" t="str">
        <f t="shared" si="365"/>
        <v/>
      </c>
      <c r="AK1149" s="140" t="str">
        <f t="shared" si="366"/>
        <v/>
      </c>
    </row>
    <row r="1150" spans="7:37" x14ac:dyDescent="0.25">
      <c r="G1150" s="235" t="str">
        <f t="shared" si="354"/>
        <v/>
      </c>
      <c r="H1150" s="4" t="str">
        <f t="shared" si="377"/>
        <v/>
      </c>
      <c r="I1150" s="11" t="str">
        <f t="shared" si="356"/>
        <v/>
      </c>
      <c r="K1150" s="30">
        <v>228</v>
      </c>
      <c r="L1150" s="29">
        <f t="shared" si="367"/>
        <v>11371.908376190921</v>
      </c>
      <c r="M1150" s="28" t="str">
        <f t="shared" si="357"/>
        <v/>
      </c>
      <c r="N1150" s="27" t="str">
        <f t="shared" si="368"/>
        <v/>
      </c>
      <c r="O1150" s="26" t="str">
        <f>IF(AND($Q1149=$O$38,IFERROR(LARGE($V$923:$V1149,1)&lt;$N$42,TRUE)),1,IF(AND(ISNUMBER($O1149),$O1149&lt;$N$32),$O1149+1,""))</f>
        <v/>
      </c>
      <c r="P1150" s="26" t="str">
        <f t="shared" si="369"/>
        <v/>
      </c>
      <c r="Q1150" s="26" t="str">
        <f t="shared" si="358"/>
        <v/>
      </c>
      <c r="R1150" s="24" t="str">
        <f t="shared" si="370"/>
        <v/>
      </c>
      <c r="S1150" s="180">
        <f t="shared" si="376"/>
        <v>8</v>
      </c>
      <c r="T1150" s="29">
        <f>SUM($AC$923:$AC1150)</f>
        <v>49500</v>
      </c>
      <c r="U1150" s="25" t="str">
        <f t="shared" si="359"/>
        <v/>
      </c>
      <c r="V1150" s="24" t="str">
        <f>IF(AND(ISNUMBER(R1149),ISNUMBER(R1150)),V1149,IF(AND(R1149="",ISNUMBER(R1150)),IFERROR(LARGE($V$923:$V1149,1)+1,0),""))</f>
        <v/>
      </c>
      <c r="W1150" s="23" t="str">
        <f t="shared" si="371"/>
        <v/>
      </c>
      <c r="X1150" s="22" t="str">
        <f t="shared" si="372"/>
        <v/>
      </c>
      <c r="Y1150" s="236"/>
      <c r="Z1150" s="22"/>
      <c r="AA1150" s="22"/>
      <c r="AB1150" s="22" t="str">
        <f t="shared" si="373"/>
        <v/>
      </c>
      <c r="AC1150" s="22" t="str">
        <f t="shared" si="374"/>
        <v/>
      </c>
      <c r="AD1150" s="22" t="str">
        <f t="shared" si="360"/>
        <v/>
      </c>
      <c r="AE1150" s="22" t="str">
        <f t="shared" si="375"/>
        <v/>
      </c>
      <c r="AF1150" s="22" t="str">
        <f t="shared" si="361"/>
        <v/>
      </c>
      <c r="AG1150" s="22" t="str">
        <f t="shared" si="362"/>
        <v/>
      </c>
      <c r="AH1150" s="22" t="str">
        <f t="shared" si="363"/>
        <v/>
      </c>
      <c r="AI1150" s="22" t="str">
        <f t="shared" si="364"/>
        <v/>
      </c>
      <c r="AJ1150" s="304" t="str">
        <f t="shared" si="365"/>
        <v/>
      </c>
      <c r="AK1150" s="140" t="str">
        <f t="shared" si="366"/>
        <v/>
      </c>
    </row>
    <row r="1151" spans="7:37" x14ac:dyDescent="0.25">
      <c r="G1151" s="235" t="str">
        <f t="shared" si="354"/>
        <v/>
      </c>
      <c r="H1151" s="4" t="str">
        <f t="shared" si="377"/>
        <v/>
      </c>
      <c r="I1151" s="11" t="str">
        <f t="shared" si="356"/>
        <v/>
      </c>
      <c r="K1151" s="30">
        <v>229</v>
      </c>
      <c r="L1151" s="29">
        <f t="shared" si="367"/>
        <v>11371.908376190921</v>
      </c>
      <c r="M1151" s="28" t="str">
        <f t="shared" si="357"/>
        <v/>
      </c>
      <c r="N1151" s="27" t="str">
        <f t="shared" si="368"/>
        <v/>
      </c>
      <c r="O1151" s="26" t="str">
        <f>IF(AND($Q1150=$O$38,IFERROR(LARGE($V$923:$V1150,1)&lt;$N$42,TRUE)),1,IF(AND(ISNUMBER($O1150),$O1150&lt;$N$32),$O1150+1,""))</f>
        <v/>
      </c>
      <c r="P1151" s="26" t="str">
        <f t="shared" si="369"/>
        <v/>
      </c>
      <c r="Q1151" s="26" t="str">
        <f t="shared" si="358"/>
        <v/>
      </c>
      <c r="R1151" s="24" t="str">
        <f t="shared" si="370"/>
        <v/>
      </c>
      <c r="S1151" s="180">
        <f t="shared" si="376"/>
        <v>8</v>
      </c>
      <c r="T1151" s="29">
        <f>SUM($AC$923:$AC1151)</f>
        <v>49500</v>
      </c>
      <c r="U1151" s="25" t="str">
        <f t="shared" si="359"/>
        <v/>
      </c>
      <c r="V1151" s="24" t="str">
        <f>IF(AND(ISNUMBER(R1150),ISNUMBER(R1151)),V1150,IF(AND(R1150="",ISNUMBER(R1151)),IFERROR(LARGE($V$923:$V1150,1)+1,0),""))</f>
        <v/>
      </c>
      <c r="W1151" s="23" t="str">
        <f t="shared" si="371"/>
        <v/>
      </c>
      <c r="X1151" s="22" t="str">
        <f t="shared" si="372"/>
        <v/>
      </c>
      <c r="Y1151" s="236"/>
      <c r="Z1151" s="22"/>
      <c r="AA1151" s="22"/>
      <c r="AB1151" s="22" t="str">
        <f t="shared" si="373"/>
        <v/>
      </c>
      <c r="AC1151" s="22" t="str">
        <f t="shared" si="374"/>
        <v/>
      </c>
      <c r="AD1151" s="22" t="str">
        <f t="shared" si="360"/>
        <v/>
      </c>
      <c r="AE1151" s="22" t="str">
        <f t="shared" si="375"/>
        <v/>
      </c>
      <c r="AF1151" s="22" t="str">
        <f t="shared" si="361"/>
        <v/>
      </c>
      <c r="AG1151" s="22" t="str">
        <f t="shared" si="362"/>
        <v/>
      </c>
      <c r="AH1151" s="22" t="str">
        <f t="shared" si="363"/>
        <v/>
      </c>
      <c r="AI1151" s="22" t="str">
        <f t="shared" si="364"/>
        <v/>
      </c>
      <c r="AJ1151" s="304" t="str">
        <f t="shared" si="365"/>
        <v/>
      </c>
      <c r="AK1151" s="140" t="str">
        <f t="shared" si="366"/>
        <v/>
      </c>
    </row>
    <row r="1152" spans="7:37" x14ac:dyDescent="0.25">
      <c r="G1152" s="235" t="str">
        <f t="shared" si="354"/>
        <v/>
      </c>
      <c r="H1152" s="4" t="str">
        <f t="shared" si="377"/>
        <v/>
      </c>
      <c r="I1152" s="11" t="str">
        <f t="shared" si="356"/>
        <v/>
      </c>
      <c r="K1152" s="30">
        <v>230</v>
      </c>
      <c r="L1152" s="29">
        <f t="shared" si="367"/>
        <v>11371.908376190921</v>
      </c>
      <c r="M1152" s="28" t="str">
        <f t="shared" si="357"/>
        <v/>
      </c>
      <c r="N1152" s="27" t="str">
        <f t="shared" si="368"/>
        <v/>
      </c>
      <c r="O1152" s="26" t="str">
        <f>IF(AND($Q1151=$O$38,IFERROR(LARGE($V$923:$V1151,1)&lt;$N$42,TRUE)),1,IF(AND(ISNUMBER($O1151),$O1151&lt;$N$32),$O1151+1,""))</f>
        <v/>
      </c>
      <c r="P1152" s="26" t="str">
        <f t="shared" si="369"/>
        <v/>
      </c>
      <c r="Q1152" s="26" t="str">
        <f t="shared" si="358"/>
        <v/>
      </c>
      <c r="R1152" s="24" t="str">
        <f t="shared" si="370"/>
        <v/>
      </c>
      <c r="S1152" s="180">
        <f t="shared" si="376"/>
        <v>8</v>
      </c>
      <c r="T1152" s="29">
        <f>SUM($AC$923:$AC1152)</f>
        <v>49500</v>
      </c>
      <c r="U1152" s="25" t="str">
        <f t="shared" si="359"/>
        <v/>
      </c>
      <c r="V1152" s="24" t="str">
        <f>IF(AND(ISNUMBER(R1151),ISNUMBER(R1152)),V1151,IF(AND(R1151="",ISNUMBER(R1152)),IFERROR(LARGE($V$923:$V1151,1)+1,0),""))</f>
        <v/>
      </c>
      <c r="W1152" s="23" t="str">
        <f t="shared" si="371"/>
        <v/>
      </c>
      <c r="X1152" s="22" t="str">
        <f t="shared" si="372"/>
        <v/>
      </c>
      <c r="Y1152" s="236"/>
      <c r="Z1152" s="22"/>
      <c r="AA1152" s="22"/>
      <c r="AB1152" s="22" t="str">
        <f t="shared" si="373"/>
        <v/>
      </c>
      <c r="AC1152" s="22" t="str">
        <f t="shared" si="374"/>
        <v/>
      </c>
      <c r="AD1152" s="22" t="str">
        <f t="shared" si="360"/>
        <v/>
      </c>
      <c r="AE1152" s="22" t="str">
        <f t="shared" si="375"/>
        <v/>
      </c>
      <c r="AF1152" s="22" t="str">
        <f t="shared" si="361"/>
        <v/>
      </c>
      <c r="AG1152" s="22" t="str">
        <f t="shared" si="362"/>
        <v/>
      </c>
      <c r="AH1152" s="22" t="str">
        <f t="shared" si="363"/>
        <v/>
      </c>
      <c r="AI1152" s="22" t="str">
        <f t="shared" si="364"/>
        <v/>
      </c>
      <c r="AJ1152" s="304" t="str">
        <f t="shared" si="365"/>
        <v/>
      </c>
      <c r="AK1152" s="140" t="str">
        <f t="shared" si="366"/>
        <v/>
      </c>
    </row>
    <row r="1153" spans="7:37" x14ac:dyDescent="0.25">
      <c r="G1153" s="235" t="str">
        <f t="shared" si="354"/>
        <v/>
      </c>
      <c r="H1153" s="4" t="str">
        <f t="shared" si="377"/>
        <v/>
      </c>
      <c r="I1153" s="11" t="str">
        <f t="shared" si="356"/>
        <v/>
      </c>
      <c r="K1153" s="30">
        <v>231</v>
      </c>
      <c r="L1153" s="29">
        <f t="shared" si="367"/>
        <v>11371.908376190921</v>
      </c>
      <c r="M1153" s="28" t="str">
        <f t="shared" si="357"/>
        <v/>
      </c>
      <c r="N1153" s="27" t="str">
        <f t="shared" si="368"/>
        <v/>
      </c>
      <c r="O1153" s="26" t="str">
        <f>IF(AND($Q1152=$O$38,IFERROR(LARGE($V$923:$V1152,1)&lt;$N$42,TRUE)),1,IF(AND(ISNUMBER($O1152),$O1152&lt;$N$32),$O1152+1,""))</f>
        <v/>
      </c>
      <c r="P1153" s="26" t="str">
        <f t="shared" si="369"/>
        <v/>
      </c>
      <c r="Q1153" s="26" t="str">
        <f t="shared" si="358"/>
        <v/>
      </c>
      <c r="R1153" s="24" t="str">
        <f t="shared" si="370"/>
        <v/>
      </c>
      <c r="S1153" s="180">
        <f t="shared" si="376"/>
        <v>8</v>
      </c>
      <c r="T1153" s="29">
        <f>SUM($AC$923:$AC1153)</f>
        <v>49500</v>
      </c>
      <c r="U1153" s="25" t="str">
        <f t="shared" si="359"/>
        <v/>
      </c>
      <c r="V1153" s="24" t="str">
        <f>IF(AND(ISNUMBER(R1152),ISNUMBER(R1153)),V1152,IF(AND(R1152="",ISNUMBER(R1153)),IFERROR(LARGE($V$923:$V1152,1)+1,0),""))</f>
        <v/>
      </c>
      <c r="W1153" s="23" t="str">
        <f t="shared" si="371"/>
        <v/>
      </c>
      <c r="X1153" s="22" t="str">
        <f t="shared" si="372"/>
        <v/>
      </c>
      <c r="Y1153" s="236"/>
      <c r="Z1153" s="22"/>
      <c r="AA1153" s="22"/>
      <c r="AB1153" s="22" t="str">
        <f t="shared" si="373"/>
        <v/>
      </c>
      <c r="AC1153" s="22" t="str">
        <f t="shared" si="374"/>
        <v/>
      </c>
      <c r="AD1153" s="22" t="str">
        <f t="shared" si="360"/>
        <v/>
      </c>
      <c r="AE1153" s="22" t="str">
        <f t="shared" si="375"/>
        <v/>
      </c>
      <c r="AF1153" s="22" t="str">
        <f t="shared" si="361"/>
        <v/>
      </c>
      <c r="AG1153" s="22" t="str">
        <f t="shared" si="362"/>
        <v/>
      </c>
      <c r="AH1153" s="22" t="str">
        <f t="shared" si="363"/>
        <v/>
      </c>
      <c r="AI1153" s="22" t="str">
        <f t="shared" si="364"/>
        <v/>
      </c>
      <c r="AJ1153" s="304" t="str">
        <f t="shared" si="365"/>
        <v/>
      </c>
      <c r="AK1153" s="140" t="str">
        <f t="shared" si="366"/>
        <v/>
      </c>
    </row>
    <row r="1154" spans="7:37" x14ac:dyDescent="0.25">
      <c r="G1154" s="235" t="str">
        <f t="shared" si="354"/>
        <v/>
      </c>
      <c r="H1154" s="4" t="str">
        <f t="shared" si="377"/>
        <v/>
      </c>
      <c r="I1154" s="11" t="str">
        <f t="shared" si="356"/>
        <v/>
      </c>
      <c r="K1154" s="30">
        <v>232</v>
      </c>
      <c r="L1154" s="29">
        <f t="shared" si="367"/>
        <v>11371.908376190921</v>
      </c>
      <c r="M1154" s="28" t="str">
        <f t="shared" si="357"/>
        <v/>
      </c>
      <c r="N1154" s="27" t="str">
        <f t="shared" si="368"/>
        <v/>
      </c>
      <c r="O1154" s="26" t="str">
        <f>IF(AND($Q1153=$O$38,IFERROR(LARGE($V$923:$V1153,1)&lt;$N$42,TRUE)),1,IF(AND(ISNUMBER($O1153),$O1153&lt;$N$32),$O1153+1,""))</f>
        <v/>
      </c>
      <c r="P1154" s="26" t="str">
        <f t="shared" si="369"/>
        <v/>
      </c>
      <c r="Q1154" s="26" t="str">
        <f t="shared" si="358"/>
        <v/>
      </c>
      <c r="R1154" s="24" t="str">
        <f t="shared" si="370"/>
        <v/>
      </c>
      <c r="S1154" s="180">
        <f t="shared" si="376"/>
        <v>8</v>
      </c>
      <c r="T1154" s="29">
        <f>SUM($AC$923:$AC1154)</f>
        <v>49500</v>
      </c>
      <c r="U1154" s="25" t="str">
        <f t="shared" si="359"/>
        <v/>
      </c>
      <c r="V1154" s="24" t="str">
        <f>IF(AND(ISNUMBER(R1153),ISNUMBER(R1154)),V1153,IF(AND(R1153="",ISNUMBER(R1154)),IFERROR(LARGE($V$923:$V1153,1)+1,0),""))</f>
        <v/>
      </c>
      <c r="W1154" s="23" t="str">
        <f t="shared" si="371"/>
        <v/>
      </c>
      <c r="X1154" s="22" t="str">
        <f t="shared" si="372"/>
        <v/>
      </c>
      <c r="Y1154" s="236"/>
      <c r="Z1154" s="22"/>
      <c r="AA1154" s="22"/>
      <c r="AB1154" s="22" t="str">
        <f t="shared" si="373"/>
        <v/>
      </c>
      <c r="AC1154" s="22" t="str">
        <f t="shared" si="374"/>
        <v/>
      </c>
      <c r="AD1154" s="22" t="str">
        <f t="shared" si="360"/>
        <v/>
      </c>
      <c r="AE1154" s="22" t="str">
        <f t="shared" si="375"/>
        <v/>
      </c>
      <c r="AF1154" s="22" t="str">
        <f t="shared" si="361"/>
        <v/>
      </c>
      <c r="AG1154" s="22" t="str">
        <f t="shared" si="362"/>
        <v/>
      </c>
      <c r="AH1154" s="22" t="str">
        <f t="shared" si="363"/>
        <v/>
      </c>
      <c r="AI1154" s="22" t="str">
        <f t="shared" si="364"/>
        <v/>
      </c>
      <c r="AJ1154" s="304" t="str">
        <f t="shared" si="365"/>
        <v/>
      </c>
      <c r="AK1154" s="140" t="str">
        <f t="shared" si="366"/>
        <v/>
      </c>
    </row>
    <row r="1155" spans="7:37" x14ac:dyDescent="0.25">
      <c r="G1155" s="235" t="str">
        <f t="shared" si="354"/>
        <v/>
      </c>
      <c r="H1155" s="4" t="str">
        <f t="shared" si="377"/>
        <v/>
      </c>
      <c r="I1155" s="11" t="str">
        <f t="shared" si="356"/>
        <v/>
      </c>
      <c r="K1155" s="30">
        <v>233</v>
      </c>
      <c r="L1155" s="29">
        <f t="shared" si="367"/>
        <v>11371.908376190921</v>
      </c>
      <c r="M1155" s="28" t="str">
        <f t="shared" si="357"/>
        <v/>
      </c>
      <c r="N1155" s="27" t="str">
        <f t="shared" si="368"/>
        <v/>
      </c>
      <c r="O1155" s="26" t="str">
        <f>IF(AND($Q1154=$O$38,IFERROR(LARGE($V$923:$V1154,1)&lt;$N$42,TRUE)),1,IF(AND(ISNUMBER($O1154),$O1154&lt;$N$32),$O1154+1,""))</f>
        <v/>
      </c>
      <c r="P1155" s="26" t="str">
        <f t="shared" si="369"/>
        <v/>
      </c>
      <c r="Q1155" s="26" t="str">
        <f t="shared" si="358"/>
        <v/>
      </c>
      <c r="R1155" s="24" t="str">
        <f t="shared" si="370"/>
        <v/>
      </c>
      <c r="S1155" s="180">
        <f t="shared" si="376"/>
        <v>8</v>
      </c>
      <c r="T1155" s="29">
        <f>SUM($AC$923:$AC1155)</f>
        <v>49500</v>
      </c>
      <c r="U1155" s="25" t="str">
        <f t="shared" si="359"/>
        <v/>
      </c>
      <c r="V1155" s="24" t="str">
        <f>IF(AND(ISNUMBER(R1154),ISNUMBER(R1155)),V1154,IF(AND(R1154="",ISNUMBER(R1155)),IFERROR(LARGE($V$923:$V1154,1)+1,0),""))</f>
        <v/>
      </c>
      <c r="W1155" s="23" t="str">
        <f t="shared" si="371"/>
        <v/>
      </c>
      <c r="X1155" s="22" t="str">
        <f t="shared" si="372"/>
        <v/>
      </c>
      <c r="Y1155" s="236"/>
      <c r="Z1155" s="22"/>
      <c r="AA1155" s="22"/>
      <c r="AB1155" s="22" t="str">
        <f t="shared" si="373"/>
        <v/>
      </c>
      <c r="AC1155" s="22" t="str">
        <f t="shared" si="374"/>
        <v/>
      </c>
      <c r="AD1155" s="22" t="str">
        <f t="shared" si="360"/>
        <v/>
      </c>
      <c r="AE1155" s="22" t="str">
        <f t="shared" si="375"/>
        <v/>
      </c>
      <c r="AF1155" s="22" t="str">
        <f t="shared" si="361"/>
        <v/>
      </c>
      <c r="AG1155" s="22" t="str">
        <f t="shared" si="362"/>
        <v/>
      </c>
      <c r="AH1155" s="22" t="str">
        <f t="shared" si="363"/>
        <v/>
      </c>
      <c r="AI1155" s="22" t="str">
        <f t="shared" si="364"/>
        <v/>
      </c>
      <c r="AJ1155" s="304" t="str">
        <f t="shared" si="365"/>
        <v/>
      </c>
      <c r="AK1155" s="140" t="str">
        <f t="shared" si="366"/>
        <v/>
      </c>
    </row>
    <row r="1156" spans="7:37" x14ac:dyDescent="0.25">
      <c r="G1156" s="235" t="str">
        <f t="shared" si="354"/>
        <v/>
      </c>
      <c r="H1156" s="4" t="str">
        <f t="shared" si="377"/>
        <v/>
      </c>
      <c r="I1156" s="11" t="str">
        <f t="shared" si="356"/>
        <v/>
      </c>
      <c r="K1156" s="30">
        <v>234</v>
      </c>
      <c r="L1156" s="29">
        <f t="shared" si="367"/>
        <v>11371.908376190921</v>
      </c>
      <c r="M1156" s="28" t="str">
        <f t="shared" si="357"/>
        <v/>
      </c>
      <c r="N1156" s="27" t="str">
        <f t="shared" si="368"/>
        <v/>
      </c>
      <c r="O1156" s="26" t="str">
        <f>IF(AND($Q1155=$O$38,IFERROR(LARGE($V$923:$V1155,1)&lt;$N$42,TRUE)),1,IF(AND(ISNUMBER($O1155),$O1155&lt;$N$32),$O1155+1,""))</f>
        <v/>
      </c>
      <c r="P1156" s="26" t="str">
        <f t="shared" si="369"/>
        <v/>
      </c>
      <c r="Q1156" s="26" t="str">
        <f t="shared" si="358"/>
        <v/>
      </c>
      <c r="R1156" s="24" t="str">
        <f t="shared" si="370"/>
        <v/>
      </c>
      <c r="S1156" s="180">
        <f t="shared" si="376"/>
        <v>8</v>
      </c>
      <c r="T1156" s="29">
        <f>SUM($AC$923:$AC1156)</f>
        <v>49500</v>
      </c>
      <c r="U1156" s="25" t="str">
        <f t="shared" si="359"/>
        <v/>
      </c>
      <c r="V1156" s="24" t="str">
        <f>IF(AND(ISNUMBER(R1155),ISNUMBER(R1156)),V1155,IF(AND(R1155="",ISNUMBER(R1156)),IFERROR(LARGE($V$923:$V1155,1)+1,0),""))</f>
        <v/>
      </c>
      <c r="W1156" s="23" t="str">
        <f t="shared" si="371"/>
        <v/>
      </c>
      <c r="X1156" s="22" t="str">
        <f t="shared" si="372"/>
        <v/>
      </c>
      <c r="Y1156" s="236"/>
      <c r="Z1156" s="22"/>
      <c r="AA1156" s="22"/>
      <c r="AB1156" s="22" t="str">
        <f t="shared" si="373"/>
        <v/>
      </c>
      <c r="AC1156" s="22" t="str">
        <f t="shared" si="374"/>
        <v/>
      </c>
      <c r="AD1156" s="22" t="str">
        <f t="shared" si="360"/>
        <v/>
      </c>
      <c r="AE1156" s="22" t="str">
        <f t="shared" si="375"/>
        <v/>
      </c>
      <c r="AF1156" s="22" t="str">
        <f t="shared" si="361"/>
        <v/>
      </c>
      <c r="AG1156" s="22" t="str">
        <f t="shared" si="362"/>
        <v/>
      </c>
      <c r="AH1156" s="22" t="str">
        <f t="shared" si="363"/>
        <v/>
      </c>
      <c r="AI1156" s="22" t="str">
        <f t="shared" si="364"/>
        <v/>
      </c>
      <c r="AJ1156" s="304" t="str">
        <f t="shared" si="365"/>
        <v/>
      </c>
      <c r="AK1156" s="140" t="str">
        <f t="shared" si="366"/>
        <v/>
      </c>
    </row>
    <row r="1157" spans="7:37" x14ac:dyDescent="0.25">
      <c r="G1157" s="235" t="str">
        <f t="shared" si="354"/>
        <v/>
      </c>
      <c r="H1157" s="4" t="str">
        <f t="shared" si="377"/>
        <v/>
      </c>
      <c r="I1157" s="11" t="str">
        <f t="shared" si="356"/>
        <v/>
      </c>
      <c r="K1157" s="30">
        <v>235</v>
      </c>
      <c r="L1157" s="29">
        <f t="shared" si="367"/>
        <v>11371.908376190921</v>
      </c>
      <c r="M1157" s="28" t="str">
        <f t="shared" si="357"/>
        <v/>
      </c>
      <c r="N1157" s="27" t="str">
        <f t="shared" si="368"/>
        <v/>
      </c>
      <c r="O1157" s="26" t="str">
        <f>IF(AND($Q1156=$O$38,IFERROR(LARGE($V$923:$V1156,1)&lt;$N$42,TRUE)),1,IF(AND(ISNUMBER($O1156),$O1156&lt;$N$32),$O1156+1,""))</f>
        <v/>
      </c>
      <c r="P1157" s="26" t="str">
        <f t="shared" si="369"/>
        <v/>
      </c>
      <c r="Q1157" s="26" t="str">
        <f t="shared" si="358"/>
        <v/>
      </c>
      <c r="R1157" s="24" t="str">
        <f t="shared" si="370"/>
        <v/>
      </c>
      <c r="S1157" s="180">
        <f t="shared" si="376"/>
        <v>8</v>
      </c>
      <c r="T1157" s="29">
        <f>SUM($AC$923:$AC1157)</f>
        <v>49500</v>
      </c>
      <c r="U1157" s="25" t="str">
        <f t="shared" si="359"/>
        <v/>
      </c>
      <c r="V1157" s="24" t="str">
        <f>IF(AND(ISNUMBER(R1156),ISNUMBER(R1157)),V1156,IF(AND(R1156="",ISNUMBER(R1157)),IFERROR(LARGE($V$923:$V1156,1)+1,0),""))</f>
        <v/>
      </c>
      <c r="W1157" s="23" t="str">
        <f t="shared" si="371"/>
        <v/>
      </c>
      <c r="X1157" s="22" t="str">
        <f t="shared" si="372"/>
        <v/>
      </c>
      <c r="Y1157" s="236"/>
      <c r="Z1157" s="22"/>
      <c r="AA1157" s="22"/>
      <c r="AB1157" s="22" t="str">
        <f t="shared" si="373"/>
        <v/>
      </c>
      <c r="AC1157" s="22" t="str">
        <f t="shared" si="374"/>
        <v/>
      </c>
      <c r="AD1157" s="22" t="str">
        <f t="shared" si="360"/>
        <v/>
      </c>
      <c r="AE1157" s="22" t="str">
        <f t="shared" si="375"/>
        <v/>
      </c>
      <c r="AF1157" s="22" t="str">
        <f t="shared" si="361"/>
        <v/>
      </c>
      <c r="AG1157" s="22" t="str">
        <f t="shared" si="362"/>
        <v/>
      </c>
      <c r="AH1157" s="22" t="str">
        <f t="shared" si="363"/>
        <v/>
      </c>
      <c r="AI1157" s="22" t="str">
        <f t="shared" si="364"/>
        <v/>
      </c>
      <c r="AJ1157" s="304" t="str">
        <f t="shared" si="365"/>
        <v/>
      </c>
      <c r="AK1157" s="140" t="str">
        <f t="shared" si="366"/>
        <v/>
      </c>
    </row>
    <row r="1158" spans="7:37" x14ac:dyDescent="0.25">
      <c r="G1158" s="235" t="str">
        <f t="shared" si="354"/>
        <v/>
      </c>
      <c r="H1158" s="4" t="str">
        <f t="shared" si="377"/>
        <v/>
      </c>
      <c r="I1158" s="11" t="str">
        <f t="shared" si="356"/>
        <v/>
      </c>
      <c r="K1158" s="30">
        <v>236</v>
      </c>
      <c r="L1158" s="29">
        <f t="shared" si="367"/>
        <v>11371.908376190921</v>
      </c>
      <c r="M1158" s="28" t="str">
        <f t="shared" si="357"/>
        <v/>
      </c>
      <c r="N1158" s="27" t="str">
        <f t="shared" si="368"/>
        <v/>
      </c>
      <c r="O1158" s="26" t="str">
        <f>IF(AND($Q1157=$O$38,IFERROR(LARGE($V$923:$V1157,1)&lt;$N$42,TRUE)),1,IF(AND(ISNUMBER($O1157),$O1157&lt;$N$32),$O1157+1,""))</f>
        <v/>
      </c>
      <c r="P1158" s="26" t="str">
        <f t="shared" si="369"/>
        <v/>
      </c>
      <c r="Q1158" s="26" t="str">
        <f t="shared" si="358"/>
        <v/>
      </c>
      <c r="R1158" s="24" t="str">
        <f t="shared" si="370"/>
        <v/>
      </c>
      <c r="S1158" s="180">
        <f t="shared" si="376"/>
        <v>8</v>
      </c>
      <c r="T1158" s="29">
        <f>SUM($AC$923:$AC1158)</f>
        <v>49500</v>
      </c>
      <c r="U1158" s="25" t="str">
        <f t="shared" si="359"/>
        <v/>
      </c>
      <c r="V1158" s="24" t="str">
        <f>IF(AND(ISNUMBER(R1157),ISNUMBER(R1158)),V1157,IF(AND(R1157="",ISNUMBER(R1158)),IFERROR(LARGE($V$923:$V1157,1)+1,0),""))</f>
        <v/>
      </c>
      <c r="W1158" s="23" t="str">
        <f t="shared" si="371"/>
        <v/>
      </c>
      <c r="X1158" s="22" t="str">
        <f t="shared" si="372"/>
        <v/>
      </c>
      <c r="Y1158" s="236"/>
      <c r="Z1158" s="22"/>
      <c r="AA1158" s="22"/>
      <c r="AB1158" s="22" t="str">
        <f t="shared" si="373"/>
        <v/>
      </c>
      <c r="AC1158" s="22" t="str">
        <f t="shared" si="374"/>
        <v/>
      </c>
      <c r="AD1158" s="22" t="str">
        <f t="shared" si="360"/>
        <v/>
      </c>
      <c r="AE1158" s="22" t="str">
        <f t="shared" si="375"/>
        <v/>
      </c>
      <c r="AF1158" s="22" t="str">
        <f t="shared" si="361"/>
        <v/>
      </c>
      <c r="AG1158" s="22" t="str">
        <f t="shared" si="362"/>
        <v/>
      </c>
      <c r="AH1158" s="22" t="str">
        <f t="shared" si="363"/>
        <v/>
      </c>
      <c r="AI1158" s="22" t="str">
        <f t="shared" si="364"/>
        <v/>
      </c>
      <c r="AJ1158" s="304" t="str">
        <f t="shared" si="365"/>
        <v/>
      </c>
      <c r="AK1158" s="140" t="str">
        <f t="shared" si="366"/>
        <v/>
      </c>
    </row>
    <row r="1159" spans="7:37" x14ac:dyDescent="0.25">
      <c r="G1159" s="235" t="str">
        <f t="shared" si="354"/>
        <v/>
      </c>
      <c r="H1159" s="4" t="str">
        <f t="shared" si="377"/>
        <v/>
      </c>
      <c r="I1159" s="11" t="str">
        <f t="shared" si="356"/>
        <v/>
      </c>
      <c r="K1159" s="30">
        <v>237</v>
      </c>
      <c r="L1159" s="29">
        <f t="shared" si="367"/>
        <v>11371.908376190921</v>
      </c>
      <c r="M1159" s="28" t="str">
        <f t="shared" si="357"/>
        <v/>
      </c>
      <c r="N1159" s="27" t="str">
        <f t="shared" si="368"/>
        <v/>
      </c>
      <c r="O1159" s="26" t="str">
        <f>IF(AND($Q1158=$O$38,IFERROR(LARGE($V$923:$V1158,1)&lt;$N$42,TRUE)),1,IF(AND(ISNUMBER($O1158),$O1158&lt;$N$32),$O1158+1,""))</f>
        <v/>
      </c>
      <c r="P1159" s="26" t="str">
        <f t="shared" si="369"/>
        <v/>
      </c>
      <c r="Q1159" s="26" t="str">
        <f t="shared" si="358"/>
        <v/>
      </c>
      <c r="R1159" s="24" t="str">
        <f t="shared" si="370"/>
        <v/>
      </c>
      <c r="S1159" s="180">
        <f t="shared" si="376"/>
        <v>8</v>
      </c>
      <c r="T1159" s="29">
        <f>SUM($AC$923:$AC1159)</f>
        <v>49500</v>
      </c>
      <c r="U1159" s="25" t="str">
        <f t="shared" si="359"/>
        <v/>
      </c>
      <c r="V1159" s="24" t="str">
        <f>IF(AND(ISNUMBER(R1158),ISNUMBER(R1159)),V1158,IF(AND(R1158="",ISNUMBER(R1159)),IFERROR(LARGE($V$923:$V1158,1)+1,0),""))</f>
        <v/>
      </c>
      <c r="W1159" s="23" t="str">
        <f t="shared" si="371"/>
        <v/>
      </c>
      <c r="X1159" s="22" t="str">
        <f t="shared" si="372"/>
        <v/>
      </c>
      <c r="Y1159" s="236"/>
      <c r="Z1159" s="22"/>
      <c r="AA1159" s="22"/>
      <c r="AB1159" s="22" t="str">
        <f t="shared" si="373"/>
        <v/>
      </c>
      <c r="AC1159" s="22" t="str">
        <f t="shared" si="374"/>
        <v/>
      </c>
      <c r="AD1159" s="22" t="str">
        <f t="shared" si="360"/>
        <v/>
      </c>
      <c r="AE1159" s="22" t="str">
        <f t="shared" si="375"/>
        <v/>
      </c>
      <c r="AF1159" s="22" t="str">
        <f t="shared" si="361"/>
        <v/>
      </c>
      <c r="AG1159" s="22" t="str">
        <f t="shared" si="362"/>
        <v/>
      </c>
      <c r="AH1159" s="22" t="str">
        <f t="shared" si="363"/>
        <v/>
      </c>
      <c r="AI1159" s="22" t="str">
        <f t="shared" si="364"/>
        <v/>
      </c>
      <c r="AJ1159" s="304" t="str">
        <f t="shared" si="365"/>
        <v/>
      </c>
      <c r="AK1159" s="140" t="str">
        <f t="shared" si="366"/>
        <v/>
      </c>
    </row>
    <row r="1160" spans="7:37" x14ac:dyDescent="0.25">
      <c r="G1160" s="235" t="str">
        <f t="shared" si="354"/>
        <v/>
      </c>
      <c r="H1160" s="4" t="str">
        <f t="shared" si="377"/>
        <v/>
      </c>
      <c r="I1160" s="11" t="str">
        <f t="shared" si="356"/>
        <v/>
      </c>
      <c r="K1160" s="30">
        <v>238</v>
      </c>
      <c r="L1160" s="29">
        <f t="shared" si="367"/>
        <v>11371.908376190921</v>
      </c>
      <c r="M1160" s="28" t="str">
        <f t="shared" si="357"/>
        <v/>
      </c>
      <c r="N1160" s="27" t="str">
        <f t="shared" si="368"/>
        <v/>
      </c>
      <c r="O1160" s="26" t="str">
        <f>IF(AND($Q1159=$O$38,IFERROR(LARGE($V$923:$V1159,1)&lt;$N$42,TRUE)),1,IF(AND(ISNUMBER($O1159),$O1159&lt;$N$32),$O1159+1,""))</f>
        <v/>
      </c>
      <c r="P1160" s="26" t="str">
        <f t="shared" si="369"/>
        <v/>
      </c>
      <c r="Q1160" s="26" t="str">
        <f t="shared" si="358"/>
        <v/>
      </c>
      <c r="R1160" s="24" t="str">
        <f t="shared" si="370"/>
        <v/>
      </c>
      <c r="S1160" s="180">
        <f t="shared" si="376"/>
        <v>8</v>
      </c>
      <c r="T1160" s="29">
        <f>SUM($AC$923:$AC1160)</f>
        <v>49500</v>
      </c>
      <c r="U1160" s="25" t="str">
        <f t="shared" si="359"/>
        <v/>
      </c>
      <c r="V1160" s="24" t="str">
        <f>IF(AND(ISNUMBER(R1159),ISNUMBER(R1160)),V1159,IF(AND(R1159="",ISNUMBER(R1160)),IFERROR(LARGE($V$923:$V1159,1)+1,0),""))</f>
        <v/>
      </c>
      <c r="W1160" s="23" t="str">
        <f t="shared" si="371"/>
        <v/>
      </c>
      <c r="X1160" s="22" t="str">
        <f t="shared" si="372"/>
        <v/>
      </c>
      <c r="Y1160" s="236"/>
      <c r="Z1160" s="22"/>
      <c r="AA1160" s="22"/>
      <c r="AB1160" s="22" t="str">
        <f t="shared" si="373"/>
        <v/>
      </c>
      <c r="AC1160" s="22" t="str">
        <f t="shared" si="374"/>
        <v/>
      </c>
      <c r="AD1160" s="22" t="str">
        <f t="shared" si="360"/>
        <v/>
      </c>
      <c r="AE1160" s="22" t="str">
        <f t="shared" si="375"/>
        <v/>
      </c>
      <c r="AF1160" s="22" t="str">
        <f t="shared" si="361"/>
        <v/>
      </c>
      <c r="AG1160" s="22" t="str">
        <f t="shared" si="362"/>
        <v/>
      </c>
      <c r="AH1160" s="22" t="str">
        <f t="shared" si="363"/>
        <v/>
      </c>
      <c r="AI1160" s="22" t="str">
        <f t="shared" si="364"/>
        <v/>
      </c>
      <c r="AJ1160" s="304" t="str">
        <f t="shared" si="365"/>
        <v/>
      </c>
      <c r="AK1160" s="140" t="str">
        <f t="shared" si="366"/>
        <v/>
      </c>
    </row>
    <row r="1161" spans="7:37" x14ac:dyDescent="0.25">
      <c r="G1161" s="235" t="str">
        <f t="shared" si="354"/>
        <v/>
      </c>
      <c r="H1161" s="4" t="str">
        <f t="shared" si="377"/>
        <v/>
      </c>
      <c r="I1161" s="11" t="str">
        <f t="shared" si="356"/>
        <v/>
      </c>
      <c r="K1161" s="30">
        <v>239</v>
      </c>
      <c r="L1161" s="29">
        <f t="shared" si="367"/>
        <v>11371.908376190921</v>
      </c>
      <c r="M1161" s="28" t="str">
        <f t="shared" si="357"/>
        <v/>
      </c>
      <c r="N1161" s="27" t="str">
        <f t="shared" si="368"/>
        <v/>
      </c>
      <c r="O1161" s="26" t="str">
        <f>IF(AND($Q1160=$O$38,IFERROR(LARGE($V$923:$V1160,1)&lt;$N$42,TRUE)),1,IF(AND(ISNUMBER($O1160),$O1160&lt;$N$32),$O1160+1,""))</f>
        <v/>
      </c>
      <c r="P1161" s="26" t="str">
        <f t="shared" si="369"/>
        <v/>
      </c>
      <c r="Q1161" s="26" t="str">
        <f t="shared" si="358"/>
        <v/>
      </c>
      <c r="R1161" s="24" t="str">
        <f t="shared" si="370"/>
        <v/>
      </c>
      <c r="S1161" s="180">
        <f t="shared" si="376"/>
        <v>8</v>
      </c>
      <c r="T1161" s="29">
        <f>SUM($AC$923:$AC1161)</f>
        <v>49500</v>
      </c>
      <c r="U1161" s="25" t="str">
        <f t="shared" si="359"/>
        <v/>
      </c>
      <c r="V1161" s="24" t="str">
        <f>IF(AND(ISNUMBER(R1160),ISNUMBER(R1161)),V1160,IF(AND(R1160="",ISNUMBER(R1161)),IFERROR(LARGE($V$923:$V1160,1)+1,0),""))</f>
        <v/>
      </c>
      <c r="W1161" s="23" t="str">
        <f t="shared" si="371"/>
        <v/>
      </c>
      <c r="X1161" s="22" t="str">
        <f t="shared" si="372"/>
        <v/>
      </c>
      <c r="Y1161" s="236"/>
      <c r="Z1161" s="22"/>
      <c r="AA1161" s="22"/>
      <c r="AB1161" s="22" t="str">
        <f t="shared" si="373"/>
        <v/>
      </c>
      <c r="AC1161" s="22" t="str">
        <f t="shared" si="374"/>
        <v/>
      </c>
      <c r="AD1161" s="22" t="str">
        <f t="shared" si="360"/>
        <v/>
      </c>
      <c r="AE1161" s="22" t="str">
        <f t="shared" si="375"/>
        <v/>
      </c>
      <c r="AF1161" s="22" t="str">
        <f t="shared" si="361"/>
        <v/>
      </c>
      <c r="AG1161" s="22" t="str">
        <f t="shared" si="362"/>
        <v/>
      </c>
      <c r="AH1161" s="22" t="str">
        <f t="shared" si="363"/>
        <v/>
      </c>
      <c r="AI1161" s="22" t="str">
        <f t="shared" si="364"/>
        <v/>
      </c>
      <c r="AJ1161" s="304" t="str">
        <f t="shared" si="365"/>
        <v/>
      </c>
      <c r="AK1161" s="140" t="str">
        <f t="shared" si="366"/>
        <v/>
      </c>
    </row>
    <row r="1162" spans="7:37" x14ac:dyDescent="0.25">
      <c r="G1162" s="235" t="str">
        <f t="shared" si="354"/>
        <v/>
      </c>
      <c r="H1162" s="4" t="str">
        <f t="shared" si="377"/>
        <v/>
      </c>
      <c r="I1162" s="11" t="str">
        <f t="shared" si="356"/>
        <v/>
      </c>
      <c r="K1162" s="30">
        <v>240</v>
      </c>
      <c r="L1162" s="29">
        <f t="shared" si="367"/>
        <v>11371.908376190921</v>
      </c>
      <c r="M1162" s="28" t="str">
        <f t="shared" si="357"/>
        <v/>
      </c>
      <c r="N1162" s="27" t="str">
        <f t="shared" si="368"/>
        <v/>
      </c>
      <c r="O1162" s="26" t="str">
        <f>IF(AND($Q1161=$O$38,IFERROR(LARGE($V$923:$V1161,1)&lt;$N$42,TRUE)),1,IF(AND(ISNUMBER($O1161),$O1161&lt;$N$32),$O1161+1,""))</f>
        <v/>
      </c>
      <c r="P1162" s="26" t="str">
        <f t="shared" si="369"/>
        <v/>
      </c>
      <c r="Q1162" s="26" t="str">
        <f t="shared" si="358"/>
        <v/>
      </c>
      <c r="R1162" s="24" t="str">
        <f t="shared" si="370"/>
        <v/>
      </c>
      <c r="S1162" s="180">
        <f t="shared" si="376"/>
        <v>8</v>
      </c>
      <c r="T1162" s="29">
        <f>SUM($AC$923:$AC1162)</f>
        <v>49500</v>
      </c>
      <c r="U1162" s="25" t="str">
        <f t="shared" si="359"/>
        <v/>
      </c>
      <c r="V1162" s="24" t="str">
        <f>IF(AND(ISNUMBER(R1161),ISNUMBER(R1162)),V1161,IF(AND(R1161="",ISNUMBER(R1162)),IFERROR(LARGE($V$923:$V1161,1)+1,0),""))</f>
        <v/>
      </c>
      <c r="W1162" s="23" t="str">
        <f t="shared" si="371"/>
        <v/>
      </c>
      <c r="X1162" s="22" t="str">
        <f t="shared" si="372"/>
        <v/>
      </c>
      <c r="Y1162" s="236"/>
      <c r="Z1162" s="22"/>
      <c r="AA1162" s="22"/>
      <c r="AB1162" s="22" t="str">
        <f t="shared" si="373"/>
        <v/>
      </c>
      <c r="AC1162" s="22" t="str">
        <f t="shared" si="374"/>
        <v/>
      </c>
      <c r="AD1162" s="22" t="str">
        <f t="shared" si="360"/>
        <v/>
      </c>
      <c r="AE1162" s="22" t="str">
        <f t="shared" si="375"/>
        <v/>
      </c>
      <c r="AF1162" s="22" t="str">
        <f t="shared" si="361"/>
        <v/>
      </c>
      <c r="AG1162" s="22" t="str">
        <f t="shared" si="362"/>
        <v/>
      </c>
      <c r="AH1162" s="22" t="str">
        <f t="shared" si="363"/>
        <v/>
      </c>
      <c r="AI1162" s="22" t="str">
        <f t="shared" si="364"/>
        <v/>
      </c>
      <c r="AJ1162" s="304" t="str">
        <f t="shared" si="365"/>
        <v/>
      </c>
      <c r="AK1162" s="140" t="str">
        <f t="shared" si="366"/>
        <v/>
      </c>
    </row>
    <row r="1163" spans="7:37" x14ac:dyDescent="0.25">
      <c r="G1163" s="235" t="str">
        <f t="shared" si="354"/>
        <v/>
      </c>
      <c r="H1163" s="4" t="str">
        <f t="shared" si="377"/>
        <v/>
      </c>
      <c r="I1163" s="11" t="str">
        <f t="shared" si="356"/>
        <v/>
      </c>
      <c r="K1163" s="30">
        <v>241</v>
      </c>
      <c r="L1163" s="29">
        <f t="shared" si="367"/>
        <v>11371.908376190921</v>
      </c>
      <c r="M1163" s="28" t="str">
        <f t="shared" si="357"/>
        <v/>
      </c>
      <c r="N1163" s="27" t="str">
        <f t="shared" si="368"/>
        <v/>
      </c>
      <c r="O1163" s="26" t="str">
        <f>IF(AND($Q1162=$O$38,IFERROR(LARGE($V$923:$V1162,1)&lt;$N$42,TRUE)),1,IF(AND(ISNUMBER($O1162),$O1162&lt;$N$32),$O1162+1,""))</f>
        <v/>
      </c>
      <c r="P1163" s="26" t="str">
        <f t="shared" si="369"/>
        <v/>
      </c>
      <c r="Q1163" s="26" t="str">
        <f t="shared" si="358"/>
        <v/>
      </c>
      <c r="R1163" s="24" t="str">
        <f t="shared" si="370"/>
        <v/>
      </c>
      <c r="S1163" s="180">
        <f t="shared" si="376"/>
        <v>8</v>
      </c>
      <c r="T1163" s="29">
        <f>SUM($AC$923:$AC1163)</f>
        <v>49500</v>
      </c>
      <c r="U1163" s="25" t="str">
        <f t="shared" si="359"/>
        <v/>
      </c>
      <c r="V1163" s="24" t="str">
        <f>IF(AND(ISNUMBER(R1162),ISNUMBER(R1163)),V1162,IF(AND(R1162="",ISNUMBER(R1163)),IFERROR(LARGE($V$923:$V1162,1)+1,0),""))</f>
        <v/>
      </c>
      <c r="W1163" s="23" t="str">
        <f t="shared" si="371"/>
        <v/>
      </c>
      <c r="X1163" s="22" t="str">
        <f t="shared" si="372"/>
        <v/>
      </c>
      <c r="Y1163" s="236"/>
      <c r="Z1163" s="22"/>
      <c r="AA1163" s="22"/>
      <c r="AB1163" s="22" t="str">
        <f t="shared" si="373"/>
        <v/>
      </c>
      <c r="AC1163" s="22" t="str">
        <f t="shared" si="374"/>
        <v/>
      </c>
      <c r="AD1163" s="22" t="str">
        <f t="shared" si="360"/>
        <v/>
      </c>
      <c r="AE1163" s="22" t="str">
        <f t="shared" si="375"/>
        <v/>
      </c>
      <c r="AF1163" s="22" t="str">
        <f t="shared" si="361"/>
        <v/>
      </c>
      <c r="AG1163" s="22" t="str">
        <f t="shared" si="362"/>
        <v/>
      </c>
      <c r="AH1163" s="22" t="str">
        <f t="shared" si="363"/>
        <v/>
      </c>
      <c r="AI1163" s="22" t="str">
        <f t="shared" si="364"/>
        <v/>
      </c>
      <c r="AJ1163" s="304" t="str">
        <f t="shared" si="365"/>
        <v/>
      </c>
      <c r="AK1163" s="140" t="str">
        <f t="shared" si="366"/>
        <v/>
      </c>
    </row>
    <row r="1164" spans="7:37" x14ac:dyDescent="0.25">
      <c r="G1164" s="235" t="str">
        <f t="shared" si="354"/>
        <v/>
      </c>
      <c r="H1164" s="4" t="str">
        <f t="shared" si="377"/>
        <v/>
      </c>
      <c r="I1164" s="11" t="str">
        <f t="shared" si="356"/>
        <v/>
      </c>
      <c r="K1164" s="30">
        <v>242</v>
      </c>
      <c r="L1164" s="29">
        <f t="shared" si="367"/>
        <v>11371.908376190921</v>
      </c>
      <c r="M1164" s="28" t="str">
        <f t="shared" si="357"/>
        <v/>
      </c>
      <c r="N1164" s="27" t="str">
        <f t="shared" si="368"/>
        <v/>
      </c>
      <c r="O1164" s="26" t="str">
        <f>IF(AND($Q1163=$O$38,IFERROR(LARGE($V$923:$V1163,1)&lt;$N$42,TRUE)),1,IF(AND(ISNUMBER($O1163),$O1163&lt;$N$32),$O1163+1,""))</f>
        <v/>
      </c>
      <c r="P1164" s="26" t="str">
        <f t="shared" si="369"/>
        <v/>
      </c>
      <c r="Q1164" s="26" t="str">
        <f t="shared" si="358"/>
        <v/>
      </c>
      <c r="R1164" s="24" t="str">
        <f t="shared" si="370"/>
        <v/>
      </c>
      <c r="S1164" s="180">
        <f t="shared" si="376"/>
        <v>8</v>
      </c>
      <c r="T1164" s="29">
        <f>SUM($AC$923:$AC1164)</f>
        <v>49500</v>
      </c>
      <c r="U1164" s="25" t="str">
        <f t="shared" si="359"/>
        <v/>
      </c>
      <c r="V1164" s="24" t="str">
        <f>IF(AND(ISNUMBER(R1163),ISNUMBER(R1164)),V1163,IF(AND(R1163="",ISNUMBER(R1164)),IFERROR(LARGE($V$923:$V1163,1)+1,0),""))</f>
        <v/>
      </c>
      <c r="W1164" s="23" t="str">
        <f t="shared" si="371"/>
        <v/>
      </c>
      <c r="X1164" s="22" t="str">
        <f t="shared" si="372"/>
        <v/>
      </c>
      <c r="Y1164" s="236"/>
      <c r="Z1164" s="22"/>
      <c r="AA1164" s="22"/>
      <c r="AB1164" s="22" t="str">
        <f t="shared" si="373"/>
        <v/>
      </c>
      <c r="AC1164" s="22" t="str">
        <f t="shared" si="374"/>
        <v/>
      </c>
      <c r="AD1164" s="22" t="str">
        <f t="shared" si="360"/>
        <v/>
      </c>
      <c r="AE1164" s="22" t="str">
        <f t="shared" si="375"/>
        <v/>
      </c>
      <c r="AF1164" s="22" t="str">
        <f t="shared" si="361"/>
        <v/>
      </c>
      <c r="AG1164" s="22" t="str">
        <f t="shared" si="362"/>
        <v/>
      </c>
      <c r="AH1164" s="22" t="str">
        <f t="shared" si="363"/>
        <v/>
      </c>
      <c r="AI1164" s="22" t="str">
        <f t="shared" si="364"/>
        <v/>
      </c>
      <c r="AJ1164" s="304" t="str">
        <f t="shared" si="365"/>
        <v/>
      </c>
      <c r="AK1164" s="140" t="str">
        <f t="shared" si="366"/>
        <v/>
      </c>
    </row>
    <row r="1165" spans="7:37" x14ac:dyDescent="0.25">
      <c r="G1165" s="235" t="str">
        <f t="shared" si="354"/>
        <v/>
      </c>
      <c r="H1165" s="4" t="str">
        <f t="shared" si="377"/>
        <v/>
      </c>
      <c r="I1165" s="11" t="str">
        <f t="shared" si="356"/>
        <v/>
      </c>
      <c r="K1165" s="30">
        <v>243</v>
      </c>
      <c r="L1165" s="29">
        <f t="shared" si="367"/>
        <v>11371.908376190921</v>
      </c>
      <c r="M1165" s="28" t="str">
        <f t="shared" si="357"/>
        <v/>
      </c>
      <c r="N1165" s="27" t="str">
        <f t="shared" si="368"/>
        <v/>
      </c>
      <c r="O1165" s="26" t="str">
        <f>IF(AND($Q1164=$O$38,IFERROR(LARGE($V$923:$V1164,1)&lt;$N$42,TRUE)),1,IF(AND(ISNUMBER($O1164),$O1164&lt;$N$32),$O1164+1,""))</f>
        <v/>
      </c>
      <c r="P1165" s="26" t="str">
        <f t="shared" si="369"/>
        <v/>
      </c>
      <c r="Q1165" s="26" t="str">
        <f t="shared" si="358"/>
        <v/>
      </c>
      <c r="R1165" s="24" t="str">
        <f t="shared" si="370"/>
        <v/>
      </c>
      <c r="S1165" s="180">
        <f t="shared" si="376"/>
        <v>8</v>
      </c>
      <c r="T1165" s="29">
        <f>SUM($AC$923:$AC1165)</f>
        <v>49500</v>
      </c>
      <c r="U1165" s="25" t="str">
        <f t="shared" si="359"/>
        <v/>
      </c>
      <c r="V1165" s="24" t="str">
        <f>IF(AND(ISNUMBER(R1164),ISNUMBER(R1165)),V1164,IF(AND(R1164="",ISNUMBER(R1165)),IFERROR(LARGE($V$923:$V1164,1)+1,0),""))</f>
        <v/>
      </c>
      <c r="W1165" s="23" t="str">
        <f t="shared" si="371"/>
        <v/>
      </c>
      <c r="X1165" s="22" t="str">
        <f t="shared" si="372"/>
        <v/>
      </c>
      <c r="Y1165" s="236"/>
      <c r="Z1165" s="22"/>
      <c r="AA1165" s="22"/>
      <c r="AB1165" s="22" t="str">
        <f t="shared" si="373"/>
        <v/>
      </c>
      <c r="AC1165" s="22" t="str">
        <f t="shared" si="374"/>
        <v/>
      </c>
      <c r="AD1165" s="22" t="str">
        <f t="shared" si="360"/>
        <v/>
      </c>
      <c r="AE1165" s="22" t="str">
        <f t="shared" si="375"/>
        <v/>
      </c>
      <c r="AF1165" s="22" t="str">
        <f t="shared" si="361"/>
        <v/>
      </c>
      <c r="AG1165" s="22" t="str">
        <f t="shared" si="362"/>
        <v/>
      </c>
      <c r="AH1165" s="22" t="str">
        <f t="shared" si="363"/>
        <v/>
      </c>
      <c r="AI1165" s="22" t="str">
        <f t="shared" si="364"/>
        <v/>
      </c>
      <c r="AJ1165" s="304" t="str">
        <f t="shared" si="365"/>
        <v/>
      </c>
      <c r="AK1165" s="140" t="str">
        <f t="shared" si="366"/>
        <v/>
      </c>
    </row>
    <row r="1166" spans="7:37" x14ac:dyDescent="0.25">
      <c r="G1166" s="235" t="str">
        <f t="shared" si="354"/>
        <v/>
      </c>
      <c r="H1166" s="4" t="str">
        <f t="shared" si="377"/>
        <v/>
      </c>
      <c r="I1166" s="11" t="str">
        <f t="shared" si="356"/>
        <v/>
      </c>
      <c r="K1166" s="30">
        <v>244</v>
      </c>
      <c r="L1166" s="29">
        <f t="shared" si="367"/>
        <v>11371.908376190921</v>
      </c>
      <c r="M1166" s="28" t="str">
        <f t="shared" si="357"/>
        <v/>
      </c>
      <c r="N1166" s="27" t="str">
        <f t="shared" si="368"/>
        <v/>
      </c>
      <c r="O1166" s="26" t="str">
        <f>IF(AND($Q1165=$O$38,IFERROR(LARGE($V$923:$V1165,1)&lt;$N$42,TRUE)),1,IF(AND(ISNUMBER($O1165),$O1165&lt;$N$32),$O1165+1,""))</f>
        <v/>
      </c>
      <c r="P1166" s="26" t="str">
        <f t="shared" si="369"/>
        <v/>
      </c>
      <c r="Q1166" s="26" t="str">
        <f t="shared" si="358"/>
        <v/>
      </c>
      <c r="R1166" s="24" t="str">
        <f t="shared" si="370"/>
        <v/>
      </c>
      <c r="S1166" s="180">
        <f t="shared" si="376"/>
        <v>8</v>
      </c>
      <c r="T1166" s="29">
        <f>SUM($AC$923:$AC1166)</f>
        <v>49500</v>
      </c>
      <c r="U1166" s="25" t="str">
        <f t="shared" si="359"/>
        <v/>
      </c>
      <c r="V1166" s="24" t="str">
        <f>IF(AND(ISNUMBER(R1165),ISNUMBER(R1166)),V1165,IF(AND(R1165="",ISNUMBER(R1166)),IFERROR(LARGE($V$923:$V1165,1)+1,0),""))</f>
        <v/>
      </c>
      <c r="W1166" s="23" t="str">
        <f t="shared" si="371"/>
        <v/>
      </c>
      <c r="X1166" s="22" t="str">
        <f t="shared" si="372"/>
        <v/>
      </c>
      <c r="Y1166" s="236"/>
      <c r="Z1166" s="22"/>
      <c r="AA1166" s="22"/>
      <c r="AB1166" s="22" t="str">
        <f t="shared" si="373"/>
        <v/>
      </c>
      <c r="AC1166" s="22" t="str">
        <f t="shared" si="374"/>
        <v/>
      </c>
      <c r="AD1166" s="22" t="str">
        <f t="shared" si="360"/>
        <v/>
      </c>
      <c r="AE1166" s="22" t="str">
        <f t="shared" si="375"/>
        <v/>
      </c>
      <c r="AF1166" s="22" t="str">
        <f t="shared" si="361"/>
        <v/>
      </c>
      <c r="AG1166" s="22" t="str">
        <f t="shared" si="362"/>
        <v/>
      </c>
      <c r="AH1166" s="22" t="str">
        <f t="shared" si="363"/>
        <v/>
      </c>
      <c r="AI1166" s="22" t="str">
        <f t="shared" si="364"/>
        <v/>
      </c>
      <c r="AJ1166" s="304" t="str">
        <f t="shared" si="365"/>
        <v/>
      </c>
      <c r="AK1166" s="140" t="str">
        <f t="shared" si="366"/>
        <v/>
      </c>
    </row>
    <row r="1167" spans="7:37" x14ac:dyDescent="0.25">
      <c r="G1167" s="235" t="str">
        <f t="shared" si="354"/>
        <v/>
      </c>
      <c r="H1167" s="4" t="str">
        <f t="shared" si="377"/>
        <v/>
      </c>
      <c r="I1167" s="11" t="str">
        <f t="shared" si="356"/>
        <v/>
      </c>
      <c r="K1167" s="30">
        <v>245</v>
      </c>
      <c r="L1167" s="29">
        <f t="shared" si="367"/>
        <v>11371.908376190921</v>
      </c>
      <c r="M1167" s="28" t="str">
        <f t="shared" si="357"/>
        <v/>
      </c>
      <c r="N1167" s="27" t="str">
        <f t="shared" si="368"/>
        <v/>
      </c>
      <c r="O1167" s="26" t="str">
        <f>IF(AND($Q1166=$O$38,IFERROR(LARGE($V$923:$V1166,1)&lt;$N$42,TRUE)),1,IF(AND(ISNUMBER($O1166),$O1166&lt;$N$32),$O1166+1,""))</f>
        <v/>
      </c>
      <c r="P1167" s="26" t="str">
        <f t="shared" si="369"/>
        <v/>
      </c>
      <c r="Q1167" s="26" t="str">
        <f t="shared" si="358"/>
        <v/>
      </c>
      <c r="R1167" s="24" t="str">
        <f t="shared" si="370"/>
        <v/>
      </c>
      <c r="S1167" s="180">
        <f t="shared" si="376"/>
        <v>8</v>
      </c>
      <c r="T1167" s="29">
        <f>SUM($AC$923:$AC1167)</f>
        <v>49500</v>
      </c>
      <c r="U1167" s="25" t="str">
        <f t="shared" si="359"/>
        <v/>
      </c>
      <c r="V1167" s="24" t="str">
        <f>IF(AND(ISNUMBER(R1166),ISNUMBER(R1167)),V1166,IF(AND(R1166="",ISNUMBER(R1167)),IFERROR(LARGE($V$923:$V1166,1)+1,0),""))</f>
        <v/>
      </c>
      <c r="W1167" s="23" t="str">
        <f t="shared" si="371"/>
        <v/>
      </c>
      <c r="X1167" s="22" t="str">
        <f t="shared" si="372"/>
        <v/>
      </c>
      <c r="Y1167" s="236"/>
      <c r="Z1167" s="22"/>
      <c r="AA1167" s="22"/>
      <c r="AB1167" s="22" t="str">
        <f t="shared" si="373"/>
        <v/>
      </c>
      <c r="AC1167" s="22" t="str">
        <f t="shared" si="374"/>
        <v/>
      </c>
      <c r="AD1167" s="22" t="str">
        <f t="shared" si="360"/>
        <v/>
      </c>
      <c r="AE1167" s="22" t="str">
        <f t="shared" si="375"/>
        <v/>
      </c>
      <c r="AF1167" s="22" t="str">
        <f t="shared" si="361"/>
        <v/>
      </c>
      <c r="AG1167" s="22" t="str">
        <f t="shared" si="362"/>
        <v/>
      </c>
      <c r="AH1167" s="22" t="str">
        <f t="shared" si="363"/>
        <v/>
      </c>
      <c r="AI1167" s="22" t="str">
        <f t="shared" si="364"/>
        <v/>
      </c>
      <c r="AJ1167" s="304" t="str">
        <f t="shared" si="365"/>
        <v/>
      </c>
      <c r="AK1167" s="140" t="str">
        <f t="shared" si="366"/>
        <v/>
      </c>
    </row>
    <row r="1168" spans="7:37" x14ac:dyDescent="0.25">
      <c r="G1168" s="235" t="str">
        <f t="shared" si="354"/>
        <v/>
      </c>
      <c r="H1168" s="4" t="str">
        <f t="shared" si="377"/>
        <v/>
      </c>
      <c r="I1168" s="11" t="str">
        <f t="shared" si="356"/>
        <v/>
      </c>
      <c r="K1168" s="30">
        <v>246</v>
      </c>
      <c r="L1168" s="29">
        <f t="shared" si="367"/>
        <v>11371.908376190921</v>
      </c>
      <c r="M1168" s="28" t="str">
        <f t="shared" si="357"/>
        <v/>
      </c>
      <c r="N1168" s="27" t="str">
        <f t="shared" si="368"/>
        <v/>
      </c>
      <c r="O1168" s="26" t="str">
        <f>IF(AND($Q1167=$O$38,IFERROR(LARGE($V$923:$V1167,1)&lt;$N$42,TRUE)),1,IF(AND(ISNUMBER($O1167),$O1167&lt;$N$32),$O1167+1,""))</f>
        <v/>
      </c>
      <c r="P1168" s="26" t="str">
        <f t="shared" si="369"/>
        <v/>
      </c>
      <c r="Q1168" s="26" t="str">
        <f t="shared" si="358"/>
        <v/>
      </c>
      <c r="R1168" s="24" t="str">
        <f t="shared" si="370"/>
        <v/>
      </c>
      <c r="S1168" s="180">
        <f t="shared" si="376"/>
        <v>8</v>
      </c>
      <c r="T1168" s="29">
        <f>SUM($AC$923:$AC1168)</f>
        <v>49500</v>
      </c>
      <c r="U1168" s="25" t="str">
        <f t="shared" si="359"/>
        <v/>
      </c>
      <c r="V1168" s="24" t="str">
        <f>IF(AND(ISNUMBER(R1167),ISNUMBER(R1168)),V1167,IF(AND(R1167="",ISNUMBER(R1168)),IFERROR(LARGE($V$923:$V1167,1)+1,0),""))</f>
        <v/>
      </c>
      <c r="W1168" s="23" t="str">
        <f t="shared" si="371"/>
        <v/>
      </c>
      <c r="X1168" s="22" t="str">
        <f t="shared" si="372"/>
        <v/>
      </c>
      <c r="Y1168" s="236"/>
      <c r="Z1168" s="22"/>
      <c r="AA1168" s="22"/>
      <c r="AB1168" s="22" t="str">
        <f t="shared" si="373"/>
        <v/>
      </c>
      <c r="AC1168" s="22" t="str">
        <f t="shared" si="374"/>
        <v/>
      </c>
      <c r="AD1168" s="22" t="str">
        <f t="shared" si="360"/>
        <v/>
      </c>
      <c r="AE1168" s="22" t="str">
        <f t="shared" si="375"/>
        <v/>
      </c>
      <c r="AF1168" s="22" t="str">
        <f t="shared" si="361"/>
        <v/>
      </c>
      <c r="AG1168" s="22" t="str">
        <f t="shared" si="362"/>
        <v/>
      </c>
      <c r="AH1168" s="22" t="str">
        <f t="shared" si="363"/>
        <v/>
      </c>
      <c r="AI1168" s="22" t="str">
        <f t="shared" si="364"/>
        <v/>
      </c>
      <c r="AJ1168" s="304" t="str">
        <f t="shared" si="365"/>
        <v/>
      </c>
      <c r="AK1168" s="140" t="str">
        <f t="shared" si="366"/>
        <v/>
      </c>
    </row>
    <row r="1169" spans="7:37" x14ac:dyDescent="0.25">
      <c r="G1169" s="235" t="str">
        <f t="shared" si="354"/>
        <v/>
      </c>
      <c r="H1169" s="4" t="str">
        <f t="shared" si="377"/>
        <v/>
      </c>
      <c r="I1169" s="11" t="str">
        <f t="shared" si="356"/>
        <v/>
      </c>
      <c r="K1169" s="30">
        <v>247</v>
      </c>
      <c r="L1169" s="29">
        <f t="shared" si="367"/>
        <v>11371.908376190921</v>
      </c>
      <c r="M1169" s="28" t="str">
        <f t="shared" si="357"/>
        <v/>
      </c>
      <c r="N1169" s="27" t="str">
        <f t="shared" si="368"/>
        <v/>
      </c>
      <c r="O1169" s="26" t="str">
        <f>IF(AND($Q1168=$O$38,IFERROR(LARGE($V$923:$V1168,1)&lt;$N$42,TRUE)),1,IF(AND(ISNUMBER($O1168),$O1168&lt;$N$32),$O1168+1,""))</f>
        <v/>
      </c>
      <c r="P1169" s="26" t="str">
        <f t="shared" si="369"/>
        <v/>
      </c>
      <c r="Q1169" s="26" t="str">
        <f t="shared" si="358"/>
        <v/>
      </c>
      <c r="R1169" s="24" t="str">
        <f t="shared" si="370"/>
        <v/>
      </c>
      <c r="S1169" s="180">
        <f t="shared" si="376"/>
        <v>8</v>
      </c>
      <c r="T1169" s="29">
        <f>SUM($AC$923:$AC1169)</f>
        <v>49500</v>
      </c>
      <c r="U1169" s="25" t="str">
        <f t="shared" si="359"/>
        <v/>
      </c>
      <c r="V1169" s="24" t="str">
        <f>IF(AND(ISNUMBER(R1168),ISNUMBER(R1169)),V1168,IF(AND(R1168="",ISNUMBER(R1169)),IFERROR(LARGE($V$923:$V1168,1)+1,0),""))</f>
        <v/>
      </c>
      <c r="W1169" s="23" t="str">
        <f t="shared" si="371"/>
        <v/>
      </c>
      <c r="X1169" s="22" t="str">
        <f t="shared" si="372"/>
        <v/>
      </c>
      <c r="Y1169" s="236"/>
      <c r="Z1169" s="22"/>
      <c r="AA1169" s="22"/>
      <c r="AB1169" s="22" t="str">
        <f t="shared" si="373"/>
        <v/>
      </c>
      <c r="AC1169" s="22" t="str">
        <f t="shared" si="374"/>
        <v/>
      </c>
      <c r="AD1169" s="22" t="str">
        <f t="shared" si="360"/>
        <v/>
      </c>
      <c r="AE1169" s="22" t="str">
        <f t="shared" si="375"/>
        <v/>
      </c>
      <c r="AF1169" s="22" t="str">
        <f t="shared" si="361"/>
        <v/>
      </c>
      <c r="AG1169" s="22" t="str">
        <f t="shared" si="362"/>
        <v/>
      </c>
      <c r="AH1169" s="22" t="str">
        <f t="shared" si="363"/>
        <v/>
      </c>
      <c r="AI1169" s="22" t="str">
        <f t="shared" si="364"/>
        <v/>
      </c>
      <c r="AJ1169" s="304" t="str">
        <f t="shared" si="365"/>
        <v/>
      </c>
      <c r="AK1169" s="140" t="str">
        <f t="shared" si="366"/>
        <v/>
      </c>
    </row>
    <row r="1170" spans="7:37" x14ac:dyDescent="0.25">
      <c r="G1170" s="235" t="str">
        <f t="shared" si="354"/>
        <v/>
      </c>
      <c r="H1170" s="4" t="str">
        <f t="shared" si="377"/>
        <v/>
      </c>
      <c r="I1170" s="11" t="str">
        <f t="shared" si="356"/>
        <v/>
      </c>
      <c r="K1170" s="30">
        <v>248</v>
      </c>
      <c r="L1170" s="29">
        <f t="shared" si="367"/>
        <v>11371.908376190921</v>
      </c>
      <c r="M1170" s="28" t="str">
        <f t="shared" si="357"/>
        <v/>
      </c>
      <c r="N1170" s="27" t="str">
        <f t="shared" si="368"/>
        <v/>
      </c>
      <c r="O1170" s="26" t="str">
        <f>IF(AND($Q1169=$O$38,IFERROR(LARGE($V$923:$V1169,1)&lt;$N$42,TRUE)),1,IF(AND(ISNUMBER($O1169),$O1169&lt;$N$32),$O1169+1,""))</f>
        <v/>
      </c>
      <c r="P1170" s="26" t="str">
        <f t="shared" si="369"/>
        <v/>
      </c>
      <c r="Q1170" s="26" t="str">
        <f t="shared" si="358"/>
        <v/>
      </c>
      <c r="R1170" s="24" t="str">
        <f t="shared" si="370"/>
        <v/>
      </c>
      <c r="S1170" s="180">
        <f t="shared" si="376"/>
        <v>8</v>
      </c>
      <c r="T1170" s="29">
        <f>SUM($AC$923:$AC1170)</f>
        <v>49500</v>
      </c>
      <c r="U1170" s="25" t="str">
        <f t="shared" si="359"/>
        <v/>
      </c>
      <c r="V1170" s="24" t="str">
        <f>IF(AND(ISNUMBER(R1169),ISNUMBER(R1170)),V1169,IF(AND(R1169="",ISNUMBER(R1170)),IFERROR(LARGE($V$923:$V1169,1)+1,0),""))</f>
        <v/>
      </c>
      <c r="W1170" s="23" t="str">
        <f t="shared" si="371"/>
        <v/>
      </c>
      <c r="X1170" s="22" t="str">
        <f t="shared" si="372"/>
        <v/>
      </c>
      <c r="Y1170" s="236"/>
      <c r="Z1170" s="22"/>
      <c r="AA1170" s="22"/>
      <c r="AB1170" s="22" t="str">
        <f t="shared" si="373"/>
        <v/>
      </c>
      <c r="AC1170" s="22" t="str">
        <f t="shared" si="374"/>
        <v/>
      </c>
      <c r="AD1170" s="22" t="str">
        <f t="shared" si="360"/>
        <v/>
      </c>
      <c r="AE1170" s="22" t="str">
        <f t="shared" si="375"/>
        <v/>
      </c>
      <c r="AF1170" s="22" t="str">
        <f t="shared" si="361"/>
        <v/>
      </c>
      <c r="AG1170" s="22" t="str">
        <f t="shared" si="362"/>
        <v/>
      </c>
      <c r="AH1170" s="22" t="str">
        <f t="shared" si="363"/>
        <v/>
      </c>
      <c r="AI1170" s="22" t="str">
        <f t="shared" si="364"/>
        <v/>
      </c>
      <c r="AJ1170" s="304" t="str">
        <f t="shared" si="365"/>
        <v/>
      </c>
      <c r="AK1170" s="140" t="str">
        <f t="shared" si="366"/>
        <v/>
      </c>
    </row>
    <row r="1171" spans="7:37" x14ac:dyDescent="0.25">
      <c r="G1171" s="235" t="str">
        <f t="shared" si="354"/>
        <v/>
      </c>
      <c r="H1171" s="4" t="str">
        <f t="shared" si="377"/>
        <v/>
      </c>
      <c r="I1171" s="11" t="str">
        <f t="shared" si="356"/>
        <v/>
      </c>
      <c r="K1171" s="30">
        <v>249</v>
      </c>
      <c r="L1171" s="29">
        <f t="shared" si="367"/>
        <v>11371.908376190921</v>
      </c>
      <c r="M1171" s="28" t="str">
        <f t="shared" si="357"/>
        <v/>
      </c>
      <c r="N1171" s="27" t="str">
        <f t="shared" si="368"/>
        <v/>
      </c>
      <c r="O1171" s="26" t="str">
        <f>IF(AND($Q1170=$O$38,IFERROR(LARGE($V$923:$V1170,1)&lt;$N$42,TRUE)),1,IF(AND(ISNUMBER($O1170),$O1170&lt;$N$32),$O1170+1,""))</f>
        <v/>
      </c>
      <c r="P1171" s="26" t="str">
        <f t="shared" si="369"/>
        <v/>
      </c>
      <c r="Q1171" s="26" t="str">
        <f t="shared" si="358"/>
        <v/>
      </c>
      <c r="R1171" s="24" t="str">
        <f t="shared" si="370"/>
        <v/>
      </c>
      <c r="S1171" s="180">
        <f t="shared" si="376"/>
        <v>8</v>
      </c>
      <c r="T1171" s="29">
        <f>SUM($AC$923:$AC1171)</f>
        <v>49500</v>
      </c>
      <c r="U1171" s="25" t="str">
        <f t="shared" si="359"/>
        <v/>
      </c>
      <c r="V1171" s="24" t="str">
        <f>IF(AND(ISNUMBER(R1170),ISNUMBER(R1171)),V1170,IF(AND(R1170="",ISNUMBER(R1171)),IFERROR(LARGE($V$923:$V1170,1)+1,0),""))</f>
        <v/>
      </c>
      <c r="W1171" s="23" t="str">
        <f t="shared" si="371"/>
        <v/>
      </c>
      <c r="X1171" s="22" t="str">
        <f t="shared" si="372"/>
        <v/>
      </c>
      <c r="Y1171" s="236"/>
      <c r="Z1171" s="22"/>
      <c r="AA1171" s="22"/>
      <c r="AB1171" s="22" t="str">
        <f t="shared" si="373"/>
        <v/>
      </c>
      <c r="AC1171" s="22" t="str">
        <f t="shared" si="374"/>
        <v/>
      </c>
      <c r="AD1171" s="22" t="str">
        <f t="shared" si="360"/>
        <v/>
      </c>
      <c r="AE1171" s="22" t="str">
        <f t="shared" si="375"/>
        <v/>
      </c>
      <c r="AF1171" s="22" t="str">
        <f t="shared" si="361"/>
        <v/>
      </c>
      <c r="AG1171" s="22" t="str">
        <f t="shared" si="362"/>
        <v/>
      </c>
      <c r="AH1171" s="22" t="str">
        <f t="shared" si="363"/>
        <v/>
      </c>
      <c r="AI1171" s="22" t="str">
        <f t="shared" si="364"/>
        <v/>
      </c>
      <c r="AJ1171" s="304" t="str">
        <f t="shared" si="365"/>
        <v/>
      </c>
      <c r="AK1171" s="140" t="str">
        <f t="shared" si="366"/>
        <v/>
      </c>
    </row>
    <row r="1172" spans="7:37" x14ac:dyDescent="0.25">
      <c r="G1172" s="235" t="str">
        <f t="shared" si="354"/>
        <v/>
      </c>
      <c r="H1172" s="4" t="str">
        <f t="shared" si="377"/>
        <v/>
      </c>
      <c r="I1172" s="11" t="str">
        <f t="shared" si="356"/>
        <v/>
      </c>
      <c r="K1172" s="30">
        <v>250</v>
      </c>
      <c r="L1172" s="29">
        <f t="shared" si="367"/>
        <v>11371.908376190921</v>
      </c>
      <c r="M1172" s="28" t="str">
        <f t="shared" si="357"/>
        <v/>
      </c>
      <c r="N1172" s="27" t="str">
        <f t="shared" si="368"/>
        <v/>
      </c>
      <c r="O1172" s="26" t="str">
        <f>IF(AND($Q1171=$O$38,IFERROR(LARGE($V$923:$V1171,1)&lt;$N$42,TRUE)),1,IF(AND(ISNUMBER($O1171),$O1171&lt;$N$32),$O1171+1,""))</f>
        <v/>
      </c>
      <c r="P1172" s="26" t="str">
        <f t="shared" si="369"/>
        <v/>
      </c>
      <c r="Q1172" s="26" t="str">
        <f t="shared" si="358"/>
        <v/>
      </c>
      <c r="R1172" s="24" t="str">
        <f t="shared" si="370"/>
        <v/>
      </c>
      <c r="S1172" s="180">
        <f t="shared" si="376"/>
        <v>8</v>
      </c>
      <c r="T1172" s="29">
        <f>SUM($AC$923:$AC1172)</f>
        <v>49500</v>
      </c>
      <c r="U1172" s="25" t="str">
        <f t="shared" si="359"/>
        <v/>
      </c>
      <c r="V1172" s="24" t="str">
        <f>IF(AND(ISNUMBER(R1171),ISNUMBER(R1172)),V1171,IF(AND(R1171="",ISNUMBER(R1172)),IFERROR(LARGE($V$923:$V1171,1)+1,0),""))</f>
        <v/>
      </c>
      <c r="W1172" s="23" t="str">
        <f t="shared" si="371"/>
        <v/>
      </c>
      <c r="X1172" s="22" t="str">
        <f t="shared" si="372"/>
        <v/>
      </c>
      <c r="Y1172" s="236"/>
      <c r="Z1172" s="22"/>
      <c r="AA1172" s="22"/>
      <c r="AB1172" s="22" t="str">
        <f t="shared" si="373"/>
        <v/>
      </c>
      <c r="AC1172" s="22" t="str">
        <f t="shared" si="374"/>
        <v/>
      </c>
      <c r="AD1172" s="22" t="str">
        <f t="shared" si="360"/>
        <v/>
      </c>
      <c r="AE1172" s="22" t="str">
        <f t="shared" si="375"/>
        <v/>
      </c>
      <c r="AF1172" s="22" t="str">
        <f t="shared" si="361"/>
        <v/>
      </c>
      <c r="AG1172" s="22" t="str">
        <f t="shared" si="362"/>
        <v/>
      </c>
      <c r="AH1172" s="22" t="str">
        <f t="shared" si="363"/>
        <v/>
      </c>
      <c r="AI1172" s="22" t="str">
        <f t="shared" si="364"/>
        <v/>
      </c>
      <c r="AJ1172" s="304" t="str">
        <f t="shared" si="365"/>
        <v/>
      </c>
      <c r="AK1172" s="140" t="str">
        <f t="shared" si="366"/>
        <v/>
      </c>
    </row>
    <row r="1173" spans="7:37" x14ac:dyDescent="0.25">
      <c r="G1173" s="235" t="str">
        <f t="shared" si="354"/>
        <v/>
      </c>
      <c r="H1173" s="4" t="str">
        <f t="shared" si="377"/>
        <v/>
      </c>
      <c r="I1173" s="11" t="str">
        <f t="shared" si="356"/>
        <v/>
      </c>
      <c r="K1173" s="30">
        <v>251</v>
      </c>
      <c r="L1173" s="29">
        <f t="shared" si="367"/>
        <v>11371.908376190921</v>
      </c>
      <c r="M1173" s="28" t="str">
        <f t="shared" si="357"/>
        <v/>
      </c>
      <c r="N1173" s="27" t="str">
        <f t="shared" si="368"/>
        <v/>
      </c>
      <c r="O1173" s="26" t="str">
        <f>IF(AND($Q1172=$O$38,IFERROR(LARGE($V$923:$V1172,1)&lt;$N$42,TRUE)),1,IF(AND(ISNUMBER($O1172),$O1172&lt;$N$32),$O1172+1,""))</f>
        <v/>
      </c>
      <c r="P1173" s="26" t="str">
        <f t="shared" si="369"/>
        <v/>
      </c>
      <c r="Q1173" s="26" t="str">
        <f t="shared" si="358"/>
        <v/>
      </c>
      <c r="R1173" s="24" t="str">
        <f t="shared" si="370"/>
        <v/>
      </c>
      <c r="S1173" s="180">
        <f t="shared" si="376"/>
        <v>8</v>
      </c>
      <c r="T1173" s="29">
        <f>SUM($AC$923:$AC1173)</f>
        <v>49500</v>
      </c>
      <c r="U1173" s="25" t="str">
        <f t="shared" si="359"/>
        <v/>
      </c>
      <c r="V1173" s="24" t="str">
        <f>IF(AND(ISNUMBER(R1172),ISNUMBER(R1173)),V1172,IF(AND(R1172="",ISNUMBER(R1173)),IFERROR(LARGE($V$923:$V1172,1)+1,0),""))</f>
        <v/>
      </c>
      <c r="W1173" s="23" t="str">
        <f t="shared" si="371"/>
        <v/>
      </c>
      <c r="X1173" s="22" t="str">
        <f t="shared" si="372"/>
        <v/>
      </c>
      <c r="Y1173" s="236"/>
      <c r="Z1173" s="22"/>
      <c r="AA1173" s="22"/>
      <c r="AB1173" s="22" t="str">
        <f t="shared" si="373"/>
        <v/>
      </c>
      <c r="AC1173" s="22" t="str">
        <f t="shared" si="374"/>
        <v/>
      </c>
      <c r="AD1173" s="22" t="str">
        <f t="shared" si="360"/>
        <v/>
      </c>
      <c r="AE1173" s="22" t="str">
        <f t="shared" si="375"/>
        <v/>
      </c>
      <c r="AF1173" s="22" t="str">
        <f t="shared" si="361"/>
        <v/>
      </c>
      <c r="AG1173" s="22" t="str">
        <f t="shared" si="362"/>
        <v/>
      </c>
      <c r="AH1173" s="22" t="str">
        <f t="shared" si="363"/>
        <v/>
      </c>
      <c r="AI1173" s="22" t="str">
        <f t="shared" si="364"/>
        <v/>
      </c>
      <c r="AJ1173" s="304" t="str">
        <f t="shared" si="365"/>
        <v/>
      </c>
      <c r="AK1173" s="140" t="str">
        <f t="shared" si="366"/>
        <v/>
      </c>
    </row>
    <row r="1174" spans="7:37" x14ac:dyDescent="0.25">
      <c r="G1174" s="235" t="str">
        <f t="shared" si="354"/>
        <v/>
      </c>
      <c r="H1174" s="4" t="str">
        <f t="shared" si="377"/>
        <v/>
      </c>
      <c r="I1174" s="11" t="str">
        <f t="shared" si="356"/>
        <v/>
      </c>
      <c r="K1174" s="30">
        <v>252</v>
      </c>
      <c r="L1174" s="29">
        <f t="shared" si="367"/>
        <v>11371.908376190921</v>
      </c>
      <c r="M1174" s="28" t="str">
        <f t="shared" si="357"/>
        <v/>
      </c>
      <c r="N1174" s="27" t="str">
        <f t="shared" si="368"/>
        <v/>
      </c>
      <c r="O1174" s="26" t="str">
        <f>IF(AND($Q1173=$O$38,IFERROR(LARGE($V$923:$V1173,1)&lt;$N$42,TRUE)),1,IF(AND(ISNUMBER($O1173),$O1173&lt;$N$32),$O1173+1,""))</f>
        <v/>
      </c>
      <c r="P1174" s="26" t="str">
        <f t="shared" si="369"/>
        <v/>
      </c>
      <c r="Q1174" s="26" t="str">
        <f t="shared" si="358"/>
        <v/>
      </c>
      <c r="R1174" s="24" t="str">
        <f t="shared" si="370"/>
        <v/>
      </c>
      <c r="S1174" s="180">
        <f t="shared" si="376"/>
        <v>8</v>
      </c>
      <c r="T1174" s="29">
        <f>SUM($AC$923:$AC1174)</f>
        <v>49500</v>
      </c>
      <c r="U1174" s="25" t="str">
        <f t="shared" si="359"/>
        <v/>
      </c>
      <c r="V1174" s="24" t="str">
        <f>IF(AND(ISNUMBER(R1173),ISNUMBER(R1174)),V1173,IF(AND(R1173="",ISNUMBER(R1174)),IFERROR(LARGE($V$923:$V1173,1)+1,0),""))</f>
        <v/>
      </c>
      <c r="W1174" s="23" t="str">
        <f t="shared" si="371"/>
        <v/>
      </c>
      <c r="X1174" s="22" t="str">
        <f t="shared" si="372"/>
        <v/>
      </c>
      <c r="Y1174" s="236"/>
      <c r="Z1174" s="22"/>
      <c r="AA1174" s="22"/>
      <c r="AB1174" s="22" t="str">
        <f t="shared" si="373"/>
        <v/>
      </c>
      <c r="AC1174" s="22" t="str">
        <f t="shared" si="374"/>
        <v/>
      </c>
      <c r="AD1174" s="22" t="str">
        <f t="shared" si="360"/>
        <v/>
      </c>
      <c r="AE1174" s="22" t="str">
        <f t="shared" si="375"/>
        <v/>
      </c>
      <c r="AF1174" s="22" t="str">
        <f t="shared" si="361"/>
        <v/>
      </c>
      <c r="AG1174" s="22" t="str">
        <f t="shared" si="362"/>
        <v/>
      </c>
      <c r="AH1174" s="22" t="str">
        <f t="shared" si="363"/>
        <v/>
      </c>
      <c r="AI1174" s="22" t="str">
        <f t="shared" si="364"/>
        <v/>
      </c>
      <c r="AJ1174" s="304" t="str">
        <f t="shared" si="365"/>
        <v/>
      </c>
      <c r="AK1174" s="140" t="str">
        <f t="shared" si="366"/>
        <v/>
      </c>
    </row>
    <row r="1175" spans="7:37" x14ac:dyDescent="0.25">
      <c r="G1175" s="235" t="str">
        <f t="shared" si="354"/>
        <v/>
      </c>
      <c r="H1175" s="4" t="str">
        <f t="shared" si="377"/>
        <v/>
      </c>
      <c r="I1175" s="11" t="str">
        <f t="shared" si="356"/>
        <v/>
      </c>
      <c r="K1175" s="30">
        <v>253</v>
      </c>
      <c r="L1175" s="29">
        <f t="shared" si="367"/>
        <v>11371.908376190921</v>
      </c>
      <c r="M1175" s="28" t="str">
        <f t="shared" si="357"/>
        <v/>
      </c>
      <c r="N1175" s="27" t="str">
        <f t="shared" si="368"/>
        <v/>
      </c>
      <c r="O1175" s="26" t="str">
        <f>IF(AND($Q1174=$O$38,IFERROR(LARGE($V$923:$V1174,1)&lt;$N$42,TRUE)),1,IF(AND(ISNUMBER($O1174),$O1174&lt;$N$32),$O1174+1,""))</f>
        <v/>
      </c>
      <c r="P1175" s="26" t="str">
        <f t="shared" si="369"/>
        <v/>
      </c>
      <c r="Q1175" s="26" t="str">
        <f t="shared" si="358"/>
        <v/>
      </c>
      <c r="R1175" s="24" t="str">
        <f t="shared" si="370"/>
        <v/>
      </c>
      <c r="S1175" s="180">
        <f t="shared" si="376"/>
        <v>8</v>
      </c>
      <c r="T1175" s="29">
        <f>SUM($AC$923:$AC1175)</f>
        <v>49500</v>
      </c>
      <c r="U1175" s="25" t="str">
        <f t="shared" si="359"/>
        <v/>
      </c>
      <c r="V1175" s="24" t="str">
        <f>IF(AND(ISNUMBER(R1174),ISNUMBER(R1175)),V1174,IF(AND(R1174="",ISNUMBER(R1175)),IFERROR(LARGE($V$923:$V1174,1)+1,0),""))</f>
        <v/>
      </c>
      <c r="W1175" s="23" t="str">
        <f t="shared" si="371"/>
        <v/>
      </c>
      <c r="X1175" s="22" t="str">
        <f t="shared" si="372"/>
        <v/>
      </c>
      <c r="Y1175" s="236"/>
      <c r="Z1175" s="22"/>
      <c r="AA1175" s="22"/>
      <c r="AB1175" s="22" t="str">
        <f t="shared" si="373"/>
        <v/>
      </c>
      <c r="AC1175" s="22" t="str">
        <f t="shared" si="374"/>
        <v/>
      </c>
      <c r="AD1175" s="22" t="str">
        <f t="shared" si="360"/>
        <v/>
      </c>
      <c r="AE1175" s="22" t="str">
        <f t="shared" si="375"/>
        <v/>
      </c>
      <c r="AF1175" s="22" t="str">
        <f t="shared" si="361"/>
        <v/>
      </c>
      <c r="AG1175" s="22" t="str">
        <f t="shared" si="362"/>
        <v/>
      </c>
      <c r="AH1175" s="22" t="str">
        <f t="shared" si="363"/>
        <v/>
      </c>
      <c r="AI1175" s="22" t="str">
        <f t="shared" si="364"/>
        <v/>
      </c>
      <c r="AJ1175" s="304" t="str">
        <f t="shared" si="365"/>
        <v/>
      </c>
      <c r="AK1175" s="140" t="str">
        <f t="shared" si="366"/>
        <v/>
      </c>
    </row>
    <row r="1176" spans="7:37" x14ac:dyDescent="0.25">
      <c r="G1176" s="235" t="str">
        <f t="shared" si="354"/>
        <v/>
      </c>
      <c r="H1176" s="4" t="str">
        <f t="shared" si="377"/>
        <v/>
      </c>
      <c r="I1176" s="11" t="str">
        <f t="shared" si="356"/>
        <v/>
      </c>
      <c r="K1176" s="30">
        <v>254</v>
      </c>
      <c r="L1176" s="29">
        <f t="shared" si="367"/>
        <v>11371.908376190921</v>
      </c>
      <c r="M1176" s="28" t="str">
        <f t="shared" si="357"/>
        <v/>
      </c>
      <c r="N1176" s="27" t="str">
        <f t="shared" si="368"/>
        <v/>
      </c>
      <c r="O1176" s="26" t="str">
        <f>IF(AND($Q1175=$O$38,IFERROR(LARGE($V$923:$V1175,1)&lt;$N$42,TRUE)),1,IF(AND(ISNUMBER($O1175),$O1175&lt;$N$32),$O1175+1,""))</f>
        <v/>
      </c>
      <c r="P1176" s="26" t="str">
        <f t="shared" si="369"/>
        <v/>
      </c>
      <c r="Q1176" s="26" t="str">
        <f t="shared" si="358"/>
        <v/>
      </c>
      <c r="R1176" s="24" t="str">
        <f t="shared" si="370"/>
        <v/>
      </c>
      <c r="S1176" s="180">
        <f t="shared" si="376"/>
        <v>8</v>
      </c>
      <c r="T1176" s="29">
        <f>SUM($AC$923:$AC1176)</f>
        <v>49500</v>
      </c>
      <c r="U1176" s="25" t="str">
        <f t="shared" si="359"/>
        <v/>
      </c>
      <c r="V1176" s="24" t="str">
        <f>IF(AND(ISNUMBER(R1175),ISNUMBER(R1176)),V1175,IF(AND(R1175="",ISNUMBER(R1176)),IFERROR(LARGE($V$923:$V1175,1)+1,0),""))</f>
        <v/>
      </c>
      <c r="W1176" s="23" t="str">
        <f t="shared" si="371"/>
        <v/>
      </c>
      <c r="X1176" s="22" t="str">
        <f t="shared" si="372"/>
        <v/>
      </c>
      <c r="Y1176" s="236"/>
      <c r="Z1176" s="22"/>
      <c r="AA1176" s="22"/>
      <c r="AB1176" s="22" t="str">
        <f t="shared" si="373"/>
        <v/>
      </c>
      <c r="AC1176" s="22" t="str">
        <f t="shared" si="374"/>
        <v/>
      </c>
      <c r="AD1176" s="22" t="str">
        <f t="shared" si="360"/>
        <v/>
      </c>
      <c r="AE1176" s="22" t="str">
        <f t="shared" si="375"/>
        <v/>
      </c>
      <c r="AF1176" s="22" t="str">
        <f t="shared" si="361"/>
        <v/>
      </c>
      <c r="AG1176" s="22" t="str">
        <f t="shared" si="362"/>
        <v/>
      </c>
      <c r="AH1176" s="22" t="str">
        <f t="shared" si="363"/>
        <v/>
      </c>
      <c r="AI1176" s="22" t="str">
        <f t="shared" si="364"/>
        <v/>
      </c>
      <c r="AJ1176" s="304" t="str">
        <f t="shared" si="365"/>
        <v/>
      </c>
      <c r="AK1176" s="140" t="str">
        <f t="shared" si="366"/>
        <v/>
      </c>
    </row>
    <row r="1177" spans="7:37" x14ac:dyDescent="0.25">
      <c r="G1177" s="235" t="str">
        <f t="shared" si="354"/>
        <v/>
      </c>
      <c r="H1177" s="4" t="str">
        <f t="shared" si="377"/>
        <v/>
      </c>
      <c r="I1177" s="11" t="str">
        <f t="shared" si="356"/>
        <v/>
      </c>
      <c r="K1177" s="30">
        <v>255</v>
      </c>
      <c r="L1177" s="29">
        <f t="shared" si="367"/>
        <v>11371.908376190921</v>
      </c>
      <c r="M1177" s="28" t="str">
        <f t="shared" si="357"/>
        <v/>
      </c>
      <c r="N1177" s="27" t="str">
        <f t="shared" si="368"/>
        <v/>
      </c>
      <c r="O1177" s="26" t="str">
        <f>IF(AND($Q1176=$O$38,IFERROR(LARGE($V$923:$V1176,1)&lt;$N$42,TRUE)),1,IF(AND(ISNUMBER($O1176),$O1176&lt;$N$32),$O1176+1,""))</f>
        <v/>
      </c>
      <c r="P1177" s="26" t="str">
        <f t="shared" si="369"/>
        <v/>
      </c>
      <c r="Q1177" s="26" t="str">
        <f t="shared" si="358"/>
        <v/>
      </c>
      <c r="R1177" s="24" t="str">
        <f t="shared" si="370"/>
        <v/>
      </c>
      <c r="S1177" s="180">
        <f t="shared" si="376"/>
        <v>8</v>
      </c>
      <c r="T1177" s="29">
        <f>SUM($AC$923:$AC1177)</f>
        <v>49500</v>
      </c>
      <c r="U1177" s="25" t="str">
        <f t="shared" si="359"/>
        <v/>
      </c>
      <c r="V1177" s="24" t="str">
        <f>IF(AND(ISNUMBER(R1176),ISNUMBER(R1177)),V1176,IF(AND(R1176="",ISNUMBER(R1177)),IFERROR(LARGE($V$923:$V1176,1)+1,0),""))</f>
        <v/>
      </c>
      <c r="W1177" s="23" t="str">
        <f t="shared" si="371"/>
        <v/>
      </c>
      <c r="X1177" s="22" t="str">
        <f t="shared" si="372"/>
        <v/>
      </c>
      <c r="Y1177" s="236"/>
      <c r="Z1177" s="22"/>
      <c r="AA1177" s="22"/>
      <c r="AB1177" s="22" t="str">
        <f t="shared" si="373"/>
        <v/>
      </c>
      <c r="AC1177" s="22" t="str">
        <f t="shared" si="374"/>
        <v/>
      </c>
      <c r="AD1177" s="22" t="str">
        <f t="shared" si="360"/>
        <v/>
      </c>
      <c r="AE1177" s="22" t="str">
        <f t="shared" si="375"/>
        <v/>
      </c>
      <c r="AF1177" s="22" t="str">
        <f t="shared" si="361"/>
        <v/>
      </c>
      <c r="AG1177" s="22" t="str">
        <f t="shared" si="362"/>
        <v/>
      </c>
      <c r="AH1177" s="22" t="str">
        <f t="shared" si="363"/>
        <v/>
      </c>
      <c r="AI1177" s="22" t="str">
        <f t="shared" si="364"/>
        <v/>
      </c>
      <c r="AJ1177" s="304" t="str">
        <f t="shared" si="365"/>
        <v/>
      </c>
      <c r="AK1177" s="140" t="str">
        <f t="shared" si="366"/>
        <v/>
      </c>
    </row>
    <row r="1178" spans="7:37" x14ac:dyDescent="0.25">
      <c r="G1178" s="235" t="str">
        <f t="shared" si="354"/>
        <v/>
      </c>
      <c r="H1178" s="4" t="str">
        <f t="shared" si="377"/>
        <v/>
      </c>
      <c r="I1178" s="11" t="str">
        <f t="shared" si="356"/>
        <v/>
      </c>
      <c r="K1178" s="30">
        <v>256</v>
      </c>
      <c r="L1178" s="29">
        <f t="shared" si="367"/>
        <v>11371.908376190921</v>
      </c>
      <c r="M1178" s="28" t="str">
        <f t="shared" si="357"/>
        <v/>
      </c>
      <c r="N1178" s="27" t="str">
        <f t="shared" si="368"/>
        <v/>
      </c>
      <c r="O1178" s="26" t="str">
        <f>IF(AND($Q1177=$O$38,IFERROR(LARGE($V$923:$V1177,1)&lt;$N$42,TRUE)),1,IF(AND(ISNUMBER($O1177),$O1177&lt;$N$32),$O1177+1,""))</f>
        <v/>
      </c>
      <c r="P1178" s="26" t="str">
        <f t="shared" si="369"/>
        <v/>
      </c>
      <c r="Q1178" s="26" t="str">
        <f t="shared" si="358"/>
        <v/>
      </c>
      <c r="R1178" s="24" t="str">
        <f t="shared" si="370"/>
        <v/>
      </c>
      <c r="S1178" s="180">
        <f t="shared" si="376"/>
        <v>8</v>
      </c>
      <c r="T1178" s="29">
        <f>SUM($AC$923:$AC1178)</f>
        <v>49500</v>
      </c>
      <c r="U1178" s="25" t="str">
        <f t="shared" si="359"/>
        <v/>
      </c>
      <c r="V1178" s="24" t="str">
        <f>IF(AND(ISNUMBER(R1177),ISNUMBER(R1178)),V1177,IF(AND(R1177="",ISNUMBER(R1178)),IFERROR(LARGE($V$923:$V1177,1)+1,0),""))</f>
        <v/>
      </c>
      <c r="W1178" s="23" t="str">
        <f t="shared" si="371"/>
        <v/>
      </c>
      <c r="X1178" s="22" t="str">
        <f t="shared" si="372"/>
        <v/>
      </c>
      <c r="Y1178" s="236"/>
      <c r="Z1178" s="22"/>
      <c r="AA1178" s="22"/>
      <c r="AB1178" s="22" t="str">
        <f t="shared" si="373"/>
        <v/>
      </c>
      <c r="AC1178" s="22" t="str">
        <f t="shared" si="374"/>
        <v/>
      </c>
      <c r="AD1178" s="22" t="str">
        <f t="shared" si="360"/>
        <v/>
      </c>
      <c r="AE1178" s="22" t="str">
        <f t="shared" si="375"/>
        <v/>
      </c>
      <c r="AF1178" s="22" t="str">
        <f t="shared" si="361"/>
        <v/>
      </c>
      <c r="AG1178" s="22" t="str">
        <f t="shared" si="362"/>
        <v/>
      </c>
      <c r="AH1178" s="22" t="str">
        <f t="shared" si="363"/>
        <v/>
      </c>
      <c r="AI1178" s="22" t="str">
        <f t="shared" si="364"/>
        <v/>
      </c>
      <c r="AJ1178" s="304" t="str">
        <f t="shared" si="365"/>
        <v/>
      </c>
      <c r="AK1178" s="140" t="str">
        <f t="shared" si="366"/>
        <v/>
      </c>
    </row>
    <row r="1179" spans="7:37" x14ac:dyDescent="0.25">
      <c r="G1179" s="235" t="str">
        <f t="shared" ref="G1179:G1242" si="378">IF(RIGHT(H1179,2)=".N","NEW",IF(SUM(N1179:R1179)=0,"",LEFT(H1179,5)))</f>
        <v/>
      </c>
      <c r="H1179" s="4" t="str">
        <f t="shared" si="377"/>
        <v/>
      </c>
      <c r="I1179" s="11" t="str">
        <f t="shared" ref="I1179:I1242" si="379">IF(SUM(N1179:R1179)&gt;0,CONCATENATE(IF(LEN(ROUNDDOWN(S1179,0))=1,CONCATENATE("0",ROUNDDOWN(S1179,0)),ROUNDDOWN(S1179,0)),".",IF(LEN(ROUND(MOD(S1179,1)*100,0))=1,CONCATENATE("0",ROUND(MOD(S1179,1)*100,0)),ROUND(MOD(S1179,1)*100,0)),IF(N1179&lt;&gt;"",".N.",IF(O1179&lt;&gt;"",".R.",IF(P1179&lt;&gt;"",".O.",IF(Q1179&lt;&gt;"",".I.",IF(R1179&lt;&gt;"",".D.",""))))),IF(N1179&lt;&gt;"",N1179,IF(O1179&lt;&gt;"",O1179,IF(P1179&lt;&gt;"",P1179,IF(Q1179&lt;&gt;"",Q1179,IF(R1179&lt;&gt;"",IF(MOD(R1179,$N$44)=0,$N$44,MOD(R1179,$N$44)),"")))))),"")</f>
        <v/>
      </c>
      <c r="K1179" s="30">
        <v>257</v>
      </c>
      <c r="L1179" s="29">
        <f t="shared" si="367"/>
        <v>11371.908376190921</v>
      </c>
      <c r="M1179" s="28" t="str">
        <f t="shared" ref="M1179:M1242" si="380">IFERROR(IF(IF($K1179=1,(($M$23*-1)+($M$24*-1)),IF(ISNUMBER(W1179),W1179,0)+IF(ISNUMBER(X1179),X1179,0)+IF(ISNUMBER(AB1179),AB1179,0)+IF(ISNUMBER(AE1179),AE1179,0)+IF(ISNUMBER(AF1179),AF1179,0)+IF(ISNUMBER(AG1179),AG1179,0)+IF(ISNUMBER(AH1179),AH1179,0)+IF(ISNUMBER(AI1179),AI1179,0)+IF(ISNUMBER(AK1179),AK1179,0))=0,"",IF($K1179=1,(($M$23*-1)+($M$24*-1)),IF(ISNUMBER(W1179),W1179,0)+IF(ISNUMBER(X1179),X1179,0)+IF(ISNUMBER(AB1179),AB1179,0)+IF(ISNUMBER(AE1179),AE1179,0)+IF(ISNUMBER(AF1179),AF1179,0)+IF(ISNUMBER(AG1179),AG1179,0)+IF(ISNUMBER(AH1179),AH1179,0)+IF(ISNUMBER(AI1179),AI1179,0)+IF(ISNUMBER(AK1179),AK1179,0))),"")</f>
        <v/>
      </c>
      <c r="N1179" s="27" t="str">
        <f t="shared" si="368"/>
        <v/>
      </c>
      <c r="O1179" s="26" t="str">
        <f>IF(AND($Q1178=$O$38,IFERROR(LARGE($V$923:$V1178,1)&lt;$N$42,TRUE)),1,IF(AND(ISNUMBER($O1178),$O1178&lt;$N$32),$O1178+1,""))</f>
        <v/>
      </c>
      <c r="P1179" s="26" t="str">
        <f t="shared" si="369"/>
        <v/>
      </c>
      <c r="Q1179" s="26" t="str">
        <f t="shared" ref="Q1179:Q1242" si="381">IF($R1178=($N$43*$N$44),1,IF(AND(ISNUMBER($Q1178),$Q1178&lt;$O$38),$Q1178+1,""))</f>
        <v/>
      </c>
      <c r="R1179" s="24" t="str">
        <f t="shared" si="370"/>
        <v/>
      </c>
      <c r="S1179" s="180">
        <f t="shared" si="376"/>
        <v>8</v>
      </c>
      <c r="T1179" s="29">
        <f>SUM($AC$923:$AC1179)</f>
        <v>49500</v>
      </c>
      <c r="U1179" s="25" t="str">
        <f t="shared" ref="U1179:U1242" si="382">IF(ISNUMBER($R1179),ROUNDUP($R1179/$N$44,0),"")</f>
        <v/>
      </c>
      <c r="V1179" s="24" t="str">
        <f>IF(AND(ISNUMBER(R1178),ISNUMBER(R1179)),V1178,IF(AND(R1178="",ISNUMBER(R1179)),IFERROR(LARGE($V$923:$V1178,1)+1,0),""))</f>
        <v/>
      </c>
      <c r="W1179" s="23" t="str">
        <f t="shared" si="371"/>
        <v/>
      </c>
      <c r="X1179" s="22" t="str">
        <f t="shared" si="372"/>
        <v/>
      </c>
      <c r="Y1179" s="236"/>
      <c r="Z1179" s="22"/>
      <c r="AA1179" s="22"/>
      <c r="AB1179" s="22" t="str">
        <f t="shared" si="373"/>
        <v/>
      </c>
      <c r="AC1179" s="22" t="str">
        <f t="shared" si="374"/>
        <v/>
      </c>
      <c r="AD1179" s="22" t="str">
        <f t="shared" ref="AD1179:AD1242" si="383">IF(IF(OR(AND(ISNUMBER($U1179),IF(ISNUMBER($U1180),$U1180,0)-IF(ISNUMBER($U1179),$U1179,0)=1),AND(ISNUMBER($U1179),$U1180="")),IF($U1179=1,$P$37,0),0)=0,"",IF(OR(AND(ISNUMBER($U1179),IF(ISNUMBER($U1180),$U1180,0)-IF(ISNUMBER($U1179),$U1179,0)=1),AND(ISNUMBER($U1179),$U1180="")),IF($U1179=1,$P$37,0),0))</f>
        <v/>
      </c>
      <c r="AE1179" s="22" t="str">
        <f t="shared" si="375"/>
        <v/>
      </c>
      <c r="AF1179" s="22" t="str">
        <f t="shared" ref="AF1179:AF1242" si="384">IF($O$67="Invoice",IF(AND(ISNUMBER($AC1179),ISNUMBER($O$68)),$AC1179*$O$68*-1,""),IF($O$67="Payment",IF(AND(ISNUMBER($AE1179),ISNUMBER($O$68)),$AE1179*$O$68*-1,""),""))</f>
        <v/>
      </c>
      <c r="AG1179" s="22" t="str">
        <f t="shared" ref="AG1179:AG1242" si="385">IF($O$67="Invoice",IF(AND(ISNUMBER($AC1179),ISNUMBER($O$69)),$AC1179*$O$69*-1,""),IF($O$67="Payment",IF(AND(ISNUMBER($AE1179),ISNUMBER($O$69)),$AE1179*$O$69*-1,""),""))</f>
        <v/>
      </c>
      <c r="AH1179" s="22" t="str">
        <f t="shared" ref="AH1179:AH1242" si="386">IF($O$67="Invoice",IF(AND(ISNUMBER($AC1179),ISNUMBER($O$70)),$AC1179*$O$70*-1,""),IF($O$67="Payment",IF(AND(ISNUMBER($AE1179),ISNUMBER($O$70)),$AE1179*$O$70*-1,""),""))</f>
        <v/>
      </c>
      <c r="AI1179" s="22" t="str">
        <f t="shared" ref="AI1179:AI1242" si="387">IF($O$67="Invoice",IF(AND(ISNUMBER($AC1179),ISNUMBER($O$71)),$AC1179*$O$71*-1,""),IF($O$67="Payment",IF(AND(ISNUMBER($AE1179),ISNUMBER($O$71)),$AE1179*$O$71*-1,""),""))</f>
        <v/>
      </c>
      <c r="AJ1179" s="304" t="str">
        <f t="shared" ref="AJ1179:AJ1242" si="388">IF($O$67="Invoice",IF(AND(ISNUMBER($AC1179),ISNUMBER($O$72)),$AC1179*$O$72*-1,""),IF($O$67="Payment",IF(AND(ISNUMBER($AE1179),ISNUMBER($O$72)),$AE1179*$O$72*-1,""),""))</f>
        <v/>
      </c>
      <c r="AK1179" s="140" t="str">
        <f t="shared" ref="AK1179:AK1242" si="389">IF($O$67="Invoice",IF(AND(ISNUMBER($AC1179),ISNUMBER($O$73)),$AC1179*$O$73*-1,""),IF($O$67="Payment",IF(AND(ISNUMBER($AE1179),ISNUMBER($O$73)),$AE1179*$O$73*-1,""),""))</f>
        <v/>
      </c>
    </row>
    <row r="1180" spans="7:37" x14ac:dyDescent="0.25">
      <c r="G1180" s="235" t="str">
        <f t="shared" si="378"/>
        <v/>
      </c>
      <c r="H1180" s="4" t="str">
        <f t="shared" si="377"/>
        <v/>
      </c>
      <c r="I1180" s="11" t="str">
        <f t="shared" si="379"/>
        <v/>
      </c>
      <c r="K1180" s="30">
        <v>258</v>
      </c>
      <c r="L1180" s="29">
        <f t="shared" ref="L1180:L1243" si="390">IF(ISNUMBER($M1180),$M1180+$L1179,$L1179)</f>
        <v>11371.908376190921</v>
      </c>
      <c r="M1180" s="28" t="str">
        <f t="shared" si="380"/>
        <v/>
      </c>
      <c r="N1180" s="27" t="str">
        <f t="shared" ref="N1180:N1243" si="391">IF($K1179&lt;$N$25,$N1179+1,"")</f>
        <v/>
      </c>
      <c r="O1180" s="26" t="str">
        <f>IF(AND($Q1179=$O$38,IFERROR(LARGE($V$923:$V1179,1)&lt;$N$42,TRUE)),1,IF(AND(ISNUMBER($O1179),$O1179&lt;$N$32),$O1179+1,""))</f>
        <v/>
      </c>
      <c r="P1180" s="26" t="str">
        <f t="shared" ref="P1180:P1243" si="392">IF(OR($N1179=$N$25,O1179=$N$32),1,IF(AND($P1179&lt;$O$37,P1179&gt;0),P1179+1,""))</f>
        <v/>
      </c>
      <c r="Q1180" s="26" t="str">
        <f t="shared" si="381"/>
        <v/>
      </c>
      <c r="R1180" s="24" t="str">
        <f t="shared" ref="R1180:R1243" si="393">IF(AND($P1179=$O$37,$R1179=""),1,IF($R1179&lt;($N$43*$N$44),$R1179+1,""))</f>
        <v/>
      </c>
      <c r="S1180" s="180">
        <f t="shared" si="376"/>
        <v>8</v>
      </c>
      <c r="T1180" s="29">
        <f>SUM($AC$923:$AC1180)</f>
        <v>49500</v>
      </c>
      <c r="U1180" s="25" t="str">
        <f t="shared" si="382"/>
        <v/>
      </c>
      <c r="V1180" s="24" t="str">
        <f>IF(AND(ISNUMBER(R1179),ISNUMBER(R1180)),V1179,IF(AND(R1179="",ISNUMBER(R1180)),IFERROR(LARGE($V$923:$V1179,1)+1,0),""))</f>
        <v/>
      </c>
      <c r="W1180" s="23" t="str">
        <f t="shared" ref="W1180:W1243" si="394">IF($O1180=1,($M$30*-1),"")</f>
        <v/>
      </c>
      <c r="X1180" s="22" t="str">
        <f t="shared" ref="X1180:X1243" si="395">IF($K1180=1,($M$24*-1),IF($O1180=1,($M$31*-1),""))</f>
        <v/>
      </c>
      <c r="Y1180" s="236"/>
      <c r="Z1180" s="22"/>
      <c r="AA1180" s="22"/>
      <c r="AB1180" s="22" t="str">
        <f t="shared" si="373"/>
        <v/>
      </c>
      <c r="AC1180" s="22" t="str">
        <f t="shared" si="374"/>
        <v/>
      </c>
      <c r="AD1180" s="22" t="str">
        <f t="shared" si="383"/>
        <v/>
      </c>
      <c r="AE1180" s="22" t="str">
        <f t="shared" si="375"/>
        <v/>
      </c>
      <c r="AF1180" s="22" t="str">
        <f t="shared" si="384"/>
        <v/>
      </c>
      <c r="AG1180" s="22" t="str">
        <f t="shared" si="385"/>
        <v/>
      </c>
      <c r="AH1180" s="22" t="str">
        <f t="shared" si="386"/>
        <v/>
      </c>
      <c r="AI1180" s="22" t="str">
        <f t="shared" si="387"/>
        <v/>
      </c>
      <c r="AJ1180" s="304" t="str">
        <f t="shared" si="388"/>
        <v/>
      </c>
      <c r="AK1180" s="140" t="str">
        <f t="shared" si="389"/>
        <v/>
      </c>
    </row>
    <row r="1181" spans="7:37" x14ac:dyDescent="0.25">
      <c r="G1181" s="235" t="str">
        <f t="shared" si="378"/>
        <v/>
      </c>
      <c r="H1181" s="4" t="str">
        <f t="shared" si="377"/>
        <v/>
      </c>
      <c r="I1181" s="11" t="str">
        <f t="shared" si="379"/>
        <v/>
      </c>
      <c r="K1181" s="30">
        <v>259</v>
      </c>
      <c r="L1181" s="29">
        <f t="shared" si="390"/>
        <v>11371.908376190921</v>
      </c>
      <c r="M1181" s="28" t="str">
        <f t="shared" si="380"/>
        <v/>
      </c>
      <c r="N1181" s="27" t="str">
        <f t="shared" si="391"/>
        <v/>
      </c>
      <c r="O1181" s="26" t="str">
        <f>IF(AND($Q1180=$O$38,IFERROR(LARGE($V$923:$V1180,1)&lt;$N$42,TRUE)),1,IF(AND(ISNUMBER($O1180),$O1180&lt;$N$32),$O1180+1,""))</f>
        <v/>
      </c>
      <c r="P1181" s="26" t="str">
        <f t="shared" si="392"/>
        <v/>
      </c>
      <c r="Q1181" s="26" t="str">
        <f t="shared" si="381"/>
        <v/>
      </c>
      <c r="R1181" s="24" t="str">
        <f t="shared" si="393"/>
        <v/>
      </c>
      <c r="S1181" s="180">
        <f t="shared" si="376"/>
        <v>8</v>
      </c>
      <c r="T1181" s="29">
        <f>SUM($AC$923:$AC1181)</f>
        <v>49500</v>
      </c>
      <c r="U1181" s="25" t="str">
        <f t="shared" si="382"/>
        <v/>
      </c>
      <c r="V1181" s="24" t="str">
        <f>IF(AND(ISNUMBER(R1180),ISNUMBER(R1181)),V1180,IF(AND(R1180="",ISNUMBER(R1181)),IFERROR(LARGE($V$923:$V1180,1)+1,0),""))</f>
        <v/>
      </c>
      <c r="W1181" s="23" t="str">
        <f t="shared" si="394"/>
        <v/>
      </c>
      <c r="X1181" s="22" t="str">
        <f t="shared" si="395"/>
        <v/>
      </c>
      <c r="Y1181" s="236"/>
      <c r="Z1181" s="22"/>
      <c r="AA1181" s="22"/>
      <c r="AB1181" s="22" t="str">
        <f t="shared" si="373"/>
        <v/>
      </c>
      <c r="AC1181" s="22" t="str">
        <f t="shared" si="374"/>
        <v/>
      </c>
      <c r="AD1181" s="22" t="str">
        <f t="shared" si="383"/>
        <v/>
      </c>
      <c r="AE1181" s="22" t="str">
        <f t="shared" si="375"/>
        <v/>
      </c>
      <c r="AF1181" s="22" t="str">
        <f t="shared" si="384"/>
        <v/>
      </c>
      <c r="AG1181" s="22" t="str">
        <f t="shared" si="385"/>
        <v/>
      </c>
      <c r="AH1181" s="22" t="str">
        <f t="shared" si="386"/>
        <v/>
      </c>
      <c r="AI1181" s="22" t="str">
        <f t="shared" si="387"/>
        <v/>
      </c>
      <c r="AJ1181" s="304" t="str">
        <f t="shared" si="388"/>
        <v/>
      </c>
      <c r="AK1181" s="140" t="str">
        <f t="shared" si="389"/>
        <v/>
      </c>
    </row>
    <row r="1182" spans="7:37" x14ac:dyDescent="0.25">
      <c r="G1182" s="235" t="str">
        <f t="shared" si="378"/>
        <v/>
      </c>
      <c r="H1182" s="4" t="str">
        <f t="shared" si="377"/>
        <v/>
      </c>
      <c r="I1182" s="11" t="str">
        <f t="shared" si="379"/>
        <v/>
      </c>
      <c r="K1182" s="30">
        <v>260</v>
      </c>
      <c r="L1182" s="29">
        <f t="shared" si="390"/>
        <v>11371.908376190921</v>
      </c>
      <c r="M1182" s="28" t="str">
        <f t="shared" si="380"/>
        <v/>
      </c>
      <c r="N1182" s="27" t="str">
        <f t="shared" si="391"/>
        <v/>
      </c>
      <c r="O1182" s="26" t="str">
        <f>IF(AND($Q1181=$O$38,IFERROR(LARGE($V$923:$V1181,1)&lt;$N$42,TRUE)),1,IF(AND(ISNUMBER($O1181),$O1181&lt;$N$32),$O1181+1,""))</f>
        <v/>
      </c>
      <c r="P1182" s="26" t="str">
        <f t="shared" si="392"/>
        <v/>
      </c>
      <c r="Q1182" s="26" t="str">
        <f t="shared" si="381"/>
        <v/>
      </c>
      <c r="R1182" s="24" t="str">
        <f t="shared" si="393"/>
        <v/>
      </c>
      <c r="S1182" s="180">
        <f t="shared" si="376"/>
        <v>8</v>
      </c>
      <c r="T1182" s="29">
        <f>SUM($AC$923:$AC1182)</f>
        <v>49500</v>
      </c>
      <c r="U1182" s="25" t="str">
        <f t="shared" si="382"/>
        <v/>
      </c>
      <c r="V1182" s="24" t="str">
        <f>IF(AND(ISNUMBER(R1181),ISNUMBER(R1182)),V1181,IF(AND(R1181="",ISNUMBER(R1182)),IFERROR(LARGE($V$923:$V1181,1)+1,0),""))</f>
        <v/>
      </c>
      <c r="W1182" s="23" t="str">
        <f t="shared" si="394"/>
        <v/>
      </c>
      <c r="X1182" s="22" t="str">
        <f t="shared" si="395"/>
        <v/>
      </c>
      <c r="Y1182" s="236"/>
      <c r="Z1182" s="22"/>
      <c r="AA1182" s="22"/>
      <c r="AB1182" s="22" t="str">
        <f t="shared" si="373"/>
        <v/>
      </c>
      <c r="AC1182" s="22" t="str">
        <f t="shared" si="374"/>
        <v/>
      </c>
      <c r="AD1182" s="22" t="str">
        <f t="shared" si="383"/>
        <v/>
      </c>
      <c r="AE1182" s="22" t="str">
        <f t="shared" si="375"/>
        <v/>
      </c>
      <c r="AF1182" s="22" t="str">
        <f t="shared" si="384"/>
        <v/>
      </c>
      <c r="AG1182" s="22" t="str">
        <f t="shared" si="385"/>
        <v/>
      </c>
      <c r="AH1182" s="22" t="str">
        <f t="shared" si="386"/>
        <v/>
      </c>
      <c r="AI1182" s="22" t="str">
        <f t="shared" si="387"/>
        <v/>
      </c>
      <c r="AJ1182" s="304" t="str">
        <f t="shared" si="388"/>
        <v/>
      </c>
      <c r="AK1182" s="140" t="str">
        <f t="shared" si="389"/>
        <v/>
      </c>
    </row>
    <row r="1183" spans="7:37" x14ac:dyDescent="0.25">
      <c r="G1183" s="235" t="str">
        <f t="shared" si="378"/>
        <v/>
      </c>
      <c r="H1183" s="4" t="str">
        <f t="shared" si="377"/>
        <v/>
      </c>
      <c r="I1183" s="11" t="str">
        <f t="shared" si="379"/>
        <v/>
      </c>
      <c r="K1183" s="30">
        <v>261</v>
      </c>
      <c r="L1183" s="29">
        <f t="shared" si="390"/>
        <v>11371.908376190921</v>
      </c>
      <c r="M1183" s="28" t="str">
        <f t="shared" si="380"/>
        <v/>
      </c>
      <c r="N1183" s="27" t="str">
        <f t="shared" si="391"/>
        <v/>
      </c>
      <c r="O1183" s="26" t="str">
        <f>IF(AND($Q1182=$O$38,IFERROR(LARGE($V$923:$V1182,1)&lt;$N$42,TRUE)),1,IF(AND(ISNUMBER($O1182),$O1182&lt;$N$32),$O1182+1,""))</f>
        <v/>
      </c>
      <c r="P1183" s="26" t="str">
        <f t="shared" si="392"/>
        <v/>
      </c>
      <c r="Q1183" s="26" t="str">
        <f t="shared" si="381"/>
        <v/>
      </c>
      <c r="R1183" s="24" t="str">
        <f t="shared" si="393"/>
        <v/>
      </c>
      <c r="S1183" s="180">
        <f t="shared" si="376"/>
        <v>8</v>
      </c>
      <c r="T1183" s="29">
        <f>SUM($AC$923:$AC1183)</f>
        <v>49500</v>
      </c>
      <c r="U1183" s="25" t="str">
        <f t="shared" si="382"/>
        <v/>
      </c>
      <c r="V1183" s="24" t="str">
        <f>IF(AND(ISNUMBER(R1182),ISNUMBER(R1183)),V1182,IF(AND(R1182="",ISNUMBER(R1183)),IFERROR(LARGE($V$923:$V1182,1)+1,0),""))</f>
        <v/>
      </c>
      <c r="W1183" s="23" t="str">
        <f t="shared" si="394"/>
        <v/>
      </c>
      <c r="X1183" s="22" t="str">
        <f t="shared" si="395"/>
        <v/>
      </c>
      <c r="Y1183" s="236"/>
      <c r="Z1183" s="22"/>
      <c r="AA1183" s="22"/>
      <c r="AB1183" s="22" t="str">
        <f t="shared" si="373"/>
        <v/>
      </c>
      <c r="AC1183" s="22" t="str">
        <f t="shared" si="374"/>
        <v/>
      </c>
      <c r="AD1183" s="22" t="str">
        <f t="shared" si="383"/>
        <v/>
      </c>
      <c r="AE1183" s="22" t="str">
        <f t="shared" si="375"/>
        <v/>
      </c>
      <c r="AF1183" s="22" t="str">
        <f t="shared" si="384"/>
        <v/>
      </c>
      <c r="AG1183" s="22" t="str">
        <f t="shared" si="385"/>
        <v/>
      </c>
      <c r="AH1183" s="22" t="str">
        <f t="shared" si="386"/>
        <v/>
      </c>
      <c r="AI1183" s="22" t="str">
        <f t="shared" si="387"/>
        <v/>
      </c>
      <c r="AJ1183" s="304" t="str">
        <f t="shared" si="388"/>
        <v/>
      </c>
      <c r="AK1183" s="140" t="str">
        <f t="shared" si="389"/>
        <v/>
      </c>
    </row>
    <row r="1184" spans="7:37" x14ac:dyDescent="0.25">
      <c r="G1184" s="235" t="str">
        <f t="shared" si="378"/>
        <v/>
      </c>
      <c r="H1184" s="4" t="str">
        <f t="shared" si="377"/>
        <v/>
      </c>
      <c r="I1184" s="11" t="str">
        <f t="shared" si="379"/>
        <v/>
      </c>
      <c r="K1184" s="30">
        <v>262</v>
      </c>
      <c r="L1184" s="29">
        <f t="shared" si="390"/>
        <v>11371.908376190921</v>
      </c>
      <c r="M1184" s="28" t="str">
        <f t="shared" si="380"/>
        <v/>
      </c>
      <c r="N1184" s="27" t="str">
        <f t="shared" si="391"/>
        <v/>
      </c>
      <c r="O1184" s="26" t="str">
        <f>IF(AND($Q1183=$O$38,IFERROR(LARGE($V$923:$V1183,1)&lt;$N$42,TRUE)),1,IF(AND(ISNUMBER($O1183),$O1183&lt;$N$32),$O1183+1,""))</f>
        <v/>
      </c>
      <c r="P1184" s="26" t="str">
        <f t="shared" si="392"/>
        <v/>
      </c>
      <c r="Q1184" s="26" t="str">
        <f t="shared" si="381"/>
        <v/>
      </c>
      <c r="R1184" s="24" t="str">
        <f t="shared" si="393"/>
        <v/>
      </c>
      <c r="S1184" s="180">
        <f t="shared" si="376"/>
        <v>8</v>
      </c>
      <c r="T1184" s="29">
        <f>SUM($AC$923:$AC1184)</f>
        <v>49500</v>
      </c>
      <c r="U1184" s="25" t="str">
        <f t="shared" si="382"/>
        <v/>
      </c>
      <c r="V1184" s="24" t="str">
        <f>IF(AND(ISNUMBER(R1183),ISNUMBER(R1184)),V1183,IF(AND(R1183="",ISNUMBER(R1184)),IFERROR(LARGE($V$923:$V1183,1)+1,0),""))</f>
        <v/>
      </c>
      <c r="W1184" s="23" t="str">
        <f t="shared" si="394"/>
        <v/>
      </c>
      <c r="X1184" s="22" t="str">
        <f t="shared" si="395"/>
        <v/>
      </c>
      <c r="Y1184" s="236"/>
      <c r="Z1184" s="22"/>
      <c r="AA1184" s="22"/>
      <c r="AB1184" s="22" t="str">
        <f t="shared" si="373"/>
        <v/>
      </c>
      <c r="AC1184" s="22" t="str">
        <f t="shared" si="374"/>
        <v/>
      </c>
      <c r="AD1184" s="22" t="str">
        <f t="shared" si="383"/>
        <v/>
      </c>
      <c r="AE1184" s="22" t="str">
        <f t="shared" si="375"/>
        <v/>
      </c>
      <c r="AF1184" s="22" t="str">
        <f t="shared" si="384"/>
        <v/>
      </c>
      <c r="AG1184" s="22" t="str">
        <f t="shared" si="385"/>
        <v/>
      </c>
      <c r="AH1184" s="22" t="str">
        <f t="shared" si="386"/>
        <v/>
      </c>
      <c r="AI1184" s="22" t="str">
        <f t="shared" si="387"/>
        <v/>
      </c>
      <c r="AJ1184" s="304" t="str">
        <f t="shared" si="388"/>
        <v/>
      </c>
      <c r="AK1184" s="140" t="str">
        <f t="shared" si="389"/>
        <v/>
      </c>
    </row>
    <row r="1185" spans="7:37" x14ac:dyDescent="0.25">
      <c r="G1185" s="235" t="str">
        <f t="shared" si="378"/>
        <v/>
      </c>
      <c r="H1185" s="4" t="str">
        <f t="shared" si="377"/>
        <v/>
      </c>
      <c r="I1185" s="11" t="str">
        <f t="shared" si="379"/>
        <v/>
      </c>
      <c r="K1185" s="30">
        <v>263</v>
      </c>
      <c r="L1185" s="29">
        <f t="shared" si="390"/>
        <v>11371.908376190921</v>
      </c>
      <c r="M1185" s="28" t="str">
        <f t="shared" si="380"/>
        <v/>
      </c>
      <c r="N1185" s="27" t="str">
        <f t="shared" si="391"/>
        <v/>
      </c>
      <c r="O1185" s="26" t="str">
        <f>IF(AND($Q1184=$O$38,IFERROR(LARGE($V$923:$V1184,1)&lt;$N$42,TRUE)),1,IF(AND(ISNUMBER($O1184),$O1184&lt;$N$32),$O1184+1,""))</f>
        <v/>
      </c>
      <c r="P1185" s="26" t="str">
        <f t="shared" si="392"/>
        <v/>
      </c>
      <c r="Q1185" s="26" t="str">
        <f t="shared" si="381"/>
        <v/>
      </c>
      <c r="R1185" s="24" t="str">
        <f t="shared" si="393"/>
        <v/>
      </c>
      <c r="S1185" s="180">
        <f t="shared" si="376"/>
        <v>8</v>
      </c>
      <c r="T1185" s="29">
        <f>SUM($AC$923:$AC1185)</f>
        <v>49500</v>
      </c>
      <c r="U1185" s="25" t="str">
        <f t="shared" si="382"/>
        <v/>
      </c>
      <c r="V1185" s="24" t="str">
        <f>IF(AND(ISNUMBER(R1184),ISNUMBER(R1185)),V1184,IF(AND(R1184="",ISNUMBER(R1185)),IFERROR(LARGE($V$923:$V1184,1)+1,0),""))</f>
        <v/>
      </c>
      <c r="W1185" s="23" t="str">
        <f t="shared" si="394"/>
        <v/>
      </c>
      <c r="X1185" s="22" t="str">
        <f t="shared" si="395"/>
        <v/>
      </c>
      <c r="Y1185" s="236"/>
      <c r="Z1185" s="22"/>
      <c r="AA1185" s="22"/>
      <c r="AB1185" s="22" t="str">
        <f t="shared" si="373"/>
        <v/>
      </c>
      <c r="AC1185" s="22" t="str">
        <f t="shared" si="374"/>
        <v/>
      </c>
      <c r="AD1185" s="22" t="str">
        <f t="shared" si="383"/>
        <v/>
      </c>
      <c r="AE1185" s="22" t="str">
        <f t="shared" si="375"/>
        <v/>
      </c>
      <c r="AF1185" s="22" t="str">
        <f t="shared" si="384"/>
        <v/>
      </c>
      <c r="AG1185" s="22" t="str">
        <f t="shared" si="385"/>
        <v/>
      </c>
      <c r="AH1185" s="22" t="str">
        <f t="shared" si="386"/>
        <v/>
      </c>
      <c r="AI1185" s="22" t="str">
        <f t="shared" si="387"/>
        <v/>
      </c>
      <c r="AJ1185" s="304" t="str">
        <f t="shared" si="388"/>
        <v/>
      </c>
      <c r="AK1185" s="140" t="str">
        <f t="shared" si="389"/>
        <v/>
      </c>
    </row>
    <row r="1186" spans="7:37" x14ac:dyDescent="0.25">
      <c r="G1186" s="235" t="str">
        <f t="shared" si="378"/>
        <v/>
      </c>
      <c r="H1186" s="4" t="str">
        <f t="shared" si="377"/>
        <v/>
      </c>
      <c r="I1186" s="11" t="str">
        <f t="shared" si="379"/>
        <v/>
      </c>
      <c r="K1186" s="30">
        <v>264</v>
      </c>
      <c r="L1186" s="29">
        <f t="shared" si="390"/>
        <v>11371.908376190921</v>
      </c>
      <c r="M1186" s="28" t="str">
        <f t="shared" si="380"/>
        <v/>
      </c>
      <c r="N1186" s="27" t="str">
        <f t="shared" si="391"/>
        <v/>
      </c>
      <c r="O1186" s="26" t="str">
        <f>IF(AND($Q1185=$O$38,IFERROR(LARGE($V$923:$V1185,1)&lt;$N$42,TRUE)),1,IF(AND(ISNUMBER($O1185),$O1185&lt;$N$32),$O1185+1,""))</f>
        <v/>
      </c>
      <c r="P1186" s="26" t="str">
        <f t="shared" si="392"/>
        <v/>
      </c>
      <c r="Q1186" s="26" t="str">
        <f t="shared" si="381"/>
        <v/>
      </c>
      <c r="R1186" s="24" t="str">
        <f t="shared" si="393"/>
        <v/>
      </c>
      <c r="S1186" s="180">
        <f t="shared" si="376"/>
        <v>8</v>
      </c>
      <c r="T1186" s="29">
        <f>SUM($AC$923:$AC1186)</f>
        <v>49500</v>
      </c>
      <c r="U1186" s="25" t="str">
        <f t="shared" si="382"/>
        <v/>
      </c>
      <c r="V1186" s="24" t="str">
        <f>IF(AND(ISNUMBER(R1185),ISNUMBER(R1186)),V1185,IF(AND(R1185="",ISNUMBER(R1186)),IFERROR(LARGE($V$923:$V1185,1)+1,0),""))</f>
        <v/>
      </c>
      <c r="W1186" s="23" t="str">
        <f t="shared" si="394"/>
        <v/>
      </c>
      <c r="X1186" s="22" t="str">
        <f t="shared" si="395"/>
        <v/>
      </c>
      <c r="Y1186" s="236"/>
      <c r="Z1186" s="22"/>
      <c r="AA1186" s="22"/>
      <c r="AB1186" s="22" t="str">
        <f t="shared" si="373"/>
        <v/>
      </c>
      <c r="AC1186" s="22" t="str">
        <f t="shared" si="374"/>
        <v/>
      </c>
      <c r="AD1186" s="22" t="str">
        <f t="shared" si="383"/>
        <v/>
      </c>
      <c r="AE1186" s="22" t="str">
        <f t="shared" si="375"/>
        <v/>
      </c>
      <c r="AF1186" s="22" t="str">
        <f t="shared" si="384"/>
        <v/>
      </c>
      <c r="AG1186" s="22" t="str">
        <f t="shared" si="385"/>
        <v/>
      </c>
      <c r="AH1186" s="22" t="str">
        <f t="shared" si="386"/>
        <v/>
      </c>
      <c r="AI1186" s="22" t="str">
        <f t="shared" si="387"/>
        <v/>
      </c>
      <c r="AJ1186" s="304" t="str">
        <f t="shared" si="388"/>
        <v/>
      </c>
      <c r="AK1186" s="140" t="str">
        <f t="shared" si="389"/>
        <v/>
      </c>
    </row>
    <row r="1187" spans="7:37" x14ac:dyDescent="0.25">
      <c r="G1187" s="235" t="str">
        <f t="shared" si="378"/>
        <v/>
      </c>
      <c r="H1187" s="4" t="str">
        <f t="shared" si="377"/>
        <v/>
      </c>
      <c r="I1187" s="11" t="str">
        <f t="shared" si="379"/>
        <v/>
      </c>
      <c r="K1187" s="30">
        <v>265</v>
      </c>
      <c r="L1187" s="29">
        <f t="shared" si="390"/>
        <v>11371.908376190921</v>
      </c>
      <c r="M1187" s="28" t="str">
        <f t="shared" si="380"/>
        <v/>
      </c>
      <c r="N1187" s="27" t="str">
        <f t="shared" si="391"/>
        <v/>
      </c>
      <c r="O1187" s="26" t="str">
        <f>IF(AND($Q1186=$O$38,IFERROR(LARGE($V$923:$V1186,1)&lt;$N$42,TRUE)),1,IF(AND(ISNUMBER($O1186),$O1186&lt;$N$32),$O1186+1,""))</f>
        <v/>
      </c>
      <c r="P1187" s="26" t="str">
        <f t="shared" si="392"/>
        <v/>
      </c>
      <c r="Q1187" s="26" t="str">
        <f t="shared" si="381"/>
        <v/>
      </c>
      <c r="R1187" s="24" t="str">
        <f t="shared" si="393"/>
        <v/>
      </c>
      <c r="S1187" s="180">
        <f t="shared" si="376"/>
        <v>8</v>
      </c>
      <c r="T1187" s="29">
        <f>SUM($AC$923:$AC1187)</f>
        <v>49500</v>
      </c>
      <c r="U1187" s="25" t="str">
        <f t="shared" si="382"/>
        <v/>
      </c>
      <c r="V1187" s="24" t="str">
        <f>IF(AND(ISNUMBER(R1186),ISNUMBER(R1187)),V1186,IF(AND(R1186="",ISNUMBER(R1187)),IFERROR(LARGE($V$923:$V1186,1)+1,0),""))</f>
        <v/>
      </c>
      <c r="W1187" s="23" t="str">
        <f t="shared" si="394"/>
        <v/>
      </c>
      <c r="X1187" s="22" t="str">
        <f t="shared" si="395"/>
        <v/>
      </c>
      <c r="Y1187" s="236"/>
      <c r="Z1187" s="22"/>
      <c r="AA1187" s="22"/>
      <c r="AB1187" s="22" t="str">
        <f t="shared" si="373"/>
        <v/>
      </c>
      <c r="AC1187" s="22" t="str">
        <f t="shared" si="374"/>
        <v/>
      </c>
      <c r="AD1187" s="22" t="str">
        <f t="shared" si="383"/>
        <v/>
      </c>
      <c r="AE1187" s="22" t="str">
        <f t="shared" si="375"/>
        <v/>
      </c>
      <c r="AF1187" s="22" t="str">
        <f t="shared" si="384"/>
        <v/>
      </c>
      <c r="AG1187" s="22" t="str">
        <f t="shared" si="385"/>
        <v/>
      </c>
      <c r="AH1187" s="22" t="str">
        <f t="shared" si="386"/>
        <v/>
      </c>
      <c r="AI1187" s="22" t="str">
        <f t="shared" si="387"/>
        <v/>
      </c>
      <c r="AJ1187" s="304" t="str">
        <f t="shared" si="388"/>
        <v/>
      </c>
      <c r="AK1187" s="140" t="str">
        <f t="shared" si="389"/>
        <v/>
      </c>
    </row>
    <row r="1188" spans="7:37" x14ac:dyDescent="0.25">
      <c r="G1188" s="235" t="str">
        <f t="shared" si="378"/>
        <v/>
      </c>
      <c r="H1188" s="4" t="str">
        <f t="shared" si="377"/>
        <v/>
      </c>
      <c r="I1188" s="11" t="str">
        <f t="shared" si="379"/>
        <v/>
      </c>
      <c r="K1188" s="30">
        <v>266</v>
      </c>
      <c r="L1188" s="29">
        <f t="shared" si="390"/>
        <v>11371.908376190921</v>
      </c>
      <c r="M1188" s="28" t="str">
        <f t="shared" si="380"/>
        <v/>
      </c>
      <c r="N1188" s="27" t="str">
        <f t="shared" si="391"/>
        <v/>
      </c>
      <c r="O1188" s="26" t="str">
        <f>IF(AND($Q1187=$O$38,IFERROR(LARGE($V$923:$V1187,1)&lt;$N$42,TRUE)),1,IF(AND(ISNUMBER($O1187),$O1187&lt;$N$32),$O1187+1,""))</f>
        <v/>
      </c>
      <c r="P1188" s="26" t="str">
        <f t="shared" si="392"/>
        <v/>
      </c>
      <c r="Q1188" s="26" t="str">
        <f t="shared" si="381"/>
        <v/>
      </c>
      <c r="R1188" s="24" t="str">
        <f t="shared" si="393"/>
        <v/>
      </c>
      <c r="S1188" s="180">
        <f t="shared" si="376"/>
        <v>8</v>
      </c>
      <c r="T1188" s="29">
        <f>SUM($AC$923:$AC1188)</f>
        <v>49500</v>
      </c>
      <c r="U1188" s="25" t="str">
        <f t="shared" si="382"/>
        <v/>
      </c>
      <c r="V1188" s="24" t="str">
        <f>IF(AND(ISNUMBER(R1187),ISNUMBER(R1188)),V1187,IF(AND(R1187="",ISNUMBER(R1188)),IFERROR(LARGE($V$923:$V1187,1)+1,0),""))</f>
        <v/>
      </c>
      <c r="W1188" s="23" t="str">
        <f t="shared" si="394"/>
        <v/>
      </c>
      <c r="X1188" s="22" t="str">
        <f t="shared" si="395"/>
        <v/>
      </c>
      <c r="Y1188" s="236"/>
      <c r="Z1188" s="22"/>
      <c r="AA1188" s="22"/>
      <c r="AB1188" s="22" t="str">
        <f t="shared" si="373"/>
        <v/>
      </c>
      <c r="AC1188" s="22" t="str">
        <f t="shared" si="374"/>
        <v/>
      </c>
      <c r="AD1188" s="22" t="str">
        <f t="shared" si="383"/>
        <v/>
      </c>
      <c r="AE1188" s="22" t="str">
        <f t="shared" si="375"/>
        <v/>
      </c>
      <c r="AF1188" s="22" t="str">
        <f t="shared" si="384"/>
        <v/>
      </c>
      <c r="AG1188" s="22" t="str">
        <f t="shared" si="385"/>
        <v/>
      </c>
      <c r="AH1188" s="22" t="str">
        <f t="shared" si="386"/>
        <v/>
      </c>
      <c r="AI1188" s="22" t="str">
        <f t="shared" si="387"/>
        <v/>
      </c>
      <c r="AJ1188" s="304" t="str">
        <f t="shared" si="388"/>
        <v/>
      </c>
      <c r="AK1188" s="140" t="str">
        <f t="shared" si="389"/>
        <v/>
      </c>
    </row>
    <row r="1189" spans="7:37" x14ac:dyDescent="0.25">
      <c r="G1189" s="235" t="str">
        <f t="shared" si="378"/>
        <v/>
      </c>
      <c r="H1189" s="4" t="str">
        <f t="shared" si="377"/>
        <v/>
      </c>
      <c r="I1189" s="11" t="str">
        <f t="shared" si="379"/>
        <v/>
      </c>
      <c r="K1189" s="30">
        <v>267</v>
      </c>
      <c r="L1189" s="29">
        <f t="shared" si="390"/>
        <v>11371.908376190921</v>
      </c>
      <c r="M1189" s="28" t="str">
        <f t="shared" si="380"/>
        <v/>
      </c>
      <c r="N1189" s="27" t="str">
        <f t="shared" si="391"/>
        <v/>
      </c>
      <c r="O1189" s="26" t="str">
        <f>IF(AND($Q1188=$O$38,IFERROR(LARGE($V$923:$V1188,1)&lt;$N$42,TRUE)),1,IF(AND(ISNUMBER($O1188),$O1188&lt;$N$32),$O1188+1,""))</f>
        <v/>
      </c>
      <c r="P1189" s="26" t="str">
        <f t="shared" si="392"/>
        <v/>
      </c>
      <c r="Q1189" s="26" t="str">
        <f t="shared" si="381"/>
        <v/>
      </c>
      <c r="R1189" s="24" t="str">
        <f t="shared" si="393"/>
        <v/>
      </c>
      <c r="S1189" s="180">
        <f t="shared" si="376"/>
        <v>8</v>
      </c>
      <c r="T1189" s="29">
        <f>SUM($AC$923:$AC1189)</f>
        <v>49500</v>
      </c>
      <c r="U1189" s="25" t="str">
        <f t="shared" si="382"/>
        <v/>
      </c>
      <c r="V1189" s="24" t="str">
        <f>IF(AND(ISNUMBER(R1188),ISNUMBER(R1189)),V1188,IF(AND(R1188="",ISNUMBER(R1189)),IFERROR(LARGE($V$923:$V1188,1)+1,0),""))</f>
        <v/>
      </c>
      <c r="W1189" s="23" t="str">
        <f t="shared" si="394"/>
        <v/>
      </c>
      <c r="X1189" s="22" t="str">
        <f t="shared" si="395"/>
        <v/>
      </c>
      <c r="Y1189" s="236"/>
      <c r="Z1189" s="22"/>
      <c r="AA1189" s="22"/>
      <c r="AB1189" s="22" t="str">
        <f t="shared" si="373"/>
        <v/>
      </c>
      <c r="AC1189" s="22" t="str">
        <f t="shared" si="374"/>
        <v/>
      </c>
      <c r="AD1189" s="22" t="str">
        <f t="shared" si="383"/>
        <v/>
      </c>
      <c r="AE1189" s="22" t="str">
        <f t="shared" si="375"/>
        <v/>
      </c>
      <c r="AF1189" s="22" t="str">
        <f t="shared" si="384"/>
        <v/>
      </c>
      <c r="AG1189" s="22" t="str">
        <f t="shared" si="385"/>
        <v/>
      </c>
      <c r="AH1189" s="22" t="str">
        <f t="shared" si="386"/>
        <v/>
      </c>
      <c r="AI1189" s="22" t="str">
        <f t="shared" si="387"/>
        <v/>
      </c>
      <c r="AJ1189" s="304" t="str">
        <f t="shared" si="388"/>
        <v/>
      </c>
      <c r="AK1189" s="140" t="str">
        <f t="shared" si="389"/>
        <v/>
      </c>
    </row>
    <row r="1190" spans="7:37" x14ac:dyDescent="0.25">
      <c r="G1190" s="235" t="str">
        <f t="shared" si="378"/>
        <v/>
      </c>
      <c r="H1190" s="4" t="str">
        <f t="shared" si="377"/>
        <v/>
      </c>
      <c r="I1190" s="11" t="str">
        <f t="shared" si="379"/>
        <v/>
      </c>
      <c r="K1190" s="30">
        <v>268</v>
      </c>
      <c r="L1190" s="29">
        <f t="shared" si="390"/>
        <v>11371.908376190921</v>
      </c>
      <c r="M1190" s="28" t="str">
        <f t="shared" si="380"/>
        <v/>
      </c>
      <c r="N1190" s="27" t="str">
        <f t="shared" si="391"/>
        <v/>
      </c>
      <c r="O1190" s="26" t="str">
        <f>IF(AND($Q1189=$O$38,IFERROR(LARGE($V$923:$V1189,1)&lt;$N$42,TRUE)),1,IF(AND(ISNUMBER($O1189),$O1189&lt;$N$32),$O1189+1,""))</f>
        <v/>
      </c>
      <c r="P1190" s="26" t="str">
        <f t="shared" si="392"/>
        <v/>
      </c>
      <c r="Q1190" s="26" t="str">
        <f t="shared" si="381"/>
        <v/>
      </c>
      <c r="R1190" s="24" t="str">
        <f t="shared" si="393"/>
        <v/>
      </c>
      <c r="S1190" s="180">
        <f t="shared" si="376"/>
        <v>8</v>
      </c>
      <c r="T1190" s="29">
        <f>SUM($AC$923:$AC1190)</f>
        <v>49500</v>
      </c>
      <c r="U1190" s="25" t="str">
        <f t="shared" si="382"/>
        <v/>
      </c>
      <c r="V1190" s="24" t="str">
        <f>IF(AND(ISNUMBER(R1189),ISNUMBER(R1190)),V1189,IF(AND(R1189="",ISNUMBER(R1190)),IFERROR(LARGE($V$923:$V1189,1)+1,0),""))</f>
        <v/>
      </c>
      <c r="W1190" s="23" t="str">
        <f t="shared" si="394"/>
        <v/>
      </c>
      <c r="X1190" s="22" t="str">
        <f t="shared" si="395"/>
        <v/>
      </c>
      <c r="Y1190" s="236"/>
      <c r="Z1190" s="22"/>
      <c r="AA1190" s="22"/>
      <c r="AB1190" s="22" t="str">
        <f t="shared" si="373"/>
        <v/>
      </c>
      <c r="AC1190" s="22" t="str">
        <f t="shared" si="374"/>
        <v/>
      </c>
      <c r="AD1190" s="22" t="str">
        <f t="shared" si="383"/>
        <v/>
      </c>
      <c r="AE1190" s="22" t="str">
        <f t="shared" si="375"/>
        <v/>
      </c>
      <c r="AF1190" s="22" t="str">
        <f t="shared" si="384"/>
        <v/>
      </c>
      <c r="AG1190" s="22" t="str">
        <f t="shared" si="385"/>
        <v/>
      </c>
      <c r="AH1190" s="22" t="str">
        <f t="shared" si="386"/>
        <v/>
      </c>
      <c r="AI1190" s="22" t="str">
        <f t="shared" si="387"/>
        <v/>
      </c>
      <c r="AJ1190" s="304" t="str">
        <f t="shared" si="388"/>
        <v/>
      </c>
      <c r="AK1190" s="140" t="str">
        <f t="shared" si="389"/>
        <v/>
      </c>
    </row>
    <row r="1191" spans="7:37" x14ac:dyDescent="0.25">
      <c r="G1191" s="235" t="str">
        <f t="shared" si="378"/>
        <v/>
      </c>
      <c r="H1191" s="4" t="str">
        <f t="shared" si="377"/>
        <v/>
      </c>
      <c r="I1191" s="11" t="str">
        <f t="shared" si="379"/>
        <v/>
      </c>
      <c r="K1191" s="30">
        <v>269</v>
      </c>
      <c r="L1191" s="29">
        <f t="shared" si="390"/>
        <v>11371.908376190921</v>
      </c>
      <c r="M1191" s="28" t="str">
        <f t="shared" si="380"/>
        <v/>
      </c>
      <c r="N1191" s="27" t="str">
        <f t="shared" si="391"/>
        <v/>
      </c>
      <c r="O1191" s="26" t="str">
        <f>IF(AND($Q1190=$O$38,IFERROR(LARGE($V$923:$V1190,1)&lt;$N$42,TRUE)),1,IF(AND(ISNUMBER($O1190),$O1190&lt;$N$32),$O1190+1,""))</f>
        <v/>
      </c>
      <c r="P1191" s="26" t="str">
        <f t="shared" si="392"/>
        <v/>
      </c>
      <c r="Q1191" s="26" t="str">
        <f t="shared" si="381"/>
        <v/>
      </c>
      <c r="R1191" s="24" t="str">
        <f t="shared" si="393"/>
        <v/>
      </c>
      <c r="S1191" s="180">
        <f t="shared" si="376"/>
        <v>8</v>
      </c>
      <c r="T1191" s="29">
        <f>SUM($AC$923:$AC1191)</f>
        <v>49500</v>
      </c>
      <c r="U1191" s="25" t="str">
        <f t="shared" si="382"/>
        <v/>
      </c>
      <c r="V1191" s="24" t="str">
        <f>IF(AND(ISNUMBER(R1190),ISNUMBER(R1191)),V1190,IF(AND(R1190="",ISNUMBER(R1191)),IFERROR(LARGE($V$923:$V1190,1)+1,0),""))</f>
        <v/>
      </c>
      <c r="W1191" s="23" t="str">
        <f t="shared" si="394"/>
        <v/>
      </c>
      <c r="X1191" s="22" t="str">
        <f t="shared" si="395"/>
        <v/>
      </c>
      <c r="Y1191" s="236"/>
      <c r="Z1191" s="22"/>
      <c r="AA1191" s="22"/>
      <c r="AB1191" s="22" t="str">
        <f t="shared" si="373"/>
        <v/>
      </c>
      <c r="AC1191" s="22" t="str">
        <f t="shared" si="374"/>
        <v/>
      </c>
      <c r="AD1191" s="22" t="str">
        <f t="shared" si="383"/>
        <v/>
      </c>
      <c r="AE1191" s="22" t="str">
        <f t="shared" si="375"/>
        <v/>
      </c>
      <c r="AF1191" s="22" t="str">
        <f t="shared" si="384"/>
        <v/>
      </c>
      <c r="AG1191" s="22" t="str">
        <f t="shared" si="385"/>
        <v/>
      </c>
      <c r="AH1191" s="22" t="str">
        <f t="shared" si="386"/>
        <v/>
      </c>
      <c r="AI1191" s="22" t="str">
        <f t="shared" si="387"/>
        <v/>
      </c>
      <c r="AJ1191" s="304" t="str">
        <f t="shared" si="388"/>
        <v/>
      </c>
      <c r="AK1191" s="140" t="str">
        <f t="shared" si="389"/>
        <v/>
      </c>
    </row>
    <row r="1192" spans="7:37" x14ac:dyDescent="0.25">
      <c r="G1192" s="235" t="str">
        <f t="shared" si="378"/>
        <v/>
      </c>
      <c r="H1192" s="4" t="str">
        <f t="shared" si="377"/>
        <v/>
      </c>
      <c r="I1192" s="11" t="str">
        <f t="shared" si="379"/>
        <v/>
      </c>
      <c r="K1192" s="30">
        <v>270</v>
      </c>
      <c r="L1192" s="29">
        <f t="shared" si="390"/>
        <v>11371.908376190921</v>
      </c>
      <c r="M1192" s="28" t="str">
        <f t="shared" si="380"/>
        <v/>
      </c>
      <c r="N1192" s="27" t="str">
        <f t="shared" si="391"/>
        <v/>
      </c>
      <c r="O1192" s="26" t="str">
        <f>IF(AND($Q1191=$O$38,IFERROR(LARGE($V$923:$V1191,1)&lt;$N$42,TRUE)),1,IF(AND(ISNUMBER($O1191),$O1191&lt;$N$32),$O1191+1,""))</f>
        <v/>
      </c>
      <c r="P1192" s="26" t="str">
        <f t="shared" si="392"/>
        <v/>
      </c>
      <c r="Q1192" s="26" t="str">
        <f t="shared" si="381"/>
        <v/>
      </c>
      <c r="R1192" s="24" t="str">
        <f t="shared" si="393"/>
        <v/>
      </c>
      <c r="S1192" s="180">
        <f t="shared" si="376"/>
        <v>8</v>
      </c>
      <c r="T1192" s="29">
        <f>SUM($AC$923:$AC1192)</f>
        <v>49500</v>
      </c>
      <c r="U1192" s="25" t="str">
        <f t="shared" si="382"/>
        <v/>
      </c>
      <c r="V1192" s="24" t="str">
        <f>IF(AND(ISNUMBER(R1191),ISNUMBER(R1192)),V1191,IF(AND(R1191="",ISNUMBER(R1192)),IFERROR(LARGE($V$923:$V1191,1)+1,0),""))</f>
        <v/>
      </c>
      <c r="W1192" s="23" t="str">
        <f t="shared" si="394"/>
        <v/>
      </c>
      <c r="X1192" s="22" t="str">
        <f t="shared" si="395"/>
        <v/>
      </c>
      <c r="Y1192" s="236"/>
      <c r="Z1192" s="22"/>
      <c r="AA1192" s="22"/>
      <c r="AB1192" s="22" t="str">
        <f t="shared" si="373"/>
        <v/>
      </c>
      <c r="AC1192" s="22" t="str">
        <f t="shared" si="374"/>
        <v/>
      </c>
      <c r="AD1192" s="22" t="str">
        <f t="shared" si="383"/>
        <v/>
      </c>
      <c r="AE1192" s="22" t="str">
        <f t="shared" si="375"/>
        <v/>
      </c>
      <c r="AF1192" s="22" t="str">
        <f t="shared" si="384"/>
        <v/>
      </c>
      <c r="AG1192" s="22" t="str">
        <f t="shared" si="385"/>
        <v/>
      </c>
      <c r="AH1192" s="22" t="str">
        <f t="shared" si="386"/>
        <v/>
      </c>
      <c r="AI1192" s="22" t="str">
        <f t="shared" si="387"/>
        <v/>
      </c>
      <c r="AJ1192" s="304" t="str">
        <f t="shared" si="388"/>
        <v/>
      </c>
      <c r="AK1192" s="140" t="str">
        <f t="shared" si="389"/>
        <v/>
      </c>
    </row>
    <row r="1193" spans="7:37" x14ac:dyDescent="0.25">
      <c r="G1193" s="235" t="str">
        <f t="shared" si="378"/>
        <v/>
      </c>
      <c r="H1193" s="4" t="str">
        <f t="shared" si="377"/>
        <v/>
      </c>
      <c r="I1193" s="11" t="str">
        <f t="shared" si="379"/>
        <v/>
      </c>
      <c r="K1193" s="30">
        <v>271</v>
      </c>
      <c r="L1193" s="29">
        <f t="shared" si="390"/>
        <v>11371.908376190921</v>
      </c>
      <c r="M1193" s="28" t="str">
        <f t="shared" si="380"/>
        <v/>
      </c>
      <c r="N1193" s="27" t="str">
        <f t="shared" si="391"/>
        <v/>
      </c>
      <c r="O1193" s="26" t="str">
        <f>IF(AND($Q1192=$O$38,IFERROR(LARGE($V$923:$V1192,1)&lt;$N$42,TRUE)),1,IF(AND(ISNUMBER($O1192),$O1192&lt;$N$32),$O1192+1,""))</f>
        <v/>
      </c>
      <c r="P1193" s="26" t="str">
        <f t="shared" si="392"/>
        <v/>
      </c>
      <c r="Q1193" s="26" t="str">
        <f t="shared" si="381"/>
        <v/>
      </c>
      <c r="R1193" s="24" t="str">
        <f t="shared" si="393"/>
        <v/>
      </c>
      <c r="S1193" s="180">
        <f t="shared" si="376"/>
        <v>8</v>
      </c>
      <c r="T1193" s="29">
        <f>SUM($AC$923:$AC1193)</f>
        <v>49500</v>
      </c>
      <c r="U1193" s="25" t="str">
        <f t="shared" si="382"/>
        <v/>
      </c>
      <c r="V1193" s="24" t="str">
        <f>IF(AND(ISNUMBER(R1192),ISNUMBER(R1193)),V1192,IF(AND(R1192="",ISNUMBER(R1193)),IFERROR(LARGE($V$923:$V1192,1)+1,0),""))</f>
        <v/>
      </c>
      <c r="W1193" s="23" t="str">
        <f t="shared" si="394"/>
        <v/>
      </c>
      <c r="X1193" s="22" t="str">
        <f t="shared" si="395"/>
        <v/>
      </c>
      <c r="Y1193" s="236"/>
      <c r="Z1193" s="22"/>
      <c r="AA1193" s="22"/>
      <c r="AB1193" s="22" t="str">
        <f t="shared" si="373"/>
        <v/>
      </c>
      <c r="AC1193" s="22" t="str">
        <f t="shared" si="374"/>
        <v/>
      </c>
      <c r="AD1193" s="22" t="str">
        <f t="shared" si="383"/>
        <v/>
      </c>
      <c r="AE1193" s="22" t="str">
        <f t="shared" si="375"/>
        <v/>
      </c>
      <c r="AF1193" s="22" t="str">
        <f t="shared" si="384"/>
        <v/>
      </c>
      <c r="AG1193" s="22" t="str">
        <f t="shared" si="385"/>
        <v/>
      </c>
      <c r="AH1193" s="22" t="str">
        <f t="shared" si="386"/>
        <v/>
      </c>
      <c r="AI1193" s="22" t="str">
        <f t="shared" si="387"/>
        <v/>
      </c>
      <c r="AJ1193" s="304" t="str">
        <f t="shared" si="388"/>
        <v/>
      </c>
      <c r="AK1193" s="140" t="str">
        <f t="shared" si="389"/>
        <v/>
      </c>
    </row>
    <row r="1194" spans="7:37" x14ac:dyDescent="0.25">
      <c r="G1194" s="235" t="str">
        <f t="shared" si="378"/>
        <v/>
      </c>
      <c r="H1194" s="4" t="str">
        <f t="shared" si="377"/>
        <v/>
      </c>
      <c r="I1194" s="11" t="str">
        <f t="shared" si="379"/>
        <v/>
      </c>
      <c r="K1194" s="30">
        <v>272</v>
      </c>
      <c r="L1194" s="29">
        <f t="shared" si="390"/>
        <v>11371.908376190921</v>
      </c>
      <c r="M1194" s="28" t="str">
        <f t="shared" si="380"/>
        <v/>
      </c>
      <c r="N1194" s="27" t="str">
        <f t="shared" si="391"/>
        <v/>
      </c>
      <c r="O1194" s="26" t="str">
        <f>IF(AND($Q1193=$O$38,IFERROR(LARGE($V$923:$V1193,1)&lt;$N$42,TRUE)),1,IF(AND(ISNUMBER($O1193),$O1193&lt;$N$32),$O1193+1,""))</f>
        <v/>
      </c>
      <c r="P1194" s="26" t="str">
        <f t="shared" si="392"/>
        <v/>
      </c>
      <c r="Q1194" s="26" t="str">
        <f t="shared" si="381"/>
        <v/>
      </c>
      <c r="R1194" s="24" t="str">
        <f t="shared" si="393"/>
        <v/>
      </c>
      <c r="S1194" s="180">
        <f t="shared" si="376"/>
        <v>8</v>
      </c>
      <c r="T1194" s="29">
        <f>SUM($AC$923:$AC1194)</f>
        <v>49500</v>
      </c>
      <c r="U1194" s="25" t="str">
        <f t="shared" si="382"/>
        <v/>
      </c>
      <c r="V1194" s="24" t="str">
        <f>IF(AND(ISNUMBER(R1193),ISNUMBER(R1194)),V1193,IF(AND(R1193="",ISNUMBER(R1194)),IFERROR(LARGE($V$923:$V1193,1)+1,0),""))</f>
        <v/>
      </c>
      <c r="W1194" s="23" t="str">
        <f t="shared" si="394"/>
        <v/>
      </c>
      <c r="X1194" s="22" t="str">
        <f t="shared" si="395"/>
        <v/>
      </c>
      <c r="Y1194" s="236"/>
      <c r="Z1194" s="22"/>
      <c r="AA1194" s="22"/>
      <c r="AB1194" s="22" t="str">
        <f t="shared" si="373"/>
        <v/>
      </c>
      <c r="AC1194" s="22" t="str">
        <f t="shared" si="374"/>
        <v/>
      </c>
      <c r="AD1194" s="22" t="str">
        <f t="shared" si="383"/>
        <v/>
      </c>
      <c r="AE1194" s="22" t="str">
        <f t="shared" si="375"/>
        <v/>
      </c>
      <c r="AF1194" s="22" t="str">
        <f t="shared" si="384"/>
        <v/>
      </c>
      <c r="AG1194" s="22" t="str">
        <f t="shared" si="385"/>
        <v/>
      </c>
      <c r="AH1194" s="22" t="str">
        <f t="shared" si="386"/>
        <v/>
      </c>
      <c r="AI1194" s="22" t="str">
        <f t="shared" si="387"/>
        <v/>
      </c>
      <c r="AJ1194" s="304" t="str">
        <f t="shared" si="388"/>
        <v/>
      </c>
      <c r="AK1194" s="140" t="str">
        <f t="shared" si="389"/>
        <v/>
      </c>
    </row>
    <row r="1195" spans="7:37" x14ac:dyDescent="0.25">
      <c r="G1195" s="235" t="str">
        <f t="shared" si="378"/>
        <v/>
      </c>
      <c r="H1195" s="4" t="str">
        <f t="shared" si="377"/>
        <v/>
      </c>
      <c r="I1195" s="11" t="str">
        <f t="shared" si="379"/>
        <v/>
      </c>
      <c r="K1195" s="30">
        <v>273</v>
      </c>
      <c r="L1195" s="29">
        <f t="shared" si="390"/>
        <v>11371.908376190921</v>
      </c>
      <c r="M1195" s="28" t="str">
        <f t="shared" si="380"/>
        <v/>
      </c>
      <c r="N1195" s="27" t="str">
        <f t="shared" si="391"/>
        <v/>
      </c>
      <c r="O1195" s="26" t="str">
        <f>IF(AND($Q1194=$O$38,IFERROR(LARGE($V$923:$V1194,1)&lt;$N$42,TRUE)),1,IF(AND(ISNUMBER($O1194),$O1194&lt;$N$32),$O1194+1,""))</f>
        <v/>
      </c>
      <c r="P1195" s="26" t="str">
        <f t="shared" si="392"/>
        <v/>
      </c>
      <c r="Q1195" s="26" t="str">
        <f t="shared" si="381"/>
        <v/>
      </c>
      <c r="R1195" s="24" t="str">
        <f t="shared" si="393"/>
        <v/>
      </c>
      <c r="S1195" s="180">
        <f t="shared" si="376"/>
        <v>8</v>
      </c>
      <c r="T1195" s="29">
        <f>SUM($AC$923:$AC1195)</f>
        <v>49500</v>
      </c>
      <c r="U1195" s="25" t="str">
        <f t="shared" si="382"/>
        <v/>
      </c>
      <c r="V1195" s="24" t="str">
        <f>IF(AND(ISNUMBER(R1194),ISNUMBER(R1195)),V1194,IF(AND(R1194="",ISNUMBER(R1195)),IFERROR(LARGE($V$923:$V1194,1)+1,0),""))</f>
        <v/>
      </c>
      <c r="W1195" s="23" t="str">
        <f t="shared" si="394"/>
        <v/>
      </c>
      <c r="X1195" s="22" t="str">
        <f t="shared" si="395"/>
        <v/>
      </c>
      <c r="Y1195" s="236"/>
      <c r="Z1195" s="22"/>
      <c r="AA1195" s="22"/>
      <c r="AB1195" s="22" t="str">
        <f t="shared" ref="AB1195:AB1258" si="396">IF((IF(AND($P1194="",$P1195=1),($N$37*-1),0)+IF(AND($Q1194="",$Q1195=1),($N$38*-1),0)+IF(OR(AND(ISNUMBER($U1195),IF(ISNUMBER($U1196),$U1196,0)-IF(ISNUMBER($U1195),$U1195,0)=1),AND(ISNUMBER($U1195),$U1196="")),IF($U1195=1,$P$37,0),0))=0,"",(IF(AND($P1194="",$P1195=1),($N$37*-1),0)+IF(AND($Q1194="",$Q1195=1),($N$38*-1),0)+IF(OR(AND(ISNUMBER($U1195),IF(ISNUMBER($U1196),$U1196,0)-IF(ISNUMBER($U1195),$U1195,0)=1),AND(ISNUMBER($U1195),$U1196="")),IF($U1195=1,$P$37,0),0)))</f>
        <v/>
      </c>
      <c r="AC1195" s="22" t="str">
        <f t="shared" ref="AC1195:AC1258" si="397">IF(IF(OR(AND(ISNUMBER($U1195),IF(ISNUMBER($U1196),$U1196,0)-IF(ISNUMBER($U1195),$U1195,0)=1),AND(ISNUMBER($U1195),$U1196="")),VLOOKUP(IF($U1195&gt;$L$63,$L$63,$U1195),$L$52:$N$63,COLUMNS($L$52:$N$52),FALSE),0)=0,"",IF(OR(AND(ISNUMBER($U1195),IF(ISNUMBER($U1196),$U1196,0)-IF(ISNUMBER($U1195),$U1195,0)=1),AND(ISNUMBER($U1195),$U1196="")),VLOOKUP(IF($U1195&gt;$L$63,$L$63,$U1195),$L$52:$N$63,COLUMNS($L$52:$N$52),FALSE),0))</f>
        <v/>
      </c>
      <c r="AD1195" s="22" t="str">
        <f t="shared" si="383"/>
        <v/>
      </c>
      <c r="AE1195" s="22" t="str">
        <f t="shared" ref="AE1195:AE1258" si="398">$AC1195</f>
        <v/>
      </c>
      <c r="AF1195" s="22" t="str">
        <f t="shared" si="384"/>
        <v/>
      </c>
      <c r="AG1195" s="22" t="str">
        <f t="shared" si="385"/>
        <v/>
      </c>
      <c r="AH1195" s="22" t="str">
        <f t="shared" si="386"/>
        <v/>
      </c>
      <c r="AI1195" s="22" t="str">
        <f t="shared" si="387"/>
        <v/>
      </c>
      <c r="AJ1195" s="304" t="str">
        <f t="shared" si="388"/>
        <v/>
      </c>
      <c r="AK1195" s="140" t="str">
        <f t="shared" si="389"/>
        <v/>
      </c>
    </row>
    <row r="1196" spans="7:37" x14ac:dyDescent="0.25">
      <c r="G1196" s="235" t="str">
        <f t="shared" si="378"/>
        <v/>
      </c>
      <c r="H1196" s="4" t="str">
        <f t="shared" si="377"/>
        <v/>
      </c>
      <c r="I1196" s="11" t="str">
        <f t="shared" si="379"/>
        <v/>
      </c>
      <c r="K1196" s="30">
        <v>274</v>
      </c>
      <c r="L1196" s="29">
        <f t="shared" si="390"/>
        <v>11371.908376190921</v>
      </c>
      <c r="M1196" s="28" t="str">
        <f t="shared" si="380"/>
        <v/>
      </c>
      <c r="N1196" s="27" t="str">
        <f t="shared" si="391"/>
        <v/>
      </c>
      <c r="O1196" s="26" t="str">
        <f>IF(AND($Q1195=$O$38,IFERROR(LARGE($V$923:$V1195,1)&lt;$N$42,TRUE)),1,IF(AND(ISNUMBER($O1195),$O1195&lt;$N$32),$O1195+1,""))</f>
        <v/>
      </c>
      <c r="P1196" s="26" t="str">
        <f t="shared" si="392"/>
        <v/>
      </c>
      <c r="Q1196" s="26" t="str">
        <f t="shared" si="381"/>
        <v/>
      </c>
      <c r="R1196" s="24" t="str">
        <f t="shared" si="393"/>
        <v/>
      </c>
      <c r="S1196" s="180">
        <f t="shared" si="376"/>
        <v>8</v>
      </c>
      <c r="T1196" s="29">
        <f>SUM($AC$923:$AC1196)</f>
        <v>49500</v>
      </c>
      <c r="U1196" s="25" t="str">
        <f t="shared" si="382"/>
        <v/>
      </c>
      <c r="V1196" s="24" t="str">
        <f>IF(AND(ISNUMBER(R1195),ISNUMBER(R1196)),V1195,IF(AND(R1195="",ISNUMBER(R1196)),IFERROR(LARGE($V$923:$V1195,1)+1,0),""))</f>
        <v/>
      </c>
      <c r="W1196" s="23" t="str">
        <f t="shared" si="394"/>
        <v/>
      </c>
      <c r="X1196" s="22" t="str">
        <f t="shared" si="395"/>
        <v/>
      </c>
      <c r="Y1196" s="236"/>
      <c r="Z1196" s="22"/>
      <c r="AA1196" s="22"/>
      <c r="AB1196" s="22" t="str">
        <f t="shared" si="396"/>
        <v/>
      </c>
      <c r="AC1196" s="22" t="str">
        <f t="shared" si="397"/>
        <v/>
      </c>
      <c r="AD1196" s="22" t="str">
        <f t="shared" si="383"/>
        <v/>
      </c>
      <c r="AE1196" s="22" t="str">
        <f t="shared" si="398"/>
        <v/>
      </c>
      <c r="AF1196" s="22" t="str">
        <f t="shared" si="384"/>
        <v/>
      </c>
      <c r="AG1196" s="22" t="str">
        <f t="shared" si="385"/>
        <v/>
      </c>
      <c r="AH1196" s="22" t="str">
        <f t="shared" si="386"/>
        <v/>
      </c>
      <c r="AI1196" s="22" t="str">
        <f t="shared" si="387"/>
        <v/>
      </c>
      <c r="AJ1196" s="304" t="str">
        <f t="shared" si="388"/>
        <v/>
      </c>
      <c r="AK1196" s="140" t="str">
        <f t="shared" si="389"/>
        <v/>
      </c>
    </row>
    <row r="1197" spans="7:37" x14ac:dyDescent="0.25">
      <c r="G1197" s="235" t="str">
        <f t="shared" si="378"/>
        <v/>
      </c>
      <c r="H1197" s="4" t="str">
        <f t="shared" si="377"/>
        <v/>
      </c>
      <c r="I1197" s="11" t="str">
        <f t="shared" si="379"/>
        <v/>
      </c>
      <c r="K1197" s="30">
        <v>275</v>
      </c>
      <c r="L1197" s="29">
        <f t="shared" si="390"/>
        <v>11371.908376190921</v>
      </c>
      <c r="M1197" s="28" t="str">
        <f t="shared" si="380"/>
        <v/>
      </c>
      <c r="N1197" s="27" t="str">
        <f t="shared" si="391"/>
        <v/>
      </c>
      <c r="O1197" s="26" t="str">
        <f>IF(AND($Q1196=$O$38,IFERROR(LARGE($V$923:$V1196,1)&lt;$N$42,TRUE)),1,IF(AND(ISNUMBER($O1196),$O1196&lt;$N$32),$O1196+1,""))</f>
        <v/>
      </c>
      <c r="P1197" s="26" t="str">
        <f t="shared" si="392"/>
        <v/>
      </c>
      <c r="Q1197" s="26" t="str">
        <f t="shared" si="381"/>
        <v/>
      </c>
      <c r="R1197" s="24" t="str">
        <f t="shared" si="393"/>
        <v/>
      </c>
      <c r="S1197" s="180">
        <f t="shared" si="376"/>
        <v>8</v>
      </c>
      <c r="T1197" s="29">
        <f>SUM($AC$923:$AC1197)</f>
        <v>49500</v>
      </c>
      <c r="U1197" s="25" t="str">
        <f t="shared" si="382"/>
        <v/>
      </c>
      <c r="V1197" s="24" t="str">
        <f>IF(AND(ISNUMBER(R1196),ISNUMBER(R1197)),V1196,IF(AND(R1196="",ISNUMBER(R1197)),IFERROR(LARGE($V$923:$V1196,1)+1,0),""))</f>
        <v/>
      </c>
      <c r="W1197" s="23" t="str">
        <f t="shared" si="394"/>
        <v/>
      </c>
      <c r="X1197" s="22" t="str">
        <f t="shared" si="395"/>
        <v/>
      </c>
      <c r="Y1197" s="236"/>
      <c r="Z1197" s="22"/>
      <c r="AA1197" s="22"/>
      <c r="AB1197" s="22" t="str">
        <f t="shared" si="396"/>
        <v/>
      </c>
      <c r="AC1197" s="22" t="str">
        <f t="shared" si="397"/>
        <v/>
      </c>
      <c r="AD1197" s="22" t="str">
        <f t="shared" si="383"/>
        <v/>
      </c>
      <c r="AE1197" s="22" t="str">
        <f t="shared" si="398"/>
        <v/>
      </c>
      <c r="AF1197" s="22" t="str">
        <f t="shared" si="384"/>
        <v/>
      </c>
      <c r="AG1197" s="22" t="str">
        <f t="shared" si="385"/>
        <v/>
      </c>
      <c r="AH1197" s="22" t="str">
        <f t="shared" si="386"/>
        <v/>
      </c>
      <c r="AI1197" s="22" t="str">
        <f t="shared" si="387"/>
        <v/>
      </c>
      <c r="AJ1197" s="304" t="str">
        <f t="shared" si="388"/>
        <v/>
      </c>
      <c r="AK1197" s="140" t="str">
        <f t="shared" si="389"/>
        <v/>
      </c>
    </row>
    <row r="1198" spans="7:37" x14ac:dyDescent="0.25">
      <c r="G1198" s="235" t="str">
        <f t="shared" si="378"/>
        <v/>
      </c>
      <c r="H1198" s="4" t="str">
        <f t="shared" si="377"/>
        <v/>
      </c>
      <c r="I1198" s="11" t="str">
        <f t="shared" si="379"/>
        <v/>
      </c>
      <c r="K1198" s="30">
        <v>276</v>
      </c>
      <c r="L1198" s="29">
        <f t="shared" si="390"/>
        <v>11371.908376190921</v>
      </c>
      <c r="M1198" s="28" t="str">
        <f t="shared" si="380"/>
        <v/>
      </c>
      <c r="N1198" s="27" t="str">
        <f t="shared" si="391"/>
        <v/>
      </c>
      <c r="O1198" s="26" t="str">
        <f>IF(AND($Q1197=$O$38,IFERROR(LARGE($V$923:$V1197,1)&lt;$N$42,TRUE)),1,IF(AND(ISNUMBER($O1197),$O1197&lt;$N$32),$O1197+1,""))</f>
        <v/>
      </c>
      <c r="P1198" s="26" t="str">
        <f t="shared" si="392"/>
        <v/>
      </c>
      <c r="Q1198" s="26" t="str">
        <f t="shared" si="381"/>
        <v/>
      </c>
      <c r="R1198" s="24" t="str">
        <f t="shared" si="393"/>
        <v/>
      </c>
      <c r="S1198" s="180">
        <f t="shared" si="376"/>
        <v>8</v>
      </c>
      <c r="T1198" s="29">
        <f>SUM($AC$923:$AC1198)</f>
        <v>49500</v>
      </c>
      <c r="U1198" s="25" t="str">
        <f t="shared" si="382"/>
        <v/>
      </c>
      <c r="V1198" s="24" t="str">
        <f>IF(AND(ISNUMBER(R1197),ISNUMBER(R1198)),V1197,IF(AND(R1197="",ISNUMBER(R1198)),IFERROR(LARGE($V$923:$V1197,1)+1,0),""))</f>
        <v/>
      </c>
      <c r="W1198" s="23" t="str">
        <f t="shared" si="394"/>
        <v/>
      </c>
      <c r="X1198" s="22" t="str">
        <f t="shared" si="395"/>
        <v/>
      </c>
      <c r="Y1198" s="236"/>
      <c r="Z1198" s="22"/>
      <c r="AA1198" s="22"/>
      <c r="AB1198" s="22" t="str">
        <f t="shared" si="396"/>
        <v/>
      </c>
      <c r="AC1198" s="22" t="str">
        <f t="shared" si="397"/>
        <v/>
      </c>
      <c r="AD1198" s="22" t="str">
        <f t="shared" si="383"/>
        <v/>
      </c>
      <c r="AE1198" s="22" t="str">
        <f t="shared" si="398"/>
        <v/>
      </c>
      <c r="AF1198" s="22" t="str">
        <f t="shared" si="384"/>
        <v/>
      </c>
      <c r="AG1198" s="22" t="str">
        <f t="shared" si="385"/>
        <v/>
      </c>
      <c r="AH1198" s="22" t="str">
        <f t="shared" si="386"/>
        <v/>
      </c>
      <c r="AI1198" s="22" t="str">
        <f t="shared" si="387"/>
        <v/>
      </c>
      <c r="AJ1198" s="304" t="str">
        <f t="shared" si="388"/>
        <v/>
      </c>
      <c r="AK1198" s="140" t="str">
        <f t="shared" si="389"/>
        <v/>
      </c>
    </row>
    <row r="1199" spans="7:37" x14ac:dyDescent="0.25">
      <c r="G1199" s="235" t="str">
        <f t="shared" si="378"/>
        <v/>
      </c>
      <c r="H1199" s="4" t="str">
        <f t="shared" si="377"/>
        <v/>
      </c>
      <c r="I1199" s="11" t="str">
        <f t="shared" si="379"/>
        <v/>
      </c>
      <c r="K1199" s="30">
        <v>277</v>
      </c>
      <c r="L1199" s="29">
        <f t="shared" si="390"/>
        <v>11371.908376190921</v>
      </c>
      <c r="M1199" s="28" t="str">
        <f t="shared" si="380"/>
        <v/>
      </c>
      <c r="N1199" s="27" t="str">
        <f t="shared" si="391"/>
        <v/>
      </c>
      <c r="O1199" s="26" t="str">
        <f>IF(AND($Q1198=$O$38,IFERROR(LARGE($V$923:$V1198,1)&lt;$N$42,TRUE)),1,IF(AND(ISNUMBER($O1198),$O1198&lt;$N$32),$O1198+1,""))</f>
        <v/>
      </c>
      <c r="P1199" s="26" t="str">
        <f t="shared" si="392"/>
        <v/>
      </c>
      <c r="Q1199" s="26" t="str">
        <f t="shared" si="381"/>
        <v/>
      </c>
      <c r="R1199" s="24" t="str">
        <f t="shared" si="393"/>
        <v/>
      </c>
      <c r="S1199" s="180">
        <f t="shared" si="376"/>
        <v>8</v>
      </c>
      <c r="T1199" s="29">
        <f>SUM($AC$923:$AC1199)</f>
        <v>49500</v>
      </c>
      <c r="U1199" s="25" t="str">
        <f t="shared" si="382"/>
        <v/>
      </c>
      <c r="V1199" s="24" t="str">
        <f>IF(AND(ISNUMBER(R1198),ISNUMBER(R1199)),V1198,IF(AND(R1198="",ISNUMBER(R1199)),IFERROR(LARGE($V$923:$V1198,1)+1,0),""))</f>
        <v/>
      </c>
      <c r="W1199" s="23" t="str">
        <f t="shared" si="394"/>
        <v/>
      </c>
      <c r="X1199" s="22" t="str">
        <f t="shared" si="395"/>
        <v/>
      </c>
      <c r="Y1199" s="236"/>
      <c r="Z1199" s="22"/>
      <c r="AA1199" s="22"/>
      <c r="AB1199" s="22" t="str">
        <f t="shared" si="396"/>
        <v/>
      </c>
      <c r="AC1199" s="22" t="str">
        <f t="shared" si="397"/>
        <v/>
      </c>
      <c r="AD1199" s="22" t="str">
        <f t="shared" si="383"/>
        <v/>
      </c>
      <c r="AE1199" s="22" t="str">
        <f t="shared" si="398"/>
        <v/>
      </c>
      <c r="AF1199" s="22" t="str">
        <f t="shared" si="384"/>
        <v/>
      </c>
      <c r="AG1199" s="22" t="str">
        <f t="shared" si="385"/>
        <v/>
      </c>
      <c r="AH1199" s="22" t="str">
        <f t="shared" si="386"/>
        <v/>
      </c>
      <c r="AI1199" s="22" t="str">
        <f t="shared" si="387"/>
        <v/>
      </c>
      <c r="AJ1199" s="304" t="str">
        <f t="shared" si="388"/>
        <v/>
      </c>
      <c r="AK1199" s="140" t="str">
        <f t="shared" si="389"/>
        <v/>
      </c>
    </row>
    <row r="1200" spans="7:37" x14ac:dyDescent="0.25">
      <c r="G1200" s="235" t="str">
        <f t="shared" si="378"/>
        <v/>
      </c>
      <c r="H1200" s="4" t="str">
        <f t="shared" si="377"/>
        <v/>
      </c>
      <c r="I1200" s="11" t="str">
        <f t="shared" si="379"/>
        <v/>
      </c>
      <c r="K1200" s="30">
        <v>278</v>
      </c>
      <c r="L1200" s="29">
        <f t="shared" si="390"/>
        <v>11371.908376190921</v>
      </c>
      <c r="M1200" s="28" t="str">
        <f t="shared" si="380"/>
        <v/>
      </c>
      <c r="N1200" s="27" t="str">
        <f t="shared" si="391"/>
        <v/>
      </c>
      <c r="O1200" s="26" t="str">
        <f>IF(AND($Q1199=$O$38,IFERROR(LARGE($V$923:$V1199,1)&lt;$N$42,TRUE)),1,IF(AND(ISNUMBER($O1199),$O1199&lt;$N$32),$O1199+1,""))</f>
        <v/>
      </c>
      <c r="P1200" s="26" t="str">
        <f t="shared" si="392"/>
        <v/>
      </c>
      <c r="Q1200" s="26" t="str">
        <f t="shared" si="381"/>
        <v/>
      </c>
      <c r="R1200" s="24" t="str">
        <f t="shared" si="393"/>
        <v/>
      </c>
      <c r="S1200" s="180">
        <f t="shared" si="376"/>
        <v>8</v>
      </c>
      <c r="T1200" s="29">
        <f>SUM($AC$923:$AC1200)</f>
        <v>49500</v>
      </c>
      <c r="U1200" s="25" t="str">
        <f t="shared" si="382"/>
        <v/>
      </c>
      <c r="V1200" s="24" t="str">
        <f>IF(AND(ISNUMBER(R1199),ISNUMBER(R1200)),V1199,IF(AND(R1199="",ISNUMBER(R1200)),IFERROR(LARGE($V$923:$V1199,1)+1,0),""))</f>
        <v/>
      </c>
      <c r="W1200" s="23" t="str">
        <f t="shared" si="394"/>
        <v/>
      </c>
      <c r="X1200" s="22" t="str">
        <f t="shared" si="395"/>
        <v/>
      </c>
      <c r="Y1200" s="236"/>
      <c r="Z1200" s="22"/>
      <c r="AA1200" s="22"/>
      <c r="AB1200" s="22" t="str">
        <f t="shared" si="396"/>
        <v/>
      </c>
      <c r="AC1200" s="22" t="str">
        <f t="shared" si="397"/>
        <v/>
      </c>
      <c r="AD1200" s="22" t="str">
        <f t="shared" si="383"/>
        <v/>
      </c>
      <c r="AE1200" s="22" t="str">
        <f t="shared" si="398"/>
        <v/>
      </c>
      <c r="AF1200" s="22" t="str">
        <f t="shared" si="384"/>
        <v/>
      </c>
      <c r="AG1200" s="22" t="str">
        <f t="shared" si="385"/>
        <v/>
      </c>
      <c r="AH1200" s="22" t="str">
        <f t="shared" si="386"/>
        <v/>
      </c>
      <c r="AI1200" s="22" t="str">
        <f t="shared" si="387"/>
        <v/>
      </c>
      <c r="AJ1200" s="304" t="str">
        <f t="shared" si="388"/>
        <v/>
      </c>
      <c r="AK1200" s="140" t="str">
        <f t="shared" si="389"/>
        <v/>
      </c>
    </row>
    <row r="1201" spans="7:37" x14ac:dyDescent="0.25">
      <c r="G1201" s="235" t="str">
        <f t="shared" si="378"/>
        <v/>
      </c>
      <c r="H1201" s="4" t="str">
        <f t="shared" si="377"/>
        <v/>
      </c>
      <c r="I1201" s="11" t="str">
        <f t="shared" si="379"/>
        <v/>
      </c>
      <c r="K1201" s="30">
        <v>279</v>
      </c>
      <c r="L1201" s="29">
        <f t="shared" si="390"/>
        <v>11371.908376190921</v>
      </c>
      <c r="M1201" s="28" t="str">
        <f t="shared" si="380"/>
        <v/>
      </c>
      <c r="N1201" s="27" t="str">
        <f t="shared" si="391"/>
        <v/>
      </c>
      <c r="O1201" s="26" t="str">
        <f>IF(AND($Q1200=$O$38,IFERROR(LARGE($V$923:$V1200,1)&lt;$N$42,TRUE)),1,IF(AND(ISNUMBER($O1200),$O1200&lt;$N$32),$O1200+1,""))</f>
        <v/>
      </c>
      <c r="P1201" s="26" t="str">
        <f t="shared" si="392"/>
        <v/>
      </c>
      <c r="Q1201" s="26" t="str">
        <f t="shared" si="381"/>
        <v/>
      </c>
      <c r="R1201" s="24" t="str">
        <f t="shared" si="393"/>
        <v/>
      </c>
      <c r="S1201" s="180">
        <f t="shared" si="376"/>
        <v>8</v>
      </c>
      <c r="T1201" s="29">
        <f>SUM($AC$923:$AC1201)</f>
        <v>49500</v>
      </c>
      <c r="U1201" s="25" t="str">
        <f t="shared" si="382"/>
        <v/>
      </c>
      <c r="V1201" s="24" t="str">
        <f>IF(AND(ISNUMBER(R1200),ISNUMBER(R1201)),V1200,IF(AND(R1200="",ISNUMBER(R1201)),IFERROR(LARGE($V$923:$V1200,1)+1,0),""))</f>
        <v/>
      </c>
      <c r="W1201" s="23" t="str">
        <f t="shared" si="394"/>
        <v/>
      </c>
      <c r="X1201" s="22" t="str">
        <f t="shared" si="395"/>
        <v/>
      </c>
      <c r="Y1201" s="236"/>
      <c r="Z1201" s="22"/>
      <c r="AA1201" s="22"/>
      <c r="AB1201" s="22" t="str">
        <f t="shared" si="396"/>
        <v/>
      </c>
      <c r="AC1201" s="22" t="str">
        <f t="shared" si="397"/>
        <v/>
      </c>
      <c r="AD1201" s="22" t="str">
        <f t="shared" si="383"/>
        <v/>
      </c>
      <c r="AE1201" s="22" t="str">
        <f t="shared" si="398"/>
        <v/>
      </c>
      <c r="AF1201" s="22" t="str">
        <f t="shared" si="384"/>
        <v/>
      </c>
      <c r="AG1201" s="22" t="str">
        <f t="shared" si="385"/>
        <v/>
      </c>
      <c r="AH1201" s="22" t="str">
        <f t="shared" si="386"/>
        <v/>
      </c>
      <c r="AI1201" s="22" t="str">
        <f t="shared" si="387"/>
        <v/>
      </c>
      <c r="AJ1201" s="304" t="str">
        <f t="shared" si="388"/>
        <v/>
      </c>
      <c r="AK1201" s="140" t="str">
        <f t="shared" si="389"/>
        <v/>
      </c>
    </row>
    <row r="1202" spans="7:37" x14ac:dyDescent="0.25">
      <c r="G1202" s="235" t="str">
        <f t="shared" si="378"/>
        <v/>
      </c>
      <c r="H1202" s="4" t="str">
        <f t="shared" si="377"/>
        <v/>
      </c>
      <c r="I1202" s="11" t="str">
        <f t="shared" si="379"/>
        <v/>
      </c>
      <c r="K1202" s="30">
        <v>280</v>
      </c>
      <c r="L1202" s="29">
        <f t="shared" si="390"/>
        <v>11371.908376190921</v>
      </c>
      <c r="M1202" s="28" t="str">
        <f t="shared" si="380"/>
        <v/>
      </c>
      <c r="N1202" s="27" t="str">
        <f t="shared" si="391"/>
        <v/>
      </c>
      <c r="O1202" s="26" t="str">
        <f>IF(AND($Q1201=$O$38,IFERROR(LARGE($V$923:$V1201,1)&lt;$N$42,TRUE)),1,IF(AND(ISNUMBER($O1201),$O1201&lt;$N$32),$O1201+1,""))</f>
        <v/>
      </c>
      <c r="P1202" s="26" t="str">
        <f t="shared" si="392"/>
        <v/>
      </c>
      <c r="Q1202" s="26" t="str">
        <f t="shared" si="381"/>
        <v/>
      </c>
      <c r="R1202" s="24" t="str">
        <f t="shared" si="393"/>
        <v/>
      </c>
      <c r="S1202" s="180">
        <f t="shared" ref="S1202:S1265" si="399">IF($Q1202=1,ROUNDDOWN($S1201,0),IF($O1202=1,ROUNDDOWN($S1201,0)+1,IF($R1202=1,$S1201+0.01,IF(ISNUMBER($U1202),IF(AND($U1202&gt;1,($U1202-$U1201)=1),$S1201+0.01,$S1201),$S1201))))</f>
        <v>8</v>
      </c>
      <c r="T1202" s="29">
        <f>SUM($AC$923:$AC1202)</f>
        <v>49500</v>
      </c>
      <c r="U1202" s="25" t="str">
        <f t="shared" si="382"/>
        <v/>
      </c>
      <c r="V1202" s="24" t="str">
        <f>IF(AND(ISNUMBER(R1201),ISNUMBER(R1202)),V1201,IF(AND(R1201="",ISNUMBER(R1202)),IFERROR(LARGE($V$923:$V1201,1)+1,0),""))</f>
        <v/>
      </c>
      <c r="W1202" s="23" t="str">
        <f t="shared" si="394"/>
        <v/>
      </c>
      <c r="X1202" s="22" t="str">
        <f t="shared" si="395"/>
        <v/>
      </c>
      <c r="Y1202" s="236"/>
      <c r="Z1202" s="22"/>
      <c r="AA1202" s="22"/>
      <c r="AB1202" s="22" t="str">
        <f t="shared" si="396"/>
        <v/>
      </c>
      <c r="AC1202" s="22" t="str">
        <f t="shared" si="397"/>
        <v/>
      </c>
      <c r="AD1202" s="22" t="str">
        <f t="shared" si="383"/>
        <v/>
      </c>
      <c r="AE1202" s="22" t="str">
        <f t="shared" si="398"/>
        <v/>
      </c>
      <c r="AF1202" s="22" t="str">
        <f t="shared" si="384"/>
        <v/>
      </c>
      <c r="AG1202" s="22" t="str">
        <f t="shared" si="385"/>
        <v/>
      </c>
      <c r="AH1202" s="22" t="str">
        <f t="shared" si="386"/>
        <v/>
      </c>
      <c r="AI1202" s="22" t="str">
        <f t="shared" si="387"/>
        <v/>
      </c>
      <c r="AJ1202" s="304" t="str">
        <f t="shared" si="388"/>
        <v/>
      </c>
      <c r="AK1202" s="140" t="str">
        <f t="shared" si="389"/>
        <v/>
      </c>
    </row>
    <row r="1203" spans="7:37" x14ac:dyDescent="0.25">
      <c r="G1203" s="235" t="str">
        <f t="shared" si="378"/>
        <v/>
      </c>
      <c r="H1203" s="4" t="str">
        <f t="shared" si="377"/>
        <v/>
      </c>
      <c r="I1203" s="11" t="str">
        <f t="shared" si="379"/>
        <v/>
      </c>
      <c r="K1203" s="30">
        <v>281</v>
      </c>
      <c r="L1203" s="29">
        <f t="shared" si="390"/>
        <v>11371.908376190921</v>
      </c>
      <c r="M1203" s="28" t="str">
        <f t="shared" si="380"/>
        <v/>
      </c>
      <c r="N1203" s="27" t="str">
        <f t="shared" si="391"/>
        <v/>
      </c>
      <c r="O1203" s="26" t="str">
        <f>IF(AND($Q1202=$O$38,IFERROR(LARGE($V$923:$V1202,1)&lt;$N$42,TRUE)),1,IF(AND(ISNUMBER($O1202),$O1202&lt;$N$32),$O1202+1,""))</f>
        <v/>
      </c>
      <c r="P1203" s="26" t="str">
        <f t="shared" si="392"/>
        <v/>
      </c>
      <c r="Q1203" s="26" t="str">
        <f t="shared" si="381"/>
        <v/>
      </c>
      <c r="R1203" s="24" t="str">
        <f t="shared" si="393"/>
        <v/>
      </c>
      <c r="S1203" s="180">
        <f t="shared" si="399"/>
        <v>8</v>
      </c>
      <c r="T1203" s="29">
        <f>SUM($AC$923:$AC1203)</f>
        <v>49500</v>
      </c>
      <c r="U1203" s="25" t="str">
        <f t="shared" si="382"/>
        <v/>
      </c>
      <c r="V1203" s="24" t="str">
        <f>IF(AND(ISNUMBER(R1202),ISNUMBER(R1203)),V1202,IF(AND(R1202="",ISNUMBER(R1203)),IFERROR(LARGE($V$923:$V1202,1)+1,0),""))</f>
        <v/>
      </c>
      <c r="W1203" s="23" t="str">
        <f t="shared" si="394"/>
        <v/>
      </c>
      <c r="X1203" s="22" t="str">
        <f t="shared" si="395"/>
        <v/>
      </c>
      <c r="Y1203" s="236"/>
      <c r="Z1203" s="22"/>
      <c r="AA1203" s="22"/>
      <c r="AB1203" s="22" t="str">
        <f t="shared" si="396"/>
        <v/>
      </c>
      <c r="AC1203" s="22" t="str">
        <f t="shared" si="397"/>
        <v/>
      </c>
      <c r="AD1203" s="22" t="str">
        <f t="shared" si="383"/>
        <v/>
      </c>
      <c r="AE1203" s="22" t="str">
        <f t="shared" si="398"/>
        <v/>
      </c>
      <c r="AF1203" s="22" t="str">
        <f t="shared" si="384"/>
        <v/>
      </c>
      <c r="AG1203" s="22" t="str">
        <f t="shared" si="385"/>
        <v/>
      </c>
      <c r="AH1203" s="22" t="str">
        <f t="shared" si="386"/>
        <v/>
      </c>
      <c r="AI1203" s="22" t="str">
        <f t="shared" si="387"/>
        <v/>
      </c>
      <c r="AJ1203" s="304" t="str">
        <f t="shared" si="388"/>
        <v/>
      </c>
      <c r="AK1203" s="140" t="str">
        <f t="shared" si="389"/>
        <v/>
      </c>
    </row>
    <row r="1204" spans="7:37" x14ac:dyDescent="0.25">
      <c r="G1204" s="235" t="str">
        <f t="shared" si="378"/>
        <v/>
      </c>
      <c r="H1204" s="4" t="str">
        <f t="shared" si="377"/>
        <v/>
      </c>
      <c r="I1204" s="11" t="str">
        <f t="shared" si="379"/>
        <v/>
      </c>
      <c r="K1204" s="30">
        <v>282</v>
      </c>
      <c r="L1204" s="29">
        <f t="shared" si="390"/>
        <v>11371.908376190921</v>
      </c>
      <c r="M1204" s="28" t="str">
        <f t="shared" si="380"/>
        <v/>
      </c>
      <c r="N1204" s="27" t="str">
        <f t="shared" si="391"/>
        <v/>
      </c>
      <c r="O1204" s="26" t="str">
        <f>IF(AND($Q1203=$O$38,IFERROR(LARGE($V$923:$V1203,1)&lt;$N$42,TRUE)),1,IF(AND(ISNUMBER($O1203),$O1203&lt;$N$32),$O1203+1,""))</f>
        <v/>
      </c>
      <c r="P1204" s="26" t="str">
        <f t="shared" si="392"/>
        <v/>
      </c>
      <c r="Q1204" s="26" t="str">
        <f t="shared" si="381"/>
        <v/>
      </c>
      <c r="R1204" s="24" t="str">
        <f t="shared" si="393"/>
        <v/>
      </c>
      <c r="S1204" s="180">
        <f t="shared" si="399"/>
        <v>8</v>
      </c>
      <c r="T1204" s="29">
        <f>SUM($AC$923:$AC1204)</f>
        <v>49500</v>
      </c>
      <c r="U1204" s="25" t="str">
        <f t="shared" si="382"/>
        <v/>
      </c>
      <c r="V1204" s="24" t="str">
        <f>IF(AND(ISNUMBER(R1203),ISNUMBER(R1204)),V1203,IF(AND(R1203="",ISNUMBER(R1204)),IFERROR(LARGE($V$923:$V1203,1)+1,0),""))</f>
        <v/>
      </c>
      <c r="W1204" s="23" t="str">
        <f t="shared" si="394"/>
        <v/>
      </c>
      <c r="X1204" s="22" t="str">
        <f t="shared" si="395"/>
        <v/>
      </c>
      <c r="Y1204" s="236"/>
      <c r="Z1204" s="22"/>
      <c r="AA1204" s="22"/>
      <c r="AB1204" s="22" t="str">
        <f t="shared" si="396"/>
        <v/>
      </c>
      <c r="AC1204" s="22" t="str">
        <f t="shared" si="397"/>
        <v/>
      </c>
      <c r="AD1204" s="22" t="str">
        <f t="shared" si="383"/>
        <v/>
      </c>
      <c r="AE1204" s="22" t="str">
        <f t="shared" si="398"/>
        <v/>
      </c>
      <c r="AF1204" s="22" t="str">
        <f t="shared" si="384"/>
        <v/>
      </c>
      <c r="AG1204" s="22" t="str">
        <f t="shared" si="385"/>
        <v/>
      </c>
      <c r="AH1204" s="22" t="str">
        <f t="shared" si="386"/>
        <v/>
      </c>
      <c r="AI1204" s="22" t="str">
        <f t="shared" si="387"/>
        <v/>
      </c>
      <c r="AJ1204" s="304" t="str">
        <f t="shared" si="388"/>
        <v/>
      </c>
      <c r="AK1204" s="140" t="str">
        <f t="shared" si="389"/>
        <v/>
      </c>
    </row>
    <row r="1205" spans="7:37" x14ac:dyDescent="0.25">
      <c r="G1205" s="235" t="str">
        <f t="shared" si="378"/>
        <v/>
      </c>
      <c r="H1205" s="4" t="str">
        <f t="shared" si="377"/>
        <v/>
      </c>
      <c r="I1205" s="11" t="str">
        <f t="shared" si="379"/>
        <v/>
      </c>
      <c r="K1205" s="30">
        <v>283</v>
      </c>
      <c r="L1205" s="29">
        <f t="shared" si="390"/>
        <v>11371.908376190921</v>
      </c>
      <c r="M1205" s="28" t="str">
        <f t="shared" si="380"/>
        <v/>
      </c>
      <c r="N1205" s="27" t="str">
        <f t="shared" si="391"/>
        <v/>
      </c>
      <c r="O1205" s="26" t="str">
        <f>IF(AND($Q1204=$O$38,IFERROR(LARGE($V$923:$V1204,1)&lt;$N$42,TRUE)),1,IF(AND(ISNUMBER($O1204),$O1204&lt;$N$32),$O1204+1,""))</f>
        <v/>
      </c>
      <c r="P1205" s="26" t="str">
        <f t="shared" si="392"/>
        <v/>
      </c>
      <c r="Q1205" s="26" t="str">
        <f t="shared" si="381"/>
        <v/>
      </c>
      <c r="R1205" s="24" t="str">
        <f t="shared" si="393"/>
        <v/>
      </c>
      <c r="S1205" s="180">
        <f t="shared" si="399"/>
        <v>8</v>
      </c>
      <c r="T1205" s="29">
        <f>SUM($AC$923:$AC1205)</f>
        <v>49500</v>
      </c>
      <c r="U1205" s="25" t="str">
        <f t="shared" si="382"/>
        <v/>
      </c>
      <c r="V1205" s="24" t="str">
        <f>IF(AND(ISNUMBER(R1204),ISNUMBER(R1205)),V1204,IF(AND(R1204="",ISNUMBER(R1205)),IFERROR(LARGE($V$923:$V1204,1)+1,0),""))</f>
        <v/>
      </c>
      <c r="W1205" s="23" t="str">
        <f t="shared" si="394"/>
        <v/>
      </c>
      <c r="X1205" s="22" t="str">
        <f t="shared" si="395"/>
        <v/>
      </c>
      <c r="Y1205" s="236"/>
      <c r="Z1205" s="22"/>
      <c r="AA1205" s="22"/>
      <c r="AB1205" s="22" t="str">
        <f t="shared" si="396"/>
        <v/>
      </c>
      <c r="AC1205" s="22" t="str">
        <f t="shared" si="397"/>
        <v/>
      </c>
      <c r="AD1205" s="22" t="str">
        <f t="shared" si="383"/>
        <v/>
      </c>
      <c r="AE1205" s="22" t="str">
        <f t="shared" si="398"/>
        <v/>
      </c>
      <c r="AF1205" s="22" t="str">
        <f t="shared" si="384"/>
        <v/>
      </c>
      <c r="AG1205" s="22" t="str">
        <f t="shared" si="385"/>
        <v/>
      </c>
      <c r="AH1205" s="22" t="str">
        <f t="shared" si="386"/>
        <v/>
      </c>
      <c r="AI1205" s="22" t="str">
        <f t="shared" si="387"/>
        <v/>
      </c>
      <c r="AJ1205" s="304" t="str">
        <f t="shared" si="388"/>
        <v/>
      </c>
      <c r="AK1205" s="140" t="str">
        <f t="shared" si="389"/>
        <v/>
      </c>
    </row>
    <row r="1206" spans="7:37" x14ac:dyDescent="0.25">
      <c r="G1206" s="235" t="str">
        <f t="shared" si="378"/>
        <v/>
      </c>
      <c r="H1206" s="4" t="str">
        <f t="shared" si="377"/>
        <v/>
      </c>
      <c r="I1206" s="11" t="str">
        <f t="shared" si="379"/>
        <v/>
      </c>
      <c r="K1206" s="30">
        <v>284</v>
      </c>
      <c r="L1206" s="29">
        <f t="shared" si="390"/>
        <v>11371.908376190921</v>
      </c>
      <c r="M1206" s="28" t="str">
        <f t="shared" si="380"/>
        <v/>
      </c>
      <c r="N1206" s="27" t="str">
        <f t="shared" si="391"/>
        <v/>
      </c>
      <c r="O1206" s="26" t="str">
        <f>IF(AND($Q1205=$O$38,IFERROR(LARGE($V$923:$V1205,1)&lt;$N$42,TRUE)),1,IF(AND(ISNUMBER($O1205),$O1205&lt;$N$32),$O1205+1,""))</f>
        <v/>
      </c>
      <c r="P1206" s="26" t="str">
        <f t="shared" si="392"/>
        <v/>
      </c>
      <c r="Q1206" s="26" t="str">
        <f t="shared" si="381"/>
        <v/>
      </c>
      <c r="R1206" s="24" t="str">
        <f t="shared" si="393"/>
        <v/>
      </c>
      <c r="S1206" s="180">
        <f t="shared" si="399"/>
        <v>8</v>
      </c>
      <c r="T1206" s="29">
        <f>SUM($AC$923:$AC1206)</f>
        <v>49500</v>
      </c>
      <c r="U1206" s="25" t="str">
        <f t="shared" si="382"/>
        <v/>
      </c>
      <c r="V1206" s="24" t="str">
        <f>IF(AND(ISNUMBER(R1205),ISNUMBER(R1206)),V1205,IF(AND(R1205="",ISNUMBER(R1206)),IFERROR(LARGE($V$923:$V1205,1)+1,0),""))</f>
        <v/>
      </c>
      <c r="W1206" s="23" t="str">
        <f t="shared" si="394"/>
        <v/>
      </c>
      <c r="X1206" s="22" t="str">
        <f t="shared" si="395"/>
        <v/>
      </c>
      <c r="Y1206" s="236"/>
      <c r="Z1206" s="22"/>
      <c r="AA1206" s="22"/>
      <c r="AB1206" s="22" t="str">
        <f t="shared" si="396"/>
        <v/>
      </c>
      <c r="AC1206" s="22" t="str">
        <f t="shared" si="397"/>
        <v/>
      </c>
      <c r="AD1206" s="22" t="str">
        <f t="shared" si="383"/>
        <v/>
      </c>
      <c r="AE1206" s="22" t="str">
        <f t="shared" si="398"/>
        <v/>
      </c>
      <c r="AF1206" s="22" t="str">
        <f t="shared" si="384"/>
        <v/>
      </c>
      <c r="AG1206" s="22" t="str">
        <f t="shared" si="385"/>
        <v/>
      </c>
      <c r="AH1206" s="22" t="str">
        <f t="shared" si="386"/>
        <v/>
      </c>
      <c r="AI1206" s="22" t="str">
        <f t="shared" si="387"/>
        <v/>
      </c>
      <c r="AJ1206" s="304" t="str">
        <f t="shared" si="388"/>
        <v/>
      </c>
      <c r="AK1206" s="140" t="str">
        <f t="shared" si="389"/>
        <v/>
      </c>
    </row>
    <row r="1207" spans="7:37" x14ac:dyDescent="0.25">
      <c r="G1207" s="235" t="str">
        <f t="shared" si="378"/>
        <v/>
      </c>
      <c r="H1207" s="4" t="str">
        <f t="shared" si="377"/>
        <v/>
      </c>
      <c r="I1207" s="11" t="str">
        <f t="shared" si="379"/>
        <v/>
      </c>
      <c r="K1207" s="30">
        <v>285</v>
      </c>
      <c r="L1207" s="29">
        <f t="shared" si="390"/>
        <v>11371.908376190921</v>
      </c>
      <c r="M1207" s="28" t="str">
        <f t="shared" si="380"/>
        <v/>
      </c>
      <c r="N1207" s="27" t="str">
        <f t="shared" si="391"/>
        <v/>
      </c>
      <c r="O1207" s="26" t="str">
        <f>IF(AND($Q1206=$O$38,IFERROR(LARGE($V$923:$V1206,1)&lt;$N$42,TRUE)),1,IF(AND(ISNUMBER($O1206),$O1206&lt;$N$32),$O1206+1,""))</f>
        <v/>
      </c>
      <c r="P1207" s="26" t="str">
        <f t="shared" si="392"/>
        <v/>
      </c>
      <c r="Q1207" s="26" t="str">
        <f t="shared" si="381"/>
        <v/>
      </c>
      <c r="R1207" s="24" t="str">
        <f t="shared" si="393"/>
        <v/>
      </c>
      <c r="S1207" s="180">
        <f t="shared" si="399"/>
        <v>8</v>
      </c>
      <c r="T1207" s="29">
        <f>SUM($AC$923:$AC1207)</f>
        <v>49500</v>
      </c>
      <c r="U1207" s="25" t="str">
        <f t="shared" si="382"/>
        <v/>
      </c>
      <c r="V1207" s="24" t="str">
        <f>IF(AND(ISNUMBER(R1206),ISNUMBER(R1207)),V1206,IF(AND(R1206="",ISNUMBER(R1207)),IFERROR(LARGE($V$923:$V1206,1)+1,0),""))</f>
        <v/>
      </c>
      <c r="W1207" s="23" t="str">
        <f t="shared" si="394"/>
        <v/>
      </c>
      <c r="X1207" s="22" t="str">
        <f t="shared" si="395"/>
        <v/>
      </c>
      <c r="Y1207" s="236"/>
      <c r="Z1207" s="22"/>
      <c r="AA1207" s="22"/>
      <c r="AB1207" s="22" t="str">
        <f t="shared" si="396"/>
        <v/>
      </c>
      <c r="AC1207" s="22" t="str">
        <f t="shared" si="397"/>
        <v/>
      </c>
      <c r="AD1207" s="22" t="str">
        <f t="shared" si="383"/>
        <v/>
      </c>
      <c r="AE1207" s="22" t="str">
        <f t="shared" si="398"/>
        <v/>
      </c>
      <c r="AF1207" s="22" t="str">
        <f t="shared" si="384"/>
        <v/>
      </c>
      <c r="AG1207" s="22" t="str">
        <f t="shared" si="385"/>
        <v/>
      </c>
      <c r="AH1207" s="22" t="str">
        <f t="shared" si="386"/>
        <v/>
      </c>
      <c r="AI1207" s="22" t="str">
        <f t="shared" si="387"/>
        <v/>
      </c>
      <c r="AJ1207" s="304" t="str">
        <f t="shared" si="388"/>
        <v/>
      </c>
      <c r="AK1207" s="140" t="str">
        <f t="shared" si="389"/>
        <v/>
      </c>
    </row>
    <row r="1208" spans="7:37" x14ac:dyDescent="0.25">
      <c r="G1208" s="235" t="str">
        <f t="shared" si="378"/>
        <v/>
      </c>
      <c r="H1208" s="4" t="str">
        <f t="shared" si="377"/>
        <v/>
      </c>
      <c r="I1208" s="11" t="str">
        <f t="shared" si="379"/>
        <v/>
      </c>
      <c r="K1208" s="30">
        <v>286</v>
      </c>
      <c r="L1208" s="29">
        <f t="shared" si="390"/>
        <v>11371.908376190921</v>
      </c>
      <c r="M1208" s="28" t="str">
        <f t="shared" si="380"/>
        <v/>
      </c>
      <c r="N1208" s="27" t="str">
        <f t="shared" si="391"/>
        <v/>
      </c>
      <c r="O1208" s="26" t="str">
        <f>IF(AND($Q1207=$O$38,IFERROR(LARGE($V$923:$V1207,1)&lt;$N$42,TRUE)),1,IF(AND(ISNUMBER($O1207),$O1207&lt;$N$32),$O1207+1,""))</f>
        <v/>
      </c>
      <c r="P1208" s="26" t="str">
        <f t="shared" si="392"/>
        <v/>
      </c>
      <c r="Q1208" s="26" t="str">
        <f t="shared" si="381"/>
        <v/>
      </c>
      <c r="R1208" s="24" t="str">
        <f t="shared" si="393"/>
        <v/>
      </c>
      <c r="S1208" s="180">
        <f t="shared" si="399"/>
        <v>8</v>
      </c>
      <c r="T1208" s="29">
        <f>SUM($AC$923:$AC1208)</f>
        <v>49500</v>
      </c>
      <c r="U1208" s="25" t="str">
        <f t="shared" si="382"/>
        <v/>
      </c>
      <c r="V1208" s="24" t="str">
        <f>IF(AND(ISNUMBER(R1207),ISNUMBER(R1208)),V1207,IF(AND(R1207="",ISNUMBER(R1208)),IFERROR(LARGE($V$923:$V1207,1)+1,0),""))</f>
        <v/>
      </c>
      <c r="W1208" s="23" t="str">
        <f t="shared" si="394"/>
        <v/>
      </c>
      <c r="X1208" s="22" t="str">
        <f t="shared" si="395"/>
        <v/>
      </c>
      <c r="Y1208" s="236"/>
      <c r="Z1208" s="22"/>
      <c r="AA1208" s="22"/>
      <c r="AB1208" s="22" t="str">
        <f t="shared" si="396"/>
        <v/>
      </c>
      <c r="AC1208" s="22" t="str">
        <f t="shared" si="397"/>
        <v/>
      </c>
      <c r="AD1208" s="22" t="str">
        <f t="shared" si="383"/>
        <v/>
      </c>
      <c r="AE1208" s="22" t="str">
        <f t="shared" si="398"/>
        <v/>
      </c>
      <c r="AF1208" s="22" t="str">
        <f t="shared" si="384"/>
        <v/>
      </c>
      <c r="AG1208" s="22" t="str">
        <f t="shared" si="385"/>
        <v/>
      </c>
      <c r="AH1208" s="22" t="str">
        <f t="shared" si="386"/>
        <v/>
      </c>
      <c r="AI1208" s="22" t="str">
        <f t="shared" si="387"/>
        <v/>
      </c>
      <c r="AJ1208" s="304" t="str">
        <f t="shared" si="388"/>
        <v/>
      </c>
      <c r="AK1208" s="140" t="str">
        <f t="shared" si="389"/>
        <v/>
      </c>
    </row>
    <row r="1209" spans="7:37" x14ac:dyDescent="0.25">
      <c r="G1209" s="235" t="str">
        <f t="shared" si="378"/>
        <v/>
      </c>
      <c r="H1209" s="4" t="str">
        <f t="shared" si="377"/>
        <v/>
      </c>
      <c r="I1209" s="11" t="str">
        <f t="shared" si="379"/>
        <v/>
      </c>
      <c r="K1209" s="30">
        <v>287</v>
      </c>
      <c r="L1209" s="29">
        <f t="shared" si="390"/>
        <v>11371.908376190921</v>
      </c>
      <c r="M1209" s="28" t="str">
        <f t="shared" si="380"/>
        <v/>
      </c>
      <c r="N1209" s="27" t="str">
        <f t="shared" si="391"/>
        <v/>
      </c>
      <c r="O1209" s="26" t="str">
        <f>IF(AND($Q1208=$O$38,IFERROR(LARGE($V$923:$V1208,1)&lt;$N$42,TRUE)),1,IF(AND(ISNUMBER($O1208),$O1208&lt;$N$32),$O1208+1,""))</f>
        <v/>
      </c>
      <c r="P1209" s="26" t="str">
        <f t="shared" si="392"/>
        <v/>
      </c>
      <c r="Q1209" s="26" t="str">
        <f t="shared" si="381"/>
        <v/>
      </c>
      <c r="R1209" s="24" t="str">
        <f t="shared" si="393"/>
        <v/>
      </c>
      <c r="S1209" s="180">
        <f t="shared" si="399"/>
        <v>8</v>
      </c>
      <c r="T1209" s="29">
        <f>SUM($AC$923:$AC1209)</f>
        <v>49500</v>
      </c>
      <c r="U1209" s="25" t="str">
        <f t="shared" si="382"/>
        <v/>
      </c>
      <c r="V1209" s="24" t="str">
        <f>IF(AND(ISNUMBER(R1208),ISNUMBER(R1209)),V1208,IF(AND(R1208="",ISNUMBER(R1209)),IFERROR(LARGE($V$923:$V1208,1)+1,0),""))</f>
        <v/>
      </c>
      <c r="W1209" s="23" t="str">
        <f t="shared" si="394"/>
        <v/>
      </c>
      <c r="X1209" s="22" t="str">
        <f t="shared" si="395"/>
        <v/>
      </c>
      <c r="Y1209" s="236"/>
      <c r="Z1209" s="22"/>
      <c r="AA1209" s="22"/>
      <c r="AB1209" s="22" t="str">
        <f t="shared" si="396"/>
        <v/>
      </c>
      <c r="AC1209" s="22" t="str">
        <f t="shared" si="397"/>
        <v/>
      </c>
      <c r="AD1209" s="22" t="str">
        <f t="shared" si="383"/>
        <v/>
      </c>
      <c r="AE1209" s="22" t="str">
        <f t="shared" si="398"/>
        <v/>
      </c>
      <c r="AF1209" s="22" t="str">
        <f t="shared" si="384"/>
        <v/>
      </c>
      <c r="AG1209" s="22" t="str">
        <f t="shared" si="385"/>
        <v/>
      </c>
      <c r="AH1209" s="22" t="str">
        <f t="shared" si="386"/>
        <v/>
      </c>
      <c r="AI1209" s="22" t="str">
        <f t="shared" si="387"/>
        <v/>
      </c>
      <c r="AJ1209" s="304" t="str">
        <f t="shared" si="388"/>
        <v/>
      </c>
      <c r="AK1209" s="140" t="str">
        <f t="shared" si="389"/>
        <v/>
      </c>
    </row>
    <row r="1210" spans="7:37" x14ac:dyDescent="0.25">
      <c r="G1210" s="235" t="str">
        <f t="shared" si="378"/>
        <v/>
      </c>
      <c r="H1210" s="4" t="str">
        <f t="shared" ref="H1210:H1273" si="400">IF(SUM(N1210:R1210)&gt;0,CONCATENATE(IF(LEN(ROUNDDOWN(S1210,0))=1,CONCATENATE("0",ROUNDDOWN(S1210,0)),ROUNDDOWN(S1210,0)),".",IF(LEN(ROUND(MOD(S1210,1)*100,0))=1,CONCATENATE("0",ROUND(MOD(S1210,1)*100,0)),ROUND(MOD(S1210,1)*100,0)),IF(N1210&lt;&gt;"",".N",IF(O1210&lt;&gt;"",".R",IF(P1210&lt;&gt;"",".O",IF(Q1210&lt;&gt;"",".I",IF(R1210&lt;&gt;"",".D","")))))),"")</f>
        <v/>
      </c>
      <c r="I1210" s="11" t="str">
        <f t="shared" si="379"/>
        <v/>
      </c>
      <c r="K1210" s="30">
        <v>288</v>
      </c>
      <c r="L1210" s="29">
        <f t="shared" si="390"/>
        <v>11371.908376190921</v>
      </c>
      <c r="M1210" s="28" t="str">
        <f t="shared" si="380"/>
        <v/>
      </c>
      <c r="N1210" s="27" t="str">
        <f t="shared" si="391"/>
        <v/>
      </c>
      <c r="O1210" s="26" t="str">
        <f>IF(AND($Q1209=$O$38,IFERROR(LARGE($V$923:$V1209,1)&lt;$N$42,TRUE)),1,IF(AND(ISNUMBER($O1209),$O1209&lt;$N$32),$O1209+1,""))</f>
        <v/>
      </c>
      <c r="P1210" s="26" t="str">
        <f t="shared" si="392"/>
        <v/>
      </c>
      <c r="Q1210" s="26" t="str">
        <f t="shared" si="381"/>
        <v/>
      </c>
      <c r="R1210" s="24" t="str">
        <f t="shared" si="393"/>
        <v/>
      </c>
      <c r="S1210" s="180">
        <f t="shared" si="399"/>
        <v>8</v>
      </c>
      <c r="T1210" s="29">
        <f>SUM($AC$923:$AC1210)</f>
        <v>49500</v>
      </c>
      <c r="U1210" s="25" t="str">
        <f t="shared" si="382"/>
        <v/>
      </c>
      <c r="V1210" s="24" t="str">
        <f>IF(AND(ISNUMBER(R1209),ISNUMBER(R1210)),V1209,IF(AND(R1209="",ISNUMBER(R1210)),IFERROR(LARGE($V$923:$V1209,1)+1,0),""))</f>
        <v/>
      </c>
      <c r="W1210" s="23" t="str">
        <f t="shared" si="394"/>
        <v/>
      </c>
      <c r="X1210" s="22" t="str">
        <f t="shared" si="395"/>
        <v/>
      </c>
      <c r="Y1210" s="236"/>
      <c r="Z1210" s="22"/>
      <c r="AA1210" s="22"/>
      <c r="AB1210" s="22" t="str">
        <f t="shared" si="396"/>
        <v/>
      </c>
      <c r="AC1210" s="22" t="str">
        <f t="shared" si="397"/>
        <v/>
      </c>
      <c r="AD1210" s="22" t="str">
        <f t="shared" si="383"/>
        <v/>
      </c>
      <c r="AE1210" s="22" t="str">
        <f t="shared" si="398"/>
        <v/>
      </c>
      <c r="AF1210" s="22" t="str">
        <f t="shared" si="384"/>
        <v/>
      </c>
      <c r="AG1210" s="22" t="str">
        <f t="shared" si="385"/>
        <v/>
      </c>
      <c r="AH1210" s="22" t="str">
        <f t="shared" si="386"/>
        <v/>
      </c>
      <c r="AI1210" s="22" t="str">
        <f t="shared" si="387"/>
        <v/>
      </c>
      <c r="AJ1210" s="304" t="str">
        <f t="shared" si="388"/>
        <v/>
      </c>
      <c r="AK1210" s="140" t="str">
        <f t="shared" si="389"/>
        <v/>
      </c>
    </row>
    <row r="1211" spans="7:37" x14ac:dyDescent="0.25">
      <c r="G1211" s="235" t="str">
        <f t="shared" si="378"/>
        <v/>
      </c>
      <c r="H1211" s="4" t="str">
        <f t="shared" si="400"/>
        <v/>
      </c>
      <c r="I1211" s="11" t="str">
        <f t="shared" si="379"/>
        <v/>
      </c>
      <c r="K1211" s="30">
        <v>289</v>
      </c>
      <c r="L1211" s="29">
        <f t="shared" si="390"/>
        <v>11371.908376190921</v>
      </c>
      <c r="M1211" s="28" t="str">
        <f t="shared" si="380"/>
        <v/>
      </c>
      <c r="N1211" s="27" t="str">
        <f t="shared" si="391"/>
        <v/>
      </c>
      <c r="O1211" s="26" t="str">
        <f>IF(AND($Q1210=$O$38,IFERROR(LARGE($V$923:$V1210,1)&lt;$N$42,TRUE)),1,IF(AND(ISNUMBER($O1210),$O1210&lt;$N$32),$O1210+1,""))</f>
        <v/>
      </c>
      <c r="P1211" s="26" t="str">
        <f t="shared" si="392"/>
        <v/>
      </c>
      <c r="Q1211" s="26" t="str">
        <f t="shared" si="381"/>
        <v/>
      </c>
      <c r="R1211" s="24" t="str">
        <f t="shared" si="393"/>
        <v/>
      </c>
      <c r="S1211" s="180">
        <f t="shared" si="399"/>
        <v>8</v>
      </c>
      <c r="T1211" s="29">
        <f>SUM($AC$923:$AC1211)</f>
        <v>49500</v>
      </c>
      <c r="U1211" s="25" t="str">
        <f t="shared" si="382"/>
        <v/>
      </c>
      <c r="V1211" s="24" t="str">
        <f>IF(AND(ISNUMBER(R1210),ISNUMBER(R1211)),V1210,IF(AND(R1210="",ISNUMBER(R1211)),IFERROR(LARGE($V$923:$V1210,1)+1,0),""))</f>
        <v/>
      </c>
      <c r="W1211" s="23" t="str">
        <f t="shared" si="394"/>
        <v/>
      </c>
      <c r="X1211" s="22" t="str">
        <f t="shared" si="395"/>
        <v/>
      </c>
      <c r="Y1211" s="236"/>
      <c r="Z1211" s="22"/>
      <c r="AA1211" s="22"/>
      <c r="AB1211" s="22" t="str">
        <f t="shared" si="396"/>
        <v/>
      </c>
      <c r="AC1211" s="22" t="str">
        <f t="shared" si="397"/>
        <v/>
      </c>
      <c r="AD1211" s="22" t="str">
        <f t="shared" si="383"/>
        <v/>
      </c>
      <c r="AE1211" s="22" t="str">
        <f t="shared" si="398"/>
        <v/>
      </c>
      <c r="AF1211" s="22" t="str">
        <f t="shared" si="384"/>
        <v/>
      </c>
      <c r="AG1211" s="22" t="str">
        <f t="shared" si="385"/>
        <v/>
      </c>
      <c r="AH1211" s="22" t="str">
        <f t="shared" si="386"/>
        <v/>
      </c>
      <c r="AI1211" s="22" t="str">
        <f t="shared" si="387"/>
        <v/>
      </c>
      <c r="AJ1211" s="304" t="str">
        <f t="shared" si="388"/>
        <v/>
      </c>
      <c r="AK1211" s="140" t="str">
        <f t="shared" si="389"/>
        <v/>
      </c>
    </row>
    <row r="1212" spans="7:37" x14ac:dyDescent="0.25">
      <c r="G1212" s="235" t="str">
        <f t="shared" si="378"/>
        <v/>
      </c>
      <c r="H1212" s="4" t="str">
        <f t="shared" si="400"/>
        <v/>
      </c>
      <c r="I1212" s="11" t="str">
        <f t="shared" si="379"/>
        <v/>
      </c>
      <c r="K1212" s="30">
        <v>290</v>
      </c>
      <c r="L1212" s="29">
        <f t="shared" si="390"/>
        <v>11371.908376190921</v>
      </c>
      <c r="M1212" s="28" t="str">
        <f t="shared" si="380"/>
        <v/>
      </c>
      <c r="N1212" s="27" t="str">
        <f t="shared" si="391"/>
        <v/>
      </c>
      <c r="O1212" s="26" t="str">
        <f>IF(AND($Q1211=$O$38,IFERROR(LARGE($V$923:$V1211,1)&lt;$N$42,TRUE)),1,IF(AND(ISNUMBER($O1211),$O1211&lt;$N$32),$O1211+1,""))</f>
        <v/>
      </c>
      <c r="P1212" s="26" t="str">
        <f t="shared" si="392"/>
        <v/>
      </c>
      <c r="Q1212" s="26" t="str">
        <f t="shared" si="381"/>
        <v/>
      </c>
      <c r="R1212" s="24" t="str">
        <f t="shared" si="393"/>
        <v/>
      </c>
      <c r="S1212" s="180">
        <f t="shared" si="399"/>
        <v>8</v>
      </c>
      <c r="T1212" s="29">
        <f>SUM($AC$923:$AC1212)</f>
        <v>49500</v>
      </c>
      <c r="U1212" s="25" t="str">
        <f t="shared" si="382"/>
        <v/>
      </c>
      <c r="V1212" s="24" t="str">
        <f>IF(AND(ISNUMBER(R1211),ISNUMBER(R1212)),V1211,IF(AND(R1211="",ISNUMBER(R1212)),IFERROR(LARGE($V$923:$V1211,1)+1,0),""))</f>
        <v/>
      </c>
      <c r="W1212" s="23" t="str">
        <f t="shared" si="394"/>
        <v/>
      </c>
      <c r="X1212" s="22" t="str">
        <f t="shared" si="395"/>
        <v/>
      </c>
      <c r="Y1212" s="236"/>
      <c r="Z1212" s="22"/>
      <c r="AA1212" s="22"/>
      <c r="AB1212" s="22" t="str">
        <f t="shared" si="396"/>
        <v/>
      </c>
      <c r="AC1212" s="22" t="str">
        <f t="shared" si="397"/>
        <v/>
      </c>
      <c r="AD1212" s="22" t="str">
        <f t="shared" si="383"/>
        <v/>
      </c>
      <c r="AE1212" s="22" t="str">
        <f t="shared" si="398"/>
        <v/>
      </c>
      <c r="AF1212" s="22" t="str">
        <f t="shared" si="384"/>
        <v/>
      </c>
      <c r="AG1212" s="22" t="str">
        <f t="shared" si="385"/>
        <v/>
      </c>
      <c r="AH1212" s="22" t="str">
        <f t="shared" si="386"/>
        <v/>
      </c>
      <c r="AI1212" s="22" t="str">
        <f t="shared" si="387"/>
        <v/>
      </c>
      <c r="AJ1212" s="304" t="str">
        <f t="shared" si="388"/>
        <v/>
      </c>
      <c r="AK1212" s="140" t="str">
        <f t="shared" si="389"/>
        <v/>
      </c>
    </row>
    <row r="1213" spans="7:37" x14ac:dyDescent="0.25">
      <c r="G1213" s="235" t="str">
        <f t="shared" si="378"/>
        <v/>
      </c>
      <c r="H1213" s="4" t="str">
        <f t="shared" si="400"/>
        <v/>
      </c>
      <c r="I1213" s="11" t="str">
        <f t="shared" si="379"/>
        <v/>
      </c>
      <c r="K1213" s="30">
        <v>291</v>
      </c>
      <c r="L1213" s="29">
        <f t="shared" si="390"/>
        <v>11371.908376190921</v>
      </c>
      <c r="M1213" s="28" t="str">
        <f t="shared" si="380"/>
        <v/>
      </c>
      <c r="N1213" s="27" t="str">
        <f t="shared" si="391"/>
        <v/>
      </c>
      <c r="O1213" s="26" t="str">
        <f>IF(AND($Q1212=$O$38,IFERROR(LARGE($V$923:$V1212,1)&lt;$N$42,TRUE)),1,IF(AND(ISNUMBER($O1212),$O1212&lt;$N$32),$O1212+1,""))</f>
        <v/>
      </c>
      <c r="P1213" s="26" t="str">
        <f t="shared" si="392"/>
        <v/>
      </c>
      <c r="Q1213" s="26" t="str">
        <f t="shared" si="381"/>
        <v/>
      </c>
      <c r="R1213" s="24" t="str">
        <f t="shared" si="393"/>
        <v/>
      </c>
      <c r="S1213" s="180">
        <f t="shared" si="399"/>
        <v>8</v>
      </c>
      <c r="T1213" s="29">
        <f>SUM($AC$923:$AC1213)</f>
        <v>49500</v>
      </c>
      <c r="U1213" s="25" t="str">
        <f t="shared" si="382"/>
        <v/>
      </c>
      <c r="V1213" s="24" t="str">
        <f>IF(AND(ISNUMBER(R1212),ISNUMBER(R1213)),V1212,IF(AND(R1212="",ISNUMBER(R1213)),IFERROR(LARGE($V$923:$V1212,1)+1,0),""))</f>
        <v/>
      </c>
      <c r="W1213" s="23" t="str">
        <f t="shared" si="394"/>
        <v/>
      </c>
      <c r="X1213" s="22" t="str">
        <f t="shared" si="395"/>
        <v/>
      </c>
      <c r="Y1213" s="236"/>
      <c r="Z1213" s="22"/>
      <c r="AA1213" s="22"/>
      <c r="AB1213" s="22" t="str">
        <f t="shared" si="396"/>
        <v/>
      </c>
      <c r="AC1213" s="22" t="str">
        <f t="shared" si="397"/>
        <v/>
      </c>
      <c r="AD1213" s="22" t="str">
        <f t="shared" si="383"/>
        <v/>
      </c>
      <c r="AE1213" s="22" t="str">
        <f t="shared" si="398"/>
        <v/>
      </c>
      <c r="AF1213" s="22" t="str">
        <f t="shared" si="384"/>
        <v/>
      </c>
      <c r="AG1213" s="22" t="str">
        <f t="shared" si="385"/>
        <v/>
      </c>
      <c r="AH1213" s="22" t="str">
        <f t="shared" si="386"/>
        <v/>
      </c>
      <c r="AI1213" s="22" t="str">
        <f t="shared" si="387"/>
        <v/>
      </c>
      <c r="AJ1213" s="304" t="str">
        <f t="shared" si="388"/>
        <v/>
      </c>
      <c r="AK1213" s="140" t="str">
        <f t="shared" si="389"/>
        <v/>
      </c>
    </row>
    <row r="1214" spans="7:37" x14ac:dyDescent="0.25">
      <c r="G1214" s="235" t="str">
        <f t="shared" si="378"/>
        <v/>
      </c>
      <c r="H1214" s="4" t="str">
        <f t="shared" si="400"/>
        <v/>
      </c>
      <c r="I1214" s="11" t="str">
        <f t="shared" si="379"/>
        <v/>
      </c>
      <c r="K1214" s="30">
        <v>292</v>
      </c>
      <c r="L1214" s="29">
        <f t="shared" si="390"/>
        <v>11371.908376190921</v>
      </c>
      <c r="M1214" s="28" t="str">
        <f t="shared" si="380"/>
        <v/>
      </c>
      <c r="N1214" s="27" t="str">
        <f t="shared" si="391"/>
        <v/>
      </c>
      <c r="O1214" s="26" t="str">
        <f>IF(AND($Q1213=$O$38,IFERROR(LARGE($V$923:$V1213,1)&lt;$N$42,TRUE)),1,IF(AND(ISNUMBER($O1213),$O1213&lt;$N$32),$O1213+1,""))</f>
        <v/>
      </c>
      <c r="P1214" s="26" t="str">
        <f t="shared" si="392"/>
        <v/>
      </c>
      <c r="Q1214" s="26" t="str">
        <f t="shared" si="381"/>
        <v/>
      </c>
      <c r="R1214" s="24" t="str">
        <f t="shared" si="393"/>
        <v/>
      </c>
      <c r="S1214" s="180">
        <f t="shared" si="399"/>
        <v>8</v>
      </c>
      <c r="T1214" s="29">
        <f>SUM($AC$923:$AC1214)</f>
        <v>49500</v>
      </c>
      <c r="U1214" s="25" t="str">
        <f t="shared" si="382"/>
        <v/>
      </c>
      <c r="V1214" s="24" t="str">
        <f>IF(AND(ISNUMBER(R1213),ISNUMBER(R1214)),V1213,IF(AND(R1213="",ISNUMBER(R1214)),IFERROR(LARGE($V$923:$V1213,1)+1,0),""))</f>
        <v/>
      </c>
      <c r="W1214" s="23" t="str">
        <f t="shared" si="394"/>
        <v/>
      </c>
      <c r="X1214" s="22" t="str">
        <f t="shared" si="395"/>
        <v/>
      </c>
      <c r="Y1214" s="236"/>
      <c r="Z1214" s="22"/>
      <c r="AA1214" s="22"/>
      <c r="AB1214" s="22" t="str">
        <f t="shared" si="396"/>
        <v/>
      </c>
      <c r="AC1214" s="22" t="str">
        <f t="shared" si="397"/>
        <v/>
      </c>
      <c r="AD1214" s="22" t="str">
        <f t="shared" si="383"/>
        <v/>
      </c>
      <c r="AE1214" s="22" t="str">
        <f t="shared" si="398"/>
        <v/>
      </c>
      <c r="AF1214" s="22" t="str">
        <f t="shared" si="384"/>
        <v/>
      </c>
      <c r="AG1214" s="22" t="str">
        <f t="shared" si="385"/>
        <v/>
      </c>
      <c r="AH1214" s="22" t="str">
        <f t="shared" si="386"/>
        <v/>
      </c>
      <c r="AI1214" s="22" t="str">
        <f t="shared" si="387"/>
        <v/>
      </c>
      <c r="AJ1214" s="304" t="str">
        <f t="shared" si="388"/>
        <v/>
      </c>
      <c r="AK1214" s="140" t="str">
        <f t="shared" si="389"/>
        <v/>
      </c>
    </row>
    <row r="1215" spans="7:37" x14ac:dyDescent="0.25">
      <c r="G1215" s="235" t="str">
        <f t="shared" si="378"/>
        <v/>
      </c>
      <c r="H1215" s="4" t="str">
        <f t="shared" si="400"/>
        <v/>
      </c>
      <c r="I1215" s="11" t="str">
        <f t="shared" si="379"/>
        <v/>
      </c>
      <c r="K1215" s="30">
        <v>293</v>
      </c>
      <c r="L1215" s="29">
        <f t="shared" si="390"/>
        <v>11371.908376190921</v>
      </c>
      <c r="M1215" s="28" t="str">
        <f t="shared" si="380"/>
        <v/>
      </c>
      <c r="N1215" s="27" t="str">
        <f t="shared" si="391"/>
        <v/>
      </c>
      <c r="O1215" s="26" t="str">
        <f>IF(AND($Q1214=$O$38,IFERROR(LARGE($V$923:$V1214,1)&lt;$N$42,TRUE)),1,IF(AND(ISNUMBER($O1214),$O1214&lt;$N$32),$O1214+1,""))</f>
        <v/>
      </c>
      <c r="P1215" s="26" t="str">
        <f t="shared" si="392"/>
        <v/>
      </c>
      <c r="Q1215" s="26" t="str">
        <f t="shared" si="381"/>
        <v/>
      </c>
      <c r="R1215" s="24" t="str">
        <f t="shared" si="393"/>
        <v/>
      </c>
      <c r="S1215" s="180">
        <f t="shared" si="399"/>
        <v>8</v>
      </c>
      <c r="T1215" s="29">
        <f>SUM($AC$923:$AC1215)</f>
        <v>49500</v>
      </c>
      <c r="U1215" s="25" t="str">
        <f t="shared" si="382"/>
        <v/>
      </c>
      <c r="V1215" s="24" t="str">
        <f>IF(AND(ISNUMBER(R1214),ISNUMBER(R1215)),V1214,IF(AND(R1214="",ISNUMBER(R1215)),IFERROR(LARGE($V$923:$V1214,1)+1,0),""))</f>
        <v/>
      </c>
      <c r="W1215" s="23" t="str">
        <f t="shared" si="394"/>
        <v/>
      </c>
      <c r="X1215" s="22" t="str">
        <f t="shared" si="395"/>
        <v/>
      </c>
      <c r="Y1215" s="236"/>
      <c r="Z1215" s="22"/>
      <c r="AA1215" s="22"/>
      <c r="AB1215" s="22" t="str">
        <f t="shared" si="396"/>
        <v/>
      </c>
      <c r="AC1215" s="22" t="str">
        <f t="shared" si="397"/>
        <v/>
      </c>
      <c r="AD1215" s="22" t="str">
        <f t="shared" si="383"/>
        <v/>
      </c>
      <c r="AE1215" s="22" t="str">
        <f t="shared" si="398"/>
        <v/>
      </c>
      <c r="AF1215" s="22" t="str">
        <f t="shared" si="384"/>
        <v/>
      </c>
      <c r="AG1215" s="22" t="str">
        <f t="shared" si="385"/>
        <v/>
      </c>
      <c r="AH1215" s="22" t="str">
        <f t="shared" si="386"/>
        <v/>
      </c>
      <c r="AI1215" s="22" t="str">
        <f t="shared" si="387"/>
        <v/>
      </c>
      <c r="AJ1215" s="304" t="str">
        <f t="shared" si="388"/>
        <v/>
      </c>
      <c r="AK1215" s="140" t="str">
        <f t="shared" si="389"/>
        <v/>
      </c>
    </row>
    <row r="1216" spans="7:37" x14ac:dyDescent="0.25">
      <c r="G1216" s="235" t="str">
        <f t="shared" si="378"/>
        <v/>
      </c>
      <c r="H1216" s="4" t="str">
        <f t="shared" si="400"/>
        <v/>
      </c>
      <c r="I1216" s="11" t="str">
        <f t="shared" si="379"/>
        <v/>
      </c>
      <c r="K1216" s="30">
        <v>294</v>
      </c>
      <c r="L1216" s="29">
        <f t="shared" si="390"/>
        <v>11371.908376190921</v>
      </c>
      <c r="M1216" s="28" t="str">
        <f t="shared" si="380"/>
        <v/>
      </c>
      <c r="N1216" s="27" t="str">
        <f t="shared" si="391"/>
        <v/>
      </c>
      <c r="O1216" s="26" t="str">
        <f>IF(AND($Q1215=$O$38,IFERROR(LARGE($V$923:$V1215,1)&lt;$N$42,TRUE)),1,IF(AND(ISNUMBER($O1215),$O1215&lt;$N$32),$O1215+1,""))</f>
        <v/>
      </c>
      <c r="P1216" s="26" t="str">
        <f t="shared" si="392"/>
        <v/>
      </c>
      <c r="Q1216" s="26" t="str">
        <f t="shared" si="381"/>
        <v/>
      </c>
      <c r="R1216" s="24" t="str">
        <f t="shared" si="393"/>
        <v/>
      </c>
      <c r="S1216" s="180">
        <f t="shared" si="399"/>
        <v>8</v>
      </c>
      <c r="T1216" s="29">
        <f>SUM($AC$923:$AC1216)</f>
        <v>49500</v>
      </c>
      <c r="U1216" s="25" t="str">
        <f t="shared" si="382"/>
        <v/>
      </c>
      <c r="V1216" s="24" t="str">
        <f>IF(AND(ISNUMBER(R1215),ISNUMBER(R1216)),V1215,IF(AND(R1215="",ISNUMBER(R1216)),IFERROR(LARGE($V$923:$V1215,1)+1,0),""))</f>
        <v/>
      </c>
      <c r="W1216" s="23" t="str">
        <f t="shared" si="394"/>
        <v/>
      </c>
      <c r="X1216" s="22" t="str">
        <f t="shared" si="395"/>
        <v/>
      </c>
      <c r="Y1216" s="236"/>
      <c r="Z1216" s="22"/>
      <c r="AA1216" s="22"/>
      <c r="AB1216" s="22" t="str">
        <f t="shared" si="396"/>
        <v/>
      </c>
      <c r="AC1216" s="22" t="str">
        <f t="shared" si="397"/>
        <v/>
      </c>
      <c r="AD1216" s="22" t="str">
        <f t="shared" si="383"/>
        <v/>
      </c>
      <c r="AE1216" s="22" t="str">
        <f t="shared" si="398"/>
        <v/>
      </c>
      <c r="AF1216" s="22" t="str">
        <f t="shared" si="384"/>
        <v/>
      </c>
      <c r="AG1216" s="22" t="str">
        <f t="shared" si="385"/>
        <v/>
      </c>
      <c r="AH1216" s="22" t="str">
        <f t="shared" si="386"/>
        <v/>
      </c>
      <c r="AI1216" s="22" t="str">
        <f t="shared" si="387"/>
        <v/>
      </c>
      <c r="AJ1216" s="304" t="str">
        <f t="shared" si="388"/>
        <v/>
      </c>
      <c r="AK1216" s="140" t="str">
        <f t="shared" si="389"/>
        <v/>
      </c>
    </row>
    <row r="1217" spans="7:37" x14ac:dyDescent="0.25">
      <c r="G1217" s="235" t="str">
        <f t="shared" si="378"/>
        <v/>
      </c>
      <c r="H1217" s="4" t="str">
        <f t="shared" si="400"/>
        <v/>
      </c>
      <c r="I1217" s="11" t="str">
        <f t="shared" si="379"/>
        <v/>
      </c>
      <c r="K1217" s="30">
        <v>295</v>
      </c>
      <c r="L1217" s="29">
        <f t="shared" si="390"/>
        <v>11371.908376190921</v>
      </c>
      <c r="M1217" s="28" t="str">
        <f t="shared" si="380"/>
        <v/>
      </c>
      <c r="N1217" s="27" t="str">
        <f t="shared" si="391"/>
        <v/>
      </c>
      <c r="O1217" s="26" t="str">
        <f>IF(AND($Q1216=$O$38,IFERROR(LARGE($V$923:$V1216,1)&lt;$N$42,TRUE)),1,IF(AND(ISNUMBER($O1216),$O1216&lt;$N$32),$O1216+1,""))</f>
        <v/>
      </c>
      <c r="P1217" s="26" t="str">
        <f t="shared" si="392"/>
        <v/>
      </c>
      <c r="Q1217" s="26" t="str">
        <f t="shared" si="381"/>
        <v/>
      </c>
      <c r="R1217" s="24" t="str">
        <f t="shared" si="393"/>
        <v/>
      </c>
      <c r="S1217" s="180">
        <f t="shared" si="399"/>
        <v>8</v>
      </c>
      <c r="T1217" s="29">
        <f>SUM($AC$923:$AC1217)</f>
        <v>49500</v>
      </c>
      <c r="U1217" s="25" t="str">
        <f t="shared" si="382"/>
        <v/>
      </c>
      <c r="V1217" s="24" t="str">
        <f>IF(AND(ISNUMBER(R1216),ISNUMBER(R1217)),V1216,IF(AND(R1216="",ISNUMBER(R1217)),IFERROR(LARGE($V$923:$V1216,1)+1,0),""))</f>
        <v/>
      </c>
      <c r="W1217" s="23" t="str">
        <f t="shared" si="394"/>
        <v/>
      </c>
      <c r="X1217" s="22" t="str">
        <f t="shared" si="395"/>
        <v/>
      </c>
      <c r="Y1217" s="236"/>
      <c r="Z1217" s="22"/>
      <c r="AA1217" s="22"/>
      <c r="AB1217" s="22" t="str">
        <f t="shared" si="396"/>
        <v/>
      </c>
      <c r="AC1217" s="22" t="str">
        <f t="shared" si="397"/>
        <v/>
      </c>
      <c r="AD1217" s="22" t="str">
        <f t="shared" si="383"/>
        <v/>
      </c>
      <c r="AE1217" s="22" t="str">
        <f t="shared" si="398"/>
        <v/>
      </c>
      <c r="AF1217" s="22" t="str">
        <f t="shared" si="384"/>
        <v/>
      </c>
      <c r="AG1217" s="22" t="str">
        <f t="shared" si="385"/>
        <v/>
      </c>
      <c r="AH1217" s="22" t="str">
        <f t="shared" si="386"/>
        <v/>
      </c>
      <c r="AI1217" s="22" t="str">
        <f t="shared" si="387"/>
        <v/>
      </c>
      <c r="AJ1217" s="304" t="str">
        <f t="shared" si="388"/>
        <v/>
      </c>
      <c r="AK1217" s="140" t="str">
        <f t="shared" si="389"/>
        <v/>
      </c>
    </row>
    <row r="1218" spans="7:37" x14ac:dyDescent="0.25">
      <c r="G1218" s="235" t="str">
        <f t="shared" si="378"/>
        <v/>
      </c>
      <c r="H1218" s="4" t="str">
        <f t="shared" si="400"/>
        <v/>
      </c>
      <c r="I1218" s="11" t="str">
        <f t="shared" si="379"/>
        <v/>
      </c>
      <c r="K1218" s="30">
        <v>296</v>
      </c>
      <c r="L1218" s="29">
        <f t="shared" si="390"/>
        <v>11371.908376190921</v>
      </c>
      <c r="M1218" s="28" t="str">
        <f t="shared" si="380"/>
        <v/>
      </c>
      <c r="N1218" s="27" t="str">
        <f t="shared" si="391"/>
        <v/>
      </c>
      <c r="O1218" s="26" t="str">
        <f>IF(AND($Q1217=$O$38,IFERROR(LARGE($V$923:$V1217,1)&lt;$N$42,TRUE)),1,IF(AND(ISNUMBER($O1217),$O1217&lt;$N$32),$O1217+1,""))</f>
        <v/>
      </c>
      <c r="P1218" s="26" t="str">
        <f t="shared" si="392"/>
        <v/>
      </c>
      <c r="Q1218" s="26" t="str">
        <f t="shared" si="381"/>
        <v/>
      </c>
      <c r="R1218" s="24" t="str">
        <f t="shared" si="393"/>
        <v/>
      </c>
      <c r="S1218" s="180">
        <f t="shared" si="399"/>
        <v>8</v>
      </c>
      <c r="T1218" s="29">
        <f>SUM($AC$923:$AC1218)</f>
        <v>49500</v>
      </c>
      <c r="U1218" s="25" t="str">
        <f t="shared" si="382"/>
        <v/>
      </c>
      <c r="V1218" s="24" t="str">
        <f>IF(AND(ISNUMBER(R1217),ISNUMBER(R1218)),V1217,IF(AND(R1217="",ISNUMBER(R1218)),IFERROR(LARGE($V$923:$V1217,1)+1,0),""))</f>
        <v/>
      </c>
      <c r="W1218" s="23" t="str">
        <f t="shared" si="394"/>
        <v/>
      </c>
      <c r="X1218" s="22" t="str">
        <f t="shared" si="395"/>
        <v/>
      </c>
      <c r="Y1218" s="236"/>
      <c r="Z1218" s="22"/>
      <c r="AA1218" s="22"/>
      <c r="AB1218" s="22" t="str">
        <f t="shared" si="396"/>
        <v/>
      </c>
      <c r="AC1218" s="22" t="str">
        <f t="shared" si="397"/>
        <v/>
      </c>
      <c r="AD1218" s="22" t="str">
        <f t="shared" si="383"/>
        <v/>
      </c>
      <c r="AE1218" s="22" t="str">
        <f t="shared" si="398"/>
        <v/>
      </c>
      <c r="AF1218" s="22" t="str">
        <f t="shared" si="384"/>
        <v/>
      </c>
      <c r="AG1218" s="22" t="str">
        <f t="shared" si="385"/>
        <v/>
      </c>
      <c r="AH1218" s="22" t="str">
        <f t="shared" si="386"/>
        <v/>
      </c>
      <c r="AI1218" s="22" t="str">
        <f t="shared" si="387"/>
        <v/>
      </c>
      <c r="AJ1218" s="304" t="str">
        <f t="shared" si="388"/>
        <v/>
      </c>
      <c r="AK1218" s="140" t="str">
        <f t="shared" si="389"/>
        <v/>
      </c>
    </row>
    <row r="1219" spans="7:37" x14ac:dyDescent="0.25">
      <c r="G1219" s="235" t="str">
        <f t="shared" si="378"/>
        <v/>
      </c>
      <c r="H1219" s="4" t="str">
        <f t="shared" si="400"/>
        <v/>
      </c>
      <c r="I1219" s="11" t="str">
        <f t="shared" si="379"/>
        <v/>
      </c>
      <c r="K1219" s="30">
        <v>297</v>
      </c>
      <c r="L1219" s="29">
        <f t="shared" si="390"/>
        <v>11371.908376190921</v>
      </c>
      <c r="M1219" s="28" t="str">
        <f t="shared" si="380"/>
        <v/>
      </c>
      <c r="N1219" s="27" t="str">
        <f t="shared" si="391"/>
        <v/>
      </c>
      <c r="O1219" s="26" t="str">
        <f>IF(AND($Q1218=$O$38,IFERROR(LARGE($V$923:$V1218,1)&lt;$N$42,TRUE)),1,IF(AND(ISNUMBER($O1218),$O1218&lt;$N$32),$O1218+1,""))</f>
        <v/>
      </c>
      <c r="P1219" s="26" t="str">
        <f t="shared" si="392"/>
        <v/>
      </c>
      <c r="Q1219" s="26" t="str">
        <f t="shared" si="381"/>
        <v/>
      </c>
      <c r="R1219" s="24" t="str">
        <f t="shared" si="393"/>
        <v/>
      </c>
      <c r="S1219" s="180">
        <f t="shared" si="399"/>
        <v>8</v>
      </c>
      <c r="T1219" s="29">
        <f>SUM($AC$923:$AC1219)</f>
        <v>49500</v>
      </c>
      <c r="U1219" s="25" t="str">
        <f t="shared" si="382"/>
        <v/>
      </c>
      <c r="V1219" s="24" t="str">
        <f>IF(AND(ISNUMBER(R1218),ISNUMBER(R1219)),V1218,IF(AND(R1218="",ISNUMBER(R1219)),IFERROR(LARGE($V$923:$V1218,1)+1,0),""))</f>
        <v/>
      </c>
      <c r="W1219" s="23" t="str">
        <f t="shared" si="394"/>
        <v/>
      </c>
      <c r="X1219" s="22" t="str">
        <f t="shared" si="395"/>
        <v/>
      </c>
      <c r="Y1219" s="236"/>
      <c r="Z1219" s="22"/>
      <c r="AA1219" s="22"/>
      <c r="AB1219" s="22" t="str">
        <f t="shared" si="396"/>
        <v/>
      </c>
      <c r="AC1219" s="22" t="str">
        <f t="shared" si="397"/>
        <v/>
      </c>
      <c r="AD1219" s="22" t="str">
        <f t="shared" si="383"/>
        <v/>
      </c>
      <c r="AE1219" s="22" t="str">
        <f t="shared" si="398"/>
        <v/>
      </c>
      <c r="AF1219" s="22" t="str">
        <f t="shared" si="384"/>
        <v/>
      </c>
      <c r="AG1219" s="22" t="str">
        <f t="shared" si="385"/>
        <v/>
      </c>
      <c r="AH1219" s="22" t="str">
        <f t="shared" si="386"/>
        <v/>
      </c>
      <c r="AI1219" s="22" t="str">
        <f t="shared" si="387"/>
        <v/>
      </c>
      <c r="AJ1219" s="304" t="str">
        <f t="shared" si="388"/>
        <v/>
      </c>
      <c r="AK1219" s="140" t="str">
        <f t="shared" si="389"/>
        <v/>
      </c>
    </row>
    <row r="1220" spans="7:37" x14ac:dyDescent="0.25">
      <c r="G1220" s="235" t="str">
        <f t="shared" si="378"/>
        <v/>
      </c>
      <c r="H1220" s="4" t="str">
        <f t="shared" si="400"/>
        <v/>
      </c>
      <c r="I1220" s="11" t="str">
        <f t="shared" si="379"/>
        <v/>
      </c>
      <c r="K1220" s="30">
        <v>298</v>
      </c>
      <c r="L1220" s="29">
        <f t="shared" si="390"/>
        <v>11371.908376190921</v>
      </c>
      <c r="M1220" s="28" t="str">
        <f t="shared" si="380"/>
        <v/>
      </c>
      <c r="N1220" s="27" t="str">
        <f t="shared" si="391"/>
        <v/>
      </c>
      <c r="O1220" s="26" t="str">
        <f>IF(AND($Q1219=$O$38,IFERROR(LARGE($V$923:$V1219,1)&lt;$N$42,TRUE)),1,IF(AND(ISNUMBER($O1219),$O1219&lt;$N$32),$O1219+1,""))</f>
        <v/>
      </c>
      <c r="P1220" s="26" t="str">
        <f t="shared" si="392"/>
        <v/>
      </c>
      <c r="Q1220" s="26" t="str">
        <f t="shared" si="381"/>
        <v/>
      </c>
      <c r="R1220" s="24" t="str">
        <f t="shared" si="393"/>
        <v/>
      </c>
      <c r="S1220" s="180">
        <f t="shared" si="399"/>
        <v>8</v>
      </c>
      <c r="T1220" s="29">
        <f>SUM($AC$923:$AC1220)</f>
        <v>49500</v>
      </c>
      <c r="U1220" s="25" t="str">
        <f t="shared" si="382"/>
        <v/>
      </c>
      <c r="V1220" s="24" t="str">
        <f>IF(AND(ISNUMBER(R1219),ISNUMBER(R1220)),V1219,IF(AND(R1219="",ISNUMBER(R1220)),IFERROR(LARGE($V$923:$V1219,1)+1,0),""))</f>
        <v/>
      </c>
      <c r="W1220" s="23" t="str">
        <f t="shared" si="394"/>
        <v/>
      </c>
      <c r="X1220" s="22" t="str">
        <f t="shared" si="395"/>
        <v/>
      </c>
      <c r="Y1220" s="236"/>
      <c r="Z1220" s="22"/>
      <c r="AA1220" s="22"/>
      <c r="AB1220" s="22" t="str">
        <f t="shared" si="396"/>
        <v/>
      </c>
      <c r="AC1220" s="22" t="str">
        <f t="shared" si="397"/>
        <v/>
      </c>
      <c r="AD1220" s="22" t="str">
        <f t="shared" si="383"/>
        <v/>
      </c>
      <c r="AE1220" s="22" t="str">
        <f t="shared" si="398"/>
        <v/>
      </c>
      <c r="AF1220" s="22" t="str">
        <f t="shared" si="384"/>
        <v/>
      </c>
      <c r="AG1220" s="22" t="str">
        <f t="shared" si="385"/>
        <v/>
      </c>
      <c r="AH1220" s="22" t="str">
        <f t="shared" si="386"/>
        <v/>
      </c>
      <c r="AI1220" s="22" t="str">
        <f t="shared" si="387"/>
        <v/>
      </c>
      <c r="AJ1220" s="304" t="str">
        <f t="shared" si="388"/>
        <v/>
      </c>
      <c r="AK1220" s="140" t="str">
        <f t="shared" si="389"/>
        <v/>
      </c>
    </row>
    <row r="1221" spans="7:37" x14ac:dyDescent="0.25">
      <c r="G1221" s="235" t="str">
        <f t="shared" si="378"/>
        <v/>
      </c>
      <c r="H1221" s="4" t="str">
        <f t="shared" si="400"/>
        <v/>
      </c>
      <c r="I1221" s="11" t="str">
        <f t="shared" si="379"/>
        <v/>
      </c>
      <c r="K1221" s="30">
        <v>299</v>
      </c>
      <c r="L1221" s="29">
        <f t="shared" si="390"/>
        <v>11371.908376190921</v>
      </c>
      <c r="M1221" s="28" t="str">
        <f t="shared" si="380"/>
        <v/>
      </c>
      <c r="N1221" s="27" t="str">
        <f t="shared" si="391"/>
        <v/>
      </c>
      <c r="O1221" s="26" t="str">
        <f>IF(AND($Q1220=$O$38,IFERROR(LARGE($V$923:$V1220,1)&lt;$N$42,TRUE)),1,IF(AND(ISNUMBER($O1220),$O1220&lt;$N$32),$O1220+1,""))</f>
        <v/>
      </c>
      <c r="P1221" s="26" t="str">
        <f t="shared" si="392"/>
        <v/>
      </c>
      <c r="Q1221" s="26" t="str">
        <f t="shared" si="381"/>
        <v/>
      </c>
      <c r="R1221" s="24" t="str">
        <f t="shared" si="393"/>
        <v/>
      </c>
      <c r="S1221" s="180">
        <f t="shared" si="399"/>
        <v>8</v>
      </c>
      <c r="T1221" s="29">
        <f>SUM($AC$923:$AC1221)</f>
        <v>49500</v>
      </c>
      <c r="U1221" s="25" t="str">
        <f t="shared" si="382"/>
        <v/>
      </c>
      <c r="V1221" s="24" t="str">
        <f>IF(AND(ISNUMBER(R1220),ISNUMBER(R1221)),V1220,IF(AND(R1220="",ISNUMBER(R1221)),IFERROR(LARGE($V$923:$V1220,1)+1,0),""))</f>
        <v/>
      </c>
      <c r="W1221" s="23" t="str">
        <f t="shared" si="394"/>
        <v/>
      </c>
      <c r="X1221" s="22" t="str">
        <f t="shared" si="395"/>
        <v/>
      </c>
      <c r="Y1221" s="236"/>
      <c r="Z1221" s="22"/>
      <c r="AA1221" s="22"/>
      <c r="AB1221" s="22" t="str">
        <f t="shared" si="396"/>
        <v/>
      </c>
      <c r="AC1221" s="22" t="str">
        <f t="shared" si="397"/>
        <v/>
      </c>
      <c r="AD1221" s="22" t="str">
        <f t="shared" si="383"/>
        <v/>
      </c>
      <c r="AE1221" s="22" t="str">
        <f t="shared" si="398"/>
        <v/>
      </c>
      <c r="AF1221" s="22" t="str">
        <f t="shared" si="384"/>
        <v/>
      </c>
      <c r="AG1221" s="22" t="str">
        <f t="shared" si="385"/>
        <v/>
      </c>
      <c r="AH1221" s="22" t="str">
        <f t="shared" si="386"/>
        <v/>
      </c>
      <c r="AI1221" s="22" t="str">
        <f t="shared" si="387"/>
        <v/>
      </c>
      <c r="AJ1221" s="304" t="str">
        <f t="shared" si="388"/>
        <v/>
      </c>
      <c r="AK1221" s="140" t="str">
        <f t="shared" si="389"/>
        <v/>
      </c>
    </row>
    <row r="1222" spans="7:37" x14ac:dyDescent="0.25">
      <c r="G1222" s="235" t="str">
        <f t="shared" si="378"/>
        <v/>
      </c>
      <c r="H1222" s="4" t="str">
        <f t="shared" si="400"/>
        <v/>
      </c>
      <c r="I1222" s="11" t="str">
        <f t="shared" si="379"/>
        <v/>
      </c>
      <c r="K1222" s="30">
        <v>300</v>
      </c>
      <c r="L1222" s="29">
        <f t="shared" si="390"/>
        <v>11371.908376190921</v>
      </c>
      <c r="M1222" s="28" t="str">
        <f t="shared" si="380"/>
        <v/>
      </c>
      <c r="N1222" s="27" t="str">
        <f t="shared" si="391"/>
        <v/>
      </c>
      <c r="O1222" s="26" t="str">
        <f>IF(AND($Q1221=$O$38,IFERROR(LARGE($V$923:$V1221,1)&lt;$N$42,TRUE)),1,IF(AND(ISNUMBER($O1221),$O1221&lt;$N$32),$O1221+1,""))</f>
        <v/>
      </c>
      <c r="P1222" s="26" t="str">
        <f t="shared" si="392"/>
        <v/>
      </c>
      <c r="Q1222" s="26" t="str">
        <f t="shared" si="381"/>
        <v/>
      </c>
      <c r="R1222" s="24" t="str">
        <f t="shared" si="393"/>
        <v/>
      </c>
      <c r="S1222" s="180">
        <f t="shared" si="399"/>
        <v>8</v>
      </c>
      <c r="T1222" s="29">
        <f>SUM($AC$923:$AC1222)</f>
        <v>49500</v>
      </c>
      <c r="U1222" s="25" t="str">
        <f t="shared" si="382"/>
        <v/>
      </c>
      <c r="V1222" s="24" t="str">
        <f>IF(AND(ISNUMBER(R1221),ISNUMBER(R1222)),V1221,IF(AND(R1221="",ISNUMBER(R1222)),IFERROR(LARGE($V$923:$V1221,1)+1,0),""))</f>
        <v/>
      </c>
      <c r="W1222" s="23" t="str">
        <f t="shared" si="394"/>
        <v/>
      </c>
      <c r="X1222" s="22" t="str">
        <f t="shared" si="395"/>
        <v/>
      </c>
      <c r="Y1222" s="236"/>
      <c r="Z1222" s="22"/>
      <c r="AA1222" s="22"/>
      <c r="AB1222" s="22" t="str">
        <f t="shared" si="396"/>
        <v/>
      </c>
      <c r="AC1222" s="22" t="str">
        <f t="shared" si="397"/>
        <v/>
      </c>
      <c r="AD1222" s="22" t="str">
        <f t="shared" si="383"/>
        <v/>
      </c>
      <c r="AE1222" s="22" t="str">
        <f t="shared" si="398"/>
        <v/>
      </c>
      <c r="AF1222" s="22" t="str">
        <f t="shared" si="384"/>
        <v/>
      </c>
      <c r="AG1222" s="22" t="str">
        <f t="shared" si="385"/>
        <v/>
      </c>
      <c r="AH1222" s="22" t="str">
        <f t="shared" si="386"/>
        <v/>
      </c>
      <c r="AI1222" s="22" t="str">
        <f t="shared" si="387"/>
        <v/>
      </c>
      <c r="AJ1222" s="304" t="str">
        <f t="shared" si="388"/>
        <v/>
      </c>
      <c r="AK1222" s="140" t="str">
        <f t="shared" si="389"/>
        <v/>
      </c>
    </row>
    <row r="1223" spans="7:37" x14ac:dyDescent="0.25">
      <c r="G1223" s="235" t="str">
        <f t="shared" si="378"/>
        <v/>
      </c>
      <c r="H1223" s="4" t="str">
        <f t="shared" si="400"/>
        <v/>
      </c>
      <c r="I1223" s="11" t="str">
        <f t="shared" si="379"/>
        <v/>
      </c>
      <c r="K1223" s="30">
        <v>301</v>
      </c>
      <c r="L1223" s="29">
        <f t="shared" si="390"/>
        <v>11371.908376190921</v>
      </c>
      <c r="M1223" s="28" t="str">
        <f t="shared" si="380"/>
        <v/>
      </c>
      <c r="N1223" s="27" t="str">
        <f t="shared" si="391"/>
        <v/>
      </c>
      <c r="O1223" s="26" t="str">
        <f>IF(AND($Q1222=$O$38,IFERROR(LARGE($V$923:$V1222,1)&lt;$N$42,TRUE)),1,IF(AND(ISNUMBER($O1222),$O1222&lt;$N$32),$O1222+1,""))</f>
        <v/>
      </c>
      <c r="P1223" s="26" t="str">
        <f t="shared" si="392"/>
        <v/>
      </c>
      <c r="Q1223" s="26" t="str">
        <f t="shared" si="381"/>
        <v/>
      </c>
      <c r="R1223" s="24" t="str">
        <f t="shared" si="393"/>
        <v/>
      </c>
      <c r="S1223" s="180">
        <f t="shared" si="399"/>
        <v>8</v>
      </c>
      <c r="T1223" s="29">
        <f>SUM($AC$923:$AC1223)</f>
        <v>49500</v>
      </c>
      <c r="U1223" s="25" t="str">
        <f t="shared" si="382"/>
        <v/>
      </c>
      <c r="V1223" s="24" t="str">
        <f>IF(AND(ISNUMBER(R1222),ISNUMBER(R1223)),V1222,IF(AND(R1222="",ISNUMBER(R1223)),IFERROR(LARGE($V$923:$V1222,1)+1,0),""))</f>
        <v/>
      </c>
      <c r="W1223" s="23" t="str">
        <f t="shared" si="394"/>
        <v/>
      </c>
      <c r="X1223" s="22" t="str">
        <f t="shared" si="395"/>
        <v/>
      </c>
      <c r="Y1223" s="236"/>
      <c r="Z1223" s="22"/>
      <c r="AA1223" s="22"/>
      <c r="AB1223" s="22" t="str">
        <f t="shared" si="396"/>
        <v/>
      </c>
      <c r="AC1223" s="22" t="str">
        <f t="shared" si="397"/>
        <v/>
      </c>
      <c r="AD1223" s="22" t="str">
        <f t="shared" si="383"/>
        <v/>
      </c>
      <c r="AE1223" s="22" t="str">
        <f t="shared" si="398"/>
        <v/>
      </c>
      <c r="AF1223" s="22" t="str">
        <f t="shared" si="384"/>
        <v/>
      </c>
      <c r="AG1223" s="22" t="str">
        <f t="shared" si="385"/>
        <v/>
      </c>
      <c r="AH1223" s="22" t="str">
        <f t="shared" si="386"/>
        <v/>
      </c>
      <c r="AI1223" s="22" t="str">
        <f t="shared" si="387"/>
        <v/>
      </c>
      <c r="AJ1223" s="304" t="str">
        <f t="shared" si="388"/>
        <v/>
      </c>
      <c r="AK1223" s="140" t="str">
        <f t="shared" si="389"/>
        <v/>
      </c>
    </row>
    <row r="1224" spans="7:37" x14ac:dyDescent="0.25">
      <c r="G1224" s="235" t="str">
        <f t="shared" si="378"/>
        <v/>
      </c>
      <c r="H1224" s="4" t="str">
        <f t="shared" si="400"/>
        <v/>
      </c>
      <c r="I1224" s="11" t="str">
        <f t="shared" si="379"/>
        <v/>
      </c>
      <c r="K1224" s="30">
        <v>302</v>
      </c>
      <c r="L1224" s="29">
        <f t="shared" si="390"/>
        <v>11371.908376190921</v>
      </c>
      <c r="M1224" s="28" t="str">
        <f t="shared" si="380"/>
        <v/>
      </c>
      <c r="N1224" s="27" t="str">
        <f t="shared" si="391"/>
        <v/>
      </c>
      <c r="O1224" s="26" t="str">
        <f>IF(AND($Q1223=$O$38,IFERROR(LARGE($V$923:$V1223,1)&lt;$N$42,TRUE)),1,IF(AND(ISNUMBER($O1223),$O1223&lt;$N$32),$O1223+1,""))</f>
        <v/>
      </c>
      <c r="P1224" s="26" t="str">
        <f t="shared" si="392"/>
        <v/>
      </c>
      <c r="Q1224" s="26" t="str">
        <f t="shared" si="381"/>
        <v/>
      </c>
      <c r="R1224" s="24" t="str">
        <f t="shared" si="393"/>
        <v/>
      </c>
      <c r="S1224" s="180">
        <f t="shared" si="399"/>
        <v>8</v>
      </c>
      <c r="T1224" s="29">
        <f>SUM($AC$923:$AC1224)</f>
        <v>49500</v>
      </c>
      <c r="U1224" s="25" t="str">
        <f t="shared" si="382"/>
        <v/>
      </c>
      <c r="V1224" s="24" t="str">
        <f>IF(AND(ISNUMBER(R1223),ISNUMBER(R1224)),V1223,IF(AND(R1223="",ISNUMBER(R1224)),IFERROR(LARGE($V$923:$V1223,1)+1,0),""))</f>
        <v/>
      </c>
      <c r="W1224" s="23" t="str">
        <f t="shared" si="394"/>
        <v/>
      </c>
      <c r="X1224" s="22" t="str">
        <f t="shared" si="395"/>
        <v/>
      </c>
      <c r="Y1224" s="236"/>
      <c r="Z1224" s="22"/>
      <c r="AA1224" s="22"/>
      <c r="AB1224" s="22" t="str">
        <f t="shared" si="396"/>
        <v/>
      </c>
      <c r="AC1224" s="22" t="str">
        <f t="shared" si="397"/>
        <v/>
      </c>
      <c r="AD1224" s="22" t="str">
        <f t="shared" si="383"/>
        <v/>
      </c>
      <c r="AE1224" s="22" t="str">
        <f t="shared" si="398"/>
        <v/>
      </c>
      <c r="AF1224" s="22" t="str">
        <f t="shared" si="384"/>
        <v/>
      </c>
      <c r="AG1224" s="22" t="str">
        <f t="shared" si="385"/>
        <v/>
      </c>
      <c r="AH1224" s="22" t="str">
        <f t="shared" si="386"/>
        <v/>
      </c>
      <c r="AI1224" s="22" t="str">
        <f t="shared" si="387"/>
        <v/>
      </c>
      <c r="AJ1224" s="304" t="str">
        <f t="shared" si="388"/>
        <v/>
      </c>
      <c r="AK1224" s="140" t="str">
        <f t="shared" si="389"/>
        <v/>
      </c>
    </row>
    <row r="1225" spans="7:37" x14ac:dyDescent="0.25">
      <c r="G1225" s="235" t="str">
        <f t="shared" si="378"/>
        <v/>
      </c>
      <c r="H1225" s="4" t="str">
        <f t="shared" si="400"/>
        <v/>
      </c>
      <c r="I1225" s="11" t="str">
        <f t="shared" si="379"/>
        <v/>
      </c>
      <c r="K1225" s="30">
        <v>303</v>
      </c>
      <c r="L1225" s="29">
        <f t="shared" si="390"/>
        <v>11371.908376190921</v>
      </c>
      <c r="M1225" s="28" t="str">
        <f t="shared" si="380"/>
        <v/>
      </c>
      <c r="N1225" s="27" t="str">
        <f t="shared" si="391"/>
        <v/>
      </c>
      <c r="O1225" s="26" t="str">
        <f>IF(AND($Q1224=$O$38,IFERROR(LARGE($V$923:$V1224,1)&lt;$N$42,TRUE)),1,IF(AND(ISNUMBER($O1224),$O1224&lt;$N$32),$O1224+1,""))</f>
        <v/>
      </c>
      <c r="P1225" s="26" t="str">
        <f t="shared" si="392"/>
        <v/>
      </c>
      <c r="Q1225" s="26" t="str">
        <f t="shared" si="381"/>
        <v/>
      </c>
      <c r="R1225" s="24" t="str">
        <f t="shared" si="393"/>
        <v/>
      </c>
      <c r="S1225" s="180">
        <f t="shared" si="399"/>
        <v>8</v>
      </c>
      <c r="T1225" s="29">
        <f>SUM($AC$923:$AC1225)</f>
        <v>49500</v>
      </c>
      <c r="U1225" s="25" t="str">
        <f t="shared" si="382"/>
        <v/>
      </c>
      <c r="V1225" s="24" t="str">
        <f>IF(AND(ISNUMBER(R1224),ISNUMBER(R1225)),V1224,IF(AND(R1224="",ISNUMBER(R1225)),IFERROR(LARGE($V$923:$V1224,1)+1,0),""))</f>
        <v/>
      </c>
      <c r="W1225" s="23" t="str">
        <f t="shared" si="394"/>
        <v/>
      </c>
      <c r="X1225" s="22" t="str">
        <f t="shared" si="395"/>
        <v/>
      </c>
      <c r="Y1225" s="236"/>
      <c r="Z1225" s="22"/>
      <c r="AA1225" s="22"/>
      <c r="AB1225" s="22" t="str">
        <f t="shared" si="396"/>
        <v/>
      </c>
      <c r="AC1225" s="22" t="str">
        <f t="shared" si="397"/>
        <v/>
      </c>
      <c r="AD1225" s="22" t="str">
        <f t="shared" si="383"/>
        <v/>
      </c>
      <c r="AE1225" s="22" t="str">
        <f t="shared" si="398"/>
        <v/>
      </c>
      <c r="AF1225" s="22" t="str">
        <f t="shared" si="384"/>
        <v/>
      </c>
      <c r="AG1225" s="22" t="str">
        <f t="shared" si="385"/>
        <v/>
      </c>
      <c r="AH1225" s="22" t="str">
        <f t="shared" si="386"/>
        <v/>
      </c>
      <c r="AI1225" s="22" t="str">
        <f t="shared" si="387"/>
        <v/>
      </c>
      <c r="AJ1225" s="304" t="str">
        <f t="shared" si="388"/>
        <v/>
      </c>
      <c r="AK1225" s="140" t="str">
        <f t="shared" si="389"/>
        <v/>
      </c>
    </row>
    <row r="1226" spans="7:37" x14ac:dyDescent="0.25">
      <c r="G1226" s="235" t="str">
        <f t="shared" si="378"/>
        <v/>
      </c>
      <c r="H1226" s="4" t="str">
        <f t="shared" si="400"/>
        <v/>
      </c>
      <c r="I1226" s="11" t="str">
        <f t="shared" si="379"/>
        <v/>
      </c>
      <c r="K1226" s="30">
        <v>304</v>
      </c>
      <c r="L1226" s="29">
        <f t="shared" si="390"/>
        <v>11371.908376190921</v>
      </c>
      <c r="M1226" s="28" t="str">
        <f t="shared" si="380"/>
        <v/>
      </c>
      <c r="N1226" s="27" t="str">
        <f t="shared" si="391"/>
        <v/>
      </c>
      <c r="O1226" s="26" t="str">
        <f>IF(AND($Q1225=$O$38,IFERROR(LARGE($V$923:$V1225,1)&lt;$N$42,TRUE)),1,IF(AND(ISNUMBER($O1225),$O1225&lt;$N$32),$O1225+1,""))</f>
        <v/>
      </c>
      <c r="P1226" s="26" t="str">
        <f t="shared" si="392"/>
        <v/>
      </c>
      <c r="Q1226" s="26" t="str">
        <f t="shared" si="381"/>
        <v/>
      </c>
      <c r="R1226" s="24" t="str">
        <f t="shared" si="393"/>
        <v/>
      </c>
      <c r="S1226" s="180">
        <f t="shared" si="399"/>
        <v>8</v>
      </c>
      <c r="T1226" s="29">
        <f>SUM($AC$923:$AC1226)</f>
        <v>49500</v>
      </c>
      <c r="U1226" s="25" t="str">
        <f t="shared" si="382"/>
        <v/>
      </c>
      <c r="V1226" s="24" t="str">
        <f>IF(AND(ISNUMBER(R1225),ISNUMBER(R1226)),V1225,IF(AND(R1225="",ISNUMBER(R1226)),IFERROR(LARGE($V$923:$V1225,1)+1,0),""))</f>
        <v/>
      </c>
      <c r="W1226" s="23" t="str">
        <f t="shared" si="394"/>
        <v/>
      </c>
      <c r="X1226" s="22" t="str">
        <f t="shared" si="395"/>
        <v/>
      </c>
      <c r="Y1226" s="236"/>
      <c r="Z1226" s="22"/>
      <c r="AA1226" s="22"/>
      <c r="AB1226" s="22" t="str">
        <f t="shared" si="396"/>
        <v/>
      </c>
      <c r="AC1226" s="22" t="str">
        <f t="shared" si="397"/>
        <v/>
      </c>
      <c r="AD1226" s="22" t="str">
        <f t="shared" si="383"/>
        <v/>
      </c>
      <c r="AE1226" s="22" t="str">
        <f t="shared" si="398"/>
        <v/>
      </c>
      <c r="AF1226" s="22" t="str">
        <f t="shared" si="384"/>
        <v/>
      </c>
      <c r="AG1226" s="22" t="str">
        <f t="shared" si="385"/>
        <v/>
      </c>
      <c r="AH1226" s="22" t="str">
        <f t="shared" si="386"/>
        <v/>
      </c>
      <c r="AI1226" s="22" t="str">
        <f t="shared" si="387"/>
        <v/>
      </c>
      <c r="AJ1226" s="304" t="str">
        <f t="shared" si="388"/>
        <v/>
      </c>
      <c r="AK1226" s="140" t="str">
        <f t="shared" si="389"/>
        <v/>
      </c>
    </row>
    <row r="1227" spans="7:37" x14ac:dyDescent="0.25">
      <c r="G1227" s="235" t="str">
        <f t="shared" si="378"/>
        <v/>
      </c>
      <c r="H1227" s="4" t="str">
        <f t="shared" si="400"/>
        <v/>
      </c>
      <c r="I1227" s="11" t="str">
        <f t="shared" si="379"/>
        <v/>
      </c>
      <c r="K1227" s="30">
        <v>305</v>
      </c>
      <c r="L1227" s="29">
        <f t="shared" si="390"/>
        <v>11371.908376190921</v>
      </c>
      <c r="M1227" s="28" t="str">
        <f t="shared" si="380"/>
        <v/>
      </c>
      <c r="N1227" s="27" t="str">
        <f t="shared" si="391"/>
        <v/>
      </c>
      <c r="O1227" s="26" t="str">
        <f>IF(AND($Q1226=$O$38,IFERROR(LARGE($V$923:$V1226,1)&lt;$N$42,TRUE)),1,IF(AND(ISNUMBER($O1226),$O1226&lt;$N$32),$O1226+1,""))</f>
        <v/>
      </c>
      <c r="P1227" s="26" t="str">
        <f t="shared" si="392"/>
        <v/>
      </c>
      <c r="Q1227" s="26" t="str">
        <f t="shared" si="381"/>
        <v/>
      </c>
      <c r="R1227" s="24" t="str">
        <f t="shared" si="393"/>
        <v/>
      </c>
      <c r="S1227" s="180">
        <f t="shared" si="399"/>
        <v>8</v>
      </c>
      <c r="T1227" s="29">
        <f>SUM($AC$923:$AC1227)</f>
        <v>49500</v>
      </c>
      <c r="U1227" s="25" t="str">
        <f t="shared" si="382"/>
        <v/>
      </c>
      <c r="V1227" s="24" t="str">
        <f>IF(AND(ISNUMBER(R1226),ISNUMBER(R1227)),V1226,IF(AND(R1226="",ISNUMBER(R1227)),IFERROR(LARGE($V$923:$V1226,1)+1,0),""))</f>
        <v/>
      </c>
      <c r="W1227" s="23" t="str">
        <f t="shared" si="394"/>
        <v/>
      </c>
      <c r="X1227" s="22" t="str">
        <f t="shared" si="395"/>
        <v/>
      </c>
      <c r="Y1227" s="236"/>
      <c r="Z1227" s="22"/>
      <c r="AA1227" s="22"/>
      <c r="AB1227" s="22" t="str">
        <f t="shared" si="396"/>
        <v/>
      </c>
      <c r="AC1227" s="22" t="str">
        <f t="shared" si="397"/>
        <v/>
      </c>
      <c r="AD1227" s="22" t="str">
        <f t="shared" si="383"/>
        <v/>
      </c>
      <c r="AE1227" s="22" t="str">
        <f t="shared" si="398"/>
        <v/>
      </c>
      <c r="AF1227" s="22" t="str">
        <f t="shared" si="384"/>
        <v/>
      </c>
      <c r="AG1227" s="22" t="str">
        <f t="shared" si="385"/>
        <v/>
      </c>
      <c r="AH1227" s="22" t="str">
        <f t="shared" si="386"/>
        <v/>
      </c>
      <c r="AI1227" s="22" t="str">
        <f t="shared" si="387"/>
        <v/>
      </c>
      <c r="AJ1227" s="304" t="str">
        <f t="shared" si="388"/>
        <v/>
      </c>
      <c r="AK1227" s="140" t="str">
        <f t="shared" si="389"/>
        <v/>
      </c>
    </row>
    <row r="1228" spans="7:37" x14ac:dyDescent="0.25">
      <c r="G1228" s="235" t="str">
        <f t="shared" si="378"/>
        <v/>
      </c>
      <c r="H1228" s="4" t="str">
        <f t="shared" si="400"/>
        <v/>
      </c>
      <c r="I1228" s="11" t="str">
        <f t="shared" si="379"/>
        <v/>
      </c>
      <c r="K1228" s="30">
        <v>306</v>
      </c>
      <c r="L1228" s="29">
        <f t="shared" si="390"/>
        <v>11371.908376190921</v>
      </c>
      <c r="M1228" s="28" t="str">
        <f t="shared" si="380"/>
        <v/>
      </c>
      <c r="N1228" s="27" t="str">
        <f t="shared" si="391"/>
        <v/>
      </c>
      <c r="O1228" s="26" t="str">
        <f>IF(AND($Q1227=$O$38,IFERROR(LARGE($V$923:$V1227,1)&lt;$N$42,TRUE)),1,IF(AND(ISNUMBER($O1227),$O1227&lt;$N$32),$O1227+1,""))</f>
        <v/>
      </c>
      <c r="P1228" s="26" t="str">
        <f t="shared" si="392"/>
        <v/>
      </c>
      <c r="Q1228" s="26" t="str">
        <f t="shared" si="381"/>
        <v/>
      </c>
      <c r="R1228" s="24" t="str">
        <f t="shared" si="393"/>
        <v/>
      </c>
      <c r="S1228" s="180">
        <f t="shared" si="399"/>
        <v>8</v>
      </c>
      <c r="T1228" s="29">
        <f>SUM($AC$923:$AC1228)</f>
        <v>49500</v>
      </c>
      <c r="U1228" s="25" t="str">
        <f t="shared" si="382"/>
        <v/>
      </c>
      <c r="V1228" s="24" t="str">
        <f>IF(AND(ISNUMBER(R1227),ISNUMBER(R1228)),V1227,IF(AND(R1227="",ISNUMBER(R1228)),IFERROR(LARGE($V$923:$V1227,1)+1,0),""))</f>
        <v/>
      </c>
      <c r="W1228" s="23" t="str">
        <f t="shared" si="394"/>
        <v/>
      </c>
      <c r="X1228" s="22" t="str">
        <f t="shared" si="395"/>
        <v/>
      </c>
      <c r="Y1228" s="236"/>
      <c r="Z1228" s="22"/>
      <c r="AA1228" s="22"/>
      <c r="AB1228" s="22" t="str">
        <f t="shared" si="396"/>
        <v/>
      </c>
      <c r="AC1228" s="22" t="str">
        <f t="shared" si="397"/>
        <v/>
      </c>
      <c r="AD1228" s="22" t="str">
        <f t="shared" si="383"/>
        <v/>
      </c>
      <c r="AE1228" s="22" t="str">
        <f t="shared" si="398"/>
        <v/>
      </c>
      <c r="AF1228" s="22" t="str">
        <f t="shared" si="384"/>
        <v/>
      </c>
      <c r="AG1228" s="22" t="str">
        <f t="shared" si="385"/>
        <v/>
      </c>
      <c r="AH1228" s="22" t="str">
        <f t="shared" si="386"/>
        <v/>
      </c>
      <c r="AI1228" s="22" t="str">
        <f t="shared" si="387"/>
        <v/>
      </c>
      <c r="AJ1228" s="304" t="str">
        <f t="shared" si="388"/>
        <v/>
      </c>
      <c r="AK1228" s="140" t="str">
        <f t="shared" si="389"/>
        <v/>
      </c>
    </row>
    <row r="1229" spans="7:37" x14ac:dyDescent="0.25">
      <c r="G1229" s="235" t="str">
        <f t="shared" si="378"/>
        <v/>
      </c>
      <c r="H1229" s="4" t="str">
        <f t="shared" si="400"/>
        <v/>
      </c>
      <c r="I1229" s="11" t="str">
        <f t="shared" si="379"/>
        <v/>
      </c>
      <c r="K1229" s="30">
        <v>307</v>
      </c>
      <c r="L1229" s="29">
        <f t="shared" si="390"/>
        <v>11371.908376190921</v>
      </c>
      <c r="M1229" s="28" t="str">
        <f t="shared" si="380"/>
        <v/>
      </c>
      <c r="N1229" s="27" t="str">
        <f t="shared" si="391"/>
        <v/>
      </c>
      <c r="O1229" s="26" t="str">
        <f>IF(AND($Q1228=$O$38,IFERROR(LARGE($V$923:$V1228,1)&lt;$N$42,TRUE)),1,IF(AND(ISNUMBER($O1228),$O1228&lt;$N$32),$O1228+1,""))</f>
        <v/>
      </c>
      <c r="P1229" s="26" t="str">
        <f t="shared" si="392"/>
        <v/>
      </c>
      <c r="Q1229" s="26" t="str">
        <f t="shared" si="381"/>
        <v/>
      </c>
      <c r="R1229" s="24" t="str">
        <f t="shared" si="393"/>
        <v/>
      </c>
      <c r="S1229" s="180">
        <f t="shared" si="399"/>
        <v>8</v>
      </c>
      <c r="T1229" s="29">
        <f>SUM($AC$923:$AC1229)</f>
        <v>49500</v>
      </c>
      <c r="U1229" s="25" t="str">
        <f t="shared" si="382"/>
        <v/>
      </c>
      <c r="V1229" s="24" t="str">
        <f>IF(AND(ISNUMBER(R1228),ISNUMBER(R1229)),V1228,IF(AND(R1228="",ISNUMBER(R1229)),IFERROR(LARGE($V$923:$V1228,1)+1,0),""))</f>
        <v/>
      </c>
      <c r="W1229" s="23" t="str">
        <f t="shared" si="394"/>
        <v/>
      </c>
      <c r="X1229" s="22" t="str">
        <f t="shared" si="395"/>
        <v/>
      </c>
      <c r="Y1229" s="236"/>
      <c r="Z1229" s="22"/>
      <c r="AA1229" s="22"/>
      <c r="AB1229" s="22" t="str">
        <f t="shared" si="396"/>
        <v/>
      </c>
      <c r="AC1229" s="22" t="str">
        <f t="shared" si="397"/>
        <v/>
      </c>
      <c r="AD1229" s="22" t="str">
        <f t="shared" si="383"/>
        <v/>
      </c>
      <c r="AE1229" s="22" t="str">
        <f t="shared" si="398"/>
        <v/>
      </c>
      <c r="AF1229" s="22" t="str">
        <f t="shared" si="384"/>
        <v/>
      </c>
      <c r="AG1229" s="22" t="str">
        <f t="shared" si="385"/>
        <v/>
      </c>
      <c r="AH1229" s="22" t="str">
        <f t="shared" si="386"/>
        <v/>
      </c>
      <c r="AI1229" s="22" t="str">
        <f t="shared" si="387"/>
        <v/>
      </c>
      <c r="AJ1229" s="304" t="str">
        <f t="shared" si="388"/>
        <v/>
      </c>
      <c r="AK1229" s="140" t="str">
        <f t="shared" si="389"/>
        <v/>
      </c>
    </row>
    <row r="1230" spans="7:37" x14ac:dyDescent="0.25">
      <c r="G1230" s="235" t="str">
        <f t="shared" si="378"/>
        <v/>
      </c>
      <c r="H1230" s="4" t="str">
        <f t="shared" si="400"/>
        <v/>
      </c>
      <c r="I1230" s="11" t="str">
        <f t="shared" si="379"/>
        <v/>
      </c>
      <c r="K1230" s="30">
        <v>308</v>
      </c>
      <c r="L1230" s="29">
        <f t="shared" si="390"/>
        <v>11371.908376190921</v>
      </c>
      <c r="M1230" s="28" t="str">
        <f t="shared" si="380"/>
        <v/>
      </c>
      <c r="N1230" s="27" t="str">
        <f t="shared" si="391"/>
        <v/>
      </c>
      <c r="O1230" s="26" t="str">
        <f>IF(AND($Q1229=$O$38,IFERROR(LARGE($V$923:$V1229,1)&lt;$N$42,TRUE)),1,IF(AND(ISNUMBER($O1229),$O1229&lt;$N$32),$O1229+1,""))</f>
        <v/>
      </c>
      <c r="P1230" s="26" t="str">
        <f t="shared" si="392"/>
        <v/>
      </c>
      <c r="Q1230" s="26" t="str">
        <f t="shared" si="381"/>
        <v/>
      </c>
      <c r="R1230" s="24" t="str">
        <f t="shared" si="393"/>
        <v/>
      </c>
      <c r="S1230" s="180">
        <f t="shared" si="399"/>
        <v>8</v>
      </c>
      <c r="T1230" s="29">
        <f>SUM($AC$923:$AC1230)</f>
        <v>49500</v>
      </c>
      <c r="U1230" s="25" t="str">
        <f t="shared" si="382"/>
        <v/>
      </c>
      <c r="V1230" s="24" t="str">
        <f>IF(AND(ISNUMBER(R1229),ISNUMBER(R1230)),V1229,IF(AND(R1229="",ISNUMBER(R1230)),IFERROR(LARGE($V$923:$V1229,1)+1,0),""))</f>
        <v/>
      </c>
      <c r="W1230" s="23" t="str">
        <f t="shared" si="394"/>
        <v/>
      </c>
      <c r="X1230" s="22" t="str">
        <f t="shared" si="395"/>
        <v/>
      </c>
      <c r="Y1230" s="236"/>
      <c r="Z1230" s="22"/>
      <c r="AA1230" s="22"/>
      <c r="AB1230" s="22" t="str">
        <f t="shared" si="396"/>
        <v/>
      </c>
      <c r="AC1230" s="22" t="str">
        <f t="shared" si="397"/>
        <v/>
      </c>
      <c r="AD1230" s="22" t="str">
        <f t="shared" si="383"/>
        <v/>
      </c>
      <c r="AE1230" s="22" t="str">
        <f t="shared" si="398"/>
        <v/>
      </c>
      <c r="AF1230" s="22" t="str">
        <f t="shared" si="384"/>
        <v/>
      </c>
      <c r="AG1230" s="22" t="str">
        <f t="shared" si="385"/>
        <v/>
      </c>
      <c r="AH1230" s="22" t="str">
        <f t="shared" si="386"/>
        <v/>
      </c>
      <c r="AI1230" s="22" t="str">
        <f t="shared" si="387"/>
        <v/>
      </c>
      <c r="AJ1230" s="304" t="str">
        <f t="shared" si="388"/>
        <v/>
      </c>
      <c r="AK1230" s="140" t="str">
        <f t="shared" si="389"/>
        <v/>
      </c>
    </row>
    <row r="1231" spans="7:37" x14ac:dyDescent="0.25">
      <c r="G1231" s="235" t="str">
        <f t="shared" si="378"/>
        <v/>
      </c>
      <c r="H1231" s="4" t="str">
        <f t="shared" si="400"/>
        <v/>
      </c>
      <c r="I1231" s="11" t="str">
        <f t="shared" si="379"/>
        <v/>
      </c>
      <c r="K1231" s="30">
        <v>309</v>
      </c>
      <c r="L1231" s="29">
        <f t="shared" si="390"/>
        <v>11371.908376190921</v>
      </c>
      <c r="M1231" s="28" t="str">
        <f t="shared" si="380"/>
        <v/>
      </c>
      <c r="N1231" s="27" t="str">
        <f t="shared" si="391"/>
        <v/>
      </c>
      <c r="O1231" s="26" t="str">
        <f>IF(AND($Q1230=$O$38,IFERROR(LARGE($V$923:$V1230,1)&lt;$N$42,TRUE)),1,IF(AND(ISNUMBER($O1230),$O1230&lt;$N$32),$O1230+1,""))</f>
        <v/>
      </c>
      <c r="P1231" s="26" t="str">
        <f t="shared" si="392"/>
        <v/>
      </c>
      <c r="Q1231" s="26" t="str">
        <f t="shared" si="381"/>
        <v/>
      </c>
      <c r="R1231" s="24" t="str">
        <f t="shared" si="393"/>
        <v/>
      </c>
      <c r="S1231" s="180">
        <f t="shared" si="399"/>
        <v>8</v>
      </c>
      <c r="T1231" s="29">
        <f>SUM($AC$923:$AC1231)</f>
        <v>49500</v>
      </c>
      <c r="U1231" s="25" t="str">
        <f t="shared" si="382"/>
        <v/>
      </c>
      <c r="V1231" s="24" t="str">
        <f>IF(AND(ISNUMBER(R1230),ISNUMBER(R1231)),V1230,IF(AND(R1230="",ISNUMBER(R1231)),IFERROR(LARGE($V$923:$V1230,1)+1,0),""))</f>
        <v/>
      </c>
      <c r="W1231" s="23" t="str">
        <f t="shared" si="394"/>
        <v/>
      </c>
      <c r="X1231" s="22" t="str">
        <f t="shared" si="395"/>
        <v/>
      </c>
      <c r="Y1231" s="236"/>
      <c r="Z1231" s="22"/>
      <c r="AA1231" s="22"/>
      <c r="AB1231" s="22" t="str">
        <f t="shared" si="396"/>
        <v/>
      </c>
      <c r="AC1231" s="22" t="str">
        <f t="shared" si="397"/>
        <v/>
      </c>
      <c r="AD1231" s="22" t="str">
        <f t="shared" si="383"/>
        <v/>
      </c>
      <c r="AE1231" s="22" t="str">
        <f t="shared" si="398"/>
        <v/>
      </c>
      <c r="AF1231" s="22" t="str">
        <f t="shared" si="384"/>
        <v/>
      </c>
      <c r="AG1231" s="22" t="str">
        <f t="shared" si="385"/>
        <v/>
      </c>
      <c r="AH1231" s="22" t="str">
        <f t="shared" si="386"/>
        <v/>
      </c>
      <c r="AI1231" s="22" t="str">
        <f t="shared" si="387"/>
        <v/>
      </c>
      <c r="AJ1231" s="304" t="str">
        <f t="shared" si="388"/>
        <v/>
      </c>
      <c r="AK1231" s="140" t="str">
        <f t="shared" si="389"/>
        <v/>
      </c>
    </row>
    <row r="1232" spans="7:37" x14ac:dyDescent="0.25">
      <c r="G1232" s="235" t="str">
        <f t="shared" si="378"/>
        <v/>
      </c>
      <c r="H1232" s="4" t="str">
        <f t="shared" si="400"/>
        <v/>
      </c>
      <c r="I1232" s="11" t="str">
        <f t="shared" si="379"/>
        <v/>
      </c>
      <c r="K1232" s="30">
        <v>310</v>
      </c>
      <c r="L1232" s="29">
        <f t="shared" si="390"/>
        <v>11371.908376190921</v>
      </c>
      <c r="M1232" s="28" t="str">
        <f t="shared" si="380"/>
        <v/>
      </c>
      <c r="N1232" s="27" t="str">
        <f t="shared" si="391"/>
        <v/>
      </c>
      <c r="O1232" s="26" t="str">
        <f>IF(AND($Q1231=$O$38,IFERROR(LARGE($V$923:$V1231,1)&lt;$N$42,TRUE)),1,IF(AND(ISNUMBER($O1231),$O1231&lt;$N$32),$O1231+1,""))</f>
        <v/>
      </c>
      <c r="P1232" s="26" t="str">
        <f t="shared" si="392"/>
        <v/>
      </c>
      <c r="Q1232" s="26" t="str">
        <f t="shared" si="381"/>
        <v/>
      </c>
      <c r="R1232" s="24" t="str">
        <f t="shared" si="393"/>
        <v/>
      </c>
      <c r="S1232" s="180">
        <f t="shared" si="399"/>
        <v>8</v>
      </c>
      <c r="T1232" s="29">
        <f>SUM($AC$923:$AC1232)</f>
        <v>49500</v>
      </c>
      <c r="U1232" s="25" t="str">
        <f t="shared" si="382"/>
        <v/>
      </c>
      <c r="V1232" s="24" t="str">
        <f>IF(AND(ISNUMBER(R1231),ISNUMBER(R1232)),V1231,IF(AND(R1231="",ISNUMBER(R1232)),IFERROR(LARGE($V$923:$V1231,1)+1,0),""))</f>
        <v/>
      </c>
      <c r="W1232" s="23" t="str">
        <f t="shared" si="394"/>
        <v/>
      </c>
      <c r="X1232" s="22" t="str">
        <f t="shared" si="395"/>
        <v/>
      </c>
      <c r="Y1232" s="236"/>
      <c r="Z1232" s="22"/>
      <c r="AA1232" s="22"/>
      <c r="AB1232" s="22" t="str">
        <f t="shared" si="396"/>
        <v/>
      </c>
      <c r="AC1232" s="22" t="str">
        <f t="shared" si="397"/>
        <v/>
      </c>
      <c r="AD1232" s="22" t="str">
        <f t="shared" si="383"/>
        <v/>
      </c>
      <c r="AE1232" s="22" t="str">
        <f t="shared" si="398"/>
        <v/>
      </c>
      <c r="AF1232" s="22" t="str">
        <f t="shared" si="384"/>
        <v/>
      </c>
      <c r="AG1232" s="22" t="str">
        <f t="shared" si="385"/>
        <v/>
      </c>
      <c r="AH1232" s="22" t="str">
        <f t="shared" si="386"/>
        <v/>
      </c>
      <c r="AI1232" s="22" t="str">
        <f t="shared" si="387"/>
        <v/>
      </c>
      <c r="AJ1232" s="304" t="str">
        <f t="shared" si="388"/>
        <v/>
      </c>
      <c r="AK1232" s="140" t="str">
        <f t="shared" si="389"/>
        <v/>
      </c>
    </row>
    <row r="1233" spans="7:37" x14ac:dyDescent="0.25">
      <c r="G1233" s="235" t="str">
        <f t="shared" si="378"/>
        <v/>
      </c>
      <c r="H1233" s="4" t="str">
        <f t="shared" si="400"/>
        <v/>
      </c>
      <c r="I1233" s="11" t="str">
        <f t="shared" si="379"/>
        <v/>
      </c>
      <c r="K1233" s="30">
        <v>311</v>
      </c>
      <c r="L1233" s="29">
        <f t="shared" si="390"/>
        <v>11371.908376190921</v>
      </c>
      <c r="M1233" s="28" t="str">
        <f t="shared" si="380"/>
        <v/>
      </c>
      <c r="N1233" s="27" t="str">
        <f t="shared" si="391"/>
        <v/>
      </c>
      <c r="O1233" s="26" t="str">
        <f>IF(AND($Q1232=$O$38,IFERROR(LARGE($V$923:$V1232,1)&lt;$N$42,TRUE)),1,IF(AND(ISNUMBER($O1232),$O1232&lt;$N$32),$O1232+1,""))</f>
        <v/>
      </c>
      <c r="P1233" s="26" t="str">
        <f t="shared" si="392"/>
        <v/>
      </c>
      <c r="Q1233" s="26" t="str">
        <f t="shared" si="381"/>
        <v/>
      </c>
      <c r="R1233" s="24" t="str">
        <f t="shared" si="393"/>
        <v/>
      </c>
      <c r="S1233" s="180">
        <f t="shared" si="399"/>
        <v>8</v>
      </c>
      <c r="T1233" s="29">
        <f>SUM($AC$923:$AC1233)</f>
        <v>49500</v>
      </c>
      <c r="U1233" s="25" t="str">
        <f t="shared" si="382"/>
        <v/>
      </c>
      <c r="V1233" s="24" t="str">
        <f>IF(AND(ISNUMBER(R1232),ISNUMBER(R1233)),V1232,IF(AND(R1232="",ISNUMBER(R1233)),IFERROR(LARGE($V$923:$V1232,1)+1,0),""))</f>
        <v/>
      </c>
      <c r="W1233" s="23" t="str">
        <f t="shared" si="394"/>
        <v/>
      </c>
      <c r="X1233" s="22" t="str">
        <f t="shared" si="395"/>
        <v/>
      </c>
      <c r="Y1233" s="236"/>
      <c r="Z1233" s="22"/>
      <c r="AA1233" s="22"/>
      <c r="AB1233" s="22" t="str">
        <f t="shared" si="396"/>
        <v/>
      </c>
      <c r="AC1233" s="22" t="str">
        <f t="shared" si="397"/>
        <v/>
      </c>
      <c r="AD1233" s="22" t="str">
        <f t="shared" si="383"/>
        <v/>
      </c>
      <c r="AE1233" s="22" t="str">
        <f t="shared" si="398"/>
        <v/>
      </c>
      <c r="AF1233" s="22" t="str">
        <f t="shared" si="384"/>
        <v/>
      </c>
      <c r="AG1233" s="22" t="str">
        <f t="shared" si="385"/>
        <v/>
      </c>
      <c r="AH1233" s="22" t="str">
        <f t="shared" si="386"/>
        <v/>
      </c>
      <c r="AI1233" s="22" t="str">
        <f t="shared" si="387"/>
        <v/>
      </c>
      <c r="AJ1233" s="304" t="str">
        <f t="shared" si="388"/>
        <v/>
      </c>
      <c r="AK1233" s="140" t="str">
        <f t="shared" si="389"/>
        <v/>
      </c>
    </row>
    <row r="1234" spans="7:37" x14ac:dyDescent="0.25">
      <c r="G1234" s="235" t="str">
        <f t="shared" si="378"/>
        <v/>
      </c>
      <c r="H1234" s="4" t="str">
        <f t="shared" si="400"/>
        <v/>
      </c>
      <c r="I1234" s="11" t="str">
        <f t="shared" si="379"/>
        <v/>
      </c>
      <c r="K1234" s="30">
        <v>312</v>
      </c>
      <c r="L1234" s="29">
        <f t="shared" si="390"/>
        <v>11371.908376190921</v>
      </c>
      <c r="M1234" s="28" t="str">
        <f t="shared" si="380"/>
        <v/>
      </c>
      <c r="N1234" s="27" t="str">
        <f t="shared" si="391"/>
        <v/>
      </c>
      <c r="O1234" s="26" t="str">
        <f>IF(AND($Q1233=$O$38,IFERROR(LARGE($V$923:$V1233,1)&lt;$N$42,TRUE)),1,IF(AND(ISNUMBER($O1233),$O1233&lt;$N$32),$O1233+1,""))</f>
        <v/>
      </c>
      <c r="P1234" s="26" t="str">
        <f t="shared" si="392"/>
        <v/>
      </c>
      <c r="Q1234" s="26" t="str">
        <f t="shared" si="381"/>
        <v/>
      </c>
      <c r="R1234" s="24" t="str">
        <f t="shared" si="393"/>
        <v/>
      </c>
      <c r="S1234" s="180">
        <f t="shared" si="399"/>
        <v>8</v>
      </c>
      <c r="T1234" s="29">
        <f>SUM($AC$923:$AC1234)</f>
        <v>49500</v>
      </c>
      <c r="U1234" s="25" t="str">
        <f t="shared" si="382"/>
        <v/>
      </c>
      <c r="V1234" s="24" t="str">
        <f>IF(AND(ISNUMBER(R1233),ISNUMBER(R1234)),V1233,IF(AND(R1233="",ISNUMBER(R1234)),IFERROR(LARGE($V$923:$V1233,1)+1,0),""))</f>
        <v/>
      </c>
      <c r="W1234" s="23" t="str">
        <f t="shared" si="394"/>
        <v/>
      </c>
      <c r="X1234" s="22" t="str">
        <f t="shared" si="395"/>
        <v/>
      </c>
      <c r="Y1234" s="236"/>
      <c r="Z1234" s="22"/>
      <c r="AA1234" s="22"/>
      <c r="AB1234" s="22" t="str">
        <f t="shared" si="396"/>
        <v/>
      </c>
      <c r="AC1234" s="22" t="str">
        <f t="shared" si="397"/>
        <v/>
      </c>
      <c r="AD1234" s="22" t="str">
        <f t="shared" si="383"/>
        <v/>
      </c>
      <c r="AE1234" s="22" t="str">
        <f t="shared" si="398"/>
        <v/>
      </c>
      <c r="AF1234" s="22" t="str">
        <f t="shared" si="384"/>
        <v/>
      </c>
      <c r="AG1234" s="22" t="str">
        <f t="shared" si="385"/>
        <v/>
      </c>
      <c r="AH1234" s="22" t="str">
        <f t="shared" si="386"/>
        <v/>
      </c>
      <c r="AI1234" s="22" t="str">
        <f t="shared" si="387"/>
        <v/>
      </c>
      <c r="AJ1234" s="304" t="str">
        <f t="shared" si="388"/>
        <v/>
      </c>
      <c r="AK1234" s="140" t="str">
        <f t="shared" si="389"/>
        <v/>
      </c>
    </row>
    <row r="1235" spans="7:37" x14ac:dyDescent="0.25">
      <c r="G1235" s="235" t="str">
        <f t="shared" si="378"/>
        <v/>
      </c>
      <c r="H1235" s="4" t="str">
        <f t="shared" si="400"/>
        <v/>
      </c>
      <c r="I1235" s="11" t="str">
        <f t="shared" si="379"/>
        <v/>
      </c>
      <c r="K1235" s="30">
        <v>313</v>
      </c>
      <c r="L1235" s="29">
        <f t="shared" si="390"/>
        <v>11371.908376190921</v>
      </c>
      <c r="M1235" s="28" t="str">
        <f t="shared" si="380"/>
        <v/>
      </c>
      <c r="N1235" s="27" t="str">
        <f t="shared" si="391"/>
        <v/>
      </c>
      <c r="O1235" s="26" t="str">
        <f>IF(AND($Q1234=$O$38,IFERROR(LARGE($V$923:$V1234,1)&lt;$N$42,TRUE)),1,IF(AND(ISNUMBER($O1234),$O1234&lt;$N$32),$O1234+1,""))</f>
        <v/>
      </c>
      <c r="P1235" s="26" t="str">
        <f t="shared" si="392"/>
        <v/>
      </c>
      <c r="Q1235" s="26" t="str">
        <f t="shared" si="381"/>
        <v/>
      </c>
      <c r="R1235" s="24" t="str">
        <f t="shared" si="393"/>
        <v/>
      </c>
      <c r="S1235" s="180">
        <f t="shared" si="399"/>
        <v>8</v>
      </c>
      <c r="T1235" s="29">
        <f>SUM($AC$923:$AC1235)</f>
        <v>49500</v>
      </c>
      <c r="U1235" s="25" t="str">
        <f t="shared" si="382"/>
        <v/>
      </c>
      <c r="V1235" s="24" t="str">
        <f>IF(AND(ISNUMBER(R1234),ISNUMBER(R1235)),V1234,IF(AND(R1234="",ISNUMBER(R1235)),IFERROR(LARGE($V$923:$V1234,1)+1,0),""))</f>
        <v/>
      </c>
      <c r="W1235" s="23" t="str">
        <f t="shared" si="394"/>
        <v/>
      </c>
      <c r="X1235" s="22" t="str">
        <f t="shared" si="395"/>
        <v/>
      </c>
      <c r="Y1235" s="236"/>
      <c r="Z1235" s="22"/>
      <c r="AA1235" s="22"/>
      <c r="AB1235" s="22" t="str">
        <f t="shared" si="396"/>
        <v/>
      </c>
      <c r="AC1235" s="22" t="str">
        <f t="shared" si="397"/>
        <v/>
      </c>
      <c r="AD1235" s="22" t="str">
        <f t="shared" si="383"/>
        <v/>
      </c>
      <c r="AE1235" s="22" t="str">
        <f t="shared" si="398"/>
        <v/>
      </c>
      <c r="AF1235" s="22" t="str">
        <f t="shared" si="384"/>
        <v/>
      </c>
      <c r="AG1235" s="22" t="str">
        <f t="shared" si="385"/>
        <v/>
      </c>
      <c r="AH1235" s="22" t="str">
        <f t="shared" si="386"/>
        <v/>
      </c>
      <c r="AI1235" s="22" t="str">
        <f t="shared" si="387"/>
        <v/>
      </c>
      <c r="AJ1235" s="304" t="str">
        <f t="shared" si="388"/>
        <v/>
      </c>
      <c r="AK1235" s="140" t="str">
        <f t="shared" si="389"/>
        <v/>
      </c>
    </row>
    <row r="1236" spans="7:37" x14ac:dyDescent="0.25">
      <c r="G1236" s="235" t="str">
        <f t="shared" si="378"/>
        <v/>
      </c>
      <c r="H1236" s="4" t="str">
        <f t="shared" si="400"/>
        <v/>
      </c>
      <c r="I1236" s="11" t="str">
        <f t="shared" si="379"/>
        <v/>
      </c>
      <c r="K1236" s="30">
        <v>314</v>
      </c>
      <c r="L1236" s="29">
        <f t="shared" si="390"/>
        <v>11371.908376190921</v>
      </c>
      <c r="M1236" s="28" t="str">
        <f t="shared" si="380"/>
        <v/>
      </c>
      <c r="N1236" s="27" t="str">
        <f t="shared" si="391"/>
        <v/>
      </c>
      <c r="O1236" s="26" t="str">
        <f>IF(AND($Q1235=$O$38,IFERROR(LARGE($V$923:$V1235,1)&lt;$N$42,TRUE)),1,IF(AND(ISNUMBER($O1235),$O1235&lt;$N$32),$O1235+1,""))</f>
        <v/>
      </c>
      <c r="P1236" s="26" t="str">
        <f t="shared" si="392"/>
        <v/>
      </c>
      <c r="Q1236" s="26" t="str">
        <f t="shared" si="381"/>
        <v/>
      </c>
      <c r="R1236" s="24" t="str">
        <f t="shared" si="393"/>
        <v/>
      </c>
      <c r="S1236" s="180">
        <f t="shared" si="399"/>
        <v>8</v>
      </c>
      <c r="T1236" s="29">
        <f>SUM($AC$923:$AC1236)</f>
        <v>49500</v>
      </c>
      <c r="U1236" s="25" t="str">
        <f t="shared" si="382"/>
        <v/>
      </c>
      <c r="V1236" s="24" t="str">
        <f>IF(AND(ISNUMBER(R1235),ISNUMBER(R1236)),V1235,IF(AND(R1235="",ISNUMBER(R1236)),IFERROR(LARGE($V$923:$V1235,1)+1,0),""))</f>
        <v/>
      </c>
      <c r="W1236" s="23" t="str">
        <f t="shared" si="394"/>
        <v/>
      </c>
      <c r="X1236" s="22" t="str">
        <f t="shared" si="395"/>
        <v/>
      </c>
      <c r="Y1236" s="236"/>
      <c r="Z1236" s="22"/>
      <c r="AA1236" s="22"/>
      <c r="AB1236" s="22" t="str">
        <f t="shared" si="396"/>
        <v/>
      </c>
      <c r="AC1236" s="22" t="str">
        <f t="shared" si="397"/>
        <v/>
      </c>
      <c r="AD1236" s="22" t="str">
        <f t="shared" si="383"/>
        <v/>
      </c>
      <c r="AE1236" s="22" t="str">
        <f t="shared" si="398"/>
        <v/>
      </c>
      <c r="AF1236" s="22" t="str">
        <f t="shared" si="384"/>
        <v/>
      </c>
      <c r="AG1236" s="22" t="str">
        <f t="shared" si="385"/>
        <v/>
      </c>
      <c r="AH1236" s="22" t="str">
        <f t="shared" si="386"/>
        <v/>
      </c>
      <c r="AI1236" s="22" t="str">
        <f t="shared" si="387"/>
        <v/>
      </c>
      <c r="AJ1236" s="304" t="str">
        <f t="shared" si="388"/>
        <v/>
      </c>
      <c r="AK1236" s="140" t="str">
        <f t="shared" si="389"/>
        <v/>
      </c>
    </row>
    <row r="1237" spans="7:37" x14ac:dyDescent="0.25">
      <c r="G1237" s="235" t="str">
        <f t="shared" si="378"/>
        <v/>
      </c>
      <c r="H1237" s="4" t="str">
        <f t="shared" si="400"/>
        <v/>
      </c>
      <c r="I1237" s="11" t="str">
        <f t="shared" si="379"/>
        <v/>
      </c>
      <c r="K1237" s="30">
        <v>315</v>
      </c>
      <c r="L1237" s="29">
        <f t="shared" si="390"/>
        <v>11371.908376190921</v>
      </c>
      <c r="M1237" s="28" t="str">
        <f t="shared" si="380"/>
        <v/>
      </c>
      <c r="N1237" s="27" t="str">
        <f t="shared" si="391"/>
        <v/>
      </c>
      <c r="O1237" s="26" t="str">
        <f>IF(AND($Q1236=$O$38,IFERROR(LARGE($V$923:$V1236,1)&lt;$N$42,TRUE)),1,IF(AND(ISNUMBER($O1236),$O1236&lt;$N$32),$O1236+1,""))</f>
        <v/>
      </c>
      <c r="P1237" s="26" t="str">
        <f t="shared" si="392"/>
        <v/>
      </c>
      <c r="Q1237" s="26" t="str">
        <f t="shared" si="381"/>
        <v/>
      </c>
      <c r="R1237" s="24" t="str">
        <f t="shared" si="393"/>
        <v/>
      </c>
      <c r="S1237" s="180">
        <f t="shared" si="399"/>
        <v>8</v>
      </c>
      <c r="T1237" s="29">
        <f>SUM($AC$923:$AC1237)</f>
        <v>49500</v>
      </c>
      <c r="U1237" s="25" t="str">
        <f t="shared" si="382"/>
        <v/>
      </c>
      <c r="V1237" s="24" t="str">
        <f>IF(AND(ISNUMBER(R1236),ISNUMBER(R1237)),V1236,IF(AND(R1236="",ISNUMBER(R1237)),IFERROR(LARGE($V$923:$V1236,1)+1,0),""))</f>
        <v/>
      </c>
      <c r="W1237" s="23" t="str">
        <f t="shared" si="394"/>
        <v/>
      </c>
      <c r="X1237" s="22" t="str">
        <f t="shared" si="395"/>
        <v/>
      </c>
      <c r="Y1237" s="236"/>
      <c r="Z1237" s="22"/>
      <c r="AA1237" s="22"/>
      <c r="AB1237" s="22" t="str">
        <f t="shared" si="396"/>
        <v/>
      </c>
      <c r="AC1237" s="22" t="str">
        <f t="shared" si="397"/>
        <v/>
      </c>
      <c r="AD1237" s="22" t="str">
        <f t="shared" si="383"/>
        <v/>
      </c>
      <c r="AE1237" s="22" t="str">
        <f t="shared" si="398"/>
        <v/>
      </c>
      <c r="AF1237" s="22" t="str">
        <f t="shared" si="384"/>
        <v/>
      </c>
      <c r="AG1237" s="22" t="str">
        <f t="shared" si="385"/>
        <v/>
      </c>
      <c r="AH1237" s="22" t="str">
        <f t="shared" si="386"/>
        <v/>
      </c>
      <c r="AI1237" s="22" t="str">
        <f t="shared" si="387"/>
        <v/>
      </c>
      <c r="AJ1237" s="304" t="str">
        <f t="shared" si="388"/>
        <v/>
      </c>
      <c r="AK1237" s="140" t="str">
        <f t="shared" si="389"/>
        <v/>
      </c>
    </row>
    <row r="1238" spans="7:37" x14ac:dyDescent="0.25">
      <c r="G1238" s="235" t="str">
        <f t="shared" si="378"/>
        <v/>
      </c>
      <c r="H1238" s="4" t="str">
        <f t="shared" si="400"/>
        <v/>
      </c>
      <c r="I1238" s="11" t="str">
        <f t="shared" si="379"/>
        <v/>
      </c>
      <c r="K1238" s="30">
        <v>316</v>
      </c>
      <c r="L1238" s="29">
        <f t="shared" si="390"/>
        <v>11371.908376190921</v>
      </c>
      <c r="M1238" s="28" t="str">
        <f t="shared" si="380"/>
        <v/>
      </c>
      <c r="N1238" s="27" t="str">
        <f t="shared" si="391"/>
        <v/>
      </c>
      <c r="O1238" s="26" t="str">
        <f>IF(AND($Q1237=$O$38,IFERROR(LARGE($V$923:$V1237,1)&lt;$N$42,TRUE)),1,IF(AND(ISNUMBER($O1237),$O1237&lt;$N$32),$O1237+1,""))</f>
        <v/>
      </c>
      <c r="P1238" s="26" t="str">
        <f t="shared" si="392"/>
        <v/>
      </c>
      <c r="Q1238" s="26" t="str">
        <f t="shared" si="381"/>
        <v/>
      </c>
      <c r="R1238" s="24" t="str">
        <f t="shared" si="393"/>
        <v/>
      </c>
      <c r="S1238" s="180">
        <f t="shared" si="399"/>
        <v>8</v>
      </c>
      <c r="T1238" s="29">
        <f>SUM($AC$923:$AC1238)</f>
        <v>49500</v>
      </c>
      <c r="U1238" s="25" t="str">
        <f t="shared" si="382"/>
        <v/>
      </c>
      <c r="V1238" s="24" t="str">
        <f>IF(AND(ISNUMBER(R1237),ISNUMBER(R1238)),V1237,IF(AND(R1237="",ISNUMBER(R1238)),IFERROR(LARGE($V$923:$V1237,1)+1,0),""))</f>
        <v/>
      </c>
      <c r="W1238" s="23" t="str">
        <f t="shared" si="394"/>
        <v/>
      </c>
      <c r="X1238" s="22" t="str">
        <f t="shared" si="395"/>
        <v/>
      </c>
      <c r="Y1238" s="236"/>
      <c r="Z1238" s="22"/>
      <c r="AA1238" s="22"/>
      <c r="AB1238" s="22" t="str">
        <f t="shared" si="396"/>
        <v/>
      </c>
      <c r="AC1238" s="22" t="str">
        <f t="shared" si="397"/>
        <v/>
      </c>
      <c r="AD1238" s="22" t="str">
        <f t="shared" si="383"/>
        <v/>
      </c>
      <c r="AE1238" s="22" t="str">
        <f t="shared" si="398"/>
        <v/>
      </c>
      <c r="AF1238" s="22" t="str">
        <f t="shared" si="384"/>
        <v/>
      </c>
      <c r="AG1238" s="22" t="str">
        <f t="shared" si="385"/>
        <v/>
      </c>
      <c r="AH1238" s="22" t="str">
        <f t="shared" si="386"/>
        <v/>
      </c>
      <c r="AI1238" s="22" t="str">
        <f t="shared" si="387"/>
        <v/>
      </c>
      <c r="AJ1238" s="304" t="str">
        <f t="shared" si="388"/>
        <v/>
      </c>
      <c r="AK1238" s="140" t="str">
        <f t="shared" si="389"/>
        <v/>
      </c>
    </row>
    <row r="1239" spans="7:37" x14ac:dyDescent="0.25">
      <c r="G1239" s="235" t="str">
        <f t="shared" si="378"/>
        <v/>
      </c>
      <c r="H1239" s="4" t="str">
        <f t="shared" si="400"/>
        <v/>
      </c>
      <c r="I1239" s="11" t="str">
        <f t="shared" si="379"/>
        <v/>
      </c>
      <c r="K1239" s="30">
        <v>317</v>
      </c>
      <c r="L1239" s="29">
        <f t="shared" si="390"/>
        <v>11371.908376190921</v>
      </c>
      <c r="M1239" s="28" t="str">
        <f t="shared" si="380"/>
        <v/>
      </c>
      <c r="N1239" s="27" t="str">
        <f t="shared" si="391"/>
        <v/>
      </c>
      <c r="O1239" s="26" t="str">
        <f>IF(AND($Q1238=$O$38,IFERROR(LARGE($V$923:$V1238,1)&lt;$N$42,TRUE)),1,IF(AND(ISNUMBER($O1238),$O1238&lt;$N$32),$O1238+1,""))</f>
        <v/>
      </c>
      <c r="P1239" s="26" t="str">
        <f t="shared" si="392"/>
        <v/>
      </c>
      <c r="Q1239" s="26" t="str">
        <f t="shared" si="381"/>
        <v/>
      </c>
      <c r="R1239" s="24" t="str">
        <f t="shared" si="393"/>
        <v/>
      </c>
      <c r="S1239" s="180">
        <f t="shared" si="399"/>
        <v>8</v>
      </c>
      <c r="T1239" s="29">
        <f>SUM($AC$923:$AC1239)</f>
        <v>49500</v>
      </c>
      <c r="U1239" s="25" t="str">
        <f t="shared" si="382"/>
        <v/>
      </c>
      <c r="V1239" s="24" t="str">
        <f>IF(AND(ISNUMBER(R1238),ISNUMBER(R1239)),V1238,IF(AND(R1238="",ISNUMBER(R1239)),IFERROR(LARGE($V$923:$V1238,1)+1,0),""))</f>
        <v/>
      </c>
      <c r="W1239" s="23" t="str">
        <f t="shared" si="394"/>
        <v/>
      </c>
      <c r="X1239" s="22" t="str">
        <f t="shared" si="395"/>
        <v/>
      </c>
      <c r="Y1239" s="236"/>
      <c r="Z1239" s="22"/>
      <c r="AA1239" s="22"/>
      <c r="AB1239" s="22" t="str">
        <f t="shared" si="396"/>
        <v/>
      </c>
      <c r="AC1239" s="22" t="str">
        <f t="shared" si="397"/>
        <v/>
      </c>
      <c r="AD1239" s="22" t="str">
        <f t="shared" si="383"/>
        <v/>
      </c>
      <c r="AE1239" s="22" t="str">
        <f t="shared" si="398"/>
        <v/>
      </c>
      <c r="AF1239" s="22" t="str">
        <f t="shared" si="384"/>
        <v/>
      </c>
      <c r="AG1239" s="22" t="str">
        <f t="shared" si="385"/>
        <v/>
      </c>
      <c r="AH1239" s="22" t="str">
        <f t="shared" si="386"/>
        <v/>
      </c>
      <c r="AI1239" s="22" t="str">
        <f t="shared" si="387"/>
        <v/>
      </c>
      <c r="AJ1239" s="304" t="str">
        <f t="shared" si="388"/>
        <v/>
      </c>
      <c r="AK1239" s="140" t="str">
        <f t="shared" si="389"/>
        <v/>
      </c>
    </row>
    <row r="1240" spans="7:37" x14ac:dyDescent="0.25">
      <c r="G1240" s="235" t="str">
        <f t="shared" si="378"/>
        <v/>
      </c>
      <c r="H1240" s="4" t="str">
        <f t="shared" si="400"/>
        <v/>
      </c>
      <c r="I1240" s="11" t="str">
        <f t="shared" si="379"/>
        <v/>
      </c>
      <c r="K1240" s="30">
        <v>318</v>
      </c>
      <c r="L1240" s="29">
        <f t="shared" si="390"/>
        <v>11371.908376190921</v>
      </c>
      <c r="M1240" s="28" t="str">
        <f t="shared" si="380"/>
        <v/>
      </c>
      <c r="N1240" s="27" t="str">
        <f t="shared" si="391"/>
        <v/>
      </c>
      <c r="O1240" s="26" t="str">
        <f>IF(AND($Q1239=$O$38,IFERROR(LARGE($V$923:$V1239,1)&lt;$N$42,TRUE)),1,IF(AND(ISNUMBER($O1239),$O1239&lt;$N$32),$O1239+1,""))</f>
        <v/>
      </c>
      <c r="P1240" s="26" t="str">
        <f t="shared" si="392"/>
        <v/>
      </c>
      <c r="Q1240" s="26" t="str">
        <f t="shared" si="381"/>
        <v/>
      </c>
      <c r="R1240" s="24" t="str">
        <f t="shared" si="393"/>
        <v/>
      </c>
      <c r="S1240" s="180">
        <f t="shared" si="399"/>
        <v>8</v>
      </c>
      <c r="T1240" s="29">
        <f>SUM($AC$923:$AC1240)</f>
        <v>49500</v>
      </c>
      <c r="U1240" s="25" t="str">
        <f t="shared" si="382"/>
        <v/>
      </c>
      <c r="V1240" s="24" t="str">
        <f>IF(AND(ISNUMBER(R1239),ISNUMBER(R1240)),V1239,IF(AND(R1239="",ISNUMBER(R1240)),IFERROR(LARGE($V$923:$V1239,1)+1,0),""))</f>
        <v/>
      </c>
      <c r="W1240" s="23" t="str">
        <f t="shared" si="394"/>
        <v/>
      </c>
      <c r="X1240" s="22" t="str">
        <f t="shared" si="395"/>
        <v/>
      </c>
      <c r="Y1240" s="236"/>
      <c r="Z1240" s="22"/>
      <c r="AA1240" s="22"/>
      <c r="AB1240" s="22" t="str">
        <f t="shared" si="396"/>
        <v/>
      </c>
      <c r="AC1240" s="22" t="str">
        <f t="shared" si="397"/>
        <v/>
      </c>
      <c r="AD1240" s="22" t="str">
        <f t="shared" si="383"/>
        <v/>
      </c>
      <c r="AE1240" s="22" t="str">
        <f t="shared" si="398"/>
        <v/>
      </c>
      <c r="AF1240" s="22" t="str">
        <f t="shared" si="384"/>
        <v/>
      </c>
      <c r="AG1240" s="22" t="str">
        <f t="shared" si="385"/>
        <v/>
      </c>
      <c r="AH1240" s="22" t="str">
        <f t="shared" si="386"/>
        <v/>
      </c>
      <c r="AI1240" s="22" t="str">
        <f t="shared" si="387"/>
        <v/>
      </c>
      <c r="AJ1240" s="304" t="str">
        <f t="shared" si="388"/>
        <v/>
      </c>
      <c r="AK1240" s="140" t="str">
        <f t="shared" si="389"/>
        <v/>
      </c>
    </row>
    <row r="1241" spans="7:37" x14ac:dyDescent="0.25">
      <c r="G1241" s="235" t="str">
        <f t="shared" si="378"/>
        <v/>
      </c>
      <c r="H1241" s="4" t="str">
        <f t="shared" si="400"/>
        <v/>
      </c>
      <c r="I1241" s="11" t="str">
        <f t="shared" si="379"/>
        <v/>
      </c>
      <c r="K1241" s="30">
        <v>319</v>
      </c>
      <c r="L1241" s="29">
        <f t="shared" si="390"/>
        <v>11371.908376190921</v>
      </c>
      <c r="M1241" s="28" t="str">
        <f t="shared" si="380"/>
        <v/>
      </c>
      <c r="N1241" s="27" t="str">
        <f t="shared" si="391"/>
        <v/>
      </c>
      <c r="O1241" s="26" t="str">
        <f>IF(AND($Q1240=$O$38,IFERROR(LARGE($V$923:$V1240,1)&lt;$N$42,TRUE)),1,IF(AND(ISNUMBER($O1240),$O1240&lt;$N$32),$O1240+1,""))</f>
        <v/>
      </c>
      <c r="P1241" s="26" t="str">
        <f t="shared" si="392"/>
        <v/>
      </c>
      <c r="Q1241" s="26" t="str">
        <f t="shared" si="381"/>
        <v/>
      </c>
      <c r="R1241" s="24" t="str">
        <f t="shared" si="393"/>
        <v/>
      </c>
      <c r="S1241" s="180">
        <f t="shared" si="399"/>
        <v>8</v>
      </c>
      <c r="T1241" s="29">
        <f>SUM($AC$923:$AC1241)</f>
        <v>49500</v>
      </c>
      <c r="U1241" s="25" t="str">
        <f t="shared" si="382"/>
        <v/>
      </c>
      <c r="V1241" s="24" t="str">
        <f>IF(AND(ISNUMBER(R1240),ISNUMBER(R1241)),V1240,IF(AND(R1240="",ISNUMBER(R1241)),IFERROR(LARGE($V$923:$V1240,1)+1,0),""))</f>
        <v/>
      </c>
      <c r="W1241" s="23" t="str">
        <f t="shared" si="394"/>
        <v/>
      </c>
      <c r="X1241" s="22" t="str">
        <f t="shared" si="395"/>
        <v/>
      </c>
      <c r="Y1241" s="236"/>
      <c r="Z1241" s="22"/>
      <c r="AA1241" s="22"/>
      <c r="AB1241" s="22" t="str">
        <f t="shared" si="396"/>
        <v/>
      </c>
      <c r="AC1241" s="22" t="str">
        <f t="shared" si="397"/>
        <v/>
      </c>
      <c r="AD1241" s="22" t="str">
        <f t="shared" si="383"/>
        <v/>
      </c>
      <c r="AE1241" s="22" t="str">
        <f t="shared" si="398"/>
        <v/>
      </c>
      <c r="AF1241" s="22" t="str">
        <f t="shared" si="384"/>
        <v/>
      </c>
      <c r="AG1241" s="22" t="str">
        <f t="shared" si="385"/>
        <v/>
      </c>
      <c r="AH1241" s="22" t="str">
        <f t="shared" si="386"/>
        <v/>
      </c>
      <c r="AI1241" s="22" t="str">
        <f t="shared" si="387"/>
        <v/>
      </c>
      <c r="AJ1241" s="304" t="str">
        <f t="shared" si="388"/>
        <v/>
      </c>
      <c r="AK1241" s="140" t="str">
        <f t="shared" si="389"/>
        <v/>
      </c>
    </row>
    <row r="1242" spans="7:37" x14ac:dyDescent="0.25">
      <c r="G1242" s="235" t="str">
        <f t="shared" si="378"/>
        <v/>
      </c>
      <c r="H1242" s="4" t="str">
        <f t="shared" si="400"/>
        <v/>
      </c>
      <c r="I1242" s="11" t="str">
        <f t="shared" si="379"/>
        <v/>
      </c>
      <c r="K1242" s="30">
        <v>320</v>
      </c>
      <c r="L1242" s="29">
        <f t="shared" si="390"/>
        <v>11371.908376190921</v>
      </c>
      <c r="M1242" s="28" t="str">
        <f t="shared" si="380"/>
        <v/>
      </c>
      <c r="N1242" s="27" t="str">
        <f t="shared" si="391"/>
        <v/>
      </c>
      <c r="O1242" s="26" t="str">
        <f>IF(AND($Q1241=$O$38,IFERROR(LARGE($V$923:$V1241,1)&lt;$N$42,TRUE)),1,IF(AND(ISNUMBER($O1241),$O1241&lt;$N$32),$O1241+1,""))</f>
        <v/>
      </c>
      <c r="P1242" s="26" t="str">
        <f t="shared" si="392"/>
        <v/>
      </c>
      <c r="Q1242" s="26" t="str">
        <f t="shared" si="381"/>
        <v/>
      </c>
      <c r="R1242" s="24" t="str">
        <f t="shared" si="393"/>
        <v/>
      </c>
      <c r="S1242" s="180">
        <f t="shared" si="399"/>
        <v>8</v>
      </c>
      <c r="T1242" s="29">
        <f>SUM($AC$923:$AC1242)</f>
        <v>49500</v>
      </c>
      <c r="U1242" s="25" t="str">
        <f t="shared" si="382"/>
        <v/>
      </c>
      <c r="V1242" s="24" t="str">
        <f>IF(AND(ISNUMBER(R1241),ISNUMBER(R1242)),V1241,IF(AND(R1241="",ISNUMBER(R1242)),IFERROR(LARGE($V$923:$V1241,1)+1,0),""))</f>
        <v/>
      </c>
      <c r="W1242" s="23" t="str">
        <f t="shared" si="394"/>
        <v/>
      </c>
      <c r="X1242" s="22" t="str">
        <f t="shared" si="395"/>
        <v/>
      </c>
      <c r="Y1242" s="236"/>
      <c r="Z1242" s="22"/>
      <c r="AA1242" s="22"/>
      <c r="AB1242" s="22" t="str">
        <f t="shared" si="396"/>
        <v/>
      </c>
      <c r="AC1242" s="22" t="str">
        <f t="shared" si="397"/>
        <v/>
      </c>
      <c r="AD1242" s="22" t="str">
        <f t="shared" si="383"/>
        <v/>
      </c>
      <c r="AE1242" s="22" t="str">
        <f t="shared" si="398"/>
        <v/>
      </c>
      <c r="AF1242" s="22" t="str">
        <f t="shared" si="384"/>
        <v/>
      </c>
      <c r="AG1242" s="22" t="str">
        <f t="shared" si="385"/>
        <v/>
      </c>
      <c r="AH1242" s="22" t="str">
        <f t="shared" si="386"/>
        <v/>
      </c>
      <c r="AI1242" s="22" t="str">
        <f t="shared" si="387"/>
        <v/>
      </c>
      <c r="AJ1242" s="304" t="str">
        <f t="shared" si="388"/>
        <v/>
      </c>
      <c r="AK1242" s="140" t="str">
        <f t="shared" si="389"/>
        <v/>
      </c>
    </row>
    <row r="1243" spans="7:37" x14ac:dyDescent="0.25">
      <c r="G1243" s="235" t="str">
        <f t="shared" ref="G1243:G1306" si="401">IF(RIGHT(H1243,2)=".N","NEW",IF(SUM(N1243:R1243)=0,"",LEFT(H1243,5)))</f>
        <v/>
      </c>
      <c r="H1243" s="4" t="str">
        <f t="shared" si="400"/>
        <v/>
      </c>
      <c r="I1243" s="11" t="str">
        <f t="shared" ref="I1243:I1306" si="402">IF(SUM(N1243:R1243)&gt;0,CONCATENATE(IF(LEN(ROUNDDOWN(S1243,0))=1,CONCATENATE("0",ROUNDDOWN(S1243,0)),ROUNDDOWN(S1243,0)),".",IF(LEN(ROUND(MOD(S1243,1)*100,0))=1,CONCATENATE("0",ROUND(MOD(S1243,1)*100,0)),ROUND(MOD(S1243,1)*100,0)),IF(N1243&lt;&gt;"",".N.",IF(O1243&lt;&gt;"",".R.",IF(P1243&lt;&gt;"",".O.",IF(Q1243&lt;&gt;"",".I.",IF(R1243&lt;&gt;"",".D.",""))))),IF(N1243&lt;&gt;"",N1243,IF(O1243&lt;&gt;"",O1243,IF(P1243&lt;&gt;"",P1243,IF(Q1243&lt;&gt;"",Q1243,IF(R1243&lt;&gt;"",IF(MOD(R1243,$N$44)=0,$N$44,MOD(R1243,$N$44)),"")))))),"")</f>
        <v/>
      </c>
      <c r="K1243" s="30">
        <v>321</v>
      </c>
      <c r="L1243" s="29">
        <f t="shared" si="390"/>
        <v>11371.908376190921</v>
      </c>
      <c r="M1243" s="28" t="str">
        <f t="shared" ref="M1243:M1306" si="403">IFERROR(IF(IF($K1243=1,(($M$23*-1)+($M$24*-1)),IF(ISNUMBER(W1243),W1243,0)+IF(ISNUMBER(X1243),X1243,0)+IF(ISNUMBER(AB1243),AB1243,0)+IF(ISNUMBER(AE1243),AE1243,0)+IF(ISNUMBER(AF1243),AF1243,0)+IF(ISNUMBER(AG1243),AG1243,0)+IF(ISNUMBER(AH1243),AH1243,0)+IF(ISNUMBER(AI1243),AI1243,0)+IF(ISNUMBER(AK1243),AK1243,0))=0,"",IF($K1243=1,(($M$23*-1)+($M$24*-1)),IF(ISNUMBER(W1243),W1243,0)+IF(ISNUMBER(X1243),X1243,0)+IF(ISNUMBER(AB1243),AB1243,0)+IF(ISNUMBER(AE1243),AE1243,0)+IF(ISNUMBER(AF1243),AF1243,0)+IF(ISNUMBER(AG1243),AG1243,0)+IF(ISNUMBER(AH1243),AH1243,0)+IF(ISNUMBER(AI1243),AI1243,0)+IF(ISNUMBER(AK1243),AK1243,0))),"")</f>
        <v/>
      </c>
      <c r="N1243" s="27" t="str">
        <f t="shared" si="391"/>
        <v/>
      </c>
      <c r="O1243" s="26" t="str">
        <f>IF(AND($Q1242=$O$38,IFERROR(LARGE($V$923:$V1242,1)&lt;$N$42,TRUE)),1,IF(AND(ISNUMBER($O1242),$O1242&lt;$N$32),$O1242+1,""))</f>
        <v/>
      </c>
      <c r="P1243" s="26" t="str">
        <f t="shared" si="392"/>
        <v/>
      </c>
      <c r="Q1243" s="26" t="str">
        <f t="shared" ref="Q1243:Q1306" si="404">IF($R1242=($N$43*$N$44),1,IF(AND(ISNUMBER($Q1242),$Q1242&lt;$O$38),$Q1242+1,""))</f>
        <v/>
      </c>
      <c r="R1243" s="24" t="str">
        <f t="shared" si="393"/>
        <v/>
      </c>
      <c r="S1243" s="180">
        <f t="shared" si="399"/>
        <v>8</v>
      </c>
      <c r="T1243" s="29">
        <f>SUM($AC$923:$AC1243)</f>
        <v>49500</v>
      </c>
      <c r="U1243" s="25" t="str">
        <f t="shared" ref="U1243:U1306" si="405">IF(ISNUMBER($R1243),ROUNDUP($R1243/$N$44,0),"")</f>
        <v/>
      </c>
      <c r="V1243" s="24" t="str">
        <f>IF(AND(ISNUMBER(R1242),ISNUMBER(R1243)),V1242,IF(AND(R1242="",ISNUMBER(R1243)),IFERROR(LARGE($V$923:$V1242,1)+1,0),""))</f>
        <v/>
      </c>
      <c r="W1243" s="23" t="str">
        <f t="shared" si="394"/>
        <v/>
      </c>
      <c r="X1243" s="22" t="str">
        <f t="shared" si="395"/>
        <v/>
      </c>
      <c r="Y1243" s="236"/>
      <c r="Z1243" s="22"/>
      <c r="AA1243" s="22"/>
      <c r="AB1243" s="22" t="str">
        <f t="shared" si="396"/>
        <v/>
      </c>
      <c r="AC1243" s="22" t="str">
        <f t="shared" si="397"/>
        <v/>
      </c>
      <c r="AD1243" s="22" t="str">
        <f t="shared" ref="AD1243:AD1306" si="406">IF(IF(OR(AND(ISNUMBER($U1243),IF(ISNUMBER($U1244),$U1244,0)-IF(ISNUMBER($U1243),$U1243,0)=1),AND(ISNUMBER($U1243),$U1244="")),IF($U1243=1,$P$37,0),0)=0,"",IF(OR(AND(ISNUMBER($U1243),IF(ISNUMBER($U1244),$U1244,0)-IF(ISNUMBER($U1243),$U1243,0)=1),AND(ISNUMBER($U1243),$U1244="")),IF($U1243=1,$P$37,0),0))</f>
        <v/>
      </c>
      <c r="AE1243" s="22" t="str">
        <f t="shared" si="398"/>
        <v/>
      </c>
      <c r="AF1243" s="22" t="str">
        <f t="shared" ref="AF1243:AF1306" si="407">IF($O$67="Invoice",IF(AND(ISNUMBER($AC1243),ISNUMBER($O$68)),$AC1243*$O$68*-1,""),IF($O$67="Payment",IF(AND(ISNUMBER($AE1243),ISNUMBER($O$68)),$AE1243*$O$68*-1,""),""))</f>
        <v/>
      </c>
      <c r="AG1243" s="22" t="str">
        <f t="shared" ref="AG1243:AG1306" si="408">IF($O$67="Invoice",IF(AND(ISNUMBER($AC1243),ISNUMBER($O$69)),$AC1243*$O$69*-1,""),IF($O$67="Payment",IF(AND(ISNUMBER($AE1243),ISNUMBER($O$69)),$AE1243*$O$69*-1,""),""))</f>
        <v/>
      </c>
      <c r="AH1243" s="22" t="str">
        <f t="shared" ref="AH1243:AH1306" si="409">IF($O$67="Invoice",IF(AND(ISNUMBER($AC1243),ISNUMBER($O$70)),$AC1243*$O$70*-1,""),IF($O$67="Payment",IF(AND(ISNUMBER($AE1243),ISNUMBER($O$70)),$AE1243*$O$70*-1,""),""))</f>
        <v/>
      </c>
      <c r="AI1243" s="22" t="str">
        <f t="shared" ref="AI1243:AI1306" si="410">IF($O$67="Invoice",IF(AND(ISNUMBER($AC1243),ISNUMBER($O$71)),$AC1243*$O$71*-1,""),IF($O$67="Payment",IF(AND(ISNUMBER($AE1243),ISNUMBER($O$71)),$AE1243*$O$71*-1,""),""))</f>
        <v/>
      </c>
      <c r="AJ1243" s="304" t="str">
        <f t="shared" ref="AJ1243:AJ1306" si="411">IF($O$67="Invoice",IF(AND(ISNUMBER($AC1243),ISNUMBER($O$72)),$AC1243*$O$72*-1,""),IF($O$67="Payment",IF(AND(ISNUMBER($AE1243),ISNUMBER($O$72)),$AE1243*$O$72*-1,""),""))</f>
        <v/>
      </c>
      <c r="AK1243" s="140" t="str">
        <f t="shared" ref="AK1243:AK1306" si="412">IF($O$67="Invoice",IF(AND(ISNUMBER($AC1243),ISNUMBER($O$73)),$AC1243*$O$73*-1,""),IF($O$67="Payment",IF(AND(ISNUMBER($AE1243),ISNUMBER($O$73)),$AE1243*$O$73*-1,""),""))</f>
        <v/>
      </c>
    </row>
    <row r="1244" spans="7:37" x14ac:dyDescent="0.25">
      <c r="G1244" s="235" t="str">
        <f t="shared" si="401"/>
        <v/>
      </c>
      <c r="H1244" s="4" t="str">
        <f t="shared" si="400"/>
        <v/>
      </c>
      <c r="I1244" s="11" t="str">
        <f t="shared" si="402"/>
        <v/>
      </c>
      <c r="K1244" s="30">
        <v>322</v>
      </c>
      <c r="L1244" s="29">
        <f t="shared" ref="L1244:L1307" si="413">IF(ISNUMBER($M1244),$M1244+$L1243,$L1243)</f>
        <v>11371.908376190921</v>
      </c>
      <c r="M1244" s="28" t="str">
        <f t="shared" si="403"/>
        <v/>
      </c>
      <c r="N1244" s="27" t="str">
        <f t="shared" ref="N1244:N1307" si="414">IF($K1243&lt;$N$25,$N1243+1,"")</f>
        <v/>
      </c>
      <c r="O1244" s="26" t="str">
        <f>IF(AND($Q1243=$O$38,IFERROR(LARGE($V$923:$V1243,1)&lt;$N$42,TRUE)),1,IF(AND(ISNUMBER($O1243),$O1243&lt;$N$32),$O1243+1,""))</f>
        <v/>
      </c>
      <c r="P1244" s="26" t="str">
        <f t="shared" ref="P1244:P1307" si="415">IF(OR($N1243=$N$25,O1243=$N$32),1,IF(AND($P1243&lt;$O$37,P1243&gt;0),P1243+1,""))</f>
        <v/>
      </c>
      <c r="Q1244" s="26" t="str">
        <f t="shared" si="404"/>
        <v/>
      </c>
      <c r="R1244" s="24" t="str">
        <f t="shared" ref="R1244:R1307" si="416">IF(AND($P1243=$O$37,$R1243=""),1,IF($R1243&lt;($N$43*$N$44),$R1243+1,""))</f>
        <v/>
      </c>
      <c r="S1244" s="180">
        <f t="shared" si="399"/>
        <v>8</v>
      </c>
      <c r="T1244" s="29">
        <f>SUM($AC$923:$AC1244)</f>
        <v>49500</v>
      </c>
      <c r="U1244" s="25" t="str">
        <f t="shared" si="405"/>
        <v/>
      </c>
      <c r="V1244" s="24" t="str">
        <f>IF(AND(ISNUMBER(R1243),ISNUMBER(R1244)),V1243,IF(AND(R1243="",ISNUMBER(R1244)),IFERROR(LARGE($V$923:$V1243,1)+1,0),""))</f>
        <v/>
      </c>
      <c r="W1244" s="23" t="str">
        <f t="shared" ref="W1244:W1307" si="417">IF($O1244=1,($M$30*-1),"")</f>
        <v/>
      </c>
      <c r="X1244" s="22" t="str">
        <f t="shared" ref="X1244:X1307" si="418">IF($K1244=1,($M$24*-1),IF($O1244=1,($M$31*-1),""))</f>
        <v/>
      </c>
      <c r="Y1244" s="236"/>
      <c r="Z1244" s="22"/>
      <c r="AA1244" s="22"/>
      <c r="AB1244" s="22" t="str">
        <f t="shared" si="396"/>
        <v/>
      </c>
      <c r="AC1244" s="22" t="str">
        <f t="shared" si="397"/>
        <v/>
      </c>
      <c r="AD1244" s="22" t="str">
        <f t="shared" si="406"/>
        <v/>
      </c>
      <c r="AE1244" s="22" t="str">
        <f t="shared" si="398"/>
        <v/>
      </c>
      <c r="AF1244" s="22" t="str">
        <f t="shared" si="407"/>
        <v/>
      </c>
      <c r="AG1244" s="22" t="str">
        <f t="shared" si="408"/>
        <v/>
      </c>
      <c r="AH1244" s="22" t="str">
        <f t="shared" si="409"/>
        <v/>
      </c>
      <c r="AI1244" s="22" t="str">
        <f t="shared" si="410"/>
        <v/>
      </c>
      <c r="AJ1244" s="304" t="str">
        <f t="shared" si="411"/>
        <v/>
      </c>
      <c r="AK1244" s="140" t="str">
        <f t="shared" si="412"/>
        <v/>
      </c>
    </row>
    <row r="1245" spans="7:37" x14ac:dyDescent="0.25">
      <c r="G1245" s="235" t="str">
        <f t="shared" si="401"/>
        <v/>
      </c>
      <c r="H1245" s="4" t="str">
        <f t="shared" si="400"/>
        <v/>
      </c>
      <c r="I1245" s="11" t="str">
        <f t="shared" si="402"/>
        <v/>
      </c>
      <c r="K1245" s="30">
        <v>323</v>
      </c>
      <c r="L1245" s="29">
        <f t="shared" si="413"/>
        <v>11371.908376190921</v>
      </c>
      <c r="M1245" s="28" t="str">
        <f t="shared" si="403"/>
        <v/>
      </c>
      <c r="N1245" s="27" t="str">
        <f t="shared" si="414"/>
        <v/>
      </c>
      <c r="O1245" s="26" t="str">
        <f>IF(AND($Q1244=$O$38,IFERROR(LARGE($V$923:$V1244,1)&lt;$N$42,TRUE)),1,IF(AND(ISNUMBER($O1244),$O1244&lt;$N$32),$O1244+1,""))</f>
        <v/>
      </c>
      <c r="P1245" s="26" t="str">
        <f t="shared" si="415"/>
        <v/>
      </c>
      <c r="Q1245" s="26" t="str">
        <f t="shared" si="404"/>
        <v/>
      </c>
      <c r="R1245" s="24" t="str">
        <f t="shared" si="416"/>
        <v/>
      </c>
      <c r="S1245" s="180">
        <f t="shared" si="399"/>
        <v>8</v>
      </c>
      <c r="T1245" s="29">
        <f>SUM($AC$923:$AC1245)</f>
        <v>49500</v>
      </c>
      <c r="U1245" s="25" t="str">
        <f t="shared" si="405"/>
        <v/>
      </c>
      <c r="V1245" s="24" t="str">
        <f>IF(AND(ISNUMBER(R1244),ISNUMBER(R1245)),V1244,IF(AND(R1244="",ISNUMBER(R1245)),IFERROR(LARGE($V$923:$V1244,1)+1,0),""))</f>
        <v/>
      </c>
      <c r="W1245" s="23" t="str">
        <f t="shared" si="417"/>
        <v/>
      </c>
      <c r="X1245" s="22" t="str">
        <f t="shared" si="418"/>
        <v/>
      </c>
      <c r="Y1245" s="236"/>
      <c r="Z1245" s="22"/>
      <c r="AA1245" s="22"/>
      <c r="AB1245" s="22" t="str">
        <f t="shared" si="396"/>
        <v/>
      </c>
      <c r="AC1245" s="22" t="str">
        <f t="shared" si="397"/>
        <v/>
      </c>
      <c r="AD1245" s="22" t="str">
        <f t="shared" si="406"/>
        <v/>
      </c>
      <c r="AE1245" s="22" t="str">
        <f t="shared" si="398"/>
        <v/>
      </c>
      <c r="AF1245" s="22" t="str">
        <f t="shared" si="407"/>
        <v/>
      </c>
      <c r="AG1245" s="22" t="str">
        <f t="shared" si="408"/>
        <v/>
      </c>
      <c r="AH1245" s="22" t="str">
        <f t="shared" si="409"/>
        <v/>
      </c>
      <c r="AI1245" s="22" t="str">
        <f t="shared" si="410"/>
        <v/>
      </c>
      <c r="AJ1245" s="304" t="str">
        <f t="shared" si="411"/>
        <v/>
      </c>
      <c r="AK1245" s="140" t="str">
        <f t="shared" si="412"/>
        <v/>
      </c>
    </row>
    <row r="1246" spans="7:37" x14ac:dyDescent="0.25">
      <c r="G1246" s="235" t="str">
        <f t="shared" si="401"/>
        <v/>
      </c>
      <c r="H1246" s="4" t="str">
        <f t="shared" si="400"/>
        <v/>
      </c>
      <c r="I1246" s="11" t="str">
        <f t="shared" si="402"/>
        <v/>
      </c>
      <c r="K1246" s="30">
        <v>324</v>
      </c>
      <c r="L1246" s="29">
        <f t="shared" si="413"/>
        <v>11371.908376190921</v>
      </c>
      <c r="M1246" s="28" t="str">
        <f t="shared" si="403"/>
        <v/>
      </c>
      <c r="N1246" s="27" t="str">
        <f t="shared" si="414"/>
        <v/>
      </c>
      <c r="O1246" s="26" t="str">
        <f>IF(AND($Q1245=$O$38,IFERROR(LARGE($V$923:$V1245,1)&lt;$N$42,TRUE)),1,IF(AND(ISNUMBER($O1245),$O1245&lt;$N$32),$O1245+1,""))</f>
        <v/>
      </c>
      <c r="P1246" s="26" t="str">
        <f t="shared" si="415"/>
        <v/>
      </c>
      <c r="Q1246" s="26" t="str">
        <f t="shared" si="404"/>
        <v/>
      </c>
      <c r="R1246" s="24" t="str">
        <f t="shared" si="416"/>
        <v/>
      </c>
      <c r="S1246" s="180">
        <f t="shared" si="399"/>
        <v>8</v>
      </c>
      <c r="T1246" s="29">
        <f>SUM($AC$923:$AC1246)</f>
        <v>49500</v>
      </c>
      <c r="U1246" s="25" t="str">
        <f t="shared" si="405"/>
        <v/>
      </c>
      <c r="V1246" s="24" t="str">
        <f>IF(AND(ISNUMBER(R1245),ISNUMBER(R1246)),V1245,IF(AND(R1245="",ISNUMBER(R1246)),IFERROR(LARGE($V$923:$V1245,1)+1,0),""))</f>
        <v/>
      </c>
      <c r="W1246" s="23" t="str">
        <f t="shared" si="417"/>
        <v/>
      </c>
      <c r="X1246" s="22" t="str">
        <f t="shared" si="418"/>
        <v/>
      </c>
      <c r="Y1246" s="236"/>
      <c r="Z1246" s="22"/>
      <c r="AA1246" s="22"/>
      <c r="AB1246" s="22" t="str">
        <f t="shared" si="396"/>
        <v/>
      </c>
      <c r="AC1246" s="22" t="str">
        <f t="shared" si="397"/>
        <v/>
      </c>
      <c r="AD1246" s="22" t="str">
        <f t="shared" si="406"/>
        <v/>
      </c>
      <c r="AE1246" s="22" t="str">
        <f t="shared" si="398"/>
        <v/>
      </c>
      <c r="AF1246" s="22" t="str">
        <f t="shared" si="407"/>
        <v/>
      </c>
      <c r="AG1246" s="22" t="str">
        <f t="shared" si="408"/>
        <v/>
      </c>
      <c r="AH1246" s="22" t="str">
        <f t="shared" si="409"/>
        <v/>
      </c>
      <c r="AI1246" s="22" t="str">
        <f t="shared" si="410"/>
        <v/>
      </c>
      <c r="AJ1246" s="304" t="str">
        <f t="shared" si="411"/>
        <v/>
      </c>
      <c r="AK1246" s="140" t="str">
        <f t="shared" si="412"/>
        <v/>
      </c>
    </row>
    <row r="1247" spans="7:37" x14ac:dyDescent="0.25">
      <c r="G1247" s="235" t="str">
        <f t="shared" si="401"/>
        <v/>
      </c>
      <c r="H1247" s="4" t="str">
        <f t="shared" si="400"/>
        <v/>
      </c>
      <c r="I1247" s="11" t="str">
        <f t="shared" si="402"/>
        <v/>
      </c>
      <c r="K1247" s="30">
        <v>325</v>
      </c>
      <c r="L1247" s="29">
        <f t="shared" si="413"/>
        <v>11371.908376190921</v>
      </c>
      <c r="M1247" s="28" t="str">
        <f t="shared" si="403"/>
        <v/>
      </c>
      <c r="N1247" s="27" t="str">
        <f t="shared" si="414"/>
        <v/>
      </c>
      <c r="O1247" s="26" t="str">
        <f>IF(AND($Q1246=$O$38,IFERROR(LARGE($V$923:$V1246,1)&lt;$N$42,TRUE)),1,IF(AND(ISNUMBER($O1246),$O1246&lt;$N$32),$O1246+1,""))</f>
        <v/>
      </c>
      <c r="P1247" s="26" t="str">
        <f t="shared" si="415"/>
        <v/>
      </c>
      <c r="Q1247" s="26" t="str">
        <f t="shared" si="404"/>
        <v/>
      </c>
      <c r="R1247" s="24" t="str">
        <f t="shared" si="416"/>
        <v/>
      </c>
      <c r="S1247" s="180">
        <f t="shared" si="399"/>
        <v>8</v>
      </c>
      <c r="T1247" s="29">
        <f>SUM($AC$923:$AC1247)</f>
        <v>49500</v>
      </c>
      <c r="U1247" s="25" t="str">
        <f t="shared" si="405"/>
        <v/>
      </c>
      <c r="V1247" s="24" t="str">
        <f>IF(AND(ISNUMBER(R1246),ISNUMBER(R1247)),V1246,IF(AND(R1246="",ISNUMBER(R1247)),IFERROR(LARGE($V$923:$V1246,1)+1,0),""))</f>
        <v/>
      </c>
      <c r="W1247" s="23" t="str">
        <f t="shared" si="417"/>
        <v/>
      </c>
      <c r="X1247" s="22" t="str">
        <f t="shared" si="418"/>
        <v/>
      </c>
      <c r="Y1247" s="236"/>
      <c r="Z1247" s="22"/>
      <c r="AA1247" s="22"/>
      <c r="AB1247" s="22" t="str">
        <f t="shared" si="396"/>
        <v/>
      </c>
      <c r="AC1247" s="22" t="str">
        <f t="shared" si="397"/>
        <v/>
      </c>
      <c r="AD1247" s="22" t="str">
        <f t="shared" si="406"/>
        <v/>
      </c>
      <c r="AE1247" s="22" t="str">
        <f t="shared" si="398"/>
        <v/>
      </c>
      <c r="AF1247" s="22" t="str">
        <f t="shared" si="407"/>
        <v/>
      </c>
      <c r="AG1247" s="22" t="str">
        <f t="shared" si="408"/>
        <v/>
      </c>
      <c r="AH1247" s="22" t="str">
        <f t="shared" si="409"/>
        <v/>
      </c>
      <c r="AI1247" s="22" t="str">
        <f t="shared" si="410"/>
        <v/>
      </c>
      <c r="AJ1247" s="304" t="str">
        <f t="shared" si="411"/>
        <v/>
      </c>
      <c r="AK1247" s="140" t="str">
        <f t="shared" si="412"/>
        <v/>
      </c>
    </row>
    <row r="1248" spans="7:37" x14ac:dyDescent="0.25">
      <c r="G1248" s="235" t="str">
        <f t="shared" si="401"/>
        <v/>
      </c>
      <c r="H1248" s="4" t="str">
        <f t="shared" si="400"/>
        <v/>
      </c>
      <c r="I1248" s="11" t="str">
        <f t="shared" si="402"/>
        <v/>
      </c>
      <c r="K1248" s="30">
        <v>326</v>
      </c>
      <c r="L1248" s="29">
        <f t="shared" si="413"/>
        <v>11371.908376190921</v>
      </c>
      <c r="M1248" s="28" t="str">
        <f t="shared" si="403"/>
        <v/>
      </c>
      <c r="N1248" s="27" t="str">
        <f t="shared" si="414"/>
        <v/>
      </c>
      <c r="O1248" s="26" t="str">
        <f>IF(AND($Q1247=$O$38,IFERROR(LARGE($V$923:$V1247,1)&lt;$N$42,TRUE)),1,IF(AND(ISNUMBER($O1247),$O1247&lt;$N$32),$O1247+1,""))</f>
        <v/>
      </c>
      <c r="P1248" s="26" t="str">
        <f t="shared" si="415"/>
        <v/>
      </c>
      <c r="Q1248" s="26" t="str">
        <f t="shared" si="404"/>
        <v/>
      </c>
      <c r="R1248" s="24" t="str">
        <f t="shared" si="416"/>
        <v/>
      </c>
      <c r="S1248" s="180">
        <f t="shared" si="399"/>
        <v>8</v>
      </c>
      <c r="T1248" s="29">
        <f>SUM($AC$923:$AC1248)</f>
        <v>49500</v>
      </c>
      <c r="U1248" s="25" t="str">
        <f t="shared" si="405"/>
        <v/>
      </c>
      <c r="V1248" s="24" t="str">
        <f>IF(AND(ISNUMBER(R1247),ISNUMBER(R1248)),V1247,IF(AND(R1247="",ISNUMBER(R1248)),IFERROR(LARGE($V$923:$V1247,1)+1,0),""))</f>
        <v/>
      </c>
      <c r="W1248" s="23" t="str">
        <f t="shared" si="417"/>
        <v/>
      </c>
      <c r="X1248" s="22" t="str">
        <f t="shared" si="418"/>
        <v/>
      </c>
      <c r="Y1248" s="236"/>
      <c r="Z1248" s="22"/>
      <c r="AA1248" s="22"/>
      <c r="AB1248" s="22" t="str">
        <f t="shared" si="396"/>
        <v/>
      </c>
      <c r="AC1248" s="22" t="str">
        <f t="shared" si="397"/>
        <v/>
      </c>
      <c r="AD1248" s="22" t="str">
        <f t="shared" si="406"/>
        <v/>
      </c>
      <c r="AE1248" s="22" t="str">
        <f t="shared" si="398"/>
        <v/>
      </c>
      <c r="AF1248" s="22" t="str">
        <f t="shared" si="407"/>
        <v/>
      </c>
      <c r="AG1248" s="22" t="str">
        <f t="shared" si="408"/>
        <v/>
      </c>
      <c r="AH1248" s="22" t="str">
        <f t="shared" si="409"/>
        <v/>
      </c>
      <c r="AI1248" s="22" t="str">
        <f t="shared" si="410"/>
        <v/>
      </c>
      <c r="AJ1248" s="304" t="str">
        <f t="shared" si="411"/>
        <v/>
      </c>
      <c r="AK1248" s="140" t="str">
        <f t="shared" si="412"/>
        <v/>
      </c>
    </row>
    <row r="1249" spans="7:37" x14ac:dyDescent="0.25">
      <c r="G1249" s="235" t="str">
        <f t="shared" si="401"/>
        <v/>
      </c>
      <c r="H1249" s="4" t="str">
        <f t="shared" si="400"/>
        <v/>
      </c>
      <c r="I1249" s="11" t="str">
        <f t="shared" si="402"/>
        <v/>
      </c>
      <c r="K1249" s="30">
        <v>327</v>
      </c>
      <c r="L1249" s="29">
        <f t="shared" si="413"/>
        <v>11371.908376190921</v>
      </c>
      <c r="M1249" s="28" t="str">
        <f t="shared" si="403"/>
        <v/>
      </c>
      <c r="N1249" s="27" t="str">
        <f t="shared" si="414"/>
        <v/>
      </c>
      <c r="O1249" s="26" t="str">
        <f>IF(AND($Q1248=$O$38,IFERROR(LARGE($V$923:$V1248,1)&lt;$N$42,TRUE)),1,IF(AND(ISNUMBER($O1248),$O1248&lt;$N$32),$O1248+1,""))</f>
        <v/>
      </c>
      <c r="P1249" s="26" t="str">
        <f t="shared" si="415"/>
        <v/>
      </c>
      <c r="Q1249" s="26" t="str">
        <f t="shared" si="404"/>
        <v/>
      </c>
      <c r="R1249" s="24" t="str">
        <f t="shared" si="416"/>
        <v/>
      </c>
      <c r="S1249" s="180">
        <f t="shared" si="399"/>
        <v>8</v>
      </c>
      <c r="T1249" s="29">
        <f>SUM($AC$923:$AC1249)</f>
        <v>49500</v>
      </c>
      <c r="U1249" s="25" t="str">
        <f t="shared" si="405"/>
        <v/>
      </c>
      <c r="V1249" s="24" t="str">
        <f>IF(AND(ISNUMBER(R1248),ISNUMBER(R1249)),V1248,IF(AND(R1248="",ISNUMBER(R1249)),IFERROR(LARGE($V$923:$V1248,1)+1,0),""))</f>
        <v/>
      </c>
      <c r="W1249" s="23" t="str">
        <f t="shared" si="417"/>
        <v/>
      </c>
      <c r="X1249" s="22" t="str">
        <f t="shared" si="418"/>
        <v/>
      </c>
      <c r="Y1249" s="236"/>
      <c r="Z1249" s="22"/>
      <c r="AA1249" s="22"/>
      <c r="AB1249" s="22" t="str">
        <f t="shared" si="396"/>
        <v/>
      </c>
      <c r="AC1249" s="22" t="str">
        <f t="shared" si="397"/>
        <v/>
      </c>
      <c r="AD1249" s="22" t="str">
        <f t="shared" si="406"/>
        <v/>
      </c>
      <c r="AE1249" s="22" t="str">
        <f t="shared" si="398"/>
        <v/>
      </c>
      <c r="AF1249" s="22" t="str">
        <f t="shared" si="407"/>
        <v/>
      </c>
      <c r="AG1249" s="22" t="str">
        <f t="shared" si="408"/>
        <v/>
      </c>
      <c r="AH1249" s="22" t="str">
        <f t="shared" si="409"/>
        <v/>
      </c>
      <c r="AI1249" s="22" t="str">
        <f t="shared" si="410"/>
        <v/>
      </c>
      <c r="AJ1249" s="304" t="str">
        <f t="shared" si="411"/>
        <v/>
      </c>
      <c r="AK1249" s="140" t="str">
        <f t="shared" si="412"/>
        <v/>
      </c>
    </row>
    <row r="1250" spans="7:37" x14ac:dyDescent="0.25">
      <c r="G1250" s="235" t="str">
        <f t="shared" si="401"/>
        <v/>
      </c>
      <c r="H1250" s="4" t="str">
        <f t="shared" si="400"/>
        <v/>
      </c>
      <c r="I1250" s="11" t="str">
        <f t="shared" si="402"/>
        <v/>
      </c>
      <c r="K1250" s="30">
        <v>328</v>
      </c>
      <c r="L1250" s="29">
        <f t="shared" si="413"/>
        <v>11371.908376190921</v>
      </c>
      <c r="M1250" s="28" t="str">
        <f t="shared" si="403"/>
        <v/>
      </c>
      <c r="N1250" s="27" t="str">
        <f t="shared" si="414"/>
        <v/>
      </c>
      <c r="O1250" s="26" t="str">
        <f>IF(AND($Q1249=$O$38,IFERROR(LARGE($V$923:$V1249,1)&lt;$N$42,TRUE)),1,IF(AND(ISNUMBER($O1249),$O1249&lt;$N$32),$O1249+1,""))</f>
        <v/>
      </c>
      <c r="P1250" s="26" t="str">
        <f t="shared" si="415"/>
        <v/>
      </c>
      <c r="Q1250" s="26" t="str">
        <f t="shared" si="404"/>
        <v/>
      </c>
      <c r="R1250" s="24" t="str">
        <f t="shared" si="416"/>
        <v/>
      </c>
      <c r="S1250" s="180">
        <f t="shared" si="399"/>
        <v>8</v>
      </c>
      <c r="T1250" s="29">
        <f>SUM($AC$923:$AC1250)</f>
        <v>49500</v>
      </c>
      <c r="U1250" s="25" t="str">
        <f t="shared" si="405"/>
        <v/>
      </c>
      <c r="V1250" s="24" t="str">
        <f>IF(AND(ISNUMBER(R1249),ISNUMBER(R1250)),V1249,IF(AND(R1249="",ISNUMBER(R1250)),IFERROR(LARGE($V$923:$V1249,1)+1,0),""))</f>
        <v/>
      </c>
      <c r="W1250" s="23" t="str">
        <f t="shared" si="417"/>
        <v/>
      </c>
      <c r="X1250" s="22" t="str">
        <f t="shared" si="418"/>
        <v/>
      </c>
      <c r="Y1250" s="236"/>
      <c r="Z1250" s="22"/>
      <c r="AA1250" s="22"/>
      <c r="AB1250" s="22" t="str">
        <f t="shared" si="396"/>
        <v/>
      </c>
      <c r="AC1250" s="22" t="str">
        <f t="shared" si="397"/>
        <v/>
      </c>
      <c r="AD1250" s="22" t="str">
        <f t="shared" si="406"/>
        <v/>
      </c>
      <c r="AE1250" s="22" t="str">
        <f t="shared" si="398"/>
        <v/>
      </c>
      <c r="AF1250" s="22" t="str">
        <f t="shared" si="407"/>
        <v/>
      </c>
      <c r="AG1250" s="22" t="str">
        <f t="shared" si="408"/>
        <v/>
      </c>
      <c r="AH1250" s="22" t="str">
        <f t="shared" si="409"/>
        <v/>
      </c>
      <c r="AI1250" s="22" t="str">
        <f t="shared" si="410"/>
        <v/>
      </c>
      <c r="AJ1250" s="304" t="str">
        <f t="shared" si="411"/>
        <v/>
      </c>
      <c r="AK1250" s="140" t="str">
        <f t="shared" si="412"/>
        <v/>
      </c>
    </row>
    <row r="1251" spans="7:37" x14ac:dyDescent="0.25">
      <c r="G1251" s="235" t="str">
        <f t="shared" si="401"/>
        <v/>
      </c>
      <c r="H1251" s="4" t="str">
        <f t="shared" si="400"/>
        <v/>
      </c>
      <c r="I1251" s="11" t="str">
        <f t="shared" si="402"/>
        <v/>
      </c>
      <c r="K1251" s="30">
        <v>329</v>
      </c>
      <c r="L1251" s="29">
        <f t="shared" si="413"/>
        <v>11371.908376190921</v>
      </c>
      <c r="M1251" s="28" t="str">
        <f t="shared" si="403"/>
        <v/>
      </c>
      <c r="N1251" s="27" t="str">
        <f t="shared" si="414"/>
        <v/>
      </c>
      <c r="O1251" s="26" t="str">
        <f>IF(AND($Q1250=$O$38,IFERROR(LARGE($V$923:$V1250,1)&lt;$N$42,TRUE)),1,IF(AND(ISNUMBER($O1250),$O1250&lt;$N$32),$O1250+1,""))</f>
        <v/>
      </c>
      <c r="P1251" s="26" t="str">
        <f t="shared" si="415"/>
        <v/>
      </c>
      <c r="Q1251" s="26" t="str">
        <f t="shared" si="404"/>
        <v/>
      </c>
      <c r="R1251" s="24" t="str">
        <f t="shared" si="416"/>
        <v/>
      </c>
      <c r="S1251" s="180">
        <f t="shared" si="399"/>
        <v>8</v>
      </c>
      <c r="T1251" s="29">
        <f>SUM($AC$923:$AC1251)</f>
        <v>49500</v>
      </c>
      <c r="U1251" s="25" t="str">
        <f t="shared" si="405"/>
        <v/>
      </c>
      <c r="V1251" s="24" t="str">
        <f>IF(AND(ISNUMBER(R1250),ISNUMBER(R1251)),V1250,IF(AND(R1250="",ISNUMBER(R1251)),IFERROR(LARGE($V$923:$V1250,1)+1,0),""))</f>
        <v/>
      </c>
      <c r="W1251" s="23" t="str">
        <f t="shared" si="417"/>
        <v/>
      </c>
      <c r="X1251" s="22" t="str">
        <f t="shared" si="418"/>
        <v/>
      </c>
      <c r="Y1251" s="236"/>
      <c r="Z1251" s="22"/>
      <c r="AA1251" s="22"/>
      <c r="AB1251" s="22" t="str">
        <f t="shared" si="396"/>
        <v/>
      </c>
      <c r="AC1251" s="22" t="str">
        <f t="shared" si="397"/>
        <v/>
      </c>
      <c r="AD1251" s="22" t="str">
        <f t="shared" si="406"/>
        <v/>
      </c>
      <c r="AE1251" s="22" t="str">
        <f t="shared" si="398"/>
        <v/>
      </c>
      <c r="AF1251" s="22" t="str">
        <f t="shared" si="407"/>
        <v/>
      </c>
      <c r="AG1251" s="22" t="str">
        <f t="shared" si="408"/>
        <v/>
      </c>
      <c r="AH1251" s="22" t="str">
        <f t="shared" si="409"/>
        <v/>
      </c>
      <c r="AI1251" s="22" t="str">
        <f t="shared" si="410"/>
        <v/>
      </c>
      <c r="AJ1251" s="304" t="str">
        <f t="shared" si="411"/>
        <v/>
      </c>
      <c r="AK1251" s="140" t="str">
        <f t="shared" si="412"/>
        <v/>
      </c>
    </row>
    <row r="1252" spans="7:37" x14ac:dyDescent="0.25">
      <c r="G1252" s="235" t="str">
        <f t="shared" si="401"/>
        <v/>
      </c>
      <c r="H1252" s="4" t="str">
        <f t="shared" si="400"/>
        <v/>
      </c>
      <c r="I1252" s="11" t="str">
        <f t="shared" si="402"/>
        <v/>
      </c>
      <c r="K1252" s="30">
        <v>330</v>
      </c>
      <c r="L1252" s="29">
        <f t="shared" si="413"/>
        <v>11371.908376190921</v>
      </c>
      <c r="M1252" s="28" t="str">
        <f t="shared" si="403"/>
        <v/>
      </c>
      <c r="N1252" s="27" t="str">
        <f t="shared" si="414"/>
        <v/>
      </c>
      <c r="O1252" s="26" t="str">
        <f>IF(AND($Q1251=$O$38,IFERROR(LARGE($V$923:$V1251,1)&lt;$N$42,TRUE)),1,IF(AND(ISNUMBER($O1251),$O1251&lt;$N$32),$O1251+1,""))</f>
        <v/>
      </c>
      <c r="P1252" s="26" t="str">
        <f t="shared" si="415"/>
        <v/>
      </c>
      <c r="Q1252" s="26" t="str">
        <f t="shared" si="404"/>
        <v/>
      </c>
      <c r="R1252" s="24" t="str">
        <f t="shared" si="416"/>
        <v/>
      </c>
      <c r="S1252" s="180">
        <f t="shared" si="399"/>
        <v>8</v>
      </c>
      <c r="T1252" s="29">
        <f>SUM($AC$923:$AC1252)</f>
        <v>49500</v>
      </c>
      <c r="U1252" s="25" t="str">
        <f t="shared" si="405"/>
        <v/>
      </c>
      <c r="V1252" s="24" t="str">
        <f>IF(AND(ISNUMBER(R1251),ISNUMBER(R1252)),V1251,IF(AND(R1251="",ISNUMBER(R1252)),IFERROR(LARGE($V$923:$V1251,1)+1,0),""))</f>
        <v/>
      </c>
      <c r="W1252" s="23" t="str">
        <f t="shared" si="417"/>
        <v/>
      </c>
      <c r="X1252" s="22" t="str">
        <f t="shared" si="418"/>
        <v/>
      </c>
      <c r="Y1252" s="236"/>
      <c r="Z1252" s="22"/>
      <c r="AA1252" s="22"/>
      <c r="AB1252" s="22" t="str">
        <f t="shared" si="396"/>
        <v/>
      </c>
      <c r="AC1252" s="22" t="str">
        <f t="shared" si="397"/>
        <v/>
      </c>
      <c r="AD1252" s="22" t="str">
        <f t="shared" si="406"/>
        <v/>
      </c>
      <c r="AE1252" s="22" t="str">
        <f t="shared" si="398"/>
        <v/>
      </c>
      <c r="AF1252" s="22" t="str">
        <f t="shared" si="407"/>
        <v/>
      </c>
      <c r="AG1252" s="22" t="str">
        <f t="shared" si="408"/>
        <v/>
      </c>
      <c r="AH1252" s="22" t="str">
        <f t="shared" si="409"/>
        <v/>
      </c>
      <c r="AI1252" s="22" t="str">
        <f t="shared" si="410"/>
        <v/>
      </c>
      <c r="AJ1252" s="304" t="str">
        <f t="shared" si="411"/>
        <v/>
      </c>
      <c r="AK1252" s="140" t="str">
        <f t="shared" si="412"/>
        <v/>
      </c>
    </row>
    <row r="1253" spans="7:37" x14ac:dyDescent="0.25">
      <c r="G1253" s="235" t="str">
        <f t="shared" si="401"/>
        <v/>
      </c>
      <c r="H1253" s="4" t="str">
        <f t="shared" si="400"/>
        <v/>
      </c>
      <c r="I1253" s="11" t="str">
        <f t="shared" si="402"/>
        <v/>
      </c>
      <c r="K1253" s="30">
        <v>331</v>
      </c>
      <c r="L1253" s="29">
        <f t="shared" si="413"/>
        <v>11371.908376190921</v>
      </c>
      <c r="M1253" s="28" t="str">
        <f t="shared" si="403"/>
        <v/>
      </c>
      <c r="N1253" s="27" t="str">
        <f t="shared" si="414"/>
        <v/>
      </c>
      <c r="O1253" s="26" t="str">
        <f>IF(AND($Q1252=$O$38,IFERROR(LARGE($V$923:$V1252,1)&lt;$N$42,TRUE)),1,IF(AND(ISNUMBER($O1252),$O1252&lt;$N$32),$O1252+1,""))</f>
        <v/>
      </c>
      <c r="P1253" s="26" t="str">
        <f t="shared" si="415"/>
        <v/>
      </c>
      <c r="Q1253" s="26" t="str">
        <f t="shared" si="404"/>
        <v/>
      </c>
      <c r="R1253" s="24" t="str">
        <f t="shared" si="416"/>
        <v/>
      </c>
      <c r="S1253" s="180">
        <f t="shared" si="399"/>
        <v>8</v>
      </c>
      <c r="T1253" s="29">
        <f>SUM($AC$923:$AC1253)</f>
        <v>49500</v>
      </c>
      <c r="U1253" s="25" t="str">
        <f t="shared" si="405"/>
        <v/>
      </c>
      <c r="V1253" s="24" t="str">
        <f>IF(AND(ISNUMBER(R1252),ISNUMBER(R1253)),V1252,IF(AND(R1252="",ISNUMBER(R1253)),IFERROR(LARGE($V$923:$V1252,1)+1,0),""))</f>
        <v/>
      </c>
      <c r="W1253" s="23" t="str">
        <f t="shared" si="417"/>
        <v/>
      </c>
      <c r="X1253" s="22" t="str">
        <f t="shared" si="418"/>
        <v/>
      </c>
      <c r="Y1253" s="236"/>
      <c r="Z1253" s="22"/>
      <c r="AA1253" s="22"/>
      <c r="AB1253" s="22" t="str">
        <f t="shared" si="396"/>
        <v/>
      </c>
      <c r="AC1253" s="22" t="str">
        <f t="shared" si="397"/>
        <v/>
      </c>
      <c r="AD1253" s="22" t="str">
        <f t="shared" si="406"/>
        <v/>
      </c>
      <c r="AE1253" s="22" t="str">
        <f t="shared" si="398"/>
        <v/>
      </c>
      <c r="AF1253" s="22" t="str">
        <f t="shared" si="407"/>
        <v/>
      </c>
      <c r="AG1253" s="22" t="str">
        <f t="shared" si="408"/>
        <v/>
      </c>
      <c r="AH1253" s="22" t="str">
        <f t="shared" si="409"/>
        <v/>
      </c>
      <c r="AI1253" s="22" t="str">
        <f t="shared" si="410"/>
        <v/>
      </c>
      <c r="AJ1253" s="304" t="str">
        <f t="shared" si="411"/>
        <v/>
      </c>
      <c r="AK1253" s="140" t="str">
        <f t="shared" si="412"/>
        <v/>
      </c>
    </row>
    <row r="1254" spans="7:37" x14ac:dyDescent="0.25">
      <c r="G1254" s="235" t="str">
        <f t="shared" si="401"/>
        <v/>
      </c>
      <c r="H1254" s="4" t="str">
        <f t="shared" si="400"/>
        <v/>
      </c>
      <c r="I1254" s="11" t="str">
        <f t="shared" si="402"/>
        <v/>
      </c>
      <c r="K1254" s="30">
        <v>332</v>
      </c>
      <c r="L1254" s="29">
        <f t="shared" si="413"/>
        <v>11371.908376190921</v>
      </c>
      <c r="M1254" s="28" t="str">
        <f t="shared" si="403"/>
        <v/>
      </c>
      <c r="N1254" s="27" t="str">
        <f t="shared" si="414"/>
        <v/>
      </c>
      <c r="O1254" s="26" t="str">
        <f>IF(AND($Q1253=$O$38,IFERROR(LARGE($V$923:$V1253,1)&lt;$N$42,TRUE)),1,IF(AND(ISNUMBER($O1253),$O1253&lt;$N$32),$O1253+1,""))</f>
        <v/>
      </c>
      <c r="P1254" s="26" t="str">
        <f t="shared" si="415"/>
        <v/>
      </c>
      <c r="Q1254" s="26" t="str">
        <f t="shared" si="404"/>
        <v/>
      </c>
      <c r="R1254" s="24" t="str">
        <f t="shared" si="416"/>
        <v/>
      </c>
      <c r="S1254" s="180">
        <f t="shared" si="399"/>
        <v>8</v>
      </c>
      <c r="T1254" s="29">
        <f>SUM($AC$923:$AC1254)</f>
        <v>49500</v>
      </c>
      <c r="U1254" s="25" t="str">
        <f t="shared" si="405"/>
        <v/>
      </c>
      <c r="V1254" s="24" t="str">
        <f>IF(AND(ISNUMBER(R1253),ISNUMBER(R1254)),V1253,IF(AND(R1253="",ISNUMBER(R1254)),IFERROR(LARGE($V$923:$V1253,1)+1,0),""))</f>
        <v/>
      </c>
      <c r="W1254" s="23" t="str">
        <f t="shared" si="417"/>
        <v/>
      </c>
      <c r="X1254" s="22" t="str">
        <f t="shared" si="418"/>
        <v/>
      </c>
      <c r="Y1254" s="236"/>
      <c r="Z1254" s="22"/>
      <c r="AA1254" s="22"/>
      <c r="AB1254" s="22" t="str">
        <f t="shared" si="396"/>
        <v/>
      </c>
      <c r="AC1254" s="22" t="str">
        <f t="shared" si="397"/>
        <v/>
      </c>
      <c r="AD1254" s="22" t="str">
        <f t="shared" si="406"/>
        <v/>
      </c>
      <c r="AE1254" s="22" t="str">
        <f t="shared" si="398"/>
        <v/>
      </c>
      <c r="AF1254" s="22" t="str">
        <f t="shared" si="407"/>
        <v/>
      </c>
      <c r="AG1254" s="22" t="str">
        <f t="shared" si="408"/>
        <v/>
      </c>
      <c r="AH1254" s="22" t="str">
        <f t="shared" si="409"/>
        <v/>
      </c>
      <c r="AI1254" s="22" t="str">
        <f t="shared" si="410"/>
        <v/>
      </c>
      <c r="AJ1254" s="304" t="str">
        <f t="shared" si="411"/>
        <v/>
      </c>
      <c r="AK1254" s="140" t="str">
        <f t="shared" si="412"/>
        <v/>
      </c>
    </row>
    <row r="1255" spans="7:37" x14ac:dyDescent="0.25">
      <c r="G1255" s="235" t="str">
        <f t="shared" si="401"/>
        <v/>
      </c>
      <c r="H1255" s="4" t="str">
        <f t="shared" si="400"/>
        <v/>
      </c>
      <c r="I1255" s="11" t="str">
        <f t="shared" si="402"/>
        <v/>
      </c>
      <c r="K1255" s="30">
        <v>333</v>
      </c>
      <c r="L1255" s="29">
        <f t="shared" si="413"/>
        <v>11371.908376190921</v>
      </c>
      <c r="M1255" s="28" t="str">
        <f t="shared" si="403"/>
        <v/>
      </c>
      <c r="N1255" s="27" t="str">
        <f t="shared" si="414"/>
        <v/>
      </c>
      <c r="O1255" s="26" t="str">
        <f>IF(AND($Q1254=$O$38,IFERROR(LARGE($V$923:$V1254,1)&lt;$N$42,TRUE)),1,IF(AND(ISNUMBER($O1254),$O1254&lt;$N$32),$O1254+1,""))</f>
        <v/>
      </c>
      <c r="P1255" s="26" t="str">
        <f t="shared" si="415"/>
        <v/>
      </c>
      <c r="Q1255" s="26" t="str">
        <f t="shared" si="404"/>
        <v/>
      </c>
      <c r="R1255" s="24" t="str">
        <f t="shared" si="416"/>
        <v/>
      </c>
      <c r="S1255" s="180">
        <f t="shared" si="399"/>
        <v>8</v>
      </c>
      <c r="T1255" s="29">
        <f>SUM($AC$923:$AC1255)</f>
        <v>49500</v>
      </c>
      <c r="U1255" s="25" t="str">
        <f t="shared" si="405"/>
        <v/>
      </c>
      <c r="V1255" s="24" t="str">
        <f>IF(AND(ISNUMBER(R1254),ISNUMBER(R1255)),V1254,IF(AND(R1254="",ISNUMBER(R1255)),IFERROR(LARGE($V$923:$V1254,1)+1,0),""))</f>
        <v/>
      </c>
      <c r="W1255" s="23" t="str">
        <f t="shared" si="417"/>
        <v/>
      </c>
      <c r="X1255" s="22" t="str">
        <f t="shared" si="418"/>
        <v/>
      </c>
      <c r="Y1255" s="236"/>
      <c r="Z1255" s="22"/>
      <c r="AA1255" s="22"/>
      <c r="AB1255" s="22" t="str">
        <f t="shared" si="396"/>
        <v/>
      </c>
      <c r="AC1255" s="22" t="str">
        <f t="shared" si="397"/>
        <v/>
      </c>
      <c r="AD1255" s="22" t="str">
        <f t="shared" si="406"/>
        <v/>
      </c>
      <c r="AE1255" s="22" t="str">
        <f t="shared" si="398"/>
        <v/>
      </c>
      <c r="AF1255" s="22" t="str">
        <f t="shared" si="407"/>
        <v/>
      </c>
      <c r="AG1255" s="22" t="str">
        <f t="shared" si="408"/>
        <v/>
      </c>
      <c r="AH1255" s="22" t="str">
        <f t="shared" si="409"/>
        <v/>
      </c>
      <c r="AI1255" s="22" t="str">
        <f t="shared" si="410"/>
        <v/>
      </c>
      <c r="AJ1255" s="304" t="str">
        <f t="shared" si="411"/>
        <v/>
      </c>
      <c r="AK1255" s="140" t="str">
        <f t="shared" si="412"/>
        <v/>
      </c>
    </row>
    <row r="1256" spans="7:37" x14ac:dyDescent="0.25">
      <c r="G1256" s="235" t="str">
        <f t="shared" si="401"/>
        <v/>
      </c>
      <c r="H1256" s="4" t="str">
        <f t="shared" si="400"/>
        <v/>
      </c>
      <c r="I1256" s="11" t="str">
        <f t="shared" si="402"/>
        <v/>
      </c>
      <c r="K1256" s="30">
        <v>334</v>
      </c>
      <c r="L1256" s="29">
        <f t="shared" si="413"/>
        <v>11371.908376190921</v>
      </c>
      <c r="M1256" s="28" t="str">
        <f t="shared" si="403"/>
        <v/>
      </c>
      <c r="N1256" s="27" t="str">
        <f t="shared" si="414"/>
        <v/>
      </c>
      <c r="O1256" s="26" t="str">
        <f>IF(AND($Q1255=$O$38,IFERROR(LARGE($V$923:$V1255,1)&lt;$N$42,TRUE)),1,IF(AND(ISNUMBER($O1255),$O1255&lt;$N$32),$O1255+1,""))</f>
        <v/>
      </c>
      <c r="P1256" s="26" t="str">
        <f t="shared" si="415"/>
        <v/>
      </c>
      <c r="Q1256" s="26" t="str">
        <f t="shared" si="404"/>
        <v/>
      </c>
      <c r="R1256" s="24" t="str">
        <f t="shared" si="416"/>
        <v/>
      </c>
      <c r="S1256" s="180">
        <f t="shared" si="399"/>
        <v>8</v>
      </c>
      <c r="T1256" s="29">
        <f>SUM($AC$923:$AC1256)</f>
        <v>49500</v>
      </c>
      <c r="U1256" s="25" t="str">
        <f t="shared" si="405"/>
        <v/>
      </c>
      <c r="V1256" s="24" t="str">
        <f>IF(AND(ISNUMBER(R1255),ISNUMBER(R1256)),V1255,IF(AND(R1255="",ISNUMBER(R1256)),IFERROR(LARGE($V$923:$V1255,1)+1,0),""))</f>
        <v/>
      </c>
      <c r="W1256" s="23" t="str">
        <f t="shared" si="417"/>
        <v/>
      </c>
      <c r="X1256" s="22" t="str">
        <f t="shared" si="418"/>
        <v/>
      </c>
      <c r="Y1256" s="236"/>
      <c r="Z1256" s="22"/>
      <c r="AA1256" s="22"/>
      <c r="AB1256" s="22" t="str">
        <f t="shared" si="396"/>
        <v/>
      </c>
      <c r="AC1256" s="22" t="str">
        <f t="shared" si="397"/>
        <v/>
      </c>
      <c r="AD1256" s="22" t="str">
        <f t="shared" si="406"/>
        <v/>
      </c>
      <c r="AE1256" s="22" t="str">
        <f t="shared" si="398"/>
        <v/>
      </c>
      <c r="AF1256" s="22" t="str">
        <f t="shared" si="407"/>
        <v/>
      </c>
      <c r="AG1256" s="22" t="str">
        <f t="shared" si="408"/>
        <v/>
      </c>
      <c r="AH1256" s="22" t="str">
        <f t="shared" si="409"/>
        <v/>
      </c>
      <c r="AI1256" s="22" t="str">
        <f t="shared" si="410"/>
        <v/>
      </c>
      <c r="AJ1256" s="304" t="str">
        <f t="shared" si="411"/>
        <v/>
      </c>
      <c r="AK1256" s="140" t="str">
        <f t="shared" si="412"/>
        <v/>
      </c>
    </row>
    <row r="1257" spans="7:37" x14ac:dyDescent="0.25">
      <c r="G1257" s="235" t="str">
        <f t="shared" si="401"/>
        <v/>
      </c>
      <c r="H1257" s="4" t="str">
        <f t="shared" si="400"/>
        <v/>
      </c>
      <c r="I1257" s="11" t="str">
        <f t="shared" si="402"/>
        <v/>
      </c>
      <c r="K1257" s="30">
        <v>335</v>
      </c>
      <c r="L1257" s="29">
        <f t="shared" si="413"/>
        <v>11371.908376190921</v>
      </c>
      <c r="M1257" s="28" t="str">
        <f t="shared" si="403"/>
        <v/>
      </c>
      <c r="N1257" s="27" t="str">
        <f t="shared" si="414"/>
        <v/>
      </c>
      <c r="O1257" s="26" t="str">
        <f>IF(AND($Q1256=$O$38,IFERROR(LARGE($V$923:$V1256,1)&lt;$N$42,TRUE)),1,IF(AND(ISNUMBER($O1256),$O1256&lt;$N$32),$O1256+1,""))</f>
        <v/>
      </c>
      <c r="P1257" s="26" t="str">
        <f t="shared" si="415"/>
        <v/>
      </c>
      <c r="Q1257" s="26" t="str">
        <f t="shared" si="404"/>
        <v/>
      </c>
      <c r="R1257" s="24" t="str">
        <f t="shared" si="416"/>
        <v/>
      </c>
      <c r="S1257" s="180">
        <f t="shared" si="399"/>
        <v>8</v>
      </c>
      <c r="T1257" s="29">
        <f>SUM($AC$923:$AC1257)</f>
        <v>49500</v>
      </c>
      <c r="U1257" s="25" t="str">
        <f t="shared" si="405"/>
        <v/>
      </c>
      <c r="V1257" s="24" t="str">
        <f>IF(AND(ISNUMBER(R1256),ISNUMBER(R1257)),V1256,IF(AND(R1256="",ISNUMBER(R1257)),IFERROR(LARGE($V$923:$V1256,1)+1,0),""))</f>
        <v/>
      </c>
      <c r="W1257" s="23" t="str">
        <f t="shared" si="417"/>
        <v/>
      </c>
      <c r="X1257" s="22" t="str">
        <f t="shared" si="418"/>
        <v/>
      </c>
      <c r="Y1257" s="236"/>
      <c r="Z1257" s="22"/>
      <c r="AA1257" s="22"/>
      <c r="AB1257" s="22" t="str">
        <f t="shared" si="396"/>
        <v/>
      </c>
      <c r="AC1257" s="22" t="str">
        <f t="shared" si="397"/>
        <v/>
      </c>
      <c r="AD1257" s="22" t="str">
        <f t="shared" si="406"/>
        <v/>
      </c>
      <c r="AE1257" s="22" t="str">
        <f t="shared" si="398"/>
        <v/>
      </c>
      <c r="AF1257" s="22" t="str">
        <f t="shared" si="407"/>
        <v/>
      </c>
      <c r="AG1257" s="22" t="str">
        <f t="shared" si="408"/>
        <v/>
      </c>
      <c r="AH1257" s="22" t="str">
        <f t="shared" si="409"/>
        <v/>
      </c>
      <c r="AI1257" s="22" t="str">
        <f t="shared" si="410"/>
        <v/>
      </c>
      <c r="AJ1257" s="304" t="str">
        <f t="shared" si="411"/>
        <v/>
      </c>
      <c r="AK1257" s="140" t="str">
        <f t="shared" si="412"/>
        <v/>
      </c>
    </row>
    <row r="1258" spans="7:37" x14ac:dyDescent="0.25">
      <c r="G1258" s="235" t="str">
        <f t="shared" si="401"/>
        <v/>
      </c>
      <c r="H1258" s="4" t="str">
        <f t="shared" si="400"/>
        <v/>
      </c>
      <c r="I1258" s="11" t="str">
        <f t="shared" si="402"/>
        <v/>
      </c>
      <c r="K1258" s="30">
        <v>336</v>
      </c>
      <c r="L1258" s="29">
        <f t="shared" si="413"/>
        <v>11371.908376190921</v>
      </c>
      <c r="M1258" s="28" t="str">
        <f t="shared" si="403"/>
        <v/>
      </c>
      <c r="N1258" s="27" t="str">
        <f t="shared" si="414"/>
        <v/>
      </c>
      <c r="O1258" s="26" t="str">
        <f>IF(AND($Q1257=$O$38,IFERROR(LARGE($V$923:$V1257,1)&lt;$N$42,TRUE)),1,IF(AND(ISNUMBER($O1257),$O1257&lt;$N$32),$O1257+1,""))</f>
        <v/>
      </c>
      <c r="P1258" s="26" t="str">
        <f t="shared" si="415"/>
        <v/>
      </c>
      <c r="Q1258" s="26" t="str">
        <f t="shared" si="404"/>
        <v/>
      </c>
      <c r="R1258" s="24" t="str">
        <f t="shared" si="416"/>
        <v/>
      </c>
      <c r="S1258" s="180">
        <f t="shared" si="399"/>
        <v>8</v>
      </c>
      <c r="T1258" s="29">
        <f>SUM($AC$923:$AC1258)</f>
        <v>49500</v>
      </c>
      <c r="U1258" s="25" t="str">
        <f t="shared" si="405"/>
        <v/>
      </c>
      <c r="V1258" s="24" t="str">
        <f>IF(AND(ISNUMBER(R1257),ISNUMBER(R1258)),V1257,IF(AND(R1257="",ISNUMBER(R1258)),IFERROR(LARGE($V$923:$V1257,1)+1,0),""))</f>
        <v/>
      </c>
      <c r="W1258" s="23" t="str">
        <f t="shared" si="417"/>
        <v/>
      </c>
      <c r="X1258" s="22" t="str">
        <f t="shared" si="418"/>
        <v/>
      </c>
      <c r="Y1258" s="236"/>
      <c r="Z1258" s="22"/>
      <c r="AA1258" s="22"/>
      <c r="AB1258" s="22" t="str">
        <f t="shared" si="396"/>
        <v/>
      </c>
      <c r="AC1258" s="22" t="str">
        <f t="shared" si="397"/>
        <v/>
      </c>
      <c r="AD1258" s="22" t="str">
        <f t="shared" si="406"/>
        <v/>
      </c>
      <c r="AE1258" s="22" t="str">
        <f t="shared" si="398"/>
        <v/>
      </c>
      <c r="AF1258" s="22" t="str">
        <f t="shared" si="407"/>
        <v/>
      </c>
      <c r="AG1258" s="22" t="str">
        <f t="shared" si="408"/>
        <v/>
      </c>
      <c r="AH1258" s="22" t="str">
        <f t="shared" si="409"/>
        <v/>
      </c>
      <c r="AI1258" s="22" t="str">
        <f t="shared" si="410"/>
        <v/>
      </c>
      <c r="AJ1258" s="304" t="str">
        <f t="shared" si="411"/>
        <v/>
      </c>
      <c r="AK1258" s="140" t="str">
        <f t="shared" si="412"/>
        <v/>
      </c>
    </row>
    <row r="1259" spans="7:37" x14ac:dyDescent="0.25">
      <c r="G1259" s="235" t="str">
        <f t="shared" si="401"/>
        <v/>
      </c>
      <c r="H1259" s="4" t="str">
        <f t="shared" si="400"/>
        <v/>
      </c>
      <c r="I1259" s="11" t="str">
        <f t="shared" si="402"/>
        <v/>
      </c>
      <c r="K1259" s="30">
        <v>337</v>
      </c>
      <c r="L1259" s="29">
        <f t="shared" si="413"/>
        <v>11371.908376190921</v>
      </c>
      <c r="M1259" s="28" t="str">
        <f t="shared" si="403"/>
        <v/>
      </c>
      <c r="N1259" s="27" t="str">
        <f t="shared" si="414"/>
        <v/>
      </c>
      <c r="O1259" s="26" t="str">
        <f>IF(AND($Q1258=$O$38,IFERROR(LARGE($V$923:$V1258,1)&lt;$N$42,TRUE)),1,IF(AND(ISNUMBER($O1258),$O1258&lt;$N$32),$O1258+1,""))</f>
        <v/>
      </c>
      <c r="P1259" s="26" t="str">
        <f t="shared" si="415"/>
        <v/>
      </c>
      <c r="Q1259" s="26" t="str">
        <f t="shared" si="404"/>
        <v/>
      </c>
      <c r="R1259" s="24" t="str">
        <f t="shared" si="416"/>
        <v/>
      </c>
      <c r="S1259" s="180">
        <f t="shared" si="399"/>
        <v>8</v>
      </c>
      <c r="T1259" s="29">
        <f>SUM($AC$923:$AC1259)</f>
        <v>49500</v>
      </c>
      <c r="U1259" s="25" t="str">
        <f t="shared" si="405"/>
        <v/>
      </c>
      <c r="V1259" s="24" t="str">
        <f>IF(AND(ISNUMBER(R1258),ISNUMBER(R1259)),V1258,IF(AND(R1258="",ISNUMBER(R1259)),IFERROR(LARGE($V$923:$V1258,1)+1,0),""))</f>
        <v/>
      </c>
      <c r="W1259" s="23" t="str">
        <f t="shared" si="417"/>
        <v/>
      </c>
      <c r="X1259" s="22" t="str">
        <f t="shared" si="418"/>
        <v/>
      </c>
      <c r="Y1259" s="236"/>
      <c r="Z1259" s="22"/>
      <c r="AA1259" s="22"/>
      <c r="AB1259" s="22" t="str">
        <f t="shared" ref="AB1259:AB1322" si="419">IF((IF(AND($P1258="",$P1259=1),($N$37*-1),0)+IF(AND($Q1258="",$Q1259=1),($N$38*-1),0)+IF(OR(AND(ISNUMBER($U1259),IF(ISNUMBER($U1260),$U1260,0)-IF(ISNUMBER($U1259),$U1259,0)=1),AND(ISNUMBER($U1259),$U1260="")),IF($U1259=1,$P$37,0),0))=0,"",(IF(AND($P1258="",$P1259=1),($N$37*-1),0)+IF(AND($Q1258="",$Q1259=1),($N$38*-1),0)+IF(OR(AND(ISNUMBER($U1259),IF(ISNUMBER($U1260),$U1260,0)-IF(ISNUMBER($U1259),$U1259,0)=1),AND(ISNUMBER($U1259),$U1260="")),IF($U1259=1,$P$37,0),0)))</f>
        <v/>
      </c>
      <c r="AC1259" s="22" t="str">
        <f t="shared" ref="AC1259:AC1322" si="420">IF(IF(OR(AND(ISNUMBER($U1259),IF(ISNUMBER($U1260),$U1260,0)-IF(ISNUMBER($U1259),$U1259,0)=1),AND(ISNUMBER($U1259),$U1260="")),VLOOKUP(IF($U1259&gt;$L$63,$L$63,$U1259),$L$52:$N$63,COLUMNS($L$52:$N$52),FALSE),0)=0,"",IF(OR(AND(ISNUMBER($U1259),IF(ISNUMBER($U1260),$U1260,0)-IF(ISNUMBER($U1259),$U1259,0)=1),AND(ISNUMBER($U1259),$U1260="")),VLOOKUP(IF($U1259&gt;$L$63,$L$63,$U1259),$L$52:$N$63,COLUMNS($L$52:$N$52),FALSE),0))</f>
        <v/>
      </c>
      <c r="AD1259" s="22" t="str">
        <f t="shared" si="406"/>
        <v/>
      </c>
      <c r="AE1259" s="22" t="str">
        <f t="shared" ref="AE1259:AE1322" si="421">$AC1259</f>
        <v/>
      </c>
      <c r="AF1259" s="22" t="str">
        <f t="shared" si="407"/>
        <v/>
      </c>
      <c r="AG1259" s="22" t="str">
        <f t="shared" si="408"/>
        <v/>
      </c>
      <c r="AH1259" s="22" t="str">
        <f t="shared" si="409"/>
        <v/>
      </c>
      <c r="AI1259" s="22" t="str">
        <f t="shared" si="410"/>
        <v/>
      </c>
      <c r="AJ1259" s="304" t="str">
        <f t="shared" si="411"/>
        <v/>
      </c>
      <c r="AK1259" s="140" t="str">
        <f t="shared" si="412"/>
        <v/>
      </c>
    </row>
    <row r="1260" spans="7:37" x14ac:dyDescent="0.25">
      <c r="G1260" s="235" t="str">
        <f t="shared" si="401"/>
        <v/>
      </c>
      <c r="H1260" s="4" t="str">
        <f t="shared" si="400"/>
        <v/>
      </c>
      <c r="I1260" s="11" t="str">
        <f t="shared" si="402"/>
        <v/>
      </c>
      <c r="K1260" s="30">
        <v>338</v>
      </c>
      <c r="L1260" s="29">
        <f t="shared" si="413"/>
        <v>11371.908376190921</v>
      </c>
      <c r="M1260" s="28" t="str">
        <f t="shared" si="403"/>
        <v/>
      </c>
      <c r="N1260" s="27" t="str">
        <f t="shared" si="414"/>
        <v/>
      </c>
      <c r="O1260" s="26" t="str">
        <f>IF(AND($Q1259=$O$38,IFERROR(LARGE($V$923:$V1259,1)&lt;$N$42,TRUE)),1,IF(AND(ISNUMBER($O1259),$O1259&lt;$N$32),$O1259+1,""))</f>
        <v/>
      </c>
      <c r="P1260" s="26" t="str">
        <f t="shared" si="415"/>
        <v/>
      </c>
      <c r="Q1260" s="26" t="str">
        <f t="shared" si="404"/>
        <v/>
      </c>
      <c r="R1260" s="24" t="str">
        <f t="shared" si="416"/>
        <v/>
      </c>
      <c r="S1260" s="180">
        <f t="shared" si="399"/>
        <v>8</v>
      </c>
      <c r="T1260" s="29">
        <f>SUM($AC$923:$AC1260)</f>
        <v>49500</v>
      </c>
      <c r="U1260" s="25" t="str">
        <f t="shared" si="405"/>
        <v/>
      </c>
      <c r="V1260" s="24" t="str">
        <f>IF(AND(ISNUMBER(R1259),ISNUMBER(R1260)),V1259,IF(AND(R1259="",ISNUMBER(R1260)),IFERROR(LARGE($V$923:$V1259,1)+1,0),""))</f>
        <v/>
      </c>
      <c r="W1260" s="23" t="str">
        <f t="shared" si="417"/>
        <v/>
      </c>
      <c r="X1260" s="22" t="str">
        <f t="shared" si="418"/>
        <v/>
      </c>
      <c r="Y1260" s="236"/>
      <c r="Z1260" s="22"/>
      <c r="AA1260" s="22"/>
      <c r="AB1260" s="22" t="str">
        <f t="shared" si="419"/>
        <v/>
      </c>
      <c r="AC1260" s="22" t="str">
        <f t="shared" si="420"/>
        <v/>
      </c>
      <c r="AD1260" s="22" t="str">
        <f t="shared" si="406"/>
        <v/>
      </c>
      <c r="AE1260" s="22" t="str">
        <f t="shared" si="421"/>
        <v/>
      </c>
      <c r="AF1260" s="22" t="str">
        <f t="shared" si="407"/>
        <v/>
      </c>
      <c r="AG1260" s="22" t="str">
        <f t="shared" si="408"/>
        <v/>
      </c>
      <c r="AH1260" s="22" t="str">
        <f t="shared" si="409"/>
        <v/>
      </c>
      <c r="AI1260" s="22" t="str">
        <f t="shared" si="410"/>
        <v/>
      </c>
      <c r="AJ1260" s="304" t="str">
        <f t="shared" si="411"/>
        <v/>
      </c>
      <c r="AK1260" s="140" t="str">
        <f t="shared" si="412"/>
        <v/>
      </c>
    </row>
    <row r="1261" spans="7:37" x14ac:dyDescent="0.25">
      <c r="G1261" s="235" t="str">
        <f t="shared" si="401"/>
        <v/>
      </c>
      <c r="H1261" s="4" t="str">
        <f t="shared" si="400"/>
        <v/>
      </c>
      <c r="I1261" s="11" t="str">
        <f t="shared" si="402"/>
        <v/>
      </c>
      <c r="K1261" s="30">
        <v>339</v>
      </c>
      <c r="L1261" s="29">
        <f t="shared" si="413"/>
        <v>11371.908376190921</v>
      </c>
      <c r="M1261" s="28" t="str">
        <f t="shared" si="403"/>
        <v/>
      </c>
      <c r="N1261" s="27" t="str">
        <f t="shared" si="414"/>
        <v/>
      </c>
      <c r="O1261" s="26" t="str">
        <f>IF(AND($Q1260=$O$38,IFERROR(LARGE($V$923:$V1260,1)&lt;$N$42,TRUE)),1,IF(AND(ISNUMBER($O1260),$O1260&lt;$N$32),$O1260+1,""))</f>
        <v/>
      </c>
      <c r="P1261" s="26" t="str">
        <f t="shared" si="415"/>
        <v/>
      </c>
      <c r="Q1261" s="26" t="str">
        <f t="shared" si="404"/>
        <v/>
      </c>
      <c r="R1261" s="24" t="str">
        <f t="shared" si="416"/>
        <v/>
      </c>
      <c r="S1261" s="180">
        <f t="shared" si="399"/>
        <v>8</v>
      </c>
      <c r="T1261" s="29">
        <f>SUM($AC$923:$AC1261)</f>
        <v>49500</v>
      </c>
      <c r="U1261" s="25" t="str">
        <f t="shared" si="405"/>
        <v/>
      </c>
      <c r="V1261" s="24" t="str">
        <f>IF(AND(ISNUMBER(R1260),ISNUMBER(R1261)),V1260,IF(AND(R1260="",ISNUMBER(R1261)),IFERROR(LARGE($V$923:$V1260,1)+1,0),""))</f>
        <v/>
      </c>
      <c r="W1261" s="23" t="str">
        <f t="shared" si="417"/>
        <v/>
      </c>
      <c r="X1261" s="22" t="str">
        <f t="shared" si="418"/>
        <v/>
      </c>
      <c r="Y1261" s="236"/>
      <c r="Z1261" s="22"/>
      <c r="AA1261" s="22"/>
      <c r="AB1261" s="22" t="str">
        <f t="shared" si="419"/>
        <v/>
      </c>
      <c r="AC1261" s="22" t="str">
        <f t="shared" si="420"/>
        <v/>
      </c>
      <c r="AD1261" s="22" t="str">
        <f t="shared" si="406"/>
        <v/>
      </c>
      <c r="AE1261" s="22" t="str">
        <f t="shared" si="421"/>
        <v/>
      </c>
      <c r="AF1261" s="22" t="str">
        <f t="shared" si="407"/>
        <v/>
      </c>
      <c r="AG1261" s="22" t="str">
        <f t="shared" si="408"/>
        <v/>
      </c>
      <c r="AH1261" s="22" t="str">
        <f t="shared" si="409"/>
        <v/>
      </c>
      <c r="AI1261" s="22" t="str">
        <f t="shared" si="410"/>
        <v/>
      </c>
      <c r="AJ1261" s="304" t="str">
        <f t="shared" si="411"/>
        <v/>
      </c>
      <c r="AK1261" s="140" t="str">
        <f t="shared" si="412"/>
        <v/>
      </c>
    </row>
    <row r="1262" spans="7:37" x14ac:dyDescent="0.25">
      <c r="G1262" s="235" t="str">
        <f t="shared" si="401"/>
        <v/>
      </c>
      <c r="H1262" s="4" t="str">
        <f t="shared" si="400"/>
        <v/>
      </c>
      <c r="I1262" s="11" t="str">
        <f t="shared" si="402"/>
        <v/>
      </c>
      <c r="K1262" s="30">
        <v>340</v>
      </c>
      <c r="L1262" s="29">
        <f t="shared" si="413"/>
        <v>11371.908376190921</v>
      </c>
      <c r="M1262" s="28" t="str">
        <f t="shared" si="403"/>
        <v/>
      </c>
      <c r="N1262" s="27" t="str">
        <f t="shared" si="414"/>
        <v/>
      </c>
      <c r="O1262" s="26" t="str">
        <f>IF(AND($Q1261=$O$38,IFERROR(LARGE($V$923:$V1261,1)&lt;$N$42,TRUE)),1,IF(AND(ISNUMBER($O1261),$O1261&lt;$N$32),$O1261+1,""))</f>
        <v/>
      </c>
      <c r="P1262" s="26" t="str">
        <f t="shared" si="415"/>
        <v/>
      </c>
      <c r="Q1262" s="26" t="str">
        <f t="shared" si="404"/>
        <v/>
      </c>
      <c r="R1262" s="24" t="str">
        <f t="shared" si="416"/>
        <v/>
      </c>
      <c r="S1262" s="180">
        <f t="shared" si="399"/>
        <v>8</v>
      </c>
      <c r="T1262" s="29">
        <f>SUM($AC$923:$AC1262)</f>
        <v>49500</v>
      </c>
      <c r="U1262" s="25" t="str">
        <f t="shared" si="405"/>
        <v/>
      </c>
      <c r="V1262" s="24" t="str">
        <f>IF(AND(ISNUMBER(R1261),ISNUMBER(R1262)),V1261,IF(AND(R1261="",ISNUMBER(R1262)),IFERROR(LARGE($V$923:$V1261,1)+1,0),""))</f>
        <v/>
      </c>
      <c r="W1262" s="23" t="str">
        <f t="shared" si="417"/>
        <v/>
      </c>
      <c r="X1262" s="22" t="str">
        <f t="shared" si="418"/>
        <v/>
      </c>
      <c r="Y1262" s="236"/>
      <c r="Z1262" s="22"/>
      <c r="AA1262" s="22"/>
      <c r="AB1262" s="22" t="str">
        <f t="shared" si="419"/>
        <v/>
      </c>
      <c r="AC1262" s="22" t="str">
        <f t="shared" si="420"/>
        <v/>
      </c>
      <c r="AD1262" s="22" t="str">
        <f t="shared" si="406"/>
        <v/>
      </c>
      <c r="AE1262" s="22" t="str">
        <f t="shared" si="421"/>
        <v/>
      </c>
      <c r="AF1262" s="22" t="str">
        <f t="shared" si="407"/>
        <v/>
      </c>
      <c r="AG1262" s="22" t="str">
        <f t="shared" si="408"/>
        <v/>
      </c>
      <c r="AH1262" s="22" t="str">
        <f t="shared" si="409"/>
        <v/>
      </c>
      <c r="AI1262" s="22" t="str">
        <f t="shared" si="410"/>
        <v/>
      </c>
      <c r="AJ1262" s="304" t="str">
        <f t="shared" si="411"/>
        <v/>
      </c>
      <c r="AK1262" s="140" t="str">
        <f t="shared" si="412"/>
        <v/>
      </c>
    </row>
    <row r="1263" spans="7:37" x14ac:dyDescent="0.25">
      <c r="G1263" s="235" t="str">
        <f t="shared" si="401"/>
        <v/>
      </c>
      <c r="H1263" s="4" t="str">
        <f t="shared" si="400"/>
        <v/>
      </c>
      <c r="I1263" s="11" t="str">
        <f t="shared" si="402"/>
        <v/>
      </c>
      <c r="K1263" s="30">
        <v>341</v>
      </c>
      <c r="L1263" s="29">
        <f t="shared" si="413"/>
        <v>11371.908376190921</v>
      </c>
      <c r="M1263" s="28" t="str">
        <f t="shared" si="403"/>
        <v/>
      </c>
      <c r="N1263" s="27" t="str">
        <f t="shared" si="414"/>
        <v/>
      </c>
      <c r="O1263" s="26" t="str">
        <f>IF(AND($Q1262=$O$38,IFERROR(LARGE($V$923:$V1262,1)&lt;$N$42,TRUE)),1,IF(AND(ISNUMBER($O1262),$O1262&lt;$N$32),$O1262+1,""))</f>
        <v/>
      </c>
      <c r="P1263" s="26" t="str">
        <f t="shared" si="415"/>
        <v/>
      </c>
      <c r="Q1263" s="26" t="str">
        <f t="shared" si="404"/>
        <v/>
      </c>
      <c r="R1263" s="24" t="str">
        <f t="shared" si="416"/>
        <v/>
      </c>
      <c r="S1263" s="180">
        <f t="shared" si="399"/>
        <v>8</v>
      </c>
      <c r="T1263" s="29">
        <f>SUM($AC$923:$AC1263)</f>
        <v>49500</v>
      </c>
      <c r="U1263" s="25" t="str">
        <f t="shared" si="405"/>
        <v/>
      </c>
      <c r="V1263" s="24" t="str">
        <f>IF(AND(ISNUMBER(R1262),ISNUMBER(R1263)),V1262,IF(AND(R1262="",ISNUMBER(R1263)),IFERROR(LARGE($V$923:$V1262,1)+1,0),""))</f>
        <v/>
      </c>
      <c r="W1263" s="23" t="str">
        <f t="shared" si="417"/>
        <v/>
      </c>
      <c r="X1263" s="22" t="str">
        <f t="shared" si="418"/>
        <v/>
      </c>
      <c r="Y1263" s="236"/>
      <c r="Z1263" s="22"/>
      <c r="AA1263" s="22"/>
      <c r="AB1263" s="22" t="str">
        <f t="shared" si="419"/>
        <v/>
      </c>
      <c r="AC1263" s="22" t="str">
        <f t="shared" si="420"/>
        <v/>
      </c>
      <c r="AD1263" s="22" t="str">
        <f t="shared" si="406"/>
        <v/>
      </c>
      <c r="AE1263" s="22" t="str">
        <f t="shared" si="421"/>
        <v/>
      </c>
      <c r="AF1263" s="22" t="str">
        <f t="shared" si="407"/>
        <v/>
      </c>
      <c r="AG1263" s="22" t="str">
        <f t="shared" si="408"/>
        <v/>
      </c>
      <c r="AH1263" s="22" t="str">
        <f t="shared" si="409"/>
        <v/>
      </c>
      <c r="AI1263" s="22" t="str">
        <f t="shared" si="410"/>
        <v/>
      </c>
      <c r="AJ1263" s="304" t="str">
        <f t="shared" si="411"/>
        <v/>
      </c>
      <c r="AK1263" s="140" t="str">
        <f t="shared" si="412"/>
        <v/>
      </c>
    </row>
    <row r="1264" spans="7:37" x14ac:dyDescent="0.25">
      <c r="G1264" s="235" t="str">
        <f t="shared" si="401"/>
        <v/>
      </c>
      <c r="H1264" s="4" t="str">
        <f t="shared" si="400"/>
        <v/>
      </c>
      <c r="I1264" s="11" t="str">
        <f t="shared" si="402"/>
        <v/>
      </c>
      <c r="K1264" s="30">
        <v>342</v>
      </c>
      <c r="L1264" s="29">
        <f t="shared" si="413"/>
        <v>11371.908376190921</v>
      </c>
      <c r="M1264" s="28" t="str">
        <f t="shared" si="403"/>
        <v/>
      </c>
      <c r="N1264" s="27" t="str">
        <f t="shared" si="414"/>
        <v/>
      </c>
      <c r="O1264" s="26" t="str">
        <f>IF(AND($Q1263=$O$38,IFERROR(LARGE($V$923:$V1263,1)&lt;$N$42,TRUE)),1,IF(AND(ISNUMBER($O1263),$O1263&lt;$N$32),$O1263+1,""))</f>
        <v/>
      </c>
      <c r="P1264" s="26" t="str">
        <f t="shared" si="415"/>
        <v/>
      </c>
      <c r="Q1264" s="26" t="str">
        <f t="shared" si="404"/>
        <v/>
      </c>
      <c r="R1264" s="24" t="str">
        <f t="shared" si="416"/>
        <v/>
      </c>
      <c r="S1264" s="180">
        <f t="shared" si="399"/>
        <v>8</v>
      </c>
      <c r="T1264" s="29">
        <f>SUM($AC$923:$AC1264)</f>
        <v>49500</v>
      </c>
      <c r="U1264" s="25" t="str">
        <f t="shared" si="405"/>
        <v/>
      </c>
      <c r="V1264" s="24" t="str">
        <f>IF(AND(ISNUMBER(R1263),ISNUMBER(R1264)),V1263,IF(AND(R1263="",ISNUMBER(R1264)),IFERROR(LARGE($V$923:$V1263,1)+1,0),""))</f>
        <v/>
      </c>
      <c r="W1264" s="23" t="str">
        <f t="shared" si="417"/>
        <v/>
      </c>
      <c r="X1264" s="22" t="str">
        <f t="shared" si="418"/>
        <v/>
      </c>
      <c r="Y1264" s="236"/>
      <c r="Z1264" s="22"/>
      <c r="AA1264" s="22"/>
      <c r="AB1264" s="22" t="str">
        <f t="shared" si="419"/>
        <v/>
      </c>
      <c r="AC1264" s="22" t="str">
        <f t="shared" si="420"/>
        <v/>
      </c>
      <c r="AD1264" s="22" t="str">
        <f t="shared" si="406"/>
        <v/>
      </c>
      <c r="AE1264" s="22" t="str">
        <f t="shared" si="421"/>
        <v/>
      </c>
      <c r="AF1264" s="22" t="str">
        <f t="shared" si="407"/>
        <v/>
      </c>
      <c r="AG1264" s="22" t="str">
        <f t="shared" si="408"/>
        <v/>
      </c>
      <c r="AH1264" s="22" t="str">
        <f t="shared" si="409"/>
        <v/>
      </c>
      <c r="AI1264" s="22" t="str">
        <f t="shared" si="410"/>
        <v/>
      </c>
      <c r="AJ1264" s="304" t="str">
        <f t="shared" si="411"/>
        <v/>
      </c>
      <c r="AK1264" s="140" t="str">
        <f t="shared" si="412"/>
        <v/>
      </c>
    </row>
    <row r="1265" spans="7:37" x14ac:dyDescent="0.25">
      <c r="G1265" s="235" t="str">
        <f t="shared" si="401"/>
        <v/>
      </c>
      <c r="H1265" s="4" t="str">
        <f t="shared" si="400"/>
        <v/>
      </c>
      <c r="I1265" s="11" t="str">
        <f t="shared" si="402"/>
        <v/>
      </c>
      <c r="K1265" s="30">
        <v>343</v>
      </c>
      <c r="L1265" s="29">
        <f t="shared" si="413"/>
        <v>11371.908376190921</v>
      </c>
      <c r="M1265" s="28" t="str">
        <f t="shared" si="403"/>
        <v/>
      </c>
      <c r="N1265" s="27" t="str">
        <f t="shared" si="414"/>
        <v/>
      </c>
      <c r="O1265" s="26" t="str">
        <f>IF(AND($Q1264=$O$38,IFERROR(LARGE($V$923:$V1264,1)&lt;$N$42,TRUE)),1,IF(AND(ISNUMBER($O1264),$O1264&lt;$N$32),$O1264+1,""))</f>
        <v/>
      </c>
      <c r="P1265" s="26" t="str">
        <f t="shared" si="415"/>
        <v/>
      </c>
      <c r="Q1265" s="26" t="str">
        <f t="shared" si="404"/>
        <v/>
      </c>
      <c r="R1265" s="24" t="str">
        <f t="shared" si="416"/>
        <v/>
      </c>
      <c r="S1265" s="180">
        <f t="shared" si="399"/>
        <v>8</v>
      </c>
      <c r="T1265" s="29">
        <f>SUM($AC$923:$AC1265)</f>
        <v>49500</v>
      </c>
      <c r="U1265" s="25" t="str">
        <f t="shared" si="405"/>
        <v/>
      </c>
      <c r="V1265" s="24" t="str">
        <f>IF(AND(ISNUMBER(R1264),ISNUMBER(R1265)),V1264,IF(AND(R1264="",ISNUMBER(R1265)),IFERROR(LARGE($V$923:$V1264,1)+1,0),""))</f>
        <v/>
      </c>
      <c r="W1265" s="23" t="str">
        <f t="shared" si="417"/>
        <v/>
      </c>
      <c r="X1265" s="22" t="str">
        <f t="shared" si="418"/>
        <v/>
      </c>
      <c r="Y1265" s="236"/>
      <c r="Z1265" s="22"/>
      <c r="AA1265" s="22"/>
      <c r="AB1265" s="22" t="str">
        <f t="shared" si="419"/>
        <v/>
      </c>
      <c r="AC1265" s="22" t="str">
        <f t="shared" si="420"/>
        <v/>
      </c>
      <c r="AD1265" s="22" t="str">
        <f t="shared" si="406"/>
        <v/>
      </c>
      <c r="AE1265" s="22" t="str">
        <f t="shared" si="421"/>
        <v/>
      </c>
      <c r="AF1265" s="22" t="str">
        <f t="shared" si="407"/>
        <v/>
      </c>
      <c r="AG1265" s="22" t="str">
        <f t="shared" si="408"/>
        <v/>
      </c>
      <c r="AH1265" s="22" t="str">
        <f t="shared" si="409"/>
        <v/>
      </c>
      <c r="AI1265" s="22" t="str">
        <f t="shared" si="410"/>
        <v/>
      </c>
      <c r="AJ1265" s="304" t="str">
        <f t="shared" si="411"/>
        <v/>
      </c>
      <c r="AK1265" s="140" t="str">
        <f t="shared" si="412"/>
        <v/>
      </c>
    </row>
    <row r="1266" spans="7:37" x14ac:dyDescent="0.25">
      <c r="G1266" s="235" t="str">
        <f t="shared" si="401"/>
        <v/>
      </c>
      <c r="H1266" s="4" t="str">
        <f t="shared" si="400"/>
        <v/>
      </c>
      <c r="I1266" s="11" t="str">
        <f t="shared" si="402"/>
        <v/>
      </c>
      <c r="K1266" s="30">
        <v>344</v>
      </c>
      <c r="L1266" s="29">
        <f t="shared" si="413"/>
        <v>11371.908376190921</v>
      </c>
      <c r="M1266" s="28" t="str">
        <f t="shared" si="403"/>
        <v/>
      </c>
      <c r="N1266" s="27" t="str">
        <f t="shared" si="414"/>
        <v/>
      </c>
      <c r="O1266" s="26" t="str">
        <f>IF(AND($Q1265=$O$38,IFERROR(LARGE($V$923:$V1265,1)&lt;$N$42,TRUE)),1,IF(AND(ISNUMBER($O1265),$O1265&lt;$N$32),$O1265+1,""))</f>
        <v/>
      </c>
      <c r="P1266" s="26" t="str">
        <f t="shared" si="415"/>
        <v/>
      </c>
      <c r="Q1266" s="26" t="str">
        <f t="shared" si="404"/>
        <v/>
      </c>
      <c r="R1266" s="24" t="str">
        <f t="shared" si="416"/>
        <v/>
      </c>
      <c r="S1266" s="180">
        <f t="shared" ref="S1266:S1329" si="422">IF($Q1266=1,ROUNDDOWN($S1265,0),IF($O1266=1,ROUNDDOWN($S1265,0)+1,IF($R1266=1,$S1265+0.01,IF(ISNUMBER($U1266),IF(AND($U1266&gt;1,($U1266-$U1265)=1),$S1265+0.01,$S1265),$S1265))))</f>
        <v>8</v>
      </c>
      <c r="T1266" s="29">
        <f>SUM($AC$923:$AC1266)</f>
        <v>49500</v>
      </c>
      <c r="U1266" s="25" t="str">
        <f t="shared" si="405"/>
        <v/>
      </c>
      <c r="V1266" s="24" t="str">
        <f>IF(AND(ISNUMBER(R1265),ISNUMBER(R1266)),V1265,IF(AND(R1265="",ISNUMBER(R1266)),IFERROR(LARGE($V$923:$V1265,1)+1,0),""))</f>
        <v/>
      </c>
      <c r="W1266" s="23" t="str">
        <f t="shared" si="417"/>
        <v/>
      </c>
      <c r="X1266" s="22" t="str">
        <f t="shared" si="418"/>
        <v/>
      </c>
      <c r="Y1266" s="236"/>
      <c r="Z1266" s="22"/>
      <c r="AA1266" s="22"/>
      <c r="AB1266" s="22" t="str">
        <f t="shared" si="419"/>
        <v/>
      </c>
      <c r="AC1266" s="22" t="str">
        <f t="shared" si="420"/>
        <v/>
      </c>
      <c r="AD1266" s="22" t="str">
        <f t="shared" si="406"/>
        <v/>
      </c>
      <c r="AE1266" s="22" t="str">
        <f t="shared" si="421"/>
        <v/>
      </c>
      <c r="AF1266" s="22" t="str">
        <f t="shared" si="407"/>
        <v/>
      </c>
      <c r="AG1266" s="22" t="str">
        <f t="shared" si="408"/>
        <v/>
      </c>
      <c r="AH1266" s="22" t="str">
        <f t="shared" si="409"/>
        <v/>
      </c>
      <c r="AI1266" s="22" t="str">
        <f t="shared" si="410"/>
        <v/>
      </c>
      <c r="AJ1266" s="304" t="str">
        <f t="shared" si="411"/>
        <v/>
      </c>
      <c r="AK1266" s="140" t="str">
        <f t="shared" si="412"/>
        <v/>
      </c>
    </row>
    <row r="1267" spans="7:37" x14ac:dyDescent="0.25">
      <c r="G1267" s="235" t="str">
        <f t="shared" si="401"/>
        <v/>
      </c>
      <c r="H1267" s="4" t="str">
        <f t="shared" si="400"/>
        <v/>
      </c>
      <c r="I1267" s="11" t="str">
        <f t="shared" si="402"/>
        <v/>
      </c>
      <c r="K1267" s="30">
        <v>345</v>
      </c>
      <c r="L1267" s="29">
        <f t="shared" si="413"/>
        <v>11371.908376190921</v>
      </c>
      <c r="M1267" s="28" t="str">
        <f t="shared" si="403"/>
        <v/>
      </c>
      <c r="N1267" s="27" t="str">
        <f t="shared" si="414"/>
        <v/>
      </c>
      <c r="O1267" s="26" t="str">
        <f>IF(AND($Q1266=$O$38,IFERROR(LARGE($V$923:$V1266,1)&lt;$N$42,TRUE)),1,IF(AND(ISNUMBER($O1266),$O1266&lt;$N$32),$O1266+1,""))</f>
        <v/>
      </c>
      <c r="P1267" s="26" t="str">
        <f t="shared" si="415"/>
        <v/>
      </c>
      <c r="Q1267" s="26" t="str">
        <f t="shared" si="404"/>
        <v/>
      </c>
      <c r="R1267" s="24" t="str">
        <f t="shared" si="416"/>
        <v/>
      </c>
      <c r="S1267" s="180">
        <f t="shared" si="422"/>
        <v>8</v>
      </c>
      <c r="T1267" s="29">
        <f>SUM($AC$923:$AC1267)</f>
        <v>49500</v>
      </c>
      <c r="U1267" s="25" t="str">
        <f t="shared" si="405"/>
        <v/>
      </c>
      <c r="V1267" s="24" t="str">
        <f>IF(AND(ISNUMBER(R1266),ISNUMBER(R1267)),V1266,IF(AND(R1266="",ISNUMBER(R1267)),IFERROR(LARGE($V$923:$V1266,1)+1,0),""))</f>
        <v/>
      </c>
      <c r="W1267" s="23" t="str">
        <f t="shared" si="417"/>
        <v/>
      </c>
      <c r="X1267" s="22" t="str">
        <f t="shared" si="418"/>
        <v/>
      </c>
      <c r="Y1267" s="236"/>
      <c r="Z1267" s="22"/>
      <c r="AA1267" s="22"/>
      <c r="AB1267" s="22" t="str">
        <f t="shared" si="419"/>
        <v/>
      </c>
      <c r="AC1267" s="22" t="str">
        <f t="shared" si="420"/>
        <v/>
      </c>
      <c r="AD1267" s="22" t="str">
        <f t="shared" si="406"/>
        <v/>
      </c>
      <c r="AE1267" s="22" t="str">
        <f t="shared" si="421"/>
        <v/>
      </c>
      <c r="AF1267" s="22" t="str">
        <f t="shared" si="407"/>
        <v/>
      </c>
      <c r="AG1267" s="22" t="str">
        <f t="shared" si="408"/>
        <v/>
      </c>
      <c r="AH1267" s="22" t="str">
        <f t="shared" si="409"/>
        <v/>
      </c>
      <c r="AI1267" s="22" t="str">
        <f t="shared" si="410"/>
        <v/>
      </c>
      <c r="AJ1267" s="304" t="str">
        <f t="shared" si="411"/>
        <v/>
      </c>
      <c r="AK1267" s="140" t="str">
        <f t="shared" si="412"/>
        <v/>
      </c>
    </row>
    <row r="1268" spans="7:37" x14ac:dyDescent="0.25">
      <c r="G1268" s="235" t="str">
        <f t="shared" si="401"/>
        <v/>
      </c>
      <c r="H1268" s="4" t="str">
        <f t="shared" si="400"/>
        <v/>
      </c>
      <c r="I1268" s="11" t="str">
        <f t="shared" si="402"/>
        <v/>
      </c>
      <c r="K1268" s="30">
        <v>346</v>
      </c>
      <c r="L1268" s="29">
        <f t="shared" si="413"/>
        <v>11371.908376190921</v>
      </c>
      <c r="M1268" s="28" t="str">
        <f t="shared" si="403"/>
        <v/>
      </c>
      <c r="N1268" s="27" t="str">
        <f t="shared" si="414"/>
        <v/>
      </c>
      <c r="O1268" s="26" t="str">
        <f>IF(AND($Q1267=$O$38,IFERROR(LARGE($V$923:$V1267,1)&lt;$N$42,TRUE)),1,IF(AND(ISNUMBER($O1267),$O1267&lt;$N$32),$O1267+1,""))</f>
        <v/>
      </c>
      <c r="P1268" s="26" t="str">
        <f t="shared" si="415"/>
        <v/>
      </c>
      <c r="Q1268" s="26" t="str">
        <f t="shared" si="404"/>
        <v/>
      </c>
      <c r="R1268" s="24" t="str">
        <f t="shared" si="416"/>
        <v/>
      </c>
      <c r="S1268" s="180">
        <f t="shared" si="422"/>
        <v>8</v>
      </c>
      <c r="T1268" s="29">
        <f>SUM($AC$923:$AC1268)</f>
        <v>49500</v>
      </c>
      <c r="U1268" s="25" t="str">
        <f t="shared" si="405"/>
        <v/>
      </c>
      <c r="V1268" s="24" t="str">
        <f>IF(AND(ISNUMBER(R1267),ISNUMBER(R1268)),V1267,IF(AND(R1267="",ISNUMBER(R1268)),IFERROR(LARGE($V$923:$V1267,1)+1,0),""))</f>
        <v/>
      </c>
      <c r="W1268" s="23" t="str">
        <f t="shared" si="417"/>
        <v/>
      </c>
      <c r="X1268" s="22" t="str">
        <f t="shared" si="418"/>
        <v/>
      </c>
      <c r="Y1268" s="236"/>
      <c r="Z1268" s="22"/>
      <c r="AA1268" s="22"/>
      <c r="AB1268" s="22" t="str">
        <f t="shared" si="419"/>
        <v/>
      </c>
      <c r="AC1268" s="22" t="str">
        <f t="shared" si="420"/>
        <v/>
      </c>
      <c r="AD1268" s="22" t="str">
        <f t="shared" si="406"/>
        <v/>
      </c>
      <c r="AE1268" s="22" t="str">
        <f t="shared" si="421"/>
        <v/>
      </c>
      <c r="AF1268" s="22" t="str">
        <f t="shared" si="407"/>
        <v/>
      </c>
      <c r="AG1268" s="22" t="str">
        <f t="shared" si="408"/>
        <v/>
      </c>
      <c r="AH1268" s="22" t="str">
        <f t="shared" si="409"/>
        <v/>
      </c>
      <c r="AI1268" s="22" t="str">
        <f t="shared" si="410"/>
        <v/>
      </c>
      <c r="AJ1268" s="304" t="str">
        <f t="shared" si="411"/>
        <v/>
      </c>
      <c r="AK1268" s="140" t="str">
        <f t="shared" si="412"/>
        <v/>
      </c>
    </row>
    <row r="1269" spans="7:37" x14ac:dyDescent="0.25">
      <c r="G1269" s="235" t="str">
        <f t="shared" si="401"/>
        <v/>
      </c>
      <c r="H1269" s="4" t="str">
        <f t="shared" si="400"/>
        <v/>
      </c>
      <c r="I1269" s="11" t="str">
        <f t="shared" si="402"/>
        <v/>
      </c>
      <c r="K1269" s="30">
        <v>347</v>
      </c>
      <c r="L1269" s="29">
        <f t="shared" si="413"/>
        <v>11371.908376190921</v>
      </c>
      <c r="M1269" s="28" t="str">
        <f t="shared" si="403"/>
        <v/>
      </c>
      <c r="N1269" s="27" t="str">
        <f t="shared" si="414"/>
        <v/>
      </c>
      <c r="O1269" s="26" t="str">
        <f>IF(AND($Q1268=$O$38,IFERROR(LARGE($V$923:$V1268,1)&lt;$N$42,TRUE)),1,IF(AND(ISNUMBER($O1268),$O1268&lt;$N$32),$O1268+1,""))</f>
        <v/>
      </c>
      <c r="P1269" s="26" t="str">
        <f t="shared" si="415"/>
        <v/>
      </c>
      <c r="Q1269" s="26" t="str">
        <f t="shared" si="404"/>
        <v/>
      </c>
      <c r="R1269" s="24" t="str">
        <f t="shared" si="416"/>
        <v/>
      </c>
      <c r="S1269" s="180">
        <f t="shared" si="422"/>
        <v>8</v>
      </c>
      <c r="T1269" s="29">
        <f>SUM($AC$923:$AC1269)</f>
        <v>49500</v>
      </c>
      <c r="U1269" s="25" t="str">
        <f t="shared" si="405"/>
        <v/>
      </c>
      <c r="V1269" s="24" t="str">
        <f>IF(AND(ISNUMBER(R1268),ISNUMBER(R1269)),V1268,IF(AND(R1268="",ISNUMBER(R1269)),IFERROR(LARGE($V$923:$V1268,1)+1,0),""))</f>
        <v/>
      </c>
      <c r="W1269" s="23" t="str">
        <f t="shared" si="417"/>
        <v/>
      </c>
      <c r="X1269" s="22" t="str">
        <f t="shared" si="418"/>
        <v/>
      </c>
      <c r="Y1269" s="236"/>
      <c r="Z1269" s="22"/>
      <c r="AA1269" s="22"/>
      <c r="AB1269" s="22" t="str">
        <f t="shared" si="419"/>
        <v/>
      </c>
      <c r="AC1269" s="22" t="str">
        <f t="shared" si="420"/>
        <v/>
      </c>
      <c r="AD1269" s="22" t="str">
        <f t="shared" si="406"/>
        <v/>
      </c>
      <c r="AE1269" s="22" t="str">
        <f t="shared" si="421"/>
        <v/>
      </c>
      <c r="AF1269" s="22" t="str">
        <f t="shared" si="407"/>
        <v/>
      </c>
      <c r="AG1269" s="22" t="str">
        <f t="shared" si="408"/>
        <v/>
      </c>
      <c r="AH1269" s="22" t="str">
        <f t="shared" si="409"/>
        <v/>
      </c>
      <c r="AI1269" s="22" t="str">
        <f t="shared" si="410"/>
        <v/>
      </c>
      <c r="AJ1269" s="304" t="str">
        <f t="shared" si="411"/>
        <v/>
      </c>
      <c r="AK1269" s="140" t="str">
        <f t="shared" si="412"/>
        <v/>
      </c>
    </row>
    <row r="1270" spans="7:37" x14ac:dyDescent="0.25">
      <c r="G1270" s="235" t="str">
        <f t="shared" si="401"/>
        <v/>
      </c>
      <c r="H1270" s="4" t="str">
        <f t="shared" si="400"/>
        <v/>
      </c>
      <c r="I1270" s="11" t="str">
        <f t="shared" si="402"/>
        <v/>
      </c>
      <c r="K1270" s="30">
        <v>348</v>
      </c>
      <c r="L1270" s="29">
        <f t="shared" si="413"/>
        <v>11371.908376190921</v>
      </c>
      <c r="M1270" s="28" t="str">
        <f t="shared" si="403"/>
        <v/>
      </c>
      <c r="N1270" s="27" t="str">
        <f t="shared" si="414"/>
        <v/>
      </c>
      <c r="O1270" s="26" t="str">
        <f>IF(AND($Q1269=$O$38,IFERROR(LARGE($V$923:$V1269,1)&lt;$N$42,TRUE)),1,IF(AND(ISNUMBER($O1269),$O1269&lt;$N$32),$O1269+1,""))</f>
        <v/>
      </c>
      <c r="P1270" s="26" t="str">
        <f t="shared" si="415"/>
        <v/>
      </c>
      <c r="Q1270" s="26" t="str">
        <f t="shared" si="404"/>
        <v/>
      </c>
      <c r="R1270" s="24" t="str">
        <f t="shared" si="416"/>
        <v/>
      </c>
      <c r="S1270" s="180">
        <f t="shared" si="422"/>
        <v>8</v>
      </c>
      <c r="T1270" s="29">
        <f>SUM($AC$923:$AC1270)</f>
        <v>49500</v>
      </c>
      <c r="U1270" s="25" t="str">
        <f t="shared" si="405"/>
        <v/>
      </c>
      <c r="V1270" s="24" t="str">
        <f>IF(AND(ISNUMBER(R1269),ISNUMBER(R1270)),V1269,IF(AND(R1269="",ISNUMBER(R1270)),IFERROR(LARGE($V$923:$V1269,1)+1,0),""))</f>
        <v/>
      </c>
      <c r="W1270" s="23" t="str">
        <f t="shared" si="417"/>
        <v/>
      </c>
      <c r="X1270" s="22" t="str">
        <f t="shared" si="418"/>
        <v/>
      </c>
      <c r="Y1270" s="236"/>
      <c r="Z1270" s="22"/>
      <c r="AA1270" s="22"/>
      <c r="AB1270" s="22" t="str">
        <f t="shared" si="419"/>
        <v/>
      </c>
      <c r="AC1270" s="22" t="str">
        <f t="shared" si="420"/>
        <v/>
      </c>
      <c r="AD1270" s="22" t="str">
        <f t="shared" si="406"/>
        <v/>
      </c>
      <c r="AE1270" s="22" t="str">
        <f t="shared" si="421"/>
        <v/>
      </c>
      <c r="AF1270" s="22" t="str">
        <f t="shared" si="407"/>
        <v/>
      </c>
      <c r="AG1270" s="22" t="str">
        <f t="shared" si="408"/>
        <v/>
      </c>
      <c r="AH1270" s="22" t="str">
        <f t="shared" si="409"/>
        <v/>
      </c>
      <c r="AI1270" s="22" t="str">
        <f t="shared" si="410"/>
        <v/>
      </c>
      <c r="AJ1270" s="304" t="str">
        <f t="shared" si="411"/>
        <v/>
      </c>
      <c r="AK1270" s="140" t="str">
        <f t="shared" si="412"/>
        <v/>
      </c>
    </row>
    <row r="1271" spans="7:37" x14ac:dyDescent="0.25">
      <c r="G1271" s="235" t="str">
        <f t="shared" si="401"/>
        <v/>
      </c>
      <c r="H1271" s="4" t="str">
        <f t="shared" si="400"/>
        <v/>
      </c>
      <c r="I1271" s="11" t="str">
        <f t="shared" si="402"/>
        <v/>
      </c>
      <c r="K1271" s="30">
        <v>349</v>
      </c>
      <c r="L1271" s="29">
        <f t="shared" si="413"/>
        <v>11371.908376190921</v>
      </c>
      <c r="M1271" s="28" t="str">
        <f t="shared" si="403"/>
        <v/>
      </c>
      <c r="N1271" s="27" t="str">
        <f t="shared" si="414"/>
        <v/>
      </c>
      <c r="O1271" s="26" t="str">
        <f>IF(AND($Q1270=$O$38,IFERROR(LARGE($V$923:$V1270,1)&lt;$N$42,TRUE)),1,IF(AND(ISNUMBER($O1270),$O1270&lt;$N$32),$O1270+1,""))</f>
        <v/>
      </c>
      <c r="P1271" s="26" t="str">
        <f t="shared" si="415"/>
        <v/>
      </c>
      <c r="Q1271" s="26" t="str">
        <f t="shared" si="404"/>
        <v/>
      </c>
      <c r="R1271" s="24" t="str">
        <f t="shared" si="416"/>
        <v/>
      </c>
      <c r="S1271" s="180">
        <f t="shared" si="422"/>
        <v>8</v>
      </c>
      <c r="T1271" s="29">
        <f>SUM($AC$923:$AC1271)</f>
        <v>49500</v>
      </c>
      <c r="U1271" s="25" t="str">
        <f t="shared" si="405"/>
        <v/>
      </c>
      <c r="V1271" s="24" t="str">
        <f>IF(AND(ISNUMBER(R1270),ISNUMBER(R1271)),V1270,IF(AND(R1270="",ISNUMBER(R1271)),IFERROR(LARGE($V$923:$V1270,1)+1,0),""))</f>
        <v/>
      </c>
      <c r="W1271" s="23" t="str">
        <f t="shared" si="417"/>
        <v/>
      </c>
      <c r="X1271" s="22" t="str">
        <f t="shared" si="418"/>
        <v/>
      </c>
      <c r="Y1271" s="236"/>
      <c r="Z1271" s="22"/>
      <c r="AA1271" s="22"/>
      <c r="AB1271" s="22" t="str">
        <f t="shared" si="419"/>
        <v/>
      </c>
      <c r="AC1271" s="22" t="str">
        <f t="shared" si="420"/>
        <v/>
      </c>
      <c r="AD1271" s="22" t="str">
        <f t="shared" si="406"/>
        <v/>
      </c>
      <c r="AE1271" s="22" t="str">
        <f t="shared" si="421"/>
        <v/>
      </c>
      <c r="AF1271" s="22" t="str">
        <f t="shared" si="407"/>
        <v/>
      </c>
      <c r="AG1271" s="22" t="str">
        <f t="shared" si="408"/>
        <v/>
      </c>
      <c r="AH1271" s="22" t="str">
        <f t="shared" si="409"/>
        <v/>
      </c>
      <c r="AI1271" s="22" t="str">
        <f t="shared" si="410"/>
        <v/>
      </c>
      <c r="AJ1271" s="304" t="str">
        <f t="shared" si="411"/>
        <v/>
      </c>
      <c r="AK1271" s="140" t="str">
        <f t="shared" si="412"/>
        <v/>
      </c>
    </row>
    <row r="1272" spans="7:37" x14ac:dyDescent="0.25">
      <c r="G1272" s="235" t="str">
        <f t="shared" si="401"/>
        <v/>
      </c>
      <c r="H1272" s="4" t="str">
        <f t="shared" si="400"/>
        <v/>
      </c>
      <c r="I1272" s="11" t="str">
        <f t="shared" si="402"/>
        <v/>
      </c>
      <c r="K1272" s="30">
        <v>350</v>
      </c>
      <c r="L1272" s="29">
        <f t="shared" si="413"/>
        <v>11371.908376190921</v>
      </c>
      <c r="M1272" s="28" t="str">
        <f t="shared" si="403"/>
        <v/>
      </c>
      <c r="N1272" s="27" t="str">
        <f t="shared" si="414"/>
        <v/>
      </c>
      <c r="O1272" s="26" t="str">
        <f>IF(AND($Q1271=$O$38,IFERROR(LARGE($V$923:$V1271,1)&lt;$N$42,TRUE)),1,IF(AND(ISNUMBER($O1271),$O1271&lt;$N$32),$O1271+1,""))</f>
        <v/>
      </c>
      <c r="P1272" s="26" t="str">
        <f t="shared" si="415"/>
        <v/>
      </c>
      <c r="Q1272" s="26" t="str">
        <f t="shared" si="404"/>
        <v/>
      </c>
      <c r="R1272" s="24" t="str">
        <f t="shared" si="416"/>
        <v/>
      </c>
      <c r="S1272" s="180">
        <f t="shared" si="422"/>
        <v>8</v>
      </c>
      <c r="T1272" s="29">
        <f>SUM($AC$923:$AC1272)</f>
        <v>49500</v>
      </c>
      <c r="U1272" s="25" t="str">
        <f t="shared" si="405"/>
        <v/>
      </c>
      <c r="V1272" s="24" t="str">
        <f>IF(AND(ISNUMBER(R1271),ISNUMBER(R1272)),V1271,IF(AND(R1271="",ISNUMBER(R1272)),IFERROR(LARGE($V$923:$V1271,1)+1,0),""))</f>
        <v/>
      </c>
      <c r="W1272" s="23" t="str">
        <f t="shared" si="417"/>
        <v/>
      </c>
      <c r="X1272" s="22" t="str">
        <f t="shared" si="418"/>
        <v/>
      </c>
      <c r="Y1272" s="236"/>
      <c r="Z1272" s="22"/>
      <c r="AA1272" s="22"/>
      <c r="AB1272" s="22" t="str">
        <f t="shared" si="419"/>
        <v/>
      </c>
      <c r="AC1272" s="22" t="str">
        <f t="shared" si="420"/>
        <v/>
      </c>
      <c r="AD1272" s="22" t="str">
        <f t="shared" si="406"/>
        <v/>
      </c>
      <c r="AE1272" s="22" t="str">
        <f t="shared" si="421"/>
        <v/>
      </c>
      <c r="AF1272" s="22" t="str">
        <f t="shared" si="407"/>
        <v/>
      </c>
      <c r="AG1272" s="22" t="str">
        <f t="shared" si="408"/>
        <v/>
      </c>
      <c r="AH1272" s="22" t="str">
        <f t="shared" si="409"/>
        <v/>
      </c>
      <c r="AI1272" s="22" t="str">
        <f t="shared" si="410"/>
        <v/>
      </c>
      <c r="AJ1272" s="304" t="str">
        <f t="shared" si="411"/>
        <v/>
      </c>
      <c r="AK1272" s="140" t="str">
        <f t="shared" si="412"/>
        <v/>
      </c>
    </row>
    <row r="1273" spans="7:37" x14ac:dyDescent="0.25">
      <c r="G1273" s="235" t="str">
        <f t="shared" si="401"/>
        <v/>
      </c>
      <c r="H1273" s="4" t="str">
        <f t="shared" si="400"/>
        <v/>
      </c>
      <c r="I1273" s="11" t="str">
        <f t="shared" si="402"/>
        <v/>
      </c>
      <c r="K1273" s="30">
        <v>351</v>
      </c>
      <c r="L1273" s="29">
        <f t="shared" si="413"/>
        <v>11371.908376190921</v>
      </c>
      <c r="M1273" s="28" t="str">
        <f t="shared" si="403"/>
        <v/>
      </c>
      <c r="N1273" s="27" t="str">
        <f t="shared" si="414"/>
        <v/>
      </c>
      <c r="O1273" s="26" t="str">
        <f>IF(AND($Q1272=$O$38,IFERROR(LARGE($V$923:$V1272,1)&lt;$N$42,TRUE)),1,IF(AND(ISNUMBER($O1272),$O1272&lt;$N$32),$O1272+1,""))</f>
        <v/>
      </c>
      <c r="P1273" s="26" t="str">
        <f t="shared" si="415"/>
        <v/>
      </c>
      <c r="Q1273" s="26" t="str">
        <f t="shared" si="404"/>
        <v/>
      </c>
      <c r="R1273" s="24" t="str">
        <f t="shared" si="416"/>
        <v/>
      </c>
      <c r="S1273" s="180">
        <f t="shared" si="422"/>
        <v>8</v>
      </c>
      <c r="T1273" s="29">
        <f>SUM($AC$923:$AC1273)</f>
        <v>49500</v>
      </c>
      <c r="U1273" s="25" t="str">
        <f t="shared" si="405"/>
        <v/>
      </c>
      <c r="V1273" s="24" t="str">
        <f>IF(AND(ISNUMBER(R1272),ISNUMBER(R1273)),V1272,IF(AND(R1272="",ISNUMBER(R1273)),IFERROR(LARGE($V$923:$V1272,1)+1,0),""))</f>
        <v/>
      </c>
      <c r="W1273" s="23" t="str">
        <f t="shared" si="417"/>
        <v/>
      </c>
      <c r="X1273" s="22" t="str">
        <f t="shared" si="418"/>
        <v/>
      </c>
      <c r="Y1273" s="236"/>
      <c r="Z1273" s="22"/>
      <c r="AA1273" s="22"/>
      <c r="AB1273" s="22" t="str">
        <f t="shared" si="419"/>
        <v/>
      </c>
      <c r="AC1273" s="22" t="str">
        <f t="shared" si="420"/>
        <v/>
      </c>
      <c r="AD1273" s="22" t="str">
        <f t="shared" si="406"/>
        <v/>
      </c>
      <c r="AE1273" s="22" t="str">
        <f t="shared" si="421"/>
        <v/>
      </c>
      <c r="AF1273" s="22" t="str">
        <f t="shared" si="407"/>
        <v/>
      </c>
      <c r="AG1273" s="22" t="str">
        <f t="shared" si="408"/>
        <v/>
      </c>
      <c r="AH1273" s="22" t="str">
        <f t="shared" si="409"/>
        <v/>
      </c>
      <c r="AI1273" s="22" t="str">
        <f t="shared" si="410"/>
        <v/>
      </c>
      <c r="AJ1273" s="304" t="str">
        <f t="shared" si="411"/>
        <v/>
      </c>
      <c r="AK1273" s="140" t="str">
        <f t="shared" si="412"/>
        <v/>
      </c>
    </row>
    <row r="1274" spans="7:37" x14ac:dyDescent="0.25">
      <c r="G1274" s="235" t="str">
        <f t="shared" si="401"/>
        <v/>
      </c>
      <c r="H1274" s="4" t="str">
        <f t="shared" ref="H1274:H1337" si="423">IF(SUM(N1274:R1274)&gt;0,CONCATENATE(IF(LEN(ROUNDDOWN(S1274,0))=1,CONCATENATE("0",ROUNDDOWN(S1274,0)),ROUNDDOWN(S1274,0)),".",IF(LEN(ROUND(MOD(S1274,1)*100,0))=1,CONCATENATE("0",ROUND(MOD(S1274,1)*100,0)),ROUND(MOD(S1274,1)*100,0)),IF(N1274&lt;&gt;"",".N",IF(O1274&lt;&gt;"",".R",IF(P1274&lt;&gt;"",".O",IF(Q1274&lt;&gt;"",".I",IF(R1274&lt;&gt;"",".D","")))))),"")</f>
        <v/>
      </c>
      <c r="I1274" s="11" t="str">
        <f t="shared" si="402"/>
        <v/>
      </c>
      <c r="K1274" s="30">
        <v>352</v>
      </c>
      <c r="L1274" s="29">
        <f t="shared" si="413"/>
        <v>11371.908376190921</v>
      </c>
      <c r="M1274" s="28" t="str">
        <f t="shared" si="403"/>
        <v/>
      </c>
      <c r="N1274" s="27" t="str">
        <f t="shared" si="414"/>
        <v/>
      </c>
      <c r="O1274" s="26" t="str">
        <f>IF(AND($Q1273=$O$38,IFERROR(LARGE($V$923:$V1273,1)&lt;$N$42,TRUE)),1,IF(AND(ISNUMBER($O1273),$O1273&lt;$N$32),$O1273+1,""))</f>
        <v/>
      </c>
      <c r="P1274" s="26" t="str">
        <f t="shared" si="415"/>
        <v/>
      </c>
      <c r="Q1274" s="26" t="str">
        <f t="shared" si="404"/>
        <v/>
      </c>
      <c r="R1274" s="24" t="str">
        <f t="shared" si="416"/>
        <v/>
      </c>
      <c r="S1274" s="180">
        <f t="shared" si="422"/>
        <v>8</v>
      </c>
      <c r="T1274" s="29">
        <f>SUM($AC$923:$AC1274)</f>
        <v>49500</v>
      </c>
      <c r="U1274" s="25" t="str">
        <f t="shared" si="405"/>
        <v/>
      </c>
      <c r="V1274" s="24" t="str">
        <f>IF(AND(ISNUMBER(R1273),ISNUMBER(R1274)),V1273,IF(AND(R1273="",ISNUMBER(R1274)),IFERROR(LARGE($V$923:$V1273,1)+1,0),""))</f>
        <v/>
      </c>
      <c r="W1274" s="23" t="str">
        <f t="shared" si="417"/>
        <v/>
      </c>
      <c r="X1274" s="22" t="str">
        <f t="shared" si="418"/>
        <v/>
      </c>
      <c r="Y1274" s="236"/>
      <c r="Z1274" s="22"/>
      <c r="AA1274" s="22"/>
      <c r="AB1274" s="22" t="str">
        <f t="shared" si="419"/>
        <v/>
      </c>
      <c r="AC1274" s="22" t="str">
        <f t="shared" si="420"/>
        <v/>
      </c>
      <c r="AD1274" s="22" t="str">
        <f t="shared" si="406"/>
        <v/>
      </c>
      <c r="AE1274" s="22" t="str">
        <f t="shared" si="421"/>
        <v/>
      </c>
      <c r="AF1274" s="22" t="str">
        <f t="shared" si="407"/>
        <v/>
      </c>
      <c r="AG1274" s="22" t="str">
        <f t="shared" si="408"/>
        <v/>
      </c>
      <c r="AH1274" s="22" t="str">
        <f t="shared" si="409"/>
        <v/>
      </c>
      <c r="AI1274" s="22" t="str">
        <f t="shared" si="410"/>
        <v/>
      </c>
      <c r="AJ1274" s="304" t="str">
        <f t="shared" si="411"/>
        <v/>
      </c>
      <c r="AK1274" s="140" t="str">
        <f t="shared" si="412"/>
        <v/>
      </c>
    </row>
    <row r="1275" spans="7:37" x14ac:dyDescent="0.25">
      <c r="G1275" s="235" t="str">
        <f t="shared" si="401"/>
        <v/>
      </c>
      <c r="H1275" s="4" t="str">
        <f t="shared" si="423"/>
        <v/>
      </c>
      <c r="I1275" s="11" t="str">
        <f t="shared" si="402"/>
        <v/>
      </c>
      <c r="K1275" s="30">
        <v>353</v>
      </c>
      <c r="L1275" s="29">
        <f t="shared" si="413"/>
        <v>11371.908376190921</v>
      </c>
      <c r="M1275" s="28" t="str">
        <f t="shared" si="403"/>
        <v/>
      </c>
      <c r="N1275" s="27" t="str">
        <f t="shared" si="414"/>
        <v/>
      </c>
      <c r="O1275" s="26" t="str">
        <f>IF(AND($Q1274=$O$38,IFERROR(LARGE($V$923:$V1274,1)&lt;$N$42,TRUE)),1,IF(AND(ISNUMBER($O1274),$O1274&lt;$N$32),$O1274+1,""))</f>
        <v/>
      </c>
      <c r="P1275" s="26" t="str">
        <f t="shared" si="415"/>
        <v/>
      </c>
      <c r="Q1275" s="26" t="str">
        <f t="shared" si="404"/>
        <v/>
      </c>
      <c r="R1275" s="24" t="str">
        <f t="shared" si="416"/>
        <v/>
      </c>
      <c r="S1275" s="180">
        <f t="shared" si="422"/>
        <v>8</v>
      </c>
      <c r="T1275" s="29">
        <f>SUM($AC$923:$AC1275)</f>
        <v>49500</v>
      </c>
      <c r="U1275" s="25" t="str">
        <f t="shared" si="405"/>
        <v/>
      </c>
      <c r="V1275" s="24" t="str">
        <f>IF(AND(ISNUMBER(R1274),ISNUMBER(R1275)),V1274,IF(AND(R1274="",ISNUMBER(R1275)),IFERROR(LARGE($V$923:$V1274,1)+1,0),""))</f>
        <v/>
      </c>
      <c r="W1275" s="23" t="str">
        <f t="shared" si="417"/>
        <v/>
      </c>
      <c r="X1275" s="22" t="str">
        <f t="shared" si="418"/>
        <v/>
      </c>
      <c r="Y1275" s="236"/>
      <c r="Z1275" s="22"/>
      <c r="AA1275" s="22"/>
      <c r="AB1275" s="22" t="str">
        <f t="shared" si="419"/>
        <v/>
      </c>
      <c r="AC1275" s="22" t="str">
        <f t="shared" si="420"/>
        <v/>
      </c>
      <c r="AD1275" s="22" t="str">
        <f t="shared" si="406"/>
        <v/>
      </c>
      <c r="AE1275" s="22" t="str">
        <f t="shared" si="421"/>
        <v/>
      </c>
      <c r="AF1275" s="22" t="str">
        <f t="shared" si="407"/>
        <v/>
      </c>
      <c r="AG1275" s="22" t="str">
        <f t="shared" si="408"/>
        <v/>
      </c>
      <c r="AH1275" s="22" t="str">
        <f t="shared" si="409"/>
        <v/>
      </c>
      <c r="AI1275" s="22" t="str">
        <f t="shared" si="410"/>
        <v/>
      </c>
      <c r="AJ1275" s="304" t="str">
        <f t="shared" si="411"/>
        <v/>
      </c>
      <c r="AK1275" s="140" t="str">
        <f t="shared" si="412"/>
        <v/>
      </c>
    </row>
    <row r="1276" spans="7:37" x14ac:dyDescent="0.25">
      <c r="G1276" s="235" t="str">
        <f t="shared" si="401"/>
        <v/>
      </c>
      <c r="H1276" s="4" t="str">
        <f t="shared" si="423"/>
        <v/>
      </c>
      <c r="I1276" s="11" t="str">
        <f t="shared" si="402"/>
        <v/>
      </c>
      <c r="K1276" s="30">
        <v>354</v>
      </c>
      <c r="L1276" s="29">
        <f t="shared" si="413"/>
        <v>11371.908376190921</v>
      </c>
      <c r="M1276" s="28" t="str">
        <f t="shared" si="403"/>
        <v/>
      </c>
      <c r="N1276" s="27" t="str">
        <f t="shared" si="414"/>
        <v/>
      </c>
      <c r="O1276" s="26" t="str">
        <f>IF(AND($Q1275=$O$38,IFERROR(LARGE($V$923:$V1275,1)&lt;$N$42,TRUE)),1,IF(AND(ISNUMBER($O1275),$O1275&lt;$N$32),$O1275+1,""))</f>
        <v/>
      </c>
      <c r="P1276" s="26" t="str">
        <f t="shared" si="415"/>
        <v/>
      </c>
      <c r="Q1276" s="26" t="str">
        <f t="shared" si="404"/>
        <v/>
      </c>
      <c r="R1276" s="24" t="str">
        <f t="shared" si="416"/>
        <v/>
      </c>
      <c r="S1276" s="180">
        <f t="shared" si="422"/>
        <v>8</v>
      </c>
      <c r="T1276" s="29">
        <f>SUM($AC$923:$AC1276)</f>
        <v>49500</v>
      </c>
      <c r="U1276" s="25" t="str">
        <f t="shared" si="405"/>
        <v/>
      </c>
      <c r="V1276" s="24" t="str">
        <f>IF(AND(ISNUMBER(R1275),ISNUMBER(R1276)),V1275,IF(AND(R1275="",ISNUMBER(R1276)),IFERROR(LARGE($V$923:$V1275,1)+1,0),""))</f>
        <v/>
      </c>
      <c r="W1276" s="23" t="str">
        <f t="shared" si="417"/>
        <v/>
      </c>
      <c r="X1276" s="22" t="str">
        <f t="shared" si="418"/>
        <v/>
      </c>
      <c r="Y1276" s="236"/>
      <c r="Z1276" s="22"/>
      <c r="AA1276" s="22"/>
      <c r="AB1276" s="22" t="str">
        <f t="shared" si="419"/>
        <v/>
      </c>
      <c r="AC1276" s="22" t="str">
        <f t="shared" si="420"/>
        <v/>
      </c>
      <c r="AD1276" s="22" t="str">
        <f t="shared" si="406"/>
        <v/>
      </c>
      <c r="AE1276" s="22" t="str">
        <f t="shared" si="421"/>
        <v/>
      </c>
      <c r="AF1276" s="22" t="str">
        <f t="shared" si="407"/>
        <v/>
      </c>
      <c r="AG1276" s="22" t="str">
        <f t="shared" si="408"/>
        <v/>
      </c>
      <c r="AH1276" s="22" t="str">
        <f t="shared" si="409"/>
        <v/>
      </c>
      <c r="AI1276" s="22" t="str">
        <f t="shared" si="410"/>
        <v/>
      </c>
      <c r="AJ1276" s="304" t="str">
        <f t="shared" si="411"/>
        <v/>
      </c>
      <c r="AK1276" s="140" t="str">
        <f t="shared" si="412"/>
        <v/>
      </c>
    </row>
    <row r="1277" spans="7:37" x14ac:dyDescent="0.25">
      <c r="G1277" s="235" t="str">
        <f t="shared" si="401"/>
        <v/>
      </c>
      <c r="H1277" s="4" t="str">
        <f t="shared" si="423"/>
        <v/>
      </c>
      <c r="I1277" s="11" t="str">
        <f t="shared" si="402"/>
        <v/>
      </c>
      <c r="K1277" s="30">
        <v>355</v>
      </c>
      <c r="L1277" s="29">
        <f t="shared" si="413"/>
        <v>11371.908376190921</v>
      </c>
      <c r="M1277" s="28" t="str">
        <f t="shared" si="403"/>
        <v/>
      </c>
      <c r="N1277" s="27" t="str">
        <f t="shared" si="414"/>
        <v/>
      </c>
      <c r="O1277" s="26" t="str">
        <f>IF(AND($Q1276=$O$38,IFERROR(LARGE($V$923:$V1276,1)&lt;$N$42,TRUE)),1,IF(AND(ISNUMBER($O1276),$O1276&lt;$N$32),$O1276+1,""))</f>
        <v/>
      </c>
      <c r="P1277" s="26" t="str">
        <f t="shared" si="415"/>
        <v/>
      </c>
      <c r="Q1277" s="26" t="str">
        <f t="shared" si="404"/>
        <v/>
      </c>
      <c r="R1277" s="24" t="str">
        <f t="shared" si="416"/>
        <v/>
      </c>
      <c r="S1277" s="180">
        <f t="shared" si="422"/>
        <v>8</v>
      </c>
      <c r="T1277" s="29">
        <f>SUM($AC$923:$AC1277)</f>
        <v>49500</v>
      </c>
      <c r="U1277" s="25" t="str">
        <f t="shared" si="405"/>
        <v/>
      </c>
      <c r="V1277" s="24" t="str">
        <f>IF(AND(ISNUMBER(R1276),ISNUMBER(R1277)),V1276,IF(AND(R1276="",ISNUMBER(R1277)),IFERROR(LARGE($V$923:$V1276,1)+1,0),""))</f>
        <v/>
      </c>
      <c r="W1277" s="23" t="str">
        <f t="shared" si="417"/>
        <v/>
      </c>
      <c r="X1277" s="22" t="str">
        <f t="shared" si="418"/>
        <v/>
      </c>
      <c r="Y1277" s="236"/>
      <c r="Z1277" s="22"/>
      <c r="AA1277" s="22"/>
      <c r="AB1277" s="22" t="str">
        <f t="shared" si="419"/>
        <v/>
      </c>
      <c r="AC1277" s="22" t="str">
        <f t="shared" si="420"/>
        <v/>
      </c>
      <c r="AD1277" s="22" t="str">
        <f t="shared" si="406"/>
        <v/>
      </c>
      <c r="AE1277" s="22" t="str">
        <f t="shared" si="421"/>
        <v/>
      </c>
      <c r="AF1277" s="22" t="str">
        <f t="shared" si="407"/>
        <v/>
      </c>
      <c r="AG1277" s="22" t="str">
        <f t="shared" si="408"/>
        <v/>
      </c>
      <c r="AH1277" s="22" t="str">
        <f t="shared" si="409"/>
        <v/>
      </c>
      <c r="AI1277" s="22" t="str">
        <f t="shared" si="410"/>
        <v/>
      </c>
      <c r="AJ1277" s="304" t="str">
        <f t="shared" si="411"/>
        <v/>
      </c>
      <c r="AK1277" s="140" t="str">
        <f t="shared" si="412"/>
        <v/>
      </c>
    </row>
    <row r="1278" spans="7:37" x14ac:dyDescent="0.25">
      <c r="G1278" s="235" t="str">
        <f t="shared" si="401"/>
        <v/>
      </c>
      <c r="H1278" s="4" t="str">
        <f t="shared" si="423"/>
        <v/>
      </c>
      <c r="I1278" s="11" t="str">
        <f t="shared" si="402"/>
        <v/>
      </c>
      <c r="K1278" s="30">
        <v>356</v>
      </c>
      <c r="L1278" s="29">
        <f t="shared" si="413"/>
        <v>11371.908376190921</v>
      </c>
      <c r="M1278" s="28" t="str">
        <f t="shared" si="403"/>
        <v/>
      </c>
      <c r="N1278" s="27" t="str">
        <f t="shared" si="414"/>
        <v/>
      </c>
      <c r="O1278" s="26" t="str">
        <f>IF(AND($Q1277=$O$38,IFERROR(LARGE($V$923:$V1277,1)&lt;$N$42,TRUE)),1,IF(AND(ISNUMBER($O1277),$O1277&lt;$N$32),$O1277+1,""))</f>
        <v/>
      </c>
      <c r="P1278" s="26" t="str">
        <f t="shared" si="415"/>
        <v/>
      </c>
      <c r="Q1278" s="26" t="str">
        <f t="shared" si="404"/>
        <v/>
      </c>
      <c r="R1278" s="24" t="str">
        <f t="shared" si="416"/>
        <v/>
      </c>
      <c r="S1278" s="180">
        <f t="shared" si="422"/>
        <v>8</v>
      </c>
      <c r="T1278" s="29">
        <f>SUM($AC$923:$AC1278)</f>
        <v>49500</v>
      </c>
      <c r="U1278" s="25" t="str">
        <f t="shared" si="405"/>
        <v/>
      </c>
      <c r="V1278" s="24" t="str">
        <f>IF(AND(ISNUMBER(R1277),ISNUMBER(R1278)),V1277,IF(AND(R1277="",ISNUMBER(R1278)),IFERROR(LARGE($V$923:$V1277,1)+1,0),""))</f>
        <v/>
      </c>
      <c r="W1278" s="23" t="str">
        <f t="shared" si="417"/>
        <v/>
      </c>
      <c r="X1278" s="22" t="str">
        <f t="shared" si="418"/>
        <v/>
      </c>
      <c r="Y1278" s="236"/>
      <c r="Z1278" s="22"/>
      <c r="AA1278" s="22"/>
      <c r="AB1278" s="22" t="str">
        <f t="shared" si="419"/>
        <v/>
      </c>
      <c r="AC1278" s="22" t="str">
        <f t="shared" si="420"/>
        <v/>
      </c>
      <c r="AD1278" s="22" t="str">
        <f t="shared" si="406"/>
        <v/>
      </c>
      <c r="AE1278" s="22" t="str">
        <f t="shared" si="421"/>
        <v/>
      </c>
      <c r="AF1278" s="22" t="str">
        <f t="shared" si="407"/>
        <v/>
      </c>
      <c r="AG1278" s="22" t="str">
        <f t="shared" si="408"/>
        <v/>
      </c>
      <c r="AH1278" s="22" t="str">
        <f t="shared" si="409"/>
        <v/>
      </c>
      <c r="AI1278" s="22" t="str">
        <f t="shared" si="410"/>
        <v/>
      </c>
      <c r="AJ1278" s="304" t="str">
        <f t="shared" si="411"/>
        <v/>
      </c>
      <c r="AK1278" s="140" t="str">
        <f t="shared" si="412"/>
        <v/>
      </c>
    </row>
    <row r="1279" spans="7:37" x14ac:dyDescent="0.25">
      <c r="G1279" s="235" t="str">
        <f t="shared" si="401"/>
        <v/>
      </c>
      <c r="H1279" s="4" t="str">
        <f t="shared" si="423"/>
        <v/>
      </c>
      <c r="I1279" s="11" t="str">
        <f t="shared" si="402"/>
        <v/>
      </c>
      <c r="K1279" s="30">
        <v>357</v>
      </c>
      <c r="L1279" s="29">
        <f t="shared" si="413"/>
        <v>11371.908376190921</v>
      </c>
      <c r="M1279" s="28" t="str">
        <f t="shared" si="403"/>
        <v/>
      </c>
      <c r="N1279" s="27" t="str">
        <f t="shared" si="414"/>
        <v/>
      </c>
      <c r="O1279" s="26" t="str">
        <f>IF(AND($Q1278=$O$38,IFERROR(LARGE($V$923:$V1278,1)&lt;$N$42,TRUE)),1,IF(AND(ISNUMBER($O1278),$O1278&lt;$N$32),$O1278+1,""))</f>
        <v/>
      </c>
      <c r="P1279" s="26" t="str">
        <f t="shared" si="415"/>
        <v/>
      </c>
      <c r="Q1279" s="26" t="str">
        <f t="shared" si="404"/>
        <v/>
      </c>
      <c r="R1279" s="24" t="str">
        <f t="shared" si="416"/>
        <v/>
      </c>
      <c r="S1279" s="180">
        <f t="shared" si="422"/>
        <v>8</v>
      </c>
      <c r="T1279" s="29">
        <f>SUM($AC$923:$AC1279)</f>
        <v>49500</v>
      </c>
      <c r="U1279" s="25" t="str">
        <f t="shared" si="405"/>
        <v/>
      </c>
      <c r="V1279" s="24" t="str">
        <f>IF(AND(ISNUMBER(R1278),ISNUMBER(R1279)),V1278,IF(AND(R1278="",ISNUMBER(R1279)),IFERROR(LARGE($V$923:$V1278,1)+1,0),""))</f>
        <v/>
      </c>
      <c r="W1279" s="23" t="str">
        <f t="shared" si="417"/>
        <v/>
      </c>
      <c r="X1279" s="22" t="str">
        <f t="shared" si="418"/>
        <v/>
      </c>
      <c r="Y1279" s="236"/>
      <c r="Z1279" s="22"/>
      <c r="AA1279" s="22"/>
      <c r="AB1279" s="22" t="str">
        <f t="shared" si="419"/>
        <v/>
      </c>
      <c r="AC1279" s="22" t="str">
        <f t="shared" si="420"/>
        <v/>
      </c>
      <c r="AD1279" s="22" t="str">
        <f t="shared" si="406"/>
        <v/>
      </c>
      <c r="AE1279" s="22" t="str">
        <f t="shared" si="421"/>
        <v/>
      </c>
      <c r="AF1279" s="22" t="str">
        <f t="shared" si="407"/>
        <v/>
      </c>
      <c r="AG1279" s="22" t="str">
        <f t="shared" si="408"/>
        <v/>
      </c>
      <c r="AH1279" s="22" t="str">
        <f t="shared" si="409"/>
        <v/>
      </c>
      <c r="AI1279" s="22" t="str">
        <f t="shared" si="410"/>
        <v/>
      </c>
      <c r="AJ1279" s="304" t="str">
        <f t="shared" si="411"/>
        <v/>
      </c>
      <c r="AK1279" s="140" t="str">
        <f t="shared" si="412"/>
        <v/>
      </c>
    </row>
    <row r="1280" spans="7:37" x14ac:dyDescent="0.25">
      <c r="G1280" s="235" t="str">
        <f t="shared" si="401"/>
        <v/>
      </c>
      <c r="H1280" s="4" t="str">
        <f t="shared" si="423"/>
        <v/>
      </c>
      <c r="I1280" s="11" t="str">
        <f t="shared" si="402"/>
        <v/>
      </c>
      <c r="K1280" s="30">
        <v>358</v>
      </c>
      <c r="L1280" s="29">
        <f t="shared" si="413"/>
        <v>11371.908376190921</v>
      </c>
      <c r="M1280" s="28" t="str">
        <f t="shared" si="403"/>
        <v/>
      </c>
      <c r="N1280" s="27" t="str">
        <f t="shared" si="414"/>
        <v/>
      </c>
      <c r="O1280" s="26" t="str">
        <f>IF(AND($Q1279=$O$38,IFERROR(LARGE($V$923:$V1279,1)&lt;$N$42,TRUE)),1,IF(AND(ISNUMBER($O1279),$O1279&lt;$N$32),$O1279+1,""))</f>
        <v/>
      </c>
      <c r="P1280" s="26" t="str">
        <f t="shared" si="415"/>
        <v/>
      </c>
      <c r="Q1280" s="26" t="str">
        <f t="shared" si="404"/>
        <v/>
      </c>
      <c r="R1280" s="24" t="str">
        <f t="shared" si="416"/>
        <v/>
      </c>
      <c r="S1280" s="180">
        <f t="shared" si="422"/>
        <v>8</v>
      </c>
      <c r="T1280" s="29">
        <f>SUM($AC$923:$AC1280)</f>
        <v>49500</v>
      </c>
      <c r="U1280" s="25" t="str">
        <f t="shared" si="405"/>
        <v/>
      </c>
      <c r="V1280" s="24" t="str">
        <f>IF(AND(ISNUMBER(R1279),ISNUMBER(R1280)),V1279,IF(AND(R1279="",ISNUMBER(R1280)),IFERROR(LARGE($V$923:$V1279,1)+1,0),""))</f>
        <v/>
      </c>
      <c r="W1280" s="23" t="str">
        <f t="shared" si="417"/>
        <v/>
      </c>
      <c r="X1280" s="22" t="str">
        <f t="shared" si="418"/>
        <v/>
      </c>
      <c r="Y1280" s="236"/>
      <c r="Z1280" s="22"/>
      <c r="AA1280" s="22"/>
      <c r="AB1280" s="22" t="str">
        <f t="shared" si="419"/>
        <v/>
      </c>
      <c r="AC1280" s="22" t="str">
        <f t="shared" si="420"/>
        <v/>
      </c>
      <c r="AD1280" s="22" t="str">
        <f t="shared" si="406"/>
        <v/>
      </c>
      <c r="AE1280" s="22" t="str">
        <f t="shared" si="421"/>
        <v/>
      </c>
      <c r="AF1280" s="22" t="str">
        <f t="shared" si="407"/>
        <v/>
      </c>
      <c r="AG1280" s="22" t="str">
        <f t="shared" si="408"/>
        <v/>
      </c>
      <c r="AH1280" s="22" t="str">
        <f t="shared" si="409"/>
        <v/>
      </c>
      <c r="AI1280" s="22" t="str">
        <f t="shared" si="410"/>
        <v/>
      </c>
      <c r="AJ1280" s="304" t="str">
        <f t="shared" si="411"/>
        <v/>
      </c>
      <c r="AK1280" s="140" t="str">
        <f t="shared" si="412"/>
        <v/>
      </c>
    </row>
    <row r="1281" spans="7:37" x14ac:dyDescent="0.25">
      <c r="G1281" s="235" t="str">
        <f t="shared" si="401"/>
        <v/>
      </c>
      <c r="H1281" s="4" t="str">
        <f t="shared" si="423"/>
        <v/>
      </c>
      <c r="I1281" s="11" t="str">
        <f t="shared" si="402"/>
        <v/>
      </c>
      <c r="K1281" s="30">
        <v>359</v>
      </c>
      <c r="L1281" s="29">
        <f t="shared" si="413"/>
        <v>11371.908376190921</v>
      </c>
      <c r="M1281" s="28" t="str">
        <f t="shared" si="403"/>
        <v/>
      </c>
      <c r="N1281" s="27" t="str">
        <f t="shared" si="414"/>
        <v/>
      </c>
      <c r="O1281" s="26" t="str">
        <f>IF(AND($Q1280=$O$38,IFERROR(LARGE($V$923:$V1280,1)&lt;$N$42,TRUE)),1,IF(AND(ISNUMBER($O1280),$O1280&lt;$N$32),$O1280+1,""))</f>
        <v/>
      </c>
      <c r="P1281" s="26" t="str">
        <f t="shared" si="415"/>
        <v/>
      </c>
      <c r="Q1281" s="26" t="str">
        <f t="shared" si="404"/>
        <v/>
      </c>
      <c r="R1281" s="24" t="str">
        <f t="shared" si="416"/>
        <v/>
      </c>
      <c r="S1281" s="180">
        <f t="shared" si="422"/>
        <v>8</v>
      </c>
      <c r="T1281" s="29">
        <f>SUM($AC$923:$AC1281)</f>
        <v>49500</v>
      </c>
      <c r="U1281" s="25" t="str">
        <f t="shared" si="405"/>
        <v/>
      </c>
      <c r="V1281" s="24" t="str">
        <f>IF(AND(ISNUMBER(R1280),ISNUMBER(R1281)),V1280,IF(AND(R1280="",ISNUMBER(R1281)),IFERROR(LARGE($V$923:$V1280,1)+1,0),""))</f>
        <v/>
      </c>
      <c r="W1281" s="23" t="str">
        <f t="shared" si="417"/>
        <v/>
      </c>
      <c r="X1281" s="22" t="str">
        <f t="shared" si="418"/>
        <v/>
      </c>
      <c r="Y1281" s="236"/>
      <c r="Z1281" s="22"/>
      <c r="AA1281" s="22"/>
      <c r="AB1281" s="22" t="str">
        <f t="shared" si="419"/>
        <v/>
      </c>
      <c r="AC1281" s="22" t="str">
        <f t="shared" si="420"/>
        <v/>
      </c>
      <c r="AD1281" s="22" t="str">
        <f t="shared" si="406"/>
        <v/>
      </c>
      <c r="AE1281" s="22" t="str">
        <f t="shared" si="421"/>
        <v/>
      </c>
      <c r="AF1281" s="22" t="str">
        <f t="shared" si="407"/>
        <v/>
      </c>
      <c r="AG1281" s="22" t="str">
        <f t="shared" si="408"/>
        <v/>
      </c>
      <c r="AH1281" s="22" t="str">
        <f t="shared" si="409"/>
        <v/>
      </c>
      <c r="AI1281" s="22" t="str">
        <f t="shared" si="410"/>
        <v/>
      </c>
      <c r="AJ1281" s="304" t="str">
        <f t="shared" si="411"/>
        <v/>
      </c>
      <c r="AK1281" s="140" t="str">
        <f t="shared" si="412"/>
        <v/>
      </c>
    </row>
    <row r="1282" spans="7:37" x14ac:dyDescent="0.25">
      <c r="G1282" s="235" t="str">
        <f t="shared" si="401"/>
        <v/>
      </c>
      <c r="H1282" s="4" t="str">
        <f t="shared" si="423"/>
        <v/>
      </c>
      <c r="I1282" s="11" t="str">
        <f t="shared" si="402"/>
        <v/>
      </c>
      <c r="K1282" s="30">
        <v>360</v>
      </c>
      <c r="L1282" s="29">
        <f t="shared" si="413"/>
        <v>11371.908376190921</v>
      </c>
      <c r="M1282" s="28" t="str">
        <f t="shared" si="403"/>
        <v/>
      </c>
      <c r="N1282" s="27" t="str">
        <f t="shared" si="414"/>
        <v/>
      </c>
      <c r="O1282" s="26" t="str">
        <f>IF(AND($Q1281=$O$38,IFERROR(LARGE($V$923:$V1281,1)&lt;$N$42,TRUE)),1,IF(AND(ISNUMBER($O1281),$O1281&lt;$N$32),$O1281+1,""))</f>
        <v/>
      </c>
      <c r="P1282" s="26" t="str">
        <f t="shared" si="415"/>
        <v/>
      </c>
      <c r="Q1282" s="26" t="str">
        <f t="shared" si="404"/>
        <v/>
      </c>
      <c r="R1282" s="24" t="str">
        <f t="shared" si="416"/>
        <v/>
      </c>
      <c r="S1282" s="180">
        <f t="shared" si="422"/>
        <v>8</v>
      </c>
      <c r="T1282" s="29">
        <f>SUM($AC$923:$AC1282)</f>
        <v>49500</v>
      </c>
      <c r="U1282" s="25" t="str">
        <f t="shared" si="405"/>
        <v/>
      </c>
      <c r="V1282" s="24" t="str">
        <f>IF(AND(ISNUMBER(R1281),ISNUMBER(R1282)),V1281,IF(AND(R1281="",ISNUMBER(R1282)),IFERROR(LARGE($V$923:$V1281,1)+1,0),""))</f>
        <v/>
      </c>
      <c r="W1282" s="23" t="str">
        <f t="shared" si="417"/>
        <v/>
      </c>
      <c r="X1282" s="22" t="str">
        <f t="shared" si="418"/>
        <v/>
      </c>
      <c r="Y1282" s="236"/>
      <c r="Z1282" s="22"/>
      <c r="AA1282" s="22"/>
      <c r="AB1282" s="22" t="str">
        <f t="shared" si="419"/>
        <v/>
      </c>
      <c r="AC1282" s="22" t="str">
        <f t="shared" si="420"/>
        <v/>
      </c>
      <c r="AD1282" s="22" t="str">
        <f t="shared" si="406"/>
        <v/>
      </c>
      <c r="AE1282" s="22" t="str">
        <f t="shared" si="421"/>
        <v/>
      </c>
      <c r="AF1282" s="22" t="str">
        <f t="shared" si="407"/>
        <v/>
      </c>
      <c r="AG1282" s="22" t="str">
        <f t="shared" si="408"/>
        <v/>
      </c>
      <c r="AH1282" s="22" t="str">
        <f t="shared" si="409"/>
        <v/>
      </c>
      <c r="AI1282" s="22" t="str">
        <f t="shared" si="410"/>
        <v/>
      </c>
      <c r="AJ1282" s="304" t="str">
        <f t="shared" si="411"/>
        <v/>
      </c>
      <c r="AK1282" s="140" t="str">
        <f t="shared" si="412"/>
        <v/>
      </c>
    </row>
    <row r="1283" spans="7:37" x14ac:dyDescent="0.25">
      <c r="G1283" s="235" t="str">
        <f t="shared" si="401"/>
        <v/>
      </c>
      <c r="H1283" s="4" t="str">
        <f t="shared" si="423"/>
        <v/>
      </c>
      <c r="I1283" s="11" t="str">
        <f t="shared" si="402"/>
        <v/>
      </c>
      <c r="K1283" s="30">
        <v>361</v>
      </c>
      <c r="L1283" s="29">
        <f t="shared" si="413"/>
        <v>11371.908376190921</v>
      </c>
      <c r="M1283" s="28" t="str">
        <f t="shared" si="403"/>
        <v/>
      </c>
      <c r="N1283" s="27" t="str">
        <f t="shared" si="414"/>
        <v/>
      </c>
      <c r="O1283" s="26" t="str">
        <f>IF(AND($Q1282=$O$38,IFERROR(LARGE($V$923:$V1282,1)&lt;$N$42,TRUE)),1,IF(AND(ISNUMBER($O1282),$O1282&lt;$N$32),$O1282+1,""))</f>
        <v/>
      </c>
      <c r="P1283" s="26" t="str">
        <f t="shared" si="415"/>
        <v/>
      </c>
      <c r="Q1283" s="26" t="str">
        <f t="shared" si="404"/>
        <v/>
      </c>
      <c r="R1283" s="24" t="str">
        <f t="shared" si="416"/>
        <v/>
      </c>
      <c r="S1283" s="180">
        <f t="shared" si="422"/>
        <v>8</v>
      </c>
      <c r="T1283" s="29">
        <f>SUM($AC$923:$AC1283)</f>
        <v>49500</v>
      </c>
      <c r="U1283" s="25" t="str">
        <f t="shared" si="405"/>
        <v/>
      </c>
      <c r="V1283" s="24" t="str">
        <f>IF(AND(ISNUMBER(R1282),ISNUMBER(R1283)),V1282,IF(AND(R1282="",ISNUMBER(R1283)),IFERROR(LARGE($V$923:$V1282,1)+1,0),""))</f>
        <v/>
      </c>
      <c r="W1283" s="23" t="str">
        <f t="shared" si="417"/>
        <v/>
      </c>
      <c r="X1283" s="22" t="str">
        <f t="shared" si="418"/>
        <v/>
      </c>
      <c r="Y1283" s="236"/>
      <c r="Z1283" s="22"/>
      <c r="AA1283" s="22"/>
      <c r="AB1283" s="22" t="str">
        <f t="shared" si="419"/>
        <v/>
      </c>
      <c r="AC1283" s="22" t="str">
        <f t="shared" si="420"/>
        <v/>
      </c>
      <c r="AD1283" s="22" t="str">
        <f t="shared" si="406"/>
        <v/>
      </c>
      <c r="AE1283" s="22" t="str">
        <f t="shared" si="421"/>
        <v/>
      </c>
      <c r="AF1283" s="22" t="str">
        <f t="shared" si="407"/>
        <v/>
      </c>
      <c r="AG1283" s="22" t="str">
        <f t="shared" si="408"/>
        <v/>
      </c>
      <c r="AH1283" s="22" t="str">
        <f t="shared" si="409"/>
        <v/>
      </c>
      <c r="AI1283" s="22" t="str">
        <f t="shared" si="410"/>
        <v/>
      </c>
      <c r="AJ1283" s="304" t="str">
        <f t="shared" si="411"/>
        <v/>
      </c>
      <c r="AK1283" s="140" t="str">
        <f t="shared" si="412"/>
        <v/>
      </c>
    </row>
    <row r="1284" spans="7:37" x14ac:dyDescent="0.25">
      <c r="G1284" s="235" t="str">
        <f t="shared" si="401"/>
        <v/>
      </c>
      <c r="H1284" s="4" t="str">
        <f t="shared" si="423"/>
        <v/>
      </c>
      <c r="I1284" s="11" t="str">
        <f t="shared" si="402"/>
        <v/>
      </c>
      <c r="K1284" s="30">
        <v>362</v>
      </c>
      <c r="L1284" s="29">
        <f t="shared" si="413"/>
        <v>11371.908376190921</v>
      </c>
      <c r="M1284" s="28" t="str">
        <f t="shared" si="403"/>
        <v/>
      </c>
      <c r="N1284" s="27" t="str">
        <f t="shared" si="414"/>
        <v/>
      </c>
      <c r="O1284" s="26" t="str">
        <f>IF(AND($Q1283=$O$38,IFERROR(LARGE($V$923:$V1283,1)&lt;$N$42,TRUE)),1,IF(AND(ISNUMBER($O1283),$O1283&lt;$N$32),$O1283+1,""))</f>
        <v/>
      </c>
      <c r="P1284" s="26" t="str">
        <f t="shared" si="415"/>
        <v/>
      </c>
      <c r="Q1284" s="26" t="str">
        <f t="shared" si="404"/>
        <v/>
      </c>
      <c r="R1284" s="24" t="str">
        <f t="shared" si="416"/>
        <v/>
      </c>
      <c r="S1284" s="180">
        <f t="shared" si="422"/>
        <v>8</v>
      </c>
      <c r="T1284" s="29">
        <f>SUM($AC$923:$AC1284)</f>
        <v>49500</v>
      </c>
      <c r="U1284" s="25" t="str">
        <f t="shared" si="405"/>
        <v/>
      </c>
      <c r="V1284" s="24" t="str">
        <f>IF(AND(ISNUMBER(R1283),ISNUMBER(R1284)),V1283,IF(AND(R1283="",ISNUMBER(R1284)),IFERROR(LARGE($V$923:$V1283,1)+1,0),""))</f>
        <v/>
      </c>
      <c r="W1284" s="23" t="str">
        <f t="shared" si="417"/>
        <v/>
      </c>
      <c r="X1284" s="22" t="str">
        <f t="shared" si="418"/>
        <v/>
      </c>
      <c r="Y1284" s="236"/>
      <c r="Z1284" s="22"/>
      <c r="AA1284" s="22"/>
      <c r="AB1284" s="22" t="str">
        <f t="shared" si="419"/>
        <v/>
      </c>
      <c r="AC1284" s="22" t="str">
        <f t="shared" si="420"/>
        <v/>
      </c>
      <c r="AD1284" s="22" t="str">
        <f t="shared" si="406"/>
        <v/>
      </c>
      <c r="AE1284" s="22" t="str">
        <f t="shared" si="421"/>
        <v/>
      </c>
      <c r="AF1284" s="22" t="str">
        <f t="shared" si="407"/>
        <v/>
      </c>
      <c r="AG1284" s="22" t="str">
        <f t="shared" si="408"/>
        <v/>
      </c>
      <c r="AH1284" s="22" t="str">
        <f t="shared" si="409"/>
        <v/>
      </c>
      <c r="AI1284" s="22" t="str">
        <f t="shared" si="410"/>
        <v/>
      </c>
      <c r="AJ1284" s="304" t="str">
        <f t="shared" si="411"/>
        <v/>
      </c>
      <c r="AK1284" s="140" t="str">
        <f t="shared" si="412"/>
        <v/>
      </c>
    </row>
    <row r="1285" spans="7:37" x14ac:dyDescent="0.25">
      <c r="G1285" s="235" t="str">
        <f t="shared" si="401"/>
        <v/>
      </c>
      <c r="H1285" s="4" t="str">
        <f t="shared" si="423"/>
        <v/>
      </c>
      <c r="I1285" s="11" t="str">
        <f t="shared" si="402"/>
        <v/>
      </c>
      <c r="K1285" s="30">
        <v>363</v>
      </c>
      <c r="L1285" s="29">
        <f t="shared" si="413"/>
        <v>11371.908376190921</v>
      </c>
      <c r="M1285" s="28" t="str">
        <f t="shared" si="403"/>
        <v/>
      </c>
      <c r="N1285" s="27" t="str">
        <f t="shared" si="414"/>
        <v/>
      </c>
      <c r="O1285" s="26" t="str">
        <f>IF(AND($Q1284=$O$38,IFERROR(LARGE($V$923:$V1284,1)&lt;$N$42,TRUE)),1,IF(AND(ISNUMBER($O1284),$O1284&lt;$N$32),$O1284+1,""))</f>
        <v/>
      </c>
      <c r="P1285" s="26" t="str">
        <f t="shared" si="415"/>
        <v/>
      </c>
      <c r="Q1285" s="26" t="str">
        <f t="shared" si="404"/>
        <v/>
      </c>
      <c r="R1285" s="24" t="str">
        <f t="shared" si="416"/>
        <v/>
      </c>
      <c r="S1285" s="180">
        <f t="shared" si="422"/>
        <v>8</v>
      </c>
      <c r="T1285" s="29">
        <f>SUM($AC$923:$AC1285)</f>
        <v>49500</v>
      </c>
      <c r="U1285" s="25" t="str">
        <f t="shared" si="405"/>
        <v/>
      </c>
      <c r="V1285" s="24" t="str">
        <f>IF(AND(ISNUMBER(R1284),ISNUMBER(R1285)),V1284,IF(AND(R1284="",ISNUMBER(R1285)),IFERROR(LARGE($V$923:$V1284,1)+1,0),""))</f>
        <v/>
      </c>
      <c r="W1285" s="23" t="str">
        <f t="shared" si="417"/>
        <v/>
      </c>
      <c r="X1285" s="22" t="str">
        <f t="shared" si="418"/>
        <v/>
      </c>
      <c r="Y1285" s="236"/>
      <c r="Z1285" s="22"/>
      <c r="AA1285" s="22"/>
      <c r="AB1285" s="22" t="str">
        <f t="shared" si="419"/>
        <v/>
      </c>
      <c r="AC1285" s="22" t="str">
        <f t="shared" si="420"/>
        <v/>
      </c>
      <c r="AD1285" s="22" t="str">
        <f t="shared" si="406"/>
        <v/>
      </c>
      <c r="AE1285" s="22" t="str">
        <f t="shared" si="421"/>
        <v/>
      </c>
      <c r="AF1285" s="22" t="str">
        <f t="shared" si="407"/>
        <v/>
      </c>
      <c r="AG1285" s="22" t="str">
        <f t="shared" si="408"/>
        <v/>
      </c>
      <c r="AH1285" s="22" t="str">
        <f t="shared" si="409"/>
        <v/>
      </c>
      <c r="AI1285" s="22" t="str">
        <f t="shared" si="410"/>
        <v/>
      </c>
      <c r="AJ1285" s="304" t="str">
        <f t="shared" si="411"/>
        <v/>
      </c>
      <c r="AK1285" s="140" t="str">
        <f t="shared" si="412"/>
        <v/>
      </c>
    </row>
    <row r="1286" spans="7:37" x14ac:dyDescent="0.25">
      <c r="G1286" s="235" t="str">
        <f t="shared" si="401"/>
        <v/>
      </c>
      <c r="H1286" s="4" t="str">
        <f t="shared" si="423"/>
        <v/>
      </c>
      <c r="I1286" s="11" t="str">
        <f t="shared" si="402"/>
        <v/>
      </c>
      <c r="K1286" s="30">
        <v>364</v>
      </c>
      <c r="L1286" s="29">
        <f t="shared" si="413"/>
        <v>11371.908376190921</v>
      </c>
      <c r="M1286" s="28" t="str">
        <f t="shared" si="403"/>
        <v/>
      </c>
      <c r="N1286" s="27" t="str">
        <f t="shared" si="414"/>
        <v/>
      </c>
      <c r="O1286" s="26" t="str">
        <f>IF(AND($Q1285=$O$38,IFERROR(LARGE($V$923:$V1285,1)&lt;$N$42,TRUE)),1,IF(AND(ISNUMBER($O1285),$O1285&lt;$N$32),$O1285+1,""))</f>
        <v/>
      </c>
      <c r="P1286" s="26" t="str">
        <f t="shared" si="415"/>
        <v/>
      </c>
      <c r="Q1286" s="26" t="str">
        <f t="shared" si="404"/>
        <v/>
      </c>
      <c r="R1286" s="24" t="str">
        <f t="shared" si="416"/>
        <v/>
      </c>
      <c r="S1286" s="180">
        <f t="shared" si="422"/>
        <v>8</v>
      </c>
      <c r="T1286" s="29">
        <f>SUM($AC$923:$AC1286)</f>
        <v>49500</v>
      </c>
      <c r="U1286" s="25" t="str">
        <f t="shared" si="405"/>
        <v/>
      </c>
      <c r="V1286" s="24" t="str">
        <f>IF(AND(ISNUMBER(R1285),ISNUMBER(R1286)),V1285,IF(AND(R1285="",ISNUMBER(R1286)),IFERROR(LARGE($V$923:$V1285,1)+1,0),""))</f>
        <v/>
      </c>
      <c r="W1286" s="23" t="str">
        <f t="shared" si="417"/>
        <v/>
      </c>
      <c r="X1286" s="22" t="str">
        <f t="shared" si="418"/>
        <v/>
      </c>
      <c r="Y1286" s="236"/>
      <c r="Z1286" s="22"/>
      <c r="AA1286" s="22"/>
      <c r="AB1286" s="22" t="str">
        <f t="shared" si="419"/>
        <v/>
      </c>
      <c r="AC1286" s="22" t="str">
        <f t="shared" si="420"/>
        <v/>
      </c>
      <c r="AD1286" s="22" t="str">
        <f t="shared" si="406"/>
        <v/>
      </c>
      <c r="AE1286" s="22" t="str">
        <f t="shared" si="421"/>
        <v/>
      </c>
      <c r="AF1286" s="22" t="str">
        <f t="shared" si="407"/>
        <v/>
      </c>
      <c r="AG1286" s="22" t="str">
        <f t="shared" si="408"/>
        <v/>
      </c>
      <c r="AH1286" s="22" t="str">
        <f t="shared" si="409"/>
        <v/>
      </c>
      <c r="AI1286" s="22" t="str">
        <f t="shared" si="410"/>
        <v/>
      </c>
      <c r="AJ1286" s="304" t="str">
        <f t="shared" si="411"/>
        <v/>
      </c>
      <c r="AK1286" s="140" t="str">
        <f t="shared" si="412"/>
        <v/>
      </c>
    </row>
    <row r="1287" spans="7:37" x14ac:dyDescent="0.25">
      <c r="G1287" s="235" t="str">
        <f t="shared" si="401"/>
        <v/>
      </c>
      <c r="H1287" s="4" t="str">
        <f t="shared" si="423"/>
        <v/>
      </c>
      <c r="I1287" s="11" t="str">
        <f t="shared" si="402"/>
        <v/>
      </c>
      <c r="K1287" s="30">
        <v>365</v>
      </c>
      <c r="L1287" s="29">
        <f t="shared" si="413"/>
        <v>11371.908376190921</v>
      </c>
      <c r="M1287" s="28" t="str">
        <f t="shared" si="403"/>
        <v/>
      </c>
      <c r="N1287" s="27" t="str">
        <f t="shared" si="414"/>
        <v/>
      </c>
      <c r="O1287" s="26" t="str">
        <f>IF(AND($Q1286=$O$38,IFERROR(LARGE($V$923:$V1286,1)&lt;$N$42,TRUE)),1,IF(AND(ISNUMBER($O1286),$O1286&lt;$N$32),$O1286+1,""))</f>
        <v/>
      </c>
      <c r="P1287" s="26" t="str">
        <f t="shared" si="415"/>
        <v/>
      </c>
      <c r="Q1287" s="26" t="str">
        <f t="shared" si="404"/>
        <v/>
      </c>
      <c r="R1287" s="24" t="str">
        <f t="shared" si="416"/>
        <v/>
      </c>
      <c r="S1287" s="180">
        <f t="shared" si="422"/>
        <v>8</v>
      </c>
      <c r="T1287" s="29">
        <f>SUM($AC$923:$AC1287)</f>
        <v>49500</v>
      </c>
      <c r="U1287" s="25" t="str">
        <f t="shared" si="405"/>
        <v/>
      </c>
      <c r="V1287" s="24" t="str">
        <f>IF(AND(ISNUMBER(R1286),ISNUMBER(R1287)),V1286,IF(AND(R1286="",ISNUMBER(R1287)),IFERROR(LARGE($V$923:$V1286,1)+1,0),""))</f>
        <v/>
      </c>
      <c r="W1287" s="23" t="str">
        <f t="shared" si="417"/>
        <v/>
      </c>
      <c r="X1287" s="22" t="str">
        <f t="shared" si="418"/>
        <v/>
      </c>
      <c r="Y1287" s="236"/>
      <c r="Z1287" s="22"/>
      <c r="AA1287" s="22"/>
      <c r="AB1287" s="22" t="str">
        <f t="shared" si="419"/>
        <v/>
      </c>
      <c r="AC1287" s="22" t="str">
        <f t="shared" si="420"/>
        <v/>
      </c>
      <c r="AD1287" s="22" t="str">
        <f t="shared" si="406"/>
        <v/>
      </c>
      <c r="AE1287" s="22" t="str">
        <f t="shared" si="421"/>
        <v/>
      </c>
      <c r="AF1287" s="22" t="str">
        <f t="shared" si="407"/>
        <v/>
      </c>
      <c r="AG1287" s="22" t="str">
        <f t="shared" si="408"/>
        <v/>
      </c>
      <c r="AH1287" s="22" t="str">
        <f t="shared" si="409"/>
        <v/>
      </c>
      <c r="AI1287" s="22" t="str">
        <f t="shared" si="410"/>
        <v/>
      </c>
      <c r="AJ1287" s="304" t="str">
        <f t="shared" si="411"/>
        <v/>
      </c>
      <c r="AK1287" s="140" t="str">
        <f t="shared" si="412"/>
        <v/>
      </c>
    </row>
    <row r="1288" spans="7:37" x14ac:dyDescent="0.25">
      <c r="G1288" s="235" t="str">
        <f t="shared" si="401"/>
        <v/>
      </c>
      <c r="H1288" s="4" t="str">
        <f t="shared" si="423"/>
        <v/>
      </c>
      <c r="I1288" s="11" t="str">
        <f t="shared" si="402"/>
        <v/>
      </c>
      <c r="K1288" s="30">
        <v>366</v>
      </c>
      <c r="L1288" s="29">
        <f t="shared" si="413"/>
        <v>11371.908376190921</v>
      </c>
      <c r="M1288" s="28" t="str">
        <f t="shared" si="403"/>
        <v/>
      </c>
      <c r="N1288" s="27" t="str">
        <f t="shared" si="414"/>
        <v/>
      </c>
      <c r="O1288" s="26" t="str">
        <f>IF(AND($Q1287=$O$38,IFERROR(LARGE($V$923:$V1287,1)&lt;$N$42,TRUE)),1,IF(AND(ISNUMBER($O1287),$O1287&lt;$N$32),$O1287+1,""))</f>
        <v/>
      </c>
      <c r="P1288" s="26" t="str">
        <f t="shared" si="415"/>
        <v/>
      </c>
      <c r="Q1288" s="26" t="str">
        <f t="shared" si="404"/>
        <v/>
      </c>
      <c r="R1288" s="24" t="str">
        <f t="shared" si="416"/>
        <v/>
      </c>
      <c r="S1288" s="180">
        <f t="shared" si="422"/>
        <v>8</v>
      </c>
      <c r="T1288" s="29">
        <f>SUM($AC$923:$AC1288)</f>
        <v>49500</v>
      </c>
      <c r="U1288" s="25" t="str">
        <f t="shared" si="405"/>
        <v/>
      </c>
      <c r="V1288" s="24" t="str">
        <f>IF(AND(ISNUMBER(R1287),ISNUMBER(R1288)),V1287,IF(AND(R1287="",ISNUMBER(R1288)),IFERROR(LARGE($V$923:$V1287,1)+1,0),""))</f>
        <v/>
      </c>
      <c r="W1288" s="23" t="str">
        <f t="shared" si="417"/>
        <v/>
      </c>
      <c r="X1288" s="22" t="str">
        <f t="shared" si="418"/>
        <v/>
      </c>
      <c r="Y1288" s="236"/>
      <c r="Z1288" s="22"/>
      <c r="AA1288" s="22"/>
      <c r="AB1288" s="22" t="str">
        <f t="shared" si="419"/>
        <v/>
      </c>
      <c r="AC1288" s="22" t="str">
        <f t="shared" si="420"/>
        <v/>
      </c>
      <c r="AD1288" s="22" t="str">
        <f t="shared" si="406"/>
        <v/>
      </c>
      <c r="AE1288" s="22" t="str">
        <f t="shared" si="421"/>
        <v/>
      </c>
      <c r="AF1288" s="22" t="str">
        <f t="shared" si="407"/>
        <v/>
      </c>
      <c r="AG1288" s="22" t="str">
        <f t="shared" si="408"/>
        <v/>
      </c>
      <c r="AH1288" s="22" t="str">
        <f t="shared" si="409"/>
        <v/>
      </c>
      <c r="AI1288" s="22" t="str">
        <f t="shared" si="410"/>
        <v/>
      </c>
      <c r="AJ1288" s="304" t="str">
        <f t="shared" si="411"/>
        <v/>
      </c>
      <c r="AK1288" s="140" t="str">
        <f t="shared" si="412"/>
        <v/>
      </c>
    </row>
    <row r="1289" spans="7:37" x14ac:dyDescent="0.25">
      <c r="G1289" s="235" t="str">
        <f t="shared" si="401"/>
        <v/>
      </c>
      <c r="H1289" s="4" t="str">
        <f t="shared" si="423"/>
        <v/>
      </c>
      <c r="I1289" s="11" t="str">
        <f t="shared" si="402"/>
        <v/>
      </c>
      <c r="K1289" s="30">
        <v>367</v>
      </c>
      <c r="L1289" s="29">
        <f t="shared" si="413"/>
        <v>11371.908376190921</v>
      </c>
      <c r="M1289" s="28" t="str">
        <f t="shared" si="403"/>
        <v/>
      </c>
      <c r="N1289" s="27" t="str">
        <f t="shared" si="414"/>
        <v/>
      </c>
      <c r="O1289" s="26" t="str">
        <f>IF(AND($Q1288=$O$38,IFERROR(LARGE($V$923:$V1288,1)&lt;$N$42,TRUE)),1,IF(AND(ISNUMBER($O1288),$O1288&lt;$N$32),$O1288+1,""))</f>
        <v/>
      </c>
      <c r="P1289" s="26" t="str">
        <f t="shared" si="415"/>
        <v/>
      </c>
      <c r="Q1289" s="26" t="str">
        <f t="shared" si="404"/>
        <v/>
      </c>
      <c r="R1289" s="24" t="str">
        <f t="shared" si="416"/>
        <v/>
      </c>
      <c r="S1289" s="180">
        <f t="shared" si="422"/>
        <v>8</v>
      </c>
      <c r="T1289" s="29">
        <f>SUM($AC$923:$AC1289)</f>
        <v>49500</v>
      </c>
      <c r="U1289" s="25" t="str">
        <f t="shared" si="405"/>
        <v/>
      </c>
      <c r="V1289" s="24" t="str">
        <f>IF(AND(ISNUMBER(R1288),ISNUMBER(R1289)),V1288,IF(AND(R1288="",ISNUMBER(R1289)),IFERROR(LARGE($V$923:$V1288,1)+1,0),""))</f>
        <v/>
      </c>
      <c r="W1289" s="23" t="str">
        <f t="shared" si="417"/>
        <v/>
      </c>
      <c r="X1289" s="22" t="str">
        <f t="shared" si="418"/>
        <v/>
      </c>
      <c r="Y1289" s="236"/>
      <c r="Z1289" s="22"/>
      <c r="AA1289" s="22"/>
      <c r="AB1289" s="22" t="str">
        <f t="shared" si="419"/>
        <v/>
      </c>
      <c r="AC1289" s="22" t="str">
        <f t="shared" si="420"/>
        <v/>
      </c>
      <c r="AD1289" s="22" t="str">
        <f t="shared" si="406"/>
        <v/>
      </c>
      <c r="AE1289" s="22" t="str">
        <f t="shared" si="421"/>
        <v/>
      </c>
      <c r="AF1289" s="22" t="str">
        <f t="shared" si="407"/>
        <v/>
      </c>
      <c r="AG1289" s="22" t="str">
        <f t="shared" si="408"/>
        <v/>
      </c>
      <c r="AH1289" s="22" t="str">
        <f t="shared" si="409"/>
        <v/>
      </c>
      <c r="AI1289" s="22" t="str">
        <f t="shared" si="410"/>
        <v/>
      </c>
      <c r="AJ1289" s="304" t="str">
        <f t="shared" si="411"/>
        <v/>
      </c>
      <c r="AK1289" s="140" t="str">
        <f t="shared" si="412"/>
        <v/>
      </c>
    </row>
    <row r="1290" spans="7:37" x14ac:dyDescent="0.25">
      <c r="G1290" s="235" t="str">
        <f t="shared" si="401"/>
        <v/>
      </c>
      <c r="H1290" s="4" t="str">
        <f t="shared" si="423"/>
        <v/>
      </c>
      <c r="I1290" s="11" t="str">
        <f t="shared" si="402"/>
        <v/>
      </c>
      <c r="K1290" s="30">
        <v>368</v>
      </c>
      <c r="L1290" s="29">
        <f t="shared" si="413"/>
        <v>11371.908376190921</v>
      </c>
      <c r="M1290" s="28" t="str">
        <f t="shared" si="403"/>
        <v/>
      </c>
      <c r="N1290" s="27" t="str">
        <f t="shared" si="414"/>
        <v/>
      </c>
      <c r="O1290" s="26" t="str">
        <f>IF(AND($Q1289=$O$38,IFERROR(LARGE($V$923:$V1289,1)&lt;$N$42,TRUE)),1,IF(AND(ISNUMBER($O1289),$O1289&lt;$N$32),$O1289+1,""))</f>
        <v/>
      </c>
      <c r="P1290" s="26" t="str">
        <f t="shared" si="415"/>
        <v/>
      </c>
      <c r="Q1290" s="26" t="str">
        <f t="shared" si="404"/>
        <v/>
      </c>
      <c r="R1290" s="24" t="str">
        <f t="shared" si="416"/>
        <v/>
      </c>
      <c r="S1290" s="180">
        <f t="shared" si="422"/>
        <v>8</v>
      </c>
      <c r="T1290" s="29">
        <f>SUM($AC$923:$AC1290)</f>
        <v>49500</v>
      </c>
      <c r="U1290" s="25" t="str">
        <f t="shared" si="405"/>
        <v/>
      </c>
      <c r="V1290" s="24" t="str">
        <f>IF(AND(ISNUMBER(R1289),ISNUMBER(R1290)),V1289,IF(AND(R1289="",ISNUMBER(R1290)),IFERROR(LARGE($V$923:$V1289,1)+1,0),""))</f>
        <v/>
      </c>
      <c r="W1290" s="23" t="str">
        <f t="shared" si="417"/>
        <v/>
      </c>
      <c r="X1290" s="22" t="str">
        <f t="shared" si="418"/>
        <v/>
      </c>
      <c r="Y1290" s="236"/>
      <c r="Z1290" s="22"/>
      <c r="AA1290" s="22"/>
      <c r="AB1290" s="22" t="str">
        <f t="shared" si="419"/>
        <v/>
      </c>
      <c r="AC1290" s="22" t="str">
        <f t="shared" si="420"/>
        <v/>
      </c>
      <c r="AD1290" s="22" t="str">
        <f t="shared" si="406"/>
        <v/>
      </c>
      <c r="AE1290" s="22" t="str">
        <f t="shared" si="421"/>
        <v/>
      </c>
      <c r="AF1290" s="22" t="str">
        <f t="shared" si="407"/>
        <v/>
      </c>
      <c r="AG1290" s="22" t="str">
        <f t="shared" si="408"/>
        <v/>
      </c>
      <c r="AH1290" s="22" t="str">
        <f t="shared" si="409"/>
        <v/>
      </c>
      <c r="AI1290" s="22" t="str">
        <f t="shared" si="410"/>
        <v/>
      </c>
      <c r="AJ1290" s="304" t="str">
        <f t="shared" si="411"/>
        <v/>
      </c>
      <c r="AK1290" s="140" t="str">
        <f t="shared" si="412"/>
        <v/>
      </c>
    </row>
    <row r="1291" spans="7:37" x14ac:dyDescent="0.25">
      <c r="G1291" s="235" t="str">
        <f t="shared" si="401"/>
        <v/>
      </c>
      <c r="H1291" s="4" t="str">
        <f t="shared" si="423"/>
        <v/>
      </c>
      <c r="I1291" s="11" t="str">
        <f t="shared" si="402"/>
        <v/>
      </c>
      <c r="K1291" s="30">
        <v>369</v>
      </c>
      <c r="L1291" s="29">
        <f t="shared" si="413"/>
        <v>11371.908376190921</v>
      </c>
      <c r="M1291" s="28" t="str">
        <f t="shared" si="403"/>
        <v/>
      </c>
      <c r="N1291" s="27" t="str">
        <f t="shared" si="414"/>
        <v/>
      </c>
      <c r="O1291" s="26" t="str">
        <f>IF(AND($Q1290=$O$38,IFERROR(LARGE($V$923:$V1290,1)&lt;$N$42,TRUE)),1,IF(AND(ISNUMBER($O1290),$O1290&lt;$N$32),$O1290+1,""))</f>
        <v/>
      </c>
      <c r="P1291" s="26" t="str">
        <f t="shared" si="415"/>
        <v/>
      </c>
      <c r="Q1291" s="26" t="str">
        <f t="shared" si="404"/>
        <v/>
      </c>
      <c r="R1291" s="24" t="str">
        <f t="shared" si="416"/>
        <v/>
      </c>
      <c r="S1291" s="180">
        <f t="shared" si="422"/>
        <v>8</v>
      </c>
      <c r="T1291" s="29">
        <f>SUM($AC$923:$AC1291)</f>
        <v>49500</v>
      </c>
      <c r="U1291" s="25" t="str">
        <f t="shared" si="405"/>
        <v/>
      </c>
      <c r="V1291" s="24" t="str">
        <f>IF(AND(ISNUMBER(R1290),ISNUMBER(R1291)),V1290,IF(AND(R1290="",ISNUMBER(R1291)),IFERROR(LARGE($V$923:$V1290,1)+1,0),""))</f>
        <v/>
      </c>
      <c r="W1291" s="23" t="str">
        <f t="shared" si="417"/>
        <v/>
      </c>
      <c r="X1291" s="22" t="str">
        <f t="shared" si="418"/>
        <v/>
      </c>
      <c r="Y1291" s="236"/>
      <c r="Z1291" s="22"/>
      <c r="AA1291" s="22"/>
      <c r="AB1291" s="22" t="str">
        <f t="shared" si="419"/>
        <v/>
      </c>
      <c r="AC1291" s="22" t="str">
        <f t="shared" si="420"/>
        <v/>
      </c>
      <c r="AD1291" s="22" t="str">
        <f t="shared" si="406"/>
        <v/>
      </c>
      <c r="AE1291" s="22" t="str">
        <f t="shared" si="421"/>
        <v/>
      </c>
      <c r="AF1291" s="22" t="str">
        <f t="shared" si="407"/>
        <v/>
      </c>
      <c r="AG1291" s="22" t="str">
        <f t="shared" si="408"/>
        <v/>
      </c>
      <c r="AH1291" s="22" t="str">
        <f t="shared" si="409"/>
        <v/>
      </c>
      <c r="AI1291" s="22" t="str">
        <f t="shared" si="410"/>
        <v/>
      </c>
      <c r="AJ1291" s="304" t="str">
        <f t="shared" si="411"/>
        <v/>
      </c>
      <c r="AK1291" s="140" t="str">
        <f t="shared" si="412"/>
        <v/>
      </c>
    </row>
    <row r="1292" spans="7:37" x14ac:dyDescent="0.25">
      <c r="G1292" s="235" t="str">
        <f t="shared" si="401"/>
        <v/>
      </c>
      <c r="H1292" s="4" t="str">
        <f t="shared" si="423"/>
        <v/>
      </c>
      <c r="I1292" s="11" t="str">
        <f t="shared" si="402"/>
        <v/>
      </c>
      <c r="K1292" s="30">
        <v>370</v>
      </c>
      <c r="L1292" s="29">
        <f t="shared" si="413"/>
        <v>11371.908376190921</v>
      </c>
      <c r="M1292" s="28" t="str">
        <f t="shared" si="403"/>
        <v/>
      </c>
      <c r="N1292" s="27" t="str">
        <f t="shared" si="414"/>
        <v/>
      </c>
      <c r="O1292" s="26" t="str">
        <f>IF(AND($Q1291=$O$38,IFERROR(LARGE($V$923:$V1291,1)&lt;$N$42,TRUE)),1,IF(AND(ISNUMBER($O1291),$O1291&lt;$N$32),$O1291+1,""))</f>
        <v/>
      </c>
      <c r="P1292" s="26" t="str">
        <f t="shared" si="415"/>
        <v/>
      </c>
      <c r="Q1292" s="26" t="str">
        <f t="shared" si="404"/>
        <v/>
      </c>
      <c r="R1292" s="24" t="str">
        <f t="shared" si="416"/>
        <v/>
      </c>
      <c r="S1292" s="180">
        <f t="shared" si="422"/>
        <v>8</v>
      </c>
      <c r="T1292" s="29">
        <f>SUM($AC$923:$AC1292)</f>
        <v>49500</v>
      </c>
      <c r="U1292" s="25" t="str">
        <f t="shared" si="405"/>
        <v/>
      </c>
      <c r="V1292" s="24" t="str">
        <f>IF(AND(ISNUMBER(R1291),ISNUMBER(R1292)),V1291,IF(AND(R1291="",ISNUMBER(R1292)),IFERROR(LARGE($V$923:$V1291,1)+1,0),""))</f>
        <v/>
      </c>
      <c r="W1292" s="23" t="str">
        <f t="shared" si="417"/>
        <v/>
      </c>
      <c r="X1292" s="22" t="str">
        <f t="shared" si="418"/>
        <v/>
      </c>
      <c r="Y1292" s="236"/>
      <c r="Z1292" s="22"/>
      <c r="AA1292" s="22"/>
      <c r="AB1292" s="22" t="str">
        <f t="shared" si="419"/>
        <v/>
      </c>
      <c r="AC1292" s="22" t="str">
        <f t="shared" si="420"/>
        <v/>
      </c>
      <c r="AD1292" s="22" t="str">
        <f t="shared" si="406"/>
        <v/>
      </c>
      <c r="AE1292" s="22" t="str">
        <f t="shared" si="421"/>
        <v/>
      </c>
      <c r="AF1292" s="22" t="str">
        <f t="shared" si="407"/>
        <v/>
      </c>
      <c r="AG1292" s="22" t="str">
        <f t="shared" si="408"/>
        <v/>
      </c>
      <c r="AH1292" s="22" t="str">
        <f t="shared" si="409"/>
        <v/>
      </c>
      <c r="AI1292" s="22" t="str">
        <f t="shared" si="410"/>
        <v/>
      </c>
      <c r="AJ1292" s="304" t="str">
        <f t="shared" si="411"/>
        <v/>
      </c>
      <c r="AK1292" s="140" t="str">
        <f t="shared" si="412"/>
        <v/>
      </c>
    </row>
    <row r="1293" spans="7:37" x14ac:dyDescent="0.25">
      <c r="G1293" s="235" t="str">
        <f t="shared" si="401"/>
        <v/>
      </c>
      <c r="H1293" s="4" t="str">
        <f t="shared" si="423"/>
        <v/>
      </c>
      <c r="I1293" s="11" t="str">
        <f t="shared" si="402"/>
        <v/>
      </c>
      <c r="K1293" s="30">
        <v>371</v>
      </c>
      <c r="L1293" s="29">
        <f t="shared" si="413"/>
        <v>11371.908376190921</v>
      </c>
      <c r="M1293" s="28" t="str">
        <f t="shared" si="403"/>
        <v/>
      </c>
      <c r="N1293" s="27" t="str">
        <f t="shared" si="414"/>
        <v/>
      </c>
      <c r="O1293" s="26" t="str">
        <f>IF(AND($Q1292=$O$38,IFERROR(LARGE($V$923:$V1292,1)&lt;$N$42,TRUE)),1,IF(AND(ISNUMBER($O1292),$O1292&lt;$N$32),$O1292+1,""))</f>
        <v/>
      </c>
      <c r="P1293" s="26" t="str">
        <f t="shared" si="415"/>
        <v/>
      </c>
      <c r="Q1293" s="26" t="str">
        <f t="shared" si="404"/>
        <v/>
      </c>
      <c r="R1293" s="24" t="str">
        <f t="shared" si="416"/>
        <v/>
      </c>
      <c r="S1293" s="180">
        <f t="shared" si="422"/>
        <v>8</v>
      </c>
      <c r="T1293" s="29">
        <f>SUM($AC$923:$AC1293)</f>
        <v>49500</v>
      </c>
      <c r="U1293" s="25" t="str">
        <f t="shared" si="405"/>
        <v/>
      </c>
      <c r="V1293" s="24" t="str">
        <f>IF(AND(ISNUMBER(R1292),ISNUMBER(R1293)),V1292,IF(AND(R1292="",ISNUMBER(R1293)),IFERROR(LARGE($V$923:$V1292,1)+1,0),""))</f>
        <v/>
      </c>
      <c r="W1293" s="23" t="str">
        <f t="shared" si="417"/>
        <v/>
      </c>
      <c r="X1293" s="22" t="str">
        <f t="shared" si="418"/>
        <v/>
      </c>
      <c r="Y1293" s="236"/>
      <c r="Z1293" s="22"/>
      <c r="AA1293" s="22"/>
      <c r="AB1293" s="22" t="str">
        <f t="shared" si="419"/>
        <v/>
      </c>
      <c r="AC1293" s="22" t="str">
        <f t="shared" si="420"/>
        <v/>
      </c>
      <c r="AD1293" s="22" t="str">
        <f t="shared" si="406"/>
        <v/>
      </c>
      <c r="AE1293" s="22" t="str">
        <f t="shared" si="421"/>
        <v/>
      </c>
      <c r="AF1293" s="22" t="str">
        <f t="shared" si="407"/>
        <v/>
      </c>
      <c r="AG1293" s="22" t="str">
        <f t="shared" si="408"/>
        <v/>
      </c>
      <c r="AH1293" s="22" t="str">
        <f t="shared" si="409"/>
        <v/>
      </c>
      <c r="AI1293" s="22" t="str">
        <f t="shared" si="410"/>
        <v/>
      </c>
      <c r="AJ1293" s="304" t="str">
        <f t="shared" si="411"/>
        <v/>
      </c>
      <c r="AK1293" s="140" t="str">
        <f t="shared" si="412"/>
        <v/>
      </c>
    </row>
    <row r="1294" spans="7:37" x14ac:dyDescent="0.25">
      <c r="G1294" s="235" t="str">
        <f t="shared" si="401"/>
        <v/>
      </c>
      <c r="H1294" s="4" t="str">
        <f t="shared" si="423"/>
        <v/>
      </c>
      <c r="I1294" s="11" t="str">
        <f t="shared" si="402"/>
        <v/>
      </c>
      <c r="K1294" s="30">
        <v>372</v>
      </c>
      <c r="L1294" s="29">
        <f t="shared" si="413"/>
        <v>11371.908376190921</v>
      </c>
      <c r="M1294" s="28" t="str">
        <f t="shared" si="403"/>
        <v/>
      </c>
      <c r="N1294" s="27" t="str">
        <f t="shared" si="414"/>
        <v/>
      </c>
      <c r="O1294" s="26" t="str">
        <f>IF(AND($Q1293=$O$38,IFERROR(LARGE($V$923:$V1293,1)&lt;$N$42,TRUE)),1,IF(AND(ISNUMBER($O1293),$O1293&lt;$N$32),$O1293+1,""))</f>
        <v/>
      </c>
      <c r="P1294" s="26" t="str">
        <f t="shared" si="415"/>
        <v/>
      </c>
      <c r="Q1294" s="26" t="str">
        <f t="shared" si="404"/>
        <v/>
      </c>
      <c r="R1294" s="24" t="str">
        <f t="shared" si="416"/>
        <v/>
      </c>
      <c r="S1294" s="180">
        <f t="shared" si="422"/>
        <v>8</v>
      </c>
      <c r="T1294" s="29">
        <f>SUM($AC$923:$AC1294)</f>
        <v>49500</v>
      </c>
      <c r="U1294" s="25" t="str">
        <f t="shared" si="405"/>
        <v/>
      </c>
      <c r="V1294" s="24" t="str">
        <f>IF(AND(ISNUMBER(R1293),ISNUMBER(R1294)),V1293,IF(AND(R1293="",ISNUMBER(R1294)),IFERROR(LARGE($V$923:$V1293,1)+1,0),""))</f>
        <v/>
      </c>
      <c r="W1294" s="23" t="str">
        <f t="shared" si="417"/>
        <v/>
      </c>
      <c r="X1294" s="22" t="str">
        <f t="shared" si="418"/>
        <v/>
      </c>
      <c r="Y1294" s="236"/>
      <c r="Z1294" s="22"/>
      <c r="AA1294" s="22"/>
      <c r="AB1294" s="22" t="str">
        <f t="shared" si="419"/>
        <v/>
      </c>
      <c r="AC1294" s="22" t="str">
        <f t="shared" si="420"/>
        <v/>
      </c>
      <c r="AD1294" s="22" t="str">
        <f t="shared" si="406"/>
        <v/>
      </c>
      <c r="AE1294" s="22" t="str">
        <f t="shared" si="421"/>
        <v/>
      </c>
      <c r="AF1294" s="22" t="str">
        <f t="shared" si="407"/>
        <v/>
      </c>
      <c r="AG1294" s="22" t="str">
        <f t="shared" si="408"/>
        <v/>
      </c>
      <c r="AH1294" s="22" t="str">
        <f t="shared" si="409"/>
        <v/>
      </c>
      <c r="AI1294" s="22" t="str">
        <f t="shared" si="410"/>
        <v/>
      </c>
      <c r="AJ1294" s="304" t="str">
        <f t="shared" si="411"/>
        <v/>
      </c>
      <c r="AK1294" s="140" t="str">
        <f t="shared" si="412"/>
        <v/>
      </c>
    </row>
    <row r="1295" spans="7:37" x14ac:dyDescent="0.25">
      <c r="G1295" s="235" t="str">
        <f t="shared" si="401"/>
        <v/>
      </c>
      <c r="H1295" s="4" t="str">
        <f t="shared" si="423"/>
        <v/>
      </c>
      <c r="I1295" s="11" t="str">
        <f t="shared" si="402"/>
        <v/>
      </c>
      <c r="K1295" s="30">
        <v>373</v>
      </c>
      <c r="L1295" s="29">
        <f t="shared" si="413"/>
        <v>11371.908376190921</v>
      </c>
      <c r="M1295" s="28" t="str">
        <f t="shared" si="403"/>
        <v/>
      </c>
      <c r="N1295" s="27" t="str">
        <f t="shared" si="414"/>
        <v/>
      </c>
      <c r="O1295" s="26" t="str">
        <f>IF(AND($Q1294=$O$38,IFERROR(LARGE($V$923:$V1294,1)&lt;$N$42,TRUE)),1,IF(AND(ISNUMBER($O1294),$O1294&lt;$N$32),$O1294+1,""))</f>
        <v/>
      </c>
      <c r="P1295" s="26" t="str">
        <f t="shared" si="415"/>
        <v/>
      </c>
      <c r="Q1295" s="26" t="str">
        <f t="shared" si="404"/>
        <v/>
      </c>
      <c r="R1295" s="24" t="str">
        <f t="shared" si="416"/>
        <v/>
      </c>
      <c r="S1295" s="180">
        <f t="shared" si="422"/>
        <v>8</v>
      </c>
      <c r="T1295" s="29">
        <f>SUM($AC$923:$AC1295)</f>
        <v>49500</v>
      </c>
      <c r="U1295" s="25" t="str">
        <f t="shared" si="405"/>
        <v/>
      </c>
      <c r="V1295" s="24" t="str">
        <f>IF(AND(ISNUMBER(R1294),ISNUMBER(R1295)),V1294,IF(AND(R1294="",ISNUMBER(R1295)),IFERROR(LARGE($V$923:$V1294,1)+1,0),""))</f>
        <v/>
      </c>
      <c r="W1295" s="23" t="str">
        <f t="shared" si="417"/>
        <v/>
      </c>
      <c r="X1295" s="22" t="str">
        <f t="shared" si="418"/>
        <v/>
      </c>
      <c r="Y1295" s="236"/>
      <c r="Z1295" s="22"/>
      <c r="AA1295" s="22"/>
      <c r="AB1295" s="22" t="str">
        <f t="shared" si="419"/>
        <v/>
      </c>
      <c r="AC1295" s="22" t="str">
        <f t="shared" si="420"/>
        <v/>
      </c>
      <c r="AD1295" s="22" t="str">
        <f t="shared" si="406"/>
        <v/>
      </c>
      <c r="AE1295" s="22" t="str">
        <f t="shared" si="421"/>
        <v/>
      </c>
      <c r="AF1295" s="22" t="str">
        <f t="shared" si="407"/>
        <v/>
      </c>
      <c r="AG1295" s="22" t="str">
        <f t="shared" si="408"/>
        <v/>
      </c>
      <c r="AH1295" s="22" t="str">
        <f t="shared" si="409"/>
        <v/>
      </c>
      <c r="AI1295" s="22" t="str">
        <f t="shared" si="410"/>
        <v/>
      </c>
      <c r="AJ1295" s="304" t="str">
        <f t="shared" si="411"/>
        <v/>
      </c>
      <c r="AK1295" s="140" t="str">
        <f t="shared" si="412"/>
        <v/>
      </c>
    </row>
    <row r="1296" spans="7:37" x14ac:dyDescent="0.25">
      <c r="G1296" s="235" t="str">
        <f t="shared" si="401"/>
        <v/>
      </c>
      <c r="H1296" s="4" t="str">
        <f t="shared" si="423"/>
        <v/>
      </c>
      <c r="I1296" s="11" t="str">
        <f t="shared" si="402"/>
        <v/>
      </c>
      <c r="K1296" s="30">
        <v>374</v>
      </c>
      <c r="L1296" s="29">
        <f t="shared" si="413"/>
        <v>11371.908376190921</v>
      </c>
      <c r="M1296" s="28" t="str">
        <f t="shared" si="403"/>
        <v/>
      </c>
      <c r="N1296" s="27" t="str">
        <f t="shared" si="414"/>
        <v/>
      </c>
      <c r="O1296" s="26" t="str">
        <f>IF(AND($Q1295=$O$38,IFERROR(LARGE($V$923:$V1295,1)&lt;$N$42,TRUE)),1,IF(AND(ISNUMBER($O1295),$O1295&lt;$N$32),$O1295+1,""))</f>
        <v/>
      </c>
      <c r="P1296" s="26" t="str">
        <f t="shared" si="415"/>
        <v/>
      </c>
      <c r="Q1296" s="26" t="str">
        <f t="shared" si="404"/>
        <v/>
      </c>
      <c r="R1296" s="24" t="str">
        <f t="shared" si="416"/>
        <v/>
      </c>
      <c r="S1296" s="180">
        <f t="shared" si="422"/>
        <v>8</v>
      </c>
      <c r="T1296" s="29">
        <f>SUM($AC$923:$AC1296)</f>
        <v>49500</v>
      </c>
      <c r="U1296" s="25" t="str">
        <f t="shared" si="405"/>
        <v/>
      </c>
      <c r="V1296" s="24" t="str">
        <f>IF(AND(ISNUMBER(R1295),ISNUMBER(R1296)),V1295,IF(AND(R1295="",ISNUMBER(R1296)),IFERROR(LARGE($V$923:$V1295,1)+1,0),""))</f>
        <v/>
      </c>
      <c r="W1296" s="23" t="str">
        <f t="shared" si="417"/>
        <v/>
      </c>
      <c r="X1296" s="22" t="str">
        <f t="shared" si="418"/>
        <v/>
      </c>
      <c r="Y1296" s="236"/>
      <c r="Z1296" s="22"/>
      <c r="AA1296" s="22"/>
      <c r="AB1296" s="22" t="str">
        <f t="shared" si="419"/>
        <v/>
      </c>
      <c r="AC1296" s="22" t="str">
        <f t="shared" si="420"/>
        <v/>
      </c>
      <c r="AD1296" s="22" t="str">
        <f t="shared" si="406"/>
        <v/>
      </c>
      <c r="AE1296" s="22" t="str">
        <f t="shared" si="421"/>
        <v/>
      </c>
      <c r="AF1296" s="22" t="str">
        <f t="shared" si="407"/>
        <v/>
      </c>
      <c r="AG1296" s="22" t="str">
        <f t="shared" si="408"/>
        <v/>
      </c>
      <c r="AH1296" s="22" t="str">
        <f t="shared" si="409"/>
        <v/>
      </c>
      <c r="AI1296" s="22" t="str">
        <f t="shared" si="410"/>
        <v/>
      </c>
      <c r="AJ1296" s="304" t="str">
        <f t="shared" si="411"/>
        <v/>
      </c>
      <c r="AK1296" s="140" t="str">
        <f t="shared" si="412"/>
        <v/>
      </c>
    </row>
    <row r="1297" spans="7:37" x14ac:dyDescent="0.25">
      <c r="G1297" s="235" t="str">
        <f t="shared" si="401"/>
        <v/>
      </c>
      <c r="H1297" s="4" t="str">
        <f t="shared" si="423"/>
        <v/>
      </c>
      <c r="I1297" s="11" t="str">
        <f t="shared" si="402"/>
        <v/>
      </c>
      <c r="K1297" s="30">
        <v>375</v>
      </c>
      <c r="L1297" s="29">
        <f t="shared" si="413"/>
        <v>11371.908376190921</v>
      </c>
      <c r="M1297" s="28" t="str">
        <f t="shared" si="403"/>
        <v/>
      </c>
      <c r="N1297" s="27" t="str">
        <f t="shared" si="414"/>
        <v/>
      </c>
      <c r="O1297" s="26" t="str">
        <f>IF(AND($Q1296=$O$38,IFERROR(LARGE($V$923:$V1296,1)&lt;$N$42,TRUE)),1,IF(AND(ISNUMBER($O1296),$O1296&lt;$N$32),$O1296+1,""))</f>
        <v/>
      </c>
      <c r="P1297" s="26" t="str">
        <f t="shared" si="415"/>
        <v/>
      </c>
      <c r="Q1297" s="26" t="str">
        <f t="shared" si="404"/>
        <v/>
      </c>
      <c r="R1297" s="24" t="str">
        <f t="shared" si="416"/>
        <v/>
      </c>
      <c r="S1297" s="180">
        <f t="shared" si="422"/>
        <v>8</v>
      </c>
      <c r="T1297" s="29">
        <f>SUM($AC$923:$AC1297)</f>
        <v>49500</v>
      </c>
      <c r="U1297" s="25" t="str">
        <f t="shared" si="405"/>
        <v/>
      </c>
      <c r="V1297" s="24" t="str">
        <f>IF(AND(ISNUMBER(R1296),ISNUMBER(R1297)),V1296,IF(AND(R1296="",ISNUMBER(R1297)),IFERROR(LARGE($V$923:$V1296,1)+1,0),""))</f>
        <v/>
      </c>
      <c r="W1297" s="23" t="str">
        <f t="shared" si="417"/>
        <v/>
      </c>
      <c r="X1297" s="22" t="str">
        <f t="shared" si="418"/>
        <v/>
      </c>
      <c r="Y1297" s="236"/>
      <c r="Z1297" s="22"/>
      <c r="AA1297" s="22"/>
      <c r="AB1297" s="22" t="str">
        <f t="shared" si="419"/>
        <v/>
      </c>
      <c r="AC1297" s="22" t="str">
        <f t="shared" si="420"/>
        <v/>
      </c>
      <c r="AD1297" s="22" t="str">
        <f t="shared" si="406"/>
        <v/>
      </c>
      <c r="AE1297" s="22" t="str">
        <f t="shared" si="421"/>
        <v/>
      </c>
      <c r="AF1297" s="22" t="str">
        <f t="shared" si="407"/>
        <v/>
      </c>
      <c r="AG1297" s="22" t="str">
        <f t="shared" si="408"/>
        <v/>
      </c>
      <c r="AH1297" s="22" t="str">
        <f t="shared" si="409"/>
        <v/>
      </c>
      <c r="AI1297" s="22" t="str">
        <f t="shared" si="410"/>
        <v/>
      </c>
      <c r="AJ1297" s="304" t="str">
        <f t="shared" si="411"/>
        <v/>
      </c>
      <c r="AK1297" s="140" t="str">
        <f t="shared" si="412"/>
        <v/>
      </c>
    </row>
    <row r="1298" spans="7:37" x14ac:dyDescent="0.25">
      <c r="G1298" s="235" t="str">
        <f t="shared" si="401"/>
        <v/>
      </c>
      <c r="H1298" s="4" t="str">
        <f t="shared" si="423"/>
        <v/>
      </c>
      <c r="I1298" s="11" t="str">
        <f t="shared" si="402"/>
        <v/>
      </c>
      <c r="K1298" s="30">
        <v>376</v>
      </c>
      <c r="L1298" s="29">
        <f t="shared" si="413"/>
        <v>11371.908376190921</v>
      </c>
      <c r="M1298" s="28" t="str">
        <f t="shared" si="403"/>
        <v/>
      </c>
      <c r="N1298" s="27" t="str">
        <f t="shared" si="414"/>
        <v/>
      </c>
      <c r="O1298" s="26" t="str">
        <f>IF(AND($Q1297=$O$38,IFERROR(LARGE($V$923:$V1297,1)&lt;$N$42,TRUE)),1,IF(AND(ISNUMBER($O1297),$O1297&lt;$N$32),$O1297+1,""))</f>
        <v/>
      </c>
      <c r="P1298" s="26" t="str">
        <f t="shared" si="415"/>
        <v/>
      </c>
      <c r="Q1298" s="26" t="str">
        <f t="shared" si="404"/>
        <v/>
      </c>
      <c r="R1298" s="24" t="str">
        <f t="shared" si="416"/>
        <v/>
      </c>
      <c r="S1298" s="180">
        <f t="shared" si="422"/>
        <v>8</v>
      </c>
      <c r="T1298" s="29">
        <f>SUM($AC$923:$AC1298)</f>
        <v>49500</v>
      </c>
      <c r="U1298" s="25" t="str">
        <f t="shared" si="405"/>
        <v/>
      </c>
      <c r="V1298" s="24" t="str">
        <f>IF(AND(ISNUMBER(R1297),ISNUMBER(R1298)),V1297,IF(AND(R1297="",ISNUMBER(R1298)),IFERROR(LARGE($V$923:$V1297,1)+1,0),""))</f>
        <v/>
      </c>
      <c r="W1298" s="23" t="str">
        <f t="shared" si="417"/>
        <v/>
      </c>
      <c r="X1298" s="22" t="str">
        <f t="shared" si="418"/>
        <v/>
      </c>
      <c r="Y1298" s="236"/>
      <c r="Z1298" s="22"/>
      <c r="AA1298" s="22"/>
      <c r="AB1298" s="22" t="str">
        <f t="shared" si="419"/>
        <v/>
      </c>
      <c r="AC1298" s="22" t="str">
        <f t="shared" si="420"/>
        <v/>
      </c>
      <c r="AD1298" s="22" t="str">
        <f t="shared" si="406"/>
        <v/>
      </c>
      <c r="AE1298" s="22" t="str">
        <f t="shared" si="421"/>
        <v/>
      </c>
      <c r="AF1298" s="22" t="str">
        <f t="shared" si="407"/>
        <v/>
      </c>
      <c r="AG1298" s="22" t="str">
        <f t="shared" si="408"/>
        <v/>
      </c>
      <c r="AH1298" s="22" t="str">
        <f t="shared" si="409"/>
        <v/>
      </c>
      <c r="AI1298" s="22" t="str">
        <f t="shared" si="410"/>
        <v/>
      </c>
      <c r="AJ1298" s="304" t="str">
        <f t="shared" si="411"/>
        <v/>
      </c>
      <c r="AK1298" s="140" t="str">
        <f t="shared" si="412"/>
        <v/>
      </c>
    </row>
    <row r="1299" spans="7:37" x14ac:dyDescent="0.25">
      <c r="G1299" s="235" t="str">
        <f t="shared" si="401"/>
        <v/>
      </c>
      <c r="H1299" s="4" t="str">
        <f t="shared" si="423"/>
        <v/>
      </c>
      <c r="I1299" s="11" t="str">
        <f t="shared" si="402"/>
        <v/>
      </c>
      <c r="K1299" s="30">
        <v>377</v>
      </c>
      <c r="L1299" s="29">
        <f t="shared" si="413"/>
        <v>11371.908376190921</v>
      </c>
      <c r="M1299" s="28" t="str">
        <f t="shared" si="403"/>
        <v/>
      </c>
      <c r="N1299" s="27" t="str">
        <f t="shared" si="414"/>
        <v/>
      </c>
      <c r="O1299" s="26" t="str">
        <f>IF(AND($Q1298=$O$38,IFERROR(LARGE($V$923:$V1298,1)&lt;$N$42,TRUE)),1,IF(AND(ISNUMBER($O1298),$O1298&lt;$N$32),$O1298+1,""))</f>
        <v/>
      </c>
      <c r="P1299" s="26" t="str">
        <f t="shared" si="415"/>
        <v/>
      </c>
      <c r="Q1299" s="26" t="str">
        <f t="shared" si="404"/>
        <v/>
      </c>
      <c r="R1299" s="24" t="str">
        <f t="shared" si="416"/>
        <v/>
      </c>
      <c r="S1299" s="180">
        <f t="shared" si="422"/>
        <v>8</v>
      </c>
      <c r="T1299" s="29">
        <f>SUM($AC$923:$AC1299)</f>
        <v>49500</v>
      </c>
      <c r="U1299" s="25" t="str">
        <f t="shared" si="405"/>
        <v/>
      </c>
      <c r="V1299" s="24" t="str">
        <f>IF(AND(ISNUMBER(R1298),ISNUMBER(R1299)),V1298,IF(AND(R1298="",ISNUMBER(R1299)),IFERROR(LARGE($V$923:$V1298,1)+1,0),""))</f>
        <v/>
      </c>
      <c r="W1299" s="23" t="str">
        <f t="shared" si="417"/>
        <v/>
      </c>
      <c r="X1299" s="22" t="str">
        <f t="shared" si="418"/>
        <v/>
      </c>
      <c r="Y1299" s="236"/>
      <c r="Z1299" s="22"/>
      <c r="AA1299" s="22"/>
      <c r="AB1299" s="22" t="str">
        <f t="shared" si="419"/>
        <v/>
      </c>
      <c r="AC1299" s="22" t="str">
        <f t="shared" si="420"/>
        <v/>
      </c>
      <c r="AD1299" s="22" t="str">
        <f t="shared" si="406"/>
        <v/>
      </c>
      <c r="AE1299" s="22" t="str">
        <f t="shared" si="421"/>
        <v/>
      </c>
      <c r="AF1299" s="22" t="str">
        <f t="shared" si="407"/>
        <v/>
      </c>
      <c r="AG1299" s="22" t="str">
        <f t="shared" si="408"/>
        <v/>
      </c>
      <c r="AH1299" s="22" t="str">
        <f t="shared" si="409"/>
        <v/>
      </c>
      <c r="AI1299" s="22" t="str">
        <f t="shared" si="410"/>
        <v/>
      </c>
      <c r="AJ1299" s="304" t="str">
        <f t="shared" si="411"/>
        <v/>
      </c>
      <c r="AK1299" s="140" t="str">
        <f t="shared" si="412"/>
        <v/>
      </c>
    </row>
    <row r="1300" spans="7:37" x14ac:dyDescent="0.25">
      <c r="G1300" s="235" t="str">
        <f t="shared" si="401"/>
        <v/>
      </c>
      <c r="H1300" s="4" t="str">
        <f t="shared" si="423"/>
        <v/>
      </c>
      <c r="I1300" s="11" t="str">
        <f t="shared" si="402"/>
        <v/>
      </c>
      <c r="K1300" s="30">
        <v>378</v>
      </c>
      <c r="L1300" s="29">
        <f t="shared" si="413"/>
        <v>11371.908376190921</v>
      </c>
      <c r="M1300" s="28" t="str">
        <f t="shared" si="403"/>
        <v/>
      </c>
      <c r="N1300" s="27" t="str">
        <f t="shared" si="414"/>
        <v/>
      </c>
      <c r="O1300" s="26" t="str">
        <f>IF(AND($Q1299=$O$38,IFERROR(LARGE($V$923:$V1299,1)&lt;$N$42,TRUE)),1,IF(AND(ISNUMBER($O1299),$O1299&lt;$N$32),$O1299+1,""))</f>
        <v/>
      </c>
      <c r="P1300" s="26" t="str">
        <f t="shared" si="415"/>
        <v/>
      </c>
      <c r="Q1300" s="26" t="str">
        <f t="shared" si="404"/>
        <v/>
      </c>
      <c r="R1300" s="24" t="str">
        <f t="shared" si="416"/>
        <v/>
      </c>
      <c r="S1300" s="180">
        <f t="shared" si="422"/>
        <v>8</v>
      </c>
      <c r="T1300" s="29">
        <f>SUM($AC$923:$AC1300)</f>
        <v>49500</v>
      </c>
      <c r="U1300" s="25" t="str">
        <f t="shared" si="405"/>
        <v/>
      </c>
      <c r="V1300" s="24" t="str">
        <f>IF(AND(ISNUMBER(R1299),ISNUMBER(R1300)),V1299,IF(AND(R1299="",ISNUMBER(R1300)),IFERROR(LARGE($V$923:$V1299,1)+1,0),""))</f>
        <v/>
      </c>
      <c r="W1300" s="23" t="str">
        <f t="shared" si="417"/>
        <v/>
      </c>
      <c r="X1300" s="22" t="str">
        <f t="shared" si="418"/>
        <v/>
      </c>
      <c r="Y1300" s="236"/>
      <c r="Z1300" s="22"/>
      <c r="AA1300" s="22"/>
      <c r="AB1300" s="22" t="str">
        <f t="shared" si="419"/>
        <v/>
      </c>
      <c r="AC1300" s="22" t="str">
        <f t="shared" si="420"/>
        <v/>
      </c>
      <c r="AD1300" s="22" t="str">
        <f t="shared" si="406"/>
        <v/>
      </c>
      <c r="AE1300" s="22" t="str">
        <f t="shared" si="421"/>
        <v/>
      </c>
      <c r="AF1300" s="22" t="str">
        <f t="shared" si="407"/>
        <v/>
      </c>
      <c r="AG1300" s="22" t="str">
        <f t="shared" si="408"/>
        <v/>
      </c>
      <c r="AH1300" s="22" t="str">
        <f t="shared" si="409"/>
        <v/>
      </c>
      <c r="AI1300" s="22" t="str">
        <f t="shared" si="410"/>
        <v/>
      </c>
      <c r="AJ1300" s="304" t="str">
        <f t="shared" si="411"/>
        <v/>
      </c>
      <c r="AK1300" s="140" t="str">
        <f t="shared" si="412"/>
        <v/>
      </c>
    </row>
    <row r="1301" spans="7:37" x14ac:dyDescent="0.25">
      <c r="G1301" s="235" t="str">
        <f t="shared" si="401"/>
        <v/>
      </c>
      <c r="H1301" s="4" t="str">
        <f t="shared" si="423"/>
        <v/>
      </c>
      <c r="I1301" s="11" t="str">
        <f t="shared" si="402"/>
        <v/>
      </c>
      <c r="K1301" s="30">
        <v>379</v>
      </c>
      <c r="L1301" s="29">
        <f t="shared" si="413"/>
        <v>11371.908376190921</v>
      </c>
      <c r="M1301" s="28" t="str">
        <f t="shared" si="403"/>
        <v/>
      </c>
      <c r="N1301" s="27" t="str">
        <f t="shared" si="414"/>
        <v/>
      </c>
      <c r="O1301" s="26" t="str">
        <f>IF(AND($Q1300=$O$38,IFERROR(LARGE($V$923:$V1300,1)&lt;$N$42,TRUE)),1,IF(AND(ISNUMBER($O1300),$O1300&lt;$N$32),$O1300+1,""))</f>
        <v/>
      </c>
      <c r="P1301" s="26" t="str">
        <f t="shared" si="415"/>
        <v/>
      </c>
      <c r="Q1301" s="26" t="str">
        <f t="shared" si="404"/>
        <v/>
      </c>
      <c r="R1301" s="24" t="str">
        <f t="shared" si="416"/>
        <v/>
      </c>
      <c r="S1301" s="180">
        <f t="shared" si="422"/>
        <v>8</v>
      </c>
      <c r="T1301" s="29">
        <f>SUM($AC$923:$AC1301)</f>
        <v>49500</v>
      </c>
      <c r="U1301" s="25" t="str">
        <f t="shared" si="405"/>
        <v/>
      </c>
      <c r="V1301" s="24" t="str">
        <f>IF(AND(ISNUMBER(R1300),ISNUMBER(R1301)),V1300,IF(AND(R1300="",ISNUMBER(R1301)),IFERROR(LARGE($V$923:$V1300,1)+1,0),""))</f>
        <v/>
      </c>
      <c r="W1301" s="23" t="str">
        <f t="shared" si="417"/>
        <v/>
      </c>
      <c r="X1301" s="22" t="str">
        <f t="shared" si="418"/>
        <v/>
      </c>
      <c r="Y1301" s="236"/>
      <c r="Z1301" s="22"/>
      <c r="AA1301" s="22"/>
      <c r="AB1301" s="22" t="str">
        <f t="shared" si="419"/>
        <v/>
      </c>
      <c r="AC1301" s="22" t="str">
        <f t="shared" si="420"/>
        <v/>
      </c>
      <c r="AD1301" s="22" t="str">
        <f t="shared" si="406"/>
        <v/>
      </c>
      <c r="AE1301" s="22" t="str">
        <f t="shared" si="421"/>
        <v/>
      </c>
      <c r="AF1301" s="22" t="str">
        <f t="shared" si="407"/>
        <v/>
      </c>
      <c r="AG1301" s="22" t="str">
        <f t="shared" si="408"/>
        <v/>
      </c>
      <c r="AH1301" s="22" t="str">
        <f t="shared" si="409"/>
        <v/>
      </c>
      <c r="AI1301" s="22" t="str">
        <f t="shared" si="410"/>
        <v/>
      </c>
      <c r="AJ1301" s="304" t="str">
        <f t="shared" si="411"/>
        <v/>
      </c>
      <c r="AK1301" s="140" t="str">
        <f t="shared" si="412"/>
        <v/>
      </c>
    </row>
    <row r="1302" spans="7:37" x14ac:dyDescent="0.25">
      <c r="G1302" s="235" t="str">
        <f t="shared" si="401"/>
        <v/>
      </c>
      <c r="H1302" s="4" t="str">
        <f t="shared" si="423"/>
        <v/>
      </c>
      <c r="I1302" s="11" t="str">
        <f t="shared" si="402"/>
        <v/>
      </c>
      <c r="K1302" s="30">
        <v>380</v>
      </c>
      <c r="L1302" s="29">
        <f t="shared" si="413"/>
        <v>11371.908376190921</v>
      </c>
      <c r="M1302" s="28" t="str">
        <f t="shared" si="403"/>
        <v/>
      </c>
      <c r="N1302" s="27" t="str">
        <f t="shared" si="414"/>
        <v/>
      </c>
      <c r="O1302" s="26" t="str">
        <f>IF(AND($Q1301=$O$38,IFERROR(LARGE($V$923:$V1301,1)&lt;$N$42,TRUE)),1,IF(AND(ISNUMBER($O1301),$O1301&lt;$N$32),$O1301+1,""))</f>
        <v/>
      </c>
      <c r="P1302" s="26" t="str">
        <f t="shared" si="415"/>
        <v/>
      </c>
      <c r="Q1302" s="26" t="str">
        <f t="shared" si="404"/>
        <v/>
      </c>
      <c r="R1302" s="24" t="str">
        <f t="shared" si="416"/>
        <v/>
      </c>
      <c r="S1302" s="180">
        <f t="shared" si="422"/>
        <v>8</v>
      </c>
      <c r="T1302" s="29">
        <f>SUM($AC$923:$AC1302)</f>
        <v>49500</v>
      </c>
      <c r="U1302" s="25" t="str">
        <f t="shared" si="405"/>
        <v/>
      </c>
      <c r="V1302" s="24" t="str">
        <f>IF(AND(ISNUMBER(R1301),ISNUMBER(R1302)),V1301,IF(AND(R1301="",ISNUMBER(R1302)),IFERROR(LARGE($V$923:$V1301,1)+1,0),""))</f>
        <v/>
      </c>
      <c r="W1302" s="23" t="str">
        <f t="shared" si="417"/>
        <v/>
      </c>
      <c r="X1302" s="22" t="str">
        <f t="shared" si="418"/>
        <v/>
      </c>
      <c r="Y1302" s="236"/>
      <c r="Z1302" s="22"/>
      <c r="AA1302" s="22"/>
      <c r="AB1302" s="22" t="str">
        <f t="shared" si="419"/>
        <v/>
      </c>
      <c r="AC1302" s="22" t="str">
        <f t="shared" si="420"/>
        <v/>
      </c>
      <c r="AD1302" s="22" t="str">
        <f t="shared" si="406"/>
        <v/>
      </c>
      <c r="AE1302" s="22" t="str">
        <f t="shared" si="421"/>
        <v/>
      </c>
      <c r="AF1302" s="22" t="str">
        <f t="shared" si="407"/>
        <v/>
      </c>
      <c r="AG1302" s="22" t="str">
        <f t="shared" si="408"/>
        <v/>
      </c>
      <c r="AH1302" s="22" t="str">
        <f t="shared" si="409"/>
        <v/>
      </c>
      <c r="AI1302" s="22" t="str">
        <f t="shared" si="410"/>
        <v/>
      </c>
      <c r="AJ1302" s="304" t="str">
        <f t="shared" si="411"/>
        <v/>
      </c>
      <c r="AK1302" s="140" t="str">
        <f t="shared" si="412"/>
        <v/>
      </c>
    </row>
    <row r="1303" spans="7:37" x14ac:dyDescent="0.25">
      <c r="G1303" s="235" t="str">
        <f t="shared" si="401"/>
        <v/>
      </c>
      <c r="H1303" s="4" t="str">
        <f t="shared" si="423"/>
        <v/>
      </c>
      <c r="I1303" s="11" t="str">
        <f t="shared" si="402"/>
        <v/>
      </c>
      <c r="K1303" s="30">
        <v>381</v>
      </c>
      <c r="L1303" s="29">
        <f t="shared" si="413"/>
        <v>11371.908376190921</v>
      </c>
      <c r="M1303" s="28" t="str">
        <f t="shared" si="403"/>
        <v/>
      </c>
      <c r="N1303" s="27" t="str">
        <f t="shared" si="414"/>
        <v/>
      </c>
      <c r="O1303" s="26" t="str">
        <f>IF(AND($Q1302=$O$38,IFERROR(LARGE($V$923:$V1302,1)&lt;$N$42,TRUE)),1,IF(AND(ISNUMBER($O1302),$O1302&lt;$N$32),$O1302+1,""))</f>
        <v/>
      </c>
      <c r="P1303" s="26" t="str">
        <f t="shared" si="415"/>
        <v/>
      </c>
      <c r="Q1303" s="26" t="str">
        <f t="shared" si="404"/>
        <v/>
      </c>
      <c r="R1303" s="24" t="str">
        <f t="shared" si="416"/>
        <v/>
      </c>
      <c r="S1303" s="180">
        <f t="shared" si="422"/>
        <v>8</v>
      </c>
      <c r="T1303" s="29">
        <f>SUM($AC$923:$AC1303)</f>
        <v>49500</v>
      </c>
      <c r="U1303" s="25" t="str">
        <f t="shared" si="405"/>
        <v/>
      </c>
      <c r="V1303" s="24" t="str">
        <f>IF(AND(ISNUMBER(R1302),ISNUMBER(R1303)),V1302,IF(AND(R1302="",ISNUMBER(R1303)),IFERROR(LARGE($V$923:$V1302,1)+1,0),""))</f>
        <v/>
      </c>
      <c r="W1303" s="23" t="str">
        <f t="shared" si="417"/>
        <v/>
      </c>
      <c r="X1303" s="22" t="str">
        <f t="shared" si="418"/>
        <v/>
      </c>
      <c r="Y1303" s="236"/>
      <c r="Z1303" s="22"/>
      <c r="AA1303" s="22"/>
      <c r="AB1303" s="22" t="str">
        <f t="shared" si="419"/>
        <v/>
      </c>
      <c r="AC1303" s="22" t="str">
        <f t="shared" si="420"/>
        <v/>
      </c>
      <c r="AD1303" s="22" t="str">
        <f t="shared" si="406"/>
        <v/>
      </c>
      <c r="AE1303" s="22" t="str">
        <f t="shared" si="421"/>
        <v/>
      </c>
      <c r="AF1303" s="22" t="str">
        <f t="shared" si="407"/>
        <v/>
      </c>
      <c r="AG1303" s="22" t="str">
        <f t="shared" si="408"/>
        <v/>
      </c>
      <c r="AH1303" s="22" t="str">
        <f t="shared" si="409"/>
        <v/>
      </c>
      <c r="AI1303" s="22" t="str">
        <f t="shared" si="410"/>
        <v/>
      </c>
      <c r="AJ1303" s="304" t="str">
        <f t="shared" si="411"/>
        <v/>
      </c>
      <c r="AK1303" s="140" t="str">
        <f t="shared" si="412"/>
        <v/>
      </c>
    </row>
    <row r="1304" spans="7:37" x14ac:dyDescent="0.25">
      <c r="G1304" s="235" t="str">
        <f t="shared" si="401"/>
        <v/>
      </c>
      <c r="H1304" s="4" t="str">
        <f t="shared" si="423"/>
        <v/>
      </c>
      <c r="I1304" s="11" t="str">
        <f t="shared" si="402"/>
        <v/>
      </c>
      <c r="K1304" s="30">
        <v>382</v>
      </c>
      <c r="L1304" s="29">
        <f t="shared" si="413"/>
        <v>11371.908376190921</v>
      </c>
      <c r="M1304" s="28" t="str">
        <f t="shared" si="403"/>
        <v/>
      </c>
      <c r="N1304" s="27" t="str">
        <f t="shared" si="414"/>
        <v/>
      </c>
      <c r="O1304" s="26" t="str">
        <f>IF(AND($Q1303=$O$38,IFERROR(LARGE($V$923:$V1303,1)&lt;$N$42,TRUE)),1,IF(AND(ISNUMBER($O1303),$O1303&lt;$N$32),$O1303+1,""))</f>
        <v/>
      </c>
      <c r="P1304" s="26" t="str">
        <f t="shared" si="415"/>
        <v/>
      </c>
      <c r="Q1304" s="26" t="str">
        <f t="shared" si="404"/>
        <v/>
      </c>
      <c r="R1304" s="24" t="str">
        <f t="shared" si="416"/>
        <v/>
      </c>
      <c r="S1304" s="180">
        <f t="shared" si="422"/>
        <v>8</v>
      </c>
      <c r="T1304" s="29">
        <f>SUM($AC$923:$AC1304)</f>
        <v>49500</v>
      </c>
      <c r="U1304" s="25" t="str">
        <f t="shared" si="405"/>
        <v/>
      </c>
      <c r="V1304" s="24" t="str">
        <f>IF(AND(ISNUMBER(R1303),ISNUMBER(R1304)),V1303,IF(AND(R1303="",ISNUMBER(R1304)),IFERROR(LARGE($V$923:$V1303,1)+1,0),""))</f>
        <v/>
      </c>
      <c r="W1304" s="23" t="str">
        <f t="shared" si="417"/>
        <v/>
      </c>
      <c r="X1304" s="22" t="str">
        <f t="shared" si="418"/>
        <v/>
      </c>
      <c r="Y1304" s="236"/>
      <c r="Z1304" s="22"/>
      <c r="AA1304" s="22"/>
      <c r="AB1304" s="22" t="str">
        <f t="shared" si="419"/>
        <v/>
      </c>
      <c r="AC1304" s="22" t="str">
        <f t="shared" si="420"/>
        <v/>
      </c>
      <c r="AD1304" s="22" t="str">
        <f t="shared" si="406"/>
        <v/>
      </c>
      <c r="AE1304" s="22" t="str">
        <f t="shared" si="421"/>
        <v/>
      </c>
      <c r="AF1304" s="22" t="str">
        <f t="shared" si="407"/>
        <v/>
      </c>
      <c r="AG1304" s="22" t="str">
        <f t="shared" si="408"/>
        <v/>
      </c>
      <c r="AH1304" s="22" t="str">
        <f t="shared" si="409"/>
        <v/>
      </c>
      <c r="AI1304" s="22" t="str">
        <f t="shared" si="410"/>
        <v/>
      </c>
      <c r="AJ1304" s="304" t="str">
        <f t="shared" si="411"/>
        <v/>
      </c>
      <c r="AK1304" s="140" t="str">
        <f t="shared" si="412"/>
        <v/>
      </c>
    </row>
    <row r="1305" spans="7:37" x14ac:dyDescent="0.25">
      <c r="G1305" s="235" t="str">
        <f t="shared" si="401"/>
        <v/>
      </c>
      <c r="H1305" s="4" t="str">
        <f t="shared" si="423"/>
        <v/>
      </c>
      <c r="I1305" s="11" t="str">
        <f t="shared" si="402"/>
        <v/>
      </c>
      <c r="K1305" s="30">
        <v>383</v>
      </c>
      <c r="L1305" s="29">
        <f t="shared" si="413"/>
        <v>11371.908376190921</v>
      </c>
      <c r="M1305" s="28" t="str">
        <f t="shared" si="403"/>
        <v/>
      </c>
      <c r="N1305" s="27" t="str">
        <f t="shared" si="414"/>
        <v/>
      </c>
      <c r="O1305" s="26" t="str">
        <f>IF(AND($Q1304=$O$38,IFERROR(LARGE($V$923:$V1304,1)&lt;$N$42,TRUE)),1,IF(AND(ISNUMBER($O1304),$O1304&lt;$N$32),$O1304+1,""))</f>
        <v/>
      </c>
      <c r="P1305" s="26" t="str">
        <f t="shared" si="415"/>
        <v/>
      </c>
      <c r="Q1305" s="26" t="str">
        <f t="shared" si="404"/>
        <v/>
      </c>
      <c r="R1305" s="24" t="str">
        <f t="shared" si="416"/>
        <v/>
      </c>
      <c r="S1305" s="180">
        <f t="shared" si="422"/>
        <v>8</v>
      </c>
      <c r="T1305" s="29">
        <f>SUM($AC$923:$AC1305)</f>
        <v>49500</v>
      </c>
      <c r="U1305" s="25" t="str">
        <f t="shared" si="405"/>
        <v/>
      </c>
      <c r="V1305" s="24" t="str">
        <f>IF(AND(ISNUMBER(R1304),ISNUMBER(R1305)),V1304,IF(AND(R1304="",ISNUMBER(R1305)),IFERROR(LARGE($V$923:$V1304,1)+1,0),""))</f>
        <v/>
      </c>
      <c r="W1305" s="23" t="str">
        <f t="shared" si="417"/>
        <v/>
      </c>
      <c r="X1305" s="22" t="str">
        <f t="shared" si="418"/>
        <v/>
      </c>
      <c r="Y1305" s="236"/>
      <c r="Z1305" s="22"/>
      <c r="AA1305" s="22"/>
      <c r="AB1305" s="22" t="str">
        <f t="shared" si="419"/>
        <v/>
      </c>
      <c r="AC1305" s="22" t="str">
        <f t="shared" si="420"/>
        <v/>
      </c>
      <c r="AD1305" s="22" t="str">
        <f t="shared" si="406"/>
        <v/>
      </c>
      <c r="AE1305" s="22" t="str">
        <f t="shared" si="421"/>
        <v/>
      </c>
      <c r="AF1305" s="22" t="str">
        <f t="shared" si="407"/>
        <v/>
      </c>
      <c r="AG1305" s="22" t="str">
        <f t="shared" si="408"/>
        <v/>
      </c>
      <c r="AH1305" s="22" t="str">
        <f t="shared" si="409"/>
        <v/>
      </c>
      <c r="AI1305" s="22" t="str">
        <f t="shared" si="410"/>
        <v/>
      </c>
      <c r="AJ1305" s="304" t="str">
        <f t="shared" si="411"/>
        <v/>
      </c>
      <c r="AK1305" s="140" t="str">
        <f t="shared" si="412"/>
        <v/>
      </c>
    </row>
    <row r="1306" spans="7:37" x14ac:dyDescent="0.25">
      <c r="G1306" s="235" t="str">
        <f t="shared" si="401"/>
        <v/>
      </c>
      <c r="H1306" s="4" t="str">
        <f t="shared" si="423"/>
        <v/>
      </c>
      <c r="I1306" s="11" t="str">
        <f t="shared" si="402"/>
        <v/>
      </c>
      <c r="K1306" s="30">
        <v>384</v>
      </c>
      <c r="L1306" s="29">
        <f t="shared" si="413"/>
        <v>11371.908376190921</v>
      </c>
      <c r="M1306" s="28" t="str">
        <f t="shared" si="403"/>
        <v/>
      </c>
      <c r="N1306" s="27" t="str">
        <f t="shared" si="414"/>
        <v/>
      </c>
      <c r="O1306" s="26" t="str">
        <f>IF(AND($Q1305=$O$38,IFERROR(LARGE($V$923:$V1305,1)&lt;$N$42,TRUE)),1,IF(AND(ISNUMBER($O1305),$O1305&lt;$N$32),$O1305+1,""))</f>
        <v/>
      </c>
      <c r="P1306" s="26" t="str">
        <f t="shared" si="415"/>
        <v/>
      </c>
      <c r="Q1306" s="26" t="str">
        <f t="shared" si="404"/>
        <v/>
      </c>
      <c r="R1306" s="24" t="str">
        <f t="shared" si="416"/>
        <v/>
      </c>
      <c r="S1306" s="180">
        <f t="shared" si="422"/>
        <v>8</v>
      </c>
      <c r="T1306" s="29">
        <f>SUM($AC$923:$AC1306)</f>
        <v>49500</v>
      </c>
      <c r="U1306" s="25" t="str">
        <f t="shared" si="405"/>
        <v/>
      </c>
      <c r="V1306" s="24" t="str">
        <f>IF(AND(ISNUMBER(R1305),ISNUMBER(R1306)),V1305,IF(AND(R1305="",ISNUMBER(R1306)),IFERROR(LARGE($V$923:$V1305,1)+1,0),""))</f>
        <v/>
      </c>
      <c r="W1306" s="23" t="str">
        <f t="shared" si="417"/>
        <v/>
      </c>
      <c r="X1306" s="22" t="str">
        <f t="shared" si="418"/>
        <v/>
      </c>
      <c r="Y1306" s="236"/>
      <c r="Z1306" s="22"/>
      <c r="AA1306" s="22"/>
      <c r="AB1306" s="22" t="str">
        <f t="shared" si="419"/>
        <v/>
      </c>
      <c r="AC1306" s="22" t="str">
        <f t="shared" si="420"/>
        <v/>
      </c>
      <c r="AD1306" s="22" t="str">
        <f t="shared" si="406"/>
        <v/>
      </c>
      <c r="AE1306" s="22" t="str">
        <f t="shared" si="421"/>
        <v/>
      </c>
      <c r="AF1306" s="22" t="str">
        <f t="shared" si="407"/>
        <v/>
      </c>
      <c r="AG1306" s="22" t="str">
        <f t="shared" si="408"/>
        <v/>
      </c>
      <c r="AH1306" s="22" t="str">
        <f t="shared" si="409"/>
        <v/>
      </c>
      <c r="AI1306" s="22" t="str">
        <f t="shared" si="410"/>
        <v/>
      </c>
      <c r="AJ1306" s="304" t="str">
        <f t="shared" si="411"/>
        <v/>
      </c>
      <c r="AK1306" s="140" t="str">
        <f t="shared" si="412"/>
        <v/>
      </c>
    </row>
    <row r="1307" spans="7:37" x14ac:dyDescent="0.25">
      <c r="G1307" s="235" t="str">
        <f t="shared" ref="G1307:G1370" si="424">IF(RIGHT(H1307,2)=".N","NEW",IF(SUM(N1307:R1307)=0,"",LEFT(H1307,5)))</f>
        <v/>
      </c>
      <c r="H1307" s="4" t="str">
        <f t="shared" si="423"/>
        <v/>
      </c>
      <c r="I1307" s="11" t="str">
        <f t="shared" ref="I1307:I1370" si="425">IF(SUM(N1307:R1307)&gt;0,CONCATENATE(IF(LEN(ROUNDDOWN(S1307,0))=1,CONCATENATE("0",ROUNDDOWN(S1307,0)),ROUNDDOWN(S1307,0)),".",IF(LEN(ROUND(MOD(S1307,1)*100,0))=1,CONCATENATE("0",ROUND(MOD(S1307,1)*100,0)),ROUND(MOD(S1307,1)*100,0)),IF(N1307&lt;&gt;"",".N.",IF(O1307&lt;&gt;"",".R.",IF(P1307&lt;&gt;"",".O.",IF(Q1307&lt;&gt;"",".I.",IF(R1307&lt;&gt;"",".D.",""))))),IF(N1307&lt;&gt;"",N1307,IF(O1307&lt;&gt;"",O1307,IF(P1307&lt;&gt;"",P1307,IF(Q1307&lt;&gt;"",Q1307,IF(R1307&lt;&gt;"",IF(MOD(R1307,$N$44)=0,$N$44,MOD(R1307,$N$44)),"")))))),"")</f>
        <v/>
      </c>
      <c r="K1307" s="30">
        <v>385</v>
      </c>
      <c r="L1307" s="29">
        <f t="shared" si="413"/>
        <v>11371.908376190921</v>
      </c>
      <c r="M1307" s="28" t="str">
        <f t="shared" ref="M1307:M1370" si="426">IFERROR(IF(IF($K1307=1,(($M$23*-1)+($M$24*-1)),IF(ISNUMBER(W1307),W1307,0)+IF(ISNUMBER(X1307),X1307,0)+IF(ISNUMBER(AB1307),AB1307,0)+IF(ISNUMBER(AE1307),AE1307,0)+IF(ISNUMBER(AF1307),AF1307,0)+IF(ISNUMBER(AG1307),AG1307,0)+IF(ISNUMBER(AH1307),AH1307,0)+IF(ISNUMBER(AI1307),AI1307,0)+IF(ISNUMBER(AK1307),AK1307,0))=0,"",IF($K1307=1,(($M$23*-1)+($M$24*-1)),IF(ISNUMBER(W1307),W1307,0)+IF(ISNUMBER(X1307),X1307,0)+IF(ISNUMBER(AB1307),AB1307,0)+IF(ISNUMBER(AE1307),AE1307,0)+IF(ISNUMBER(AF1307),AF1307,0)+IF(ISNUMBER(AG1307),AG1307,0)+IF(ISNUMBER(AH1307),AH1307,0)+IF(ISNUMBER(AI1307),AI1307,0)+IF(ISNUMBER(AK1307),AK1307,0))),"")</f>
        <v/>
      </c>
      <c r="N1307" s="27" t="str">
        <f t="shared" si="414"/>
        <v/>
      </c>
      <c r="O1307" s="26" t="str">
        <f>IF(AND($Q1306=$O$38,IFERROR(LARGE($V$923:$V1306,1)&lt;$N$42,TRUE)),1,IF(AND(ISNUMBER($O1306),$O1306&lt;$N$32),$O1306+1,""))</f>
        <v/>
      </c>
      <c r="P1307" s="26" t="str">
        <f t="shared" si="415"/>
        <v/>
      </c>
      <c r="Q1307" s="26" t="str">
        <f t="shared" ref="Q1307:Q1370" si="427">IF($R1306=($N$43*$N$44),1,IF(AND(ISNUMBER($Q1306),$Q1306&lt;$O$38),$Q1306+1,""))</f>
        <v/>
      </c>
      <c r="R1307" s="24" t="str">
        <f t="shared" si="416"/>
        <v/>
      </c>
      <c r="S1307" s="180">
        <f t="shared" si="422"/>
        <v>8</v>
      </c>
      <c r="T1307" s="29">
        <f>SUM($AC$923:$AC1307)</f>
        <v>49500</v>
      </c>
      <c r="U1307" s="25" t="str">
        <f t="shared" ref="U1307:U1370" si="428">IF(ISNUMBER($R1307),ROUNDUP($R1307/$N$44,0),"")</f>
        <v/>
      </c>
      <c r="V1307" s="24" t="str">
        <f>IF(AND(ISNUMBER(R1306),ISNUMBER(R1307)),V1306,IF(AND(R1306="",ISNUMBER(R1307)),IFERROR(LARGE($V$923:$V1306,1)+1,0),""))</f>
        <v/>
      </c>
      <c r="W1307" s="23" t="str">
        <f t="shared" si="417"/>
        <v/>
      </c>
      <c r="X1307" s="22" t="str">
        <f t="shared" si="418"/>
        <v/>
      </c>
      <c r="Y1307" s="236"/>
      <c r="Z1307" s="22"/>
      <c r="AA1307" s="22"/>
      <c r="AB1307" s="22" t="str">
        <f t="shared" si="419"/>
        <v/>
      </c>
      <c r="AC1307" s="22" t="str">
        <f t="shared" si="420"/>
        <v/>
      </c>
      <c r="AD1307" s="22" t="str">
        <f t="shared" ref="AD1307:AD1370" si="429">IF(IF(OR(AND(ISNUMBER($U1307),IF(ISNUMBER($U1308),$U1308,0)-IF(ISNUMBER($U1307),$U1307,0)=1),AND(ISNUMBER($U1307),$U1308="")),IF($U1307=1,$P$37,0),0)=0,"",IF(OR(AND(ISNUMBER($U1307),IF(ISNUMBER($U1308),$U1308,0)-IF(ISNUMBER($U1307),$U1307,0)=1),AND(ISNUMBER($U1307),$U1308="")),IF($U1307=1,$P$37,0),0))</f>
        <v/>
      </c>
      <c r="AE1307" s="22" t="str">
        <f t="shared" si="421"/>
        <v/>
      </c>
      <c r="AF1307" s="22" t="str">
        <f t="shared" ref="AF1307:AF1370" si="430">IF($O$67="Invoice",IF(AND(ISNUMBER($AC1307),ISNUMBER($O$68)),$AC1307*$O$68*-1,""),IF($O$67="Payment",IF(AND(ISNUMBER($AE1307),ISNUMBER($O$68)),$AE1307*$O$68*-1,""),""))</f>
        <v/>
      </c>
      <c r="AG1307" s="22" t="str">
        <f t="shared" ref="AG1307:AG1370" si="431">IF($O$67="Invoice",IF(AND(ISNUMBER($AC1307),ISNUMBER($O$69)),$AC1307*$O$69*-1,""),IF($O$67="Payment",IF(AND(ISNUMBER($AE1307),ISNUMBER($O$69)),$AE1307*$O$69*-1,""),""))</f>
        <v/>
      </c>
      <c r="AH1307" s="22" t="str">
        <f t="shared" ref="AH1307:AH1370" si="432">IF($O$67="Invoice",IF(AND(ISNUMBER($AC1307),ISNUMBER($O$70)),$AC1307*$O$70*-1,""),IF($O$67="Payment",IF(AND(ISNUMBER($AE1307),ISNUMBER($O$70)),$AE1307*$O$70*-1,""),""))</f>
        <v/>
      </c>
      <c r="AI1307" s="22" t="str">
        <f t="shared" ref="AI1307:AI1370" si="433">IF($O$67="Invoice",IF(AND(ISNUMBER($AC1307),ISNUMBER($O$71)),$AC1307*$O$71*-1,""),IF($O$67="Payment",IF(AND(ISNUMBER($AE1307),ISNUMBER($O$71)),$AE1307*$O$71*-1,""),""))</f>
        <v/>
      </c>
      <c r="AJ1307" s="304" t="str">
        <f t="shared" ref="AJ1307:AJ1370" si="434">IF($O$67="Invoice",IF(AND(ISNUMBER($AC1307),ISNUMBER($O$72)),$AC1307*$O$72*-1,""),IF($O$67="Payment",IF(AND(ISNUMBER($AE1307),ISNUMBER($O$72)),$AE1307*$O$72*-1,""),""))</f>
        <v/>
      </c>
      <c r="AK1307" s="140" t="str">
        <f t="shared" ref="AK1307:AK1370" si="435">IF($O$67="Invoice",IF(AND(ISNUMBER($AC1307),ISNUMBER($O$73)),$AC1307*$O$73*-1,""),IF($O$67="Payment",IF(AND(ISNUMBER($AE1307),ISNUMBER($O$73)),$AE1307*$O$73*-1,""),""))</f>
        <v/>
      </c>
    </row>
    <row r="1308" spans="7:37" x14ac:dyDescent="0.25">
      <c r="G1308" s="235" t="str">
        <f t="shared" si="424"/>
        <v/>
      </c>
      <c r="H1308" s="4" t="str">
        <f t="shared" si="423"/>
        <v/>
      </c>
      <c r="I1308" s="11" t="str">
        <f t="shared" si="425"/>
        <v/>
      </c>
      <c r="K1308" s="30">
        <v>386</v>
      </c>
      <c r="L1308" s="29">
        <f t="shared" ref="L1308:L1371" si="436">IF(ISNUMBER($M1308),$M1308+$L1307,$L1307)</f>
        <v>11371.908376190921</v>
      </c>
      <c r="M1308" s="28" t="str">
        <f t="shared" si="426"/>
        <v/>
      </c>
      <c r="N1308" s="27" t="str">
        <f t="shared" ref="N1308:N1371" si="437">IF($K1307&lt;$N$25,$N1307+1,"")</f>
        <v/>
      </c>
      <c r="O1308" s="26" t="str">
        <f>IF(AND($Q1307=$O$38,IFERROR(LARGE($V$923:$V1307,1)&lt;$N$42,TRUE)),1,IF(AND(ISNUMBER($O1307),$O1307&lt;$N$32),$O1307+1,""))</f>
        <v/>
      </c>
      <c r="P1308" s="26" t="str">
        <f t="shared" ref="P1308:P1371" si="438">IF(OR($N1307=$N$25,O1307=$N$32),1,IF(AND($P1307&lt;$O$37,P1307&gt;0),P1307+1,""))</f>
        <v/>
      </c>
      <c r="Q1308" s="26" t="str">
        <f t="shared" si="427"/>
        <v/>
      </c>
      <c r="R1308" s="24" t="str">
        <f t="shared" ref="R1308:R1371" si="439">IF(AND($P1307=$O$37,$R1307=""),1,IF($R1307&lt;($N$43*$N$44),$R1307+1,""))</f>
        <v/>
      </c>
      <c r="S1308" s="180">
        <f t="shared" si="422"/>
        <v>8</v>
      </c>
      <c r="T1308" s="29">
        <f>SUM($AC$923:$AC1308)</f>
        <v>49500</v>
      </c>
      <c r="U1308" s="25" t="str">
        <f t="shared" si="428"/>
        <v/>
      </c>
      <c r="V1308" s="24" t="str">
        <f>IF(AND(ISNUMBER(R1307),ISNUMBER(R1308)),V1307,IF(AND(R1307="",ISNUMBER(R1308)),IFERROR(LARGE($V$923:$V1307,1)+1,0),""))</f>
        <v/>
      </c>
      <c r="W1308" s="23" t="str">
        <f t="shared" ref="W1308:W1371" si="440">IF($O1308=1,($M$30*-1),"")</f>
        <v/>
      </c>
      <c r="X1308" s="22" t="str">
        <f t="shared" ref="X1308:X1371" si="441">IF($K1308=1,($M$24*-1),IF($O1308=1,($M$31*-1),""))</f>
        <v/>
      </c>
      <c r="Y1308" s="236"/>
      <c r="Z1308" s="22"/>
      <c r="AA1308" s="22"/>
      <c r="AB1308" s="22" t="str">
        <f t="shared" si="419"/>
        <v/>
      </c>
      <c r="AC1308" s="22" t="str">
        <f t="shared" si="420"/>
        <v/>
      </c>
      <c r="AD1308" s="22" t="str">
        <f t="shared" si="429"/>
        <v/>
      </c>
      <c r="AE1308" s="22" t="str">
        <f t="shared" si="421"/>
        <v/>
      </c>
      <c r="AF1308" s="22" t="str">
        <f t="shared" si="430"/>
        <v/>
      </c>
      <c r="AG1308" s="22" t="str">
        <f t="shared" si="431"/>
        <v/>
      </c>
      <c r="AH1308" s="22" t="str">
        <f t="shared" si="432"/>
        <v/>
      </c>
      <c r="AI1308" s="22" t="str">
        <f t="shared" si="433"/>
        <v/>
      </c>
      <c r="AJ1308" s="304" t="str">
        <f t="shared" si="434"/>
        <v/>
      </c>
      <c r="AK1308" s="140" t="str">
        <f t="shared" si="435"/>
        <v/>
      </c>
    </row>
    <row r="1309" spans="7:37" x14ac:dyDescent="0.25">
      <c r="G1309" s="235" t="str">
        <f t="shared" si="424"/>
        <v/>
      </c>
      <c r="H1309" s="4" t="str">
        <f t="shared" si="423"/>
        <v/>
      </c>
      <c r="I1309" s="11" t="str">
        <f t="shared" si="425"/>
        <v/>
      </c>
      <c r="K1309" s="30">
        <v>387</v>
      </c>
      <c r="L1309" s="29">
        <f t="shared" si="436"/>
        <v>11371.908376190921</v>
      </c>
      <c r="M1309" s="28" t="str">
        <f t="shared" si="426"/>
        <v/>
      </c>
      <c r="N1309" s="27" t="str">
        <f t="shared" si="437"/>
        <v/>
      </c>
      <c r="O1309" s="26" t="str">
        <f>IF(AND($Q1308=$O$38,IFERROR(LARGE($V$923:$V1308,1)&lt;$N$42,TRUE)),1,IF(AND(ISNUMBER($O1308),$O1308&lt;$N$32),$O1308+1,""))</f>
        <v/>
      </c>
      <c r="P1309" s="26" t="str">
        <f t="shared" si="438"/>
        <v/>
      </c>
      <c r="Q1309" s="26" t="str">
        <f t="shared" si="427"/>
        <v/>
      </c>
      <c r="R1309" s="24" t="str">
        <f t="shared" si="439"/>
        <v/>
      </c>
      <c r="S1309" s="180">
        <f t="shared" si="422"/>
        <v>8</v>
      </c>
      <c r="T1309" s="29">
        <f>SUM($AC$923:$AC1309)</f>
        <v>49500</v>
      </c>
      <c r="U1309" s="25" t="str">
        <f t="shared" si="428"/>
        <v/>
      </c>
      <c r="V1309" s="24" t="str">
        <f>IF(AND(ISNUMBER(R1308),ISNUMBER(R1309)),V1308,IF(AND(R1308="",ISNUMBER(R1309)),IFERROR(LARGE($V$923:$V1308,1)+1,0),""))</f>
        <v/>
      </c>
      <c r="W1309" s="23" t="str">
        <f t="shared" si="440"/>
        <v/>
      </c>
      <c r="X1309" s="22" t="str">
        <f t="shared" si="441"/>
        <v/>
      </c>
      <c r="Y1309" s="236"/>
      <c r="Z1309" s="22"/>
      <c r="AA1309" s="22"/>
      <c r="AB1309" s="22" t="str">
        <f t="shared" si="419"/>
        <v/>
      </c>
      <c r="AC1309" s="22" t="str">
        <f t="shared" si="420"/>
        <v/>
      </c>
      <c r="AD1309" s="22" t="str">
        <f t="shared" si="429"/>
        <v/>
      </c>
      <c r="AE1309" s="22" t="str">
        <f t="shared" si="421"/>
        <v/>
      </c>
      <c r="AF1309" s="22" t="str">
        <f t="shared" si="430"/>
        <v/>
      </c>
      <c r="AG1309" s="22" t="str">
        <f t="shared" si="431"/>
        <v/>
      </c>
      <c r="AH1309" s="22" t="str">
        <f t="shared" si="432"/>
        <v/>
      </c>
      <c r="AI1309" s="22" t="str">
        <f t="shared" si="433"/>
        <v/>
      </c>
      <c r="AJ1309" s="304" t="str">
        <f t="shared" si="434"/>
        <v/>
      </c>
      <c r="AK1309" s="140" t="str">
        <f t="shared" si="435"/>
        <v/>
      </c>
    </row>
    <row r="1310" spans="7:37" x14ac:dyDescent="0.25">
      <c r="G1310" s="235" t="str">
        <f t="shared" si="424"/>
        <v/>
      </c>
      <c r="H1310" s="4" t="str">
        <f t="shared" si="423"/>
        <v/>
      </c>
      <c r="I1310" s="11" t="str">
        <f t="shared" si="425"/>
        <v/>
      </c>
      <c r="K1310" s="30">
        <v>388</v>
      </c>
      <c r="L1310" s="29">
        <f t="shared" si="436"/>
        <v>11371.908376190921</v>
      </c>
      <c r="M1310" s="28" t="str">
        <f t="shared" si="426"/>
        <v/>
      </c>
      <c r="N1310" s="27" t="str">
        <f t="shared" si="437"/>
        <v/>
      </c>
      <c r="O1310" s="26" t="str">
        <f>IF(AND($Q1309=$O$38,IFERROR(LARGE($V$923:$V1309,1)&lt;$N$42,TRUE)),1,IF(AND(ISNUMBER($O1309),$O1309&lt;$N$32),$O1309+1,""))</f>
        <v/>
      </c>
      <c r="P1310" s="26" t="str">
        <f t="shared" si="438"/>
        <v/>
      </c>
      <c r="Q1310" s="26" t="str">
        <f t="shared" si="427"/>
        <v/>
      </c>
      <c r="R1310" s="24" t="str">
        <f t="shared" si="439"/>
        <v/>
      </c>
      <c r="S1310" s="180">
        <f t="shared" si="422"/>
        <v>8</v>
      </c>
      <c r="T1310" s="29">
        <f>SUM($AC$923:$AC1310)</f>
        <v>49500</v>
      </c>
      <c r="U1310" s="25" t="str">
        <f t="shared" si="428"/>
        <v/>
      </c>
      <c r="V1310" s="24" t="str">
        <f>IF(AND(ISNUMBER(R1309),ISNUMBER(R1310)),V1309,IF(AND(R1309="",ISNUMBER(R1310)),IFERROR(LARGE($V$923:$V1309,1)+1,0),""))</f>
        <v/>
      </c>
      <c r="W1310" s="23" t="str">
        <f t="shared" si="440"/>
        <v/>
      </c>
      <c r="X1310" s="22" t="str">
        <f t="shared" si="441"/>
        <v/>
      </c>
      <c r="Y1310" s="236"/>
      <c r="Z1310" s="22"/>
      <c r="AA1310" s="22"/>
      <c r="AB1310" s="22" t="str">
        <f t="shared" si="419"/>
        <v/>
      </c>
      <c r="AC1310" s="22" t="str">
        <f t="shared" si="420"/>
        <v/>
      </c>
      <c r="AD1310" s="22" t="str">
        <f t="shared" si="429"/>
        <v/>
      </c>
      <c r="AE1310" s="22" t="str">
        <f t="shared" si="421"/>
        <v/>
      </c>
      <c r="AF1310" s="22" t="str">
        <f t="shared" si="430"/>
        <v/>
      </c>
      <c r="AG1310" s="22" t="str">
        <f t="shared" si="431"/>
        <v/>
      </c>
      <c r="AH1310" s="22" t="str">
        <f t="shared" si="432"/>
        <v/>
      </c>
      <c r="AI1310" s="22" t="str">
        <f t="shared" si="433"/>
        <v/>
      </c>
      <c r="AJ1310" s="304" t="str">
        <f t="shared" si="434"/>
        <v/>
      </c>
      <c r="AK1310" s="140" t="str">
        <f t="shared" si="435"/>
        <v/>
      </c>
    </row>
    <row r="1311" spans="7:37" x14ac:dyDescent="0.25">
      <c r="G1311" s="235" t="str">
        <f t="shared" si="424"/>
        <v/>
      </c>
      <c r="H1311" s="4" t="str">
        <f t="shared" si="423"/>
        <v/>
      </c>
      <c r="I1311" s="11" t="str">
        <f t="shared" si="425"/>
        <v/>
      </c>
      <c r="K1311" s="30">
        <v>389</v>
      </c>
      <c r="L1311" s="29">
        <f t="shared" si="436"/>
        <v>11371.908376190921</v>
      </c>
      <c r="M1311" s="28" t="str">
        <f t="shared" si="426"/>
        <v/>
      </c>
      <c r="N1311" s="27" t="str">
        <f t="shared" si="437"/>
        <v/>
      </c>
      <c r="O1311" s="26" t="str">
        <f>IF(AND($Q1310=$O$38,IFERROR(LARGE($V$923:$V1310,1)&lt;$N$42,TRUE)),1,IF(AND(ISNUMBER($O1310),$O1310&lt;$N$32),$O1310+1,""))</f>
        <v/>
      </c>
      <c r="P1311" s="26" t="str">
        <f t="shared" si="438"/>
        <v/>
      </c>
      <c r="Q1311" s="26" t="str">
        <f t="shared" si="427"/>
        <v/>
      </c>
      <c r="R1311" s="24" t="str">
        <f t="shared" si="439"/>
        <v/>
      </c>
      <c r="S1311" s="180">
        <f t="shared" si="422"/>
        <v>8</v>
      </c>
      <c r="T1311" s="29">
        <f>SUM($AC$923:$AC1311)</f>
        <v>49500</v>
      </c>
      <c r="U1311" s="25" t="str">
        <f t="shared" si="428"/>
        <v/>
      </c>
      <c r="V1311" s="24" t="str">
        <f>IF(AND(ISNUMBER(R1310),ISNUMBER(R1311)),V1310,IF(AND(R1310="",ISNUMBER(R1311)),IFERROR(LARGE($V$923:$V1310,1)+1,0),""))</f>
        <v/>
      </c>
      <c r="W1311" s="23" t="str">
        <f t="shared" si="440"/>
        <v/>
      </c>
      <c r="X1311" s="22" t="str">
        <f t="shared" si="441"/>
        <v/>
      </c>
      <c r="Y1311" s="236"/>
      <c r="Z1311" s="22"/>
      <c r="AA1311" s="22"/>
      <c r="AB1311" s="22" t="str">
        <f t="shared" si="419"/>
        <v/>
      </c>
      <c r="AC1311" s="22" t="str">
        <f t="shared" si="420"/>
        <v/>
      </c>
      <c r="AD1311" s="22" t="str">
        <f t="shared" si="429"/>
        <v/>
      </c>
      <c r="AE1311" s="22" t="str">
        <f t="shared" si="421"/>
        <v/>
      </c>
      <c r="AF1311" s="22" t="str">
        <f t="shared" si="430"/>
        <v/>
      </c>
      <c r="AG1311" s="22" t="str">
        <f t="shared" si="431"/>
        <v/>
      </c>
      <c r="AH1311" s="22" t="str">
        <f t="shared" si="432"/>
        <v/>
      </c>
      <c r="AI1311" s="22" t="str">
        <f t="shared" si="433"/>
        <v/>
      </c>
      <c r="AJ1311" s="304" t="str">
        <f t="shared" si="434"/>
        <v/>
      </c>
      <c r="AK1311" s="140" t="str">
        <f t="shared" si="435"/>
        <v/>
      </c>
    </row>
    <row r="1312" spans="7:37" x14ac:dyDescent="0.25">
      <c r="G1312" s="235" t="str">
        <f t="shared" si="424"/>
        <v/>
      </c>
      <c r="H1312" s="4" t="str">
        <f t="shared" si="423"/>
        <v/>
      </c>
      <c r="I1312" s="11" t="str">
        <f t="shared" si="425"/>
        <v/>
      </c>
      <c r="K1312" s="30">
        <v>390</v>
      </c>
      <c r="L1312" s="29">
        <f t="shared" si="436"/>
        <v>11371.908376190921</v>
      </c>
      <c r="M1312" s="28" t="str">
        <f t="shared" si="426"/>
        <v/>
      </c>
      <c r="N1312" s="27" t="str">
        <f t="shared" si="437"/>
        <v/>
      </c>
      <c r="O1312" s="26" t="str">
        <f>IF(AND($Q1311=$O$38,IFERROR(LARGE($V$923:$V1311,1)&lt;$N$42,TRUE)),1,IF(AND(ISNUMBER($O1311),$O1311&lt;$N$32),$O1311+1,""))</f>
        <v/>
      </c>
      <c r="P1312" s="26" t="str">
        <f t="shared" si="438"/>
        <v/>
      </c>
      <c r="Q1312" s="26" t="str">
        <f t="shared" si="427"/>
        <v/>
      </c>
      <c r="R1312" s="24" t="str">
        <f t="shared" si="439"/>
        <v/>
      </c>
      <c r="S1312" s="180">
        <f t="shared" si="422"/>
        <v>8</v>
      </c>
      <c r="T1312" s="29">
        <f>SUM($AC$923:$AC1312)</f>
        <v>49500</v>
      </c>
      <c r="U1312" s="25" t="str">
        <f t="shared" si="428"/>
        <v/>
      </c>
      <c r="V1312" s="24" t="str">
        <f>IF(AND(ISNUMBER(R1311),ISNUMBER(R1312)),V1311,IF(AND(R1311="",ISNUMBER(R1312)),IFERROR(LARGE($V$923:$V1311,1)+1,0),""))</f>
        <v/>
      </c>
      <c r="W1312" s="23" t="str">
        <f t="shared" si="440"/>
        <v/>
      </c>
      <c r="X1312" s="22" t="str">
        <f t="shared" si="441"/>
        <v/>
      </c>
      <c r="Y1312" s="236"/>
      <c r="Z1312" s="22"/>
      <c r="AA1312" s="22"/>
      <c r="AB1312" s="22" t="str">
        <f t="shared" si="419"/>
        <v/>
      </c>
      <c r="AC1312" s="22" t="str">
        <f t="shared" si="420"/>
        <v/>
      </c>
      <c r="AD1312" s="22" t="str">
        <f t="shared" si="429"/>
        <v/>
      </c>
      <c r="AE1312" s="22" t="str">
        <f t="shared" si="421"/>
        <v/>
      </c>
      <c r="AF1312" s="22" t="str">
        <f t="shared" si="430"/>
        <v/>
      </c>
      <c r="AG1312" s="22" t="str">
        <f t="shared" si="431"/>
        <v/>
      </c>
      <c r="AH1312" s="22" t="str">
        <f t="shared" si="432"/>
        <v/>
      </c>
      <c r="AI1312" s="22" t="str">
        <f t="shared" si="433"/>
        <v/>
      </c>
      <c r="AJ1312" s="304" t="str">
        <f t="shared" si="434"/>
        <v/>
      </c>
      <c r="AK1312" s="140" t="str">
        <f t="shared" si="435"/>
        <v/>
      </c>
    </row>
    <row r="1313" spans="7:37" x14ac:dyDescent="0.25">
      <c r="G1313" s="235" t="str">
        <f t="shared" si="424"/>
        <v/>
      </c>
      <c r="H1313" s="4" t="str">
        <f t="shared" si="423"/>
        <v/>
      </c>
      <c r="I1313" s="11" t="str">
        <f t="shared" si="425"/>
        <v/>
      </c>
      <c r="K1313" s="30">
        <v>391</v>
      </c>
      <c r="L1313" s="29">
        <f t="shared" si="436"/>
        <v>11371.908376190921</v>
      </c>
      <c r="M1313" s="28" t="str">
        <f t="shared" si="426"/>
        <v/>
      </c>
      <c r="N1313" s="27" t="str">
        <f t="shared" si="437"/>
        <v/>
      </c>
      <c r="O1313" s="26" t="str">
        <f>IF(AND($Q1312=$O$38,IFERROR(LARGE($V$923:$V1312,1)&lt;$N$42,TRUE)),1,IF(AND(ISNUMBER($O1312),$O1312&lt;$N$32),$O1312+1,""))</f>
        <v/>
      </c>
      <c r="P1313" s="26" t="str">
        <f t="shared" si="438"/>
        <v/>
      </c>
      <c r="Q1313" s="26" t="str">
        <f t="shared" si="427"/>
        <v/>
      </c>
      <c r="R1313" s="24" t="str">
        <f t="shared" si="439"/>
        <v/>
      </c>
      <c r="S1313" s="180">
        <f t="shared" si="422"/>
        <v>8</v>
      </c>
      <c r="T1313" s="29">
        <f>SUM($AC$923:$AC1313)</f>
        <v>49500</v>
      </c>
      <c r="U1313" s="25" t="str">
        <f t="shared" si="428"/>
        <v/>
      </c>
      <c r="V1313" s="24" t="str">
        <f>IF(AND(ISNUMBER(R1312),ISNUMBER(R1313)),V1312,IF(AND(R1312="",ISNUMBER(R1313)),IFERROR(LARGE($V$923:$V1312,1)+1,0),""))</f>
        <v/>
      </c>
      <c r="W1313" s="23" t="str">
        <f t="shared" si="440"/>
        <v/>
      </c>
      <c r="X1313" s="22" t="str">
        <f t="shared" si="441"/>
        <v/>
      </c>
      <c r="Y1313" s="236"/>
      <c r="Z1313" s="22"/>
      <c r="AA1313" s="22"/>
      <c r="AB1313" s="22" t="str">
        <f t="shared" si="419"/>
        <v/>
      </c>
      <c r="AC1313" s="22" t="str">
        <f t="shared" si="420"/>
        <v/>
      </c>
      <c r="AD1313" s="22" t="str">
        <f t="shared" si="429"/>
        <v/>
      </c>
      <c r="AE1313" s="22" t="str">
        <f t="shared" si="421"/>
        <v/>
      </c>
      <c r="AF1313" s="22" t="str">
        <f t="shared" si="430"/>
        <v/>
      </c>
      <c r="AG1313" s="22" t="str">
        <f t="shared" si="431"/>
        <v/>
      </c>
      <c r="AH1313" s="22" t="str">
        <f t="shared" si="432"/>
        <v/>
      </c>
      <c r="AI1313" s="22" t="str">
        <f t="shared" si="433"/>
        <v/>
      </c>
      <c r="AJ1313" s="304" t="str">
        <f t="shared" si="434"/>
        <v/>
      </c>
      <c r="AK1313" s="140" t="str">
        <f t="shared" si="435"/>
        <v/>
      </c>
    </row>
    <row r="1314" spans="7:37" x14ac:dyDescent="0.25">
      <c r="G1314" s="235" t="str">
        <f t="shared" si="424"/>
        <v/>
      </c>
      <c r="H1314" s="4" t="str">
        <f t="shared" si="423"/>
        <v/>
      </c>
      <c r="I1314" s="11" t="str">
        <f t="shared" si="425"/>
        <v/>
      </c>
      <c r="K1314" s="30">
        <v>392</v>
      </c>
      <c r="L1314" s="29">
        <f t="shared" si="436"/>
        <v>11371.908376190921</v>
      </c>
      <c r="M1314" s="28" t="str">
        <f t="shared" si="426"/>
        <v/>
      </c>
      <c r="N1314" s="27" t="str">
        <f t="shared" si="437"/>
        <v/>
      </c>
      <c r="O1314" s="26" t="str">
        <f>IF(AND($Q1313=$O$38,IFERROR(LARGE($V$923:$V1313,1)&lt;$N$42,TRUE)),1,IF(AND(ISNUMBER($O1313),$O1313&lt;$N$32),$O1313+1,""))</f>
        <v/>
      </c>
      <c r="P1314" s="26" t="str">
        <f t="shared" si="438"/>
        <v/>
      </c>
      <c r="Q1314" s="26" t="str">
        <f t="shared" si="427"/>
        <v/>
      </c>
      <c r="R1314" s="24" t="str">
        <f t="shared" si="439"/>
        <v/>
      </c>
      <c r="S1314" s="180">
        <f t="shared" si="422"/>
        <v>8</v>
      </c>
      <c r="T1314" s="29">
        <f>SUM($AC$923:$AC1314)</f>
        <v>49500</v>
      </c>
      <c r="U1314" s="25" t="str">
        <f t="shared" si="428"/>
        <v/>
      </c>
      <c r="V1314" s="24" t="str">
        <f>IF(AND(ISNUMBER(R1313),ISNUMBER(R1314)),V1313,IF(AND(R1313="",ISNUMBER(R1314)),IFERROR(LARGE($V$923:$V1313,1)+1,0),""))</f>
        <v/>
      </c>
      <c r="W1314" s="23" t="str">
        <f t="shared" si="440"/>
        <v/>
      </c>
      <c r="X1314" s="22" t="str">
        <f t="shared" si="441"/>
        <v/>
      </c>
      <c r="Y1314" s="236"/>
      <c r="Z1314" s="22"/>
      <c r="AA1314" s="22"/>
      <c r="AB1314" s="22" t="str">
        <f t="shared" si="419"/>
        <v/>
      </c>
      <c r="AC1314" s="22" t="str">
        <f t="shared" si="420"/>
        <v/>
      </c>
      <c r="AD1314" s="22" t="str">
        <f t="shared" si="429"/>
        <v/>
      </c>
      <c r="AE1314" s="22" t="str">
        <f t="shared" si="421"/>
        <v/>
      </c>
      <c r="AF1314" s="22" t="str">
        <f t="shared" si="430"/>
        <v/>
      </c>
      <c r="AG1314" s="22" t="str">
        <f t="shared" si="431"/>
        <v/>
      </c>
      <c r="AH1314" s="22" t="str">
        <f t="shared" si="432"/>
        <v/>
      </c>
      <c r="AI1314" s="22" t="str">
        <f t="shared" si="433"/>
        <v/>
      </c>
      <c r="AJ1314" s="304" t="str">
        <f t="shared" si="434"/>
        <v/>
      </c>
      <c r="AK1314" s="140" t="str">
        <f t="shared" si="435"/>
        <v/>
      </c>
    </row>
    <row r="1315" spans="7:37" x14ac:dyDescent="0.25">
      <c r="G1315" s="235" t="str">
        <f t="shared" si="424"/>
        <v/>
      </c>
      <c r="H1315" s="4" t="str">
        <f t="shared" si="423"/>
        <v/>
      </c>
      <c r="I1315" s="11" t="str">
        <f t="shared" si="425"/>
        <v/>
      </c>
      <c r="K1315" s="30">
        <v>393</v>
      </c>
      <c r="L1315" s="29">
        <f t="shared" si="436"/>
        <v>11371.908376190921</v>
      </c>
      <c r="M1315" s="28" t="str">
        <f t="shared" si="426"/>
        <v/>
      </c>
      <c r="N1315" s="27" t="str">
        <f t="shared" si="437"/>
        <v/>
      </c>
      <c r="O1315" s="26" t="str">
        <f>IF(AND($Q1314=$O$38,IFERROR(LARGE($V$923:$V1314,1)&lt;$N$42,TRUE)),1,IF(AND(ISNUMBER($O1314),$O1314&lt;$N$32),$O1314+1,""))</f>
        <v/>
      </c>
      <c r="P1315" s="26" t="str">
        <f t="shared" si="438"/>
        <v/>
      </c>
      <c r="Q1315" s="26" t="str">
        <f t="shared" si="427"/>
        <v/>
      </c>
      <c r="R1315" s="24" t="str">
        <f t="shared" si="439"/>
        <v/>
      </c>
      <c r="S1315" s="180">
        <f t="shared" si="422"/>
        <v>8</v>
      </c>
      <c r="T1315" s="29">
        <f>SUM($AC$923:$AC1315)</f>
        <v>49500</v>
      </c>
      <c r="U1315" s="25" t="str">
        <f t="shared" si="428"/>
        <v/>
      </c>
      <c r="V1315" s="24" t="str">
        <f>IF(AND(ISNUMBER(R1314),ISNUMBER(R1315)),V1314,IF(AND(R1314="",ISNUMBER(R1315)),IFERROR(LARGE($V$923:$V1314,1)+1,0),""))</f>
        <v/>
      </c>
      <c r="W1315" s="23" t="str">
        <f t="shared" si="440"/>
        <v/>
      </c>
      <c r="X1315" s="22" t="str">
        <f t="shared" si="441"/>
        <v/>
      </c>
      <c r="Y1315" s="236"/>
      <c r="Z1315" s="22"/>
      <c r="AA1315" s="22"/>
      <c r="AB1315" s="22" t="str">
        <f t="shared" si="419"/>
        <v/>
      </c>
      <c r="AC1315" s="22" t="str">
        <f t="shared" si="420"/>
        <v/>
      </c>
      <c r="AD1315" s="22" t="str">
        <f t="shared" si="429"/>
        <v/>
      </c>
      <c r="AE1315" s="22" t="str">
        <f t="shared" si="421"/>
        <v/>
      </c>
      <c r="AF1315" s="22" t="str">
        <f t="shared" si="430"/>
        <v/>
      </c>
      <c r="AG1315" s="22" t="str">
        <f t="shared" si="431"/>
        <v/>
      </c>
      <c r="AH1315" s="22" t="str">
        <f t="shared" si="432"/>
        <v/>
      </c>
      <c r="AI1315" s="22" t="str">
        <f t="shared" si="433"/>
        <v/>
      </c>
      <c r="AJ1315" s="304" t="str">
        <f t="shared" si="434"/>
        <v/>
      </c>
      <c r="AK1315" s="140" t="str">
        <f t="shared" si="435"/>
        <v/>
      </c>
    </row>
    <row r="1316" spans="7:37" x14ac:dyDescent="0.25">
      <c r="G1316" s="235" t="str">
        <f t="shared" si="424"/>
        <v/>
      </c>
      <c r="H1316" s="4" t="str">
        <f t="shared" si="423"/>
        <v/>
      </c>
      <c r="I1316" s="11" t="str">
        <f t="shared" si="425"/>
        <v/>
      </c>
      <c r="K1316" s="30">
        <v>394</v>
      </c>
      <c r="L1316" s="29">
        <f t="shared" si="436"/>
        <v>11371.908376190921</v>
      </c>
      <c r="M1316" s="28" t="str">
        <f t="shared" si="426"/>
        <v/>
      </c>
      <c r="N1316" s="27" t="str">
        <f t="shared" si="437"/>
        <v/>
      </c>
      <c r="O1316" s="26" t="str">
        <f>IF(AND($Q1315=$O$38,IFERROR(LARGE($V$923:$V1315,1)&lt;$N$42,TRUE)),1,IF(AND(ISNUMBER($O1315),$O1315&lt;$N$32),$O1315+1,""))</f>
        <v/>
      </c>
      <c r="P1316" s="26" t="str">
        <f t="shared" si="438"/>
        <v/>
      </c>
      <c r="Q1316" s="26" t="str">
        <f t="shared" si="427"/>
        <v/>
      </c>
      <c r="R1316" s="24" t="str">
        <f t="shared" si="439"/>
        <v/>
      </c>
      <c r="S1316" s="180">
        <f t="shared" si="422"/>
        <v>8</v>
      </c>
      <c r="T1316" s="29">
        <f>SUM($AC$923:$AC1316)</f>
        <v>49500</v>
      </c>
      <c r="U1316" s="25" t="str">
        <f t="shared" si="428"/>
        <v/>
      </c>
      <c r="V1316" s="24" t="str">
        <f>IF(AND(ISNUMBER(R1315),ISNUMBER(R1316)),V1315,IF(AND(R1315="",ISNUMBER(R1316)),IFERROR(LARGE($V$923:$V1315,1)+1,0),""))</f>
        <v/>
      </c>
      <c r="W1316" s="23" t="str">
        <f t="shared" si="440"/>
        <v/>
      </c>
      <c r="X1316" s="22" t="str">
        <f t="shared" si="441"/>
        <v/>
      </c>
      <c r="Y1316" s="236"/>
      <c r="Z1316" s="22"/>
      <c r="AA1316" s="22"/>
      <c r="AB1316" s="22" t="str">
        <f t="shared" si="419"/>
        <v/>
      </c>
      <c r="AC1316" s="22" t="str">
        <f t="shared" si="420"/>
        <v/>
      </c>
      <c r="AD1316" s="22" t="str">
        <f t="shared" si="429"/>
        <v/>
      </c>
      <c r="AE1316" s="22" t="str">
        <f t="shared" si="421"/>
        <v/>
      </c>
      <c r="AF1316" s="22" t="str">
        <f t="shared" si="430"/>
        <v/>
      </c>
      <c r="AG1316" s="22" t="str">
        <f t="shared" si="431"/>
        <v/>
      </c>
      <c r="AH1316" s="22" t="str">
        <f t="shared" si="432"/>
        <v/>
      </c>
      <c r="AI1316" s="22" t="str">
        <f t="shared" si="433"/>
        <v/>
      </c>
      <c r="AJ1316" s="304" t="str">
        <f t="shared" si="434"/>
        <v/>
      </c>
      <c r="AK1316" s="140" t="str">
        <f t="shared" si="435"/>
        <v/>
      </c>
    </row>
    <row r="1317" spans="7:37" x14ac:dyDescent="0.25">
      <c r="G1317" s="235" t="str">
        <f t="shared" si="424"/>
        <v/>
      </c>
      <c r="H1317" s="4" t="str">
        <f t="shared" si="423"/>
        <v/>
      </c>
      <c r="I1317" s="11" t="str">
        <f t="shared" si="425"/>
        <v/>
      </c>
      <c r="K1317" s="30">
        <v>395</v>
      </c>
      <c r="L1317" s="29">
        <f t="shared" si="436"/>
        <v>11371.908376190921</v>
      </c>
      <c r="M1317" s="28" t="str">
        <f t="shared" si="426"/>
        <v/>
      </c>
      <c r="N1317" s="27" t="str">
        <f t="shared" si="437"/>
        <v/>
      </c>
      <c r="O1317" s="26" t="str">
        <f>IF(AND($Q1316=$O$38,IFERROR(LARGE($V$923:$V1316,1)&lt;$N$42,TRUE)),1,IF(AND(ISNUMBER($O1316),$O1316&lt;$N$32),$O1316+1,""))</f>
        <v/>
      </c>
      <c r="P1317" s="26" t="str">
        <f t="shared" si="438"/>
        <v/>
      </c>
      <c r="Q1317" s="26" t="str">
        <f t="shared" si="427"/>
        <v/>
      </c>
      <c r="R1317" s="24" t="str">
        <f t="shared" si="439"/>
        <v/>
      </c>
      <c r="S1317" s="180">
        <f t="shared" si="422"/>
        <v>8</v>
      </c>
      <c r="T1317" s="29">
        <f>SUM($AC$923:$AC1317)</f>
        <v>49500</v>
      </c>
      <c r="U1317" s="25" t="str">
        <f t="shared" si="428"/>
        <v/>
      </c>
      <c r="V1317" s="24" t="str">
        <f>IF(AND(ISNUMBER(R1316),ISNUMBER(R1317)),V1316,IF(AND(R1316="",ISNUMBER(R1317)),IFERROR(LARGE($V$923:$V1316,1)+1,0),""))</f>
        <v/>
      </c>
      <c r="W1317" s="23" t="str">
        <f t="shared" si="440"/>
        <v/>
      </c>
      <c r="X1317" s="22" t="str">
        <f t="shared" si="441"/>
        <v/>
      </c>
      <c r="Y1317" s="236"/>
      <c r="Z1317" s="22"/>
      <c r="AA1317" s="22"/>
      <c r="AB1317" s="22" t="str">
        <f t="shared" si="419"/>
        <v/>
      </c>
      <c r="AC1317" s="22" t="str">
        <f t="shared" si="420"/>
        <v/>
      </c>
      <c r="AD1317" s="22" t="str">
        <f t="shared" si="429"/>
        <v/>
      </c>
      <c r="AE1317" s="22" t="str">
        <f t="shared" si="421"/>
        <v/>
      </c>
      <c r="AF1317" s="22" t="str">
        <f t="shared" si="430"/>
        <v/>
      </c>
      <c r="AG1317" s="22" t="str">
        <f t="shared" si="431"/>
        <v/>
      </c>
      <c r="AH1317" s="22" t="str">
        <f t="shared" si="432"/>
        <v/>
      </c>
      <c r="AI1317" s="22" t="str">
        <f t="shared" si="433"/>
        <v/>
      </c>
      <c r="AJ1317" s="304" t="str">
        <f t="shared" si="434"/>
        <v/>
      </c>
      <c r="AK1317" s="140" t="str">
        <f t="shared" si="435"/>
        <v/>
      </c>
    </row>
    <row r="1318" spans="7:37" x14ac:dyDescent="0.25">
      <c r="G1318" s="235" t="str">
        <f t="shared" si="424"/>
        <v/>
      </c>
      <c r="H1318" s="4" t="str">
        <f t="shared" si="423"/>
        <v/>
      </c>
      <c r="I1318" s="11" t="str">
        <f t="shared" si="425"/>
        <v/>
      </c>
      <c r="K1318" s="30">
        <v>396</v>
      </c>
      <c r="L1318" s="29">
        <f t="shared" si="436"/>
        <v>11371.908376190921</v>
      </c>
      <c r="M1318" s="28" t="str">
        <f t="shared" si="426"/>
        <v/>
      </c>
      <c r="N1318" s="27" t="str">
        <f t="shared" si="437"/>
        <v/>
      </c>
      <c r="O1318" s="26" t="str">
        <f>IF(AND($Q1317=$O$38,IFERROR(LARGE($V$923:$V1317,1)&lt;$N$42,TRUE)),1,IF(AND(ISNUMBER($O1317),$O1317&lt;$N$32),$O1317+1,""))</f>
        <v/>
      </c>
      <c r="P1318" s="26" t="str">
        <f t="shared" si="438"/>
        <v/>
      </c>
      <c r="Q1318" s="26" t="str">
        <f t="shared" si="427"/>
        <v/>
      </c>
      <c r="R1318" s="24" t="str">
        <f t="shared" si="439"/>
        <v/>
      </c>
      <c r="S1318" s="180">
        <f t="shared" si="422"/>
        <v>8</v>
      </c>
      <c r="T1318" s="29">
        <f>SUM($AC$923:$AC1318)</f>
        <v>49500</v>
      </c>
      <c r="U1318" s="25" t="str">
        <f t="shared" si="428"/>
        <v/>
      </c>
      <c r="V1318" s="24" t="str">
        <f>IF(AND(ISNUMBER(R1317),ISNUMBER(R1318)),V1317,IF(AND(R1317="",ISNUMBER(R1318)),IFERROR(LARGE($V$923:$V1317,1)+1,0),""))</f>
        <v/>
      </c>
      <c r="W1318" s="23" t="str">
        <f t="shared" si="440"/>
        <v/>
      </c>
      <c r="X1318" s="22" t="str">
        <f t="shared" si="441"/>
        <v/>
      </c>
      <c r="Y1318" s="236"/>
      <c r="Z1318" s="22"/>
      <c r="AA1318" s="22"/>
      <c r="AB1318" s="22" t="str">
        <f t="shared" si="419"/>
        <v/>
      </c>
      <c r="AC1318" s="22" t="str">
        <f t="shared" si="420"/>
        <v/>
      </c>
      <c r="AD1318" s="22" t="str">
        <f t="shared" si="429"/>
        <v/>
      </c>
      <c r="AE1318" s="22" t="str">
        <f t="shared" si="421"/>
        <v/>
      </c>
      <c r="AF1318" s="22" t="str">
        <f t="shared" si="430"/>
        <v/>
      </c>
      <c r="AG1318" s="22" t="str">
        <f t="shared" si="431"/>
        <v/>
      </c>
      <c r="AH1318" s="22" t="str">
        <f t="shared" si="432"/>
        <v/>
      </c>
      <c r="AI1318" s="22" t="str">
        <f t="shared" si="433"/>
        <v/>
      </c>
      <c r="AJ1318" s="304" t="str">
        <f t="shared" si="434"/>
        <v/>
      </c>
      <c r="AK1318" s="140" t="str">
        <f t="shared" si="435"/>
        <v/>
      </c>
    </row>
    <row r="1319" spans="7:37" x14ac:dyDescent="0.25">
      <c r="G1319" s="235" t="str">
        <f t="shared" si="424"/>
        <v/>
      </c>
      <c r="H1319" s="4" t="str">
        <f t="shared" si="423"/>
        <v/>
      </c>
      <c r="I1319" s="11" t="str">
        <f t="shared" si="425"/>
        <v/>
      </c>
      <c r="K1319" s="30">
        <v>397</v>
      </c>
      <c r="L1319" s="29">
        <f t="shared" si="436"/>
        <v>11371.908376190921</v>
      </c>
      <c r="M1319" s="28" t="str">
        <f t="shared" si="426"/>
        <v/>
      </c>
      <c r="N1319" s="27" t="str">
        <f t="shared" si="437"/>
        <v/>
      </c>
      <c r="O1319" s="26" t="str">
        <f>IF(AND($Q1318=$O$38,IFERROR(LARGE($V$923:$V1318,1)&lt;$N$42,TRUE)),1,IF(AND(ISNUMBER($O1318),$O1318&lt;$N$32),$O1318+1,""))</f>
        <v/>
      </c>
      <c r="P1319" s="26" t="str">
        <f t="shared" si="438"/>
        <v/>
      </c>
      <c r="Q1319" s="26" t="str">
        <f t="shared" si="427"/>
        <v/>
      </c>
      <c r="R1319" s="24" t="str">
        <f t="shared" si="439"/>
        <v/>
      </c>
      <c r="S1319" s="180">
        <f t="shared" si="422"/>
        <v>8</v>
      </c>
      <c r="T1319" s="29">
        <f>SUM($AC$923:$AC1319)</f>
        <v>49500</v>
      </c>
      <c r="U1319" s="25" t="str">
        <f t="shared" si="428"/>
        <v/>
      </c>
      <c r="V1319" s="24" t="str">
        <f>IF(AND(ISNUMBER(R1318),ISNUMBER(R1319)),V1318,IF(AND(R1318="",ISNUMBER(R1319)),IFERROR(LARGE($V$923:$V1318,1)+1,0),""))</f>
        <v/>
      </c>
      <c r="W1319" s="23" t="str">
        <f t="shared" si="440"/>
        <v/>
      </c>
      <c r="X1319" s="22" t="str">
        <f t="shared" si="441"/>
        <v/>
      </c>
      <c r="Y1319" s="236"/>
      <c r="Z1319" s="22"/>
      <c r="AA1319" s="22"/>
      <c r="AB1319" s="22" t="str">
        <f t="shared" si="419"/>
        <v/>
      </c>
      <c r="AC1319" s="22" t="str">
        <f t="shared" si="420"/>
        <v/>
      </c>
      <c r="AD1319" s="22" t="str">
        <f t="shared" si="429"/>
        <v/>
      </c>
      <c r="AE1319" s="22" t="str">
        <f t="shared" si="421"/>
        <v/>
      </c>
      <c r="AF1319" s="22" t="str">
        <f t="shared" si="430"/>
        <v/>
      </c>
      <c r="AG1319" s="22" t="str">
        <f t="shared" si="431"/>
        <v/>
      </c>
      <c r="AH1319" s="22" t="str">
        <f t="shared" si="432"/>
        <v/>
      </c>
      <c r="AI1319" s="22" t="str">
        <f t="shared" si="433"/>
        <v/>
      </c>
      <c r="AJ1319" s="304" t="str">
        <f t="shared" si="434"/>
        <v/>
      </c>
      <c r="AK1319" s="140" t="str">
        <f t="shared" si="435"/>
        <v/>
      </c>
    </row>
    <row r="1320" spans="7:37" x14ac:dyDescent="0.25">
      <c r="G1320" s="235" t="str">
        <f t="shared" si="424"/>
        <v/>
      </c>
      <c r="H1320" s="4" t="str">
        <f t="shared" si="423"/>
        <v/>
      </c>
      <c r="I1320" s="11" t="str">
        <f t="shared" si="425"/>
        <v/>
      </c>
      <c r="K1320" s="30">
        <v>398</v>
      </c>
      <c r="L1320" s="29">
        <f t="shared" si="436"/>
        <v>11371.908376190921</v>
      </c>
      <c r="M1320" s="28" t="str">
        <f t="shared" si="426"/>
        <v/>
      </c>
      <c r="N1320" s="27" t="str">
        <f t="shared" si="437"/>
        <v/>
      </c>
      <c r="O1320" s="26" t="str">
        <f>IF(AND($Q1319=$O$38,IFERROR(LARGE($V$923:$V1319,1)&lt;$N$42,TRUE)),1,IF(AND(ISNUMBER($O1319),$O1319&lt;$N$32),$O1319+1,""))</f>
        <v/>
      </c>
      <c r="P1320" s="26" t="str">
        <f t="shared" si="438"/>
        <v/>
      </c>
      <c r="Q1320" s="26" t="str">
        <f t="shared" si="427"/>
        <v/>
      </c>
      <c r="R1320" s="24" t="str">
        <f t="shared" si="439"/>
        <v/>
      </c>
      <c r="S1320" s="180">
        <f t="shared" si="422"/>
        <v>8</v>
      </c>
      <c r="T1320" s="29">
        <f>SUM($AC$923:$AC1320)</f>
        <v>49500</v>
      </c>
      <c r="U1320" s="25" t="str">
        <f t="shared" si="428"/>
        <v/>
      </c>
      <c r="V1320" s="24" t="str">
        <f>IF(AND(ISNUMBER(R1319),ISNUMBER(R1320)),V1319,IF(AND(R1319="",ISNUMBER(R1320)),IFERROR(LARGE($V$923:$V1319,1)+1,0),""))</f>
        <v/>
      </c>
      <c r="W1320" s="23" t="str">
        <f t="shared" si="440"/>
        <v/>
      </c>
      <c r="X1320" s="22" t="str">
        <f t="shared" si="441"/>
        <v/>
      </c>
      <c r="Y1320" s="236"/>
      <c r="Z1320" s="22"/>
      <c r="AA1320" s="22"/>
      <c r="AB1320" s="22" t="str">
        <f t="shared" si="419"/>
        <v/>
      </c>
      <c r="AC1320" s="22" t="str">
        <f t="shared" si="420"/>
        <v/>
      </c>
      <c r="AD1320" s="22" t="str">
        <f t="shared" si="429"/>
        <v/>
      </c>
      <c r="AE1320" s="22" t="str">
        <f t="shared" si="421"/>
        <v/>
      </c>
      <c r="AF1320" s="22" t="str">
        <f t="shared" si="430"/>
        <v/>
      </c>
      <c r="AG1320" s="22" t="str">
        <f t="shared" si="431"/>
        <v/>
      </c>
      <c r="AH1320" s="22" t="str">
        <f t="shared" si="432"/>
        <v/>
      </c>
      <c r="AI1320" s="22" t="str">
        <f t="shared" si="433"/>
        <v/>
      </c>
      <c r="AJ1320" s="304" t="str">
        <f t="shared" si="434"/>
        <v/>
      </c>
      <c r="AK1320" s="140" t="str">
        <f t="shared" si="435"/>
        <v/>
      </c>
    </row>
    <row r="1321" spans="7:37" x14ac:dyDescent="0.25">
      <c r="G1321" s="235" t="str">
        <f t="shared" si="424"/>
        <v/>
      </c>
      <c r="H1321" s="4" t="str">
        <f t="shared" si="423"/>
        <v/>
      </c>
      <c r="I1321" s="11" t="str">
        <f t="shared" si="425"/>
        <v/>
      </c>
      <c r="K1321" s="30">
        <v>399</v>
      </c>
      <c r="L1321" s="29">
        <f t="shared" si="436"/>
        <v>11371.908376190921</v>
      </c>
      <c r="M1321" s="28" t="str">
        <f t="shared" si="426"/>
        <v/>
      </c>
      <c r="N1321" s="27" t="str">
        <f t="shared" si="437"/>
        <v/>
      </c>
      <c r="O1321" s="26" t="str">
        <f>IF(AND($Q1320=$O$38,IFERROR(LARGE($V$923:$V1320,1)&lt;$N$42,TRUE)),1,IF(AND(ISNUMBER($O1320),$O1320&lt;$N$32),$O1320+1,""))</f>
        <v/>
      </c>
      <c r="P1321" s="26" t="str">
        <f t="shared" si="438"/>
        <v/>
      </c>
      <c r="Q1321" s="26" t="str">
        <f t="shared" si="427"/>
        <v/>
      </c>
      <c r="R1321" s="24" t="str">
        <f t="shared" si="439"/>
        <v/>
      </c>
      <c r="S1321" s="180">
        <f t="shared" si="422"/>
        <v>8</v>
      </c>
      <c r="T1321" s="29">
        <f>SUM($AC$923:$AC1321)</f>
        <v>49500</v>
      </c>
      <c r="U1321" s="25" t="str">
        <f t="shared" si="428"/>
        <v/>
      </c>
      <c r="V1321" s="24" t="str">
        <f>IF(AND(ISNUMBER(R1320),ISNUMBER(R1321)),V1320,IF(AND(R1320="",ISNUMBER(R1321)),IFERROR(LARGE($V$923:$V1320,1)+1,0),""))</f>
        <v/>
      </c>
      <c r="W1321" s="23" t="str">
        <f t="shared" si="440"/>
        <v/>
      </c>
      <c r="X1321" s="22" t="str">
        <f t="shared" si="441"/>
        <v/>
      </c>
      <c r="Y1321" s="236"/>
      <c r="Z1321" s="22"/>
      <c r="AA1321" s="22"/>
      <c r="AB1321" s="22" t="str">
        <f t="shared" si="419"/>
        <v/>
      </c>
      <c r="AC1321" s="22" t="str">
        <f t="shared" si="420"/>
        <v/>
      </c>
      <c r="AD1321" s="22" t="str">
        <f t="shared" si="429"/>
        <v/>
      </c>
      <c r="AE1321" s="22" t="str">
        <f t="shared" si="421"/>
        <v/>
      </c>
      <c r="AF1321" s="22" t="str">
        <f t="shared" si="430"/>
        <v/>
      </c>
      <c r="AG1321" s="22" t="str">
        <f t="shared" si="431"/>
        <v/>
      </c>
      <c r="AH1321" s="22" t="str">
        <f t="shared" si="432"/>
        <v/>
      </c>
      <c r="AI1321" s="22" t="str">
        <f t="shared" si="433"/>
        <v/>
      </c>
      <c r="AJ1321" s="304" t="str">
        <f t="shared" si="434"/>
        <v/>
      </c>
      <c r="AK1321" s="140" t="str">
        <f t="shared" si="435"/>
        <v/>
      </c>
    </row>
    <row r="1322" spans="7:37" x14ac:dyDescent="0.25">
      <c r="G1322" s="235" t="str">
        <f t="shared" si="424"/>
        <v/>
      </c>
      <c r="H1322" s="4" t="str">
        <f t="shared" si="423"/>
        <v/>
      </c>
      <c r="I1322" s="11" t="str">
        <f t="shared" si="425"/>
        <v/>
      </c>
      <c r="K1322" s="30">
        <v>400</v>
      </c>
      <c r="L1322" s="29">
        <f t="shared" si="436"/>
        <v>11371.908376190921</v>
      </c>
      <c r="M1322" s="28" t="str">
        <f t="shared" si="426"/>
        <v/>
      </c>
      <c r="N1322" s="27" t="str">
        <f t="shared" si="437"/>
        <v/>
      </c>
      <c r="O1322" s="26" t="str">
        <f>IF(AND($Q1321=$O$38,IFERROR(LARGE($V$923:$V1321,1)&lt;$N$42,TRUE)),1,IF(AND(ISNUMBER($O1321),$O1321&lt;$N$32),$O1321+1,""))</f>
        <v/>
      </c>
      <c r="P1322" s="26" t="str">
        <f t="shared" si="438"/>
        <v/>
      </c>
      <c r="Q1322" s="26" t="str">
        <f t="shared" si="427"/>
        <v/>
      </c>
      <c r="R1322" s="24" t="str">
        <f t="shared" si="439"/>
        <v/>
      </c>
      <c r="S1322" s="180">
        <f t="shared" si="422"/>
        <v>8</v>
      </c>
      <c r="T1322" s="29">
        <f>SUM($AC$923:$AC1322)</f>
        <v>49500</v>
      </c>
      <c r="U1322" s="25" t="str">
        <f t="shared" si="428"/>
        <v/>
      </c>
      <c r="V1322" s="24" t="str">
        <f>IF(AND(ISNUMBER(R1321),ISNUMBER(R1322)),V1321,IF(AND(R1321="",ISNUMBER(R1322)),IFERROR(LARGE($V$923:$V1321,1)+1,0),""))</f>
        <v/>
      </c>
      <c r="W1322" s="23" t="str">
        <f t="shared" si="440"/>
        <v/>
      </c>
      <c r="X1322" s="22" t="str">
        <f t="shared" si="441"/>
        <v/>
      </c>
      <c r="Y1322" s="236"/>
      <c r="Z1322" s="22"/>
      <c r="AA1322" s="22"/>
      <c r="AB1322" s="22" t="str">
        <f t="shared" si="419"/>
        <v/>
      </c>
      <c r="AC1322" s="22" t="str">
        <f t="shared" si="420"/>
        <v/>
      </c>
      <c r="AD1322" s="22" t="str">
        <f t="shared" si="429"/>
        <v/>
      </c>
      <c r="AE1322" s="22" t="str">
        <f t="shared" si="421"/>
        <v/>
      </c>
      <c r="AF1322" s="22" t="str">
        <f t="shared" si="430"/>
        <v/>
      </c>
      <c r="AG1322" s="22" t="str">
        <f t="shared" si="431"/>
        <v/>
      </c>
      <c r="AH1322" s="22" t="str">
        <f t="shared" si="432"/>
        <v/>
      </c>
      <c r="AI1322" s="22" t="str">
        <f t="shared" si="433"/>
        <v/>
      </c>
      <c r="AJ1322" s="304" t="str">
        <f t="shared" si="434"/>
        <v/>
      </c>
      <c r="AK1322" s="140" t="str">
        <f t="shared" si="435"/>
        <v/>
      </c>
    </row>
    <row r="1323" spans="7:37" x14ac:dyDescent="0.25">
      <c r="G1323" s="235" t="str">
        <f t="shared" si="424"/>
        <v/>
      </c>
      <c r="H1323" s="4" t="str">
        <f t="shared" si="423"/>
        <v/>
      </c>
      <c r="I1323" s="11" t="str">
        <f t="shared" si="425"/>
        <v/>
      </c>
      <c r="K1323" s="30">
        <v>401</v>
      </c>
      <c r="L1323" s="29">
        <f t="shared" si="436"/>
        <v>11371.908376190921</v>
      </c>
      <c r="M1323" s="28" t="str">
        <f t="shared" si="426"/>
        <v/>
      </c>
      <c r="N1323" s="27" t="str">
        <f t="shared" si="437"/>
        <v/>
      </c>
      <c r="O1323" s="26" t="str">
        <f>IF(AND($Q1322=$O$38,IFERROR(LARGE($V$923:$V1322,1)&lt;$N$42,TRUE)),1,IF(AND(ISNUMBER($O1322),$O1322&lt;$N$32),$O1322+1,""))</f>
        <v/>
      </c>
      <c r="P1323" s="26" t="str">
        <f t="shared" si="438"/>
        <v/>
      </c>
      <c r="Q1323" s="26" t="str">
        <f t="shared" si="427"/>
        <v/>
      </c>
      <c r="R1323" s="24" t="str">
        <f t="shared" si="439"/>
        <v/>
      </c>
      <c r="S1323" s="180">
        <f t="shared" si="422"/>
        <v>8</v>
      </c>
      <c r="T1323" s="29">
        <f>SUM($AC$923:$AC1323)</f>
        <v>49500</v>
      </c>
      <c r="U1323" s="25" t="str">
        <f t="shared" si="428"/>
        <v/>
      </c>
      <c r="V1323" s="24" t="str">
        <f>IF(AND(ISNUMBER(R1322),ISNUMBER(R1323)),V1322,IF(AND(R1322="",ISNUMBER(R1323)),IFERROR(LARGE($V$923:$V1322,1)+1,0),""))</f>
        <v/>
      </c>
      <c r="W1323" s="23" t="str">
        <f t="shared" si="440"/>
        <v/>
      </c>
      <c r="X1323" s="22" t="str">
        <f t="shared" si="441"/>
        <v/>
      </c>
      <c r="Y1323" s="236"/>
      <c r="Z1323" s="22"/>
      <c r="AA1323" s="22"/>
      <c r="AB1323" s="22" t="str">
        <f t="shared" ref="AB1323:AB1386" si="442">IF((IF(AND($P1322="",$P1323=1),($N$37*-1),0)+IF(AND($Q1322="",$Q1323=1),($N$38*-1),0)+IF(OR(AND(ISNUMBER($U1323),IF(ISNUMBER($U1324),$U1324,0)-IF(ISNUMBER($U1323),$U1323,0)=1),AND(ISNUMBER($U1323),$U1324="")),IF($U1323=1,$P$37,0),0))=0,"",(IF(AND($P1322="",$P1323=1),($N$37*-1),0)+IF(AND($Q1322="",$Q1323=1),($N$38*-1),0)+IF(OR(AND(ISNUMBER($U1323),IF(ISNUMBER($U1324),$U1324,0)-IF(ISNUMBER($U1323),$U1323,0)=1),AND(ISNUMBER($U1323),$U1324="")),IF($U1323=1,$P$37,0),0)))</f>
        <v/>
      </c>
      <c r="AC1323" s="22" t="str">
        <f t="shared" ref="AC1323:AC1386" si="443">IF(IF(OR(AND(ISNUMBER($U1323),IF(ISNUMBER($U1324),$U1324,0)-IF(ISNUMBER($U1323),$U1323,0)=1),AND(ISNUMBER($U1323),$U1324="")),VLOOKUP(IF($U1323&gt;$L$63,$L$63,$U1323),$L$52:$N$63,COLUMNS($L$52:$N$52),FALSE),0)=0,"",IF(OR(AND(ISNUMBER($U1323),IF(ISNUMBER($U1324),$U1324,0)-IF(ISNUMBER($U1323),$U1323,0)=1),AND(ISNUMBER($U1323),$U1324="")),VLOOKUP(IF($U1323&gt;$L$63,$L$63,$U1323),$L$52:$N$63,COLUMNS($L$52:$N$52),FALSE),0))</f>
        <v/>
      </c>
      <c r="AD1323" s="22" t="str">
        <f t="shared" si="429"/>
        <v/>
      </c>
      <c r="AE1323" s="22" t="str">
        <f t="shared" ref="AE1323:AE1386" si="444">$AC1323</f>
        <v/>
      </c>
      <c r="AF1323" s="22" t="str">
        <f t="shared" si="430"/>
        <v/>
      </c>
      <c r="AG1323" s="22" t="str">
        <f t="shared" si="431"/>
        <v/>
      </c>
      <c r="AH1323" s="22" t="str">
        <f t="shared" si="432"/>
        <v/>
      </c>
      <c r="AI1323" s="22" t="str">
        <f t="shared" si="433"/>
        <v/>
      </c>
      <c r="AJ1323" s="304" t="str">
        <f t="shared" si="434"/>
        <v/>
      </c>
      <c r="AK1323" s="140" t="str">
        <f t="shared" si="435"/>
        <v/>
      </c>
    </row>
    <row r="1324" spans="7:37" x14ac:dyDescent="0.25">
      <c r="G1324" s="235" t="str">
        <f t="shared" si="424"/>
        <v/>
      </c>
      <c r="H1324" s="4" t="str">
        <f t="shared" si="423"/>
        <v/>
      </c>
      <c r="I1324" s="11" t="str">
        <f t="shared" si="425"/>
        <v/>
      </c>
      <c r="K1324" s="30">
        <v>402</v>
      </c>
      <c r="L1324" s="29">
        <f t="shared" si="436"/>
        <v>11371.908376190921</v>
      </c>
      <c r="M1324" s="28" t="str">
        <f t="shared" si="426"/>
        <v/>
      </c>
      <c r="N1324" s="27" t="str">
        <f t="shared" si="437"/>
        <v/>
      </c>
      <c r="O1324" s="26" t="str">
        <f>IF(AND($Q1323=$O$38,IFERROR(LARGE($V$923:$V1323,1)&lt;$N$42,TRUE)),1,IF(AND(ISNUMBER($O1323),$O1323&lt;$N$32),$O1323+1,""))</f>
        <v/>
      </c>
      <c r="P1324" s="26" t="str">
        <f t="shared" si="438"/>
        <v/>
      </c>
      <c r="Q1324" s="26" t="str">
        <f t="shared" si="427"/>
        <v/>
      </c>
      <c r="R1324" s="24" t="str">
        <f t="shared" si="439"/>
        <v/>
      </c>
      <c r="S1324" s="180">
        <f t="shared" si="422"/>
        <v>8</v>
      </c>
      <c r="T1324" s="29">
        <f>SUM($AC$923:$AC1324)</f>
        <v>49500</v>
      </c>
      <c r="U1324" s="25" t="str">
        <f t="shared" si="428"/>
        <v/>
      </c>
      <c r="V1324" s="24" t="str">
        <f>IF(AND(ISNUMBER(R1323),ISNUMBER(R1324)),V1323,IF(AND(R1323="",ISNUMBER(R1324)),IFERROR(LARGE($V$923:$V1323,1)+1,0),""))</f>
        <v/>
      </c>
      <c r="W1324" s="23" t="str">
        <f t="shared" si="440"/>
        <v/>
      </c>
      <c r="X1324" s="22" t="str">
        <f t="shared" si="441"/>
        <v/>
      </c>
      <c r="Y1324" s="236"/>
      <c r="Z1324" s="22"/>
      <c r="AA1324" s="22"/>
      <c r="AB1324" s="22" t="str">
        <f t="shared" si="442"/>
        <v/>
      </c>
      <c r="AC1324" s="22" t="str">
        <f t="shared" si="443"/>
        <v/>
      </c>
      <c r="AD1324" s="22" t="str">
        <f t="shared" si="429"/>
        <v/>
      </c>
      <c r="AE1324" s="22" t="str">
        <f t="shared" si="444"/>
        <v/>
      </c>
      <c r="AF1324" s="22" t="str">
        <f t="shared" si="430"/>
        <v/>
      </c>
      <c r="AG1324" s="22" t="str">
        <f t="shared" si="431"/>
        <v/>
      </c>
      <c r="AH1324" s="22" t="str">
        <f t="shared" si="432"/>
        <v/>
      </c>
      <c r="AI1324" s="22" t="str">
        <f t="shared" si="433"/>
        <v/>
      </c>
      <c r="AJ1324" s="304" t="str">
        <f t="shared" si="434"/>
        <v/>
      </c>
      <c r="AK1324" s="140" t="str">
        <f t="shared" si="435"/>
        <v/>
      </c>
    </row>
    <row r="1325" spans="7:37" x14ac:dyDescent="0.25">
      <c r="G1325" s="235" t="str">
        <f t="shared" si="424"/>
        <v/>
      </c>
      <c r="H1325" s="4" t="str">
        <f t="shared" si="423"/>
        <v/>
      </c>
      <c r="I1325" s="11" t="str">
        <f t="shared" si="425"/>
        <v/>
      </c>
      <c r="K1325" s="30">
        <v>403</v>
      </c>
      <c r="L1325" s="29">
        <f t="shared" si="436"/>
        <v>11371.908376190921</v>
      </c>
      <c r="M1325" s="28" t="str">
        <f t="shared" si="426"/>
        <v/>
      </c>
      <c r="N1325" s="27" t="str">
        <f t="shared" si="437"/>
        <v/>
      </c>
      <c r="O1325" s="26" t="str">
        <f>IF(AND($Q1324=$O$38,IFERROR(LARGE($V$923:$V1324,1)&lt;$N$42,TRUE)),1,IF(AND(ISNUMBER($O1324),$O1324&lt;$N$32),$O1324+1,""))</f>
        <v/>
      </c>
      <c r="P1325" s="26" t="str">
        <f t="shared" si="438"/>
        <v/>
      </c>
      <c r="Q1325" s="26" t="str">
        <f t="shared" si="427"/>
        <v/>
      </c>
      <c r="R1325" s="24" t="str">
        <f t="shared" si="439"/>
        <v/>
      </c>
      <c r="S1325" s="180">
        <f t="shared" si="422"/>
        <v>8</v>
      </c>
      <c r="T1325" s="29">
        <f>SUM($AC$923:$AC1325)</f>
        <v>49500</v>
      </c>
      <c r="U1325" s="25" t="str">
        <f t="shared" si="428"/>
        <v/>
      </c>
      <c r="V1325" s="24" t="str">
        <f>IF(AND(ISNUMBER(R1324),ISNUMBER(R1325)),V1324,IF(AND(R1324="",ISNUMBER(R1325)),IFERROR(LARGE($V$923:$V1324,1)+1,0),""))</f>
        <v/>
      </c>
      <c r="W1325" s="23" t="str">
        <f t="shared" si="440"/>
        <v/>
      </c>
      <c r="X1325" s="22" t="str">
        <f t="shared" si="441"/>
        <v/>
      </c>
      <c r="Y1325" s="236"/>
      <c r="Z1325" s="22"/>
      <c r="AA1325" s="22"/>
      <c r="AB1325" s="22" t="str">
        <f t="shared" si="442"/>
        <v/>
      </c>
      <c r="AC1325" s="22" t="str">
        <f t="shared" si="443"/>
        <v/>
      </c>
      <c r="AD1325" s="22" t="str">
        <f t="shared" si="429"/>
        <v/>
      </c>
      <c r="AE1325" s="22" t="str">
        <f t="shared" si="444"/>
        <v/>
      </c>
      <c r="AF1325" s="22" t="str">
        <f t="shared" si="430"/>
        <v/>
      </c>
      <c r="AG1325" s="22" t="str">
        <f t="shared" si="431"/>
        <v/>
      </c>
      <c r="AH1325" s="22" t="str">
        <f t="shared" si="432"/>
        <v/>
      </c>
      <c r="AI1325" s="22" t="str">
        <f t="shared" si="433"/>
        <v/>
      </c>
      <c r="AJ1325" s="304" t="str">
        <f t="shared" si="434"/>
        <v/>
      </c>
      <c r="AK1325" s="140" t="str">
        <f t="shared" si="435"/>
        <v/>
      </c>
    </row>
    <row r="1326" spans="7:37" x14ac:dyDescent="0.25">
      <c r="G1326" s="235" t="str">
        <f t="shared" si="424"/>
        <v/>
      </c>
      <c r="H1326" s="4" t="str">
        <f t="shared" si="423"/>
        <v/>
      </c>
      <c r="I1326" s="11" t="str">
        <f t="shared" si="425"/>
        <v/>
      </c>
      <c r="K1326" s="30">
        <v>404</v>
      </c>
      <c r="L1326" s="29">
        <f t="shared" si="436"/>
        <v>11371.908376190921</v>
      </c>
      <c r="M1326" s="28" t="str">
        <f t="shared" si="426"/>
        <v/>
      </c>
      <c r="N1326" s="27" t="str">
        <f t="shared" si="437"/>
        <v/>
      </c>
      <c r="O1326" s="26" t="str">
        <f>IF(AND($Q1325=$O$38,IFERROR(LARGE($V$923:$V1325,1)&lt;$N$42,TRUE)),1,IF(AND(ISNUMBER($O1325),$O1325&lt;$N$32),$O1325+1,""))</f>
        <v/>
      </c>
      <c r="P1326" s="26" t="str">
        <f t="shared" si="438"/>
        <v/>
      </c>
      <c r="Q1326" s="26" t="str">
        <f t="shared" si="427"/>
        <v/>
      </c>
      <c r="R1326" s="24" t="str">
        <f t="shared" si="439"/>
        <v/>
      </c>
      <c r="S1326" s="180">
        <f t="shared" si="422"/>
        <v>8</v>
      </c>
      <c r="T1326" s="29">
        <f>SUM($AC$923:$AC1326)</f>
        <v>49500</v>
      </c>
      <c r="U1326" s="25" t="str">
        <f t="shared" si="428"/>
        <v/>
      </c>
      <c r="V1326" s="24" t="str">
        <f>IF(AND(ISNUMBER(R1325),ISNUMBER(R1326)),V1325,IF(AND(R1325="",ISNUMBER(R1326)),IFERROR(LARGE($V$923:$V1325,1)+1,0),""))</f>
        <v/>
      </c>
      <c r="W1326" s="23" t="str">
        <f t="shared" si="440"/>
        <v/>
      </c>
      <c r="X1326" s="22" t="str">
        <f t="shared" si="441"/>
        <v/>
      </c>
      <c r="Y1326" s="236"/>
      <c r="Z1326" s="22"/>
      <c r="AA1326" s="22"/>
      <c r="AB1326" s="22" t="str">
        <f t="shared" si="442"/>
        <v/>
      </c>
      <c r="AC1326" s="22" t="str">
        <f t="shared" si="443"/>
        <v/>
      </c>
      <c r="AD1326" s="22" t="str">
        <f t="shared" si="429"/>
        <v/>
      </c>
      <c r="AE1326" s="22" t="str">
        <f t="shared" si="444"/>
        <v/>
      </c>
      <c r="AF1326" s="22" t="str">
        <f t="shared" si="430"/>
        <v/>
      </c>
      <c r="AG1326" s="22" t="str">
        <f t="shared" si="431"/>
        <v/>
      </c>
      <c r="AH1326" s="22" t="str">
        <f t="shared" si="432"/>
        <v/>
      </c>
      <c r="AI1326" s="22" t="str">
        <f t="shared" si="433"/>
        <v/>
      </c>
      <c r="AJ1326" s="304" t="str">
        <f t="shared" si="434"/>
        <v/>
      </c>
      <c r="AK1326" s="140" t="str">
        <f t="shared" si="435"/>
        <v/>
      </c>
    </row>
    <row r="1327" spans="7:37" x14ac:dyDescent="0.25">
      <c r="G1327" s="235" t="str">
        <f t="shared" si="424"/>
        <v/>
      </c>
      <c r="H1327" s="4" t="str">
        <f t="shared" si="423"/>
        <v/>
      </c>
      <c r="I1327" s="11" t="str">
        <f t="shared" si="425"/>
        <v/>
      </c>
      <c r="K1327" s="30">
        <v>405</v>
      </c>
      <c r="L1327" s="29">
        <f t="shared" si="436"/>
        <v>11371.908376190921</v>
      </c>
      <c r="M1327" s="28" t="str">
        <f t="shared" si="426"/>
        <v/>
      </c>
      <c r="N1327" s="27" t="str">
        <f t="shared" si="437"/>
        <v/>
      </c>
      <c r="O1327" s="26" t="str">
        <f>IF(AND($Q1326=$O$38,IFERROR(LARGE($V$923:$V1326,1)&lt;$N$42,TRUE)),1,IF(AND(ISNUMBER($O1326),$O1326&lt;$N$32),$O1326+1,""))</f>
        <v/>
      </c>
      <c r="P1327" s="26" t="str">
        <f t="shared" si="438"/>
        <v/>
      </c>
      <c r="Q1327" s="26" t="str">
        <f t="shared" si="427"/>
        <v/>
      </c>
      <c r="R1327" s="24" t="str">
        <f t="shared" si="439"/>
        <v/>
      </c>
      <c r="S1327" s="180">
        <f t="shared" si="422"/>
        <v>8</v>
      </c>
      <c r="T1327" s="29">
        <f>SUM($AC$923:$AC1327)</f>
        <v>49500</v>
      </c>
      <c r="U1327" s="25" t="str">
        <f t="shared" si="428"/>
        <v/>
      </c>
      <c r="V1327" s="24" t="str">
        <f>IF(AND(ISNUMBER(R1326),ISNUMBER(R1327)),V1326,IF(AND(R1326="",ISNUMBER(R1327)),IFERROR(LARGE($V$923:$V1326,1)+1,0),""))</f>
        <v/>
      </c>
      <c r="W1327" s="23" t="str">
        <f t="shared" si="440"/>
        <v/>
      </c>
      <c r="X1327" s="22" t="str">
        <f t="shared" si="441"/>
        <v/>
      </c>
      <c r="Y1327" s="236"/>
      <c r="Z1327" s="22"/>
      <c r="AA1327" s="22"/>
      <c r="AB1327" s="22" t="str">
        <f t="shared" si="442"/>
        <v/>
      </c>
      <c r="AC1327" s="22" t="str">
        <f t="shared" si="443"/>
        <v/>
      </c>
      <c r="AD1327" s="22" t="str">
        <f t="shared" si="429"/>
        <v/>
      </c>
      <c r="AE1327" s="22" t="str">
        <f t="shared" si="444"/>
        <v/>
      </c>
      <c r="AF1327" s="22" t="str">
        <f t="shared" si="430"/>
        <v/>
      </c>
      <c r="AG1327" s="22" t="str">
        <f t="shared" si="431"/>
        <v/>
      </c>
      <c r="AH1327" s="22" t="str">
        <f t="shared" si="432"/>
        <v/>
      </c>
      <c r="AI1327" s="22" t="str">
        <f t="shared" si="433"/>
        <v/>
      </c>
      <c r="AJ1327" s="304" t="str">
        <f t="shared" si="434"/>
        <v/>
      </c>
      <c r="AK1327" s="140" t="str">
        <f t="shared" si="435"/>
        <v/>
      </c>
    </row>
    <row r="1328" spans="7:37" x14ac:dyDescent="0.25">
      <c r="G1328" s="235" t="str">
        <f t="shared" si="424"/>
        <v/>
      </c>
      <c r="H1328" s="4" t="str">
        <f t="shared" si="423"/>
        <v/>
      </c>
      <c r="I1328" s="11" t="str">
        <f t="shared" si="425"/>
        <v/>
      </c>
      <c r="K1328" s="30">
        <v>406</v>
      </c>
      <c r="L1328" s="29">
        <f t="shared" si="436"/>
        <v>11371.908376190921</v>
      </c>
      <c r="M1328" s="28" t="str">
        <f t="shared" si="426"/>
        <v/>
      </c>
      <c r="N1328" s="27" t="str">
        <f t="shared" si="437"/>
        <v/>
      </c>
      <c r="O1328" s="26" t="str">
        <f>IF(AND($Q1327=$O$38,IFERROR(LARGE($V$923:$V1327,1)&lt;$N$42,TRUE)),1,IF(AND(ISNUMBER($O1327),$O1327&lt;$N$32),$O1327+1,""))</f>
        <v/>
      </c>
      <c r="P1328" s="26" t="str">
        <f t="shared" si="438"/>
        <v/>
      </c>
      <c r="Q1328" s="26" t="str">
        <f t="shared" si="427"/>
        <v/>
      </c>
      <c r="R1328" s="24" t="str">
        <f t="shared" si="439"/>
        <v/>
      </c>
      <c r="S1328" s="180">
        <f t="shared" si="422"/>
        <v>8</v>
      </c>
      <c r="T1328" s="29">
        <f>SUM($AC$923:$AC1328)</f>
        <v>49500</v>
      </c>
      <c r="U1328" s="25" t="str">
        <f t="shared" si="428"/>
        <v/>
      </c>
      <c r="V1328" s="24" t="str">
        <f>IF(AND(ISNUMBER(R1327),ISNUMBER(R1328)),V1327,IF(AND(R1327="",ISNUMBER(R1328)),IFERROR(LARGE($V$923:$V1327,1)+1,0),""))</f>
        <v/>
      </c>
      <c r="W1328" s="23" t="str">
        <f t="shared" si="440"/>
        <v/>
      </c>
      <c r="X1328" s="22" t="str">
        <f t="shared" si="441"/>
        <v/>
      </c>
      <c r="Y1328" s="236"/>
      <c r="Z1328" s="22"/>
      <c r="AA1328" s="22"/>
      <c r="AB1328" s="22" t="str">
        <f t="shared" si="442"/>
        <v/>
      </c>
      <c r="AC1328" s="22" t="str">
        <f t="shared" si="443"/>
        <v/>
      </c>
      <c r="AD1328" s="22" t="str">
        <f t="shared" si="429"/>
        <v/>
      </c>
      <c r="AE1328" s="22" t="str">
        <f t="shared" si="444"/>
        <v/>
      </c>
      <c r="AF1328" s="22" t="str">
        <f t="shared" si="430"/>
        <v/>
      </c>
      <c r="AG1328" s="22" t="str">
        <f t="shared" si="431"/>
        <v/>
      </c>
      <c r="AH1328" s="22" t="str">
        <f t="shared" si="432"/>
        <v/>
      </c>
      <c r="AI1328" s="22" t="str">
        <f t="shared" si="433"/>
        <v/>
      </c>
      <c r="AJ1328" s="304" t="str">
        <f t="shared" si="434"/>
        <v/>
      </c>
      <c r="AK1328" s="140" t="str">
        <f t="shared" si="435"/>
        <v/>
      </c>
    </row>
    <row r="1329" spans="7:37" x14ac:dyDescent="0.25">
      <c r="G1329" s="235" t="str">
        <f t="shared" si="424"/>
        <v/>
      </c>
      <c r="H1329" s="4" t="str">
        <f t="shared" si="423"/>
        <v/>
      </c>
      <c r="I1329" s="11" t="str">
        <f t="shared" si="425"/>
        <v/>
      </c>
      <c r="K1329" s="30">
        <v>407</v>
      </c>
      <c r="L1329" s="29">
        <f t="shared" si="436"/>
        <v>11371.908376190921</v>
      </c>
      <c r="M1329" s="28" t="str">
        <f t="shared" si="426"/>
        <v/>
      </c>
      <c r="N1329" s="27" t="str">
        <f t="shared" si="437"/>
        <v/>
      </c>
      <c r="O1329" s="26" t="str">
        <f>IF(AND($Q1328=$O$38,IFERROR(LARGE($V$923:$V1328,1)&lt;$N$42,TRUE)),1,IF(AND(ISNUMBER($O1328),$O1328&lt;$N$32),$O1328+1,""))</f>
        <v/>
      </c>
      <c r="P1329" s="26" t="str">
        <f t="shared" si="438"/>
        <v/>
      </c>
      <c r="Q1329" s="26" t="str">
        <f t="shared" si="427"/>
        <v/>
      </c>
      <c r="R1329" s="24" t="str">
        <f t="shared" si="439"/>
        <v/>
      </c>
      <c r="S1329" s="180">
        <f t="shared" si="422"/>
        <v>8</v>
      </c>
      <c r="T1329" s="29">
        <f>SUM($AC$923:$AC1329)</f>
        <v>49500</v>
      </c>
      <c r="U1329" s="25" t="str">
        <f t="shared" si="428"/>
        <v/>
      </c>
      <c r="V1329" s="24" t="str">
        <f>IF(AND(ISNUMBER(R1328),ISNUMBER(R1329)),V1328,IF(AND(R1328="",ISNUMBER(R1329)),IFERROR(LARGE($V$923:$V1328,1)+1,0),""))</f>
        <v/>
      </c>
      <c r="W1329" s="23" t="str">
        <f t="shared" si="440"/>
        <v/>
      </c>
      <c r="X1329" s="22" t="str">
        <f t="shared" si="441"/>
        <v/>
      </c>
      <c r="Y1329" s="236"/>
      <c r="Z1329" s="22"/>
      <c r="AA1329" s="22"/>
      <c r="AB1329" s="22" t="str">
        <f t="shared" si="442"/>
        <v/>
      </c>
      <c r="AC1329" s="22" t="str">
        <f t="shared" si="443"/>
        <v/>
      </c>
      <c r="AD1329" s="22" t="str">
        <f t="shared" si="429"/>
        <v/>
      </c>
      <c r="AE1329" s="22" t="str">
        <f t="shared" si="444"/>
        <v/>
      </c>
      <c r="AF1329" s="22" t="str">
        <f t="shared" si="430"/>
        <v/>
      </c>
      <c r="AG1329" s="22" t="str">
        <f t="shared" si="431"/>
        <v/>
      </c>
      <c r="AH1329" s="22" t="str">
        <f t="shared" si="432"/>
        <v/>
      </c>
      <c r="AI1329" s="22" t="str">
        <f t="shared" si="433"/>
        <v/>
      </c>
      <c r="AJ1329" s="304" t="str">
        <f t="shared" si="434"/>
        <v/>
      </c>
      <c r="AK1329" s="140" t="str">
        <f t="shared" si="435"/>
        <v/>
      </c>
    </row>
    <row r="1330" spans="7:37" x14ac:dyDescent="0.25">
      <c r="G1330" s="235" t="str">
        <f t="shared" si="424"/>
        <v/>
      </c>
      <c r="H1330" s="4" t="str">
        <f t="shared" si="423"/>
        <v/>
      </c>
      <c r="I1330" s="11" t="str">
        <f t="shared" si="425"/>
        <v/>
      </c>
      <c r="K1330" s="30">
        <v>408</v>
      </c>
      <c r="L1330" s="29">
        <f t="shared" si="436"/>
        <v>11371.908376190921</v>
      </c>
      <c r="M1330" s="28" t="str">
        <f t="shared" si="426"/>
        <v/>
      </c>
      <c r="N1330" s="27" t="str">
        <f t="shared" si="437"/>
        <v/>
      </c>
      <c r="O1330" s="26" t="str">
        <f>IF(AND($Q1329=$O$38,IFERROR(LARGE($V$923:$V1329,1)&lt;$N$42,TRUE)),1,IF(AND(ISNUMBER($O1329),$O1329&lt;$N$32),$O1329+1,""))</f>
        <v/>
      </c>
      <c r="P1330" s="26" t="str">
        <f t="shared" si="438"/>
        <v/>
      </c>
      <c r="Q1330" s="26" t="str">
        <f t="shared" si="427"/>
        <v/>
      </c>
      <c r="R1330" s="24" t="str">
        <f t="shared" si="439"/>
        <v/>
      </c>
      <c r="S1330" s="180">
        <f t="shared" ref="S1330:S1393" si="445">IF($Q1330=1,ROUNDDOWN($S1329,0),IF($O1330=1,ROUNDDOWN($S1329,0)+1,IF($R1330=1,$S1329+0.01,IF(ISNUMBER($U1330),IF(AND($U1330&gt;1,($U1330-$U1329)=1),$S1329+0.01,$S1329),$S1329))))</f>
        <v>8</v>
      </c>
      <c r="T1330" s="29">
        <f>SUM($AC$923:$AC1330)</f>
        <v>49500</v>
      </c>
      <c r="U1330" s="25" t="str">
        <f t="shared" si="428"/>
        <v/>
      </c>
      <c r="V1330" s="24" t="str">
        <f>IF(AND(ISNUMBER(R1329),ISNUMBER(R1330)),V1329,IF(AND(R1329="",ISNUMBER(R1330)),IFERROR(LARGE($V$923:$V1329,1)+1,0),""))</f>
        <v/>
      </c>
      <c r="W1330" s="23" t="str">
        <f t="shared" si="440"/>
        <v/>
      </c>
      <c r="X1330" s="22" t="str">
        <f t="shared" si="441"/>
        <v/>
      </c>
      <c r="Y1330" s="236"/>
      <c r="Z1330" s="22"/>
      <c r="AA1330" s="22"/>
      <c r="AB1330" s="22" t="str">
        <f t="shared" si="442"/>
        <v/>
      </c>
      <c r="AC1330" s="22" t="str">
        <f t="shared" si="443"/>
        <v/>
      </c>
      <c r="AD1330" s="22" t="str">
        <f t="shared" si="429"/>
        <v/>
      </c>
      <c r="AE1330" s="22" t="str">
        <f t="shared" si="444"/>
        <v/>
      </c>
      <c r="AF1330" s="22" t="str">
        <f t="shared" si="430"/>
        <v/>
      </c>
      <c r="AG1330" s="22" t="str">
        <f t="shared" si="431"/>
        <v/>
      </c>
      <c r="AH1330" s="22" t="str">
        <f t="shared" si="432"/>
        <v/>
      </c>
      <c r="AI1330" s="22" t="str">
        <f t="shared" si="433"/>
        <v/>
      </c>
      <c r="AJ1330" s="304" t="str">
        <f t="shared" si="434"/>
        <v/>
      </c>
      <c r="AK1330" s="140" t="str">
        <f t="shared" si="435"/>
        <v/>
      </c>
    </row>
    <row r="1331" spans="7:37" x14ac:dyDescent="0.25">
      <c r="G1331" s="235" t="str">
        <f t="shared" si="424"/>
        <v/>
      </c>
      <c r="H1331" s="4" t="str">
        <f t="shared" si="423"/>
        <v/>
      </c>
      <c r="I1331" s="11" t="str">
        <f t="shared" si="425"/>
        <v/>
      </c>
      <c r="K1331" s="30">
        <v>409</v>
      </c>
      <c r="L1331" s="29">
        <f t="shared" si="436"/>
        <v>11371.908376190921</v>
      </c>
      <c r="M1331" s="28" t="str">
        <f t="shared" si="426"/>
        <v/>
      </c>
      <c r="N1331" s="27" t="str">
        <f t="shared" si="437"/>
        <v/>
      </c>
      <c r="O1331" s="26" t="str">
        <f>IF(AND($Q1330=$O$38,IFERROR(LARGE($V$923:$V1330,1)&lt;$N$42,TRUE)),1,IF(AND(ISNUMBER($O1330),$O1330&lt;$N$32),$O1330+1,""))</f>
        <v/>
      </c>
      <c r="P1331" s="26" t="str">
        <f t="shared" si="438"/>
        <v/>
      </c>
      <c r="Q1331" s="26" t="str">
        <f t="shared" si="427"/>
        <v/>
      </c>
      <c r="R1331" s="24" t="str">
        <f t="shared" si="439"/>
        <v/>
      </c>
      <c r="S1331" s="180">
        <f t="shared" si="445"/>
        <v>8</v>
      </c>
      <c r="T1331" s="29">
        <f>SUM($AC$923:$AC1331)</f>
        <v>49500</v>
      </c>
      <c r="U1331" s="25" t="str">
        <f t="shared" si="428"/>
        <v/>
      </c>
      <c r="V1331" s="24" t="str">
        <f>IF(AND(ISNUMBER(R1330),ISNUMBER(R1331)),V1330,IF(AND(R1330="",ISNUMBER(R1331)),IFERROR(LARGE($V$923:$V1330,1)+1,0),""))</f>
        <v/>
      </c>
      <c r="W1331" s="23" t="str">
        <f t="shared" si="440"/>
        <v/>
      </c>
      <c r="X1331" s="22" t="str">
        <f t="shared" si="441"/>
        <v/>
      </c>
      <c r="Y1331" s="236"/>
      <c r="Z1331" s="22"/>
      <c r="AA1331" s="22"/>
      <c r="AB1331" s="22" t="str">
        <f t="shared" si="442"/>
        <v/>
      </c>
      <c r="AC1331" s="22" t="str">
        <f t="shared" si="443"/>
        <v/>
      </c>
      <c r="AD1331" s="22" t="str">
        <f t="shared" si="429"/>
        <v/>
      </c>
      <c r="AE1331" s="22" t="str">
        <f t="shared" si="444"/>
        <v/>
      </c>
      <c r="AF1331" s="22" t="str">
        <f t="shared" si="430"/>
        <v/>
      </c>
      <c r="AG1331" s="22" t="str">
        <f t="shared" si="431"/>
        <v/>
      </c>
      <c r="AH1331" s="22" t="str">
        <f t="shared" si="432"/>
        <v/>
      </c>
      <c r="AI1331" s="22" t="str">
        <f t="shared" si="433"/>
        <v/>
      </c>
      <c r="AJ1331" s="304" t="str">
        <f t="shared" si="434"/>
        <v/>
      </c>
      <c r="AK1331" s="140" t="str">
        <f t="shared" si="435"/>
        <v/>
      </c>
    </row>
    <row r="1332" spans="7:37" x14ac:dyDescent="0.25">
      <c r="G1332" s="235" t="str">
        <f t="shared" si="424"/>
        <v/>
      </c>
      <c r="H1332" s="4" t="str">
        <f t="shared" si="423"/>
        <v/>
      </c>
      <c r="I1332" s="11" t="str">
        <f t="shared" si="425"/>
        <v/>
      </c>
      <c r="K1332" s="30">
        <v>410</v>
      </c>
      <c r="L1332" s="29">
        <f t="shared" si="436"/>
        <v>11371.908376190921</v>
      </c>
      <c r="M1332" s="28" t="str">
        <f t="shared" si="426"/>
        <v/>
      </c>
      <c r="N1332" s="27" t="str">
        <f t="shared" si="437"/>
        <v/>
      </c>
      <c r="O1332" s="26" t="str">
        <f>IF(AND($Q1331=$O$38,IFERROR(LARGE($V$923:$V1331,1)&lt;$N$42,TRUE)),1,IF(AND(ISNUMBER($O1331),$O1331&lt;$N$32),$O1331+1,""))</f>
        <v/>
      </c>
      <c r="P1332" s="26" t="str">
        <f t="shared" si="438"/>
        <v/>
      </c>
      <c r="Q1332" s="26" t="str">
        <f t="shared" si="427"/>
        <v/>
      </c>
      <c r="R1332" s="24" t="str">
        <f t="shared" si="439"/>
        <v/>
      </c>
      <c r="S1332" s="180">
        <f t="shared" si="445"/>
        <v>8</v>
      </c>
      <c r="T1332" s="29">
        <f>SUM($AC$923:$AC1332)</f>
        <v>49500</v>
      </c>
      <c r="U1332" s="25" t="str">
        <f t="shared" si="428"/>
        <v/>
      </c>
      <c r="V1332" s="24" t="str">
        <f>IF(AND(ISNUMBER(R1331),ISNUMBER(R1332)),V1331,IF(AND(R1331="",ISNUMBER(R1332)),IFERROR(LARGE($V$923:$V1331,1)+1,0),""))</f>
        <v/>
      </c>
      <c r="W1332" s="23" t="str">
        <f t="shared" si="440"/>
        <v/>
      </c>
      <c r="X1332" s="22" t="str">
        <f t="shared" si="441"/>
        <v/>
      </c>
      <c r="Y1332" s="236"/>
      <c r="Z1332" s="22"/>
      <c r="AA1332" s="22"/>
      <c r="AB1332" s="22" t="str">
        <f t="shared" si="442"/>
        <v/>
      </c>
      <c r="AC1332" s="22" t="str">
        <f t="shared" si="443"/>
        <v/>
      </c>
      <c r="AD1332" s="22" t="str">
        <f t="shared" si="429"/>
        <v/>
      </c>
      <c r="AE1332" s="22" t="str">
        <f t="shared" si="444"/>
        <v/>
      </c>
      <c r="AF1332" s="22" t="str">
        <f t="shared" si="430"/>
        <v/>
      </c>
      <c r="AG1332" s="22" t="str">
        <f t="shared" si="431"/>
        <v/>
      </c>
      <c r="AH1332" s="22" t="str">
        <f t="shared" si="432"/>
        <v/>
      </c>
      <c r="AI1332" s="22" t="str">
        <f t="shared" si="433"/>
        <v/>
      </c>
      <c r="AJ1332" s="304" t="str">
        <f t="shared" si="434"/>
        <v/>
      </c>
      <c r="AK1332" s="140" t="str">
        <f t="shared" si="435"/>
        <v/>
      </c>
    </row>
    <row r="1333" spans="7:37" x14ac:dyDescent="0.25">
      <c r="G1333" s="235" t="str">
        <f t="shared" si="424"/>
        <v/>
      </c>
      <c r="H1333" s="4" t="str">
        <f t="shared" si="423"/>
        <v/>
      </c>
      <c r="I1333" s="11" t="str">
        <f t="shared" si="425"/>
        <v/>
      </c>
      <c r="K1333" s="30">
        <v>411</v>
      </c>
      <c r="L1333" s="29">
        <f t="shared" si="436"/>
        <v>11371.908376190921</v>
      </c>
      <c r="M1333" s="28" t="str">
        <f t="shared" si="426"/>
        <v/>
      </c>
      <c r="N1333" s="27" t="str">
        <f t="shared" si="437"/>
        <v/>
      </c>
      <c r="O1333" s="26" t="str">
        <f>IF(AND($Q1332=$O$38,IFERROR(LARGE($V$923:$V1332,1)&lt;$N$42,TRUE)),1,IF(AND(ISNUMBER($O1332),$O1332&lt;$N$32),$O1332+1,""))</f>
        <v/>
      </c>
      <c r="P1333" s="26" t="str">
        <f t="shared" si="438"/>
        <v/>
      </c>
      <c r="Q1333" s="26" t="str">
        <f t="shared" si="427"/>
        <v/>
      </c>
      <c r="R1333" s="24" t="str">
        <f t="shared" si="439"/>
        <v/>
      </c>
      <c r="S1333" s="180">
        <f t="shared" si="445"/>
        <v>8</v>
      </c>
      <c r="T1333" s="29">
        <f>SUM($AC$923:$AC1333)</f>
        <v>49500</v>
      </c>
      <c r="U1333" s="25" t="str">
        <f t="shared" si="428"/>
        <v/>
      </c>
      <c r="V1333" s="24" t="str">
        <f>IF(AND(ISNUMBER(R1332),ISNUMBER(R1333)),V1332,IF(AND(R1332="",ISNUMBER(R1333)),IFERROR(LARGE($V$923:$V1332,1)+1,0),""))</f>
        <v/>
      </c>
      <c r="W1333" s="23" t="str">
        <f t="shared" si="440"/>
        <v/>
      </c>
      <c r="X1333" s="22" t="str">
        <f t="shared" si="441"/>
        <v/>
      </c>
      <c r="Y1333" s="236"/>
      <c r="Z1333" s="22"/>
      <c r="AA1333" s="22"/>
      <c r="AB1333" s="22" t="str">
        <f t="shared" si="442"/>
        <v/>
      </c>
      <c r="AC1333" s="22" t="str">
        <f t="shared" si="443"/>
        <v/>
      </c>
      <c r="AD1333" s="22" t="str">
        <f t="shared" si="429"/>
        <v/>
      </c>
      <c r="AE1333" s="22" t="str">
        <f t="shared" si="444"/>
        <v/>
      </c>
      <c r="AF1333" s="22" t="str">
        <f t="shared" si="430"/>
        <v/>
      </c>
      <c r="AG1333" s="22" t="str">
        <f t="shared" si="431"/>
        <v/>
      </c>
      <c r="AH1333" s="22" t="str">
        <f t="shared" si="432"/>
        <v/>
      </c>
      <c r="AI1333" s="22" t="str">
        <f t="shared" si="433"/>
        <v/>
      </c>
      <c r="AJ1333" s="304" t="str">
        <f t="shared" si="434"/>
        <v/>
      </c>
      <c r="AK1333" s="140" t="str">
        <f t="shared" si="435"/>
        <v/>
      </c>
    </row>
    <row r="1334" spans="7:37" x14ac:dyDescent="0.25">
      <c r="G1334" s="235" t="str">
        <f t="shared" si="424"/>
        <v/>
      </c>
      <c r="H1334" s="4" t="str">
        <f t="shared" si="423"/>
        <v/>
      </c>
      <c r="I1334" s="11" t="str">
        <f t="shared" si="425"/>
        <v/>
      </c>
      <c r="K1334" s="30">
        <v>412</v>
      </c>
      <c r="L1334" s="29">
        <f t="shared" si="436"/>
        <v>11371.908376190921</v>
      </c>
      <c r="M1334" s="28" t="str">
        <f t="shared" si="426"/>
        <v/>
      </c>
      <c r="N1334" s="27" t="str">
        <f t="shared" si="437"/>
        <v/>
      </c>
      <c r="O1334" s="26" t="str">
        <f>IF(AND($Q1333=$O$38,IFERROR(LARGE($V$923:$V1333,1)&lt;$N$42,TRUE)),1,IF(AND(ISNUMBER($O1333),$O1333&lt;$N$32),$O1333+1,""))</f>
        <v/>
      </c>
      <c r="P1334" s="26" t="str">
        <f t="shared" si="438"/>
        <v/>
      </c>
      <c r="Q1334" s="26" t="str">
        <f t="shared" si="427"/>
        <v/>
      </c>
      <c r="R1334" s="24" t="str">
        <f t="shared" si="439"/>
        <v/>
      </c>
      <c r="S1334" s="180">
        <f t="shared" si="445"/>
        <v>8</v>
      </c>
      <c r="T1334" s="29">
        <f>SUM($AC$923:$AC1334)</f>
        <v>49500</v>
      </c>
      <c r="U1334" s="25" t="str">
        <f t="shared" si="428"/>
        <v/>
      </c>
      <c r="V1334" s="24" t="str">
        <f>IF(AND(ISNUMBER(R1333),ISNUMBER(R1334)),V1333,IF(AND(R1333="",ISNUMBER(R1334)),IFERROR(LARGE($V$923:$V1333,1)+1,0),""))</f>
        <v/>
      </c>
      <c r="W1334" s="23" t="str">
        <f t="shared" si="440"/>
        <v/>
      </c>
      <c r="X1334" s="22" t="str">
        <f t="shared" si="441"/>
        <v/>
      </c>
      <c r="Y1334" s="236"/>
      <c r="Z1334" s="22"/>
      <c r="AA1334" s="22"/>
      <c r="AB1334" s="22" t="str">
        <f t="shared" si="442"/>
        <v/>
      </c>
      <c r="AC1334" s="22" t="str">
        <f t="shared" si="443"/>
        <v/>
      </c>
      <c r="AD1334" s="22" t="str">
        <f t="shared" si="429"/>
        <v/>
      </c>
      <c r="AE1334" s="22" t="str">
        <f t="shared" si="444"/>
        <v/>
      </c>
      <c r="AF1334" s="22" t="str">
        <f t="shared" si="430"/>
        <v/>
      </c>
      <c r="AG1334" s="22" t="str">
        <f t="shared" si="431"/>
        <v/>
      </c>
      <c r="AH1334" s="22" t="str">
        <f t="shared" si="432"/>
        <v/>
      </c>
      <c r="AI1334" s="22" t="str">
        <f t="shared" si="433"/>
        <v/>
      </c>
      <c r="AJ1334" s="304" t="str">
        <f t="shared" si="434"/>
        <v/>
      </c>
      <c r="AK1334" s="140" t="str">
        <f t="shared" si="435"/>
        <v/>
      </c>
    </row>
    <row r="1335" spans="7:37" x14ac:dyDescent="0.25">
      <c r="G1335" s="235" t="str">
        <f t="shared" si="424"/>
        <v/>
      </c>
      <c r="H1335" s="4" t="str">
        <f t="shared" si="423"/>
        <v/>
      </c>
      <c r="I1335" s="11" t="str">
        <f t="shared" si="425"/>
        <v/>
      </c>
      <c r="K1335" s="30">
        <v>413</v>
      </c>
      <c r="L1335" s="29">
        <f t="shared" si="436"/>
        <v>11371.908376190921</v>
      </c>
      <c r="M1335" s="28" t="str">
        <f t="shared" si="426"/>
        <v/>
      </c>
      <c r="N1335" s="27" t="str">
        <f t="shared" si="437"/>
        <v/>
      </c>
      <c r="O1335" s="26" t="str">
        <f>IF(AND($Q1334=$O$38,IFERROR(LARGE($V$923:$V1334,1)&lt;$N$42,TRUE)),1,IF(AND(ISNUMBER($O1334),$O1334&lt;$N$32),$O1334+1,""))</f>
        <v/>
      </c>
      <c r="P1335" s="26" t="str">
        <f t="shared" si="438"/>
        <v/>
      </c>
      <c r="Q1335" s="26" t="str">
        <f t="shared" si="427"/>
        <v/>
      </c>
      <c r="R1335" s="24" t="str">
        <f t="shared" si="439"/>
        <v/>
      </c>
      <c r="S1335" s="180">
        <f t="shared" si="445"/>
        <v>8</v>
      </c>
      <c r="T1335" s="29">
        <f>SUM($AC$923:$AC1335)</f>
        <v>49500</v>
      </c>
      <c r="U1335" s="25" t="str">
        <f t="shared" si="428"/>
        <v/>
      </c>
      <c r="V1335" s="24" t="str">
        <f>IF(AND(ISNUMBER(R1334),ISNUMBER(R1335)),V1334,IF(AND(R1334="",ISNUMBER(R1335)),IFERROR(LARGE($V$923:$V1334,1)+1,0),""))</f>
        <v/>
      </c>
      <c r="W1335" s="23" t="str">
        <f t="shared" si="440"/>
        <v/>
      </c>
      <c r="X1335" s="22" t="str">
        <f t="shared" si="441"/>
        <v/>
      </c>
      <c r="Y1335" s="236"/>
      <c r="Z1335" s="22"/>
      <c r="AA1335" s="22"/>
      <c r="AB1335" s="22" t="str">
        <f t="shared" si="442"/>
        <v/>
      </c>
      <c r="AC1335" s="22" t="str">
        <f t="shared" si="443"/>
        <v/>
      </c>
      <c r="AD1335" s="22" t="str">
        <f t="shared" si="429"/>
        <v/>
      </c>
      <c r="AE1335" s="22" t="str">
        <f t="shared" si="444"/>
        <v/>
      </c>
      <c r="AF1335" s="22" t="str">
        <f t="shared" si="430"/>
        <v/>
      </c>
      <c r="AG1335" s="22" t="str">
        <f t="shared" si="431"/>
        <v/>
      </c>
      <c r="AH1335" s="22" t="str">
        <f t="shared" si="432"/>
        <v/>
      </c>
      <c r="AI1335" s="22" t="str">
        <f t="shared" si="433"/>
        <v/>
      </c>
      <c r="AJ1335" s="304" t="str">
        <f t="shared" si="434"/>
        <v/>
      </c>
      <c r="AK1335" s="140" t="str">
        <f t="shared" si="435"/>
        <v/>
      </c>
    </row>
    <row r="1336" spans="7:37" x14ac:dyDescent="0.25">
      <c r="G1336" s="235" t="str">
        <f t="shared" si="424"/>
        <v/>
      </c>
      <c r="H1336" s="4" t="str">
        <f t="shared" si="423"/>
        <v/>
      </c>
      <c r="I1336" s="11" t="str">
        <f t="shared" si="425"/>
        <v/>
      </c>
      <c r="K1336" s="30">
        <v>414</v>
      </c>
      <c r="L1336" s="29">
        <f t="shared" si="436"/>
        <v>11371.908376190921</v>
      </c>
      <c r="M1336" s="28" t="str">
        <f t="shared" si="426"/>
        <v/>
      </c>
      <c r="N1336" s="27" t="str">
        <f t="shared" si="437"/>
        <v/>
      </c>
      <c r="O1336" s="26" t="str">
        <f>IF(AND($Q1335=$O$38,IFERROR(LARGE($V$923:$V1335,1)&lt;$N$42,TRUE)),1,IF(AND(ISNUMBER($O1335),$O1335&lt;$N$32),$O1335+1,""))</f>
        <v/>
      </c>
      <c r="P1336" s="26" t="str">
        <f t="shared" si="438"/>
        <v/>
      </c>
      <c r="Q1336" s="26" t="str">
        <f t="shared" si="427"/>
        <v/>
      </c>
      <c r="R1336" s="24" t="str">
        <f t="shared" si="439"/>
        <v/>
      </c>
      <c r="S1336" s="180">
        <f t="shared" si="445"/>
        <v>8</v>
      </c>
      <c r="T1336" s="29">
        <f>SUM($AC$923:$AC1336)</f>
        <v>49500</v>
      </c>
      <c r="U1336" s="25" t="str">
        <f t="shared" si="428"/>
        <v/>
      </c>
      <c r="V1336" s="24" t="str">
        <f>IF(AND(ISNUMBER(R1335),ISNUMBER(R1336)),V1335,IF(AND(R1335="",ISNUMBER(R1336)),IFERROR(LARGE($V$923:$V1335,1)+1,0),""))</f>
        <v/>
      </c>
      <c r="W1336" s="23" t="str">
        <f t="shared" si="440"/>
        <v/>
      </c>
      <c r="X1336" s="22" t="str">
        <f t="shared" si="441"/>
        <v/>
      </c>
      <c r="Y1336" s="236"/>
      <c r="Z1336" s="22"/>
      <c r="AA1336" s="22"/>
      <c r="AB1336" s="22" t="str">
        <f t="shared" si="442"/>
        <v/>
      </c>
      <c r="AC1336" s="22" t="str">
        <f t="shared" si="443"/>
        <v/>
      </c>
      <c r="AD1336" s="22" t="str">
        <f t="shared" si="429"/>
        <v/>
      </c>
      <c r="AE1336" s="22" t="str">
        <f t="shared" si="444"/>
        <v/>
      </c>
      <c r="AF1336" s="22" t="str">
        <f t="shared" si="430"/>
        <v/>
      </c>
      <c r="AG1336" s="22" t="str">
        <f t="shared" si="431"/>
        <v/>
      </c>
      <c r="AH1336" s="22" t="str">
        <f t="shared" si="432"/>
        <v/>
      </c>
      <c r="AI1336" s="22" t="str">
        <f t="shared" si="433"/>
        <v/>
      </c>
      <c r="AJ1336" s="304" t="str">
        <f t="shared" si="434"/>
        <v/>
      </c>
      <c r="AK1336" s="140" t="str">
        <f t="shared" si="435"/>
        <v/>
      </c>
    </row>
    <row r="1337" spans="7:37" x14ac:dyDescent="0.25">
      <c r="G1337" s="235" t="str">
        <f t="shared" si="424"/>
        <v/>
      </c>
      <c r="H1337" s="4" t="str">
        <f t="shared" si="423"/>
        <v/>
      </c>
      <c r="I1337" s="11" t="str">
        <f t="shared" si="425"/>
        <v/>
      </c>
      <c r="K1337" s="30">
        <v>415</v>
      </c>
      <c r="L1337" s="29">
        <f t="shared" si="436"/>
        <v>11371.908376190921</v>
      </c>
      <c r="M1337" s="28" t="str">
        <f t="shared" si="426"/>
        <v/>
      </c>
      <c r="N1337" s="27" t="str">
        <f t="shared" si="437"/>
        <v/>
      </c>
      <c r="O1337" s="26" t="str">
        <f>IF(AND($Q1336=$O$38,IFERROR(LARGE($V$923:$V1336,1)&lt;$N$42,TRUE)),1,IF(AND(ISNUMBER($O1336),$O1336&lt;$N$32),$O1336+1,""))</f>
        <v/>
      </c>
      <c r="P1337" s="26" t="str">
        <f t="shared" si="438"/>
        <v/>
      </c>
      <c r="Q1337" s="26" t="str">
        <f t="shared" si="427"/>
        <v/>
      </c>
      <c r="R1337" s="24" t="str">
        <f t="shared" si="439"/>
        <v/>
      </c>
      <c r="S1337" s="180">
        <f t="shared" si="445"/>
        <v>8</v>
      </c>
      <c r="T1337" s="29">
        <f>SUM($AC$923:$AC1337)</f>
        <v>49500</v>
      </c>
      <c r="U1337" s="25" t="str">
        <f t="shared" si="428"/>
        <v/>
      </c>
      <c r="V1337" s="24" t="str">
        <f>IF(AND(ISNUMBER(R1336),ISNUMBER(R1337)),V1336,IF(AND(R1336="",ISNUMBER(R1337)),IFERROR(LARGE($V$923:$V1336,1)+1,0),""))</f>
        <v/>
      </c>
      <c r="W1337" s="23" t="str">
        <f t="shared" si="440"/>
        <v/>
      </c>
      <c r="X1337" s="22" t="str">
        <f t="shared" si="441"/>
        <v/>
      </c>
      <c r="Y1337" s="236"/>
      <c r="Z1337" s="22"/>
      <c r="AA1337" s="22"/>
      <c r="AB1337" s="22" t="str">
        <f t="shared" si="442"/>
        <v/>
      </c>
      <c r="AC1337" s="22" t="str">
        <f t="shared" si="443"/>
        <v/>
      </c>
      <c r="AD1337" s="22" t="str">
        <f t="shared" si="429"/>
        <v/>
      </c>
      <c r="AE1337" s="22" t="str">
        <f t="shared" si="444"/>
        <v/>
      </c>
      <c r="AF1337" s="22" t="str">
        <f t="shared" si="430"/>
        <v/>
      </c>
      <c r="AG1337" s="22" t="str">
        <f t="shared" si="431"/>
        <v/>
      </c>
      <c r="AH1337" s="22" t="str">
        <f t="shared" si="432"/>
        <v/>
      </c>
      <c r="AI1337" s="22" t="str">
        <f t="shared" si="433"/>
        <v/>
      </c>
      <c r="AJ1337" s="304" t="str">
        <f t="shared" si="434"/>
        <v/>
      </c>
      <c r="AK1337" s="140" t="str">
        <f t="shared" si="435"/>
        <v/>
      </c>
    </row>
    <row r="1338" spans="7:37" x14ac:dyDescent="0.25">
      <c r="G1338" s="235" t="str">
        <f t="shared" si="424"/>
        <v/>
      </c>
      <c r="H1338" s="4" t="str">
        <f t="shared" ref="H1338:H1401" si="446">IF(SUM(N1338:R1338)&gt;0,CONCATENATE(IF(LEN(ROUNDDOWN(S1338,0))=1,CONCATENATE("0",ROUNDDOWN(S1338,0)),ROUNDDOWN(S1338,0)),".",IF(LEN(ROUND(MOD(S1338,1)*100,0))=1,CONCATENATE("0",ROUND(MOD(S1338,1)*100,0)),ROUND(MOD(S1338,1)*100,0)),IF(N1338&lt;&gt;"",".N",IF(O1338&lt;&gt;"",".R",IF(P1338&lt;&gt;"",".O",IF(Q1338&lt;&gt;"",".I",IF(R1338&lt;&gt;"",".D","")))))),"")</f>
        <v/>
      </c>
      <c r="I1338" s="11" t="str">
        <f t="shared" si="425"/>
        <v/>
      </c>
      <c r="K1338" s="30">
        <v>416</v>
      </c>
      <c r="L1338" s="29">
        <f t="shared" si="436"/>
        <v>11371.908376190921</v>
      </c>
      <c r="M1338" s="28" t="str">
        <f t="shared" si="426"/>
        <v/>
      </c>
      <c r="N1338" s="27" t="str">
        <f t="shared" si="437"/>
        <v/>
      </c>
      <c r="O1338" s="26" t="str">
        <f>IF(AND($Q1337=$O$38,IFERROR(LARGE($V$923:$V1337,1)&lt;$N$42,TRUE)),1,IF(AND(ISNUMBER($O1337),$O1337&lt;$N$32),$O1337+1,""))</f>
        <v/>
      </c>
      <c r="P1338" s="26" t="str">
        <f t="shared" si="438"/>
        <v/>
      </c>
      <c r="Q1338" s="26" t="str">
        <f t="shared" si="427"/>
        <v/>
      </c>
      <c r="R1338" s="24" t="str">
        <f t="shared" si="439"/>
        <v/>
      </c>
      <c r="S1338" s="180">
        <f t="shared" si="445"/>
        <v>8</v>
      </c>
      <c r="T1338" s="29">
        <f>SUM($AC$923:$AC1338)</f>
        <v>49500</v>
      </c>
      <c r="U1338" s="25" t="str">
        <f t="shared" si="428"/>
        <v/>
      </c>
      <c r="V1338" s="24" t="str">
        <f>IF(AND(ISNUMBER(R1337),ISNUMBER(R1338)),V1337,IF(AND(R1337="",ISNUMBER(R1338)),IFERROR(LARGE($V$923:$V1337,1)+1,0),""))</f>
        <v/>
      </c>
      <c r="W1338" s="23" t="str">
        <f t="shared" si="440"/>
        <v/>
      </c>
      <c r="X1338" s="22" t="str">
        <f t="shared" si="441"/>
        <v/>
      </c>
      <c r="Y1338" s="236"/>
      <c r="Z1338" s="22"/>
      <c r="AA1338" s="22"/>
      <c r="AB1338" s="22" t="str">
        <f t="shared" si="442"/>
        <v/>
      </c>
      <c r="AC1338" s="22" t="str">
        <f t="shared" si="443"/>
        <v/>
      </c>
      <c r="AD1338" s="22" t="str">
        <f t="shared" si="429"/>
        <v/>
      </c>
      <c r="AE1338" s="22" t="str">
        <f t="shared" si="444"/>
        <v/>
      </c>
      <c r="AF1338" s="22" t="str">
        <f t="shared" si="430"/>
        <v/>
      </c>
      <c r="AG1338" s="22" t="str">
        <f t="shared" si="431"/>
        <v/>
      </c>
      <c r="AH1338" s="22" t="str">
        <f t="shared" si="432"/>
        <v/>
      </c>
      <c r="AI1338" s="22" t="str">
        <f t="shared" si="433"/>
        <v/>
      </c>
      <c r="AJ1338" s="304" t="str">
        <f t="shared" si="434"/>
        <v/>
      </c>
      <c r="AK1338" s="140" t="str">
        <f t="shared" si="435"/>
        <v/>
      </c>
    </row>
    <row r="1339" spans="7:37" x14ac:dyDescent="0.25">
      <c r="G1339" s="235" t="str">
        <f t="shared" si="424"/>
        <v/>
      </c>
      <c r="H1339" s="4" t="str">
        <f t="shared" si="446"/>
        <v/>
      </c>
      <c r="I1339" s="11" t="str">
        <f t="shared" si="425"/>
        <v/>
      </c>
      <c r="K1339" s="30">
        <v>417</v>
      </c>
      <c r="L1339" s="29">
        <f t="shared" si="436"/>
        <v>11371.908376190921</v>
      </c>
      <c r="M1339" s="28" t="str">
        <f t="shared" si="426"/>
        <v/>
      </c>
      <c r="N1339" s="27" t="str">
        <f t="shared" si="437"/>
        <v/>
      </c>
      <c r="O1339" s="26" t="str">
        <f>IF(AND($Q1338=$O$38,IFERROR(LARGE($V$923:$V1338,1)&lt;$N$42,TRUE)),1,IF(AND(ISNUMBER($O1338),$O1338&lt;$N$32),$O1338+1,""))</f>
        <v/>
      </c>
      <c r="P1339" s="26" t="str">
        <f t="shared" si="438"/>
        <v/>
      </c>
      <c r="Q1339" s="26" t="str">
        <f t="shared" si="427"/>
        <v/>
      </c>
      <c r="R1339" s="24" t="str">
        <f t="shared" si="439"/>
        <v/>
      </c>
      <c r="S1339" s="180">
        <f t="shared" si="445"/>
        <v>8</v>
      </c>
      <c r="T1339" s="29">
        <f>SUM($AC$923:$AC1339)</f>
        <v>49500</v>
      </c>
      <c r="U1339" s="25" t="str">
        <f t="shared" si="428"/>
        <v/>
      </c>
      <c r="V1339" s="24" t="str">
        <f>IF(AND(ISNUMBER(R1338),ISNUMBER(R1339)),V1338,IF(AND(R1338="",ISNUMBER(R1339)),IFERROR(LARGE($V$923:$V1338,1)+1,0),""))</f>
        <v/>
      </c>
      <c r="W1339" s="23" t="str">
        <f t="shared" si="440"/>
        <v/>
      </c>
      <c r="X1339" s="22" t="str">
        <f t="shared" si="441"/>
        <v/>
      </c>
      <c r="Y1339" s="236"/>
      <c r="Z1339" s="22"/>
      <c r="AA1339" s="22"/>
      <c r="AB1339" s="22" t="str">
        <f t="shared" si="442"/>
        <v/>
      </c>
      <c r="AC1339" s="22" t="str">
        <f t="shared" si="443"/>
        <v/>
      </c>
      <c r="AD1339" s="22" t="str">
        <f t="shared" si="429"/>
        <v/>
      </c>
      <c r="AE1339" s="22" t="str">
        <f t="shared" si="444"/>
        <v/>
      </c>
      <c r="AF1339" s="22" t="str">
        <f t="shared" si="430"/>
        <v/>
      </c>
      <c r="AG1339" s="22" t="str">
        <f t="shared" si="431"/>
        <v/>
      </c>
      <c r="AH1339" s="22" t="str">
        <f t="shared" si="432"/>
        <v/>
      </c>
      <c r="AI1339" s="22" t="str">
        <f t="shared" si="433"/>
        <v/>
      </c>
      <c r="AJ1339" s="304" t="str">
        <f t="shared" si="434"/>
        <v/>
      </c>
      <c r="AK1339" s="140" t="str">
        <f t="shared" si="435"/>
        <v/>
      </c>
    </row>
    <row r="1340" spans="7:37" x14ac:dyDescent="0.25">
      <c r="G1340" s="235" t="str">
        <f t="shared" si="424"/>
        <v/>
      </c>
      <c r="H1340" s="4" t="str">
        <f t="shared" si="446"/>
        <v/>
      </c>
      <c r="I1340" s="11" t="str">
        <f t="shared" si="425"/>
        <v/>
      </c>
      <c r="K1340" s="30">
        <v>418</v>
      </c>
      <c r="L1340" s="29">
        <f t="shared" si="436"/>
        <v>11371.908376190921</v>
      </c>
      <c r="M1340" s="28" t="str">
        <f t="shared" si="426"/>
        <v/>
      </c>
      <c r="N1340" s="27" t="str">
        <f t="shared" si="437"/>
        <v/>
      </c>
      <c r="O1340" s="26" t="str">
        <f>IF(AND($Q1339=$O$38,IFERROR(LARGE($V$923:$V1339,1)&lt;$N$42,TRUE)),1,IF(AND(ISNUMBER($O1339),$O1339&lt;$N$32),$O1339+1,""))</f>
        <v/>
      </c>
      <c r="P1340" s="26" t="str">
        <f t="shared" si="438"/>
        <v/>
      </c>
      <c r="Q1340" s="26" t="str">
        <f t="shared" si="427"/>
        <v/>
      </c>
      <c r="R1340" s="24" t="str">
        <f t="shared" si="439"/>
        <v/>
      </c>
      <c r="S1340" s="180">
        <f t="shared" si="445"/>
        <v>8</v>
      </c>
      <c r="T1340" s="29">
        <f>SUM($AC$923:$AC1340)</f>
        <v>49500</v>
      </c>
      <c r="U1340" s="25" t="str">
        <f t="shared" si="428"/>
        <v/>
      </c>
      <c r="V1340" s="24" t="str">
        <f>IF(AND(ISNUMBER(R1339),ISNUMBER(R1340)),V1339,IF(AND(R1339="",ISNUMBER(R1340)),IFERROR(LARGE($V$923:$V1339,1)+1,0),""))</f>
        <v/>
      </c>
      <c r="W1340" s="23" t="str">
        <f t="shared" si="440"/>
        <v/>
      </c>
      <c r="X1340" s="22" t="str">
        <f t="shared" si="441"/>
        <v/>
      </c>
      <c r="Y1340" s="236"/>
      <c r="Z1340" s="22"/>
      <c r="AA1340" s="22"/>
      <c r="AB1340" s="22" t="str">
        <f t="shared" si="442"/>
        <v/>
      </c>
      <c r="AC1340" s="22" t="str">
        <f t="shared" si="443"/>
        <v/>
      </c>
      <c r="AD1340" s="22" t="str">
        <f t="shared" si="429"/>
        <v/>
      </c>
      <c r="AE1340" s="22" t="str">
        <f t="shared" si="444"/>
        <v/>
      </c>
      <c r="AF1340" s="22" t="str">
        <f t="shared" si="430"/>
        <v/>
      </c>
      <c r="AG1340" s="22" t="str">
        <f t="shared" si="431"/>
        <v/>
      </c>
      <c r="AH1340" s="22" t="str">
        <f t="shared" si="432"/>
        <v/>
      </c>
      <c r="AI1340" s="22" t="str">
        <f t="shared" si="433"/>
        <v/>
      </c>
      <c r="AJ1340" s="304" t="str">
        <f t="shared" si="434"/>
        <v/>
      </c>
      <c r="AK1340" s="140" t="str">
        <f t="shared" si="435"/>
        <v/>
      </c>
    </row>
    <row r="1341" spans="7:37" x14ac:dyDescent="0.25">
      <c r="G1341" s="235" t="str">
        <f t="shared" si="424"/>
        <v/>
      </c>
      <c r="H1341" s="4" t="str">
        <f t="shared" si="446"/>
        <v/>
      </c>
      <c r="I1341" s="11" t="str">
        <f t="shared" si="425"/>
        <v/>
      </c>
      <c r="K1341" s="30">
        <v>419</v>
      </c>
      <c r="L1341" s="29">
        <f t="shared" si="436"/>
        <v>11371.908376190921</v>
      </c>
      <c r="M1341" s="28" t="str">
        <f t="shared" si="426"/>
        <v/>
      </c>
      <c r="N1341" s="27" t="str">
        <f t="shared" si="437"/>
        <v/>
      </c>
      <c r="O1341" s="26" t="str">
        <f>IF(AND($Q1340=$O$38,IFERROR(LARGE($V$923:$V1340,1)&lt;$N$42,TRUE)),1,IF(AND(ISNUMBER($O1340),$O1340&lt;$N$32),$O1340+1,""))</f>
        <v/>
      </c>
      <c r="P1341" s="26" t="str">
        <f t="shared" si="438"/>
        <v/>
      </c>
      <c r="Q1341" s="26" t="str">
        <f t="shared" si="427"/>
        <v/>
      </c>
      <c r="R1341" s="24" t="str">
        <f t="shared" si="439"/>
        <v/>
      </c>
      <c r="S1341" s="180">
        <f t="shared" si="445"/>
        <v>8</v>
      </c>
      <c r="T1341" s="29">
        <f>SUM($AC$923:$AC1341)</f>
        <v>49500</v>
      </c>
      <c r="U1341" s="25" t="str">
        <f t="shared" si="428"/>
        <v/>
      </c>
      <c r="V1341" s="24" t="str">
        <f>IF(AND(ISNUMBER(R1340),ISNUMBER(R1341)),V1340,IF(AND(R1340="",ISNUMBER(R1341)),IFERROR(LARGE($V$923:$V1340,1)+1,0),""))</f>
        <v/>
      </c>
      <c r="W1341" s="23" t="str">
        <f t="shared" si="440"/>
        <v/>
      </c>
      <c r="X1341" s="22" t="str">
        <f t="shared" si="441"/>
        <v/>
      </c>
      <c r="Y1341" s="236"/>
      <c r="Z1341" s="22"/>
      <c r="AA1341" s="22"/>
      <c r="AB1341" s="22" t="str">
        <f t="shared" si="442"/>
        <v/>
      </c>
      <c r="AC1341" s="22" t="str">
        <f t="shared" si="443"/>
        <v/>
      </c>
      <c r="AD1341" s="22" t="str">
        <f t="shared" si="429"/>
        <v/>
      </c>
      <c r="AE1341" s="22" t="str">
        <f t="shared" si="444"/>
        <v/>
      </c>
      <c r="AF1341" s="22" t="str">
        <f t="shared" si="430"/>
        <v/>
      </c>
      <c r="AG1341" s="22" t="str">
        <f t="shared" si="431"/>
        <v/>
      </c>
      <c r="AH1341" s="22" t="str">
        <f t="shared" si="432"/>
        <v/>
      </c>
      <c r="AI1341" s="22" t="str">
        <f t="shared" si="433"/>
        <v/>
      </c>
      <c r="AJ1341" s="304" t="str">
        <f t="shared" si="434"/>
        <v/>
      </c>
      <c r="AK1341" s="140" t="str">
        <f t="shared" si="435"/>
        <v/>
      </c>
    </row>
    <row r="1342" spans="7:37" x14ac:dyDescent="0.25">
      <c r="G1342" s="235" t="str">
        <f t="shared" si="424"/>
        <v/>
      </c>
      <c r="H1342" s="4" t="str">
        <f t="shared" si="446"/>
        <v/>
      </c>
      <c r="I1342" s="11" t="str">
        <f t="shared" si="425"/>
        <v/>
      </c>
      <c r="K1342" s="30">
        <v>420</v>
      </c>
      <c r="L1342" s="29">
        <f t="shared" si="436"/>
        <v>11371.908376190921</v>
      </c>
      <c r="M1342" s="28" t="str">
        <f t="shared" si="426"/>
        <v/>
      </c>
      <c r="N1342" s="27" t="str">
        <f t="shared" si="437"/>
        <v/>
      </c>
      <c r="O1342" s="26" t="str">
        <f>IF(AND($Q1341=$O$38,IFERROR(LARGE($V$923:$V1341,1)&lt;$N$42,TRUE)),1,IF(AND(ISNUMBER($O1341),$O1341&lt;$N$32),$O1341+1,""))</f>
        <v/>
      </c>
      <c r="P1342" s="26" t="str">
        <f t="shared" si="438"/>
        <v/>
      </c>
      <c r="Q1342" s="26" t="str">
        <f t="shared" si="427"/>
        <v/>
      </c>
      <c r="R1342" s="24" t="str">
        <f t="shared" si="439"/>
        <v/>
      </c>
      <c r="S1342" s="180">
        <f t="shared" si="445"/>
        <v>8</v>
      </c>
      <c r="T1342" s="29">
        <f>SUM($AC$923:$AC1342)</f>
        <v>49500</v>
      </c>
      <c r="U1342" s="25" t="str">
        <f t="shared" si="428"/>
        <v/>
      </c>
      <c r="V1342" s="24" t="str">
        <f>IF(AND(ISNUMBER(R1341),ISNUMBER(R1342)),V1341,IF(AND(R1341="",ISNUMBER(R1342)),IFERROR(LARGE($V$923:$V1341,1)+1,0),""))</f>
        <v/>
      </c>
      <c r="W1342" s="23" t="str">
        <f t="shared" si="440"/>
        <v/>
      </c>
      <c r="X1342" s="22" t="str">
        <f t="shared" si="441"/>
        <v/>
      </c>
      <c r="Y1342" s="236"/>
      <c r="Z1342" s="22"/>
      <c r="AA1342" s="22"/>
      <c r="AB1342" s="22" t="str">
        <f t="shared" si="442"/>
        <v/>
      </c>
      <c r="AC1342" s="22" t="str">
        <f t="shared" si="443"/>
        <v/>
      </c>
      <c r="AD1342" s="22" t="str">
        <f t="shared" si="429"/>
        <v/>
      </c>
      <c r="AE1342" s="22" t="str">
        <f t="shared" si="444"/>
        <v/>
      </c>
      <c r="AF1342" s="22" t="str">
        <f t="shared" si="430"/>
        <v/>
      </c>
      <c r="AG1342" s="22" t="str">
        <f t="shared" si="431"/>
        <v/>
      </c>
      <c r="AH1342" s="22" t="str">
        <f t="shared" si="432"/>
        <v/>
      </c>
      <c r="AI1342" s="22" t="str">
        <f t="shared" si="433"/>
        <v/>
      </c>
      <c r="AJ1342" s="304" t="str">
        <f t="shared" si="434"/>
        <v/>
      </c>
      <c r="AK1342" s="140" t="str">
        <f t="shared" si="435"/>
        <v/>
      </c>
    </row>
    <row r="1343" spans="7:37" x14ac:dyDescent="0.25">
      <c r="G1343" s="235" t="str">
        <f t="shared" si="424"/>
        <v/>
      </c>
      <c r="H1343" s="4" t="str">
        <f t="shared" si="446"/>
        <v/>
      </c>
      <c r="I1343" s="11" t="str">
        <f t="shared" si="425"/>
        <v/>
      </c>
      <c r="K1343" s="30">
        <v>421</v>
      </c>
      <c r="L1343" s="29">
        <f t="shared" si="436"/>
        <v>11371.908376190921</v>
      </c>
      <c r="M1343" s="28" t="str">
        <f t="shared" si="426"/>
        <v/>
      </c>
      <c r="N1343" s="27" t="str">
        <f t="shared" si="437"/>
        <v/>
      </c>
      <c r="O1343" s="26" t="str">
        <f>IF(AND($Q1342=$O$38,IFERROR(LARGE($V$923:$V1342,1)&lt;$N$42,TRUE)),1,IF(AND(ISNUMBER($O1342),$O1342&lt;$N$32),$O1342+1,""))</f>
        <v/>
      </c>
      <c r="P1343" s="26" t="str">
        <f t="shared" si="438"/>
        <v/>
      </c>
      <c r="Q1343" s="26" t="str">
        <f t="shared" si="427"/>
        <v/>
      </c>
      <c r="R1343" s="24" t="str">
        <f t="shared" si="439"/>
        <v/>
      </c>
      <c r="S1343" s="180">
        <f t="shared" si="445"/>
        <v>8</v>
      </c>
      <c r="T1343" s="29">
        <f>SUM($AC$923:$AC1343)</f>
        <v>49500</v>
      </c>
      <c r="U1343" s="25" t="str">
        <f t="shared" si="428"/>
        <v/>
      </c>
      <c r="V1343" s="24" t="str">
        <f>IF(AND(ISNUMBER(R1342),ISNUMBER(R1343)),V1342,IF(AND(R1342="",ISNUMBER(R1343)),IFERROR(LARGE($V$923:$V1342,1)+1,0),""))</f>
        <v/>
      </c>
      <c r="W1343" s="23" t="str">
        <f t="shared" si="440"/>
        <v/>
      </c>
      <c r="X1343" s="22" t="str">
        <f t="shared" si="441"/>
        <v/>
      </c>
      <c r="Y1343" s="236"/>
      <c r="Z1343" s="22"/>
      <c r="AA1343" s="22"/>
      <c r="AB1343" s="22" t="str">
        <f t="shared" si="442"/>
        <v/>
      </c>
      <c r="AC1343" s="22" t="str">
        <f t="shared" si="443"/>
        <v/>
      </c>
      <c r="AD1343" s="22" t="str">
        <f t="shared" si="429"/>
        <v/>
      </c>
      <c r="AE1343" s="22" t="str">
        <f t="shared" si="444"/>
        <v/>
      </c>
      <c r="AF1343" s="22" t="str">
        <f t="shared" si="430"/>
        <v/>
      </c>
      <c r="AG1343" s="22" t="str">
        <f t="shared" si="431"/>
        <v/>
      </c>
      <c r="AH1343" s="22" t="str">
        <f t="shared" si="432"/>
        <v/>
      </c>
      <c r="AI1343" s="22" t="str">
        <f t="shared" si="433"/>
        <v/>
      </c>
      <c r="AJ1343" s="304" t="str">
        <f t="shared" si="434"/>
        <v/>
      </c>
      <c r="AK1343" s="140" t="str">
        <f t="shared" si="435"/>
        <v/>
      </c>
    </row>
    <row r="1344" spans="7:37" x14ac:dyDescent="0.25">
      <c r="G1344" s="235" t="str">
        <f t="shared" si="424"/>
        <v/>
      </c>
      <c r="H1344" s="4" t="str">
        <f t="shared" si="446"/>
        <v/>
      </c>
      <c r="I1344" s="11" t="str">
        <f t="shared" si="425"/>
        <v/>
      </c>
      <c r="K1344" s="30">
        <v>422</v>
      </c>
      <c r="L1344" s="29">
        <f t="shared" si="436"/>
        <v>11371.908376190921</v>
      </c>
      <c r="M1344" s="28" t="str">
        <f t="shared" si="426"/>
        <v/>
      </c>
      <c r="N1344" s="27" t="str">
        <f t="shared" si="437"/>
        <v/>
      </c>
      <c r="O1344" s="26" t="str">
        <f>IF(AND($Q1343=$O$38,IFERROR(LARGE($V$923:$V1343,1)&lt;$N$42,TRUE)),1,IF(AND(ISNUMBER($O1343),$O1343&lt;$N$32),$O1343+1,""))</f>
        <v/>
      </c>
      <c r="P1344" s="26" t="str">
        <f t="shared" si="438"/>
        <v/>
      </c>
      <c r="Q1344" s="26" t="str">
        <f t="shared" si="427"/>
        <v/>
      </c>
      <c r="R1344" s="24" t="str">
        <f t="shared" si="439"/>
        <v/>
      </c>
      <c r="S1344" s="180">
        <f t="shared" si="445"/>
        <v>8</v>
      </c>
      <c r="T1344" s="29">
        <f>SUM($AC$923:$AC1344)</f>
        <v>49500</v>
      </c>
      <c r="U1344" s="25" t="str">
        <f t="shared" si="428"/>
        <v/>
      </c>
      <c r="V1344" s="24" t="str">
        <f>IF(AND(ISNUMBER(R1343),ISNUMBER(R1344)),V1343,IF(AND(R1343="",ISNUMBER(R1344)),IFERROR(LARGE($V$923:$V1343,1)+1,0),""))</f>
        <v/>
      </c>
      <c r="W1344" s="23" t="str">
        <f t="shared" si="440"/>
        <v/>
      </c>
      <c r="X1344" s="22" t="str">
        <f t="shared" si="441"/>
        <v/>
      </c>
      <c r="Y1344" s="236"/>
      <c r="Z1344" s="22"/>
      <c r="AA1344" s="22"/>
      <c r="AB1344" s="22" t="str">
        <f t="shared" si="442"/>
        <v/>
      </c>
      <c r="AC1344" s="22" t="str">
        <f t="shared" si="443"/>
        <v/>
      </c>
      <c r="AD1344" s="22" t="str">
        <f t="shared" si="429"/>
        <v/>
      </c>
      <c r="AE1344" s="22" t="str">
        <f t="shared" si="444"/>
        <v/>
      </c>
      <c r="AF1344" s="22" t="str">
        <f t="shared" si="430"/>
        <v/>
      </c>
      <c r="AG1344" s="22" t="str">
        <f t="shared" si="431"/>
        <v/>
      </c>
      <c r="AH1344" s="22" t="str">
        <f t="shared" si="432"/>
        <v/>
      </c>
      <c r="AI1344" s="22" t="str">
        <f t="shared" si="433"/>
        <v/>
      </c>
      <c r="AJ1344" s="304" t="str">
        <f t="shared" si="434"/>
        <v/>
      </c>
      <c r="AK1344" s="140" t="str">
        <f t="shared" si="435"/>
        <v/>
      </c>
    </row>
    <row r="1345" spans="7:37" x14ac:dyDescent="0.25">
      <c r="G1345" s="235" t="str">
        <f t="shared" si="424"/>
        <v/>
      </c>
      <c r="H1345" s="4" t="str">
        <f t="shared" si="446"/>
        <v/>
      </c>
      <c r="I1345" s="11" t="str">
        <f t="shared" si="425"/>
        <v/>
      </c>
      <c r="K1345" s="30">
        <v>423</v>
      </c>
      <c r="L1345" s="29">
        <f t="shared" si="436"/>
        <v>11371.908376190921</v>
      </c>
      <c r="M1345" s="28" t="str">
        <f t="shared" si="426"/>
        <v/>
      </c>
      <c r="N1345" s="27" t="str">
        <f t="shared" si="437"/>
        <v/>
      </c>
      <c r="O1345" s="26" t="str">
        <f>IF(AND($Q1344=$O$38,IFERROR(LARGE($V$923:$V1344,1)&lt;$N$42,TRUE)),1,IF(AND(ISNUMBER($O1344),$O1344&lt;$N$32),$O1344+1,""))</f>
        <v/>
      </c>
      <c r="P1345" s="26" t="str">
        <f t="shared" si="438"/>
        <v/>
      </c>
      <c r="Q1345" s="26" t="str">
        <f t="shared" si="427"/>
        <v/>
      </c>
      <c r="R1345" s="24" t="str">
        <f t="shared" si="439"/>
        <v/>
      </c>
      <c r="S1345" s="180">
        <f t="shared" si="445"/>
        <v>8</v>
      </c>
      <c r="T1345" s="29">
        <f>SUM($AC$923:$AC1345)</f>
        <v>49500</v>
      </c>
      <c r="U1345" s="25" t="str">
        <f t="shared" si="428"/>
        <v/>
      </c>
      <c r="V1345" s="24" t="str">
        <f>IF(AND(ISNUMBER(R1344),ISNUMBER(R1345)),V1344,IF(AND(R1344="",ISNUMBER(R1345)),IFERROR(LARGE($V$923:$V1344,1)+1,0),""))</f>
        <v/>
      </c>
      <c r="W1345" s="23" t="str">
        <f t="shared" si="440"/>
        <v/>
      </c>
      <c r="X1345" s="22" t="str">
        <f t="shared" si="441"/>
        <v/>
      </c>
      <c r="Y1345" s="236"/>
      <c r="Z1345" s="22"/>
      <c r="AA1345" s="22"/>
      <c r="AB1345" s="22" t="str">
        <f t="shared" si="442"/>
        <v/>
      </c>
      <c r="AC1345" s="22" t="str">
        <f t="shared" si="443"/>
        <v/>
      </c>
      <c r="AD1345" s="22" t="str">
        <f t="shared" si="429"/>
        <v/>
      </c>
      <c r="AE1345" s="22" t="str">
        <f t="shared" si="444"/>
        <v/>
      </c>
      <c r="AF1345" s="22" t="str">
        <f t="shared" si="430"/>
        <v/>
      </c>
      <c r="AG1345" s="22" t="str">
        <f t="shared" si="431"/>
        <v/>
      </c>
      <c r="AH1345" s="22" t="str">
        <f t="shared" si="432"/>
        <v/>
      </c>
      <c r="AI1345" s="22" t="str">
        <f t="shared" si="433"/>
        <v/>
      </c>
      <c r="AJ1345" s="304" t="str">
        <f t="shared" si="434"/>
        <v/>
      </c>
      <c r="AK1345" s="140" t="str">
        <f t="shared" si="435"/>
        <v/>
      </c>
    </row>
    <row r="1346" spans="7:37" x14ac:dyDescent="0.25">
      <c r="G1346" s="235" t="str">
        <f t="shared" si="424"/>
        <v/>
      </c>
      <c r="H1346" s="4" t="str">
        <f t="shared" si="446"/>
        <v/>
      </c>
      <c r="I1346" s="11" t="str">
        <f t="shared" si="425"/>
        <v/>
      </c>
      <c r="K1346" s="30">
        <v>424</v>
      </c>
      <c r="L1346" s="29">
        <f t="shared" si="436"/>
        <v>11371.908376190921</v>
      </c>
      <c r="M1346" s="28" t="str">
        <f t="shared" si="426"/>
        <v/>
      </c>
      <c r="N1346" s="27" t="str">
        <f t="shared" si="437"/>
        <v/>
      </c>
      <c r="O1346" s="26" t="str">
        <f>IF(AND($Q1345=$O$38,IFERROR(LARGE($V$923:$V1345,1)&lt;$N$42,TRUE)),1,IF(AND(ISNUMBER($O1345),$O1345&lt;$N$32),$O1345+1,""))</f>
        <v/>
      </c>
      <c r="P1346" s="26" t="str">
        <f t="shared" si="438"/>
        <v/>
      </c>
      <c r="Q1346" s="26" t="str">
        <f t="shared" si="427"/>
        <v/>
      </c>
      <c r="R1346" s="24" t="str">
        <f t="shared" si="439"/>
        <v/>
      </c>
      <c r="S1346" s="180">
        <f t="shared" si="445"/>
        <v>8</v>
      </c>
      <c r="T1346" s="29">
        <f>SUM($AC$923:$AC1346)</f>
        <v>49500</v>
      </c>
      <c r="U1346" s="25" t="str">
        <f t="shared" si="428"/>
        <v/>
      </c>
      <c r="V1346" s="24" t="str">
        <f>IF(AND(ISNUMBER(R1345),ISNUMBER(R1346)),V1345,IF(AND(R1345="",ISNUMBER(R1346)),IFERROR(LARGE($V$923:$V1345,1)+1,0),""))</f>
        <v/>
      </c>
      <c r="W1346" s="23" t="str">
        <f t="shared" si="440"/>
        <v/>
      </c>
      <c r="X1346" s="22" t="str">
        <f t="shared" si="441"/>
        <v/>
      </c>
      <c r="Y1346" s="236"/>
      <c r="Z1346" s="22"/>
      <c r="AA1346" s="22"/>
      <c r="AB1346" s="22" t="str">
        <f t="shared" si="442"/>
        <v/>
      </c>
      <c r="AC1346" s="22" t="str">
        <f t="shared" si="443"/>
        <v/>
      </c>
      <c r="AD1346" s="22" t="str">
        <f t="shared" si="429"/>
        <v/>
      </c>
      <c r="AE1346" s="22" t="str">
        <f t="shared" si="444"/>
        <v/>
      </c>
      <c r="AF1346" s="22" t="str">
        <f t="shared" si="430"/>
        <v/>
      </c>
      <c r="AG1346" s="22" t="str">
        <f t="shared" si="431"/>
        <v/>
      </c>
      <c r="AH1346" s="22" t="str">
        <f t="shared" si="432"/>
        <v/>
      </c>
      <c r="AI1346" s="22" t="str">
        <f t="shared" si="433"/>
        <v/>
      </c>
      <c r="AJ1346" s="304" t="str">
        <f t="shared" si="434"/>
        <v/>
      </c>
      <c r="AK1346" s="140" t="str">
        <f t="shared" si="435"/>
        <v/>
      </c>
    </row>
    <row r="1347" spans="7:37" x14ac:dyDescent="0.25">
      <c r="G1347" s="235" t="str">
        <f t="shared" si="424"/>
        <v/>
      </c>
      <c r="H1347" s="4" t="str">
        <f t="shared" si="446"/>
        <v/>
      </c>
      <c r="I1347" s="11" t="str">
        <f t="shared" si="425"/>
        <v/>
      </c>
      <c r="K1347" s="30">
        <v>425</v>
      </c>
      <c r="L1347" s="29">
        <f t="shared" si="436"/>
        <v>11371.908376190921</v>
      </c>
      <c r="M1347" s="28" t="str">
        <f t="shared" si="426"/>
        <v/>
      </c>
      <c r="N1347" s="27" t="str">
        <f t="shared" si="437"/>
        <v/>
      </c>
      <c r="O1347" s="26" t="str">
        <f>IF(AND($Q1346=$O$38,IFERROR(LARGE($V$923:$V1346,1)&lt;$N$42,TRUE)),1,IF(AND(ISNUMBER($O1346),$O1346&lt;$N$32),$O1346+1,""))</f>
        <v/>
      </c>
      <c r="P1347" s="26" t="str">
        <f t="shared" si="438"/>
        <v/>
      </c>
      <c r="Q1347" s="26" t="str">
        <f t="shared" si="427"/>
        <v/>
      </c>
      <c r="R1347" s="24" t="str">
        <f t="shared" si="439"/>
        <v/>
      </c>
      <c r="S1347" s="180">
        <f t="shared" si="445"/>
        <v>8</v>
      </c>
      <c r="T1347" s="29">
        <f>SUM($AC$923:$AC1347)</f>
        <v>49500</v>
      </c>
      <c r="U1347" s="25" t="str">
        <f t="shared" si="428"/>
        <v/>
      </c>
      <c r="V1347" s="24" t="str">
        <f>IF(AND(ISNUMBER(R1346),ISNUMBER(R1347)),V1346,IF(AND(R1346="",ISNUMBER(R1347)),IFERROR(LARGE($V$923:$V1346,1)+1,0),""))</f>
        <v/>
      </c>
      <c r="W1347" s="23" t="str">
        <f t="shared" si="440"/>
        <v/>
      </c>
      <c r="X1347" s="22" t="str">
        <f t="shared" si="441"/>
        <v/>
      </c>
      <c r="Y1347" s="236"/>
      <c r="Z1347" s="22"/>
      <c r="AA1347" s="22"/>
      <c r="AB1347" s="22" t="str">
        <f t="shared" si="442"/>
        <v/>
      </c>
      <c r="AC1347" s="22" t="str">
        <f t="shared" si="443"/>
        <v/>
      </c>
      <c r="AD1347" s="22" t="str">
        <f t="shared" si="429"/>
        <v/>
      </c>
      <c r="AE1347" s="22" t="str">
        <f t="shared" si="444"/>
        <v/>
      </c>
      <c r="AF1347" s="22" t="str">
        <f t="shared" si="430"/>
        <v/>
      </c>
      <c r="AG1347" s="22" t="str">
        <f t="shared" si="431"/>
        <v/>
      </c>
      <c r="AH1347" s="22" t="str">
        <f t="shared" si="432"/>
        <v/>
      </c>
      <c r="AI1347" s="22" t="str">
        <f t="shared" si="433"/>
        <v/>
      </c>
      <c r="AJ1347" s="304" t="str">
        <f t="shared" si="434"/>
        <v/>
      </c>
      <c r="AK1347" s="140" t="str">
        <f t="shared" si="435"/>
        <v/>
      </c>
    </row>
    <row r="1348" spans="7:37" x14ac:dyDescent="0.25">
      <c r="G1348" s="235" t="str">
        <f t="shared" si="424"/>
        <v/>
      </c>
      <c r="H1348" s="4" t="str">
        <f t="shared" si="446"/>
        <v/>
      </c>
      <c r="I1348" s="11" t="str">
        <f t="shared" si="425"/>
        <v/>
      </c>
      <c r="K1348" s="30">
        <v>426</v>
      </c>
      <c r="L1348" s="29">
        <f t="shared" si="436"/>
        <v>11371.908376190921</v>
      </c>
      <c r="M1348" s="28" t="str">
        <f t="shared" si="426"/>
        <v/>
      </c>
      <c r="N1348" s="27" t="str">
        <f t="shared" si="437"/>
        <v/>
      </c>
      <c r="O1348" s="26" t="str">
        <f>IF(AND($Q1347=$O$38,IFERROR(LARGE($V$923:$V1347,1)&lt;$N$42,TRUE)),1,IF(AND(ISNUMBER($O1347),$O1347&lt;$N$32),$O1347+1,""))</f>
        <v/>
      </c>
      <c r="P1348" s="26" t="str">
        <f t="shared" si="438"/>
        <v/>
      </c>
      <c r="Q1348" s="26" t="str">
        <f t="shared" si="427"/>
        <v/>
      </c>
      <c r="R1348" s="24" t="str">
        <f t="shared" si="439"/>
        <v/>
      </c>
      <c r="S1348" s="180">
        <f t="shared" si="445"/>
        <v>8</v>
      </c>
      <c r="T1348" s="29">
        <f>SUM($AC$923:$AC1348)</f>
        <v>49500</v>
      </c>
      <c r="U1348" s="25" t="str">
        <f t="shared" si="428"/>
        <v/>
      </c>
      <c r="V1348" s="24" t="str">
        <f>IF(AND(ISNUMBER(R1347),ISNUMBER(R1348)),V1347,IF(AND(R1347="",ISNUMBER(R1348)),IFERROR(LARGE($V$923:$V1347,1)+1,0),""))</f>
        <v/>
      </c>
      <c r="W1348" s="23" t="str">
        <f t="shared" si="440"/>
        <v/>
      </c>
      <c r="X1348" s="22" t="str">
        <f t="shared" si="441"/>
        <v/>
      </c>
      <c r="Y1348" s="236"/>
      <c r="Z1348" s="22"/>
      <c r="AA1348" s="22"/>
      <c r="AB1348" s="22" t="str">
        <f t="shared" si="442"/>
        <v/>
      </c>
      <c r="AC1348" s="22" t="str">
        <f t="shared" si="443"/>
        <v/>
      </c>
      <c r="AD1348" s="22" t="str">
        <f t="shared" si="429"/>
        <v/>
      </c>
      <c r="AE1348" s="22" t="str">
        <f t="shared" si="444"/>
        <v/>
      </c>
      <c r="AF1348" s="22" t="str">
        <f t="shared" si="430"/>
        <v/>
      </c>
      <c r="AG1348" s="22" t="str">
        <f t="shared" si="431"/>
        <v/>
      </c>
      <c r="AH1348" s="22" t="str">
        <f t="shared" si="432"/>
        <v/>
      </c>
      <c r="AI1348" s="22" t="str">
        <f t="shared" si="433"/>
        <v/>
      </c>
      <c r="AJ1348" s="304" t="str">
        <f t="shared" si="434"/>
        <v/>
      </c>
      <c r="AK1348" s="140" t="str">
        <f t="shared" si="435"/>
        <v/>
      </c>
    </row>
    <row r="1349" spans="7:37" x14ac:dyDescent="0.25">
      <c r="G1349" s="235" t="str">
        <f t="shared" si="424"/>
        <v/>
      </c>
      <c r="H1349" s="4" t="str">
        <f t="shared" si="446"/>
        <v/>
      </c>
      <c r="I1349" s="11" t="str">
        <f t="shared" si="425"/>
        <v/>
      </c>
      <c r="K1349" s="30">
        <v>427</v>
      </c>
      <c r="L1349" s="29">
        <f t="shared" si="436"/>
        <v>11371.908376190921</v>
      </c>
      <c r="M1349" s="28" t="str">
        <f t="shared" si="426"/>
        <v/>
      </c>
      <c r="N1349" s="27" t="str">
        <f t="shared" si="437"/>
        <v/>
      </c>
      <c r="O1349" s="26" t="str">
        <f>IF(AND($Q1348=$O$38,IFERROR(LARGE($V$923:$V1348,1)&lt;$N$42,TRUE)),1,IF(AND(ISNUMBER($O1348),$O1348&lt;$N$32),$O1348+1,""))</f>
        <v/>
      </c>
      <c r="P1349" s="26" t="str">
        <f t="shared" si="438"/>
        <v/>
      </c>
      <c r="Q1349" s="26" t="str">
        <f t="shared" si="427"/>
        <v/>
      </c>
      <c r="R1349" s="24" t="str">
        <f t="shared" si="439"/>
        <v/>
      </c>
      <c r="S1349" s="180">
        <f t="shared" si="445"/>
        <v>8</v>
      </c>
      <c r="T1349" s="29">
        <f>SUM($AC$923:$AC1349)</f>
        <v>49500</v>
      </c>
      <c r="U1349" s="25" t="str">
        <f t="shared" si="428"/>
        <v/>
      </c>
      <c r="V1349" s="24" t="str">
        <f>IF(AND(ISNUMBER(R1348),ISNUMBER(R1349)),V1348,IF(AND(R1348="",ISNUMBER(R1349)),IFERROR(LARGE($V$923:$V1348,1)+1,0),""))</f>
        <v/>
      </c>
      <c r="W1349" s="23" t="str">
        <f t="shared" si="440"/>
        <v/>
      </c>
      <c r="X1349" s="22" t="str">
        <f t="shared" si="441"/>
        <v/>
      </c>
      <c r="Y1349" s="236"/>
      <c r="Z1349" s="22"/>
      <c r="AA1349" s="22"/>
      <c r="AB1349" s="22" t="str">
        <f t="shared" si="442"/>
        <v/>
      </c>
      <c r="AC1349" s="22" t="str">
        <f t="shared" si="443"/>
        <v/>
      </c>
      <c r="AD1349" s="22" t="str">
        <f t="shared" si="429"/>
        <v/>
      </c>
      <c r="AE1349" s="22" t="str">
        <f t="shared" si="444"/>
        <v/>
      </c>
      <c r="AF1349" s="22" t="str">
        <f t="shared" si="430"/>
        <v/>
      </c>
      <c r="AG1349" s="22" t="str">
        <f t="shared" si="431"/>
        <v/>
      </c>
      <c r="AH1349" s="22" t="str">
        <f t="shared" si="432"/>
        <v/>
      </c>
      <c r="AI1349" s="22" t="str">
        <f t="shared" si="433"/>
        <v/>
      </c>
      <c r="AJ1349" s="304" t="str">
        <f t="shared" si="434"/>
        <v/>
      </c>
      <c r="AK1349" s="140" t="str">
        <f t="shared" si="435"/>
        <v/>
      </c>
    </row>
    <row r="1350" spans="7:37" x14ac:dyDescent="0.25">
      <c r="G1350" s="235" t="str">
        <f t="shared" si="424"/>
        <v/>
      </c>
      <c r="H1350" s="4" t="str">
        <f t="shared" si="446"/>
        <v/>
      </c>
      <c r="I1350" s="11" t="str">
        <f t="shared" si="425"/>
        <v/>
      </c>
      <c r="K1350" s="30">
        <v>428</v>
      </c>
      <c r="L1350" s="29">
        <f t="shared" si="436"/>
        <v>11371.908376190921</v>
      </c>
      <c r="M1350" s="28" t="str">
        <f t="shared" si="426"/>
        <v/>
      </c>
      <c r="N1350" s="27" t="str">
        <f t="shared" si="437"/>
        <v/>
      </c>
      <c r="O1350" s="26" t="str">
        <f>IF(AND($Q1349=$O$38,IFERROR(LARGE($V$923:$V1349,1)&lt;$N$42,TRUE)),1,IF(AND(ISNUMBER($O1349),$O1349&lt;$N$32),$O1349+1,""))</f>
        <v/>
      </c>
      <c r="P1350" s="26" t="str">
        <f t="shared" si="438"/>
        <v/>
      </c>
      <c r="Q1350" s="26" t="str">
        <f t="shared" si="427"/>
        <v/>
      </c>
      <c r="R1350" s="24" t="str">
        <f t="shared" si="439"/>
        <v/>
      </c>
      <c r="S1350" s="180">
        <f t="shared" si="445"/>
        <v>8</v>
      </c>
      <c r="T1350" s="29">
        <f>SUM($AC$923:$AC1350)</f>
        <v>49500</v>
      </c>
      <c r="U1350" s="25" t="str">
        <f t="shared" si="428"/>
        <v/>
      </c>
      <c r="V1350" s="24" t="str">
        <f>IF(AND(ISNUMBER(R1349),ISNUMBER(R1350)),V1349,IF(AND(R1349="",ISNUMBER(R1350)),IFERROR(LARGE($V$923:$V1349,1)+1,0),""))</f>
        <v/>
      </c>
      <c r="W1350" s="23" t="str">
        <f t="shared" si="440"/>
        <v/>
      </c>
      <c r="X1350" s="22" t="str">
        <f t="shared" si="441"/>
        <v/>
      </c>
      <c r="Y1350" s="236"/>
      <c r="Z1350" s="22"/>
      <c r="AA1350" s="22"/>
      <c r="AB1350" s="22" t="str">
        <f t="shared" si="442"/>
        <v/>
      </c>
      <c r="AC1350" s="22" t="str">
        <f t="shared" si="443"/>
        <v/>
      </c>
      <c r="AD1350" s="22" t="str">
        <f t="shared" si="429"/>
        <v/>
      </c>
      <c r="AE1350" s="22" t="str">
        <f t="shared" si="444"/>
        <v/>
      </c>
      <c r="AF1350" s="22" t="str">
        <f t="shared" si="430"/>
        <v/>
      </c>
      <c r="AG1350" s="22" t="str">
        <f t="shared" si="431"/>
        <v/>
      </c>
      <c r="AH1350" s="22" t="str">
        <f t="shared" si="432"/>
        <v/>
      </c>
      <c r="AI1350" s="22" t="str">
        <f t="shared" si="433"/>
        <v/>
      </c>
      <c r="AJ1350" s="304" t="str">
        <f t="shared" si="434"/>
        <v/>
      </c>
      <c r="AK1350" s="140" t="str">
        <f t="shared" si="435"/>
        <v/>
      </c>
    </row>
    <row r="1351" spans="7:37" x14ac:dyDescent="0.25">
      <c r="G1351" s="235" t="str">
        <f t="shared" si="424"/>
        <v/>
      </c>
      <c r="H1351" s="4" t="str">
        <f t="shared" si="446"/>
        <v/>
      </c>
      <c r="I1351" s="11" t="str">
        <f t="shared" si="425"/>
        <v/>
      </c>
      <c r="K1351" s="30">
        <v>429</v>
      </c>
      <c r="L1351" s="29">
        <f t="shared" si="436"/>
        <v>11371.908376190921</v>
      </c>
      <c r="M1351" s="28" t="str">
        <f t="shared" si="426"/>
        <v/>
      </c>
      <c r="N1351" s="27" t="str">
        <f t="shared" si="437"/>
        <v/>
      </c>
      <c r="O1351" s="26" t="str">
        <f>IF(AND($Q1350=$O$38,IFERROR(LARGE($V$923:$V1350,1)&lt;$N$42,TRUE)),1,IF(AND(ISNUMBER($O1350),$O1350&lt;$N$32),$O1350+1,""))</f>
        <v/>
      </c>
      <c r="P1351" s="26" t="str">
        <f t="shared" si="438"/>
        <v/>
      </c>
      <c r="Q1351" s="26" t="str">
        <f t="shared" si="427"/>
        <v/>
      </c>
      <c r="R1351" s="24" t="str">
        <f t="shared" si="439"/>
        <v/>
      </c>
      <c r="S1351" s="180">
        <f t="shared" si="445"/>
        <v>8</v>
      </c>
      <c r="T1351" s="29">
        <f>SUM($AC$923:$AC1351)</f>
        <v>49500</v>
      </c>
      <c r="U1351" s="25" t="str">
        <f t="shared" si="428"/>
        <v/>
      </c>
      <c r="V1351" s="24" t="str">
        <f>IF(AND(ISNUMBER(R1350),ISNUMBER(R1351)),V1350,IF(AND(R1350="",ISNUMBER(R1351)),IFERROR(LARGE($V$923:$V1350,1)+1,0),""))</f>
        <v/>
      </c>
      <c r="W1351" s="23" t="str">
        <f t="shared" si="440"/>
        <v/>
      </c>
      <c r="X1351" s="22" t="str">
        <f t="shared" si="441"/>
        <v/>
      </c>
      <c r="Y1351" s="236"/>
      <c r="Z1351" s="22"/>
      <c r="AA1351" s="22"/>
      <c r="AB1351" s="22" t="str">
        <f t="shared" si="442"/>
        <v/>
      </c>
      <c r="AC1351" s="22" t="str">
        <f t="shared" si="443"/>
        <v/>
      </c>
      <c r="AD1351" s="22" t="str">
        <f t="shared" si="429"/>
        <v/>
      </c>
      <c r="AE1351" s="22" t="str">
        <f t="shared" si="444"/>
        <v/>
      </c>
      <c r="AF1351" s="22" t="str">
        <f t="shared" si="430"/>
        <v/>
      </c>
      <c r="AG1351" s="22" t="str">
        <f t="shared" si="431"/>
        <v/>
      </c>
      <c r="AH1351" s="22" t="str">
        <f t="shared" si="432"/>
        <v/>
      </c>
      <c r="AI1351" s="22" t="str">
        <f t="shared" si="433"/>
        <v/>
      </c>
      <c r="AJ1351" s="304" t="str">
        <f t="shared" si="434"/>
        <v/>
      </c>
      <c r="AK1351" s="140" t="str">
        <f t="shared" si="435"/>
        <v/>
      </c>
    </row>
    <row r="1352" spans="7:37" x14ac:dyDescent="0.25">
      <c r="G1352" s="235" t="str">
        <f t="shared" si="424"/>
        <v/>
      </c>
      <c r="H1352" s="4" t="str">
        <f t="shared" si="446"/>
        <v/>
      </c>
      <c r="I1352" s="11" t="str">
        <f t="shared" si="425"/>
        <v/>
      </c>
      <c r="K1352" s="30">
        <v>430</v>
      </c>
      <c r="L1352" s="29">
        <f t="shared" si="436"/>
        <v>11371.908376190921</v>
      </c>
      <c r="M1352" s="28" t="str">
        <f t="shared" si="426"/>
        <v/>
      </c>
      <c r="N1352" s="27" t="str">
        <f t="shared" si="437"/>
        <v/>
      </c>
      <c r="O1352" s="26" t="str">
        <f>IF(AND($Q1351=$O$38,IFERROR(LARGE($V$923:$V1351,1)&lt;$N$42,TRUE)),1,IF(AND(ISNUMBER($O1351),$O1351&lt;$N$32),$O1351+1,""))</f>
        <v/>
      </c>
      <c r="P1352" s="26" t="str">
        <f t="shared" si="438"/>
        <v/>
      </c>
      <c r="Q1352" s="26" t="str">
        <f t="shared" si="427"/>
        <v/>
      </c>
      <c r="R1352" s="24" t="str">
        <f t="shared" si="439"/>
        <v/>
      </c>
      <c r="S1352" s="180">
        <f t="shared" si="445"/>
        <v>8</v>
      </c>
      <c r="T1352" s="29">
        <f>SUM($AC$923:$AC1352)</f>
        <v>49500</v>
      </c>
      <c r="U1352" s="25" t="str">
        <f t="shared" si="428"/>
        <v/>
      </c>
      <c r="V1352" s="24" t="str">
        <f>IF(AND(ISNUMBER(R1351),ISNUMBER(R1352)),V1351,IF(AND(R1351="",ISNUMBER(R1352)),IFERROR(LARGE($V$923:$V1351,1)+1,0),""))</f>
        <v/>
      </c>
      <c r="W1352" s="23" t="str">
        <f t="shared" si="440"/>
        <v/>
      </c>
      <c r="X1352" s="22" t="str">
        <f t="shared" si="441"/>
        <v/>
      </c>
      <c r="Y1352" s="236"/>
      <c r="Z1352" s="22"/>
      <c r="AA1352" s="22"/>
      <c r="AB1352" s="22" t="str">
        <f t="shared" si="442"/>
        <v/>
      </c>
      <c r="AC1352" s="22" t="str">
        <f t="shared" si="443"/>
        <v/>
      </c>
      <c r="AD1352" s="22" t="str">
        <f t="shared" si="429"/>
        <v/>
      </c>
      <c r="AE1352" s="22" t="str">
        <f t="shared" si="444"/>
        <v/>
      </c>
      <c r="AF1352" s="22" t="str">
        <f t="shared" si="430"/>
        <v/>
      </c>
      <c r="AG1352" s="22" t="str">
        <f t="shared" si="431"/>
        <v/>
      </c>
      <c r="AH1352" s="22" t="str">
        <f t="shared" si="432"/>
        <v/>
      </c>
      <c r="AI1352" s="22" t="str">
        <f t="shared" si="433"/>
        <v/>
      </c>
      <c r="AJ1352" s="304" t="str">
        <f t="shared" si="434"/>
        <v/>
      </c>
      <c r="AK1352" s="140" t="str">
        <f t="shared" si="435"/>
        <v/>
      </c>
    </row>
    <row r="1353" spans="7:37" x14ac:dyDescent="0.25">
      <c r="G1353" s="235" t="str">
        <f t="shared" si="424"/>
        <v/>
      </c>
      <c r="H1353" s="4" t="str">
        <f t="shared" si="446"/>
        <v/>
      </c>
      <c r="I1353" s="11" t="str">
        <f t="shared" si="425"/>
        <v/>
      </c>
      <c r="K1353" s="30">
        <v>431</v>
      </c>
      <c r="L1353" s="29">
        <f t="shared" si="436"/>
        <v>11371.908376190921</v>
      </c>
      <c r="M1353" s="28" t="str">
        <f t="shared" si="426"/>
        <v/>
      </c>
      <c r="N1353" s="27" t="str">
        <f t="shared" si="437"/>
        <v/>
      </c>
      <c r="O1353" s="26" t="str">
        <f>IF(AND($Q1352=$O$38,IFERROR(LARGE($V$923:$V1352,1)&lt;$N$42,TRUE)),1,IF(AND(ISNUMBER($O1352),$O1352&lt;$N$32),$O1352+1,""))</f>
        <v/>
      </c>
      <c r="P1353" s="26" t="str">
        <f t="shared" si="438"/>
        <v/>
      </c>
      <c r="Q1353" s="26" t="str">
        <f t="shared" si="427"/>
        <v/>
      </c>
      <c r="R1353" s="24" t="str">
        <f t="shared" si="439"/>
        <v/>
      </c>
      <c r="S1353" s="180">
        <f t="shared" si="445"/>
        <v>8</v>
      </c>
      <c r="T1353" s="29">
        <f>SUM($AC$923:$AC1353)</f>
        <v>49500</v>
      </c>
      <c r="U1353" s="25" t="str">
        <f t="shared" si="428"/>
        <v/>
      </c>
      <c r="V1353" s="24" t="str">
        <f>IF(AND(ISNUMBER(R1352),ISNUMBER(R1353)),V1352,IF(AND(R1352="",ISNUMBER(R1353)),IFERROR(LARGE($V$923:$V1352,1)+1,0),""))</f>
        <v/>
      </c>
      <c r="W1353" s="23" t="str">
        <f t="shared" si="440"/>
        <v/>
      </c>
      <c r="X1353" s="22" t="str">
        <f t="shared" si="441"/>
        <v/>
      </c>
      <c r="Y1353" s="236"/>
      <c r="Z1353" s="22"/>
      <c r="AA1353" s="22"/>
      <c r="AB1353" s="22" t="str">
        <f t="shared" si="442"/>
        <v/>
      </c>
      <c r="AC1353" s="22" t="str">
        <f t="shared" si="443"/>
        <v/>
      </c>
      <c r="AD1353" s="22" t="str">
        <f t="shared" si="429"/>
        <v/>
      </c>
      <c r="AE1353" s="22" t="str">
        <f t="shared" si="444"/>
        <v/>
      </c>
      <c r="AF1353" s="22" t="str">
        <f t="shared" si="430"/>
        <v/>
      </c>
      <c r="AG1353" s="22" t="str">
        <f t="shared" si="431"/>
        <v/>
      </c>
      <c r="AH1353" s="22" t="str">
        <f t="shared" si="432"/>
        <v/>
      </c>
      <c r="AI1353" s="22" t="str">
        <f t="shared" si="433"/>
        <v/>
      </c>
      <c r="AJ1353" s="304" t="str">
        <f t="shared" si="434"/>
        <v/>
      </c>
      <c r="AK1353" s="140" t="str">
        <f t="shared" si="435"/>
        <v/>
      </c>
    </row>
    <row r="1354" spans="7:37" x14ac:dyDescent="0.25">
      <c r="G1354" s="235" t="str">
        <f t="shared" si="424"/>
        <v/>
      </c>
      <c r="H1354" s="4" t="str">
        <f t="shared" si="446"/>
        <v/>
      </c>
      <c r="I1354" s="11" t="str">
        <f t="shared" si="425"/>
        <v/>
      </c>
      <c r="K1354" s="30">
        <v>432</v>
      </c>
      <c r="L1354" s="29">
        <f t="shared" si="436"/>
        <v>11371.908376190921</v>
      </c>
      <c r="M1354" s="28" t="str">
        <f t="shared" si="426"/>
        <v/>
      </c>
      <c r="N1354" s="27" t="str">
        <f t="shared" si="437"/>
        <v/>
      </c>
      <c r="O1354" s="26" t="str">
        <f>IF(AND($Q1353=$O$38,IFERROR(LARGE($V$923:$V1353,1)&lt;$N$42,TRUE)),1,IF(AND(ISNUMBER($O1353),$O1353&lt;$N$32),$O1353+1,""))</f>
        <v/>
      </c>
      <c r="P1354" s="26" t="str">
        <f t="shared" si="438"/>
        <v/>
      </c>
      <c r="Q1354" s="26" t="str">
        <f t="shared" si="427"/>
        <v/>
      </c>
      <c r="R1354" s="24" t="str">
        <f t="shared" si="439"/>
        <v/>
      </c>
      <c r="S1354" s="180">
        <f t="shared" si="445"/>
        <v>8</v>
      </c>
      <c r="T1354" s="29">
        <f>SUM($AC$923:$AC1354)</f>
        <v>49500</v>
      </c>
      <c r="U1354" s="25" t="str">
        <f t="shared" si="428"/>
        <v/>
      </c>
      <c r="V1354" s="24" t="str">
        <f>IF(AND(ISNUMBER(R1353),ISNUMBER(R1354)),V1353,IF(AND(R1353="",ISNUMBER(R1354)),IFERROR(LARGE($V$923:$V1353,1)+1,0),""))</f>
        <v/>
      </c>
      <c r="W1354" s="23" t="str">
        <f t="shared" si="440"/>
        <v/>
      </c>
      <c r="X1354" s="22" t="str">
        <f t="shared" si="441"/>
        <v/>
      </c>
      <c r="Y1354" s="236"/>
      <c r="Z1354" s="22"/>
      <c r="AA1354" s="22"/>
      <c r="AB1354" s="22" t="str">
        <f t="shared" si="442"/>
        <v/>
      </c>
      <c r="AC1354" s="22" t="str">
        <f t="shared" si="443"/>
        <v/>
      </c>
      <c r="AD1354" s="22" t="str">
        <f t="shared" si="429"/>
        <v/>
      </c>
      <c r="AE1354" s="22" t="str">
        <f t="shared" si="444"/>
        <v/>
      </c>
      <c r="AF1354" s="22" t="str">
        <f t="shared" si="430"/>
        <v/>
      </c>
      <c r="AG1354" s="22" t="str">
        <f t="shared" si="431"/>
        <v/>
      </c>
      <c r="AH1354" s="22" t="str">
        <f t="shared" si="432"/>
        <v/>
      </c>
      <c r="AI1354" s="22" t="str">
        <f t="shared" si="433"/>
        <v/>
      </c>
      <c r="AJ1354" s="304" t="str">
        <f t="shared" si="434"/>
        <v/>
      </c>
      <c r="AK1354" s="140" t="str">
        <f t="shared" si="435"/>
        <v/>
      </c>
    </row>
    <row r="1355" spans="7:37" x14ac:dyDescent="0.25">
      <c r="G1355" s="235" t="str">
        <f t="shared" si="424"/>
        <v/>
      </c>
      <c r="H1355" s="4" t="str">
        <f t="shared" si="446"/>
        <v/>
      </c>
      <c r="I1355" s="11" t="str">
        <f t="shared" si="425"/>
        <v/>
      </c>
      <c r="K1355" s="30">
        <v>433</v>
      </c>
      <c r="L1355" s="29">
        <f t="shared" si="436"/>
        <v>11371.908376190921</v>
      </c>
      <c r="M1355" s="28" t="str">
        <f t="shared" si="426"/>
        <v/>
      </c>
      <c r="N1355" s="27" t="str">
        <f t="shared" si="437"/>
        <v/>
      </c>
      <c r="O1355" s="26" t="str">
        <f>IF(AND($Q1354=$O$38,IFERROR(LARGE($V$923:$V1354,1)&lt;$N$42,TRUE)),1,IF(AND(ISNUMBER($O1354),$O1354&lt;$N$32),$O1354+1,""))</f>
        <v/>
      </c>
      <c r="P1355" s="26" t="str">
        <f t="shared" si="438"/>
        <v/>
      </c>
      <c r="Q1355" s="26" t="str">
        <f t="shared" si="427"/>
        <v/>
      </c>
      <c r="R1355" s="24" t="str">
        <f t="shared" si="439"/>
        <v/>
      </c>
      <c r="S1355" s="180">
        <f t="shared" si="445"/>
        <v>8</v>
      </c>
      <c r="T1355" s="29">
        <f>SUM($AC$923:$AC1355)</f>
        <v>49500</v>
      </c>
      <c r="U1355" s="25" t="str">
        <f t="shared" si="428"/>
        <v/>
      </c>
      <c r="V1355" s="24" t="str">
        <f>IF(AND(ISNUMBER(R1354),ISNUMBER(R1355)),V1354,IF(AND(R1354="",ISNUMBER(R1355)),IFERROR(LARGE($V$923:$V1354,1)+1,0),""))</f>
        <v/>
      </c>
      <c r="W1355" s="23" t="str">
        <f t="shared" si="440"/>
        <v/>
      </c>
      <c r="X1355" s="22" t="str">
        <f t="shared" si="441"/>
        <v/>
      </c>
      <c r="Y1355" s="236"/>
      <c r="Z1355" s="22"/>
      <c r="AA1355" s="22"/>
      <c r="AB1355" s="22" t="str">
        <f t="shared" si="442"/>
        <v/>
      </c>
      <c r="AC1355" s="22" t="str">
        <f t="shared" si="443"/>
        <v/>
      </c>
      <c r="AD1355" s="22" t="str">
        <f t="shared" si="429"/>
        <v/>
      </c>
      <c r="AE1355" s="22" t="str">
        <f t="shared" si="444"/>
        <v/>
      </c>
      <c r="AF1355" s="22" t="str">
        <f t="shared" si="430"/>
        <v/>
      </c>
      <c r="AG1355" s="22" t="str">
        <f t="shared" si="431"/>
        <v/>
      </c>
      <c r="AH1355" s="22" t="str">
        <f t="shared" si="432"/>
        <v/>
      </c>
      <c r="AI1355" s="22" t="str">
        <f t="shared" si="433"/>
        <v/>
      </c>
      <c r="AJ1355" s="304" t="str">
        <f t="shared" si="434"/>
        <v/>
      </c>
      <c r="AK1355" s="140" t="str">
        <f t="shared" si="435"/>
        <v/>
      </c>
    </row>
    <row r="1356" spans="7:37" x14ac:dyDescent="0.25">
      <c r="G1356" s="235" t="str">
        <f t="shared" si="424"/>
        <v/>
      </c>
      <c r="H1356" s="4" t="str">
        <f t="shared" si="446"/>
        <v/>
      </c>
      <c r="I1356" s="11" t="str">
        <f t="shared" si="425"/>
        <v/>
      </c>
      <c r="K1356" s="30">
        <v>434</v>
      </c>
      <c r="L1356" s="29">
        <f t="shared" si="436"/>
        <v>11371.908376190921</v>
      </c>
      <c r="M1356" s="28" t="str">
        <f t="shared" si="426"/>
        <v/>
      </c>
      <c r="N1356" s="27" t="str">
        <f t="shared" si="437"/>
        <v/>
      </c>
      <c r="O1356" s="26" t="str">
        <f>IF(AND($Q1355=$O$38,IFERROR(LARGE($V$923:$V1355,1)&lt;$N$42,TRUE)),1,IF(AND(ISNUMBER($O1355),$O1355&lt;$N$32),$O1355+1,""))</f>
        <v/>
      </c>
      <c r="P1356" s="26" t="str">
        <f t="shared" si="438"/>
        <v/>
      </c>
      <c r="Q1356" s="26" t="str">
        <f t="shared" si="427"/>
        <v/>
      </c>
      <c r="R1356" s="24" t="str">
        <f t="shared" si="439"/>
        <v/>
      </c>
      <c r="S1356" s="180">
        <f t="shared" si="445"/>
        <v>8</v>
      </c>
      <c r="T1356" s="29">
        <f>SUM($AC$923:$AC1356)</f>
        <v>49500</v>
      </c>
      <c r="U1356" s="25" t="str">
        <f t="shared" si="428"/>
        <v/>
      </c>
      <c r="V1356" s="24" t="str">
        <f>IF(AND(ISNUMBER(R1355),ISNUMBER(R1356)),V1355,IF(AND(R1355="",ISNUMBER(R1356)),IFERROR(LARGE($V$923:$V1355,1)+1,0),""))</f>
        <v/>
      </c>
      <c r="W1356" s="23" t="str">
        <f t="shared" si="440"/>
        <v/>
      </c>
      <c r="X1356" s="22" t="str">
        <f t="shared" si="441"/>
        <v/>
      </c>
      <c r="Y1356" s="236"/>
      <c r="Z1356" s="22"/>
      <c r="AA1356" s="22"/>
      <c r="AB1356" s="22" t="str">
        <f t="shared" si="442"/>
        <v/>
      </c>
      <c r="AC1356" s="22" t="str">
        <f t="shared" si="443"/>
        <v/>
      </c>
      <c r="AD1356" s="22" t="str">
        <f t="shared" si="429"/>
        <v/>
      </c>
      <c r="AE1356" s="22" t="str">
        <f t="shared" si="444"/>
        <v/>
      </c>
      <c r="AF1356" s="22" t="str">
        <f t="shared" si="430"/>
        <v/>
      </c>
      <c r="AG1356" s="22" t="str">
        <f t="shared" si="431"/>
        <v/>
      </c>
      <c r="AH1356" s="22" t="str">
        <f t="shared" si="432"/>
        <v/>
      </c>
      <c r="AI1356" s="22" t="str">
        <f t="shared" si="433"/>
        <v/>
      </c>
      <c r="AJ1356" s="304" t="str">
        <f t="shared" si="434"/>
        <v/>
      </c>
      <c r="AK1356" s="140" t="str">
        <f t="shared" si="435"/>
        <v/>
      </c>
    </row>
    <row r="1357" spans="7:37" x14ac:dyDescent="0.25">
      <c r="G1357" s="235" t="str">
        <f t="shared" si="424"/>
        <v/>
      </c>
      <c r="H1357" s="4" t="str">
        <f t="shared" si="446"/>
        <v/>
      </c>
      <c r="I1357" s="11" t="str">
        <f t="shared" si="425"/>
        <v/>
      </c>
      <c r="K1357" s="30">
        <v>435</v>
      </c>
      <c r="L1357" s="29">
        <f t="shared" si="436"/>
        <v>11371.908376190921</v>
      </c>
      <c r="M1357" s="28" t="str">
        <f t="shared" si="426"/>
        <v/>
      </c>
      <c r="N1357" s="27" t="str">
        <f t="shared" si="437"/>
        <v/>
      </c>
      <c r="O1357" s="26" t="str">
        <f>IF(AND($Q1356=$O$38,IFERROR(LARGE($V$923:$V1356,1)&lt;$N$42,TRUE)),1,IF(AND(ISNUMBER($O1356),$O1356&lt;$N$32),$O1356+1,""))</f>
        <v/>
      </c>
      <c r="P1357" s="26" t="str">
        <f t="shared" si="438"/>
        <v/>
      </c>
      <c r="Q1357" s="26" t="str">
        <f t="shared" si="427"/>
        <v/>
      </c>
      <c r="R1357" s="24" t="str">
        <f t="shared" si="439"/>
        <v/>
      </c>
      <c r="S1357" s="180">
        <f t="shared" si="445"/>
        <v>8</v>
      </c>
      <c r="T1357" s="29">
        <f>SUM($AC$923:$AC1357)</f>
        <v>49500</v>
      </c>
      <c r="U1357" s="25" t="str">
        <f t="shared" si="428"/>
        <v/>
      </c>
      <c r="V1357" s="24" t="str">
        <f>IF(AND(ISNUMBER(R1356),ISNUMBER(R1357)),V1356,IF(AND(R1356="",ISNUMBER(R1357)),IFERROR(LARGE($V$923:$V1356,1)+1,0),""))</f>
        <v/>
      </c>
      <c r="W1357" s="23" t="str">
        <f t="shared" si="440"/>
        <v/>
      </c>
      <c r="X1357" s="22" t="str">
        <f t="shared" si="441"/>
        <v/>
      </c>
      <c r="Y1357" s="236"/>
      <c r="Z1357" s="22"/>
      <c r="AA1357" s="22"/>
      <c r="AB1357" s="22" t="str">
        <f t="shared" si="442"/>
        <v/>
      </c>
      <c r="AC1357" s="22" t="str">
        <f t="shared" si="443"/>
        <v/>
      </c>
      <c r="AD1357" s="22" t="str">
        <f t="shared" si="429"/>
        <v/>
      </c>
      <c r="AE1357" s="22" t="str">
        <f t="shared" si="444"/>
        <v/>
      </c>
      <c r="AF1357" s="22" t="str">
        <f t="shared" si="430"/>
        <v/>
      </c>
      <c r="AG1357" s="22" t="str">
        <f t="shared" si="431"/>
        <v/>
      </c>
      <c r="AH1357" s="22" t="str">
        <f t="shared" si="432"/>
        <v/>
      </c>
      <c r="AI1357" s="22" t="str">
        <f t="shared" si="433"/>
        <v/>
      </c>
      <c r="AJ1357" s="304" t="str">
        <f t="shared" si="434"/>
        <v/>
      </c>
      <c r="AK1357" s="140" t="str">
        <f t="shared" si="435"/>
        <v/>
      </c>
    </row>
    <row r="1358" spans="7:37" x14ac:dyDescent="0.25">
      <c r="G1358" s="235" t="str">
        <f t="shared" si="424"/>
        <v/>
      </c>
      <c r="H1358" s="4" t="str">
        <f t="shared" si="446"/>
        <v/>
      </c>
      <c r="I1358" s="11" t="str">
        <f t="shared" si="425"/>
        <v/>
      </c>
      <c r="K1358" s="30">
        <v>436</v>
      </c>
      <c r="L1358" s="29">
        <f t="shared" si="436"/>
        <v>11371.908376190921</v>
      </c>
      <c r="M1358" s="28" t="str">
        <f t="shared" si="426"/>
        <v/>
      </c>
      <c r="N1358" s="27" t="str">
        <f t="shared" si="437"/>
        <v/>
      </c>
      <c r="O1358" s="26" t="str">
        <f>IF(AND($Q1357=$O$38,IFERROR(LARGE($V$923:$V1357,1)&lt;$N$42,TRUE)),1,IF(AND(ISNUMBER($O1357),$O1357&lt;$N$32),$O1357+1,""))</f>
        <v/>
      </c>
      <c r="P1358" s="26" t="str">
        <f t="shared" si="438"/>
        <v/>
      </c>
      <c r="Q1358" s="26" t="str">
        <f t="shared" si="427"/>
        <v/>
      </c>
      <c r="R1358" s="24" t="str">
        <f t="shared" si="439"/>
        <v/>
      </c>
      <c r="S1358" s="180">
        <f t="shared" si="445"/>
        <v>8</v>
      </c>
      <c r="T1358" s="29">
        <f>SUM($AC$923:$AC1358)</f>
        <v>49500</v>
      </c>
      <c r="U1358" s="25" t="str">
        <f t="shared" si="428"/>
        <v/>
      </c>
      <c r="V1358" s="24" t="str">
        <f>IF(AND(ISNUMBER(R1357),ISNUMBER(R1358)),V1357,IF(AND(R1357="",ISNUMBER(R1358)),IFERROR(LARGE($V$923:$V1357,1)+1,0),""))</f>
        <v/>
      </c>
      <c r="W1358" s="23" t="str">
        <f t="shared" si="440"/>
        <v/>
      </c>
      <c r="X1358" s="22" t="str">
        <f t="shared" si="441"/>
        <v/>
      </c>
      <c r="Y1358" s="236"/>
      <c r="Z1358" s="22"/>
      <c r="AA1358" s="22"/>
      <c r="AB1358" s="22" t="str">
        <f t="shared" si="442"/>
        <v/>
      </c>
      <c r="AC1358" s="22" t="str">
        <f t="shared" si="443"/>
        <v/>
      </c>
      <c r="AD1358" s="22" t="str">
        <f t="shared" si="429"/>
        <v/>
      </c>
      <c r="AE1358" s="22" t="str">
        <f t="shared" si="444"/>
        <v/>
      </c>
      <c r="AF1358" s="22" t="str">
        <f t="shared" si="430"/>
        <v/>
      </c>
      <c r="AG1358" s="22" t="str">
        <f t="shared" si="431"/>
        <v/>
      </c>
      <c r="AH1358" s="22" t="str">
        <f t="shared" si="432"/>
        <v/>
      </c>
      <c r="AI1358" s="22" t="str">
        <f t="shared" si="433"/>
        <v/>
      </c>
      <c r="AJ1358" s="304" t="str">
        <f t="shared" si="434"/>
        <v/>
      </c>
      <c r="AK1358" s="140" t="str">
        <f t="shared" si="435"/>
        <v/>
      </c>
    </row>
    <row r="1359" spans="7:37" x14ac:dyDescent="0.25">
      <c r="G1359" s="235" t="str">
        <f t="shared" si="424"/>
        <v/>
      </c>
      <c r="H1359" s="4" t="str">
        <f t="shared" si="446"/>
        <v/>
      </c>
      <c r="I1359" s="11" t="str">
        <f t="shared" si="425"/>
        <v/>
      </c>
      <c r="K1359" s="30">
        <v>437</v>
      </c>
      <c r="L1359" s="29">
        <f t="shared" si="436"/>
        <v>11371.908376190921</v>
      </c>
      <c r="M1359" s="28" t="str">
        <f t="shared" si="426"/>
        <v/>
      </c>
      <c r="N1359" s="27" t="str">
        <f t="shared" si="437"/>
        <v/>
      </c>
      <c r="O1359" s="26" t="str">
        <f>IF(AND($Q1358=$O$38,IFERROR(LARGE($V$923:$V1358,1)&lt;$N$42,TRUE)),1,IF(AND(ISNUMBER($O1358),$O1358&lt;$N$32),$O1358+1,""))</f>
        <v/>
      </c>
      <c r="P1359" s="26" t="str">
        <f t="shared" si="438"/>
        <v/>
      </c>
      <c r="Q1359" s="26" t="str">
        <f t="shared" si="427"/>
        <v/>
      </c>
      <c r="R1359" s="24" t="str">
        <f t="shared" si="439"/>
        <v/>
      </c>
      <c r="S1359" s="180">
        <f t="shared" si="445"/>
        <v>8</v>
      </c>
      <c r="T1359" s="29">
        <f>SUM($AC$923:$AC1359)</f>
        <v>49500</v>
      </c>
      <c r="U1359" s="25" t="str">
        <f t="shared" si="428"/>
        <v/>
      </c>
      <c r="V1359" s="24" t="str">
        <f>IF(AND(ISNUMBER(R1358),ISNUMBER(R1359)),V1358,IF(AND(R1358="",ISNUMBER(R1359)),IFERROR(LARGE($V$923:$V1358,1)+1,0),""))</f>
        <v/>
      </c>
      <c r="W1359" s="23" t="str">
        <f t="shared" si="440"/>
        <v/>
      </c>
      <c r="X1359" s="22" t="str">
        <f t="shared" si="441"/>
        <v/>
      </c>
      <c r="Y1359" s="236"/>
      <c r="Z1359" s="22"/>
      <c r="AA1359" s="22"/>
      <c r="AB1359" s="22" t="str">
        <f t="shared" si="442"/>
        <v/>
      </c>
      <c r="AC1359" s="22" t="str">
        <f t="shared" si="443"/>
        <v/>
      </c>
      <c r="AD1359" s="22" t="str">
        <f t="shared" si="429"/>
        <v/>
      </c>
      <c r="AE1359" s="22" t="str">
        <f t="shared" si="444"/>
        <v/>
      </c>
      <c r="AF1359" s="22" t="str">
        <f t="shared" si="430"/>
        <v/>
      </c>
      <c r="AG1359" s="22" t="str">
        <f t="shared" si="431"/>
        <v/>
      </c>
      <c r="AH1359" s="22" t="str">
        <f t="shared" si="432"/>
        <v/>
      </c>
      <c r="AI1359" s="22" t="str">
        <f t="shared" si="433"/>
        <v/>
      </c>
      <c r="AJ1359" s="304" t="str">
        <f t="shared" si="434"/>
        <v/>
      </c>
      <c r="AK1359" s="140" t="str">
        <f t="shared" si="435"/>
        <v/>
      </c>
    </row>
    <row r="1360" spans="7:37" x14ac:dyDescent="0.25">
      <c r="G1360" s="235" t="str">
        <f t="shared" si="424"/>
        <v/>
      </c>
      <c r="H1360" s="4" t="str">
        <f t="shared" si="446"/>
        <v/>
      </c>
      <c r="I1360" s="11" t="str">
        <f t="shared" si="425"/>
        <v/>
      </c>
      <c r="K1360" s="30">
        <v>438</v>
      </c>
      <c r="L1360" s="29">
        <f t="shared" si="436"/>
        <v>11371.908376190921</v>
      </c>
      <c r="M1360" s="28" t="str">
        <f t="shared" si="426"/>
        <v/>
      </c>
      <c r="N1360" s="27" t="str">
        <f t="shared" si="437"/>
        <v/>
      </c>
      <c r="O1360" s="26" t="str">
        <f>IF(AND($Q1359=$O$38,IFERROR(LARGE($V$923:$V1359,1)&lt;$N$42,TRUE)),1,IF(AND(ISNUMBER($O1359),$O1359&lt;$N$32),$O1359+1,""))</f>
        <v/>
      </c>
      <c r="P1360" s="26" t="str">
        <f t="shared" si="438"/>
        <v/>
      </c>
      <c r="Q1360" s="26" t="str">
        <f t="shared" si="427"/>
        <v/>
      </c>
      <c r="R1360" s="24" t="str">
        <f t="shared" si="439"/>
        <v/>
      </c>
      <c r="S1360" s="180">
        <f t="shared" si="445"/>
        <v>8</v>
      </c>
      <c r="T1360" s="29">
        <f>SUM($AC$923:$AC1360)</f>
        <v>49500</v>
      </c>
      <c r="U1360" s="25" t="str">
        <f t="shared" si="428"/>
        <v/>
      </c>
      <c r="V1360" s="24" t="str">
        <f>IF(AND(ISNUMBER(R1359),ISNUMBER(R1360)),V1359,IF(AND(R1359="",ISNUMBER(R1360)),IFERROR(LARGE($V$923:$V1359,1)+1,0),""))</f>
        <v/>
      </c>
      <c r="W1360" s="23" t="str">
        <f t="shared" si="440"/>
        <v/>
      </c>
      <c r="X1360" s="22" t="str">
        <f t="shared" si="441"/>
        <v/>
      </c>
      <c r="Y1360" s="236"/>
      <c r="Z1360" s="22"/>
      <c r="AA1360" s="22"/>
      <c r="AB1360" s="22" t="str">
        <f t="shared" si="442"/>
        <v/>
      </c>
      <c r="AC1360" s="22" t="str">
        <f t="shared" si="443"/>
        <v/>
      </c>
      <c r="AD1360" s="22" t="str">
        <f t="shared" si="429"/>
        <v/>
      </c>
      <c r="AE1360" s="22" t="str">
        <f t="shared" si="444"/>
        <v/>
      </c>
      <c r="AF1360" s="22" t="str">
        <f t="shared" si="430"/>
        <v/>
      </c>
      <c r="AG1360" s="22" t="str">
        <f t="shared" si="431"/>
        <v/>
      </c>
      <c r="AH1360" s="22" t="str">
        <f t="shared" si="432"/>
        <v/>
      </c>
      <c r="AI1360" s="22" t="str">
        <f t="shared" si="433"/>
        <v/>
      </c>
      <c r="AJ1360" s="304" t="str">
        <f t="shared" si="434"/>
        <v/>
      </c>
      <c r="AK1360" s="140" t="str">
        <f t="shared" si="435"/>
        <v/>
      </c>
    </row>
    <row r="1361" spans="7:37" x14ac:dyDescent="0.25">
      <c r="G1361" s="235" t="str">
        <f t="shared" si="424"/>
        <v/>
      </c>
      <c r="H1361" s="4" t="str">
        <f t="shared" si="446"/>
        <v/>
      </c>
      <c r="I1361" s="11" t="str">
        <f t="shared" si="425"/>
        <v/>
      </c>
      <c r="K1361" s="30">
        <v>439</v>
      </c>
      <c r="L1361" s="29">
        <f t="shared" si="436"/>
        <v>11371.908376190921</v>
      </c>
      <c r="M1361" s="28" t="str">
        <f t="shared" si="426"/>
        <v/>
      </c>
      <c r="N1361" s="27" t="str">
        <f t="shared" si="437"/>
        <v/>
      </c>
      <c r="O1361" s="26" t="str">
        <f>IF(AND($Q1360=$O$38,IFERROR(LARGE($V$923:$V1360,1)&lt;$N$42,TRUE)),1,IF(AND(ISNUMBER($O1360),$O1360&lt;$N$32),$O1360+1,""))</f>
        <v/>
      </c>
      <c r="P1361" s="26" t="str">
        <f t="shared" si="438"/>
        <v/>
      </c>
      <c r="Q1361" s="26" t="str">
        <f t="shared" si="427"/>
        <v/>
      </c>
      <c r="R1361" s="24" t="str">
        <f t="shared" si="439"/>
        <v/>
      </c>
      <c r="S1361" s="180">
        <f t="shared" si="445"/>
        <v>8</v>
      </c>
      <c r="T1361" s="29">
        <f>SUM($AC$923:$AC1361)</f>
        <v>49500</v>
      </c>
      <c r="U1361" s="25" t="str">
        <f t="shared" si="428"/>
        <v/>
      </c>
      <c r="V1361" s="24" t="str">
        <f>IF(AND(ISNUMBER(R1360),ISNUMBER(R1361)),V1360,IF(AND(R1360="",ISNUMBER(R1361)),IFERROR(LARGE($V$923:$V1360,1)+1,0),""))</f>
        <v/>
      </c>
      <c r="W1361" s="23" t="str">
        <f t="shared" si="440"/>
        <v/>
      </c>
      <c r="X1361" s="22" t="str">
        <f t="shared" si="441"/>
        <v/>
      </c>
      <c r="Y1361" s="236"/>
      <c r="Z1361" s="22"/>
      <c r="AA1361" s="22"/>
      <c r="AB1361" s="22" t="str">
        <f t="shared" si="442"/>
        <v/>
      </c>
      <c r="AC1361" s="22" t="str">
        <f t="shared" si="443"/>
        <v/>
      </c>
      <c r="AD1361" s="22" t="str">
        <f t="shared" si="429"/>
        <v/>
      </c>
      <c r="AE1361" s="22" t="str">
        <f t="shared" si="444"/>
        <v/>
      </c>
      <c r="AF1361" s="22" t="str">
        <f t="shared" si="430"/>
        <v/>
      </c>
      <c r="AG1361" s="22" t="str">
        <f t="shared" si="431"/>
        <v/>
      </c>
      <c r="AH1361" s="22" t="str">
        <f t="shared" si="432"/>
        <v/>
      </c>
      <c r="AI1361" s="22" t="str">
        <f t="shared" si="433"/>
        <v/>
      </c>
      <c r="AJ1361" s="304" t="str">
        <f t="shared" si="434"/>
        <v/>
      </c>
      <c r="AK1361" s="140" t="str">
        <f t="shared" si="435"/>
        <v/>
      </c>
    </row>
    <row r="1362" spans="7:37" x14ac:dyDescent="0.25">
      <c r="G1362" s="235" t="str">
        <f t="shared" si="424"/>
        <v/>
      </c>
      <c r="H1362" s="4" t="str">
        <f t="shared" si="446"/>
        <v/>
      </c>
      <c r="I1362" s="11" t="str">
        <f t="shared" si="425"/>
        <v/>
      </c>
      <c r="K1362" s="30">
        <v>440</v>
      </c>
      <c r="L1362" s="29">
        <f t="shared" si="436"/>
        <v>11371.908376190921</v>
      </c>
      <c r="M1362" s="28" t="str">
        <f t="shared" si="426"/>
        <v/>
      </c>
      <c r="N1362" s="27" t="str">
        <f t="shared" si="437"/>
        <v/>
      </c>
      <c r="O1362" s="26" t="str">
        <f>IF(AND($Q1361=$O$38,IFERROR(LARGE($V$923:$V1361,1)&lt;$N$42,TRUE)),1,IF(AND(ISNUMBER($O1361),$O1361&lt;$N$32),$O1361+1,""))</f>
        <v/>
      </c>
      <c r="P1362" s="26" t="str">
        <f t="shared" si="438"/>
        <v/>
      </c>
      <c r="Q1362" s="26" t="str">
        <f t="shared" si="427"/>
        <v/>
      </c>
      <c r="R1362" s="24" t="str">
        <f t="shared" si="439"/>
        <v/>
      </c>
      <c r="S1362" s="180">
        <f t="shared" si="445"/>
        <v>8</v>
      </c>
      <c r="T1362" s="29">
        <f>SUM($AC$923:$AC1362)</f>
        <v>49500</v>
      </c>
      <c r="U1362" s="25" t="str">
        <f t="shared" si="428"/>
        <v/>
      </c>
      <c r="V1362" s="24" t="str">
        <f>IF(AND(ISNUMBER(R1361),ISNUMBER(R1362)),V1361,IF(AND(R1361="",ISNUMBER(R1362)),IFERROR(LARGE($V$923:$V1361,1)+1,0),""))</f>
        <v/>
      </c>
      <c r="W1362" s="23" t="str">
        <f t="shared" si="440"/>
        <v/>
      </c>
      <c r="X1362" s="22" t="str">
        <f t="shared" si="441"/>
        <v/>
      </c>
      <c r="Y1362" s="236"/>
      <c r="Z1362" s="22"/>
      <c r="AA1362" s="22"/>
      <c r="AB1362" s="22" t="str">
        <f t="shared" si="442"/>
        <v/>
      </c>
      <c r="AC1362" s="22" t="str">
        <f t="shared" si="443"/>
        <v/>
      </c>
      <c r="AD1362" s="22" t="str">
        <f t="shared" si="429"/>
        <v/>
      </c>
      <c r="AE1362" s="22" t="str">
        <f t="shared" si="444"/>
        <v/>
      </c>
      <c r="AF1362" s="22" t="str">
        <f t="shared" si="430"/>
        <v/>
      </c>
      <c r="AG1362" s="22" t="str">
        <f t="shared" si="431"/>
        <v/>
      </c>
      <c r="AH1362" s="22" t="str">
        <f t="shared" si="432"/>
        <v/>
      </c>
      <c r="AI1362" s="22" t="str">
        <f t="shared" si="433"/>
        <v/>
      </c>
      <c r="AJ1362" s="304" t="str">
        <f t="shared" si="434"/>
        <v/>
      </c>
      <c r="AK1362" s="140" t="str">
        <f t="shared" si="435"/>
        <v/>
      </c>
    </row>
    <row r="1363" spans="7:37" x14ac:dyDescent="0.25">
      <c r="G1363" s="235" t="str">
        <f t="shared" si="424"/>
        <v/>
      </c>
      <c r="H1363" s="4" t="str">
        <f t="shared" si="446"/>
        <v/>
      </c>
      <c r="I1363" s="11" t="str">
        <f t="shared" si="425"/>
        <v/>
      </c>
      <c r="K1363" s="30">
        <v>441</v>
      </c>
      <c r="L1363" s="29">
        <f t="shared" si="436"/>
        <v>11371.908376190921</v>
      </c>
      <c r="M1363" s="28" t="str">
        <f t="shared" si="426"/>
        <v/>
      </c>
      <c r="N1363" s="27" t="str">
        <f t="shared" si="437"/>
        <v/>
      </c>
      <c r="O1363" s="26" t="str">
        <f>IF(AND($Q1362=$O$38,IFERROR(LARGE($V$923:$V1362,1)&lt;$N$42,TRUE)),1,IF(AND(ISNUMBER($O1362),$O1362&lt;$N$32),$O1362+1,""))</f>
        <v/>
      </c>
      <c r="P1363" s="26" t="str">
        <f t="shared" si="438"/>
        <v/>
      </c>
      <c r="Q1363" s="26" t="str">
        <f t="shared" si="427"/>
        <v/>
      </c>
      <c r="R1363" s="24" t="str">
        <f t="shared" si="439"/>
        <v/>
      </c>
      <c r="S1363" s="180">
        <f t="shared" si="445"/>
        <v>8</v>
      </c>
      <c r="T1363" s="29">
        <f>SUM($AC$923:$AC1363)</f>
        <v>49500</v>
      </c>
      <c r="U1363" s="25" t="str">
        <f t="shared" si="428"/>
        <v/>
      </c>
      <c r="V1363" s="24" t="str">
        <f>IF(AND(ISNUMBER(R1362),ISNUMBER(R1363)),V1362,IF(AND(R1362="",ISNUMBER(R1363)),IFERROR(LARGE($V$923:$V1362,1)+1,0),""))</f>
        <v/>
      </c>
      <c r="W1363" s="23" t="str">
        <f t="shared" si="440"/>
        <v/>
      </c>
      <c r="X1363" s="22" t="str">
        <f t="shared" si="441"/>
        <v/>
      </c>
      <c r="Y1363" s="236"/>
      <c r="Z1363" s="22"/>
      <c r="AA1363" s="22"/>
      <c r="AB1363" s="22" t="str">
        <f t="shared" si="442"/>
        <v/>
      </c>
      <c r="AC1363" s="22" t="str">
        <f t="shared" si="443"/>
        <v/>
      </c>
      <c r="AD1363" s="22" t="str">
        <f t="shared" si="429"/>
        <v/>
      </c>
      <c r="AE1363" s="22" t="str">
        <f t="shared" si="444"/>
        <v/>
      </c>
      <c r="AF1363" s="22" t="str">
        <f t="shared" si="430"/>
        <v/>
      </c>
      <c r="AG1363" s="22" t="str">
        <f t="shared" si="431"/>
        <v/>
      </c>
      <c r="AH1363" s="22" t="str">
        <f t="shared" si="432"/>
        <v/>
      </c>
      <c r="AI1363" s="22" t="str">
        <f t="shared" si="433"/>
        <v/>
      </c>
      <c r="AJ1363" s="304" t="str">
        <f t="shared" si="434"/>
        <v/>
      </c>
      <c r="AK1363" s="140" t="str">
        <f t="shared" si="435"/>
        <v/>
      </c>
    </row>
    <row r="1364" spans="7:37" x14ac:dyDescent="0.25">
      <c r="G1364" s="235" t="str">
        <f t="shared" si="424"/>
        <v/>
      </c>
      <c r="H1364" s="4" t="str">
        <f t="shared" si="446"/>
        <v/>
      </c>
      <c r="I1364" s="11" t="str">
        <f t="shared" si="425"/>
        <v/>
      </c>
      <c r="K1364" s="30">
        <v>442</v>
      </c>
      <c r="L1364" s="29">
        <f t="shared" si="436"/>
        <v>11371.908376190921</v>
      </c>
      <c r="M1364" s="28" t="str">
        <f t="shared" si="426"/>
        <v/>
      </c>
      <c r="N1364" s="27" t="str">
        <f t="shared" si="437"/>
        <v/>
      </c>
      <c r="O1364" s="26" t="str">
        <f>IF(AND($Q1363=$O$38,IFERROR(LARGE($V$923:$V1363,1)&lt;$N$42,TRUE)),1,IF(AND(ISNUMBER($O1363),$O1363&lt;$N$32),$O1363+1,""))</f>
        <v/>
      </c>
      <c r="P1364" s="26" t="str">
        <f t="shared" si="438"/>
        <v/>
      </c>
      <c r="Q1364" s="26" t="str">
        <f t="shared" si="427"/>
        <v/>
      </c>
      <c r="R1364" s="24" t="str">
        <f t="shared" si="439"/>
        <v/>
      </c>
      <c r="S1364" s="180">
        <f t="shared" si="445"/>
        <v>8</v>
      </c>
      <c r="T1364" s="29">
        <f>SUM($AC$923:$AC1364)</f>
        <v>49500</v>
      </c>
      <c r="U1364" s="25" t="str">
        <f t="shared" si="428"/>
        <v/>
      </c>
      <c r="V1364" s="24" t="str">
        <f>IF(AND(ISNUMBER(R1363),ISNUMBER(R1364)),V1363,IF(AND(R1363="",ISNUMBER(R1364)),IFERROR(LARGE($V$923:$V1363,1)+1,0),""))</f>
        <v/>
      </c>
      <c r="W1364" s="23" t="str">
        <f t="shared" si="440"/>
        <v/>
      </c>
      <c r="X1364" s="22" t="str">
        <f t="shared" si="441"/>
        <v/>
      </c>
      <c r="Y1364" s="236"/>
      <c r="Z1364" s="22"/>
      <c r="AA1364" s="22"/>
      <c r="AB1364" s="22" t="str">
        <f t="shared" si="442"/>
        <v/>
      </c>
      <c r="AC1364" s="22" t="str">
        <f t="shared" si="443"/>
        <v/>
      </c>
      <c r="AD1364" s="22" t="str">
        <f t="shared" si="429"/>
        <v/>
      </c>
      <c r="AE1364" s="22" t="str">
        <f t="shared" si="444"/>
        <v/>
      </c>
      <c r="AF1364" s="22" t="str">
        <f t="shared" si="430"/>
        <v/>
      </c>
      <c r="AG1364" s="22" t="str">
        <f t="shared" si="431"/>
        <v/>
      </c>
      <c r="AH1364" s="22" t="str">
        <f t="shared" si="432"/>
        <v/>
      </c>
      <c r="AI1364" s="22" t="str">
        <f t="shared" si="433"/>
        <v/>
      </c>
      <c r="AJ1364" s="304" t="str">
        <f t="shared" si="434"/>
        <v/>
      </c>
      <c r="AK1364" s="140" t="str">
        <f t="shared" si="435"/>
        <v/>
      </c>
    </row>
    <row r="1365" spans="7:37" x14ac:dyDescent="0.25">
      <c r="G1365" s="235" t="str">
        <f t="shared" si="424"/>
        <v/>
      </c>
      <c r="H1365" s="4" t="str">
        <f t="shared" si="446"/>
        <v/>
      </c>
      <c r="I1365" s="11" t="str">
        <f t="shared" si="425"/>
        <v/>
      </c>
      <c r="K1365" s="30">
        <v>443</v>
      </c>
      <c r="L1365" s="29">
        <f t="shared" si="436"/>
        <v>11371.908376190921</v>
      </c>
      <c r="M1365" s="28" t="str">
        <f t="shared" si="426"/>
        <v/>
      </c>
      <c r="N1365" s="27" t="str">
        <f t="shared" si="437"/>
        <v/>
      </c>
      <c r="O1365" s="26" t="str">
        <f>IF(AND($Q1364=$O$38,IFERROR(LARGE($V$923:$V1364,1)&lt;$N$42,TRUE)),1,IF(AND(ISNUMBER($O1364),$O1364&lt;$N$32),$O1364+1,""))</f>
        <v/>
      </c>
      <c r="P1365" s="26" t="str">
        <f t="shared" si="438"/>
        <v/>
      </c>
      <c r="Q1365" s="26" t="str">
        <f t="shared" si="427"/>
        <v/>
      </c>
      <c r="R1365" s="24" t="str">
        <f t="shared" si="439"/>
        <v/>
      </c>
      <c r="S1365" s="180">
        <f t="shared" si="445"/>
        <v>8</v>
      </c>
      <c r="T1365" s="29">
        <f>SUM($AC$923:$AC1365)</f>
        <v>49500</v>
      </c>
      <c r="U1365" s="25" t="str">
        <f t="shared" si="428"/>
        <v/>
      </c>
      <c r="V1365" s="24" t="str">
        <f>IF(AND(ISNUMBER(R1364),ISNUMBER(R1365)),V1364,IF(AND(R1364="",ISNUMBER(R1365)),IFERROR(LARGE($V$923:$V1364,1)+1,0),""))</f>
        <v/>
      </c>
      <c r="W1365" s="23" t="str">
        <f t="shared" si="440"/>
        <v/>
      </c>
      <c r="X1365" s="22" t="str">
        <f t="shared" si="441"/>
        <v/>
      </c>
      <c r="Y1365" s="236"/>
      <c r="Z1365" s="22"/>
      <c r="AA1365" s="22"/>
      <c r="AB1365" s="22" t="str">
        <f t="shared" si="442"/>
        <v/>
      </c>
      <c r="AC1365" s="22" t="str">
        <f t="shared" si="443"/>
        <v/>
      </c>
      <c r="AD1365" s="22" t="str">
        <f t="shared" si="429"/>
        <v/>
      </c>
      <c r="AE1365" s="22" t="str">
        <f t="shared" si="444"/>
        <v/>
      </c>
      <c r="AF1365" s="22" t="str">
        <f t="shared" si="430"/>
        <v/>
      </c>
      <c r="AG1365" s="22" t="str">
        <f t="shared" si="431"/>
        <v/>
      </c>
      <c r="AH1365" s="22" t="str">
        <f t="shared" si="432"/>
        <v/>
      </c>
      <c r="AI1365" s="22" t="str">
        <f t="shared" si="433"/>
        <v/>
      </c>
      <c r="AJ1365" s="304" t="str">
        <f t="shared" si="434"/>
        <v/>
      </c>
      <c r="AK1365" s="140" t="str">
        <f t="shared" si="435"/>
        <v/>
      </c>
    </row>
    <row r="1366" spans="7:37" x14ac:dyDescent="0.25">
      <c r="G1366" s="235" t="str">
        <f t="shared" si="424"/>
        <v/>
      </c>
      <c r="H1366" s="4" t="str">
        <f t="shared" si="446"/>
        <v/>
      </c>
      <c r="I1366" s="11" t="str">
        <f t="shared" si="425"/>
        <v/>
      </c>
      <c r="K1366" s="30">
        <v>444</v>
      </c>
      <c r="L1366" s="29">
        <f t="shared" si="436"/>
        <v>11371.908376190921</v>
      </c>
      <c r="M1366" s="28" t="str">
        <f t="shared" si="426"/>
        <v/>
      </c>
      <c r="N1366" s="27" t="str">
        <f t="shared" si="437"/>
        <v/>
      </c>
      <c r="O1366" s="26" t="str">
        <f>IF(AND($Q1365=$O$38,IFERROR(LARGE($V$923:$V1365,1)&lt;$N$42,TRUE)),1,IF(AND(ISNUMBER($O1365),$O1365&lt;$N$32),$O1365+1,""))</f>
        <v/>
      </c>
      <c r="P1366" s="26" t="str">
        <f t="shared" si="438"/>
        <v/>
      </c>
      <c r="Q1366" s="26" t="str">
        <f t="shared" si="427"/>
        <v/>
      </c>
      <c r="R1366" s="24" t="str">
        <f t="shared" si="439"/>
        <v/>
      </c>
      <c r="S1366" s="180">
        <f t="shared" si="445"/>
        <v>8</v>
      </c>
      <c r="T1366" s="29">
        <f>SUM($AC$923:$AC1366)</f>
        <v>49500</v>
      </c>
      <c r="U1366" s="25" t="str">
        <f t="shared" si="428"/>
        <v/>
      </c>
      <c r="V1366" s="24" t="str">
        <f>IF(AND(ISNUMBER(R1365),ISNUMBER(R1366)),V1365,IF(AND(R1365="",ISNUMBER(R1366)),IFERROR(LARGE($V$923:$V1365,1)+1,0),""))</f>
        <v/>
      </c>
      <c r="W1366" s="23" t="str">
        <f t="shared" si="440"/>
        <v/>
      </c>
      <c r="X1366" s="22" t="str">
        <f t="shared" si="441"/>
        <v/>
      </c>
      <c r="Y1366" s="236"/>
      <c r="Z1366" s="22"/>
      <c r="AA1366" s="22"/>
      <c r="AB1366" s="22" t="str">
        <f t="shared" si="442"/>
        <v/>
      </c>
      <c r="AC1366" s="22" t="str">
        <f t="shared" si="443"/>
        <v/>
      </c>
      <c r="AD1366" s="22" t="str">
        <f t="shared" si="429"/>
        <v/>
      </c>
      <c r="AE1366" s="22" t="str">
        <f t="shared" si="444"/>
        <v/>
      </c>
      <c r="AF1366" s="22" t="str">
        <f t="shared" si="430"/>
        <v/>
      </c>
      <c r="AG1366" s="22" t="str">
        <f t="shared" si="431"/>
        <v/>
      </c>
      <c r="AH1366" s="22" t="str">
        <f t="shared" si="432"/>
        <v/>
      </c>
      <c r="AI1366" s="22" t="str">
        <f t="shared" si="433"/>
        <v/>
      </c>
      <c r="AJ1366" s="304" t="str">
        <f t="shared" si="434"/>
        <v/>
      </c>
      <c r="AK1366" s="140" t="str">
        <f t="shared" si="435"/>
        <v/>
      </c>
    </row>
    <row r="1367" spans="7:37" x14ac:dyDescent="0.25">
      <c r="G1367" s="235" t="str">
        <f t="shared" si="424"/>
        <v/>
      </c>
      <c r="H1367" s="4" t="str">
        <f t="shared" si="446"/>
        <v/>
      </c>
      <c r="I1367" s="11" t="str">
        <f t="shared" si="425"/>
        <v/>
      </c>
      <c r="K1367" s="30">
        <v>445</v>
      </c>
      <c r="L1367" s="29">
        <f t="shared" si="436"/>
        <v>11371.908376190921</v>
      </c>
      <c r="M1367" s="28" t="str">
        <f t="shared" si="426"/>
        <v/>
      </c>
      <c r="N1367" s="27" t="str">
        <f t="shared" si="437"/>
        <v/>
      </c>
      <c r="O1367" s="26" t="str">
        <f>IF(AND($Q1366=$O$38,IFERROR(LARGE($V$923:$V1366,1)&lt;$N$42,TRUE)),1,IF(AND(ISNUMBER($O1366),$O1366&lt;$N$32),$O1366+1,""))</f>
        <v/>
      </c>
      <c r="P1367" s="26" t="str">
        <f t="shared" si="438"/>
        <v/>
      </c>
      <c r="Q1367" s="26" t="str">
        <f t="shared" si="427"/>
        <v/>
      </c>
      <c r="R1367" s="24" t="str">
        <f t="shared" si="439"/>
        <v/>
      </c>
      <c r="S1367" s="180">
        <f t="shared" si="445"/>
        <v>8</v>
      </c>
      <c r="T1367" s="29">
        <f>SUM($AC$923:$AC1367)</f>
        <v>49500</v>
      </c>
      <c r="U1367" s="25" t="str">
        <f t="shared" si="428"/>
        <v/>
      </c>
      <c r="V1367" s="24" t="str">
        <f>IF(AND(ISNUMBER(R1366),ISNUMBER(R1367)),V1366,IF(AND(R1366="",ISNUMBER(R1367)),IFERROR(LARGE($V$923:$V1366,1)+1,0),""))</f>
        <v/>
      </c>
      <c r="W1367" s="23" t="str">
        <f t="shared" si="440"/>
        <v/>
      </c>
      <c r="X1367" s="22" t="str">
        <f t="shared" si="441"/>
        <v/>
      </c>
      <c r="Y1367" s="236"/>
      <c r="Z1367" s="22"/>
      <c r="AA1367" s="22"/>
      <c r="AB1367" s="22" t="str">
        <f t="shared" si="442"/>
        <v/>
      </c>
      <c r="AC1367" s="22" t="str">
        <f t="shared" si="443"/>
        <v/>
      </c>
      <c r="AD1367" s="22" t="str">
        <f t="shared" si="429"/>
        <v/>
      </c>
      <c r="AE1367" s="22" t="str">
        <f t="shared" si="444"/>
        <v/>
      </c>
      <c r="AF1367" s="22" t="str">
        <f t="shared" si="430"/>
        <v/>
      </c>
      <c r="AG1367" s="22" t="str">
        <f t="shared" si="431"/>
        <v/>
      </c>
      <c r="AH1367" s="22" t="str">
        <f t="shared" si="432"/>
        <v/>
      </c>
      <c r="AI1367" s="22" t="str">
        <f t="shared" si="433"/>
        <v/>
      </c>
      <c r="AJ1367" s="304" t="str">
        <f t="shared" si="434"/>
        <v/>
      </c>
      <c r="AK1367" s="140" t="str">
        <f t="shared" si="435"/>
        <v/>
      </c>
    </row>
    <row r="1368" spans="7:37" x14ac:dyDescent="0.25">
      <c r="G1368" s="235" t="str">
        <f t="shared" si="424"/>
        <v/>
      </c>
      <c r="H1368" s="4" t="str">
        <f t="shared" si="446"/>
        <v/>
      </c>
      <c r="I1368" s="11" t="str">
        <f t="shared" si="425"/>
        <v/>
      </c>
      <c r="K1368" s="30">
        <v>446</v>
      </c>
      <c r="L1368" s="29">
        <f t="shared" si="436"/>
        <v>11371.908376190921</v>
      </c>
      <c r="M1368" s="28" t="str">
        <f t="shared" si="426"/>
        <v/>
      </c>
      <c r="N1368" s="27" t="str">
        <f t="shared" si="437"/>
        <v/>
      </c>
      <c r="O1368" s="26" t="str">
        <f>IF(AND($Q1367=$O$38,IFERROR(LARGE($V$923:$V1367,1)&lt;$N$42,TRUE)),1,IF(AND(ISNUMBER($O1367),$O1367&lt;$N$32),$O1367+1,""))</f>
        <v/>
      </c>
      <c r="P1368" s="26" t="str">
        <f t="shared" si="438"/>
        <v/>
      </c>
      <c r="Q1368" s="26" t="str">
        <f t="shared" si="427"/>
        <v/>
      </c>
      <c r="R1368" s="24" t="str">
        <f t="shared" si="439"/>
        <v/>
      </c>
      <c r="S1368" s="180">
        <f t="shared" si="445"/>
        <v>8</v>
      </c>
      <c r="T1368" s="29">
        <f>SUM($AC$923:$AC1368)</f>
        <v>49500</v>
      </c>
      <c r="U1368" s="25" t="str">
        <f t="shared" si="428"/>
        <v/>
      </c>
      <c r="V1368" s="24" t="str">
        <f>IF(AND(ISNUMBER(R1367),ISNUMBER(R1368)),V1367,IF(AND(R1367="",ISNUMBER(R1368)),IFERROR(LARGE($V$923:$V1367,1)+1,0),""))</f>
        <v/>
      </c>
      <c r="W1368" s="23" t="str">
        <f t="shared" si="440"/>
        <v/>
      </c>
      <c r="X1368" s="22" t="str">
        <f t="shared" si="441"/>
        <v/>
      </c>
      <c r="Y1368" s="236"/>
      <c r="Z1368" s="22"/>
      <c r="AA1368" s="22"/>
      <c r="AB1368" s="22" t="str">
        <f t="shared" si="442"/>
        <v/>
      </c>
      <c r="AC1368" s="22" t="str">
        <f t="shared" si="443"/>
        <v/>
      </c>
      <c r="AD1368" s="22" t="str">
        <f t="shared" si="429"/>
        <v/>
      </c>
      <c r="AE1368" s="22" t="str">
        <f t="shared" si="444"/>
        <v/>
      </c>
      <c r="AF1368" s="22" t="str">
        <f t="shared" si="430"/>
        <v/>
      </c>
      <c r="AG1368" s="22" t="str">
        <f t="shared" si="431"/>
        <v/>
      </c>
      <c r="AH1368" s="22" t="str">
        <f t="shared" si="432"/>
        <v/>
      </c>
      <c r="AI1368" s="22" t="str">
        <f t="shared" si="433"/>
        <v/>
      </c>
      <c r="AJ1368" s="304" t="str">
        <f t="shared" si="434"/>
        <v/>
      </c>
      <c r="AK1368" s="140" t="str">
        <f t="shared" si="435"/>
        <v/>
      </c>
    </row>
    <row r="1369" spans="7:37" x14ac:dyDescent="0.25">
      <c r="G1369" s="235" t="str">
        <f t="shared" si="424"/>
        <v/>
      </c>
      <c r="H1369" s="4" t="str">
        <f t="shared" si="446"/>
        <v/>
      </c>
      <c r="I1369" s="11" t="str">
        <f t="shared" si="425"/>
        <v/>
      </c>
      <c r="K1369" s="30">
        <v>447</v>
      </c>
      <c r="L1369" s="29">
        <f t="shared" si="436"/>
        <v>11371.908376190921</v>
      </c>
      <c r="M1369" s="28" t="str">
        <f t="shared" si="426"/>
        <v/>
      </c>
      <c r="N1369" s="27" t="str">
        <f t="shared" si="437"/>
        <v/>
      </c>
      <c r="O1369" s="26" t="str">
        <f>IF(AND($Q1368=$O$38,IFERROR(LARGE($V$923:$V1368,1)&lt;$N$42,TRUE)),1,IF(AND(ISNUMBER($O1368),$O1368&lt;$N$32),$O1368+1,""))</f>
        <v/>
      </c>
      <c r="P1369" s="26" t="str">
        <f t="shared" si="438"/>
        <v/>
      </c>
      <c r="Q1369" s="26" t="str">
        <f t="shared" si="427"/>
        <v/>
      </c>
      <c r="R1369" s="24" t="str">
        <f t="shared" si="439"/>
        <v/>
      </c>
      <c r="S1369" s="180">
        <f t="shared" si="445"/>
        <v>8</v>
      </c>
      <c r="T1369" s="29">
        <f>SUM($AC$923:$AC1369)</f>
        <v>49500</v>
      </c>
      <c r="U1369" s="25" t="str">
        <f t="shared" si="428"/>
        <v/>
      </c>
      <c r="V1369" s="24" t="str">
        <f>IF(AND(ISNUMBER(R1368),ISNUMBER(R1369)),V1368,IF(AND(R1368="",ISNUMBER(R1369)),IFERROR(LARGE($V$923:$V1368,1)+1,0),""))</f>
        <v/>
      </c>
      <c r="W1369" s="23" t="str">
        <f t="shared" si="440"/>
        <v/>
      </c>
      <c r="X1369" s="22" t="str">
        <f t="shared" si="441"/>
        <v/>
      </c>
      <c r="Y1369" s="236"/>
      <c r="Z1369" s="22"/>
      <c r="AA1369" s="22"/>
      <c r="AB1369" s="22" t="str">
        <f t="shared" si="442"/>
        <v/>
      </c>
      <c r="AC1369" s="22" t="str">
        <f t="shared" si="443"/>
        <v/>
      </c>
      <c r="AD1369" s="22" t="str">
        <f t="shared" si="429"/>
        <v/>
      </c>
      <c r="AE1369" s="22" t="str">
        <f t="shared" si="444"/>
        <v/>
      </c>
      <c r="AF1369" s="22" t="str">
        <f t="shared" si="430"/>
        <v/>
      </c>
      <c r="AG1369" s="22" t="str">
        <f t="shared" si="431"/>
        <v/>
      </c>
      <c r="AH1369" s="22" t="str">
        <f t="shared" si="432"/>
        <v/>
      </c>
      <c r="AI1369" s="22" t="str">
        <f t="shared" si="433"/>
        <v/>
      </c>
      <c r="AJ1369" s="304" t="str">
        <f t="shared" si="434"/>
        <v/>
      </c>
      <c r="AK1369" s="140" t="str">
        <f t="shared" si="435"/>
        <v/>
      </c>
    </row>
    <row r="1370" spans="7:37" x14ac:dyDescent="0.25">
      <c r="G1370" s="235" t="str">
        <f t="shared" si="424"/>
        <v/>
      </c>
      <c r="H1370" s="4" t="str">
        <f t="shared" si="446"/>
        <v/>
      </c>
      <c r="I1370" s="11" t="str">
        <f t="shared" si="425"/>
        <v/>
      </c>
      <c r="K1370" s="30">
        <v>448</v>
      </c>
      <c r="L1370" s="29">
        <f t="shared" si="436"/>
        <v>11371.908376190921</v>
      </c>
      <c r="M1370" s="28" t="str">
        <f t="shared" si="426"/>
        <v/>
      </c>
      <c r="N1370" s="27" t="str">
        <f t="shared" si="437"/>
        <v/>
      </c>
      <c r="O1370" s="26" t="str">
        <f>IF(AND($Q1369=$O$38,IFERROR(LARGE($V$923:$V1369,1)&lt;$N$42,TRUE)),1,IF(AND(ISNUMBER($O1369),$O1369&lt;$N$32),$O1369+1,""))</f>
        <v/>
      </c>
      <c r="P1370" s="26" t="str">
        <f t="shared" si="438"/>
        <v/>
      </c>
      <c r="Q1370" s="26" t="str">
        <f t="shared" si="427"/>
        <v/>
      </c>
      <c r="R1370" s="24" t="str">
        <f t="shared" si="439"/>
        <v/>
      </c>
      <c r="S1370" s="180">
        <f t="shared" si="445"/>
        <v>8</v>
      </c>
      <c r="T1370" s="29">
        <f>SUM($AC$923:$AC1370)</f>
        <v>49500</v>
      </c>
      <c r="U1370" s="25" t="str">
        <f t="shared" si="428"/>
        <v/>
      </c>
      <c r="V1370" s="24" t="str">
        <f>IF(AND(ISNUMBER(R1369),ISNUMBER(R1370)),V1369,IF(AND(R1369="",ISNUMBER(R1370)),IFERROR(LARGE($V$923:$V1369,1)+1,0),""))</f>
        <v/>
      </c>
      <c r="W1370" s="23" t="str">
        <f t="shared" si="440"/>
        <v/>
      </c>
      <c r="X1370" s="22" t="str">
        <f t="shared" si="441"/>
        <v/>
      </c>
      <c r="Y1370" s="236"/>
      <c r="Z1370" s="22"/>
      <c r="AA1370" s="22"/>
      <c r="AB1370" s="22" t="str">
        <f t="shared" si="442"/>
        <v/>
      </c>
      <c r="AC1370" s="22" t="str">
        <f t="shared" si="443"/>
        <v/>
      </c>
      <c r="AD1370" s="22" t="str">
        <f t="shared" si="429"/>
        <v/>
      </c>
      <c r="AE1370" s="22" t="str">
        <f t="shared" si="444"/>
        <v/>
      </c>
      <c r="AF1370" s="22" t="str">
        <f t="shared" si="430"/>
        <v/>
      </c>
      <c r="AG1370" s="22" t="str">
        <f t="shared" si="431"/>
        <v/>
      </c>
      <c r="AH1370" s="22" t="str">
        <f t="shared" si="432"/>
        <v/>
      </c>
      <c r="AI1370" s="22" t="str">
        <f t="shared" si="433"/>
        <v/>
      </c>
      <c r="AJ1370" s="304" t="str">
        <f t="shared" si="434"/>
        <v/>
      </c>
      <c r="AK1370" s="140" t="str">
        <f t="shared" si="435"/>
        <v/>
      </c>
    </row>
    <row r="1371" spans="7:37" x14ac:dyDescent="0.25">
      <c r="G1371" s="235" t="str">
        <f t="shared" ref="G1371:G1434" si="447">IF(RIGHT(H1371,2)=".N","NEW",IF(SUM(N1371:R1371)=0,"",LEFT(H1371,5)))</f>
        <v/>
      </c>
      <c r="H1371" s="4" t="str">
        <f t="shared" si="446"/>
        <v/>
      </c>
      <c r="I1371" s="11" t="str">
        <f t="shared" ref="I1371:I1434" si="448">IF(SUM(N1371:R1371)&gt;0,CONCATENATE(IF(LEN(ROUNDDOWN(S1371,0))=1,CONCATENATE("0",ROUNDDOWN(S1371,0)),ROUNDDOWN(S1371,0)),".",IF(LEN(ROUND(MOD(S1371,1)*100,0))=1,CONCATENATE("0",ROUND(MOD(S1371,1)*100,0)),ROUND(MOD(S1371,1)*100,0)),IF(N1371&lt;&gt;"",".N.",IF(O1371&lt;&gt;"",".R.",IF(P1371&lt;&gt;"",".O.",IF(Q1371&lt;&gt;"",".I.",IF(R1371&lt;&gt;"",".D.",""))))),IF(N1371&lt;&gt;"",N1371,IF(O1371&lt;&gt;"",O1371,IF(P1371&lt;&gt;"",P1371,IF(Q1371&lt;&gt;"",Q1371,IF(R1371&lt;&gt;"",IF(MOD(R1371,$N$44)=0,$N$44,MOD(R1371,$N$44)),"")))))),"")</f>
        <v/>
      </c>
      <c r="K1371" s="30">
        <v>449</v>
      </c>
      <c r="L1371" s="29">
        <f t="shared" si="436"/>
        <v>11371.908376190921</v>
      </c>
      <c r="M1371" s="28" t="str">
        <f t="shared" ref="M1371:M1434" si="449">IFERROR(IF(IF($K1371=1,(($M$23*-1)+($M$24*-1)),IF(ISNUMBER(W1371),W1371,0)+IF(ISNUMBER(X1371),X1371,0)+IF(ISNUMBER(AB1371),AB1371,0)+IF(ISNUMBER(AE1371),AE1371,0)+IF(ISNUMBER(AF1371),AF1371,0)+IF(ISNUMBER(AG1371),AG1371,0)+IF(ISNUMBER(AH1371),AH1371,0)+IF(ISNUMBER(AI1371),AI1371,0)+IF(ISNUMBER(AK1371),AK1371,0))=0,"",IF($K1371=1,(($M$23*-1)+($M$24*-1)),IF(ISNUMBER(W1371),W1371,0)+IF(ISNUMBER(X1371),X1371,0)+IF(ISNUMBER(AB1371),AB1371,0)+IF(ISNUMBER(AE1371),AE1371,0)+IF(ISNUMBER(AF1371),AF1371,0)+IF(ISNUMBER(AG1371),AG1371,0)+IF(ISNUMBER(AH1371),AH1371,0)+IF(ISNUMBER(AI1371),AI1371,0)+IF(ISNUMBER(AK1371),AK1371,0))),"")</f>
        <v/>
      </c>
      <c r="N1371" s="27" t="str">
        <f t="shared" si="437"/>
        <v/>
      </c>
      <c r="O1371" s="26" t="str">
        <f>IF(AND($Q1370=$O$38,IFERROR(LARGE($V$923:$V1370,1)&lt;$N$42,TRUE)),1,IF(AND(ISNUMBER($O1370),$O1370&lt;$N$32),$O1370+1,""))</f>
        <v/>
      </c>
      <c r="P1371" s="26" t="str">
        <f t="shared" si="438"/>
        <v/>
      </c>
      <c r="Q1371" s="26" t="str">
        <f t="shared" ref="Q1371:Q1434" si="450">IF($R1370=($N$43*$N$44),1,IF(AND(ISNUMBER($Q1370),$Q1370&lt;$O$38),$Q1370+1,""))</f>
        <v/>
      </c>
      <c r="R1371" s="24" t="str">
        <f t="shared" si="439"/>
        <v/>
      </c>
      <c r="S1371" s="180">
        <f t="shared" si="445"/>
        <v>8</v>
      </c>
      <c r="T1371" s="29">
        <f>SUM($AC$923:$AC1371)</f>
        <v>49500</v>
      </c>
      <c r="U1371" s="25" t="str">
        <f t="shared" ref="U1371:U1434" si="451">IF(ISNUMBER($R1371),ROUNDUP($R1371/$N$44,0),"")</f>
        <v/>
      </c>
      <c r="V1371" s="24" t="str">
        <f>IF(AND(ISNUMBER(R1370),ISNUMBER(R1371)),V1370,IF(AND(R1370="",ISNUMBER(R1371)),IFERROR(LARGE($V$923:$V1370,1)+1,0),""))</f>
        <v/>
      </c>
      <c r="W1371" s="23" t="str">
        <f t="shared" si="440"/>
        <v/>
      </c>
      <c r="X1371" s="22" t="str">
        <f t="shared" si="441"/>
        <v/>
      </c>
      <c r="Y1371" s="236"/>
      <c r="Z1371" s="22"/>
      <c r="AA1371" s="22"/>
      <c r="AB1371" s="22" t="str">
        <f t="shared" si="442"/>
        <v/>
      </c>
      <c r="AC1371" s="22" t="str">
        <f t="shared" si="443"/>
        <v/>
      </c>
      <c r="AD1371" s="22" t="str">
        <f t="shared" ref="AD1371:AD1434" si="452">IF(IF(OR(AND(ISNUMBER($U1371),IF(ISNUMBER($U1372),$U1372,0)-IF(ISNUMBER($U1371),$U1371,0)=1),AND(ISNUMBER($U1371),$U1372="")),IF($U1371=1,$P$37,0),0)=0,"",IF(OR(AND(ISNUMBER($U1371),IF(ISNUMBER($U1372),$U1372,0)-IF(ISNUMBER($U1371),$U1371,0)=1),AND(ISNUMBER($U1371),$U1372="")),IF($U1371=1,$P$37,0),0))</f>
        <v/>
      </c>
      <c r="AE1371" s="22" t="str">
        <f t="shared" si="444"/>
        <v/>
      </c>
      <c r="AF1371" s="22" t="str">
        <f t="shared" ref="AF1371:AF1434" si="453">IF($O$67="Invoice",IF(AND(ISNUMBER($AC1371),ISNUMBER($O$68)),$AC1371*$O$68*-1,""),IF($O$67="Payment",IF(AND(ISNUMBER($AE1371),ISNUMBER($O$68)),$AE1371*$O$68*-1,""),""))</f>
        <v/>
      </c>
      <c r="AG1371" s="22" t="str">
        <f t="shared" ref="AG1371:AG1434" si="454">IF($O$67="Invoice",IF(AND(ISNUMBER($AC1371),ISNUMBER($O$69)),$AC1371*$O$69*-1,""),IF($O$67="Payment",IF(AND(ISNUMBER($AE1371),ISNUMBER($O$69)),$AE1371*$O$69*-1,""),""))</f>
        <v/>
      </c>
      <c r="AH1371" s="22" t="str">
        <f t="shared" ref="AH1371:AH1434" si="455">IF($O$67="Invoice",IF(AND(ISNUMBER($AC1371),ISNUMBER($O$70)),$AC1371*$O$70*-1,""),IF($O$67="Payment",IF(AND(ISNUMBER($AE1371),ISNUMBER($O$70)),$AE1371*$O$70*-1,""),""))</f>
        <v/>
      </c>
      <c r="AI1371" s="22" t="str">
        <f t="shared" ref="AI1371:AI1434" si="456">IF($O$67="Invoice",IF(AND(ISNUMBER($AC1371),ISNUMBER($O$71)),$AC1371*$O$71*-1,""),IF($O$67="Payment",IF(AND(ISNUMBER($AE1371),ISNUMBER($O$71)),$AE1371*$O$71*-1,""),""))</f>
        <v/>
      </c>
      <c r="AJ1371" s="304" t="str">
        <f t="shared" ref="AJ1371:AJ1434" si="457">IF($O$67="Invoice",IF(AND(ISNUMBER($AC1371),ISNUMBER($O$72)),$AC1371*$O$72*-1,""),IF($O$67="Payment",IF(AND(ISNUMBER($AE1371),ISNUMBER($O$72)),$AE1371*$O$72*-1,""),""))</f>
        <v/>
      </c>
      <c r="AK1371" s="140" t="str">
        <f t="shared" ref="AK1371:AK1434" si="458">IF($O$67="Invoice",IF(AND(ISNUMBER($AC1371),ISNUMBER($O$73)),$AC1371*$O$73*-1,""),IF($O$67="Payment",IF(AND(ISNUMBER($AE1371),ISNUMBER($O$73)),$AE1371*$O$73*-1,""),""))</f>
        <v/>
      </c>
    </row>
    <row r="1372" spans="7:37" x14ac:dyDescent="0.25">
      <c r="G1372" s="235" t="str">
        <f t="shared" si="447"/>
        <v/>
      </c>
      <c r="H1372" s="4" t="str">
        <f t="shared" si="446"/>
        <v/>
      </c>
      <c r="I1372" s="11" t="str">
        <f t="shared" si="448"/>
        <v/>
      </c>
      <c r="K1372" s="30">
        <v>450</v>
      </c>
      <c r="L1372" s="29">
        <f t="shared" ref="L1372:L1435" si="459">IF(ISNUMBER($M1372),$M1372+$L1371,$L1371)</f>
        <v>11371.908376190921</v>
      </c>
      <c r="M1372" s="28" t="str">
        <f t="shared" si="449"/>
        <v/>
      </c>
      <c r="N1372" s="27" t="str">
        <f t="shared" ref="N1372:N1435" si="460">IF($K1371&lt;$N$25,$N1371+1,"")</f>
        <v/>
      </c>
      <c r="O1372" s="26" t="str">
        <f>IF(AND($Q1371=$O$38,IFERROR(LARGE($V$923:$V1371,1)&lt;$N$42,TRUE)),1,IF(AND(ISNUMBER($O1371),$O1371&lt;$N$32),$O1371+1,""))</f>
        <v/>
      </c>
      <c r="P1372" s="26" t="str">
        <f t="shared" ref="P1372:P1435" si="461">IF(OR($N1371=$N$25,O1371=$N$32),1,IF(AND($P1371&lt;$O$37,P1371&gt;0),P1371+1,""))</f>
        <v/>
      </c>
      <c r="Q1372" s="26" t="str">
        <f t="shared" si="450"/>
        <v/>
      </c>
      <c r="R1372" s="24" t="str">
        <f t="shared" ref="R1372:R1435" si="462">IF(AND($P1371=$O$37,$R1371=""),1,IF($R1371&lt;($N$43*$N$44),$R1371+1,""))</f>
        <v/>
      </c>
      <c r="S1372" s="180">
        <f t="shared" si="445"/>
        <v>8</v>
      </c>
      <c r="T1372" s="29">
        <f>SUM($AC$923:$AC1372)</f>
        <v>49500</v>
      </c>
      <c r="U1372" s="25" t="str">
        <f t="shared" si="451"/>
        <v/>
      </c>
      <c r="V1372" s="24" t="str">
        <f>IF(AND(ISNUMBER(R1371),ISNUMBER(R1372)),V1371,IF(AND(R1371="",ISNUMBER(R1372)),IFERROR(LARGE($V$923:$V1371,1)+1,0),""))</f>
        <v/>
      </c>
      <c r="W1372" s="23" t="str">
        <f t="shared" ref="W1372:W1435" si="463">IF($O1372=1,($M$30*-1),"")</f>
        <v/>
      </c>
      <c r="X1372" s="22" t="str">
        <f t="shared" ref="X1372:X1435" si="464">IF($K1372=1,($M$24*-1),IF($O1372=1,($M$31*-1),""))</f>
        <v/>
      </c>
      <c r="Y1372" s="236"/>
      <c r="Z1372" s="22"/>
      <c r="AA1372" s="22"/>
      <c r="AB1372" s="22" t="str">
        <f t="shared" si="442"/>
        <v/>
      </c>
      <c r="AC1372" s="22" t="str">
        <f t="shared" si="443"/>
        <v/>
      </c>
      <c r="AD1372" s="22" t="str">
        <f t="shared" si="452"/>
        <v/>
      </c>
      <c r="AE1372" s="22" t="str">
        <f t="shared" si="444"/>
        <v/>
      </c>
      <c r="AF1372" s="22" t="str">
        <f t="shared" si="453"/>
        <v/>
      </c>
      <c r="AG1372" s="22" t="str">
        <f t="shared" si="454"/>
        <v/>
      </c>
      <c r="AH1372" s="22" t="str">
        <f t="shared" si="455"/>
        <v/>
      </c>
      <c r="AI1372" s="22" t="str">
        <f t="shared" si="456"/>
        <v/>
      </c>
      <c r="AJ1372" s="304" t="str">
        <f t="shared" si="457"/>
        <v/>
      </c>
      <c r="AK1372" s="140" t="str">
        <f t="shared" si="458"/>
        <v/>
      </c>
    </row>
    <row r="1373" spans="7:37" x14ac:dyDescent="0.25">
      <c r="G1373" s="235" t="str">
        <f t="shared" si="447"/>
        <v/>
      </c>
      <c r="H1373" s="4" t="str">
        <f t="shared" si="446"/>
        <v/>
      </c>
      <c r="I1373" s="11" t="str">
        <f t="shared" si="448"/>
        <v/>
      </c>
      <c r="K1373" s="30">
        <v>451</v>
      </c>
      <c r="L1373" s="29">
        <f t="shared" si="459"/>
        <v>11371.908376190921</v>
      </c>
      <c r="M1373" s="28" t="str">
        <f t="shared" si="449"/>
        <v/>
      </c>
      <c r="N1373" s="27" t="str">
        <f t="shared" si="460"/>
        <v/>
      </c>
      <c r="O1373" s="26" t="str">
        <f>IF(AND($Q1372=$O$38,IFERROR(LARGE($V$923:$V1372,1)&lt;$N$42,TRUE)),1,IF(AND(ISNUMBER($O1372),$O1372&lt;$N$32),$O1372+1,""))</f>
        <v/>
      </c>
      <c r="P1373" s="26" t="str">
        <f t="shared" si="461"/>
        <v/>
      </c>
      <c r="Q1373" s="26" t="str">
        <f t="shared" si="450"/>
        <v/>
      </c>
      <c r="R1373" s="24" t="str">
        <f t="shared" si="462"/>
        <v/>
      </c>
      <c r="S1373" s="180">
        <f t="shared" si="445"/>
        <v>8</v>
      </c>
      <c r="T1373" s="29">
        <f>SUM($AC$923:$AC1373)</f>
        <v>49500</v>
      </c>
      <c r="U1373" s="25" t="str">
        <f t="shared" si="451"/>
        <v/>
      </c>
      <c r="V1373" s="24" t="str">
        <f>IF(AND(ISNUMBER(R1372),ISNUMBER(R1373)),V1372,IF(AND(R1372="",ISNUMBER(R1373)),IFERROR(LARGE($V$923:$V1372,1)+1,0),""))</f>
        <v/>
      </c>
      <c r="W1373" s="23" t="str">
        <f t="shared" si="463"/>
        <v/>
      </c>
      <c r="X1373" s="22" t="str">
        <f t="shared" si="464"/>
        <v/>
      </c>
      <c r="Y1373" s="236"/>
      <c r="Z1373" s="22"/>
      <c r="AA1373" s="22"/>
      <c r="AB1373" s="22" t="str">
        <f t="shared" si="442"/>
        <v/>
      </c>
      <c r="AC1373" s="22" t="str">
        <f t="shared" si="443"/>
        <v/>
      </c>
      <c r="AD1373" s="22" t="str">
        <f t="shared" si="452"/>
        <v/>
      </c>
      <c r="AE1373" s="22" t="str">
        <f t="shared" si="444"/>
        <v/>
      </c>
      <c r="AF1373" s="22" t="str">
        <f t="shared" si="453"/>
        <v/>
      </c>
      <c r="AG1373" s="22" t="str">
        <f t="shared" si="454"/>
        <v/>
      </c>
      <c r="AH1373" s="22" t="str">
        <f t="shared" si="455"/>
        <v/>
      </c>
      <c r="AI1373" s="22" t="str">
        <f t="shared" si="456"/>
        <v/>
      </c>
      <c r="AJ1373" s="304" t="str">
        <f t="shared" si="457"/>
        <v/>
      </c>
      <c r="AK1373" s="140" t="str">
        <f t="shared" si="458"/>
        <v/>
      </c>
    </row>
    <row r="1374" spans="7:37" x14ac:dyDescent="0.25">
      <c r="G1374" s="235" t="str">
        <f t="shared" si="447"/>
        <v/>
      </c>
      <c r="H1374" s="4" t="str">
        <f t="shared" si="446"/>
        <v/>
      </c>
      <c r="I1374" s="11" t="str">
        <f t="shared" si="448"/>
        <v/>
      </c>
      <c r="K1374" s="30">
        <v>452</v>
      </c>
      <c r="L1374" s="29">
        <f t="shared" si="459"/>
        <v>11371.908376190921</v>
      </c>
      <c r="M1374" s="28" t="str">
        <f t="shared" si="449"/>
        <v/>
      </c>
      <c r="N1374" s="27" t="str">
        <f t="shared" si="460"/>
        <v/>
      </c>
      <c r="O1374" s="26" t="str">
        <f>IF(AND($Q1373=$O$38,IFERROR(LARGE($V$923:$V1373,1)&lt;$N$42,TRUE)),1,IF(AND(ISNUMBER($O1373),$O1373&lt;$N$32),$O1373+1,""))</f>
        <v/>
      </c>
      <c r="P1374" s="26" t="str">
        <f t="shared" si="461"/>
        <v/>
      </c>
      <c r="Q1374" s="26" t="str">
        <f t="shared" si="450"/>
        <v/>
      </c>
      <c r="R1374" s="24" t="str">
        <f t="shared" si="462"/>
        <v/>
      </c>
      <c r="S1374" s="180">
        <f t="shared" si="445"/>
        <v>8</v>
      </c>
      <c r="T1374" s="29">
        <f>SUM($AC$923:$AC1374)</f>
        <v>49500</v>
      </c>
      <c r="U1374" s="25" t="str">
        <f t="shared" si="451"/>
        <v/>
      </c>
      <c r="V1374" s="24" t="str">
        <f>IF(AND(ISNUMBER(R1373),ISNUMBER(R1374)),V1373,IF(AND(R1373="",ISNUMBER(R1374)),IFERROR(LARGE($V$923:$V1373,1)+1,0),""))</f>
        <v/>
      </c>
      <c r="W1374" s="23" t="str">
        <f t="shared" si="463"/>
        <v/>
      </c>
      <c r="X1374" s="22" t="str">
        <f t="shared" si="464"/>
        <v/>
      </c>
      <c r="Y1374" s="236"/>
      <c r="Z1374" s="22"/>
      <c r="AA1374" s="22"/>
      <c r="AB1374" s="22" t="str">
        <f t="shared" si="442"/>
        <v/>
      </c>
      <c r="AC1374" s="22" t="str">
        <f t="shared" si="443"/>
        <v/>
      </c>
      <c r="AD1374" s="22" t="str">
        <f t="shared" si="452"/>
        <v/>
      </c>
      <c r="AE1374" s="22" t="str">
        <f t="shared" si="444"/>
        <v/>
      </c>
      <c r="AF1374" s="22" t="str">
        <f t="shared" si="453"/>
        <v/>
      </c>
      <c r="AG1374" s="22" t="str">
        <f t="shared" si="454"/>
        <v/>
      </c>
      <c r="AH1374" s="22" t="str">
        <f t="shared" si="455"/>
        <v/>
      </c>
      <c r="AI1374" s="22" t="str">
        <f t="shared" si="456"/>
        <v/>
      </c>
      <c r="AJ1374" s="304" t="str">
        <f t="shared" si="457"/>
        <v/>
      </c>
      <c r="AK1374" s="140" t="str">
        <f t="shared" si="458"/>
        <v/>
      </c>
    </row>
    <row r="1375" spans="7:37" x14ac:dyDescent="0.25">
      <c r="G1375" s="235" t="str">
        <f t="shared" si="447"/>
        <v/>
      </c>
      <c r="H1375" s="4" t="str">
        <f t="shared" si="446"/>
        <v/>
      </c>
      <c r="I1375" s="11" t="str">
        <f t="shared" si="448"/>
        <v/>
      </c>
      <c r="K1375" s="30">
        <v>453</v>
      </c>
      <c r="L1375" s="29">
        <f t="shared" si="459"/>
        <v>11371.908376190921</v>
      </c>
      <c r="M1375" s="28" t="str">
        <f t="shared" si="449"/>
        <v/>
      </c>
      <c r="N1375" s="27" t="str">
        <f t="shared" si="460"/>
        <v/>
      </c>
      <c r="O1375" s="26" t="str">
        <f>IF(AND($Q1374=$O$38,IFERROR(LARGE($V$923:$V1374,1)&lt;$N$42,TRUE)),1,IF(AND(ISNUMBER($O1374),$O1374&lt;$N$32),$O1374+1,""))</f>
        <v/>
      </c>
      <c r="P1375" s="26" t="str">
        <f t="shared" si="461"/>
        <v/>
      </c>
      <c r="Q1375" s="26" t="str">
        <f t="shared" si="450"/>
        <v/>
      </c>
      <c r="R1375" s="24" t="str">
        <f t="shared" si="462"/>
        <v/>
      </c>
      <c r="S1375" s="180">
        <f t="shared" si="445"/>
        <v>8</v>
      </c>
      <c r="T1375" s="29">
        <f>SUM($AC$923:$AC1375)</f>
        <v>49500</v>
      </c>
      <c r="U1375" s="25" t="str">
        <f t="shared" si="451"/>
        <v/>
      </c>
      <c r="V1375" s="24" t="str">
        <f>IF(AND(ISNUMBER(R1374),ISNUMBER(R1375)),V1374,IF(AND(R1374="",ISNUMBER(R1375)),IFERROR(LARGE($V$923:$V1374,1)+1,0),""))</f>
        <v/>
      </c>
      <c r="W1375" s="23" t="str">
        <f t="shared" si="463"/>
        <v/>
      </c>
      <c r="X1375" s="22" t="str">
        <f t="shared" si="464"/>
        <v/>
      </c>
      <c r="Y1375" s="236"/>
      <c r="Z1375" s="22"/>
      <c r="AA1375" s="22"/>
      <c r="AB1375" s="22" t="str">
        <f t="shared" si="442"/>
        <v/>
      </c>
      <c r="AC1375" s="22" t="str">
        <f t="shared" si="443"/>
        <v/>
      </c>
      <c r="AD1375" s="22" t="str">
        <f t="shared" si="452"/>
        <v/>
      </c>
      <c r="AE1375" s="22" t="str">
        <f t="shared" si="444"/>
        <v/>
      </c>
      <c r="AF1375" s="22" t="str">
        <f t="shared" si="453"/>
        <v/>
      </c>
      <c r="AG1375" s="22" t="str">
        <f t="shared" si="454"/>
        <v/>
      </c>
      <c r="AH1375" s="22" t="str">
        <f t="shared" si="455"/>
        <v/>
      </c>
      <c r="AI1375" s="22" t="str">
        <f t="shared" si="456"/>
        <v/>
      </c>
      <c r="AJ1375" s="304" t="str">
        <f t="shared" si="457"/>
        <v/>
      </c>
      <c r="AK1375" s="140" t="str">
        <f t="shared" si="458"/>
        <v/>
      </c>
    </row>
    <row r="1376" spans="7:37" x14ac:dyDescent="0.25">
      <c r="G1376" s="235" t="str">
        <f t="shared" si="447"/>
        <v/>
      </c>
      <c r="H1376" s="4" t="str">
        <f t="shared" si="446"/>
        <v/>
      </c>
      <c r="I1376" s="11" t="str">
        <f t="shared" si="448"/>
        <v/>
      </c>
      <c r="K1376" s="30">
        <v>454</v>
      </c>
      <c r="L1376" s="29">
        <f t="shared" si="459"/>
        <v>11371.908376190921</v>
      </c>
      <c r="M1376" s="28" t="str">
        <f t="shared" si="449"/>
        <v/>
      </c>
      <c r="N1376" s="27" t="str">
        <f t="shared" si="460"/>
        <v/>
      </c>
      <c r="O1376" s="26" t="str">
        <f>IF(AND($Q1375=$O$38,IFERROR(LARGE($V$923:$V1375,1)&lt;$N$42,TRUE)),1,IF(AND(ISNUMBER($O1375),$O1375&lt;$N$32),$O1375+1,""))</f>
        <v/>
      </c>
      <c r="P1376" s="26" t="str">
        <f t="shared" si="461"/>
        <v/>
      </c>
      <c r="Q1376" s="26" t="str">
        <f t="shared" si="450"/>
        <v/>
      </c>
      <c r="R1376" s="24" t="str">
        <f t="shared" si="462"/>
        <v/>
      </c>
      <c r="S1376" s="180">
        <f t="shared" si="445"/>
        <v>8</v>
      </c>
      <c r="T1376" s="29">
        <f>SUM($AC$923:$AC1376)</f>
        <v>49500</v>
      </c>
      <c r="U1376" s="25" t="str">
        <f t="shared" si="451"/>
        <v/>
      </c>
      <c r="V1376" s="24" t="str">
        <f>IF(AND(ISNUMBER(R1375),ISNUMBER(R1376)),V1375,IF(AND(R1375="",ISNUMBER(R1376)),IFERROR(LARGE($V$923:$V1375,1)+1,0),""))</f>
        <v/>
      </c>
      <c r="W1376" s="23" t="str">
        <f t="shared" si="463"/>
        <v/>
      </c>
      <c r="X1376" s="22" t="str">
        <f t="shared" si="464"/>
        <v/>
      </c>
      <c r="Y1376" s="236"/>
      <c r="Z1376" s="22"/>
      <c r="AA1376" s="22"/>
      <c r="AB1376" s="22" t="str">
        <f t="shared" si="442"/>
        <v/>
      </c>
      <c r="AC1376" s="22" t="str">
        <f t="shared" si="443"/>
        <v/>
      </c>
      <c r="AD1376" s="22" t="str">
        <f t="shared" si="452"/>
        <v/>
      </c>
      <c r="AE1376" s="22" t="str">
        <f t="shared" si="444"/>
        <v/>
      </c>
      <c r="AF1376" s="22" t="str">
        <f t="shared" si="453"/>
        <v/>
      </c>
      <c r="AG1376" s="22" t="str">
        <f t="shared" si="454"/>
        <v/>
      </c>
      <c r="AH1376" s="22" t="str">
        <f t="shared" si="455"/>
        <v/>
      </c>
      <c r="AI1376" s="22" t="str">
        <f t="shared" si="456"/>
        <v/>
      </c>
      <c r="AJ1376" s="304" t="str">
        <f t="shared" si="457"/>
        <v/>
      </c>
      <c r="AK1376" s="140" t="str">
        <f t="shared" si="458"/>
        <v/>
      </c>
    </row>
    <row r="1377" spans="7:37" x14ac:dyDescent="0.25">
      <c r="G1377" s="235" t="str">
        <f t="shared" si="447"/>
        <v/>
      </c>
      <c r="H1377" s="4" t="str">
        <f t="shared" si="446"/>
        <v/>
      </c>
      <c r="I1377" s="11" t="str">
        <f t="shared" si="448"/>
        <v/>
      </c>
      <c r="K1377" s="30">
        <v>455</v>
      </c>
      <c r="L1377" s="29">
        <f t="shared" si="459"/>
        <v>11371.908376190921</v>
      </c>
      <c r="M1377" s="28" t="str">
        <f t="shared" si="449"/>
        <v/>
      </c>
      <c r="N1377" s="27" t="str">
        <f t="shared" si="460"/>
        <v/>
      </c>
      <c r="O1377" s="26" t="str">
        <f>IF(AND($Q1376=$O$38,IFERROR(LARGE($V$923:$V1376,1)&lt;$N$42,TRUE)),1,IF(AND(ISNUMBER($O1376),$O1376&lt;$N$32),$O1376+1,""))</f>
        <v/>
      </c>
      <c r="P1377" s="26" t="str">
        <f t="shared" si="461"/>
        <v/>
      </c>
      <c r="Q1377" s="26" t="str">
        <f t="shared" si="450"/>
        <v/>
      </c>
      <c r="R1377" s="24" t="str">
        <f t="shared" si="462"/>
        <v/>
      </c>
      <c r="S1377" s="180">
        <f t="shared" si="445"/>
        <v>8</v>
      </c>
      <c r="T1377" s="29">
        <f>SUM($AC$923:$AC1377)</f>
        <v>49500</v>
      </c>
      <c r="U1377" s="25" t="str">
        <f t="shared" si="451"/>
        <v/>
      </c>
      <c r="V1377" s="24" t="str">
        <f>IF(AND(ISNUMBER(R1376),ISNUMBER(R1377)),V1376,IF(AND(R1376="",ISNUMBER(R1377)),IFERROR(LARGE($V$923:$V1376,1)+1,0),""))</f>
        <v/>
      </c>
      <c r="W1377" s="23" t="str">
        <f t="shared" si="463"/>
        <v/>
      </c>
      <c r="X1377" s="22" t="str">
        <f t="shared" si="464"/>
        <v/>
      </c>
      <c r="Y1377" s="236"/>
      <c r="Z1377" s="22"/>
      <c r="AA1377" s="22"/>
      <c r="AB1377" s="22" t="str">
        <f t="shared" si="442"/>
        <v/>
      </c>
      <c r="AC1377" s="22" t="str">
        <f t="shared" si="443"/>
        <v/>
      </c>
      <c r="AD1377" s="22" t="str">
        <f t="shared" si="452"/>
        <v/>
      </c>
      <c r="AE1377" s="22" t="str">
        <f t="shared" si="444"/>
        <v/>
      </c>
      <c r="AF1377" s="22" t="str">
        <f t="shared" si="453"/>
        <v/>
      </c>
      <c r="AG1377" s="22" t="str">
        <f t="shared" si="454"/>
        <v/>
      </c>
      <c r="AH1377" s="22" t="str">
        <f t="shared" si="455"/>
        <v/>
      </c>
      <c r="AI1377" s="22" t="str">
        <f t="shared" si="456"/>
        <v/>
      </c>
      <c r="AJ1377" s="304" t="str">
        <f t="shared" si="457"/>
        <v/>
      </c>
      <c r="AK1377" s="140" t="str">
        <f t="shared" si="458"/>
        <v/>
      </c>
    </row>
    <row r="1378" spans="7:37" x14ac:dyDescent="0.25">
      <c r="G1378" s="235" t="str">
        <f t="shared" si="447"/>
        <v/>
      </c>
      <c r="H1378" s="4" t="str">
        <f t="shared" si="446"/>
        <v/>
      </c>
      <c r="I1378" s="11" t="str">
        <f t="shared" si="448"/>
        <v/>
      </c>
      <c r="K1378" s="30">
        <v>456</v>
      </c>
      <c r="L1378" s="29">
        <f t="shared" si="459"/>
        <v>11371.908376190921</v>
      </c>
      <c r="M1378" s="28" t="str">
        <f t="shared" si="449"/>
        <v/>
      </c>
      <c r="N1378" s="27" t="str">
        <f t="shared" si="460"/>
        <v/>
      </c>
      <c r="O1378" s="26" t="str">
        <f>IF(AND($Q1377=$O$38,IFERROR(LARGE($V$923:$V1377,1)&lt;$N$42,TRUE)),1,IF(AND(ISNUMBER($O1377),$O1377&lt;$N$32),$O1377+1,""))</f>
        <v/>
      </c>
      <c r="P1378" s="26" t="str">
        <f t="shared" si="461"/>
        <v/>
      </c>
      <c r="Q1378" s="26" t="str">
        <f t="shared" si="450"/>
        <v/>
      </c>
      <c r="R1378" s="24" t="str">
        <f t="shared" si="462"/>
        <v/>
      </c>
      <c r="S1378" s="180">
        <f t="shared" si="445"/>
        <v>8</v>
      </c>
      <c r="T1378" s="29">
        <f>SUM($AC$923:$AC1378)</f>
        <v>49500</v>
      </c>
      <c r="U1378" s="25" t="str">
        <f t="shared" si="451"/>
        <v/>
      </c>
      <c r="V1378" s="24" t="str">
        <f>IF(AND(ISNUMBER(R1377),ISNUMBER(R1378)),V1377,IF(AND(R1377="",ISNUMBER(R1378)),IFERROR(LARGE($V$923:$V1377,1)+1,0),""))</f>
        <v/>
      </c>
      <c r="W1378" s="23" t="str">
        <f t="shared" si="463"/>
        <v/>
      </c>
      <c r="X1378" s="22" t="str">
        <f t="shared" si="464"/>
        <v/>
      </c>
      <c r="Y1378" s="236"/>
      <c r="Z1378" s="22"/>
      <c r="AA1378" s="22"/>
      <c r="AB1378" s="22" t="str">
        <f t="shared" si="442"/>
        <v/>
      </c>
      <c r="AC1378" s="22" t="str">
        <f t="shared" si="443"/>
        <v/>
      </c>
      <c r="AD1378" s="22" t="str">
        <f t="shared" si="452"/>
        <v/>
      </c>
      <c r="AE1378" s="22" t="str">
        <f t="shared" si="444"/>
        <v/>
      </c>
      <c r="AF1378" s="22" t="str">
        <f t="shared" si="453"/>
        <v/>
      </c>
      <c r="AG1378" s="22" t="str">
        <f t="shared" si="454"/>
        <v/>
      </c>
      <c r="AH1378" s="22" t="str">
        <f t="shared" si="455"/>
        <v/>
      </c>
      <c r="AI1378" s="22" t="str">
        <f t="shared" si="456"/>
        <v/>
      </c>
      <c r="AJ1378" s="304" t="str">
        <f t="shared" si="457"/>
        <v/>
      </c>
      <c r="AK1378" s="140" t="str">
        <f t="shared" si="458"/>
        <v/>
      </c>
    </row>
    <row r="1379" spans="7:37" x14ac:dyDescent="0.25">
      <c r="G1379" s="235" t="str">
        <f t="shared" si="447"/>
        <v/>
      </c>
      <c r="H1379" s="4" t="str">
        <f t="shared" si="446"/>
        <v/>
      </c>
      <c r="I1379" s="11" t="str">
        <f t="shared" si="448"/>
        <v/>
      </c>
      <c r="K1379" s="30">
        <v>457</v>
      </c>
      <c r="L1379" s="29">
        <f t="shared" si="459"/>
        <v>11371.908376190921</v>
      </c>
      <c r="M1379" s="28" t="str">
        <f t="shared" si="449"/>
        <v/>
      </c>
      <c r="N1379" s="27" t="str">
        <f t="shared" si="460"/>
        <v/>
      </c>
      <c r="O1379" s="26" t="str">
        <f>IF(AND($Q1378=$O$38,IFERROR(LARGE($V$923:$V1378,1)&lt;$N$42,TRUE)),1,IF(AND(ISNUMBER($O1378),$O1378&lt;$N$32),$O1378+1,""))</f>
        <v/>
      </c>
      <c r="P1379" s="26" t="str">
        <f t="shared" si="461"/>
        <v/>
      </c>
      <c r="Q1379" s="26" t="str">
        <f t="shared" si="450"/>
        <v/>
      </c>
      <c r="R1379" s="24" t="str">
        <f t="shared" si="462"/>
        <v/>
      </c>
      <c r="S1379" s="180">
        <f t="shared" si="445"/>
        <v>8</v>
      </c>
      <c r="T1379" s="29">
        <f>SUM($AC$923:$AC1379)</f>
        <v>49500</v>
      </c>
      <c r="U1379" s="25" t="str">
        <f t="shared" si="451"/>
        <v/>
      </c>
      <c r="V1379" s="24" t="str">
        <f>IF(AND(ISNUMBER(R1378),ISNUMBER(R1379)),V1378,IF(AND(R1378="",ISNUMBER(R1379)),IFERROR(LARGE($V$923:$V1378,1)+1,0),""))</f>
        <v/>
      </c>
      <c r="W1379" s="23" t="str">
        <f t="shared" si="463"/>
        <v/>
      </c>
      <c r="X1379" s="22" t="str">
        <f t="shared" si="464"/>
        <v/>
      </c>
      <c r="Y1379" s="236"/>
      <c r="Z1379" s="22"/>
      <c r="AA1379" s="22"/>
      <c r="AB1379" s="22" t="str">
        <f t="shared" si="442"/>
        <v/>
      </c>
      <c r="AC1379" s="22" t="str">
        <f t="shared" si="443"/>
        <v/>
      </c>
      <c r="AD1379" s="22" t="str">
        <f t="shared" si="452"/>
        <v/>
      </c>
      <c r="AE1379" s="22" t="str">
        <f t="shared" si="444"/>
        <v/>
      </c>
      <c r="AF1379" s="22" t="str">
        <f t="shared" si="453"/>
        <v/>
      </c>
      <c r="AG1379" s="22" t="str">
        <f t="shared" si="454"/>
        <v/>
      </c>
      <c r="AH1379" s="22" t="str">
        <f t="shared" si="455"/>
        <v/>
      </c>
      <c r="AI1379" s="22" t="str">
        <f t="shared" si="456"/>
        <v/>
      </c>
      <c r="AJ1379" s="304" t="str">
        <f t="shared" si="457"/>
        <v/>
      </c>
      <c r="AK1379" s="140" t="str">
        <f t="shared" si="458"/>
        <v/>
      </c>
    </row>
    <row r="1380" spans="7:37" x14ac:dyDescent="0.25">
      <c r="G1380" s="235" t="str">
        <f t="shared" si="447"/>
        <v/>
      </c>
      <c r="H1380" s="4" t="str">
        <f t="shared" si="446"/>
        <v/>
      </c>
      <c r="I1380" s="11" t="str">
        <f t="shared" si="448"/>
        <v/>
      </c>
      <c r="K1380" s="30">
        <v>458</v>
      </c>
      <c r="L1380" s="29">
        <f t="shared" si="459"/>
        <v>11371.908376190921</v>
      </c>
      <c r="M1380" s="28" t="str">
        <f t="shared" si="449"/>
        <v/>
      </c>
      <c r="N1380" s="27" t="str">
        <f t="shared" si="460"/>
        <v/>
      </c>
      <c r="O1380" s="26" t="str">
        <f>IF(AND($Q1379=$O$38,IFERROR(LARGE($V$923:$V1379,1)&lt;$N$42,TRUE)),1,IF(AND(ISNUMBER($O1379),$O1379&lt;$N$32),$O1379+1,""))</f>
        <v/>
      </c>
      <c r="P1380" s="26" t="str">
        <f t="shared" si="461"/>
        <v/>
      </c>
      <c r="Q1380" s="26" t="str">
        <f t="shared" si="450"/>
        <v/>
      </c>
      <c r="R1380" s="24" t="str">
        <f t="shared" si="462"/>
        <v/>
      </c>
      <c r="S1380" s="180">
        <f t="shared" si="445"/>
        <v>8</v>
      </c>
      <c r="T1380" s="29">
        <f>SUM($AC$923:$AC1380)</f>
        <v>49500</v>
      </c>
      <c r="U1380" s="25" t="str">
        <f t="shared" si="451"/>
        <v/>
      </c>
      <c r="V1380" s="24" t="str">
        <f>IF(AND(ISNUMBER(R1379),ISNUMBER(R1380)),V1379,IF(AND(R1379="",ISNUMBER(R1380)),IFERROR(LARGE($V$923:$V1379,1)+1,0),""))</f>
        <v/>
      </c>
      <c r="W1380" s="23" t="str">
        <f t="shared" si="463"/>
        <v/>
      </c>
      <c r="X1380" s="22" t="str">
        <f t="shared" si="464"/>
        <v/>
      </c>
      <c r="Y1380" s="236"/>
      <c r="Z1380" s="22"/>
      <c r="AA1380" s="22"/>
      <c r="AB1380" s="22" t="str">
        <f t="shared" si="442"/>
        <v/>
      </c>
      <c r="AC1380" s="22" t="str">
        <f t="shared" si="443"/>
        <v/>
      </c>
      <c r="AD1380" s="22" t="str">
        <f t="shared" si="452"/>
        <v/>
      </c>
      <c r="AE1380" s="22" t="str">
        <f t="shared" si="444"/>
        <v/>
      </c>
      <c r="AF1380" s="22" t="str">
        <f t="shared" si="453"/>
        <v/>
      </c>
      <c r="AG1380" s="22" t="str">
        <f t="shared" si="454"/>
        <v/>
      </c>
      <c r="AH1380" s="22" t="str">
        <f t="shared" si="455"/>
        <v/>
      </c>
      <c r="AI1380" s="22" t="str">
        <f t="shared" si="456"/>
        <v/>
      </c>
      <c r="AJ1380" s="304" t="str">
        <f t="shared" si="457"/>
        <v/>
      </c>
      <c r="AK1380" s="140" t="str">
        <f t="shared" si="458"/>
        <v/>
      </c>
    </row>
    <row r="1381" spans="7:37" x14ac:dyDescent="0.25">
      <c r="G1381" s="235" t="str">
        <f t="shared" si="447"/>
        <v/>
      </c>
      <c r="H1381" s="4" t="str">
        <f t="shared" si="446"/>
        <v/>
      </c>
      <c r="I1381" s="11" t="str">
        <f t="shared" si="448"/>
        <v/>
      </c>
      <c r="K1381" s="30">
        <v>459</v>
      </c>
      <c r="L1381" s="29">
        <f t="shared" si="459"/>
        <v>11371.908376190921</v>
      </c>
      <c r="M1381" s="28" t="str">
        <f t="shared" si="449"/>
        <v/>
      </c>
      <c r="N1381" s="27" t="str">
        <f t="shared" si="460"/>
        <v/>
      </c>
      <c r="O1381" s="26" t="str">
        <f>IF(AND($Q1380=$O$38,IFERROR(LARGE($V$923:$V1380,1)&lt;$N$42,TRUE)),1,IF(AND(ISNUMBER($O1380),$O1380&lt;$N$32),$O1380+1,""))</f>
        <v/>
      </c>
      <c r="P1381" s="26" t="str">
        <f t="shared" si="461"/>
        <v/>
      </c>
      <c r="Q1381" s="26" t="str">
        <f t="shared" si="450"/>
        <v/>
      </c>
      <c r="R1381" s="24" t="str">
        <f t="shared" si="462"/>
        <v/>
      </c>
      <c r="S1381" s="180">
        <f t="shared" si="445"/>
        <v>8</v>
      </c>
      <c r="T1381" s="29">
        <f>SUM($AC$923:$AC1381)</f>
        <v>49500</v>
      </c>
      <c r="U1381" s="25" t="str">
        <f t="shared" si="451"/>
        <v/>
      </c>
      <c r="V1381" s="24" t="str">
        <f>IF(AND(ISNUMBER(R1380),ISNUMBER(R1381)),V1380,IF(AND(R1380="",ISNUMBER(R1381)),IFERROR(LARGE($V$923:$V1380,1)+1,0),""))</f>
        <v/>
      </c>
      <c r="W1381" s="23" t="str">
        <f t="shared" si="463"/>
        <v/>
      </c>
      <c r="X1381" s="22" t="str">
        <f t="shared" si="464"/>
        <v/>
      </c>
      <c r="Y1381" s="236"/>
      <c r="Z1381" s="22"/>
      <c r="AA1381" s="22"/>
      <c r="AB1381" s="22" t="str">
        <f t="shared" si="442"/>
        <v/>
      </c>
      <c r="AC1381" s="22" t="str">
        <f t="shared" si="443"/>
        <v/>
      </c>
      <c r="AD1381" s="22" t="str">
        <f t="shared" si="452"/>
        <v/>
      </c>
      <c r="AE1381" s="22" t="str">
        <f t="shared" si="444"/>
        <v/>
      </c>
      <c r="AF1381" s="22" t="str">
        <f t="shared" si="453"/>
        <v/>
      </c>
      <c r="AG1381" s="22" t="str">
        <f t="shared" si="454"/>
        <v/>
      </c>
      <c r="AH1381" s="22" t="str">
        <f t="shared" si="455"/>
        <v/>
      </c>
      <c r="AI1381" s="22" t="str">
        <f t="shared" si="456"/>
        <v/>
      </c>
      <c r="AJ1381" s="304" t="str">
        <f t="shared" si="457"/>
        <v/>
      </c>
      <c r="AK1381" s="140" t="str">
        <f t="shared" si="458"/>
        <v/>
      </c>
    </row>
    <row r="1382" spans="7:37" x14ac:dyDescent="0.25">
      <c r="G1382" s="235" t="str">
        <f t="shared" si="447"/>
        <v/>
      </c>
      <c r="H1382" s="4" t="str">
        <f t="shared" si="446"/>
        <v/>
      </c>
      <c r="I1382" s="11" t="str">
        <f t="shared" si="448"/>
        <v/>
      </c>
      <c r="K1382" s="30">
        <v>460</v>
      </c>
      <c r="L1382" s="29">
        <f t="shared" si="459"/>
        <v>11371.908376190921</v>
      </c>
      <c r="M1382" s="28" t="str">
        <f t="shared" si="449"/>
        <v/>
      </c>
      <c r="N1382" s="27" t="str">
        <f t="shared" si="460"/>
        <v/>
      </c>
      <c r="O1382" s="26" t="str">
        <f>IF(AND($Q1381=$O$38,IFERROR(LARGE($V$923:$V1381,1)&lt;$N$42,TRUE)),1,IF(AND(ISNUMBER($O1381),$O1381&lt;$N$32),$O1381+1,""))</f>
        <v/>
      </c>
      <c r="P1382" s="26" t="str">
        <f t="shared" si="461"/>
        <v/>
      </c>
      <c r="Q1382" s="26" t="str">
        <f t="shared" si="450"/>
        <v/>
      </c>
      <c r="R1382" s="24" t="str">
        <f t="shared" si="462"/>
        <v/>
      </c>
      <c r="S1382" s="180">
        <f t="shared" si="445"/>
        <v>8</v>
      </c>
      <c r="T1382" s="29">
        <f>SUM($AC$923:$AC1382)</f>
        <v>49500</v>
      </c>
      <c r="U1382" s="25" t="str">
        <f t="shared" si="451"/>
        <v/>
      </c>
      <c r="V1382" s="24" t="str">
        <f>IF(AND(ISNUMBER(R1381),ISNUMBER(R1382)),V1381,IF(AND(R1381="",ISNUMBER(R1382)),IFERROR(LARGE($V$923:$V1381,1)+1,0),""))</f>
        <v/>
      </c>
      <c r="W1382" s="23" t="str">
        <f t="shared" si="463"/>
        <v/>
      </c>
      <c r="X1382" s="22" t="str">
        <f t="shared" si="464"/>
        <v/>
      </c>
      <c r="Y1382" s="236"/>
      <c r="Z1382" s="22"/>
      <c r="AA1382" s="22"/>
      <c r="AB1382" s="22" t="str">
        <f t="shared" si="442"/>
        <v/>
      </c>
      <c r="AC1382" s="22" t="str">
        <f t="shared" si="443"/>
        <v/>
      </c>
      <c r="AD1382" s="22" t="str">
        <f t="shared" si="452"/>
        <v/>
      </c>
      <c r="AE1382" s="22" t="str">
        <f t="shared" si="444"/>
        <v/>
      </c>
      <c r="AF1382" s="22" t="str">
        <f t="shared" si="453"/>
        <v/>
      </c>
      <c r="AG1382" s="22" t="str">
        <f t="shared" si="454"/>
        <v/>
      </c>
      <c r="AH1382" s="22" t="str">
        <f t="shared" si="455"/>
        <v/>
      </c>
      <c r="AI1382" s="22" t="str">
        <f t="shared" si="456"/>
        <v/>
      </c>
      <c r="AJ1382" s="304" t="str">
        <f t="shared" si="457"/>
        <v/>
      </c>
      <c r="AK1382" s="140" t="str">
        <f t="shared" si="458"/>
        <v/>
      </c>
    </row>
    <row r="1383" spans="7:37" x14ac:dyDescent="0.25">
      <c r="G1383" s="235" t="str">
        <f t="shared" si="447"/>
        <v/>
      </c>
      <c r="H1383" s="4" t="str">
        <f t="shared" si="446"/>
        <v/>
      </c>
      <c r="I1383" s="11" t="str">
        <f t="shared" si="448"/>
        <v/>
      </c>
      <c r="K1383" s="30">
        <v>461</v>
      </c>
      <c r="L1383" s="29">
        <f t="shared" si="459"/>
        <v>11371.908376190921</v>
      </c>
      <c r="M1383" s="28" t="str">
        <f t="shared" si="449"/>
        <v/>
      </c>
      <c r="N1383" s="27" t="str">
        <f t="shared" si="460"/>
        <v/>
      </c>
      <c r="O1383" s="26" t="str">
        <f>IF(AND($Q1382=$O$38,IFERROR(LARGE($V$923:$V1382,1)&lt;$N$42,TRUE)),1,IF(AND(ISNUMBER($O1382),$O1382&lt;$N$32),$O1382+1,""))</f>
        <v/>
      </c>
      <c r="P1383" s="26" t="str">
        <f t="shared" si="461"/>
        <v/>
      </c>
      <c r="Q1383" s="26" t="str">
        <f t="shared" si="450"/>
        <v/>
      </c>
      <c r="R1383" s="24" t="str">
        <f t="shared" si="462"/>
        <v/>
      </c>
      <c r="S1383" s="180">
        <f t="shared" si="445"/>
        <v>8</v>
      </c>
      <c r="T1383" s="29">
        <f>SUM($AC$923:$AC1383)</f>
        <v>49500</v>
      </c>
      <c r="U1383" s="25" t="str">
        <f t="shared" si="451"/>
        <v/>
      </c>
      <c r="V1383" s="24" t="str">
        <f>IF(AND(ISNUMBER(R1382),ISNUMBER(R1383)),V1382,IF(AND(R1382="",ISNUMBER(R1383)),IFERROR(LARGE($V$923:$V1382,1)+1,0),""))</f>
        <v/>
      </c>
      <c r="W1383" s="23" t="str">
        <f t="shared" si="463"/>
        <v/>
      </c>
      <c r="X1383" s="22" t="str">
        <f t="shared" si="464"/>
        <v/>
      </c>
      <c r="Y1383" s="236"/>
      <c r="Z1383" s="22"/>
      <c r="AA1383" s="22"/>
      <c r="AB1383" s="22" t="str">
        <f t="shared" si="442"/>
        <v/>
      </c>
      <c r="AC1383" s="22" t="str">
        <f t="shared" si="443"/>
        <v/>
      </c>
      <c r="AD1383" s="22" t="str">
        <f t="shared" si="452"/>
        <v/>
      </c>
      <c r="AE1383" s="22" t="str">
        <f t="shared" si="444"/>
        <v/>
      </c>
      <c r="AF1383" s="22" t="str">
        <f t="shared" si="453"/>
        <v/>
      </c>
      <c r="AG1383" s="22" t="str">
        <f t="shared" si="454"/>
        <v/>
      </c>
      <c r="AH1383" s="22" t="str">
        <f t="shared" si="455"/>
        <v/>
      </c>
      <c r="AI1383" s="22" t="str">
        <f t="shared" si="456"/>
        <v/>
      </c>
      <c r="AJ1383" s="304" t="str">
        <f t="shared" si="457"/>
        <v/>
      </c>
      <c r="AK1383" s="140" t="str">
        <f t="shared" si="458"/>
        <v/>
      </c>
    </row>
    <row r="1384" spans="7:37" x14ac:dyDescent="0.25">
      <c r="G1384" s="235" t="str">
        <f t="shared" si="447"/>
        <v/>
      </c>
      <c r="H1384" s="4" t="str">
        <f t="shared" si="446"/>
        <v/>
      </c>
      <c r="I1384" s="11" t="str">
        <f t="shared" si="448"/>
        <v/>
      </c>
      <c r="K1384" s="30">
        <v>462</v>
      </c>
      <c r="L1384" s="29">
        <f t="shared" si="459"/>
        <v>11371.908376190921</v>
      </c>
      <c r="M1384" s="28" t="str">
        <f t="shared" si="449"/>
        <v/>
      </c>
      <c r="N1384" s="27" t="str">
        <f t="shared" si="460"/>
        <v/>
      </c>
      <c r="O1384" s="26" t="str">
        <f>IF(AND($Q1383=$O$38,IFERROR(LARGE($V$923:$V1383,1)&lt;$N$42,TRUE)),1,IF(AND(ISNUMBER($O1383),$O1383&lt;$N$32),$O1383+1,""))</f>
        <v/>
      </c>
      <c r="P1384" s="26" t="str">
        <f t="shared" si="461"/>
        <v/>
      </c>
      <c r="Q1384" s="26" t="str">
        <f t="shared" si="450"/>
        <v/>
      </c>
      <c r="R1384" s="24" t="str">
        <f t="shared" si="462"/>
        <v/>
      </c>
      <c r="S1384" s="180">
        <f t="shared" si="445"/>
        <v>8</v>
      </c>
      <c r="T1384" s="29">
        <f>SUM($AC$923:$AC1384)</f>
        <v>49500</v>
      </c>
      <c r="U1384" s="25" t="str">
        <f t="shared" si="451"/>
        <v/>
      </c>
      <c r="V1384" s="24" t="str">
        <f>IF(AND(ISNUMBER(R1383),ISNUMBER(R1384)),V1383,IF(AND(R1383="",ISNUMBER(R1384)),IFERROR(LARGE($V$923:$V1383,1)+1,0),""))</f>
        <v/>
      </c>
      <c r="W1384" s="23" t="str">
        <f t="shared" si="463"/>
        <v/>
      </c>
      <c r="X1384" s="22" t="str">
        <f t="shared" si="464"/>
        <v/>
      </c>
      <c r="Y1384" s="236"/>
      <c r="Z1384" s="22"/>
      <c r="AA1384" s="22"/>
      <c r="AB1384" s="22" t="str">
        <f t="shared" si="442"/>
        <v/>
      </c>
      <c r="AC1384" s="22" t="str">
        <f t="shared" si="443"/>
        <v/>
      </c>
      <c r="AD1384" s="22" t="str">
        <f t="shared" si="452"/>
        <v/>
      </c>
      <c r="AE1384" s="22" t="str">
        <f t="shared" si="444"/>
        <v/>
      </c>
      <c r="AF1384" s="22" t="str">
        <f t="shared" si="453"/>
        <v/>
      </c>
      <c r="AG1384" s="22" t="str">
        <f t="shared" si="454"/>
        <v/>
      </c>
      <c r="AH1384" s="22" t="str">
        <f t="shared" si="455"/>
        <v/>
      </c>
      <c r="AI1384" s="22" t="str">
        <f t="shared" si="456"/>
        <v/>
      </c>
      <c r="AJ1384" s="304" t="str">
        <f t="shared" si="457"/>
        <v/>
      </c>
      <c r="AK1384" s="140" t="str">
        <f t="shared" si="458"/>
        <v/>
      </c>
    </row>
    <row r="1385" spans="7:37" x14ac:dyDescent="0.25">
      <c r="G1385" s="235" t="str">
        <f t="shared" si="447"/>
        <v/>
      </c>
      <c r="H1385" s="4" t="str">
        <f t="shared" si="446"/>
        <v/>
      </c>
      <c r="I1385" s="11" t="str">
        <f t="shared" si="448"/>
        <v/>
      </c>
      <c r="K1385" s="30">
        <v>463</v>
      </c>
      <c r="L1385" s="29">
        <f t="shared" si="459"/>
        <v>11371.908376190921</v>
      </c>
      <c r="M1385" s="28" t="str">
        <f t="shared" si="449"/>
        <v/>
      </c>
      <c r="N1385" s="27" t="str">
        <f t="shared" si="460"/>
        <v/>
      </c>
      <c r="O1385" s="26" t="str">
        <f>IF(AND($Q1384=$O$38,IFERROR(LARGE($V$923:$V1384,1)&lt;$N$42,TRUE)),1,IF(AND(ISNUMBER($O1384),$O1384&lt;$N$32),$O1384+1,""))</f>
        <v/>
      </c>
      <c r="P1385" s="26" t="str">
        <f t="shared" si="461"/>
        <v/>
      </c>
      <c r="Q1385" s="26" t="str">
        <f t="shared" si="450"/>
        <v/>
      </c>
      <c r="R1385" s="24" t="str">
        <f t="shared" si="462"/>
        <v/>
      </c>
      <c r="S1385" s="180">
        <f t="shared" si="445"/>
        <v>8</v>
      </c>
      <c r="T1385" s="29">
        <f>SUM($AC$923:$AC1385)</f>
        <v>49500</v>
      </c>
      <c r="U1385" s="25" t="str">
        <f t="shared" si="451"/>
        <v/>
      </c>
      <c r="V1385" s="24" t="str">
        <f>IF(AND(ISNUMBER(R1384),ISNUMBER(R1385)),V1384,IF(AND(R1384="",ISNUMBER(R1385)),IFERROR(LARGE($V$923:$V1384,1)+1,0),""))</f>
        <v/>
      </c>
      <c r="W1385" s="23" t="str">
        <f t="shared" si="463"/>
        <v/>
      </c>
      <c r="X1385" s="22" t="str">
        <f t="shared" si="464"/>
        <v/>
      </c>
      <c r="Y1385" s="236"/>
      <c r="Z1385" s="22"/>
      <c r="AA1385" s="22"/>
      <c r="AB1385" s="22" t="str">
        <f t="shared" si="442"/>
        <v/>
      </c>
      <c r="AC1385" s="22" t="str">
        <f t="shared" si="443"/>
        <v/>
      </c>
      <c r="AD1385" s="22" t="str">
        <f t="shared" si="452"/>
        <v/>
      </c>
      <c r="AE1385" s="22" t="str">
        <f t="shared" si="444"/>
        <v/>
      </c>
      <c r="AF1385" s="22" t="str">
        <f t="shared" si="453"/>
        <v/>
      </c>
      <c r="AG1385" s="22" t="str">
        <f t="shared" si="454"/>
        <v/>
      </c>
      <c r="AH1385" s="22" t="str">
        <f t="shared" si="455"/>
        <v/>
      </c>
      <c r="AI1385" s="22" t="str">
        <f t="shared" si="456"/>
        <v/>
      </c>
      <c r="AJ1385" s="304" t="str">
        <f t="shared" si="457"/>
        <v/>
      </c>
      <c r="AK1385" s="140" t="str">
        <f t="shared" si="458"/>
        <v/>
      </c>
    </row>
    <row r="1386" spans="7:37" x14ac:dyDescent="0.25">
      <c r="G1386" s="235" t="str">
        <f t="shared" si="447"/>
        <v/>
      </c>
      <c r="H1386" s="4" t="str">
        <f t="shared" si="446"/>
        <v/>
      </c>
      <c r="I1386" s="11" t="str">
        <f t="shared" si="448"/>
        <v/>
      </c>
      <c r="K1386" s="30">
        <v>464</v>
      </c>
      <c r="L1386" s="29">
        <f t="shared" si="459"/>
        <v>11371.908376190921</v>
      </c>
      <c r="M1386" s="28" t="str">
        <f t="shared" si="449"/>
        <v/>
      </c>
      <c r="N1386" s="27" t="str">
        <f t="shared" si="460"/>
        <v/>
      </c>
      <c r="O1386" s="26" t="str">
        <f>IF(AND($Q1385=$O$38,IFERROR(LARGE($V$923:$V1385,1)&lt;$N$42,TRUE)),1,IF(AND(ISNUMBER($O1385),$O1385&lt;$N$32),$O1385+1,""))</f>
        <v/>
      </c>
      <c r="P1386" s="26" t="str">
        <f t="shared" si="461"/>
        <v/>
      </c>
      <c r="Q1386" s="26" t="str">
        <f t="shared" si="450"/>
        <v/>
      </c>
      <c r="R1386" s="24" t="str">
        <f t="shared" si="462"/>
        <v/>
      </c>
      <c r="S1386" s="180">
        <f t="shared" si="445"/>
        <v>8</v>
      </c>
      <c r="T1386" s="29">
        <f>SUM($AC$923:$AC1386)</f>
        <v>49500</v>
      </c>
      <c r="U1386" s="25" t="str">
        <f t="shared" si="451"/>
        <v/>
      </c>
      <c r="V1386" s="24" t="str">
        <f>IF(AND(ISNUMBER(R1385),ISNUMBER(R1386)),V1385,IF(AND(R1385="",ISNUMBER(R1386)),IFERROR(LARGE($V$923:$V1385,1)+1,0),""))</f>
        <v/>
      </c>
      <c r="W1386" s="23" t="str">
        <f t="shared" si="463"/>
        <v/>
      </c>
      <c r="X1386" s="22" t="str">
        <f t="shared" si="464"/>
        <v/>
      </c>
      <c r="Y1386" s="236"/>
      <c r="Z1386" s="22"/>
      <c r="AA1386" s="22"/>
      <c r="AB1386" s="22" t="str">
        <f t="shared" si="442"/>
        <v/>
      </c>
      <c r="AC1386" s="22" t="str">
        <f t="shared" si="443"/>
        <v/>
      </c>
      <c r="AD1386" s="22" t="str">
        <f t="shared" si="452"/>
        <v/>
      </c>
      <c r="AE1386" s="22" t="str">
        <f t="shared" si="444"/>
        <v/>
      </c>
      <c r="AF1386" s="22" t="str">
        <f t="shared" si="453"/>
        <v/>
      </c>
      <c r="AG1386" s="22" t="str">
        <f t="shared" si="454"/>
        <v/>
      </c>
      <c r="AH1386" s="22" t="str">
        <f t="shared" si="455"/>
        <v/>
      </c>
      <c r="AI1386" s="22" t="str">
        <f t="shared" si="456"/>
        <v/>
      </c>
      <c r="AJ1386" s="304" t="str">
        <f t="shared" si="457"/>
        <v/>
      </c>
      <c r="AK1386" s="140" t="str">
        <f t="shared" si="458"/>
        <v/>
      </c>
    </row>
    <row r="1387" spans="7:37" x14ac:dyDescent="0.25">
      <c r="G1387" s="235" t="str">
        <f t="shared" si="447"/>
        <v/>
      </c>
      <c r="H1387" s="4" t="str">
        <f t="shared" si="446"/>
        <v/>
      </c>
      <c r="I1387" s="11" t="str">
        <f t="shared" si="448"/>
        <v/>
      </c>
      <c r="K1387" s="30">
        <v>465</v>
      </c>
      <c r="L1387" s="29">
        <f t="shared" si="459"/>
        <v>11371.908376190921</v>
      </c>
      <c r="M1387" s="28" t="str">
        <f t="shared" si="449"/>
        <v/>
      </c>
      <c r="N1387" s="27" t="str">
        <f t="shared" si="460"/>
        <v/>
      </c>
      <c r="O1387" s="26" t="str">
        <f>IF(AND($Q1386=$O$38,IFERROR(LARGE($V$923:$V1386,1)&lt;$N$42,TRUE)),1,IF(AND(ISNUMBER($O1386),$O1386&lt;$N$32),$O1386+1,""))</f>
        <v/>
      </c>
      <c r="P1387" s="26" t="str">
        <f t="shared" si="461"/>
        <v/>
      </c>
      <c r="Q1387" s="26" t="str">
        <f t="shared" si="450"/>
        <v/>
      </c>
      <c r="R1387" s="24" t="str">
        <f t="shared" si="462"/>
        <v/>
      </c>
      <c r="S1387" s="180">
        <f t="shared" si="445"/>
        <v>8</v>
      </c>
      <c r="T1387" s="29">
        <f>SUM($AC$923:$AC1387)</f>
        <v>49500</v>
      </c>
      <c r="U1387" s="25" t="str">
        <f t="shared" si="451"/>
        <v/>
      </c>
      <c r="V1387" s="24" t="str">
        <f>IF(AND(ISNUMBER(R1386),ISNUMBER(R1387)),V1386,IF(AND(R1386="",ISNUMBER(R1387)),IFERROR(LARGE($V$923:$V1386,1)+1,0),""))</f>
        <v/>
      </c>
      <c r="W1387" s="23" t="str">
        <f t="shared" si="463"/>
        <v/>
      </c>
      <c r="X1387" s="22" t="str">
        <f t="shared" si="464"/>
        <v/>
      </c>
      <c r="Y1387" s="236"/>
      <c r="Z1387" s="22"/>
      <c r="AA1387" s="22"/>
      <c r="AB1387" s="22" t="str">
        <f t="shared" ref="AB1387:AB1450" si="465">IF((IF(AND($P1386="",$P1387=1),($N$37*-1),0)+IF(AND($Q1386="",$Q1387=1),($N$38*-1),0)+IF(OR(AND(ISNUMBER($U1387),IF(ISNUMBER($U1388),$U1388,0)-IF(ISNUMBER($U1387),$U1387,0)=1),AND(ISNUMBER($U1387),$U1388="")),IF($U1387=1,$P$37,0),0))=0,"",(IF(AND($P1386="",$P1387=1),($N$37*-1),0)+IF(AND($Q1386="",$Q1387=1),($N$38*-1),0)+IF(OR(AND(ISNUMBER($U1387),IF(ISNUMBER($U1388),$U1388,0)-IF(ISNUMBER($U1387),$U1387,0)=1),AND(ISNUMBER($U1387),$U1388="")),IF($U1387=1,$P$37,0),0)))</f>
        <v/>
      </c>
      <c r="AC1387" s="22" t="str">
        <f t="shared" ref="AC1387:AC1450" si="466">IF(IF(OR(AND(ISNUMBER($U1387),IF(ISNUMBER($U1388),$U1388,0)-IF(ISNUMBER($U1387),$U1387,0)=1),AND(ISNUMBER($U1387),$U1388="")),VLOOKUP(IF($U1387&gt;$L$63,$L$63,$U1387),$L$52:$N$63,COLUMNS($L$52:$N$52),FALSE),0)=0,"",IF(OR(AND(ISNUMBER($U1387),IF(ISNUMBER($U1388),$U1388,0)-IF(ISNUMBER($U1387),$U1387,0)=1),AND(ISNUMBER($U1387),$U1388="")),VLOOKUP(IF($U1387&gt;$L$63,$L$63,$U1387),$L$52:$N$63,COLUMNS($L$52:$N$52),FALSE),0))</f>
        <v/>
      </c>
      <c r="AD1387" s="22" t="str">
        <f t="shared" si="452"/>
        <v/>
      </c>
      <c r="AE1387" s="22" t="str">
        <f t="shared" ref="AE1387:AE1450" si="467">$AC1387</f>
        <v/>
      </c>
      <c r="AF1387" s="22" t="str">
        <f t="shared" si="453"/>
        <v/>
      </c>
      <c r="AG1387" s="22" t="str">
        <f t="shared" si="454"/>
        <v/>
      </c>
      <c r="AH1387" s="22" t="str">
        <f t="shared" si="455"/>
        <v/>
      </c>
      <c r="AI1387" s="22" t="str">
        <f t="shared" si="456"/>
        <v/>
      </c>
      <c r="AJ1387" s="304" t="str">
        <f t="shared" si="457"/>
        <v/>
      </c>
      <c r="AK1387" s="140" t="str">
        <f t="shared" si="458"/>
        <v/>
      </c>
    </row>
    <row r="1388" spans="7:37" x14ac:dyDescent="0.25">
      <c r="G1388" s="235" t="str">
        <f t="shared" si="447"/>
        <v/>
      </c>
      <c r="H1388" s="4" t="str">
        <f t="shared" si="446"/>
        <v/>
      </c>
      <c r="I1388" s="11" t="str">
        <f t="shared" si="448"/>
        <v/>
      </c>
      <c r="K1388" s="30">
        <v>466</v>
      </c>
      <c r="L1388" s="29">
        <f t="shared" si="459"/>
        <v>11371.908376190921</v>
      </c>
      <c r="M1388" s="28" t="str">
        <f t="shared" si="449"/>
        <v/>
      </c>
      <c r="N1388" s="27" t="str">
        <f t="shared" si="460"/>
        <v/>
      </c>
      <c r="O1388" s="26" t="str">
        <f>IF(AND($Q1387=$O$38,IFERROR(LARGE($V$923:$V1387,1)&lt;$N$42,TRUE)),1,IF(AND(ISNUMBER($O1387),$O1387&lt;$N$32),$O1387+1,""))</f>
        <v/>
      </c>
      <c r="P1388" s="26" t="str">
        <f t="shared" si="461"/>
        <v/>
      </c>
      <c r="Q1388" s="26" t="str">
        <f t="shared" si="450"/>
        <v/>
      </c>
      <c r="R1388" s="24" t="str">
        <f t="shared" si="462"/>
        <v/>
      </c>
      <c r="S1388" s="180">
        <f t="shared" si="445"/>
        <v>8</v>
      </c>
      <c r="T1388" s="29">
        <f>SUM($AC$923:$AC1388)</f>
        <v>49500</v>
      </c>
      <c r="U1388" s="25" t="str">
        <f t="shared" si="451"/>
        <v/>
      </c>
      <c r="V1388" s="24" t="str">
        <f>IF(AND(ISNUMBER(R1387),ISNUMBER(R1388)),V1387,IF(AND(R1387="",ISNUMBER(R1388)),IFERROR(LARGE($V$923:$V1387,1)+1,0),""))</f>
        <v/>
      </c>
      <c r="W1388" s="23" t="str">
        <f t="shared" si="463"/>
        <v/>
      </c>
      <c r="X1388" s="22" t="str">
        <f t="shared" si="464"/>
        <v/>
      </c>
      <c r="Y1388" s="236"/>
      <c r="Z1388" s="22"/>
      <c r="AA1388" s="22"/>
      <c r="AB1388" s="22" t="str">
        <f t="shared" si="465"/>
        <v/>
      </c>
      <c r="AC1388" s="22" t="str">
        <f t="shared" si="466"/>
        <v/>
      </c>
      <c r="AD1388" s="22" t="str">
        <f t="shared" si="452"/>
        <v/>
      </c>
      <c r="AE1388" s="22" t="str">
        <f t="shared" si="467"/>
        <v/>
      </c>
      <c r="AF1388" s="22" t="str">
        <f t="shared" si="453"/>
        <v/>
      </c>
      <c r="AG1388" s="22" t="str">
        <f t="shared" si="454"/>
        <v/>
      </c>
      <c r="AH1388" s="22" t="str">
        <f t="shared" si="455"/>
        <v/>
      </c>
      <c r="AI1388" s="22" t="str">
        <f t="shared" si="456"/>
        <v/>
      </c>
      <c r="AJ1388" s="304" t="str">
        <f t="shared" si="457"/>
        <v/>
      </c>
      <c r="AK1388" s="140" t="str">
        <f t="shared" si="458"/>
        <v/>
      </c>
    </row>
    <row r="1389" spans="7:37" x14ac:dyDescent="0.25">
      <c r="G1389" s="235" t="str">
        <f t="shared" si="447"/>
        <v/>
      </c>
      <c r="H1389" s="4" t="str">
        <f t="shared" si="446"/>
        <v/>
      </c>
      <c r="I1389" s="11" t="str">
        <f t="shared" si="448"/>
        <v/>
      </c>
      <c r="K1389" s="30">
        <v>467</v>
      </c>
      <c r="L1389" s="29">
        <f t="shared" si="459"/>
        <v>11371.908376190921</v>
      </c>
      <c r="M1389" s="28" t="str">
        <f t="shared" si="449"/>
        <v/>
      </c>
      <c r="N1389" s="27" t="str">
        <f t="shared" si="460"/>
        <v/>
      </c>
      <c r="O1389" s="26" t="str">
        <f>IF(AND($Q1388=$O$38,IFERROR(LARGE($V$923:$V1388,1)&lt;$N$42,TRUE)),1,IF(AND(ISNUMBER($O1388),$O1388&lt;$N$32),$O1388+1,""))</f>
        <v/>
      </c>
      <c r="P1389" s="26" t="str">
        <f t="shared" si="461"/>
        <v/>
      </c>
      <c r="Q1389" s="26" t="str">
        <f t="shared" si="450"/>
        <v/>
      </c>
      <c r="R1389" s="24" t="str">
        <f t="shared" si="462"/>
        <v/>
      </c>
      <c r="S1389" s="180">
        <f t="shared" si="445"/>
        <v>8</v>
      </c>
      <c r="T1389" s="29">
        <f>SUM($AC$923:$AC1389)</f>
        <v>49500</v>
      </c>
      <c r="U1389" s="25" t="str">
        <f t="shared" si="451"/>
        <v/>
      </c>
      <c r="V1389" s="24" t="str">
        <f>IF(AND(ISNUMBER(R1388),ISNUMBER(R1389)),V1388,IF(AND(R1388="",ISNUMBER(R1389)),IFERROR(LARGE($V$923:$V1388,1)+1,0),""))</f>
        <v/>
      </c>
      <c r="W1389" s="23" t="str">
        <f t="shared" si="463"/>
        <v/>
      </c>
      <c r="X1389" s="22" t="str">
        <f t="shared" si="464"/>
        <v/>
      </c>
      <c r="Y1389" s="236"/>
      <c r="Z1389" s="22"/>
      <c r="AA1389" s="22"/>
      <c r="AB1389" s="22" t="str">
        <f t="shared" si="465"/>
        <v/>
      </c>
      <c r="AC1389" s="22" t="str">
        <f t="shared" si="466"/>
        <v/>
      </c>
      <c r="AD1389" s="22" t="str">
        <f t="shared" si="452"/>
        <v/>
      </c>
      <c r="AE1389" s="22" t="str">
        <f t="shared" si="467"/>
        <v/>
      </c>
      <c r="AF1389" s="22" t="str">
        <f t="shared" si="453"/>
        <v/>
      </c>
      <c r="AG1389" s="22" t="str">
        <f t="shared" si="454"/>
        <v/>
      </c>
      <c r="AH1389" s="22" t="str">
        <f t="shared" si="455"/>
        <v/>
      </c>
      <c r="AI1389" s="22" t="str">
        <f t="shared" si="456"/>
        <v/>
      </c>
      <c r="AJ1389" s="304" t="str">
        <f t="shared" si="457"/>
        <v/>
      </c>
      <c r="AK1389" s="140" t="str">
        <f t="shared" si="458"/>
        <v/>
      </c>
    </row>
    <row r="1390" spans="7:37" x14ac:dyDescent="0.25">
      <c r="G1390" s="235" t="str">
        <f t="shared" si="447"/>
        <v/>
      </c>
      <c r="H1390" s="4" t="str">
        <f t="shared" si="446"/>
        <v/>
      </c>
      <c r="I1390" s="11" t="str">
        <f t="shared" si="448"/>
        <v/>
      </c>
      <c r="K1390" s="30">
        <v>468</v>
      </c>
      <c r="L1390" s="29">
        <f t="shared" si="459"/>
        <v>11371.908376190921</v>
      </c>
      <c r="M1390" s="28" t="str">
        <f t="shared" si="449"/>
        <v/>
      </c>
      <c r="N1390" s="27" t="str">
        <f t="shared" si="460"/>
        <v/>
      </c>
      <c r="O1390" s="26" t="str">
        <f>IF(AND($Q1389=$O$38,IFERROR(LARGE($V$923:$V1389,1)&lt;$N$42,TRUE)),1,IF(AND(ISNUMBER($O1389),$O1389&lt;$N$32),$O1389+1,""))</f>
        <v/>
      </c>
      <c r="P1390" s="26" t="str">
        <f t="shared" si="461"/>
        <v/>
      </c>
      <c r="Q1390" s="26" t="str">
        <f t="shared" si="450"/>
        <v/>
      </c>
      <c r="R1390" s="24" t="str">
        <f t="shared" si="462"/>
        <v/>
      </c>
      <c r="S1390" s="180">
        <f t="shared" si="445"/>
        <v>8</v>
      </c>
      <c r="T1390" s="29">
        <f>SUM($AC$923:$AC1390)</f>
        <v>49500</v>
      </c>
      <c r="U1390" s="25" t="str">
        <f t="shared" si="451"/>
        <v/>
      </c>
      <c r="V1390" s="24" t="str">
        <f>IF(AND(ISNUMBER(R1389),ISNUMBER(R1390)),V1389,IF(AND(R1389="",ISNUMBER(R1390)),IFERROR(LARGE($V$923:$V1389,1)+1,0),""))</f>
        <v/>
      </c>
      <c r="W1390" s="23" t="str">
        <f t="shared" si="463"/>
        <v/>
      </c>
      <c r="X1390" s="22" t="str">
        <f t="shared" si="464"/>
        <v/>
      </c>
      <c r="Y1390" s="236"/>
      <c r="Z1390" s="22"/>
      <c r="AA1390" s="22"/>
      <c r="AB1390" s="22" t="str">
        <f t="shared" si="465"/>
        <v/>
      </c>
      <c r="AC1390" s="22" t="str">
        <f t="shared" si="466"/>
        <v/>
      </c>
      <c r="AD1390" s="22" t="str">
        <f t="shared" si="452"/>
        <v/>
      </c>
      <c r="AE1390" s="22" t="str">
        <f t="shared" si="467"/>
        <v/>
      </c>
      <c r="AF1390" s="22" t="str">
        <f t="shared" si="453"/>
        <v/>
      </c>
      <c r="AG1390" s="22" t="str">
        <f t="shared" si="454"/>
        <v/>
      </c>
      <c r="AH1390" s="22" t="str">
        <f t="shared" si="455"/>
        <v/>
      </c>
      <c r="AI1390" s="22" t="str">
        <f t="shared" si="456"/>
        <v/>
      </c>
      <c r="AJ1390" s="304" t="str">
        <f t="shared" si="457"/>
        <v/>
      </c>
      <c r="AK1390" s="140" t="str">
        <f t="shared" si="458"/>
        <v/>
      </c>
    </row>
    <row r="1391" spans="7:37" x14ac:dyDescent="0.25">
      <c r="G1391" s="235" t="str">
        <f t="shared" si="447"/>
        <v/>
      </c>
      <c r="H1391" s="4" t="str">
        <f t="shared" si="446"/>
        <v/>
      </c>
      <c r="I1391" s="11" t="str">
        <f t="shared" si="448"/>
        <v/>
      </c>
      <c r="K1391" s="30">
        <v>469</v>
      </c>
      <c r="L1391" s="29">
        <f t="shared" si="459"/>
        <v>11371.908376190921</v>
      </c>
      <c r="M1391" s="28" t="str">
        <f t="shared" si="449"/>
        <v/>
      </c>
      <c r="N1391" s="27" t="str">
        <f t="shared" si="460"/>
        <v/>
      </c>
      <c r="O1391" s="26" t="str">
        <f>IF(AND($Q1390=$O$38,IFERROR(LARGE($V$923:$V1390,1)&lt;$N$42,TRUE)),1,IF(AND(ISNUMBER($O1390),$O1390&lt;$N$32),$O1390+1,""))</f>
        <v/>
      </c>
      <c r="P1391" s="26" t="str">
        <f t="shared" si="461"/>
        <v/>
      </c>
      <c r="Q1391" s="26" t="str">
        <f t="shared" si="450"/>
        <v/>
      </c>
      <c r="R1391" s="24" t="str">
        <f t="shared" si="462"/>
        <v/>
      </c>
      <c r="S1391" s="180">
        <f t="shared" si="445"/>
        <v>8</v>
      </c>
      <c r="T1391" s="29">
        <f>SUM($AC$923:$AC1391)</f>
        <v>49500</v>
      </c>
      <c r="U1391" s="25" t="str">
        <f t="shared" si="451"/>
        <v/>
      </c>
      <c r="V1391" s="24" t="str">
        <f>IF(AND(ISNUMBER(R1390),ISNUMBER(R1391)),V1390,IF(AND(R1390="",ISNUMBER(R1391)),IFERROR(LARGE($V$923:$V1390,1)+1,0),""))</f>
        <v/>
      </c>
      <c r="W1391" s="23" t="str">
        <f t="shared" si="463"/>
        <v/>
      </c>
      <c r="X1391" s="22" t="str">
        <f t="shared" si="464"/>
        <v/>
      </c>
      <c r="Y1391" s="236"/>
      <c r="Z1391" s="22"/>
      <c r="AA1391" s="22"/>
      <c r="AB1391" s="22" t="str">
        <f t="shared" si="465"/>
        <v/>
      </c>
      <c r="AC1391" s="22" t="str">
        <f t="shared" si="466"/>
        <v/>
      </c>
      <c r="AD1391" s="22" t="str">
        <f t="shared" si="452"/>
        <v/>
      </c>
      <c r="AE1391" s="22" t="str">
        <f t="shared" si="467"/>
        <v/>
      </c>
      <c r="AF1391" s="22" t="str">
        <f t="shared" si="453"/>
        <v/>
      </c>
      <c r="AG1391" s="22" t="str">
        <f t="shared" si="454"/>
        <v/>
      </c>
      <c r="AH1391" s="22" t="str">
        <f t="shared" si="455"/>
        <v/>
      </c>
      <c r="AI1391" s="22" t="str">
        <f t="shared" si="456"/>
        <v/>
      </c>
      <c r="AJ1391" s="304" t="str">
        <f t="shared" si="457"/>
        <v/>
      </c>
      <c r="AK1391" s="140" t="str">
        <f t="shared" si="458"/>
        <v/>
      </c>
    </row>
    <row r="1392" spans="7:37" x14ac:dyDescent="0.25">
      <c r="G1392" s="235" t="str">
        <f t="shared" si="447"/>
        <v/>
      </c>
      <c r="H1392" s="4" t="str">
        <f t="shared" si="446"/>
        <v/>
      </c>
      <c r="I1392" s="11" t="str">
        <f t="shared" si="448"/>
        <v/>
      </c>
      <c r="K1392" s="30">
        <v>470</v>
      </c>
      <c r="L1392" s="29">
        <f t="shared" si="459"/>
        <v>11371.908376190921</v>
      </c>
      <c r="M1392" s="28" t="str">
        <f t="shared" si="449"/>
        <v/>
      </c>
      <c r="N1392" s="27" t="str">
        <f t="shared" si="460"/>
        <v/>
      </c>
      <c r="O1392" s="26" t="str">
        <f>IF(AND($Q1391=$O$38,IFERROR(LARGE($V$923:$V1391,1)&lt;$N$42,TRUE)),1,IF(AND(ISNUMBER($O1391),$O1391&lt;$N$32),$O1391+1,""))</f>
        <v/>
      </c>
      <c r="P1392" s="26" t="str">
        <f t="shared" si="461"/>
        <v/>
      </c>
      <c r="Q1392" s="26" t="str">
        <f t="shared" si="450"/>
        <v/>
      </c>
      <c r="R1392" s="24" t="str">
        <f t="shared" si="462"/>
        <v/>
      </c>
      <c r="S1392" s="180">
        <f t="shared" si="445"/>
        <v>8</v>
      </c>
      <c r="T1392" s="29">
        <f>SUM($AC$923:$AC1392)</f>
        <v>49500</v>
      </c>
      <c r="U1392" s="25" t="str">
        <f t="shared" si="451"/>
        <v/>
      </c>
      <c r="V1392" s="24" t="str">
        <f>IF(AND(ISNUMBER(R1391),ISNUMBER(R1392)),V1391,IF(AND(R1391="",ISNUMBER(R1392)),IFERROR(LARGE($V$923:$V1391,1)+1,0),""))</f>
        <v/>
      </c>
      <c r="W1392" s="23" t="str">
        <f t="shared" si="463"/>
        <v/>
      </c>
      <c r="X1392" s="22" t="str">
        <f t="shared" si="464"/>
        <v/>
      </c>
      <c r="Y1392" s="236"/>
      <c r="Z1392" s="22"/>
      <c r="AA1392" s="22"/>
      <c r="AB1392" s="22" t="str">
        <f t="shared" si="465"/>
        <v/>
      </c>
      <c r="AC1392" s="22" t="str">
        <f t="shared" si="466"/>
        <v/>
      </c>
      <c r="AD1392" s="22" t="str">
        <f t="shared" si="452"/>
        <v/>
      </c>
      <c r="AE1392" s="22" t="str">
        <f t="shared" si="467"/>
        <v/>
      </c>
      <c r="AF1392" s="22" t="str">
        <f t="shared" si="453"/>
        <v/>
      </c>
      <c r="AG1392" s="22" t="str">
        <f t="shared" si="454"/>
        <v/>
      </c>
      <c r="AH1392" s="22" t="str">
        <f t="shared" si="455"/>
        <v/>
      </c>
      <c r="AI1392" s="22" t="str">
        <f t="shared" si="456"/>
        <v/>
      </c>
      <c r="AJ1392" s="304" t="str">
        <f t="shared" si="457"/>
        <v/>
      </c>
      <c r="AK1392" s="140" t="str">
        <f t="shared" si="458"/>
        <v/>
      </c>
    </row>
    <row r="1393" spans="7:37" x14ac:dyDescent="0.25">
      <c r="G1393" s="235" t="str">
        <f t="shared" si="447"/>
        <v/>
      </c>
      <c r="H1393" s="4" t="str">
        <f t="shared" si="446"/>
        <v/>
      </c>
      <c r="I1393" s="11" t="str">
        <f t="shared" si="448"/>
        <v/>
      </c>
      <c r="K1393" s="30">
        <v>471</v>
      </c>
      <c r="L1393" s="29">
        <f t="shared" si="459"/>
        <v>11371.908376190921</v>
      </c>
      <c r="M1393" s="28" t="str">
        <f t="shared" si="449"/>
        <v/>
      </c>
      <c r="N1393" s="27" t="str">
        <f t="shared" si="460"/>
        <v/>
      </c>
      <c r="O1393" s="26" t="str">
        <f>IF(AND($Q1392=$O$38,IFERROR(LARGE($V$923:$V1392,1)&lt;$N$42,TRUE)),1,IF(AND(ISNUMBER($O1392),$O1392&lt;$N$32),$O1392+1,""))</f>
        <v/>
      </c>
      <c r="P1393" s="26" t="str">
        <f t="shared" si="461"/>
        <v/>
      </c>
      <c r="Q1393" s="26" t="str">
        <f t="shared" si="450"/>
        <v/>
      </c>
      <c r="R1393" s="24" t="str">
        <f t="shared" si="462"/>
        <v/>
      </c>
      <c r="S1393" s="180">
        <f t="shared" si="445"/>
        <v>8</v>
      </c>
      <c r="T1393" s="29">
        <f>SUM($AC$923:$AC1393)</f>
        <v>49500</v>
      </c>
      <c r="U1393" s="25" t="str">
        <f t="shared" si="451"/>
        <v/>
      </c>
      <c r="V1393" s="24" t="str">
        <f>IF(AND(ISNUMBER(R1392),ISNUMBER(R1393)),V1392,IF(AND(R1392="",ISNUMBER(R1393)),IFERROR(LARGE($V$923:$V1392,1)+1,0),""))</f>
        <v/>
      </c>
      <c r="W1393" s="23" t="str">
        <f t="shared" si="463"/>
        <v/>
      </c>
      <c r="X1393" s="22" t="str">
        <f t="shared" si="464"/>
        <v/>
      </c>
      <c r="Y1393" s="236"/>
      <c r="Z1393" s="22"/>
      <c r="AA1393" s="22"/>
      <c r="AB1393" s="22" t="str">
        <f t="shared" si="465"/>
        <v/>
      </c>
      <c r="AC1393" s="22" t="str">
        <f t="shared" si="466"/>
        <v/>
      </c>
      <c r="AD1393" s="22" t="str">
        <f t="shared" si="452"/>
        <v/>
      </c>
      <c r="AE1393" s="22" t="str">
        <f t="shared" si="467"/>
        <v/>
      </c>
      <c r="AF1393" s="22" t="str">
        <f t="shared" si="453"/>
        <v/>
      </c>
      <c r="AG1393" s="22" t="str">
        <f t="shared" si="454"/>
        <v/>
      </c>
      <c r="AH1393" s="22" t="str">
        <f t="shared" si="455"/>
        <v/>
      </c>
      <c r="AI1393" s="22" t="str">
        <f t="shared" si="456"/>
        <v/>
      </c>
      <c r="AJ1393" s="304" t="str">
        <f t="shared" si="457"/>
        <v/>
      </c>
      <c r="AK1393" s="140" t="str">
        <f t="shared" si="458"/>
        <v/>
      </c>
    </row>
    <row r="1394" spans="7:37" x14ac:dyDescent="0.25">
      <c r="G1394" s="235" t="str">
        <f t="shared" si="447"/>
        <v/>
      </c>
      <c r="H1394" s="4" t="str">
        <f t="shared" si="446"/>
        <v/>
      </c>
      <c r="I1394" s="11" t="str">
        <f t="shared" si="448"/>
        <v/>
      </c>
      <c r="K1394" s="30">
        <v>472</v>
      </c>
      <c r="L1394" s="29">
        <f t="shared" si="459"/>
        <v>11371.908376190921</v>
      </c>
      <c r="M1394" s="28" t="str">
        <f t="shared" si="449"/>
        <v/>
      </c>
      <c r="N1394" s="27" t="str">
        <f t="shared" si="460"/>
        <v/>
      </c>
      <c r="O1394" s="26" t="str">
        <f>IF(AND($Q1393=$O$38,IFERROR(LARGE($V$923:$V1393,1)&lt;$N$42,TRUE)),1,IF(AND(ISNUMBER($O1393),$O1393&lt;$N$32),$O1393+1,""))</f>
        <v/>
      </c>
      <c r="P1394" s="26" t="str">
        <f t="shared" si="461"/>
        <v/>
      </c>
      <c r="Q1394" s="26" t="str">
        <f t="shared" si="450"/>
        <v/>
      </c>
      <c r="R1394" s="24" t="str">
        <f t="shared" si="462"/>
        <v/>
      </c>
      <c r="S1394" s="180">
        <f t="shared" ref="S1394:S1457" si="468">IF($Q1394=1,ROUNDDOWN($S1393,0),IF($O1394=1,ROUNDDOWN($S1393,0)+1,IF($R1394=1,$S1393+0.01,IF(ISNUMBER($U1394),IF(AND($U1394&gt;1,($U1394-$U1393)=1),$S1393+0.01,$S1393),$S1393))))</f>
        <v>8</v>
      </c>
      <c r="T1394" s="29">
        <f>SUM($AC$923:$AC1394)</f>
        <v>49500</v>
      </c>
      <c r="U1394" s="25" t="str">
        <f t="shared" si="451"/>
        <v/>
      </c>
      <c r="V1394" s="24" t="str">
        <f>IF(AND(ISNUMBER(R1393),ISNUMBER(R1394)),V1393,IF(AND(R1393="",ISNUMBER(R1394)),IFERROR(LARGE($V$923:$V1393,1)+1,0),""))</f>
        <v/>
      </c>
      <c r="W1394" s="23" t="str">
        <f t="shared" si="463"/>
        <v/>
      </c>
      <c r="X1394" s="22" t="str">
        <f t="shared" si="464"/>
        <v/>
      </c>
      <c r="Y1394" s="236"/>
      <c r="Z1394" s="22"/>
      <c r="AA1394" s="22"/>
      <c r="AB1394" s="22" t="str">
        <f t="shared" si="465"/>
        <v/>
      </c>
      <c r="AC1394" s="22" t="str">
        <f t="shared" si="466"/>
        <v/>
      </c>
      <c r="AD1394" s="22" t="str">
        <f t="shared" si="452"/>
        <v/>
      </c>
      <c r="AE1394" s="22" t="str">
        <f t="shared" si="467"/>
        <v/>
      </c>
      <c r="AF1394" s="22" t="str">
        <f t="shared" si="453"/>
        <v/>
      </c>
      <c r="AG1394" s="22" t="str">
        <f t="shared" si="454"/>
        <v/>
      </c>
      <c r="AH1394" s="22" t="str">
        <f t="shared" si="455"/>
        <v/>
      </c>
      <c r="AI1394" s="22" t="str">
        <f t="shared" si="456"/>
        <v/>
      </c>
      <c r="AJ1394" s="304" t="str">
        <f t="shared" si="457"/>
        <v/>
      </c>
      <c r="AK1394" s="140" t="str">
        <f t="shared" si="458"/>
        <v/>
      </c>
    </row>
    <row r="1395" spans="7:37" x14ac:dyDescent="0.25">
      <c r="G1395" s="235" t="str">
        <f t="shared" si="447"/>
        <v/>
      </c>
      <c r="H1395" s="4" t="str">
        <f t="shared" si="446"/>
        <v/>
      </c>
      <c r="I1395" s="11" t="str">
        <f t="shared" si="448"/>
        <v/>
      </c>
      <c r="K1395" s="30">
        <v>473</v>
      </c>
      <c r="L1395" s="29">
        <f t="shared" si="459"/>
        <v>11371.908376190921</v>
      </c>
      <c r="M1395" s="28" t="str">
        <f t="shared" si="449"/>
        <v/>
      </c>
      <c r="N1395" s="27" t="str">
        <f t="shared" si="460"/>
        <v/>
      </c>
      <c r="O1395" s="26" t="str">
        <f>IF(AND($Q1394=$O$38,IFERROR(LARGE($V$923:$V1394,1)&lt;$N$42,TRUE)),1,IF(AND(ISNUMBER($O1394),$O1394&lt;$N$32),$O1394+1,""))</f>
        <v/>
      </c>
      <c r="P1395" s="26" t="str">
        <f t="shared" si="461"/>
        <v/>
      </c>
      <c r="Q1395" s="26" t="str">
        <f t="shared" si="450"/>
        <v/>
      </c>
      <c r="R1395" s="24" t="str">
        <f t="shared" si="462"/>
        <v/>
      </c>
      <c r="S1395" s="180">
        <f t="shared" si="468"/>
        <v>8</v>
      </c>
      <c r="T1395" s="29">
        <f>SUM($AC$923:$AC1395)</f>
        <v>49500</v>
      </c>
      <c r="U1395" s="25" t="str">
        <f t="shared" si="451"/>
        <v/>
      </c>
      <c r="V1395" s="24" t="str">
        <f>IF(AND(ISNUMBER(R1394),ISNUMBER(R1395)),V1394,IF(AND(R1394="",ISNUMBER(R1395)),IFERROR(LARGE($V$923:$V1394,1)+1,0),""))</f>
        <v/>
      </c>
      <c r="W1395" s="23" t="str">
        <f t="shared" si="463"/>
        <v/>
      </c>
      <c r="X1395" s="22" t="str">
        <f t="shared" si="464"/>
        <v/>
      </c>
      <c r="Y1395" s="236"/>
      <c r="Z1395" s="22"/>
      <c r="AA1395" s="22"/>
      <c r="AB1395" s="22" t="str">
        <f t="shared" si="465"/>
        <v/>
      </c>
      <c r="AC1395" s="22" t="str">
        <f t="shared" si="466"/>
        <v/>
      </c>
      <c r="AD1395" s="22" t="str">
        <f t="shared" si="452"/>
        <v/>
      </c>
      <c r="AE1395" s="22" t="str">
        <f t="shared" si="467"/>
        <v/>
      </c>
      <c r="AF1395" s="22" t="str">
        <f t="shared" si="453"/>
        <v/>
      </c>
      <c r="AG1395" s="22" t="str">
        <f t="shared" si="454"/>
        <v/>
      </c>
      <c r="AH1395" s="22" t="str">
        <f t="shared" si="455"/>
        <v/>
      </c>
      <c r="AI1395" s="22" t="str">
        <f t="shared" si="456"/>
        <v/>
      </c>
      <c r="AJ1395" s="304" t="str">
        <f t="shared" si="457"/>
        <v/>
      </c>
      <c r="AK1395" s="140" t="str">
        <f t="shared" si="458"/>
        <v/>
      </c>
    </row>
    <row r="1396" spans="7:37" x14ac:dyDescent="0.25">
      <c r="G1396" s="235" t="str">
        <f t="shared" si="447"/>
        <v/>
      </c>
      <c r="H1396" s="4" t="str">
        <f t="shared" si="446"/>
        <v/>
      </c>
      <c r="I1396" s="11" t="str">
        <f t="shared" si="448"/>
        <v/>
      </c>
      <c r="K1396" s="30">
        <v>474</v>
      </c>
      <c r="L1396" s="29">
        <f t="shared" si="459"/>
        <v>11371.908376190921</v>
      </c>
      <c r="M1396" s="28" t="str">
        <f t="shared" si="449"/>
        <v/>
      </c>
      <c r="N1396" s="27" t="str">
        <f t="shared" si="460"/>
        <v/>
      </c>
      <c r="O1396" s="26" t="str">
        <f>IF(AND($Q1395=$O$38,IFERROR(LARGE($V$923:$V1395,1)&lt;$N$42,TRUE)),1,IF(AND(ISNUMBER($O1395),$O1395&lt;$N$32),$O1395+1,""))</f>
        <v/>
      </c>
      <c r="P1396" s="26" t="str">
        <f t="shared" si="461"/>
        <v/>
      </c>
      <c r="Q1396" s="26" t="str">
        <f t="shared" si="450"/>
        <v/>
      </c>
      <c r="R1396" s="24" t="str">
        <f t="shared" si="462"/>
        <v/>
      </c>
      <c r="S1396" s="180">
        <f t="shared" si="468"/>
        <v>8</v>
      </c>
      <c r="T1396" s="29">
        <f>SUM($AC$923:$AC1396)</f>
        <v>49500</v>
      </c>
      <c r="U1396" s="25" t="str">
        <f t="shared" si="451"/>
        <v/>
      </c>
      <c r="V1396" s="24" t="str">
        <f>IF(AND(ISNUMBER(R1395),ISNUMBER(R1396)),V1395,IF(AND(R1395="",ISNUMBER(R1396)),IFERROR(LARGE($V$923:$V1395,1)+1,0),""))</f>
        <v/>
      </c>
      <c r="W1396" s="23" t="str">
        <f t="shared" si="463"/>
        <v/>
      </c>
      <c r="X1396" s="22" t="str">
        <f t="shared" si="464"/>
        <v/>
      </c>
      <c r="Y1396" s="236"/>
      <c r="Z1396" s="22"/>
      <c r="AA1396" s="22"/>
      <c r="AB1396" s="22" t="str">
        <f t="shared" si="465"/>
        <v/>
      </c>
      <c r="AC1396" s="22" t="str">
        <f t="shared" si="466"/>
        <v/>
      </c>
      <c r="AD1396" s="22" t="str">
        <f t="shared" si="452"/>
        <v/>
      </c>
      <c r="AE1396" s="22" t="str">
        <f t="shared" si="467"/>
        <v/>
      </c>
      <c r="AF1396" s="22" t="str">
        <f t="shared" si="453"/>
        <v/>
      </c>
      <c r="AG1396" s="22" t="str">
        <f t="shared" si="454"/>
        <v/>
      </c>
      <c r="AH1396" s="22" t="str">
        <f t="shared" si="455"/>
        <v/>
      </c>
      <c r="AI1396" s="22" t="str">
        <f t="shared" si="456"/>
        <v/>
      </c>
      <c r="AJ1396" s="304" t="str">
        <f t="shared" si="457"/>
        <v/>
      </c>
      <c r="AK1396" s="140" t="str">
        <f t="shared" si="458"/>
        <v/>
      </c>
    </row>
    <row r="1397" spans="7:37" x14ac:dyDescent="0.25">
      <c r="G1397" s="235" t="str">
        <f t="shared" si="447"/>
        <v/>
      </c>
      <c r="H1397" s="4" t="str">
        <f t="shared" si="446"/>
        <v/>
      </c>
      <c r="I1397" s="11" t="str">
        <f t="shared" si="448"/>
        <v/>
      </c>
      <c r="K1397" s="30">
        <v>475</v>
      </c>
      <c r="L1397" s="29">
        <f t="shared" si="459"/>
        <v>11371.908376190921</v>
      </c>
      <c r="M1397" s="28" t="str">
        <f t="shared" si="449"/>
        <v/>
      </c>
      <c r="N1397" s="27" t="str">
        <f t="shared" si="460"/>
        <v/>
      </c>
      <c r="O1397" s="26" t="str">
        <f>IF(AND($Q1396=$O$38,IFERROR(LARGE($V$923:$V1396,1)&lt;$N$42,TRUE)),1,IF(AND(ISNUMBER($O1396),$O1396&lt;$N$32),$O1396+1,""))</f>
        <v/>
      </c>
      <c r="P1397" s="26" t="str">
        <f t="shared" si="461"/>
        <v/>
      </c>
      <c r="Q1397" s="26" t="str">
        <f t="shared" si="450"/>
        <v/>
      </c>
      <c r="R1397" s="24" t="str">
        <f t="shared" si="462"/>
        <v/>
      </c>
      <c r="S1397" s="180">
        <f t="shared" si="468"/>
        <v>8</v>
      </c>
      <c r="T1397" s="29">
        <f>SUM($AC$923:$AC1397)</f>
        <v>49500</v>
      </c>
      <c r="U1397" s="25" t="str">
        <f t="shared" si="451"/>
        <v/>
      </c>
      <c r="V1397" s="24" t="str">
        <f>IF(AND(ISNUMBER(R1396),ISNUMBER(R1397)),V1396,IF(AND(R1396="",ISNUMBER(R1397)),IFERROR(LARGE($V$923:$V1396,1)+1,0),""))</f>
        <v/>
      </c>
      <c r="W1397" s="23" t="str">
        <f t="shared" si="463"/>
        <v/>
      </c>
      <c r="X1397" s="22" t="str">
        <f t="shared" si="464"/>
        <v/>
      </c>
      <c r="Y1397" s="236"/>
      <c r="Z1397" s="22"/>
      <c r="AA1397" s="22"/>
      <c r="AB1397" s="22" t="str">
        <f t="shared" si="465"/>
        <v/>
      </c>
      <c r="AC1397" s="22" t="str">
        <f t="shared" si="466"/>
        <v/>
      </c>
      <c r="AD1397" s="22" t="str">
        <f t="shared" si="452"/>
        <v/>
      </c>
      <c r="AE1397" s="22" t="str">
        <f t="shared" si="467"/>
        <v/>
      </c>
      <c r="AF1397" s="22" t="str">
        <f t="shared" si="453"/>
        <v/>
      </c>
      <c r="AG1397" s="22" t="str">
        <f t="shared" si="454"/>
        <v/>
      </c>
      <c r="AH1397" s="22" t="str">
        <f t="shared" si="455"/>
        <v/>
      </c>
      <c r="AI1397" s="22" t="str">
        <f t="shared" si="456"/>
        <v/>
      </c>
      <c r="AJ1397" s="304" t="str">
        <f t="shared" si="457"/>
        <v/>
      </c>
      <c r="AK1397" s="140" t="str">
        <f t="shared" si="458"/>
        <v/>
      </c>
    </row>
    <row r="1398" spans="7:37" x14ac:dyDescent="0.25">
      <c r="G1398" s="235" t="str">
        <f t="shared" si="447"/>
        <v/>
      </c>
      <c r="H1398" s="4" t="str">
        <f t="shared" si="446"/>
        <v/>
      </c>
      <c r="I1398" s="11" t="str">
        <f t="shared" si="448"/>
        <v/>
      </c>
      <c r="K1398" s="30">
        <v>476</v>
      </c>
      <c r="L1398" s="29">
        <f t="shared" si="459"/>
        <v>11371.908376190921</v>
      </c>
      <c r="M1398" s="28" t="str">
        <f t="shared" si="449"/>
        <v/>
      </c>
      <c r="N1398" s="27" t="str">
        <f t="shared" si="460"/>
        <v/>
      </c>
      <c r="O1398" s="26" t="str">
        <f>IF(AND($Q1397=$O$38,IFERROR(LARGE($V$923:$V1397,1)&lt;$N$42,TRUE)),1,IF(AND(ISNUMBER($O1397),$O1397&lt;$N$32),$O1397+1,""))</f>
        <v/>
      </c>
      <c r="P1398" s="26" t="str">
        <f t="shared" si="461"/>
        <v/>
      </c>
      <c r="Q1398" s="26" t="str">
        <f t="shared" si="450"/>
        <v/>
      </c>
      <c r="R1398" s="24" t="str">
        <f t="shared" si="462"/>
        <v/>
      </c>
      <c r="S1398" s="180">
        <f t="shared" si="468"/>
        <v>8</v>
      </c>
      <c r="T1398" s="29">
        <f>SUM($AC$923:$AC1398)</f>
        <v>49500</v>
      </c>
      <c r="U1398" s="25" t="str">
        <f t="shared" si="451"/>
        <v/>
      </c>
      <c r="V1398" s="24" t="str">
        <f>IF(AND(ISNUMBER(R1397),ISNUMBER(R1398)),V1397,IF(AND(R1397="",ISNUMBER(R1398)),IFERROR(LARGE($V$923:$V1397,1)+1,0),""))</f>
        <v/>
      </c>
      <c r="W1398" s="23" t="str">
        <f t="shared" si="463"/>
        <v/>
      </c>
      <c r="X1398" s="22" t="str">
        <f t="shared" si="464"/>
        <v/>
      </c>
      <c r="Y1398" s="236"/>
      <c r="Z1398" s="22"/>
      <c r="AA1398" s="22"/>
      <c r="AB1398" s="22" t="str">
        <f t="shared" si="465"/>
        <v/>
      </c>
      <c r="AC1398" s="22" t="str">
        <f t="shared" si="466"/>
        <v/>
      </c>
      <c r="AD1398" s="22" t="str">
        <f t="shared" si="452"/>
        <v/>
      </c>
      <c r="AE1398" s="22" t="str">
        <f t="shared" si="467"/>
        <v/>
      </c>
      <c r="AF1398" s="22" t="str">
        <f t="shared" si="453"/>
        <v/>
      </c>
      <c r="AG1398" s="22" t="str">
        <f t="shared" si="454"/>
        <v/>
      </c>
      <c r="AH1398" s="22" t="str">
        <f t="shared" si="455"/>
        <v/>
      </c>
      <c r="AI1398" s="22" t="str">
        <f t="shared" si="456"/>
        <v/>
      </c>
      <c r="AJ1398" s="304" t="str">
        <f t="shared" si="457"/>
        <v/>
      </c>
      <c r="AK1398" s="140" t="str">
        <f t="shared" si="458"/>
        <v/>
      </c>
    </row>
    <row r="1399" spans="7:37" x14ac:dyDescent="0.25">
      <c r="G1399" s="235" t="str">
        <f t="shared" si="447"/>
        <v/>
      </c>
      <c r="H1399" s="4" t="str">
        <f t="shared" si="446"/>
        <v/>
      </c>
      <c r="I1399" s="11" t="str">
        <f t="shared" si="448"/>
        <v/>
      </c>
      <c r="K1399" s="30">
        <v>477</v>
      </c>
      <c r="L1399" s="29">
        <f t="shared" si="459"/>
        <v>11371.908376190921</v>
      </c>
      <c r="M1399" s="28" t="str">
        <f t="shared" si="449"/>
        <v/>
      </c>
      <c r="N1399" s="27" t="str">
        <f t="shared" si="460"/>
        <v/>
      </c>
      <c r="O1399" s="26" t="str">
        <f>IF(AND($Q1398=$O$38,IFERROR(LARGE($V$923:$V1398,1)&lt;$N$42,TRUE)),1,IF(AND(ISNUMBER($O1398),$O1398&lt;$N$32),$O1398+1,""))</f>
        <v/>
      </c>
      <c r="P1399" s="26" t="str">
        <f t="shared" si="461"/>
        <v/>
      </c>
      <c r="Q1399" s="26" t="str">
        <f t="shared" si="450"/>
        <v/>
      </c>
      <c r="R1399" s="24" t="str">
        <f t="shared" si="462"/>
        <v/>
      </c>
      <c r="S1399" s="180">
        <f t="shared" si="468"/>
        <v>8</v>
      </c>
      <c r="T1399" s="29">
        <f>SUM($AC$923:$AC1399)</f>
        <v>49500</v>
      </c>
      <c r="U1399" s="25" t="str">
        <f t="shared" si="451"/>
        <v/>
      </c>
      <c r="V1399" s="24" t="str">
        <f>IF(AND(ISNUMBER(R1398),ISNUMBER(R1399)),V1398,IF(AND(R1398="",ISNUMBER(R1399)),IFERROR(LARGE($V$923:$V1398,1)+1,0),""))</f>
        <v/>
      </c>
      <c r="W1399" s="23" t="str">
        <f t="shared" si="463"/>
        <v/>
      </c>
      <c r="X1399" s="22" t="str">
        <f t="shared" si="464"/>
        <v/>
      </c>
      <c r="Y1399" s="236"/>
      <c r="Z1399" s="22"/>
      <c r="AA1399" s="22"/>
      <c r="AB1399" s="22" t="str">
        <f t="shared" si="465"/>
        <v/>
      </c>
      <c r="AC1399" s="22" t="str">
        <f t="shared" si="466"/>
        <v/>
      </c>
      <c r="AD1399" s="22" t="str">
        <f t="shared" si="452"/>
        <v/>
      </c>
      <c r="AE1399" s="22" t="str">
        <f t="shared" si="467"/>
        <v/>
      </c>
      <c r="AF1399" s="22" t="str">
        <f t="shared" si="453"/>
        <v/>
      </c>
      <c r="AG1399" s="22" t="str">
        <f t="shared" si="454"/>
        <v/>
      </c>
      <c r="AH1399" s="22" t="str">
        <f t="shared" si="455"/>
        <v/>
      </c>
      <c r="AI1399" s="22" t="str">
        <f t="shared" si="456"/>
        <v/>
      </c>
      <c r="AJ1399" s="304" t="str">
        <f t="shared" si="457"/>
        <v/>
      </c>
      <c r="AK1399" s="140" t="str">
        <f t="shared" si="458"/>
        <v/>
      </c>
    </row>
    <row r="1400" spans="7:37" x14ac:dyDescent="0.25">
      <c r="G1400" s="235" t="str">
        <f t="shared" si="447"/>
        <v/>
      </c>
      <c r="H1400" s="4" t="str">
        <f t="shared" si="446"/>
        <v/>
      </c>
      <c r="I1400" s="11" t="str">
        <f t="shared" si="448"/>
        <v/>
      </c>
      <c r="K1400" s="30">
        <v>478</v>
      </c>
      <c r="L1400" s="29">
        <f t="shared" si="459"/>
        <v>11371.908376190921</v>
      </c>
      <c r="M1400" s="28" t="str">
        <f t="shared" si="449"/>
        <v/>
      </c>
      <c r="N1400" s="27" t="str">
        <f t="shared" si="460"/>
        <v/>
      </c>
      <c r="O1400" s="26" t="str">
        <f>IF(AND($Q1399=$O$38,IFERROR(LARGE($V$923:$V1399,1)&lt;$N$42,TRUE)),1,IF(AND(ISNUMBER($O1399),$O1399&lt;$N$32),$O1399+1,""))</f>
        <v/>
      </c>
      <c r="P1400" s="26" t="str">
        <f t="shared" si="461"/>
        <v/>
      </c>
      <c r="Q1400" s="26" t="str">
        <f t="shared" si="450"/>
        <v/>
      </c>
      <c r="R1400" s="24" t="str">
        <f t="shared" si="462"/>
        <v/>
      </c>
      <c r="S1400" s="180">
        <f t="shared" si="468"/>
        <v>8</v>
      </c>
      <c r="T1400" s="29">
        <f>SUM($AC$923:$AC1400)</f>
        <v>49500</v>
      </c>
      <c r="U1400" s="25" t="str">
        <f t="shared" si="451"/>
        <v/>
      </c>
      <c r="V1400" s="24" t="str">
        <f>IF(AND(ISNUMBER(R1399),ISNUMBER(R1400)),V1399,IF(AND(R1399="",ISNUMBER(R1400)),IFERROR(LARGE($V$923:$V1399,1)+1,0),""))</f>
        <v/>
      </c>
      <c r="W1400" s="23" t="str">
        <f t="shared" si="463"/>
        <v/>
      </c>
      <c r="X1400" s="22" t="str">
        <f t="shared" si="464"/>
        <v/>
      </c>
      <c r="Y1400" s="236"/>
      <c r="Z1400" s="22"/>
      <c r="AA1400" s="22"/>
      <c r="AB1400" s="22" t="str">
        <f t="shared" si="465"/>
        <v/>
      </c>
      <c r="AC1400" s="22" t="str">
        <f t="shared" si="466"/>
        <v/>
      </c>
      <c r="AD1400" s="22" t="str">
        <f t="shared" si="452"/>
        <v/>
      </c>
      <c r="AE1400" s="22" t="str">
        <f t="shared" si="467"/>
        <v/>
      </c>
      <c r="AF1400" s="22" t="str">
        <f t="shared" si="453"/>
        <v/>
      </c>
      <c r="AG1400" s="22" t="str">
        <f t="shared" si="454"/>
        <v/>
      </c>
      <c r="AH1400" s="22" t="str">
        <f t="shared" si="455"/>
        <v/>
      </c>
      <c r="AI1400" s="22" t="str">
        <f t="shared" si="456"/>
        <v/>
      </c>
      <c r="AJ1400" s="304" t="str">
        <f t="shared" si="457"/>
        <v/>
      </c>
      <c r="AK1400" s="140" t="str">
        <f t="shared" si="458"/>
        <v/>
      </c>
    </row>
    <row r="1401" spans="7:37" x14ac:dyDescent="0.25">
      <c r="G1401" s="235" t="str">
        <f t="shared" si="447"/>
        <v/>
      </c>
      <c r="H1401" s="4" t="str">
        <f t="shared" si="446"/>
        <v/>
      </c>
      <c r="I1401" s="11" t="str">
        <f t="shared" si="448"/>
        <v/>
      </c>
      <c r="K1401" s="30">
        <v>479</v>
      </c>
      <c r="L1401" s="29">
        <f t="shared" si="459"/>
        <v>11371.908376190921</v>
      </c>
      <c r="M1401" s="28" t="str">
        <f t="shared" si="449"/>
        <v/>
      </c>
      <c r="N1401" s="27" t="str">
        <f t="shared" si="460"/>
        <v/>
      </c>
      <c r="O1401" s="26" t="str">
        <f>IF(AND($Q1400=$O$38,IFERROR(LARGE($V$923:$V1400,1)&lt;$N$42,TRUE)),1,IF(AND(ISNUMBER($O1400),$O1400&lt;$N$32),$O1400+1,""))</f>
        <v/>
      </c>
      <c r="P1401" s="26" t="str">
        <f t="shared" si="461"/>
        <v/>
      </c>
      <c r="Q1401" s="26" t="str">
        <f t="shared" si="450"/>
        <v/>
      </c>
      <c r="R1401" s="24" t="str">
        <f t="shared" si="462"/>
        <v/>
      </c>
      <c r="S1401" s="180">
        <f t="shared" si="468"/>
        <v>8</v>
      </c>
      <c r="T1401" s="29">
        <f>SUM($AC$923:$AC1401)</f>
        <v>49500</v>
      </c>
      <c r="U1401" s="25" t="str">
        <f t="shared" si="451"/>
        <v/>
      </c>
      <c r="V1401" s="24" t="str">
        <f>IF(AND(ISNUMBER(R1400),ISNUMBER(R1401)),V1400,IF(AND(R1400="",ISNUMBER(R1401)),IFERROR(LARGE($V$923:$V1400,1)+1,0),""))</f>
        <v/>
      </c>
      <c r="W1401" s="23" t="str">
        <f t="shared" si="463"/>
        <v/>
      </c>
      <c r="X1401" s="22" t="str">
        <f t="shared" si="464"/>
        <v/>
      </c>
      <c r="Y1401" s="236"/>
      <c r="Z1401" s="22"/>
      <c r="AA1401" s="22"/>
      <c r="AB1401" s="22" t="str">
        <f t="shared" si="465"/>
        <v/>
      </c>
      <c r="AC1401" s="22" t="str">
        <f t="shared" si="466"/>
        <v/>
      </c>
      <c r="AD1401" s="22" t="str">
        <f t="shared" si="452"/>
        <v/>
      </c>
      <c r="AE1401" s="22" t="str">
        <f t="shared" si="467"/>
        <v/>
      </c>
      <c r="AF1401" s="22" t="str">
        <f t="shared" si="453"/>
        <v/>
      </c>
      <c r="AG1401" s="22" t="str">
        <f t="shared" si="454"/>
        <v/>
      </c>
      <c r="AH1401" s="22" t="str">
        <f t="shared" si="455"/>
        <v/>
      </c>
      <c r="AI1401" s="22" t="str">
        <f t="shared" si="456"/>
        <v/>
      </c>
      <c r="AJ1401" s="304" t="str">
        <f t="shared" si="457"/>
        <v/>
      </c>
      <c r="AK1401" s="140" t="str">
        <f t="shared" si="458"/>
        <v/>
      </c>
    </row>
    <row r="1402" spans="7:37" x14ac:dyDescent="0.25">
      <c r="G1402" s="235" t="str">
        <f t="shared" si="447"/>
        <v/>
      </c>
      <c r="H1402" s="4" t="str">
        <f t="shared" ref="H1402:H1465" si="469">IF(SUM(N1402:R1402)&gt;0,CONCATENATE(IF(LEN(ROUNDDOWN(S1402,0))=1,CONCATENATE("0",ROUNDDOWN(S1402,0)),ROUNDDOWN(S1402,0)),".",IF(LEN(ROUND(MOD(S1402,1)*100,0))=1,CONCATENATE("0",ROUND(MOD(S1402,1)*100,0)),ROUND(MOD(S1402,1)*100,0)),IF(N1402&lt;&gt;"",".N",IF(O1402&lt;&gt;"",".R",IF(P1402&lt;&gt;"",".O",IF(Q1402&lt;&gt;"",".I",IF(R1402&lt;&gt;"",".D","")))))),"")</f>
        <v/>
      </c>
      <c r="I1402" s="11" t="str">
        <f t="shared" si="448"/>
        <v/>
      </c>
      <c r="K1402" s="30">
        <v>480</v>
      </c>
      <c r="L1402" s="29">
        <f t="shared" si="459"/>
        <v>11371.908376190921</v>
      </c>
      <c r="M1402" s="28" t="str">
        <f t="shared" si="449"/>
        <v/>
      </c>
      <c r="N1402" s="27" t="str">
        <f t="shared" si="460"/>
        <v/>
      </c>
      <c r="O1402" s="26" t="str">
        <f>IF(AND($Q1401=$O$38,IFERROR(LARGE($V$923:$V1401,1)&lt;$N$42,TRUE)),1,IF(AND(ISNUMBER($O1401),$O1401&lt;$N$32),$O1401+1,""))</f>
        <v/>
      </c>
      <c r="P1402" s="26" t="str">
        <f t="shared" si="461"/>
        <v/>
      </c>
      <c r="Q1402" s="26" t="str">
        <f t="shared" si="450"/>
        <v/>
      </c>
      <c r="R1402" s="24" t="str">
        <f t="shared" si="462"/>
        <v/>
      </c>
      <c r="S1402" s="180">
        <f t="shared" si="468"/>
        <v>8</v>
      </c>
      <c r="T1402" s="29">
        <f>SUM($AC$923:$AC1402)</f>
        <v>49500</v>
      </c>
      <c r="U1402" s="25" t="str">
        <f t="shared" si="451"/>
        <v/>
      </c>
      <c r="V1402" s="24" t="str">
        <f>IF(AND(ISNUMBER(R1401),ISNUMBER(R1402)),V1401,IF(AND(R1401="",ISNUMBER(R1402)),IFERROR(LARGE($V$923:$V1401,1)+1,0),""))</f>
        <v/>
      </c>
      <c r="W1402" s="23" t="str">
        <f t="shared" si="463"/>
        <v/>
      </c>
      <c r="X1402" s="22" t="str">
        <f t="shared" si="464"/>
        <v/>
      </c>
      <c r="Y1402" s="236"/>
      <c r="Z1402" s="22"/>
      <c r="AA1402" s="22"/>
      <c r="AB1402" s="22" t="str">
        <f t="shared" si="465"/>
        <v/>
      </c>
      <c r="AC1402" s="22" t="str">
        <f t="shared" si="466"/>
        <v/>
      </c>
      <c r="AD1402" s="22" t="str">
        <f t="shared" si="452"/>
        <v/>
      </c>
      <c r="AE1402" s="22" t="str">
        <f t="shared" si="467"/>
        <v/>
      </c>
      <c r="AF1402" s="22" t="str">
        <f t="shared" si="453"/>
        <v/>
      </c>
      <c r="AG1402" s="22" t="str">
        <f t="shared" si="454"/>
        <v/>
      </c>
      <c r="AH1402" s="22" t="str">
        <f t="shared" si="455"/>
        <v/>
      </c>
      <c r="AI1402" s="22" t="str">
        <f t="shared" si="456"/>
        <v/>
      </c>
      <c r="AJ1402" s="304" t="str">
        <f t="shared" si="457"/>
        <v/>
      </c>
      <c r="AK1402" s="140" t="str">
        <f t="shared" si="458"/>
        <v/>
      </c>
    </row>
    <row r="1403" spans="7:37" x14ac:dyDescent="0.25">
      <c r="G1403" s="235" t="str">
        <f t="shared" si="447"/>
        <v/>
      </c>
      <c r="H1403" s="4" t="str">
        <f t="shared" si="469"/>
        <v/>
      </c>
      <c r="I1403" s="11" t="str">
        <f t="shared" si="448"/>
        <v/>
      </c>
      <c r="K1403" s="30">
        <v>481</v>
      </c>
      <c r="L1403" s="29">
        <f t="shared" si="459"/>
        <v>11371.908376190921</v>
      </c>
      <c r="M1403" s="28" t="str">
        <f t="shared" si="449"/>
        <v/>
      </c>
      <c r="N1403" s="27" t="str">
        <f t="shared" si="460"/>
        <v/>
      </c>
      <c r="O1403" s="26" t="str">
        <f>IF(AND($Q1402=$O$38,IFERROR(LARGE($V$923:$V1402,1)&lt;$N$42,TRUE)),1,IF(AND(ISNUMBER($O1402),$O1402&lt;$N$32),$O1402+1,""))</f>
        <v/>
      </c>
      <c r="P1403" s="26" t="str">
        <f t="shared" si="461"/>
        <v/>
      </c>
      <c r="Q1403" s="26" t="str">
        <f t="shared" si="450"/>
        <v/>
      </c>
      <c r="R1403" s="24" t="str">
        <f t="shared" si="462"/>
        <v/>
      </c>
      <c r="S1403" s="180">
        <f t="shared" si="468"/>
        <v>8</v>
      </c>
      <c r="T1403" s="29">
        <f>SUM($AC$923:$AC1403)</f>
        <v>49500</v>
      </c>
      <c r="U1403" s="25" t="str">
        <f t="shared" si="451"/>
        <v/>
      </c>
      <c r="V1403" s="24" t="str">
        <f>IF(AND(ISNUMBER(R1402),ISNUMBER(R1403)),V1402,IF(AND(R1402="",ISNUMBER(R1403)),IFERROR(LARGE($V$923:$V1402,1)+1,0),""))</f>
        <v/>
      </c>
      <c r="W1403" s="23" t="str">
        <f t="shared" si="463"/>
        <v/>
      </c>
      <c r="X1403" s="22" t="str">
        <f t="shared" si="464"/>
        <v/>
      </c>
      <c r="Y1403" s="236"/>
      <c r="Z1403" s="22"/>
      <c r="AA1403" s="22"/>
      <c r="AB1403" s="22" t="str">
        <f t="shared" si="465"/>
        <v/>
      </c>
      <c r="AC1403" s="22" t="str">
        <f t="shared" si="466"/>
        <v/>
      </c>
      <c r="AD1403" s="22" t="str">
        <f t="shared" si="452"/>
        <v/>
      </c>
      <c r="AE1403" s="22" t="str">
        <f t="shared" si="467"/>
        <v/>
      </c>
      <c r="AF1403" s="22" t="str">
        <f t="shared" si="453"/>
        <v/>
      </c>
      <c r="AG1403" s="22" t="str">
        <f t="shared" si="454"/>
        <v/>
      </c>
      <c r="AH1403" s="22" t="str">
        <f t="shared" si="455"/>
        <v/>
      </c>
      <c r="AI1403" s="22" t="str">
        <f t="shared" si="456"/>
        <v/>
      </c>
      <c r="AJ1403" s="304" t="str">
        <f t="shared" si="457"/>
        <v/>
      </c>
      <c r="AK1403" s="140" t="str">
        <f t="shared" si="458"/>
        <v/>
      </c>
    </row>
    <row r="1404" spans="7:37" x14ac:dyDescent="0.25">
      <c r="G1404" s="235" t="str">
        <f t="shared" si="447"/>
        <v/>
      </c>
      <c r="H1404" s="4" t="str">
        <f t="shared" si="469"/>
        <v/>
      </c>
      <c r="I1404" s="11" t="str">
        <f t="shared" si="448"/>
        <v/>
      </c>
      <c r="K1404" s="30">
        <v>482</v>
      </c>
      <c r="L1404" s="29">
        <f t="shared" si="459"/>
        <v>11371.908376190921</v>
      </c>
      <c r="M1404" s="28" t="str">
        <f t="shared" si="449"/>
        <v/>
      </c>
      <c r="N1404" s="27" t="str">
        <f t="shared" si="460"/>
        <v/>
      </c>
      <c r="O1404" s="26" t="str">
        <f>IF(AND($Q1403=$O$38,IFERROR(LARGE($V$923:$V1403,1)&lt;$N$42,TRUE)),1,IF(AND(ISNUMBER($O1403),$O1403&lt;$N$32),$O1403+1,""))</f>
        <v/>
      </c>
      <c r="P1404" s="26" t="str">
        <f t="shared" si="461"/>
        <v/>
      </c>
      <c r="Q1404" s="26" t="str">
        <f t="shared" si="450"/>
        <v/>
      </c>
      <c r="R1404" s="24" t="str">
        <f t="shared" si="462"/>
        <v/>
      </c>
      <c r="S1404" s="180">
        <f t="shared" si="468"/>
        <v>8</v>
      </c>
      <c r="T1404" s="29">
        <f>SUM($AC$923:$AC1404)</f>
        <v>49500</v>
      </c>
      <c r="U1404" s="25" t="str">
        <f t="shared" si="451"/>
        <v/>
      </c>
      <c r="V1404" s="24" t="str">
        <f>IF(AND(ISNUMBER(R1403),ISNUMBER(R1404)),V1403,IF(AND(R1403="",ISNUMBER(R1404)),IFERROR(LARGE($V$923:$V1403,1)+1,0),""))</f>
        <v/>
      </c>
      <c r="W1404" s="23" t="str">
        <f t="shared" si="463"/>
        <v/>
      </c>
      <c r="X1404" s="22" t="str">
        <f t="shared" si="464"/>
        <v/>
      </c>
      <c r="Y1404" s="236"/>
      <c r="Z1404" s="22"/>
      <c r="AA1404" s="22"/>
      <c r="AB1404" s="22" t="str">
        <f t="shared" si="465"/>
        <v/>
      </c>
      <c r="AC1404" s="22" t="str">
        <f t="shared" si="466"/>
        <v/>
      </c>
      <c r="AD1404" s="22" t="str">
        <f t="shared" si="452"/>
        <v/>
      </c>
      <c r="AE1404" s="22" t="str">
        <f t="shared" si="467"/>
        <v/>
      </c>
      <c r="AF1404" s="22" t="str">
        <f t="shared" si="453"/>
        <v/>
      </c>
      <c r="AG1404" s="22" t="str">
        <f t="shared" si="454"/>
        <v/>
      </c>
      <c r="AH1404" s="22" t="str">
        <f t="shared" si="455"/>
        <v/>
      </c>
      <c r="AI1404" s="22" t="str">
        <f t="shared" si="456"/>
        <v/>
      </c>
      <c r="AJ1404" s="304" t="str">
        <f t="shared" si="457"/>
        <v/>
      </c>
      <c r="AK1404" s="140" t="str">
        <f t="shared" si="458"/>
        <v/>
      </c>
    </row>
    <row r="1405" spans="7:37" x14ac:dyDescent="0.25">
      <c r="G1405" s="235" t="str">
        <f t="shared" si="447"/>
        <v/>
      </c>
      <c r="H1405" s="4" t="str">
        <f t="shared" si="469"/>
        <v/>
      </c>
      <c r="I1405" s="11" t="str">
        <f t="shared" si="448"/>
        <v/>
      </c>
      <c r="K1405" s="30">
        <v>483</v>
      </c>
      <c r="L1405" s="29">
        <f t="shared" si="459"/>
        <v>11371.908376190921</v>
      </c>
      <c r="M1405" s="28" t="str">
        <f t="shared" si="449"/>
        <v/>
      </c>
      <c r="N1405" s="27" t="str">
        <f t="shared" si="460"/>
        <v/>
      </c>
      <c r="O1405" s="26" t="str">
        <f>IF(AND($Q1404=$O$38,IFERROR(LARGE($V$923:$V1404,1)&lt;$N$42,TRUE)),1,IF(AND(ISNUMBER($O1404),$O1404&lt;$N$32),$O1404+1,""))</f>
        <v/>
      </c>
      <c r="P1405" s="26" t="str">
        <f t="shared" si="461"/>
        <v/>
      </c>
      <c r="Q1405" s="26" t="str">
        <f t="shared" si="450"/>
        <v/>
      </c>
      <c r="R1405" s="24" t="str">
        <f t="shared" si="462"/>
        <v/>
      </c>
      <c r="S1405" s="180">
        <f t="shared" si="468"/>
        <v>8</v>
      </c>
      <c r="T1405" s="29">
        <f>SUM($AC$923:$AC1405)</f>
        <v>49500</v>
      </c>
      <c r="U1405" s="25" t="str">
        <f t="shared" si="451"/>
        <v/>
      </c>
      <c r="V1405" s="24" t="str">
        <f>IF(AND(ISNUMBER(R1404),ISNUMBER(R1405)),V1404,IF(AND(R1404="",ISNUMBER(R1405)),IFERROR(LARGE($V$923:$V1404,1)+1,0),""))</f>
        <v/>
      </c>
      <c r="W1405" s="23" t="str">
        <f t="shared" si="463"/>
        <v/>
      </c>
      <c r="X1405" s="22" t="str">
        <f t="shared" si="464"/>
        <v/>
      </c>
      <c r="Y1405" s="236"/>
      <c r="Z1405" s="22"/>
      <c r="AA1405" s="22"/>
      <c r="AB1405" s="22" t="str">
        <f t="shared" si="465"/>
        <v/>
      </c>
      <c r="AC1405" s="22" t="str">
        <f t="shared" si="466"/>
        <v/>
      </c>
      <c r="AD1405" s="22" t="str">
        <f t="shared" si="452"/>
        <v/>
      </c>
      <c r="AE1405" s="22" t="str">
        <f t="shared" si="467"/>
        <v/>
      </c>
      <c r="AF1405" s="22" t="str">
        <f t="shared" si="453"/>
        <v/>
      </c>
      <c r="AG1405" s="22" t="str">
        <f t="shared" si="454"/>
        <v/>
      </c>
      <c r="AH1405" s="22" t="str">
        <f t="shared" si="455"/>
        <v/>
      </c>
      <c r="AI1405" s="22" t="str">
        <f t="shared" si="456"/>
        <v/>
      </c>
      <c r="AJ1405" s="304" t="str">
        <f t="shared" si="457"/>
        <v/>
      </c>
      <c r="AK1405" s="140" t="str">
        <f t="shared" si="458"/>
        <v/>
      </c>
    </row>
    <row r="1406" spans="7:37" x14ac:dyDescent="0.25">
      <c r="G1406" s="235" t="str">
        <f t="shared" si="447"/>
        <v/>
      </c>
      <c r="H1406" s="4" t="str">
        <f t="shared" si="469"/>
        <v/>
      </c>
      <c r="I1406" s="11" t="str">
        <f t="shared" si="448"/>
        <v/>
      </c>
      <c r="K1406" s="30">
        <v>484</v>
      </c>
      <c r="L1406" s="29">
        <f t="shared" si="459"/>
        <v>11371.908376190921</v>
      </c>
      <c r="M1406" s="28" t="str">
        <f t="shared" si="449"/>
        <v/>
      </c>
      <c r="N1406" s="27" t="str">
        <f t="shared" si="460"/>
        <v/>
      </c>
      <c r="O1406" s="26" t="str">
        <f>IF(AND($Q1405=$O$38,IFERROR(LARGE($V$923:$V1405,1)&lt;$N$42,TRUE)),1,IF(AND(ISNUMBER($O1405),$O1405&lt;$N$32),$O1405+1,""))</f>
        <v/>
      </c>
      <c r="P1406" s="26" t="str">
        <f t="shared" si="461"/>
        <v/>
      </c>
      <c r="Q1406" s="26" t="str">
        <f t="shared" si="450"/>
        <v/>
      </c>
      <c r="R1406" s="24" t="str">
        <f t="shared" si="462"/>
        <v/>
      </c>
      <c r="S1406" s="180">
        <f t="shared" si="468"/>
        <v>8</v>
      </c>
      <c r="T1406" s="29">
        <f>SUM($AC$923:$AC1406)</f>
        <v>49500</v>
      </c>
      <c r="U1406" s="25" t="str">
        <f t="shared" si="451"/>
        <v/>
      </c>
      <c r="V1406" s="24" t="str">
        <f>IF(AND(ISNUMBER(R1405),ISNUMBER(R1406)),V1405,IF(AND(R1405="",ISNUMBER(R1406)),IFERROR(LARGE($V$923:$V1405,1)+1,0),""))</f>
        <v/>
      </c>
      <c r="W1406" s="23" t="str">
        <f t="shared" si="463"/>
        <v/>
      </c>
      <c r="X1406" s="22" t="str">
        <f t="shared" si="464"/>
        <v/>
      </c>
      <c r="Y1406" s="236"/>
      <c r="Z1406" s="22"/>
      <c r="AA1406" s="22"/>
      <c r="AB1406" s="22" t="str">
        <f t="shared" si="465"/>
        <v/>
      </c>
      <c r="AC1406" s="22" t="str">
        <f t="shared" si="466"/>
        <v/>
      </c>
      <c r="AD1406" s="22" t="str">
        <f t="shared" si="452"/>
        <v/>
      </c>
      <c r="AE1406" s="22" t="str">
        <f t="shared" si="467"/>
        <v/>
      </c>
      <c r="AF1406" s="22" t="str">
        <f t="shared" si="453"/>
        <v/>
      </c>
      <c r="AG1406" s="22" t="str">
        <f t="shared" si="454"/>
        <v/>
      </c>
      <c r="AH1406" s="22" t="str">
        <f t="shared" si="455"/>
        <v/>
      </c>
      <c r="AI1406" s="22" t="str">
        <f t="shared" si="456"/>
        <v/>
      </c>
      <c r="AJ1406" s="304" t="str">
        <f t="shared" si="457"/>
        <v/>
      </c>
      <c r="AK1406" s="140" t="str">
        <f t="shared" si="458"/>
        <v/>
      </c>
    </row>
    <row r="1407" spans="7:37" x14ac:dyDescent="0.25">
      <c r="G1407" s="235" t="str">
        <f t="shared" si="447"/>
        <v/>
      </c>
      <c r="H1407" s="4" t="str">
        <f t="shared" si="469"/>
        <v/>
      </c>
      <c r="I1407" s="11" t="str">
        <f t="shared" si="448"/>
        <v/>
      </c>
      <c r="K1407" s="30">
        <v>485</v>
      </c>
      <c r="L1407" s="29">
        <f t="shared" si="459"/>
        <v>11371.908376190921</v>
      </c>
      <c r="M1407" s="28" t="str">
        <f t="shared" si="449"/>
        <v/>
      </c>
      <c r="N1407" s="27" t="str">
        <f t="shared" si="460"/>
        <v/>
      </c>
      <c r="O1407" s="26" t="str">
        <f>IF(AND($Q1406=$O$38,IFERROR(LARGE($V$923:$V1406,1)&lt;$N$42,TRUE)),1,IF(AND(ISNUMBER($O1406),$O1406&lt;$N$32),$O1406+1,""))</f>
        <v/>
      </c>
      <c r="P1407" s="26" t="str">
        <f t="shared" si="461"/>
        <v/>
      </c>
      <c r="Q1407" s="26" t="str">
        <f t="shared" si="450"/>
        <v/>
      </c>
      <c r="R1407" s="24" t="str">
        <f t="shared" si="462"/>
        <v/>
      </c>
      <c r="S1407" s="180">
        <f t="shared" si="468"/>
        <v>8</v>
      </c>
      <c r="T1407" s="29">
        <f>SUM($AC$923:$AC1407)</f>
        <v>49500</v>
      </c>
      <c r="U1407" s="25" t="str">
        <f t="shared" si="451"/>
        <v/>
      </c>
      <c r="V1407" s="24" t="str">
        <f>IF(AND(ISNUMBER(R1406),ISNUMBER(R1407)),V1406,IF(AND(R1406="",ISNUMBER(R1407)),IFERROR(LARGE($V$923:$V1406,1)+1,0),""))</f>
        <v/>
      </c>
      <c r="W1407" s="23" t="str">
        <f t="shared" si="463"/>
        <v/>
      </c>
      <c r="X1407" s="22" t="str">
        <f t="shared" si="464"/>
        <v/>
      </c>
      <c r="Y1407" s="236"/>
      <c r="Z1407" s="22"/>
      <c r="AA1407" s="22"/>
      <c r="AB1407" s="22" t="str">
        <f t="shared" si="465"/>
        <v/>
      </c>
      <c r="AC1407" s="22" t="str">
        <f t="shared" si="466"/>
        <v/>
      </c>
      <c r="AD1407" s="22" t="str">
        <f t="shared" si="452"/>
        <v/>
      </c>
      <c r="AE1407" s="22" t="str">
        <f t="shared" si="467"/>
        <v/>
      </c>
      <c r="AF1407" s="22" t="str">
        <f t="shared" si="453"/>
        <v/>
      </c>
      <c r="AG1407" s="22" t="str">
        <f t="shared" si="454"/>
        <v/>
      </c>
      <c r="AH1407" s="22" t="str">
        <f t="shared" si="455"/>
        <v/>
      </c>
      <c r="AI1407" s="22" t="str">
        <f t="shared" si="456"/>
        <v/>
      </c>
      <c r="AJ1407" s="304" t="str">
        <f t="shared" si="457"/>
        <v/>
      </c>
      <c r="AK1407" s="140" t="str">
        <f t="shared" si="458"/>
        <v/>
      </c>
    </row>
    <row r="1408" spans="7:37" x14ac:dyDescent="0.25">
      <c r="G1408" s="235" t="str">
        <f t="shared" si="447"/>
        <v/>
      </c>
      <c r="H1408" s="4" t="str">
        <f t="shared" si="469"/>
        <v/>
      </c>
      <c r="I1408" s="11" t="str">
        <f t="shared" si="448"/>
        <v/>
      </c>
      <c r="K1408" s="30">
        <v>486</v>
      </c>
      <c r="L1408" s="29">
        <f t="shared" si="459"/>
        <v>11371.908376190921</v>
      </c>
      <c r="M1408" s="28" t="str">
        <f t="shared" si="449"/>
        <v/>
      </c>
      <c r="N1408" s="27" t="str">
        <f t="shared" si="460"/>
        <v/>
      </c>
      <c r="O1408" s="26" t="str">
        <f>IF(AND($Q1407=$O$38,IFERROR(LARGE($V$923:$V1407,1)&lt;$N$42,TRUE)),1,IF(AND(ISNUMBER($O1407),$O1407&lt;$N$32),$O1407+1,""))</f>
        <v/>
      </c>
      <c r="P1408" s="26" t="str">
        <f t="shared" si="461"/>
        <v/>
      </c>
      <c r="Q1408" s="26" t="str">
        <f t="shared" si="450"/>
        <v/>
      </c>
      <c r="R1408" s="24" t="str">
        <f t="shared" si="462"/>
        <v/>
      </c>
      <c r="S1408" s="180">
        <f t="shared" si="468"/>
        <v>8</v>
      </c>
      <c r="T1408" s="29">
        <f>SUM($AC$923:$AC1408)</f>
        <v>49500</v>
      </c>
      <c r="U1408" s="25" t="str">
        <f t="shared" si="451"/>
        <v/>
      </c>
      <c r="V1408" s="24" t="str">
        <f>IF(AND(ISNUMBER(R1407),ISNUMBER(R1408)),V1407,IF(AND(R1407="",ISNUMBER(R1408)),IFERROR(LARGE($V$923:$V1407,1)+1,0),""))</f>
        <v/>
      </c>
      <c r="W1408" s="23" t="str">
        <f t="shared" si="463"/>
        <v/>
      </c>
      <c r="X1408" s="22" t="str">
        <f t="shared" si="464"/>
        <v/>
      </c>
      <c r="Y1408" s="236"/>
      <c r="Z1408" s="22"/>
      <c r="AA1408" s="22"/>
      <c r="AB1408" s="22" t="str">
        <f t="shared" si="465"/>
        <v/>
      </c>
      <c r="AC1408" s="22" t="str">
        <f t="shared" si="466"/>
        <v/>
      </c>
      <c r="AD1408" s="22" t="str">
        <f t="shared" si="452"/>
        <v/>
      </c>
      <c r="AE1408" s="22" t="str">
        <f t="shared" si="467"/>
        <v/>
      </c>
      <c r="AF1408" s="22" t="str">
        <f t="shared" si="453"/>
        <v/>
      </c>
      <c r="AG1408" s="22" t="str">
        <f t="shared" si="454"/>
        <v/>
      </c>
      <c r="AH1408" s="22" t="str">
        <f t="shared" si="455"/>
        <v/>
      </c>
      <c r="AI1408" s="22" t="str">
        <f t="shared" si="456"/>
        <v/>
      </c>
      <c r="AJ1408" s="304" t="str">
        <f t="shared" si="457"/>
        <v/>
      </c>
      <c r="AK1408" s="140" t="str">
        <f t="shared" si="458"/>
        <v/>
      </c>
    </row>
    <row r="1409" spans="7:37" x14ac:dyDescent="0.25">
      <c r="G1409" s="235" t="str">
        <f t="shared" si="447"/>
        <v/>
      </c>
      <c r="H1409" s="4" t="str">
        <f t="shared" si="469"/>
        <v/>
      </c>
      <c r="I1409" s="11" t="str">
        <f t="shared" si="448"/>
        <v/>
      </c>
      <c r="K1409" s="30">
        <v>487</v>
      </c>
      <c r="L1409" s="29">
        <f t="shared" si="459"/>
        <v>11371.908376190921</v>
      </c>
      <c r="M1409" s="28" t="str">
        <f t="shared" si="449"/>
        <v/>
      </c>
      <c r="N1409" s="27" t="str">
        <f t="shared" si="460"/>
        <v/>
      </c>
      <c r="O1409" s="26" t="str">
        <f>IF(AND($Q1408=$O$38,IFERROR(LARGE($V$923:$V1408,1)&lt;$N$42,TRUE)),1,IF(AND(ISNUMBER($O1408),$O1408&lt;$N$32),$O1408+1,""))</f>
        <v/>
      </c>
      <c r="P1409" s="26" t="str">
        <f t="shared" si="461"/>
        <v/>
      </c>
      <c r="Q1409" s="26" t="str">
        <f t="shared" si="450"/>
        <v/>
      </c>
      <c r="R1409" s="24" t="str">
        <f t="shared" si="462"/>
        <v/>
      </c>
      <c r="S1409" s="180">
        <f t="shared" si="468"/>
        <v>8</v>
      </c>
      <c r="T1409" s="29">
        <f>SUM($AC$923:$AC1409)</f>
        <v>49500</v>
      </c>
      <c r="U1409" s="25" t="str">
        <f t="shared" si="451"/>
        <v/>
      </c>
      <c r="V1409" s="24" t="str">
        <f>IF(AND(ISNUMBER(R1408),ISNUMBER(R1409)),V1408,IF(AND(R1408="",ISNUMBER(R1409)),IFERROR(LARGE($V$923:$V1408,1)+1,0),""))</f>
        <v/>
      </c>
      <c r="W1409" s="23" t="str">
        <f t="shared" si="463"/>
        <v/>
      </c>
      <c r="X1409" s="22" t="str">
        <f t="shared" si="464"/>
        <v/>
      </c>
      <c r="Y1409" s="236"/>
      <c r="Z1409" s="22"/>
      <c r="AA1409" s="22"/>
      <c r="AB1409" s="22" t="str">
        <f t="shared" si="465"/>
        <v/>
      </c>
      <c r="AC1409" s="22" t="str">
        <f t="shared" si="466"/>
        <v/>
      </c>
      <c r="AD1409" s="22" t="str">
        <f t="shared" si="452"/>
        <v/>
      </c>
      <c r="AE1409" s="22" t="str">
        <f t="shared" si="467"/>
        <v/>
      </c>
      <c r="AF1409" s="22" t="str">
        <f t="shared" si="453"/>
        <v/>
      </c>
      <c r="AG1409" s="22" t="str">
        <f t="shared" si="454"/>
        <v/>
      </c>
      <c r="AH1409" s="22" t="str">
        <f t="shared" si="455"/>
        <v/>
      </c>
      <c r="AI1409" s="22" t="str">
        <f t="shared" si="456"/>
        <v/>
      </c>
      <c r="AJ1409" s="304" t="str">
        <f t="shared" si="457"/>
        <v/>
      </c>
      <c r="AK1409" s="140" t="str">
        <f t="shared" si="458"/>
        <v/>
      </c>
    </row>
    <row r="1410" spans="7:37" x14ac:dyDescent="0.25">
      <c r="G1410" s="235" t="str">
        <f t="shared" si="447"/>
        <v/>
      </c>
      <c r="H1410" s="4" t="str">
        <f t="shared" si="469"/>
        <v/>
      </c>
      <c r="I1410" s="11" t="str">
        <f t="shared" si="448"/>
        <v/>
      </c>
      <c r="K1410" s="30">
        <v>488</v>
      </c>
      <c r="L1410" s="29">
        <f t="shared" si="459"/>
        <v>11371.908376190921</v>
      </c>
      <c r="M1410" s="28" t="str">
        <f t="shared" si="449"/>
        <v/>
      </c>
      <c r="N1410" s="27" t="str">
        <f t="shared" si="460"/>
        <v/>
      </c>
      <c r="O1410" s="26" t="str">
        <f>IF(AND($Q1409=$O$38,IFERROR(LARGE($V$923:$V1409,1)&lt;$N$42,TRUE)),1,IF(AND(ISNUMBER($O1409),$O1409&lt;$N$32),$O1409+1,""))</f>
        <v/>
      </c>
      <c r="P1410" s="26" t="str">
        <f t="shared" si="461"/>
        <v/>
      </c>
      <c r="Q1410" s="26" t="str">
        <f t="shared" si="450"/>
        <v/>
      </c>
      <c r="R1410" s="24" t="str">
        <f t="shared" si="462"/>
        <v/>
      </c>
      <c r="S1410" s="180">
        <f t="shared" si="468"/>
        <v>8</v>
      </c>
      <c r="T1410" s="29">
        <f>SUM($AC$923:$AC1410)</f>
        <v>49500</v>
      </c>
      <c r="U1410" s="25" t="str">
        <f t="shared" si="451"/>
        <v/>
      </c>
      <c r="V1410" s="24" t="str">
        <f>IF(AND(ISNUMBER(R1409),ISNUMBER(R1410)),V1409,IF(AND(R1409="",ISNUMBER(R1410)),IFERROR(LARGE($V$923:$V1409,1)+1,0),""))</f>
        <v/>
      </c>
      <c r="W1410" s="23" t="str">
        <f t="shared" si="463"/>
        <v/>
      </c>
      <c r="X1410" s="22" t="str">
        <f t="shared" si="464"/>
        <v/>
      </c>
      <c r="Y1410" s="236"/>
      <c r="Z1410" s="22"/>
      <c r="AA1410" s="22"/>
      <c r="AB1410" s="22" t="str">
        <f t="shared" si="465"/>
        <v/>
      </c>
      <c r="AC1410" s="22" t="str">
        <f t="shared" si="466"/>
        <v/>
      </c>
      <c r="AD1410" s="22" t="str">
        <f t="shared" si="452"/>
        <v/>
      </c>
      <c r="AE1410" s="22" t="str">
        <f t="shared" si="467"/>
        <v/>
      </c>
      <c r="AF1410" s="22" t="str">
        <f t="shared" si="453"/>
        <v/>
      </c>
      <c r="AG1410" s="22" t="str">
        <f t="shared" si="454"/>
        <v/>
      </c>
      <c r="AH1410" s="22" t="str">
        <f t="shared" si="455"/>
        <v/>
      </c>
      <c r="AI1410" s="22" t="str">
        <f t="shared" si="456"/>
        <v/>
      </c>
      <c r="AJ1410" s="304" t="str">
        <f t="shared" si="457"/>
        <v/>
      </c>
      <c r="AK1410" s="140" t="str">
        <f t="shared" si="458"/>
        <v/>
      </c>
    </row>
    <row r="1411" spans="7:37" x14ac:dyDescent="0.25">
      <c r="G1411" s="235" t="str">
        <f t="shared" si="447"/>
        <v/>
      </c>
      <c r="H1411" s="4" t="str">
        <f t="shared" si="469"/>
        <v/>
      </c>
      <c r="I1411" s="11" t="str">
        <f t="shared" si="448"/>
        <v/>
      </c>
      <c r="K1411" s="30">
        <v>489</v>
      </c>
      <c r="L1411" s="29">
        <f t="shared" si="459"/>
        <v>11371.908376190921</v>
      </c>
      <c r="M1411" s="28" t="str">
        <f t="shared" si="449"/>
        <v/>
      </c>
      <c r="N1411" s="27" t="str">
        <f t="shared" si="460"/>
        <v/>
      </c>
      <c r="O1411" s="26" t="str">
        <f>IF(AND($Q1410=$O$38,IFERROR(LARGE($V$923:$V1410,1)&lt;$N$42,TRUE)),1,IF(AND(ISNUMBER($O1410),$O1410&lt;$N$32),$O1410+1,""))</f>
        <v/>
      </c>
      <c r="P1411" s="26" t="str">
        <f t="shared" si="461"/>
        <v/>
      </c>
      <c r="Q1411" s="26" t="str">
        <f t="shared" si="450"/>
        <v/>
      </c>
      <c r="R1411" s="24" t="str">
        <f t="shared" si="462"/>
        <v/>
      </c>
      <c r="S1411" s="180">
        <f t="shared" si="468"/>
        <v>8</v>
      </c>
      <c r="T1411" s="29">
        <f>SUM($AC$923:$AC1411)</f>
        <v>49500</v>
      </c>
      <c r="U1411" s="25" t="str">
        <f t="shared" si="451"/>
        <v/>
      </c>
      <c r="V1411" s="24" t="str">
        <f>IF(AND(ISNUMBER(R1410),ISNUMBER(R1411)),V1410,IF(AND(R1410="",ISNUMBER(R1411)),IFERROR(LARGE($V$923:$V1410,1)+1,0),""))</f>
        <v/>
      </c>
      <c r="W1411" s="23" t="str">
        <f t="shared" si="463"/>
        <v/>
      </c>
      <c r="X1411" s="22" t="str">
        <f t="shared" si="464"/>
        <v/>
      </c>
      <c r="Y1411" s="236"/>
      <c r="Z1411" s="22"/>
      <c r="AA1411" s="22"/>
      <c r="AB1411" s="22" t="str">
        <f t="shared" si="465"/>
        <v/>
      </c>
      <c r="AC1411" s="22" t="str">
        <f t="shared" si="466"/>
        <v/>
      </c>
      <c r="AD1411" s="22" t="str">
        <f t="shared" si="452"/>
        <v/>
      </c>
      <c r="AE1411" s="22" t="str">
        <f t="shared" si="467"/>
        <v/>
      </c>
      <c r="AF1411" s="22" t="str">
        <f t="shared" si="453"/>
        <v/>
      </c>
      <c r="AG1411" s="22" t="str">
        <f t="shared" si="454"/>
        <v/>
      </c>
      <c r="AH1411" s="22" t="str">
        <f t="shared" si="455"/>
        <v/>
      </c>
      <c r="AI1411" s="22" t="str">
        <f t="shared" si="456"/>
        <v/>
      </c>
      <c r="AJ1411" s="304" t="str">
        <f t="shared" si="457"/>
        <v/>
      </c>
      <c r="AK1411" s="140" t="str">
        <f t="shared" si="458"/>
        <v/>
      </c>
    </row>
    <row r="1412" spans="7:37" x14ac:dyDescent="0.25">
      <c r="G1412" s="235" t="str">
        <f t="shared" si="447"/>
        <v/>
      </c>
      <c r="H1412" s="4" t="str">
        <f t="shared" si="469"/>
        <v/>
      </c>
      <c r="I1412" s="11" t="str">
        <f t="shared" si="448"/>
        <v/>
      </c>
      <c r="K1412" s="30">
        <v>490</v>
      </c>
      <c r="L1412" s="29">
        <f t="shared" si="459"/>
        <v>11371.908376190921</v>
      </c>
      <c r="M1412" s="28" t="str">
        <f t="shared" si="449"/>
        <v/>
      </c>
      <c r="N1412" s="27" t="str">
        <f t="shared" si="460"/>
        <v/>
      </c>
      <c r="O1412" s="26" t="str">
        <f>IF(AND($Q1411=$O$38,IFERROR(LARGE($V$923:$V1411,1)&lt;$N$42,TRUE)),1,IF(AND(ISNUMBER($O1411),$O1411&lt;$N$32),$O1411+1,""))</f>
        <v/>
      </c>
      <c r="P1412" s="26" t="str">
        <f t="shared" si="461"/>
        <v/>
      </c>
      <c r="Q1412" s="26" t="str">
        <f t="shared" si="450"/>
        <v/>
      </c>
      <c r="R1412" s="24" t="str">
        <f t="shared" si="462"/>
        <v/>
      </c>
      <c r="S1412" s="180">
        <f t="shared" si="468"/>
        <v>8</v>
      </c>
      <c r="T1412" s="29">
        <f>SUM($AC$923:$AC1412)</f>
        <v>49500</v>
      </c>
      <c r="U1412" s="25" t="str">
        <f t="shared" si="451"/>
        <v/>
      </c>
      <c r="V1412" s="24" t="str">
        <f>IF(AND(ISNUMBER(R1411),ISNUMBER(R1412)),V1411,IF(AND(R1411="",ISNUMBER(R1412)),IFERROR(LARGE($V$923:$V1411,1)+1,0),""))</f>
        <v/>
      </c>
      <c r="W1412" s="23" t="str">
        <f t="shared" si="463"/>
        <v/>
      </c>
      <c r="X1412" s="22" t="str">
        <f t="shared" si="464"/>
        <v/>
      </c>
      <c r="Y1412" s="236"/>
      <c r="Z1412" s="22"/>
      <c r="AA1412" s="22"/>
      <c r="AB1412" s="22" t="str">
        <f t="shared" si="465"/>
        <v/>
      </c>
      <c r="AC1412" s="22" t="str">
        <f t="shared" si="466"/>
        <v/>
      </c>
      <c r="AD1412" s="22" t="str">
        <f t="shared" si="452"/>
        <v/>
      </c>
      <c r="AE1412" s="22" t="str">
        <f t="shared" si="467"/>
        <v/>
      </c>
      <c r="AF1412" s="22" t="str">
        <f t="shared" si="453"/>
        <v/>
      </c>
      <c r="AG1412" s="22" t="str">
        <f t="shared" si="454"/>
        <v/>
      </c>
      <c r="AH1412" s="22" t="str">
        <f t="shared" si="455"/>
        <v/>
      </c>
      <c r="AI1412" s="22" t="str">
        <f t="shared" si="456"/>
        <v/>
      </c>
      <c r="AJ1412" s="304" t="str">
        <f t="shared" si="457"/>
        <v/>
      </c>
      <c r="AK1412" s="140" t="str">
        <f t="shared" si="458"/>
        <v/>
      </c>
    </row>
    <row r="1413" spans="7:37" x14ac:dyDescent="0.25">
      <c r="G1413" s="235" t="str">
        <f t="shared" si="447"/>
        <v/>
      </c>
      <c r="H1413" s="4" t="str">
        <f t="shared" si="469"/>
        <v/>
      </c>
      <c r="I1413" s="11" t="str">
        <f t="shared" si="448"/>
        <v/>
      </c>
      <c r="K1413" s="30">
        <v>491</v>
      </c>
      <c r="L1413" s="29">
        <f t="shared" si="459"/>
        <v>11371.908376190921</v>
      </c>
      <c r="M1413" s="28" t="str">
        <f t="shared" si="449"/>
        <v/>
      </c>
      <c r="N1413" s="27" t="str">
        <f t="shared" si="460"/>
        <v/>
      </c>
      <c r="O1413" s="26" t="str">
        <f>IF(AND($Q1412=$O$38,IFERROR(LARGE($V$923:$V1412,1)&lt;$N$42,TRUE)),1,IF(AND(ISNUMBER($O1412),$O1412&lt;$N$32),$O1412+1,""))</f>
        <v/>
      </c>
      <c r="P1413" s="26" t="str">
        <f t="shared" si="461"/>
        <v/>
      </c>
      <c r="Q1413" s="26" t="str">
        <f t="shared" si="450"/>
        <v/>
      </c>
      <c r="R1413" s="24" t="str">
        <f t="shared" si="462"/>
        <v/>
      </c>
      <c r="S1413" s="180">
        <f t="shared" si="468"/>
        <v>8</v>
      </c>
      <c r="T1413" s="29">
        <f>SUM($AC$923:$AC1413)</f>
        <v>49500</v>
      </c>
      <c r="U1413" s="25" t="str">
        <f t="shared" si="451"/>
        <v/>
      </c>
      <c r="V1413" s="24" t="str">
        <f>IF(AND(ISNUMBER(R1412),ISNUMBER(R1413)),V1412,IF(AND(R1412="",ISNUMBER(R1413)),IFERROR(LARGE($V$923:$V1412,1)+1,0),""))</f>
        <v/>
      </c>
      <c r="W1413" s="23" t="str">
        <f t="shared" si="463"/>
        <v/>
      </c>
      <c r="X1413" s="22" t="str">
        <f t="shared" si="464"/>
        <v/>
      </c>
      <c r="Y1413" s="236"/>
      <c r="Z1413" s="22"/>
      <c r="AA1413" s="22"/>
      <c r="AB1413" s="22" t="str">
        <f t="shared" si="465"/>
        <v/>
      </c>
      <c r="AC1413" s="22" t="str">
        <f t="shared" si="466"/>
        <v/>
      </c>
      <c r="AD1413" s="22" t="str">
        <f t="shared" si="452"/>
        <v/>
      </c>
      <c r="AE1413" s="22" t="str">
        <f t="shared" si="467"/>
        <v/>
      </c>
      <c r="AF1413" s="22" t="str">
        <f t="shared" si="453"/>
        <v/>
      </c>
      <c r="AG1413" s="22" t="str">
        <f t="shared" si="454"/>
        <v/>
      </c>
      <c r="AH1413" s="22" t="str">
        <f t="shared" si="455"/>
        <v/>
      </c>
      <c r="AI1413" s="22" t="str">
        <f t="shared" si="456"/>
        <v/>
      </c>
      <c r="AJ1413" s="304" t="str">
        <f t="shared" si="457"/>
        <v/>
      </c>
      <c r="AK1413" s="140" t="str">
        <f t="shared" si="458"/>
        <v/>
      </c>
    </row>
    <row r="1414" spans="7:37" x14ac:dyDescent="0.25">
      <c r="G1414" s="235" t="str">
        <f t="shared" si="447"/>
        <v/>
      </c>
      <c r="H1414" s="4" t="str">
        <f t="shared" si="469"/>
        <v/>
      </c>
      <c r="I1414" s="11" t="str">
        <f t="shared" si="448"/>
        <v/>
      </c>
      <c r="K1414" s="30">
        <v>492</v>
      </c>
      <c r="L1414" s="29">
        <f t="shared" si="459"/>
        <v>11371.908376190921</v>
      </c>
      <c r="M1414" s="28" t="str">
        <f t="shared" si="449"/>
        <v/>
      </c>
      <c r="N1414" s="27" t="str">
        <f t="shared" si="460"/>
        <v/>
      </c>
      <c r="O1414" s="26" t="str">
        <f>IF(AND($Q1413=$O$38,IFERROR(LARGE($V$923:$V1413,1)&lt;$N$42,TRUE)),1,IF(AND(ISNUMBER($O1413),$O1413&lt;$N$32),$O1413+1,""))</f>
        <v/>
      </c>
      <c r="P1414" s="26" t="str">
        <f t="shared" si="461"/>
        <v/>
      </c>
      <c r="Q1414" s="26" t="str">
        <f t="shared" si="450"/>
        <v/>
      </c>
      <c r="R1414" s="24" t="str">
        <f t="shared" si="462"/>
        <v/>
      </c>
      <c r="S1414" s="180">
        <f t="shared" si="468"/>
        <v>8</v>
      </c>
      <c r="T1414" s="29">
        <f>SUM($AC$923:$AC1414)</f>
        <v>49500</v>
      </c>
      <c r="U1414" s="25" t="str">
        <f t="shared" si="451"/>
        <v/>
      </c>
      <c r="V1414" s="24" t="str">
        <f>IF(AND(ISNUMBER(R1413),ISNUMBER(R1414)),V1413,IF(AND(R1413="",ISNUMBER(R1414)),IFERROR(LARGE($V$923:$V1413,1)+1,0),""))</f>
        <v/>
      </c>
      <c r="W1414" s="23" t="str">
        <f t="shared" si="463"/>
        <v/>
      </c>
      <c r="X1414" s="22" t="str">
        <f t="shared" si="464"/>
        <v/>
      </c>
      <c r="Y1414" s="236"/>
      <c r="Z1414" s="22"/>
      <c r="AA1414" s="22"/>
      <c r="AB1414" s="22" t="str">
        <f t="shared" si="465"/>
        <v/>
      </c>
      <c r="AC1414" s="22" t="str">
        <f t="shared" si="466"/>
        <v/>
      </c>
      <c r="AD1414" s="22" t="str">
        <f t="shared" si="452"/>
        <v/>
      </c>
      <c r="AE1414" s="22" t="str">
        <f t="shared" si="467"/>
        <v/>
      </c>
      <c r="AF1414" s="22" t="str">
        <f t="shared" si="453"/>
        <v/>
      </c>
      <c r="AG1414" s="22" t="str">
        <f t="shared" si="454"/>
        <v/>
      </c>
      <c r="AH1414" s="22" t="str">
        <f t="shared" si="455"/>
        <v/>
      </c>
      <c r="AI1414" s="22" t="str">
        <f t="shared" si="456"/>
        <v/>
      </c>
      <c r="AJ1414" s="304" t="str">
        <f t="shared" si="457"/>
        <v/>
      </c>
      <c r="AK1414" s="140" t="str">
        <f t="shared" si="458"/>
        <v/>
      </c>
    </row>
    <row r="1415" spans="7:37" x14ac:dyDescent="0.25">
      <c r="G1415" s="235" t="str">
        <f t="shared" si="447"/>
        <v/>
      </c>
      <c r="H1415" s="4" t="str">
        <f t="shared" si="469"/>
        <v/>
      </c>
      <c r="I1415" s="11" t="str">
        <f t="shared" si="448"/>
        <v/>
      </c>
      <c r="K1415" s="30">
        <v>493</v>
      </c>
      <c r="L1415" s="29">
        <f t="shared" si="459"/>
        <v>11371.908376190921</v>
      </c>
      <c r="M1415" s="28" t="str">
        <f t="shared" si="449"/>
        <v/>
      </c>
      <c r="N1415" s="27" t="str">
        <f t="shared" si="460"/>
        <v/>
      </c>
      <c r="O1415" s="26" t="str">
        <f>IF(AND($Q1414=$O$38,IFERROR(LARGE($V$923:$V1414,1)&lt;$N$42,TRUE)),1,IF(AND(ISNUMBER($O1414),$O1414&lt;$N$32),$O1414+1,""))</f>
        <v/>
      </c>
      <c r="P1415" s="26" t="str">
        <f t="shared" si="461"/>
        <v/>
      </c>
      <c r="Q1415" s="26" t="str">
        <f t="shared" si="450"/>
        <v/>
      </c>
      <c r="R1415" s="24" t="str">
        <f t="shared" si="462"/>
        <v/>
      </c>
      <c r="S1415" s="180">
        <f t="shared" si="468"/>
        <v>8</v>
      </c>
      <c r="T1415" s="29">
        <f>SUM($AC$923:$AC1415)</f>
        <v>49500</v>
      </c>
      <c r="U1415" s="25" t="str">
        <f t="shared" si="451"/>
        <v/>
      </c>
      <c r="V1415" s="24" t="str">
        <f>IF(AND(ISNUMBER(R1414),ISNUMBER(R1415)),V1414,IF(AND(R1414="",ISNUMBER(R1415)),IFERROR(LARGE($V$923:$V1414,1)+1,0),""))</f>
        <v/>
      </c>
      <c r="W1415" s="23" t="str">
        <f t="shared" si="463"/>
        <v/>
      </c>
      <c r="X1415" s="22" t="str">
        <f t="shared" si="464"/>
        <v/>
      </c>
      <c r="Y1415" s="236"/>
      <c r="Z1415" s="22"/>
      <c r="AA1415" s="22"/>
      <c r="AB1415" s="22" t="str">
        <f t="shared" si="465"/>
        <v/>
      </c>
      <c r="AC1415" s="22" t="str">
        <f t="shared" si="466"/>
        <v/>
      </c>
      <c r="AD1415" s="22" t="str">
        <f t="shared" si="452"/>
        <v/>
      </c>
      <c r="AE1415" s="22" t="str">
        <f t="shared" si="467"/>
        <v/>
      </c>
      <c r="AF1415" s="22" t="str">
        <f t="shared" si="453"/>
        <v/>
      </c>
      <c r="AG1415" s="22" t="str">
        <f t="shared" si="454"/>
        <v/>
      </c>
      <c r="AH1415" s="22" t="str">
        <f t="shared" si="455"/>
        <v/>
      </c>
      <c r="AI1415" s="22" t="str">
        <f t="shared" si="456"/>
        <v/>
      </c>
      <c r="AJ1415" s="304" t="str">
        <f t="shared" si="457"/>
        <v/>
      </c>
      <c r="AK1415" s="140" t="str">
        <f t="shared" si="458"/>
        <v/>
      </c>
    </row>
    <row r="1416" spans="7:37" x14ac:dyDescent="0.25">
      <c r="G1416" s="235" t="str">
        <f t="shared" si="447"/>
        <v/>
      </c>
      <c r="H1416" s="4" t="str">
        <f t="shared" si="469"/>
        <v/>
      </c>
      <c r="I1416" s="11" t="str">
        <f t="shared" si="448"/>
        <v/>
      </c>
      <c r="K1416" s="30">
        <v>494</v>
      </c>
      <c r="L1416" s="29">
        <f t="shared" si="459"/>
        <v>11371.908376190921</v>
      </c>
      <c r="M1416" s="28" t="str">
        <f t="shared" si="449"/>
        <v/>
      </c>
      <c r="N1416" s="27" t="str">
        <f t="shared" si="460"/>
        <v/>
      </c>
      <c r="O1416" s="26" t="str">
        <f>IF(AND($Q1415=$O$38,IFERROR(LARGE($V$923:$V1415,1)&lt;$N$42,TRUE)),1,IF(AND(ISNUMBER($O1415),$O1415&lt;$N$32),$O1415+1,""))</f>
        <v/>
      </c>
      <c r="P1416" s="26" t="str">
        <f t="shared" si="461"/>
        <v/>
      </c>
      <c r="Q1416" s="26" t="str">
        <f t="shared" si="450"/>
        <v/>
      </c>
      <c r="R1416" s="24" t="str">
        <f t="shared" si="462"/>
        <v/>
      </c>
      <c r="S1416" s="180">
        <f t="shared" si="468"/>
        <v>8</v>
      </c>
      <c r="T1416" s="29">
        <f>SUM($AC$923:$AC1416)</f>
        <v>49500</v>
      </c>
      <c r="U1416" s="25" t="str">
        <f t="shared" si="451"/>
        <v/>
      </c>
      <c r="V1416" s="24" t="str">
        <f>IF(AND(ISNUMBER(R1415),ISNUMBER(R1416)),V1415,IF(AND(R1415="",ISNUMBER(R1416)),IFERROR(LARGE($V$923:$V1415,1)+1,0),""))</f>
        <v/>
      </c>
      <c r="W1416" s="23" t="str">
        <f t="shared" si="463"/>
        <v/>
      </c>
      <c r="X1416" s="22" t="str">
        <f t="shared" si="464"/>
        <v/>
      </c>
      <c r="Y1416" s="236"/>
      <c r="Z1416" s="22"/>
      <c r="AA1416" s="22"/>
      <c r="AB1416" s="22" t="str">
        <f t="shared" si="465"/>
        <v/>
      </c>
      <c r="AC1416" s="22" t="str">
        <f t="shared" si="466"/>
        <v/>
      </c>
      <c r="AD1416" s="22" t="str">
        <f t="shared" si="452"/>
        <v/>
      </c>
      <c r="AE1416" s="22" t="str">
        <f t="shared" si="467"/>
        <v/>
      </c>
      <c r="AF1416" s="22" t="str">
        <f t="shared" si="453"/>
        <v/>
      </c>
      <c r="AG1416" s="22" t="str">
        <f t="shared" si="454"/>
        <v/>
      </c>
      <c r="AH1416" s="22" t="str">
        <f t="shared" si="455"/>
        <v/>
      </c>
      <c r="AI1416" s="22" t="str">
        <f t="shared" si="456"/>
        <v/>
      </c>
      <c r="AJ1416" s="304" t="str">
        <f t="shared" si="457"/>
        <v/>
      </c>
      <c r="AK1416" s="140" t="str">
        <f t="shared" si="458"/>
        <v/>
      </c>
    </row>
    <row r="1417" spans="7:37" x14ac:dyDescent="0.25">
      <c r="G1417" s="235" t="str">
        <f t="shared" si="447"/>
        <v/>
      </c>
      <c r="H1417" s="4" t="str">
        <f t="shared" si="469"/>
        <v/>
      </c>
      <c r="I1417" s="11" t="str">
        <f t="shared" si="448"/>
        <v/>
      </c>
      <c r="K1417" s="30">
        <v>495</v>
      </c>
      <c r="L1417" s="29">
        <f t="shared" si="459"/>
        <v>11371.908376190921</v>
      </c>
      <c r="M1417" s="28" t="str">
        <f t="shared" si="449"/>
        <v/>
      </c>
      <c r="N1417" s="27" t="str">
        <f t="shared" si="460"/>
        <v/>
      </c>
      <c r="O1417" s="26" t="str">
        <f>IF(AND($Q1416=$O$38,IFERROR(LARGE($V$923:$V1416,1)&lt;$N$42,TRUE)),1,IF(AND(ISNUMBER($O1416),$O1416&lt;$N$32),$O1416+1,""))</f>
        <v/>
      </c>
      <c r="P1417" s="26" t="str">
        <f t="shared" si="461"/>
        <v/>
      </c>
      <c r="Q1417" s="26" t="str">
        <f t="shared" si="450"/>
        <v/>
      </c>
      <c r="R1417" s="24" t="str">
        <f t="shared" si="462"/>
        <v/>
      </c>
      <c r="S1417" s="180">
        <f t="shared" si="468"/>
        <v>8</v>
      </c>
      <c r="T1417" s="29">
        <f>SUM($AC$923:$AC1417)</f>
        <v>49500</v>
      </c>
      <c r="U1417" s="25" t="str">
        <f t="shared" si="451"/>
        <v/>
      </c>
      <c r="V1417" s="24" t="str">
        <f>IF(AND(ISNUMBER(R1416),ISNUMBER(R1417)),V1416,IF(AND(R1416="",ISNUMBER(R1417)),IFERROR(LARGE($V$923:$V1416,1)+1,0),""))</f>
        <v/>
      </c>
      <c r="W1417" s="23" t="str">
        <f t="shared" si="463"/>
        <v/>
      </c>
      <c r="X1417" s="22" t="str">
        <f t="shared" si="464"/>
        <v/>
      </c>
      <c r="Y1417" s="236"/>
      <c r="Z1417" s="22"/>
      <c r="AA1417" s="22"/>
      <c r="AB1417" s="22" t="str">
        <f t="shared" si="465"/>
        <v/>
      </c>
      <c r="AC1417" s="22" t="str">
        <f t="shared" si="466"/>
        <v/>
      </c>
      <c r="AD1417" s="22" t="str">
        <f t="shared" si="452"/>
        <v/>
      </c>
      <c r="AE1417" s="22" t="str">
        <f t="shared" si="467"/>
        <v/>
      </c>
      <c r="AF1417" s="22" t="str">
        <f t="shared" si="453"/>
        <v/>
      </c>
      <c r="AG1417" s="22" t="str">
        <f t="shared" si="454"/>
        <v/>
      </c>
      <c r="AH1417" s="22" t="str">
        <f t="shared" si="455"/>
        <v/>
      </c>
      <c r="AI1417" s="22" t="str">
        <f t="shared" si="456"/>
        <v/>
      </c>
      <c r="AJ1417" s="304" t="str">
        <f t="shared" si="457"/>
        <v/>
      </c>
      <c r="AK1417" s="140" t="str">
        <f t="shared" si="458"/>
        <v/>
      </c>
    </row>
    <row r="1418" spans="7:37" x14ac:dyDescent="0.25">
      <c r="G1418" s="235" t="str">
        <f t="shared" si="447"/>
        <v/>
      </c>
      <c r="H1418" s="4" t="str">
        <f t="shared" si="469"/>
        <v/>
      </c>
      <c r="I1418" s="11" t="str">
        <f t="shared" si="448"/>
        <v/>
      </c>
      <c r="K1418" s="30">
        <v>496</v>
      </c>
      <c r="L1418" s="29">
        <f t="shared" si="459"/>
        <v>11371.908376190921</v>
      </c>
      <c r="M1418" s="28" t="str">
        <f t="shared" si="449"/>
        <v/>
      </c>
      <c r="N1418" s="27" t="str">
        <f t="shared" si="460"/>
        <v/>
      </c>
      <c r="O1418" s="26" t="str">
        <f>IF(AND($Q1417=$O$38,IFERROR(LARGE($V$923:$V1417,1)&lt;$N$42,TRUE)),1,IF(AND(ISNUMBER($O1417),$O1417&lt;$N$32),$O1417+1,""))</f>
        <v/>
      </c>
      <c r="P1418" s="26" t="str">
        <f t="shared" si="461"/>
        <v/>
      </c>
      <c r="Q1418" s="26" t="str">
        <f t="shared" si="450"/>
        <v/>
      </c>
      <c r="R1418" s="24" t="str">
        <f t="shared" si="462"/>
        <v/>
      </c>
      <c r="S1418" s="180">
        <f t="shared" si="468"/>
        <v>8</v>
      </c>
      <c r="T1418" s="29">
        <f>SUM($AC$923:$AC1418)</f>
        <v>49500</v>
      </c>
      <c r="U1418" s="25" t="str">
        <f t="shared" si="451"/>
        <v/>
      </c>
      <c r="V1418" s="24" t="str">
        <f>IF(AND(ISNUMBER(R1417),ISNUMBER(R1418)),V1417,IF(AND(R1417="",ISNUMBER(R1418)),IFERROR(LARGE($V$923:$V1417,1)+1,0),""))</f>
        <v/>
      </c>
      <c r="W1418" s="23" t="str">
        <f t="shared" si="463"/>
        <v/>
      </c>
      <c r="X1418" s="22" t="str">
        <f t="shared" si="464"/>
        <v/>
      </c>
      <c r="Y1418" s="236"/>
      <c r="Z1418" s="22"/>
      <c r="AA1418" s="22"/>
      <c r="AB1418" s="22" t="str">
        <f t="shared" si="465"/>
        <v/>
      </c>
      <c r="AC1418" s="22" t="str">
        <f t="shared" si="466"/>
        <v/>
      </c>
      <c r="AD1418" s="22" t="str">
        <f t="shared" si="452"/>
        <v/>
      </c>
      <c r="AE1418" s="22" t="str">
        <f t="shared" si="467"/>
        <v/>
      </c>
      <c r="AF1418" s="22" t="str">
        <f t="shared" si="453"/>
        <v/>
      </c>
      <c r="AG1418" s="22" t="str">
        <f t="shared" si="454"/>
        <v/>
      </c>
      <c r="AH1418" s="22" t="str">
        <f t="shared" si="455"/>
        <v/>
      </c>
      <c r="AI1418" s="22" t="str">
        <f t="shared" si="456"/>
        <v/>
      </c>
      <c r="AJ1418" s="304" t="str">
        <f t="shared" si="457"/>
        <v/>
      </c>
      <c r="AK1418" s="140" t="str">
        <f t="shared" si="458"/>
        <v/>
      </c>
    </row>
    <row r="1419" spans="7:37" x14ac:dyDescent="0.25">
      <c r="G1419" s="235" t="str">
        <f t="shared" si="447"/>
        <v/>
      </c>
      <c r="H1419" s="4" t="str">
        <f t="shared" si="469"/>
        <v/>
      </c>
      <c r="I1419" s="11" t="str">
        <f t="shared" si="448"/>
        <v/>
      </c>
      <c r="K1419" s="30">
        <v>497</v>
      </c>
      <c r="L1419" s="29">
        <f t="shared" si="459"/>
        <v>11371.908376190921</v>
      </c>
      <c r="M1419" s="28" t="str">
        <f t="shared" si="449"/>
        <v/>
      </c>
      <c r="N1419" s="27" t="str">
        <f t="shared" si="460"/>
        <v/>
      </c>
      <c r="O1419" s="26" t="str">
        <f>IF(AND($Q1418=$O$38,IFERROR(LARGE($V$923:$V1418,1)&lt;$N$42,TRUE)),1,IF(AND(ISNUMBER($O1418),$O1418&lt;$N$32),$O1418+1,""))</f>
        <v/>
      </c>
      <c r="P1419" s="26" t="str">
        <f t="shared" si="461"/>
        <v/>
      </c>
      <c r="Q1419" s="26" t="str">
        <f t="shared" si="450"/>
        <v/>
      </c>
      <c r="R1419" s="24" t="str">
        <f t="shared" si="462"/>
        <v/>
      </c>
      <c r="S1419" s="180">
        <f t="shared" si="468"/>
        <v>8</v>
      </c>
      <c r="T1419" s="29">
        <f>SUM($AC$923:$AC1419)</f>
        <v>49500</v>
      </c>
      <c r="U1419" s="25" t="str">
        <f t="shared" si="451"/>
        <v/>
      </c>
      <c r="V1419" s="24" t="str">
        <f>IF(AND(ISNUMBER(R1418),ISNUMBER(R1419)),V1418,IF(AND(R1418="",ISNUMBER(R1419)),IFERROR(LARGE($V$923:$V1418,1)+1,0),""))</f>
        <v/>
      </c>
      <c r="W1419" s="23" t="str">
        <f t="shared" si="463"/>
        <v/>
      </c>
      <c r="X1419" s="22" t="str">
        <f t="shared" si="464"/>
        <v/>
      </c>
      <c r="Y1419" s="236"/>
      <c r="Z1419" s="22"/>
      <c r="AA1419" s="22"/>
      <c r="AB1419" s="22" t="str">
        <f t="shared" si="465"/>
        <v/>
      </c>
      <c r="AC1419" s="22" t="str">
        <f t="shared" si="466"/>
        <v/>
      </c>
      <c r="AD1419" s="22" t="str">
        <f t="shared" si="452"/>
        <v/>
      </c>
      <c r="AE1419" s="22" t="str">
        <f t="shared" si="467"/>
        <v/>
      </c>
      <c r="AF1419" s="22" t="str">
        <f t="shared" si="453"/>
        <v/>
      </c>
      <c r="AG1419" s="22" t="str">
        <f t="shared" si="454"/>
        <v/>
      </c>
      <c r="AH1419" s="22" t="str">
        <f t="shared" si="455"/>
        <v/>
      </c>
      <c r="AI1419" s="22" t="str">
        <f t="shared" si="456"/>
        <v/>
      </c>
      <c r="AJ1419" s="304" t="str">
        <f t="shared" si="457"/>
        <v/>
      </c>
      <c r="AK1419" s="140" t="str">
        <f t="shared" si="458"/>
        <v/>
      </c>
    </row>
    <row r="1420" spans="7:37" x14ac:dyDescent="0.25">
      <c r="G1420" s="235" t="str">
        <f t="shared" si="447"/>
        <v/>
      </c>
      <c r="H1420" s="4" t="str">
        <f t="shared" si="469"/>
        <v/>
      </c>
      <c r="I1420" s="11" t="str">
        <f t="shared" si="448"/>
        <v/>
      </c>
      <c r="K1420" s="30">
        <v>498</v>
      </c>
      <c r="L1420" s="29">
        <f t="shared" si="459"/>
        <v>11371.908376190921</v>
      </c>
      <c r="M1420" s="28" t="str">
        <f t="shared" si="449"/>
        <v/>
      </c>
      <c r="N1420" s="27" t="str">
        <f t="shared" si="460"/>
        <v/>
      </c>
      <c r="O1420" s="26" t="str">
        <f>IF(AND($Q1419=$O$38,IFERROR(LARGE($V$923:$V1419,1)&lt;$N$42,TRUE)),1,IF(AND(ISNUMBER($O1419),$O1419&lt;$N$32),$O1419+1,""))</f>
        <v/>
      </c>
      <c r="P1420" s="26" t="str">
        <f t="shared" si="461"/>
        <v/>
      </c>
      <c r="Q1420" s="26" t="str">
        <f t="shared" si="450"/>
        <v/>
      </c>
      <c r="R1420" s="24" t="str">
        <f t="shared" si="462"/>
        <v/>
      </c>
      <c r="S1420" s="180">
        <f t="shared" si="468"/>
        <v>8</v>
      </c>
      <c r="T1420" s="29">
        <f>SUM($AC$923:$AC1420)</f>
        <v>49500</v>
      </c>
      <c r="U1420" s="25" t="str">
        <f t="shared" si="451"/>
        <v/>
      </c>
      <c r="V1420" s="24" t="str">
        <f>IF(AND(ISNUMBER(R1419),ISNUMBER(R1420)),V1419,IF(AND(R1419="",ISNUMBER(R1420)),IFERROR(LARGE($V$923:$V1419,1)+1,0),""))</f>
        <v/>
      </c>
      <c r="W1420" s="23" t="str">
        <f t="shared" si="463"/>
        <v/>
      </c>
      <c r="X1420" s="22" t="str">
        <f t="shared" si="464"/>
        <v/>
      </c>
      <c r="Y1420" s="236"/>
      <c r="Z1420" s="22"/>
      <c r="AA1420" s="22"/>
      <c r="AB1420" s="22" t="str">
        <f t="shared" si="465"/>
        <v/>
      </c>
      <c r="AC1420" s="22" t="str">
        <f t="shared" si="466"/>
        <v/>
      </c>
      <c r="AD1420" s="22" t="str">
        <f t="shared" si="452"/>
        <v/>
      </c>
      <c r="AE1420" s="22" t="str">
        <f t="shared" si="467"/>
        <v/>
      </c>
      <c r="AF1420" s="22" t="str">
        <f t="shared" si="453"/>
        <v/>
      </c>
      <c r="AG1420" s="22" t="str">
        <f t="shared" si="454"/>
        <v/>
      </c>
      <c r="AH1420" s="22" t="str">
        <f t="shared" si="455"/>
        <v/>
      </c>
      <c r="AI1420" s="22" t="str">
        <f t="shared" si="456"/>
        <v/>
      </c>
      <c r="AJ1420" s="304" t="str">
        <f t="shared" si="457"/>
        <v/>
      </c>
      <c r="AK1420" s="140" t="str">
        <f t="shared" si="458"/>
        <v/>
      </c>
    </row>
    <row r="1421" spans="7:37" x14ac:dyDescent="0.25">
      <c r="G1421" s="235" t="str">
        <f t="shared" si="447"/>
        <v/>
      </c>
      <c r="H1421" s="4" t="str">
        <f t="shared" si="469"/>
        <v/>
      </c>
      <c r="I1421" s="11" t="str">
        <f t="shared" si="448"/>
        <v/>
      </c>
      <c r="K1421" s="30">
        <v>499</v>
      </c>
      <c r="L1421" s="29">
        <f t="shared" si="459"/>
        <v>11371.908376190921</v>
      </c>
      <c r="M1421" s="28" t="str">
        <f t="shared" si="449"/>
        <v/>
      </c>
      <c r="N1421" s="27" t="str">
        <f t="shared" si="460"/>
        <v/>
      </c>
      <c r="O1421" s="26" t="str">
        <f>IF(AND($Q1420=$O$38,IFERROR(LARGE($V$923:$V1420,1)&lt;$N$42,TRUE)),1,IF(AND(ISNUMBER($O1420),$O1420&lt;$N$32),$O1420+1,""))</f>
        <v/>
      </c>
      <c r="P1421" s="26" t="str">
        <f t="shared" si="461"/>
        <v/>
      </c>
      <c r="Q1421" s="26" t="str">
        <f t="shared" si="450"/>
        <v/>
      </c>
      <c r="R1421" s="24" t="str">
        <f t="shared" si="462"/>
        <v/>
      </c>
      <c r="S1421" s="180">
        <f t="shared" si="468"/>
        <v>8</v>
      </c>
      <c r="T1421" s="29">
        <f>SUM($AC$923:$AC1421)</f>
        <v>49500</v>
      </c>
      <c r="U1421" s="25" t="str">
        <f t="shared" si="451"/>
        <v/>
      </c>
      <c r="V1421" s="24" t="str">
        <f>IF(AND(ISNUMBER(R1420),ISNUMBER(R1421)),V1420,IF(AND(R1420="",ISNUMBER(R1421)),IFERROR(LARGE($V$923:$V1420,1)+1,0),""))</f>
        <v/>
      </c>
      <c r="W1421" s="23" t="str">
        <f t="shared" si="463"/>
        <v/>
      </c>
      <c r="X1421" s="22" t="str">
        <f t="shared" si="464"/>
        <v/>
      </c>
      <c r="Y1421" s="236"/>
      <c r="Z1421" s="22"/>
      <c r="AA1421" s="22"/>
      <c r="AB1421" s="22" t="str">
        <f t="shared" si="465"/>
        <v/>
      </c>
      <c r="AC1421" s="22" t="str">
        <f t="shared" si="466"/>
        <v/>
      </c>
      <c r="AD1421" s="22" t="str">
        <f t="shared" si="452"/>
        <v/>
      </c>
      <c r="AE1421" s="22" t="str">
        <f t="shared" si="467"/>
        <v/>
      </c>
      <c r="AF1421" s="22" t="str">
        <f t="shared" si="453"/>
        <v/>
      </c>
      <c r="AG1421" s="22" t="str">
        <f t="shared" si="454"/>
        <v/>
      </c>
      <c r="AH1421" s="22" t="str">
        <f t="shared" si="455"/>
        <v/>
      </c>
      <c r="AI1421" s="22" t="str">
        <f t="shared" si="456"/>
        <v/>
      </c>
      <c r="AJ1421" s="304" t="str">
        <f t="shared" si="457"/>
        <v/>
      </c>
      <c r="AK1421" s="140" t="str">
        <f t="shared" si="458"/>
        <v/>
      </c>
    </row>
    <row r="1422" spans="7:37" x14ac:dyDescent="0.25">
      <c r="G1422" s="235" t="str">
        <f t="shared" si="447"/>
        <v/>
      </c>
      <c r="H1422" s="4" t="str">
        <f t="shared" si="469"/>
        <v/>
      </c>
      <c r="I1422" s="11" t="str">
        <f t="shared" si="448"/>
        <v/>
      </c>
      <c r="K1422" s="30">
        <v>500</v>
      </c>
      <c r="L1422" s="29">
        <f t="shared" si="459"/>
        <v>11371.908376190921</v>
      </c>
      <c r="M1422" s="28" t="str">
        <f t="shared" si="449"/>
        <v/>
      </c>
      <c r="N1422" s="27" t="str">
        <f t="shared" si="460"/>
        <v/>
      </c>
      <c r="O1422" s="26" t="str">
        <f>IF(AND($Q1421=$O$38,IFERROR(LARGE($V$923:$V1421,1)&lt;$N$42,TRUE)),1,IF(AND(ISNUMBER($O1421),$O1421&lt;$N$32),$O1421+1,""))</f>
        <v/>
      </c>
      <c r="P1422" s="26" t="str">
        <f t="shared" si="461"/>
        <v/>
      </c>
      <c r="Q1422" s="26" t="str">
        <f t="shared" si="450"/>
        <v/>
      </c>
      <c r="R1422" s="24" t="str">
        <f t="shared" si="462"/>
        <v/>
      </c>
      <c r="S1422" s="180">
        <f t="shared" si="468"/>
        <v>8</v>
      </c>
      <c r="T1422" s="29">
        <f>SUM($AC$923:$AC1422)</f>
        <v>49500</v>
      </c>
      <c r="U1422" s="25" t="str">
        <f t="shared" si="451"/>
        <v/>
      </c>
      <c r="V1422" s="24" t="str">
        <f>IF(AND(ISNUMBER(R1421),ISNUMBER(R1422)),V1421,IF(AND(R1421="",ISNUMBER(R1422)),IFERROR(LARGE($V$923:$V1421,1)+1,0),""))</f>
        <v/>
      </c>
      <c r="W1422" s="23" t="str">
        <f t="shared" si="463"/>
        <v/>
      </c>
      <c r="X1422" s="22" t="str">
        <f t="shared" si="464"/>
        <v/>
      </c>
      <c r="Y1422" s="236"/>
      <c r="Z1422" s="22"/>
      <c r="AA1422" s="22"/>
      <c r="AB1422" s="22" t="str">
        <f t="shared" si="465"/>
        <v/>
      </c>
      <c r="AC1422" s="22" t="str">
        <f t="shared" si="466"/>
        <v/>
      </c>
      <c r="AD1422" s="22" t="str">
        <f t="shared" si="452"/>
        <v/>
      </c>
      <c r="AE1422" s="22" t="str">
        <f t="shared" si="467"/>
        <v/>
      </c>
      <c r="AF1422" s="22" t="str">
        <f t="shared" si="453"/>
        <v/>
      </c>
      <c r="AG1422" s="22" t="str">
        <f t="shared" si="454"/>
        <v/>
      </c>
      <c r="AH1422" s="22" t="str">
        <f t="shared" si="455"/>
        <v/>
      </c>
      <c r="AI1422" s="22" t="str">
        <f t="shared" si="456"/>
        <v/>
      </c>
      <c r="AJ1422" s="304" t="str">
        <f t="shared" si="457"/>
        <v/>
      </c>
      <c r="AK1422" s="140" t="str">
        <f t="shared" si="458"/>
        <v/>
      </c>
    </row>
    <row r="1423" spans="7:37" x14ac:dyDescent="0.25">
      <c r="G1423" s="235" t="str">
        <f t="shared" si="447"/>
        <v/>
      </c>
      <c r="H1423" s="4" t="str">
        <f t="shared" si="469"/>
        <v/>
      </c>
      <c r="I1423" s="11" t="str">
        <f t="shared" si="448"/>
        <v/>
      </c>
      <c r="K1423" s="30">
        <v>501</v>
      </c>
      <c r="L1423" s="29">
        <f t="shared" si="459"/>
        <v>11371.908376190921</v>
      </c>
      <c r="M1423" s="28" t="str">
        <f t="shared" si="449"/>
        <v/>
      </c>
      <c r="N1423" s="27" t="str">
        <f t="shared" si="460"/>
        <v/>
      </c>
      <c r="O1423" s="26" t="str">
        <f>IF(AND($Q1422=$O$38,IFERROR(LARGE($V$923:$V1422,1)&lt;$N$42,TRUE)),1,IF(AND(ISNUMBER($O1422),$O1422&lt;$N$32),$O1422+1,""))</f>
        <v/>
      </c>
      <c r="P1423" s="26" t="str">
        <f t="shared" si="461"/>
        <v/>
      </c>
      <c r="Q1423" s="26" t="str">
        <f t="shared" si="450"/>
        <v/>
      </c>
      <c r="R1423" s="24" t="str">
        <f t="shared" si="462"/>
        <v/>
      </c>
      <c r="S1423" s="180">
        <f t="shared" si="468"/>
        <v>8</v>
      </c>
      <c r="T1423" s="29">
        <f>SUM($AC$923:$AC1423)</f>
        <v>49500</v>
      </c>
      <c r="U1423" s="25" t="str">
        <f t="shared" si="451"/>
        <v/>
      </c>
      <c r="V1423" s="24" t="str">
        <f>IF(AND(ISNUMBER(R1422),ISNUMBER(R1423)),V1422,IF(AND(R1422="",ISNUMBER(R1423)),IFERROR(LARGE($V$923:$V1422,1)+1,0),""))</f>
        <v/>
      </c>
      <c r="W1423" s="23" t="str">
        <f t="shared" si="463"/>
        <v/>
      </c>
      <c r="X1423" s="22" t="str">
        <f t="shared" si="464"/>
        <v/>
      </c>
      <c r="Y1423" s="236"/>
      <c r="Z1423" s="22"/>
      <c r="AA1423" s="22"/>
      <c r="AB1423" s="22" t="str">
        <f t="shared" si="465"/>
        <v/>
      </c>
      <c r="AC1423" s="22" t="str">
        <f t="shared" si="466"/>
        <v/>
      </c>
      <c r="AD1423" s="22" t="str">
        <f t="shared" si="452"/>
        <v/>
      </c>
      <c r="AE1423" s="22" t="str">
        <f t="shared" si="467"/>
        <v/>
      </c>
      <c r="AF1423" s="22" t="str">
        <f t="shared" si="453"/>
        <v/>
      </c>
      <c r="AG1423" s="22" t="str">
        <f t="shared" si="454"/>
        <v/>
      </c>
      <c r="AH1423" s="22" t="str">
        <f t="shared" si="455"/>
        <v/>
      </c>
      <c r="AI1423" s="22" t="str">
        <f t="shared" si="456"/>
        <v/>
      </c>
      <c r="AJ1423" s="304" t="str">
        <f t="shared" si="457"/>
        <v/>
      </c>
      <c r="AK1423" s="140" t="str">
        <f t="shared" si="458"/>
        <v/>
      </c>
    </row>
    <row r="1424" spans="7:37" x14ac:dyDescent="0.25">
      <c r="G1424" s="235" t="str">
        <f t="shared" si="447"/>
        <v/>
      </c>
      <c r="H1424" s="4" t="str">
        <f t="shared" si="469"/>
        <v/>
      </c>
      <c r="I1424" s="11" t="str">
        <f t="shared" si="448"/>
        <v/>
      </c>
      <c r="K1424" s="30">
        <v>502</v>
      </c>
      <c r="L1424" s="29">
        <f t="shared" si="459"/>
        <v>11371.908376190921</v>
      </c>
      <c r="M1424" s="28" t="str">
        <f t="shared" si="449"/>
        <v/>
      </c>
      <c r="N1424" s="27" t="str">
        <f t="shared" si="460"/>
        <v/>
      </c>
      <c r="O1424" s="26" t="str">
        <f>IF(AND($Q1423=$O$38,IFERROR(LARGE($V$923:$V1423,1)&lt;$N$42,TRUE)),1,IF(AND(ISNUMBER($O1423),$O1423&lt;$N$32),$O1423+1,""))</f>
        <v/>
      </c>
      <c r="P1424" s="26" t="str">
        <f t="shared" si="461"/>
        <v/>
      </c>
      <c r="Q1424" s="26" t="str">
        <f t="shared" si="450"/>
        <v/>
      </c>
      <c r="R1424" s="24" t="str">
        <f t="shared" si="462"/>
        <v/>
      </c>
      <c r="S1424" s="180">
        <f t="shared" si="468"/>
        <v>8</v>
      </c>
      <c r="T1424" s="29">
        <f>SUM($AC$923:$AC1424)</f>
        <v>49500</v>
      </c>
      <c r="U1424" s="25" t="str">
        <f t="shared" si="451"/>
        <v/>
      </c>
      <c r="V1424" s="24" t="str">
        <f>IF(AND(ISNUMBER(R1423),ISNUMBER(R1424)),V1423,IF(AND(R1423="",ISNUMBER(R1424)),IFERROR(LARGE($V$923:$V1423,1)+1,0),""))</f>
        <v/>
      </c>
      <c r="W1424" s="23" t="str">
        <f t="shared" si="463"/>
        <v/>
      </c>
      <c r="X1424" s="22" t="str">
        <f t="shared" si="464"/>
        <v/>
      </c>
      <c r="Y1424" s="236"/>
      <c r="Z1424" s="22"/>
      <c r="AA1424" s="22"/>
      <c r="AB1424" s="22" t="str">
        <f t="shared" si="465"/>
        <v/>
      </c>
      <c r="AC1424" s="22" t="str">
        <f t="shared" si="466"/>
        <v/>
      </c>
      <c r="AD1424" s="22" t="str">
        <f t="shared" si="452"/>
        <v/>
      </c>
      <c r="AE1424" s="22" t="str">
        <f t="shared" si="467"/>
        <v/>
      </c>
      <c r="AF1424" s="22" t="str">
        <f t="shared" si="453"/>
        <v/>
      </c>
      <c r="AG1424" s="22" t="str">
        <f t="shared" si="454"/>
        <v/>
      </c>
      <c r="AH1424" s="22" t="str">
        <f t="shared" si="455"/>
        <v/>
      </c>
      <c r="AI1424" s="22" t="str">
        <f t="shared" si="456"/>
        <v/>
      </c>
      <c r="AJ1424" s="304" t="str">
        <f t="shared" si="457"/>
        <v/>
      </c>
      <c r="AK1424" s="140" t="str">
        <f t="shared" si="458"/>
        <v/>
      </c>
    </row>
    <row r="1425" spans="7:37" x14ac:dyDescent="0.25">
      <c r="G1425" s="235" t="str">
        <f t="shared" si="447"/>
        <v/>
      </c>
      <c r="H1425" s="4" t="str">
        <f t="shared" si="469"/>
        <v/>
      </c>
      <c r="I1425" s="11" t="str">
        <f t="shared" si="448"/>
        <v/>
      </c>
      <c r="K1425" s="30">
        <v>503</v>
      </c>
      <c r="L1425" s="29">
        <f t="shared" si="459"/>
        <v>11371.908376190921</v>
      </c>
      <c r="M1425" s="28" t="str">
        <f t="shared" si="449"/>
        <v/>
      </c>
      <c r="N1425" s="27" t="str">
        <f t="shared" si="460"/>
        <v/>
      </c>
      <c r="O1425" s="26" t="str">
        <f>IF(AND($Q1424=$O$38,IFERROR(LARGE($V$923:$V1424,1)&lt;$N$42,TRUE)),1,IF(AND(ISNUMBER($O1424),$O1424&lt;$N$32),$O1424+1,""))</f>
        <v/>
      </c>
      <c r="P1425" s="26" t="str">
        <f t="shared" si="461"/>
        <v/>
      </c>
      <c r="Q1425" s="26" t="str">
        <f t="shared" si="450"/>
        <v/>
      </c>
      <c r="R1425" s="24" t="str">
        <f t="shared" si="462"/>
        <v/>
      </c>
      <c r="S1425" s="180">
        <f t="shared" si="468"/>
        <v>8</v>
      </c>
      <c r="T1425" s="29">
        <f>SUM($AC$923:$AC1425)</f>
        <v>49500</v>
      </c>
      <c r="U1425" s="25" t="str">
        <f t="shared" si="451"/>
        <v/>
      </c>
      <c r="V1425" s="24" t="str">
        <f>IF(AND(ISNUMBER(R1424),ISNUMBER(R1425)),V1424,IF(AND(R1424="",ISNUMBER(R1425)),IFERROR(LARGE($V$923:$V1424,1)+1,0),""))</f>
        <v/>
      </c>
      <c r="W1425" s="23" t="str">
        <f t="shared" si="463"/>
        <v/>
      </c>
      <c r="X1425" s="22" t="str">
        <f t="shared" si="464"/>
        <v/>
      </c>
      <c r="Y1425" s="236"/>
      <c r="Z1425" s="22"/>
      <c r="AA1425" s="22"/>
      <c r="AB1425" s="22" t="str">
        <f t="shared" si="465"/>
        <v/>
      </c>
      <c r="AC1425" s="22" t="str">
        <f t="shared" si="466"/>
        <v/>
      </c>
      <c r="AD1425" s="22" t="str">
        <f t="shared" si="452"/>
        <v/>
      </c>
      <c r="AE1425" s="22" t="str">
        <f t="shared" si="467"/>
        <v/>
      </c>
      <c r="AF1425" s="22" t="str">
        <f t="shared" si="453"/>
        <v/>
      </c>
      <c r="AG1425" s="22" t="str">
        <f t="shared" si="454"/>
        <v/>
      </c>
      <c r="AH1425" s="22" t="str">
        <f t="shared" si="455"/>
        <v/>
      </c>
      <c r="AI1425" s="22" t="str">
        <f t="shared" si="456"/>
        <v/>
      </c>
      <c r="AJ1425" s="304" t="str">
        <f t="shared" si="457"/>
        <v/>
      </c>
      <c r="AK1425" s="140" t="str">
        <f t="shared" si="458"/>
        <v/>
      </c>
    </row>
    <row r="1426" spans="7:37" x14ac:dyDescent="0.25">
      <c r="G1426" s="235" t="str">
        <f t="shared" si="447"/>
        <v/>
      </c>
      <c r="H1426" s="4" t="str">
        <f t="shared" si="469"/>
        <v/>
      </c>
      <c r="I1426" s="11" t="str">
        <f t="shared" si="448"/>
        <v/>
      </c>
      <c r="K1426" s="30">
        <v>504</v>
      </c>
      <c r="L1426" s="29">
        <f t="shared" si="459"/>
        <v>11371.908376190921</v>
      </c>
      <c r="M1426" s="28" t="str">
        <f t="shared" si="449"/>
        <v/>
      </c>
      <c r="N1426" s="27" t="str">
        <f t="shared" si="460"/>
        <v/>
      </c>
      <c r="O1426" s="26" t="str">
        <f>IF(AND($Q1425=$O$38,IFERROR(LARGE($V$923:$V1425,1)&lt;$N$42,TRUE)),1,IF(AND(ISNUMBER($O1425),$O1425&lt;$N$32),$O1425+1,""))</f>
        <v/>
      </c>
      <c r="P1426" s="26" t="str">
        <f t="shared" si="461"/>
        <v/>
      </c>
      <c r="Q1426" s="26" t="str">
        <f t="shared" si="450"/>
        <v/>
      </c>
      <c r="R1426" s="24" t="str">
        <f t="shared" si="462"/>
        <v/>
      </c>
      <c r="S1426" s="180">
        <f t="shared" si="468"/>
        <v>8</v>
      </c>
      <c r="T1426" s="29">
        <f>SUM($AC$923:$AC1426)</f>
        <v>49500</v>
      </c>
      <c r="U1426" s="25" t="str">
        <f t="shared" si="451"/>
        <v/>
      </c>
      <c r="V1426" s="24" t="str">
        <f>IF(AND(ISNUMBER(R1425),ISNUMBER(R1426)),V1425,IF(AND(R1425="",ISNUMBER(R1426)),IFERROR(LARGE($V$923:$V1425,1)+1,0),""))</f>
        <v/>
      </c>
      <c r="W1426" s="23" t="str">
        <f t="shared" si="463"/>
        <v/>
      </c>
      <c r="X1426" s="22" t="str">
        <f t="shared" si="464"/>
        <v/>
      </c>
      <c r="Y1426" s="236"/>
      <c r="Z1426" s="22"/>
      <c r="AA1426" s="22"/>
      <c r="AB1426" s="22" t="str">
        <f t="shared" si="465"/>
        <v/>
      </c>
      <c r="AC1426" s="22" t="str">
        <f t="shared" si="466"/>
        <v/>
      </c>
      <c r="AD1426" s="22" t="str">
        <f t="shared" si="452"/>
        <v/>
      </c>
      <c r="AE1426" s="22" t="str">
        <f t="shared" si="467"/>
        <v/>
      </c>
      <c r="AF1426" s="22" t="str">
        <f t="shared" si="453"/>
        <v/>
      </c>
      <c r="AG1426" s="22" t="str">
        <f t="shared" si="454"/>
        <v/>
      </c>
      <c r="AH1426" s="22" t="str">
        <f t="shared" si="455"/>
        <v/>
      </c>
      <c r="AI1426" s="22" t="str">
        <f t="shared" si="456"/>
        <v/>
      </c>
      <c r="AJ1426" s="304" t="str">
        <f t="shared" si="457"/>
        <v/>
      </c>
      <c r="AK1426" s="140" t="str">
        <f t="shared" si="458"/>
        <v/>
      </c>
    </row>
    <row r="1427" spans="7:37" x14ac:dyDescent="0.25">
      <c r="G1427" s="235" t="str">
        <f t="shared" si="447"/>
        <v/>
      </c>
      <c r="H1427" s="4" t="str">
        <f t="shared" si="469"/>
        <v/>
      </c>
      <c r="I1427" s="11" t="str">
        <f t="shared" si="448"/>
        <v/>
      </c>
      <c r="K1427" s="30">
        <v>505</v>
      </c>
      <c r="L1427" s="29">
        <f t="shared" si="459"/>
        <v>11371.908376190921</v>
      </c>
      <c r="M1427" s="28" t="str">
        <f t="shared" si="449"/>
        <v/>
      </c>
      <c r="N1427" s="27" t="str">
        <f t="shared" si="460"/>
        <v/>
      </c>
      <c r="O1427" s="26" t="str">
        <f>IF(AND($Q1426=$O$38,IFERROR(LARGE($V$923:$V1426,1)&lt;$N$42,TRUE)),1,IF(AND(ISNUMBER($O1426),$O1426&lt;$N$32),$O1426+1,""))</f>
        <v/>
      </c>
      <c r="P1427" s="26" t="str">
        <f t="shared" si="461"/>
        <v/>
      </c>
      <c r="Q1427" s="26" t="str">
        <f t="shared" si="450"/>
        <v/>
      </c>
      <c r="R1427" s="24" t="str">
        <f t="shared" si="462"/>
        <v/>
      </c>
      <c r="S1427" s="180">
        <f t="shared" si="468"/>
        <v>8</v>
      </c>
      <c r="T1427" s="29">
        <f>SUM($AC$923:$AC1427)</f>
        <v>49500</v>
      </c>
      <c r="U1427" s="25" t="str">
        <f t="shared" si="451"/>
        <v/>
      </c>
      <c r="V1427" s="24" t="str">
        <f>IF(AND(ISNUMBER(R1426),ISNUMBER(R1427)),V1426,IF(AND(R1426="",ISNUMBER(R1427)),IFERROR(LARGE($V$923:$V1426,1)+1,0),""))</f>
        <v/>
      </c>
      <c r="W1427" s="23" t="str">
        <f t="shared" si="463"/>
        <v/>
      </c>
      <c r="X1427" s="22" t="str">
        <f t="shared" si="464"/>
        <v/>
      </c>
      <c r="Y1427" s="236"/>
      <c r="Z1427" s="22"/>
      <c r="AA1427" s="22"/>
      <c r="AB1427" s="22" t="str">
        <f t="shared" si="465"/>
        <v/>
      </c>
      <c r="AC1427" s="22" t="str">
        <f t="shared" si="466"/>
        <v/>
      </c>
      <c r="AD1427" s="22" t="str">
        <f t="shared" si="452"/>
        <v/>
      </c>
      <c r="AE1427" s="22" t="str">
        <f t="shared" si="467"/>
        <v/>
      </c>
      <c r="AF1427" s="22" t="str">
        <f t="shared" si="453"/>
        <v/>
      </c>
      <c r="AG1427" s="22" t="str">
        <f t="shared" si="454"/>
        <v/>
      </c>
      <c r="AH1427" s="22" t="str">
        <f t="shared" si="455"/>
        <v/>
      </c>
      <c r="AI1427" s="22" t="str">
        <f t="shared" si="456"/>
        <v/>
      </c>
      <c r="AJ1427" s="304" t="str">
        <f t="shared" si="457"/>
        <v/>
      </c>
      <c r="AK1427" s="140" t="str">
        <f t="shared" si="458"/>
        <v/>
      </c>
    </row>
    <row r="1428" spans="7:37" x14ac:dyDescent="0.25">
      <c r="G1428" s="235" t="str">
        <f t="shared" si="447"/>
        <v/>
      </c>
      <c r="H1428" s="4" t="str">
        <f t="shared" si="469"/>
        <v/>
      </c>
      <c r="I1428" s="11" t="str">
        <f t="shared" si="448"/>
        <v/>
      </c>
      <c r="K1428" s="30">
        <v>506</v>
      </c>
      <c r="L1428" s="29">
        <f t="shared" si="459"/>
        <v>11371.908376190921</v>
      </c>
      <c r="M1428" s="28" t="str">
        <f t="shared" si="449"/>
        <v/>
      </c>
      <c r="N1428" s="27" t="str">
        <f t="shared" si="460"/>
        <v/>
      </c>
      <c r="O1428" s="26" t="str">
        <f>IF(AND($Q1427=$O$38,IFERROR(LARGE($V$923:$V1427,1)&lt;$N$42,TRUE)),1,IF(AND(ISNUMBER($O1427),$O1427&lt;$N$32),$O1427+1,""))</f>
        <v/>
      </c>
      <c r="P1428" s="26" t="str">
        <f t="shared" si="461"/>
        <v/>
      </c>
      <c r="Q1428" s="26" t="str">
        <f t="shared" si="450"/>
        <v/>
      </c>
      <c r="R1428" s="24" t="str">
        <f t="shared" si="462"/>
        <v/>
      </c>
      <c r="S1428" s="180">
        <f t="shared" si="468"/>
        <v>8</v>
      </c>
      <c r="T1428" s="29">
        <f>SUM($AC$923:$AC1428)</f>
        <v>49500</v>
      </c>
      <c r="U1428" s="25" t="str">
        <f t="shared" si="451"/>
        <v/>
      </c>
      <c r="V1428" s="24" t="str">
        <f>IF(AND(ISNUMBER(R1427),ISNUMBER(R1428)),V1427,IF(AND(R1427="",ISNUMBER(R1428)),IFERROR(LARGE($V$923:$V1427,1)+1,0),""))</f>
        <v/>
      </c>
      <c r="W1428" s="23" t="str">
        <f t="shared" si="463"/>
        <v/>
      </c>
      <c r="X1428" s="22" t="str">
        <f t="shared" si="464"/>
        <v/>
      </c>
      <c r="Y1428" s="236"/>
      <c r="Z1428" s="22"/>
      <c r="AA1428" s="22"/>
      <c r="AB1428" s="22" t="str">
        <f t="shared" si="465"/>
        <v/>
      </c>
      <c r="AC1428" s="22" t="str">
        <f t="shared" si="466"/>
        <v/>
      </c>
      <c r="AD1428" s="22" t="str">
        <f t="shared" si="452"/>
        <v/>
      </c>
      <c r="AE1428" s="22" t="str">
        <f t="shared" si="467"/>
        <v/>
      </c>
      <c r="AF1428" s="22" t="str">
        <f t="shared" si="453"/>
        <v/>
      </c>
      <c r="AG1428" s="22" t="str">
        <f t="shared" si="454"/>
        <v/>
      </c>
      <c r="AH1428" s="22" t="str">
        <f t="shared" si="455"/>
        <v/>
      </c>
      <c r="AI1428" s="22" t="str">
        <f t="shared" si="456"/>
        <v/>
      </c>
      <c r="AJ1428" s="304" t="str">
        <f t="shared" si="457"/>
        <v/>
      </c>
      <c r="AK1428" s="140" t="str">
        <f t="shared" si="458"/>
        <v/>
      </c>
    </row>
    <row r="1429" spans="7:37" x14ac:dyDescent="0.25">
      <c r="G1429" s="235" t="str">
        <f t="shared" si="447"/>
        <v/>
      </c>
      <c r="H1429" s="4" t="str">
        <f t="shared" si="469"/>
        <v/>
      </c>
      <c r="I1429" s="11" t="str">
        <f t="shared" si="448"/>
        <v/>
      </c>
      <c r="K1429" s="30">
        <v>507</v>
      </c>
      <c r="L1429" s="29">
        <f t="shared" si="459"/>
        <v>11371.908376190921</v>
      </c>
      <c r="M1429" s="28" t="str">
        <f t="shared" si="449"/>
        <v/>
      </c>
      <c r="N1429" s="27" t="str">
        <f t="shared" si="460"/>
        <v/>
      </c>
      <c r="O1429" s="26" t="str">
        <f>IF(AND($Q1428=$O$38,IFERROR(LARGE($V$923:$V1428,1)&lt;$N$42,TRUE)),1,IF(AND(ISNUMBER($O1428),$O1428&lt;$N$32),$O1428+1,""))</f>
        <v/>
      </c>
      <c r="P1429" s="26" t="str">
        <f t="shared" si="461"/>
        <v/>
      </c>
      <c r="Q1429" s="26" t="str">
        <f t="shared" si="450"/>
        <v/>
      </c>
      <c r="R1429" s="24" t="str">
        <f t="shared" si="462"/>
        <v/>
      </c>
      <c r="S1429" s="180">
        <f t="shared" si="468"/>
        <v>8</v>
      </c>
      <c r="T1429" s="29">
        <f>SUM($AC$923:$AC1429)</f>
        <v>49500</v>
      </c>
      <c r="U1429" s="25" t="str">
        <f t="shared" si="451"/>
        <v/>
      </c>
      <c r="V1429" s="24" t="str">
        <f>IF(AND(ISNUMBER(R1428),ISNUMBER(R1429)),V1428,IF(AND(R1428="",ISNUMBER(R1429)),IFERROR(LARGE($V$923:$V1428,1)+1,0),""))</f>
        <v/>
      </c>
      <c r="W1429" s="23" t="str">
        <f t="shared" si="463"/>
        <v/>
      </c>
      <c r="X1429" s="22" t="str">
        <f t="shared" si="464"/>
        <v/>
      </c>
      <c r="Y1429" s="236"/>
      <c r="Z1429" s="22"/>
      <c r="AA1429" s="22"/>
      <c r="AB1429" s="22" t="str">
        <f t="shared" si="465"/>
        <v/>
      </c>
      <c r="AC1429" s="22" t="str">
        <f t="shared" si="466"/>
        <v/>
      </c>
      <c r="AD1429" s="22" t="str">
        <f t="shared" si="452"/>
        <v/>
      </c>
      <c r="AE1429" s="22" t="str">
        <f t="shared" si="467"/>
        <v/>
      </c>
      <c r="AF1429" s="22" t="str">
        <f t="shared" si="453"/>
        <v/>
      </c>
      <c r="AG1429" s="22" t="str">
        <f t="shared" si="454"/>
        <v/>
      </c>
      <c r="AH1429" s="22" t="str">
        <f t="shared" si="455"/>
        <v/>
      </c>
      <c r="AI1429" s="22" t="str">
        <f t="shared" si="456"/>
        <v/>
      </c>
      <c r="AJ1429" s="304" t="str">
        <f t="shared" si="457"/>
        <v/>
      </c>
      <c r="AK1429" s="140" t="str">
        <f t="shared" si="458"/>
        <v/>
      </c>
    </row>
    <row r="1430" spans="7:37" x14ac:dyDescent="0.25">
      <c r="G1430" s="235" t="str">
        <f t="shared" si="447"/>
        <v/>
      </c>
      <c r="H1430" s="4" t="str">
        <f t="shared" si="469"/>
        <v/>
      </c>
      <c r="I1430" s="11" t="str">
        <f t="shared" si="448"/>
        <v/>
      </c>
      <c r="K1430" s="30">
        <v>508</v>
      </c>
      <c r="L1430" s="29">
        <f t="shared" si="459"/>
        <v>11371.908376190921</v>
      </c>
      <c r="M1430" s="28" t="str">
        <f t="shared" si="449"/>
        <v/>
      </c>
      <c r="N1430" s="27" t="str">
        <f t="shared" si="460"/>
        <v/>
      </c>
      <c r="O1430" s="26" t="str">
        <f>IF(AND($Q1429=$O$38,IFERROR(LARGE($V$923:$V1429,1)&lt;$N$42,TRUE)),1,IF(AND(ISNUMBER($O1429),$O1429&lt;$N$32),$O1429+1,""))</f>
        <v/>
      </c>
      <c r="P1430" s="26" t="str">
        <f t="shared" si="461"/>
        <v/>
      </c>
      <c r="Q1430" s="26" t="str">
        <f t="shared" si="450"/>
        <v/>
      </c>
      <c r="R1430" s="24" t="str">
        <f t="shared" si="462"/>
        <v/>
      </c>
      <c r="S1430" s="180">
        <f t="shared" si="468"/>
        <v>8</v>
      </c>
      <c r="T1430" s="29">
        <f>SUM($AC$923:$AC1430)</f>
        <v>49500</v>
      </c>
      <c r="U1430" s="25" t="str">
        <f t="shared" si="451"/>
        <v/>
      </c>
      <c r="V1430" s="24" t="str">
        <f>IF(AND(ISNUMBER(R1429),ISNUMBER(R1430)),V1429,IF(AND(R1429="",ISNUMBER(R1430)),IFERROR(LARGE($V$923:$V1429,1)+1,0),""))</f>
        <v/>
      </c>
      <c r="W1430" s="23" t="str">
        <f t="shared" si="463"/>
        <v/>
      </c>
      <c r="X1430" s="22" t="str">
        <f t="shared" si="464"/>
        <v/>
      </c>
      <c r="Y1430" s="236"/>
      <c r="Z1430" s="22"/>
      <c r="AA1430" s="22"/>
      <c r="AB1430" s="22" t="str">
        <f t="shared" si="465"/>
        <v/>
      </c>
      <c r="AC1430" s="22" t="str">
        <f t="shared" si="466"/>
        <v/>
      </c>
      <c r="AD1430" s="22" t="str">
        <f t="shared" si="452"/>
        <v/>
      </c>
      <c r="AE1430" s="22" t="str">
        <f t="shared" si="467"/>
        <v/>
      </c>
      <c r="AF1430" s="22" t="str">
        <f t="shared" si="453"/>
        <v/>
      </c>
      <c r="AG1430" s="22" t="str">
        <f t="shared" si="454"/>
        <v/>
      </c>
      <c r="AH1430" s="22" t="str">
        <f t="shared" si="455"/>
        <v/>
      </c>
      <c r="AI1430" s="22" t="str">
        <f t="shared" si="456"/>
        <v/>
      </c>
      <c r="AJ1430" s="304" t="str">
        <f t="shared" si="457"/>
        <v/>
      </c>
      <c r="AK1430" s="140" t="str">
        <f t="shared" si="458"/>
        <v/>
      </c>
    </row>
    <row r="1431" spans="7:37" x14ac:dyDescent="0.25">
      <c r="G1431" s="235" t="str">
        <f t="shared" si="447"/>
        <v/>
      </c>
      <c r="H1431" s="4" t="str">
        <f t="shared" si="469"/>
        <v/>
      </c>
      <c r="I1431" s="11" t="str">
        <f t="shared" si="448"/>
        <v/>
      </c>
      <c r="K1431" s="30">
        <v>509</v>
      </c>
      <c r="L1431" s="29">
        <f t="shared" si="459"/>
        <v>11371.908376190921</v>
      </c>
      <c r="M1431" s="28" t="str">
        <f t="shared" si="449"/>
        <v/>
      </c>
      <c r="N1431" s="27" t="str">
        <f t="shared" si="460"/>
        <v/>
      </c>
      <c r="O1431" s="26" t="str">
        <f>IF(AND($Q1430=$O$38,IFERROR(LARGE($V$923:$V1430,1)&lt;$N$42,TRUE)),1,IF(AND(ISNUMBER($O1430),$O1430&lt;$N$32),$O1430+1,""))</f>
        <v/>
      </c>
      <c r="P1431" s="26" t="str">
        <f t="shared" si="461"/>
        <v/>
      </c>
      <c r="Q1431" s="26" t="str">
        <f t="shared" si="450"/>
        <v/>
      </c>
      <c r="R1431" s="24" t="str">
        <f t="shared" si="462"/>
        <v/>
      </c>
      <c r="S1431" s="180">
        <f t="shared" si="468"/>
        <v>8</v>
      </c>
      <c r="T1431" s="29">
        <f>SUM($AC$923:$AC1431)</f>
        <v>49500</v>
      </c>
      <c r="U1431" s="25" t="str">
        <f t="shared" si="451"/>
        <v/>
      </c>
      <c r="V1431" s="24" t="str">
        <f>IF(AND(ISNUMBER(R1430),ISNUMBER(R1431)),V1430,IF(AND(R1430="",ISNUMBER(R1431)),IFERROR(LARGE($V$923:$V1430,1)+1,0),""))</f>
        <v/>
      </c>
      <c r="W1431" s="23" t="str">
        <f t="shared" si="463"/>
        <v/>
      </c>
      <c r="X1431" s="22" t="str">
        <f t="shared" si="464"/>
        <v/>
      </c>
      <c r="Y1431" s="236"/>
      <c r="Z1431" s="22"/>
      <c r="AA1431" s="22"/>
      <c r="AB1431" s="22" t="str">
        <f t="shared" si="465"/>
        <v/>
      </c>
      <c r="AC1431" s="22" t="str">
        <f t="shared" si="466"/>
        <v/>
      </c>
      <c r="AD1431" s="22" t="str">
        <f t="shared" si="452"/>
        <v/>
      </c>
      <c r="AE1431" s="22" t="str">
        <f t="shared" si="467"/>
        <v/>
      </c>
      <c r="AF1431" s="22" t="str">
        <f t="shared" si="453"/>
        <v/>
      </c>
      <c r="AG1431" s="22" t="str">
        <f t="shared" si="454"/>
        <v/>
      </c>
      <c r="AH1431" s="22" t="str">
        <f t="shared" si="455"/>
        <v/>
      </c>
      <c r="AI1431" s="22" t="str">
        <f t="shared" si="456"/>
        <v/>
      </c>
      <c r="AJ1431" s="304" t="str">
        <f t="shared" si="457"/>
        <v/>
      </c>
      <c r="AK1431" s="140" t="str">
        <f t="shared" si="458"/>
        <v/>
      </c>
    </row>
    <row r="1432" spans="7:37" x14ac:dyDescent="0.25">
      <c r="G1432" s="235" t="str">
        <f t="shared" si="447"/>
        <v/>
      </c>
      <c r="H1432" s="4" t="str">
        <f t="shared" si="469"/>
        <v/>
      </c>
      <c r="I1432" s="11" t="str">
        <f t="shared" si="448"/>
        <v/>
      </c>
      <c r="K1432" s="30">
        <v>510</v>
      </c>
      <c r="L1432" s="29">
        <f t="shared" si="459"/>
        <v>11371.908376190921</v>
      </c>
      <c r="M1432" s="28" t="str">
        <f t="shared" si="449"/>
        <v/>
      </c>
      <c r="N1432" s="27" t="str">
        <f t="shared" si="460"/>
        <v/>
      </c>
      <c r="O1432" s="26" t="str">
        <f>IF(AND($Q1431=$O$38,IFERROR(LARGE($V$923:$V1431,1)&lt;$N$42,TRUE)),1,IF(AND(ISNUMBER($O1431),$O1431&lt;$N$32),$O1431+1,""))</f>
        <v/>
      </c>
      <c r="P1432" s="26" t="str">
        <f t="shared" si="461"/>
        <v/>
      </c>
      <c r="Q1432" s="26" t="str">
        <f t="shared" si="450"/>
        <v/>
      </c>
      <c r="R1432" s="24" t="str">
        <f t="shared" si="462"/>
        <v/>
      </c>
      <c r="S1432" s="180">
        <f t="shared" si="468"/>
        <v>8</v>
      </c>
      <c r="T1432" s="29">
        <f>SUM($AC$923:$AC1432)</f>
        <v>49500</v>
      </c>
      <c r="U1432" s="25" t="str">
        <f t="shared" si="451"/>
        <v/>
      </c>
      <c r="V1432" s="24" t="str">
        <f>IF(AND(ISNUMBER(R1431),ISNUMBER(R1432)),V1431,IF(AND(R1431="",ISNUMBER(R1432)),IFERROR(LARGE($V$923:$V1431,1)+1,0),""))</f>
        <v/>
      </c>
      <c r="W1432" s="23" t="str">
        <f t="shared" si="463"/>
        <v/>
      </c>
      <c r="X1432" s="22" t="str">
        <f t="shared" si="464"/>
        <v/>
      </c>
      <c r="Y1432" s="236"/>
      <c r="Z1432" s="22"/>
      <c r="AA1432" s="22"/>
      <c r="AB1432" s="22" t="str">
        <f t="shared" si="465"/>
        <v/>
      </c>
      <c r="AC1432" s="22" t="str">
        <f t="shared" si="466"/>
        <v/>
      </c>
      <c r="AD1432" s="22" t="str">
        <f t="shared" si="452"/>
        <v/>
      </c>
      <c r="AE1432" s="22" t="str">
        <f t="shared" si="467"/>
        <v/>
      </c>
      <c r="AF1432" s="22" t="str">
        <f t="shared" si="453"/>
        <v/>
      </c>
      <c r="AG1432" s="22" t="str">
        <f t="shared" si="454"/>
        <v/>
      </c>
      <c r="AH1432" s="22" t="str">
        <f t="shared" si="455"/>
        <v/>
      </c>
      <c r="AI1432" s="22" t="str">
        <f t="shared" si="456"/>
        <v/>
      </c>
      <c r="AJ1432" s="304" t="str">
        <f t="shared" si="457"/>
        <v/>
      </c>
      <c r="AK1432" s="140" t="str">
        <f t="shared" si="458"/>
        <v/>
      </c>
    </row>
    <row r="1433" spans="7:37" x14ac:dyDescent="0.25">
      <c r="G1433" s="235" t="str">
        <f t="shared" si="447"/>
        <v/>
      </c>
      <c r="H1433" s="4" t="str">
        <f t="shared" si="469"/>
        <v/>
      </c>
      <c r="I1433" s="11" t="str">
        <f t="shared" si="448"/>
        <v/>
      </c>
      <c r="K1433" s="30">
        <v>511</v>
      </c>
      <c r="L1433" s="29">
        <f t="shared" si="459"/>
        <v>11371.908376190921</v>
      </c>
      <c r="M1433" s="28" t="str">
        <f t="shared" si="449"/>
        <v/>
      </c>
      <c r="N1433" s="27" t="str">
        <f t="shared" si="460"/>
        <v/>
      </c>
      <c r="O1433" s="26" t="str">
        <f>IF(AND($Q1432=$O$38,IFERROR(LARGE($V$923:$V1432,1)&lt;$N$42,TRUE)),1,IF(AND(ISNUMBER($O1432),$O1432&lt;$N$32),$O1432+1,""))</f>
        <v/>
      </c>
      <c r="P1433" s="26" t="str">
        <f t="shared" si="461"/>
        <v/>
      </c>
      <c r="Q1433" s="26" t="str">
        <f t="shared" si="450"/>
        <v/>
      </c>
      <c r="R1433" s="24" t="str">
        <f t="shared" si="462"/>
        <v/>
      </c>
      <c r="S1433" s="180">
        <f t="shared" si="468"/>
        <v>8</v>
      </c>
      <c r="T1433" s="29">
        <f>SUM($AC$923:$AC1433)</f>
        <v>49500</v>
      </c>
      <c r="U1433" s="25" t="str">
        <f t="shared" si="451"/>
        <v/>
      </c>
      <c r="V1433" s="24" t="str">
        <f>IF(AND(ISNUMBER(R1432),ISNUMBER(R1433)),V1432,IF(AND(R1432="",ISNUMBER(R1433)),IFERROR(LARGE($V$923:$V1432,1)+1,0),""))</f>
        <v/>
      </c>
      <c r="W1433" s="23" t="str">
        <f t="shared" si="463"/>
        <v/>
      </c>
      <c r="X1433" s="22" t="str">
        <f t="shared" si="464"/>
        <v/>
      </c>
      <c r="Y1433" s="236"/>
      <c r="Z1433" s="22"/>
      <c r="AA1433" s="22"/>
      <c r="AB1433" s="22" t="str">
        <f t="shared" si="465"/>
        <v/>
      </c>
      <c r="AC1433" s="22" t="str">
        <f t="shared" si="466"/>
        <v/>
      </c>
      <c r="AD1433" s="22" t="str">
        <f t="shared" si="452"/>
        <v/>
      </c>
      <c r="AE1433" s="22" t="str">
        <f t="shared" si="467"/>
        <v/>
      </c>
      <c r="AF1433" s="22" t="str">
        <f t="shared" si="453"/>
        <v/>
      </c>
      <c r="AG1433" s="22" t="str">
        <f t="shared" si="454"/>
        <v/>
      </c>
      <c r="AH1433" s="22" t="str">
        <f t="shared" si="455"/>
        <v/>
      </c>
      <c r="AI1433" s="22" t="str">
        <f t="shared" si="456"/>
        <v/>
      </c>
      <c r="AJ1433" s="304" t="str">
        <f t="shared" si="457"/>
        <v/>
      </c>
      <c r="AK1433" s="140" t="str">
        <f t="shared" si="458"/>
        <v/>
      </c>
    </row>
    <row r="1434" spans="7:37" x14ac:dyDescent="0.25">
      <c r="G1434" s="235" t="str">
        <f t="shared" si="447"/>
        <v/>
      </c>
      <c r="H1434" s="4" t="str">
        <f t="shared" si="469"/>
        <v/>
      </c>
      <c r="I1434" s="11" t="str">
        <f t="shared" si="448"/>
        <v/>
      </c>
      <c r="K1434" s="30">
        <v>512</v>
      </c>
      <c r="L1434" s="29">
        <f t="shared" si="459"/>
        <v>11371.908376190921</v>
      </c>
      <c r="M1434" s="28" t="str">
        <f t="shared" si="449"/>
        <v/>
      </c>
      <c r="N1434" s="27" t="str">
        <f t="shared" si="460"/>
        <v/>
      </c>
      <c r="O1434" s="26" t="str">
        <f>IF(AND($Q1433=$O$38,IFERROR(LARGE($V$923:$V1433,1)&lt;$N$42,TRUE)),1,IF(AND(ISNUMBER($O1433),$O1433&lt;$N$32),$O1433+1,""))</f>
        <v/>
      </c>
      <c r="P1434" s="26" t="str">
        <f t="shared" si="461"/>
        <v/>
      </c>
      <c r="Q1434" s="26" t="str">
        <f t="shared" si="450"/>
        <v/>
      </c>
      <c r="R1434" s="24" t="str">
        <f t="shared" si="462"/>
        <v/>
      </c>
      <c r="S1434" s="180">
        <f t="shared" si="468"/>
        <v>8</v>
      </c>
      <c r="T1434" s="29">
        <f>SUM($AC$923:$AC1434)</f>
        <v>49500</v>
      </c>
      <c r="U1434" s="25" t="str">
        <f t="shared" si="451"/>
        <v/>
      </c>
      <c r="V1434" s="24" t="str">
        <f>IF(AND(ISNUMBER(R1433),ISNUMBER(R1434)),V1433,IF(AND(R1433="",ISNUMBER(R1434)),IFERROR(LARGE($V$923:$V1433,1)+1,0),""))</f>
        <v/>
      </c>
      <c r="W1434" s="23" t="str">
        <f t="shared" si="463"/>
        <v/>
      </c>
      <c r="X1434" s="22" t="str">
        <f t="shared" si="464"/>
        <v/>
      </c>
      <c r="Y1434" s="236"/>
      <c r="Z1434" s="22"/>
      <c r="AA1434" s="22"/>
      <c r="AB1434" s="22" t="str">
        <f t="shared" si="465"/>
        <v/>
      </c>
      <c r="AC1434" s="22" t="str">
        <f t="shared" si="466"/>
        <v/>
      </c>
      <c r="AD1434" s="22" t="str">
        <f t="shared" si="452"/>
        <v/>
      </c>
      <c r="AE1434" s="22" t="str">
        <f t="shared" si="467"/>
        <v/>
      </c>
      <c r="AF1434" s="22" t="str">
        <f t="shared" si="453"/>
        <v/>
      </c>
      <c r="AG1434" s="22" t="str">
        <f t="shared" si="454"/>
        <v/>
      </c>
      <c r="AH1434" s="22" t="str">
        <f t="shared" si="455"/>
        <v/>
      </c>
      <c r="AI1434" s="22" t="str">
        <f t="shared" si="456"/>
        <v/>
      </c>
      <c r="AJ1434" s="304" t="str">
        <f t="shared" si="457"/>
        <v/>
      </c>
      <c r="AK1434" s="140" t="str">
        <f t="shared" si="458"/>
        <v/>
      </c>
    </row>
    <row r="1435" spans="7:37" x14ac:dyDescent="0.25">
      <c r="G1435" s="235" t="str">
        <f t="shared" ref="G1435:G1498" si="470">IF(RIGHT(H1435,2)=".N","NEW",IF(SUM(N1435:R1435)=0,"",LEFT(H1435,5)))</f>
        <v/>
      </c>
      <c r="H1435" s="4" t="str">
        <f t="shared" si="469"/>
        <v/>
      </c>
      <c r="I1435" s="11" t="str">
        <f t="shared" ref="I1435:I1498" si="471">IF(SUM(N1435:R1435)&gt;0,CONCATENATE(IF(LEN(ROUNDDOWN(S1435,0))=1,CONCATENATE("0",ROUNDDOWN(S1435,0)),ROUNDDOWN(S1435,0)),".",IF(LEN(ROUND(MOD(S1435,1)*100,0))=1,CONCATENATE("0",ROUND(MOD(S1435,1)*100,0)),ROUND(MOD(S1435,1)*100,0)),IF(N1435&lt;&gt;"",".N.",IF(O1435&lt;&gt;"",".R.",IF(P1435&lt;&gt;"",".O.",IF(Q1435&lt;&gt;"",".I.",IF(R1435&lt;&gt;"",".D.",""))))),IF(N1435&lt;&gt;"",N1435,IF(O1435&lt;&gt;"",O1435,IF(P1435&lt;&gt;"",P1435,IF(Q1435&lt;&gt;"",Q1435,IF(R1435&lt;&gt;"",IF(MOD(R1435,$N$44)=0,$N$44,MOD(R1435,$N$44)),"")))))),"")</f>
        <v/>
      </c>
      <c r="K1435" s="30">
        <v>513</v>
      </c>
      <c r="L1435" s="29">
        <f t="shared" si="459"/>
        <v>11371.908376190921</v>
      </c>
      <c r="M1435" s="28" t="str">
        <f t="shared" ref="M1435:M1498" si="472">IFERROR(IF(IF($K1435=1,(($M$23*-1)+($M$24*-1)),IF(ISNUMBER(W1435),W1435,0)+IF(ISNUMBER(X1435),X1435,0)+IF(ISNUMBER(AB1435),AB1435,0)+IF(ISNUMBER(AE1435),AE1435,0)+IF(ISNUMBER(AF1435),AF1435,0)+IF(ISNUMBER(AG1435),AG1435,0)+IF(ISNUMBER(AH1435),AH1435,0)+IF(ISNUMBER(AI1435),AI1435,0)+IF(ISNUMBER(AK1435),AK1435,0))=0,"",IF($K1435=1,(($M$23*-1)+($M$24*-1)),IF(ISNUMBER(W1435),W1435,0)+IF(ISNUMBER(X1435),X1435,0)+IF(ISNUMBER(AB1435),AB1435,0)+IF(ISNUMBER(AE1435),AE1435,0)+IF(ISNUMBER(AF1435),AF1435,0)+IF(ISNUMBER(AG1435),AG1435,0)+IF(ISNUMBER(AH1435),AH1435,0)+IF(ISNUMBER(AI1435),AI1435,0)+IF(ISNUMBER(AK1435),AK1435,0))),"")</f>
        <v/>
      </c>
      <c r="N1435" s="27" t="str">
        <f t="shared" si="460"/>
        <v/>
      </c>
      <c r="O1435" s="26" t="str">
        <f>IF(AND($Q1434=$O$38,IFERROR(LARGE($V$923:$V1434,1)&lt;$N$42,TRUE)),1,IF(AND(ISNUMBER($O1434),$O1434&lt;$N$32),$O1434+1,""))</f>
        <v/>
      </c>
      <c r="P1435" s="26" t="str">
        <f t="shared" si="461"/>
        <v/>
      </c>
      <c r="Q1435" s="26" t="str">
        <f t="shared" ref="Q1435:Q1498" si="473">IF($R1434=($N$43*$N$44),1,IF(AND(ISNUMBER($Q1434),$Q1434&lt;$O$38),$Q1434+1,""))</f>
        <v/>
      </c>
      <c r="R1435" s="24" t="str">
        <f t="shared" si="462"/>
        <v/>
      </c>
      <c r="S1435" s="180">
        <f t="shared" si="468"/>
        <v>8</v>
      </c>
      <c r="T1435" s="29">
        <f>SUM($AC$923:$AC1435)</f>
        <v>49500</v>
      </c>
      <c r="U1435" s="25" t="str">
        <f t="shared" ref="U1435:U1498" si="474">IF(ISNUMBER($R1435),ROUNDUP($R1435/$N$44,0),"")</f>
        <v/>
      </c>
      <c r="V1435" s="24" t="str">
        <f>IF(AND(ISNUMBER(R1434),ISNUMBER(R1435)),V1434,IF(AND(R1434="",ISNUMBER(R1435)),IFERROR(LARGE($V$923:$V1434,1)+1,0),""))</f>
        <v/>
      </c>
      <c r="W1435" s="23" t="str">
        <f t="shared" si="463"/>
        <v/>
      </c>
      <c r="X1435" s="22" t="str">
        <f t="shared" si="464"/>
        <v/>
      </c>
      <c r="Y1435" s="236"/>
      <c r="Z1435" s="22"/>
      <c r="AA1435" s="22"/>
      <c r="AB1435" s="22" t="str">
        <f t="shared" si="465"/>
        <v/>
      </c>
      <c r="AC1435" s="22" t="str">
        <f t="shared" si="466"/>
        <v/>
      </c>
      <c r="AD1435" s="22" t="str">
        <f t="shared" ref="AD1435:AD1498" si="475">IF(IF(OR(AND(ISNUMBER($U1435),IF(ISNUMBER($U1436),$U1436,0)-IF(ISNUMBER($U1435),$U1435,0)=1),AND(ISNUMBER($U1435),$U1436="")),IF($U1435=1,$P$37,0),0)=0,"",IF(OR(AND(ISNUMBER($U1435),IF(ISNUMBER($U1436),$U1436,0)-IF(ISNUMBER($U1435),$U1435,0)=1),AND(ISNUMBER($U1435),$U1436="")),IF($U1435=1,$P$37,0),0))</f>
        <v/>
      </c>
      <c r="AE1435" s="22" t="str">
        <f t="shared" si="467"/>
        <v/>
      </c>
      <c r="AF1435" s="22" t="str">
        <f t="shared" ref="AF1435:AF1498" si="476">IF($O$67="Invoice",IF(AND(ISNUMBER($AC1435),ISNUMBER($O$68)),$AC1435*$O$68*-1,""),IF($O$67="Payment",IF(AND(ISNUMBER($AE1435),ISNUMBER($O$68)),$AE1435*$O$68*-1,""),""))</f>
        <v/>
      </c>
      <c r="AG1435" s="22" t="str">
        <f t="shared" ref="AG1435:AG1498" si="477">IF($O$67="Invoice",IF(AND(ISNUMBER($AC1435),ISNUMBER($O$69)),$AC1435*$O$69*-1,""),IF($O$67="Payment",IF(AND(ISNUMBER($AE1435),ISNUMBER($O$69)),$AE1435*$O$69*-1,""),""))</f>
        <v/>
      </c>
      <c r="AH1435" s="22" t="str">
        <f t="shared" ref="AH1435:AH1498" si="478">IF($O$67="Invoice",IF(AND(ISNUMBER($AC1435),ISNUMBER($O$70)),$AC1435*$O$70*-1,""),IF($O$67="Payment",IF(AND(ISNUMBER($AE1435),ISNUMBER($O$70)),$AE1435*$O$70*-1,""),""))</f>
        <v/>
      </c>
      <c r="AI1435" s="22" t="str">
        <f t="shared" ref="AI1435:AI1498" si="479">IF($O$67="Invoice",IF(AND(ISNUMBER($AC1435),ISNUMBER($O$71)),$AC1435*$O$71*-1,""),IF($O$67="Payment",IF(AND(ISNUMBER($AE1435),ISNUMBER($O$71)),$AE1435*$O$71*-1,""),""))</f>
        <v/>
      </c>
      <c r="AJ1435" s="304" t="str">
        <f t="shared" ref="AJ1435:AJ1498" si="480">IF($O$67="Invoice",IF(AND(ISNUMBER($AC1435),ISNUMBER($O$72)),$AC1435*$O$72*-1,""),IF($O$67="Payment",IF(AND(ISNUMBER($AE1435),ISNUMBER($O$72)),$AE1435*$O$72*-1,""),""))</f>
        <v/>
      </c>
      <c r="AK1435" s="140" t="str">
        <f t="shared" ref="AK1435:AK1498" si="481">IF($O$67="Invoice",IF(AND(ISNUMBER($AC1435),ISNUMBER($O$73)),$AC1435*$O$73*-1,""),IF($O$67="Payment",IF(AND(ISNUMBER($AE1435),ISNUMBER($O$73)),$AE1435*$O$73*-1,""),""))</f>
        <v/>
      </c>
    </row>
    <row r="1436" spans="7:37" x14ac:dyDescent="0.25">
      <c r="G1436" s="235" t="str">
        <f t="shared" si="470"/>
        <v/>
      </c>
      <c r="H1436" s="4" t="str">
        <f t="shared" si="469"/>
        <v/>
      </c>
      <c r="I1436" s="11" t="str">
        <f t="shared" si="471"/>
        <v/>
      </c>
      <c r="K1436" s="30">
        <v>514</v>
      </c>
      <c r="L1436" s="29">
        <f t="shared" ref="L1436:L1499" si="482">IF(ISNUMBER($M1436),$M1436+$L1435,$L1435)</f>
        <v>11371.908376190921</v>
      </c>
      <c r="M1436" s="28" t="str">
        <f t="shared" si="472"/>
        <v/>
      </c>
      <c r="N1436" s="27" t="str">
        <f t="shared" ref="N1436:N1499" si="483">IF($K1435&lt;$N$25,$N1435+1,"")</f>
        <v/>
      </c>
      <c r="O1436" s="26" t="str">
        <f>IF(AND($Q1435=$O$38,IFERROR(LARGE($V$923:$V1435,1)&lt;$N$42,TRUE)),1,IF(AND(ISNUMBER($O1435),$O1435&lt;$N$32),$O1435+1,""))</f>
        <v/>
      </c>
      <c r="P1436" s="26" t="str">
        <f t="shared" ref="P1436:P1499" si="484">IF(OR($N1435=$N$25,O1435=$N$32),1,IF(AND($P1435&lt;$O$37,P1435&gt;0),P1435+1,""))</f>
        <v/>
      </c>
      <c r="Q1436" s="26" t="str">
        <f t="shared" si="473"/>
        <v/>
      </c>
      <c r="R1436" s="24" t="str">
        <f t="shared" ref="R1436:R1499" si="485">IF(AND($P1435=$O$37,$R1435=""),1,IF($R1435&lt;($N$43*$N$44),$R1435+1,""))</f>
        <v/>
      </c>
      <c r="S1436" s="180">
        <f t="shared" si="468"/>
        <v>8</v>
      </c>
      <c r="T1436" s="29">
        <f>SUM($AC$923:$AC1436)</f>
        <v>49500</v>
      </c>
      <c r="U1436" s="25" t="str">
        <f t="shared" si="474"/>
        <v/>
      </c>
      <c r="V1436" s="24" t="str">
        <f>IF(AND(ISNUMBER(R1435),ISNUMBER(R1436)),V1435,IF(AND(R1435="",ISNUMBER(R1436)),IFERROR(LARGE($V$923:$V1435,1)+1,0),""))</f>
        <v/>
      </c>
      <c r="W1436" s="23" t="str">
        <f t="shared" ref="W1436:W1499" si="486">IF($O1436=1,($M$30*-1),"")</f>
        <v/>
      </c>
      <c r="X1436" s="22" t="str">
        <f t="shared" ref="X1436:X1499" si="487">IF($K1436=1,($M$24*-1),IF($O1436=1,($M$31*-1),""))</f>
        <v/>
      </c>
      <c r="Y1436" s="236"/>
      <c r="Z1436" s="22"/>
      <c r="AA1436" s="22"/>
      <c r="AB1436" s="22" t="str">
        <f t="shared" si="465"/>
        <v/>
      </c>
      <c r="AC1436" s="22" t="str">
        <f t="shared" si="466"/>
        <v/>
      </c>
      <c r="AD1436" s="22" t="str">
        <f t="shared" si="475"/>
        <v/>
      </c>
      <c r="AE1436" s="22" t="str">
        <f t="shared" si="467"/>
        <v/>
      </c>
      <c r="AF1436" s="22" t="str">
        <f t="shared" si="476"/>
        <v/>
      </c>
      <c r="AG1436" s="22" t="str">
        <f t="shared" si="477"/>
        <v/>
      </c>
      <c r="AH1436" s="22" t="str">
        <f t="shared" si="478"/>
        <v/>
      </c>
      <c r="AI1436" s="22" t="str">
        <f t="shared" si="479"/>
        <v/>
      </c>
      <c r="AJ1436" s="304" t="str">
        <f t="shared" si="480"/>
        <v/>
      </c>
      <c r="AK1436" s="140" t="str">
        <f t="shared" si="481"/>
        <v/>
      </c>
    </row>
    <row r="1437" spans="7:37" x14ac:dyDescent="0.25">
      <c r="G1437" s="235" t="str">
        <f t="shared" si="470"/>
        <v/>
      </c>
      <c r="H1437" s="4" t="str">
        <f t="shared" si="469"/>
        <v/>
      </c>
      <c r="I1437" s="11" t="str">
        <f t="shared" si="471"/>
        <v/>
      </c>
      <c r="K1437" s="30">
        <v>515</v>
      </c>
      <c r="L1437" s="29">
        <f t="shared" si="482"/>
        <v>11371.908376190921</v>
      </c>
      <c r="M1437" s="28" t="str">
        <f t="shared" si="472"/>
        <v/>
      </c>
      <c r="N1437" s="27" t="str">
        <f t="shared" si="483"/>
        <v/>
      </c>
      <c r="O1437" s="26" t="str">
        <f>IF(AND($Q1436=$O$38,IFERROR(LARGE($V$923:$V1436,1)&lt;$N$42,TRUE)),1,IF(AND(ISNUMBER($O1436),$O1436&lt;$N$32),$O1436+1,""))</f>
        <v/>
      </c>
      <c r="P1437" s="26" t="str">
        <f t="shared" si="484"/>
        <v/>
      </c>
      <c r="Q1437" s="26" t="str">
        <f t="shared" si="473"/>
        <v/>
      </c>
      <c r="R1437" s="24" t="str">
        <f t="shared" si="485"/>
        <v/>
      </c>
      <c r="S1437" s="180">
        <f t="shared" si="468"/>
        <v>8</v>
      </c>
      <c r="T1437" s="29">
        <f>SUM($AC$923:$AC1437)</f>
        <v>49500</v>
      </c>
      <c r="U1437" s="25" t="str">
        <f t="shared" si="474"/>
        <v/>
      </c>
      <c r="V1437" s="24" t="str">
        <f>IF(AND(ISNUMBER(R1436),ISNUMBER(R1437)),V1436,IF(AND(R1436="",ISNUMBER(R1437)),IFERROR(LARGE($V$923:$V1436,1)+1,0),""))</f>
        <v/>
      </c>
      <c r="W1437" s="23" t="str">
        <f t="shared" si="486"/>
        <v/>
      </c>
      <c r="X1437" s="22" t="str">
        <f t="shared" si="487"/>
        <v/>
      </c>
      <c r="Y1437" s="236"/>
      <c r="Z1437" s="22"/>
      <c r="AA1437" s="22"/>
      <c r="AB1437" s="22" t="str">
        <f t="shared" si="465"/>
        <v/>
      </c>
      <c r="AC1437" s="22" t="str">
        <f t="shared" si="466"/>
        <v/>
      </c>
      <c r="AD1437" s="22" t="str">
        <f t="shared" si="475"/>
        <v/>
      </c>
      <c r="AE1437" s="22" t="str">
        <f t="shared" si="467"/>
        <v/>
      </c>
      <c r="AF1437" s="22" t="str">
        <f t="shared" si="476"/>
        <v/>
      </c>
      <c r="AG1437" s="22" t="str">
        <f t="shared" si="477"/>
        <v/>
      </c>
      <c r="AH1437" s="22" t="str">
        <f t="shared" si="478"/>
        <v/>
      </c>
      <c r="AI1437" s="22" t="str">
        <f t="shared" si="479"/>
        <v/>
      </c>
      <c r="AJ1437" s="304" t="str">
        <f t="shared" si="480"/>
        <v/>
      </c>
      <c r="AK1437" s="140" t="str">
        <f t="shared" si="481"/>
        <v/>
      </c>
    </row>
    <row r="1438" spans="7:37" x14ac:dyDescent="0.25">
      <c r="G1438" s="235" t="str">
        <f t="shared" si="470"/>
        <v/>
      </c>
      <c r="H1438" s="4" t="str">
        <f t="shared" si="469"/>
        <v/>
      </c>
      <c r="I1438" s="11" t="str">
        <f t="shared" si="471"/>
        <v/>
      </c>
      <c r="K1438" s="30">
        <v>516</v>
      </c>
      <c r="L1438" s="29">
        <f t="shared" si="482"/>
        <v>11371.908376190921</v>
      </c>
      <c r="M1438" s="28" t="str">
        <f t="shared" si="472"/>
        <v/>
      </c>
      <c r="N1438" s="27" t="str">
        <f t="shared" si="483"/>
        <v/>
      </c>
      <c r="O1438" s="26" t="str">
        <f>IF(AND($Q1437=$O$38,IFERROR(LARGE($V$923:$V1437,1)&lt;$N$42,TRUE)),1,IF(AND(ISNUMBER($O1437),$O1437&lt;$N$32),$O1437+1,""))</f>
        <v/>
      </c>
      <c r="P1438" s="26" t="str">
        <f t="shared" si="484"/>
        <v/>
      </c>
      <c r="Q1438" s="26" t="str">
        <f t="shared" si="473"/>
        <v/>
      </c>
      <c r="R1438" s="24" t="str">
        <f t="shared" si="485"/>
        <v/>
      </c>
      <c r="S1438" s="180">
        <f t="shared" si="468"/>
        <v>8</v>
      </c>
      <c r="T1438" s="29">
        <f>SUM($AC$923:$AC1438)</f>
        <v>49500</v>
      </c>
      <c r="U1438" s="25" t="str">
        <f t="shared" si="474"/>
        <v/>
      </c>
      <c r="V1438" s="24" t="str">
        <f>IF(AND(ISNUMBER(R1437),ISNUMBER(R1438)),V1437,IF(AND(R1437="",ISNUMBER(R1438)),IFERROR(LARGE($V$923:$V1437,1)+1,0),""))</f>
        <v/>
      </c>
      <c r="W1438" s="23" t="str">
        <f t="shared" si="486"/>
        <v/>
      </c>
      <c r="X1438" s="22" t="str">
        <f t="shared" si="487"/>
        <v/>
      </c>
      <c r="Y1438" s="236"/>
      <c r="Z1438" s="22"/>
      <c r="AA1438" s="22"/>
      <c r="AB1438" s="22" t="str">
        <f t="shared" si="465"/>
        <v/>
      </c>
      <c r="AC1438" s="22" t="str">
        <f t="shared" si="466"/>
        <v/>
      </c>
      <c r="AD1438" s="22" t="str">
        <f t="shared" si="475"/>
        <v/>
      </c>
      <c r="AE1438" s="22" t="str">
        <f t="shared" si="467"/>
        <v/>
      </c>
      <c r="AF1438" s="22" t="str">
        <f t="shared" si="476"/>
        <v/>
      </c>
      <c r="AG1438" s="22" t="str">
        <f t="shared" si="477"/>
        <v/>
      </c>
      <c r="AH1438" s="22" t="str">
        <f t="shared" si="478"/>
        <v/>
      </c>
      <c r="AI1438" s="22" t="str">
        <f t="shared" si="479"/>
        <v/>
      </c>
      <c r="AJ1438" s="304" t="str">
        <f t="shared" si="480"/>
        <v/>
      </c>
      <c r="AK1438" s="140" t="str">
        <f t="shared" si="481"/>
        <v/>
      </c>
    </row>
    <row r="1439" spans="7:37" x14ac:dyDescent="0.25">
      <c r="G1439" s="235" t="str">
        <f t="shared" si="470"/>
        <v/>
      </c>
      <c r="H1439" s="4" t="str">
        <f t="shared" si="469"/>
        <v/>
      </c>
      <c r="I1439" s="11" t="str">
        <f t="shared" si="471"/>
        <v/>
      </c>
      <c r="K1439" s="30">
        <v>517</v>
      </c>
      <c r="L1439" s="29">
        <f t="shared" si="482"/>
        <v>11371.908376190921</v>
      </c>
      <c r="M1439" s="28" t="str">
        <f t="shared" si="472"/>
        <v/>
      </c>
      <c r="N1439" s="27" t="str">
        <f t="shared" si="483"/>
        <v/>
      </c>
      <c r="O1439" s="26" t="str">
        <f>IF(AND($Q1438=$O$38,IFERROR(LARGE($V$923:$V1438,1)&lt;$N$42,TRUE)),1,IF(AND(ISNUMBER($O1438),$O1438&lt;$N$32),$O1438+1,""))</f>
        <v/>
      </c>
      <c r="P1439" s="26" t="str">
        <f t="shared" si="484"/>
        <v/>
      </c>
      <c r="Q1439" s="26" t="str">
        <f t="shared" si="473"/>
        <v/>
      </c>
      <c r="R1439" s="24" t="str">
        <f t="shared" si="485"/>
        <v/>
      </c>
      <c r="S1439" s="180">
        <f t="shared" si="468"/>
        <v>8</v>
      </c>
      <c r="T1439" s="29">
        <f>SUM($AC$923:$AC1439)</f>
        <v>49500</v>
      </c>
      <c r="U1439" s="25" t="str">
        <f t="shared" si="474"/>
        <v/>
      </c>
      <c r="V1439" s="24" t="str">
        <f>IF(AND(ISNUMBER(R1438),ISNUMBER(R1439)),V1438,IF(AND(R1438="",ISNUMBER(R1439)),IFERROR(LARGE($V$923:$V1438,1)+1,0),""))</f>
        <v/>
      </c>
      <c r="W1439" s="23" t="str">
        <f t="shared" si="486"/>
        <v/>
      </c>
      <c r="X1439" s="22" t="str">
        <f t="shared" si="487"/>
        <v/>
      </c>
      <c r="Y1439" s="236"/>
      <c r="Z1439" s="22"/>
      <c r="AA1439" s="22"/>
      <c r="AB1439" s="22" t="str">
        <f t="shared" si="465"/>
        <v/>
      </c>
      <c r="AC1439" s="22" t="str">
        <f t="shared" si="466"/>
        <v/>
      </c>
      <c r="AD1439" s="22" t="str">
        <f t="shared" si="475"/>
        <v/>
      </c>
      <c r="AE1439" s="22" t="str">
        <f t="shared" si="467"/>
        <v/>
      </c>
      <c r="AF1439" s="22" t="str">
        <f t="shared" si="476"/>
        <v/>
      </c>
      <c r="AG1439" s="22" t="str">
        <f t="shared" si="477"/>
        <v/>
      </c>
      <c r="AH1439" s="22" t="str">
        <f t="shared" si="478"/>
        <v/>
      </c>
      <c r="AI1439" s="22" t="str">
        <f t="shared" si="479"/>
        <v/>
      </c>
      <c r="AJ1439" s="304" t="str">
        <f t="shared" si="480"/>
        <v/>
      </c>
      <c r="AK1439" s="140" t="str">
        <f t="shared" si="481"/>
        <v/>
      </c>
    </row>
    <row r="1440" spans="7:37" x14ac:dyDescent="0.25">
      <c r="G1440" s="235" t="str">
        <f t="shared" si="470"/>
        <v/>
      </c>
      <c r="H1440" s="4" t="str">
        <f t="shared" si="469"/>
        <v/>
      </c>
      <c r="I1440" s="11" t="str">
        <f t="shared" si="471"/>
        <v/>
      </c>
      <c r="K1440" s="30">
        <v>518</v>
      </c>
      <c r="L1440" s="29">
        <f t="shared" si="482"/>
        <v>11371.908376190921</v>
      </c>
      <c r="M1440" s="28" t="str">
        <f t="shared" si="472"/>
        <v/>
      </c>
      <c r="N1440" s="27" t="str">
        <f t="shared" si="483"/>
        <v/>
      </c>
      <c r="O1440" s="26" t="str">
        <f>IF(AND($Q1439=$O$38,IFERROR(LARGE($V$923:$V1439,1)&lt;$N$42,TRUE)),1,IF(AND(ISNUMBER($O1439),$O1439&lt;$N$32),$O1439+1,""))</f>
        <v/>
      </c>
      <c r="P1440" s="26" t="str">
        <f t="shared" si="484"/>
        <v/>
      </c>
      <c r="Q1440" s="26" t="str">
        <f t="shared" si="473"/>
        <v/>
      </c>
      <c r="R1440" s="24" t="str">
        <f t="shared" si="485"/>
        <v/>
      </c>
      <c r="S1440" s="180">
        <f t="shared" si="468"/>
        <v>8</v>
      </c>
      <c r="T1440" s="29">
        <f>SUM($AC$923:$AC1440)</f>
        <v>49500</v>
      </c>
      <c r="U1440" s="25" t="str">
        <f t="shared" si="474"/>
        <v/>
      </c>
      <c r="V1440" s="24" t="str">
        <f>IF(AND(ISNUMBER(R1439),ISNUMBER(R1440)),V1439,IF(AND(R1439="",ISNUMBER(R1440)),IFERROR(LARGE($V$923:$V1439,1)+1,0),""))</f>
        <v/>
      </c>
      <c r="W1440" s="23" t="str">
        <f t="shared" si="486"/>
        <v/>
      </c>
      <c r="X1440" s="22" t="str">
        <f t="shared" si="487"/>
        <v/>
      </c>
      <c r="Y1440" s="236"/>
      <c r="Z1440" s="22"/>
      <c r="AA1440" s="22"/>
      <c r="AB1440" s="22" t="str">
        <f t="shared" si="465"/>
        <v/>
      </c>
      <c r="AC1440" s="22" t="str">
        <f t="shared" si="466"/>
        <v/>
      </c>
      <c r="AD1440" s="22" t="str">
        <f t="shared" si="475"/>
        <v/>
      </c>
      <c r="AE1440" s="22" t="str">
        <f t="shared" si="467"/>
        <v/>
      </c>
      <c r="AF1440" s="22" t="str">
        <f t="shared" si="476"/>
        <v/>
      </c>
      <c r="AG1440" s="22" t="str">
        <f t="shared" si="477"/>
        <v/>
      </c>
      <c r="AH1440" s="22" t="str">
        <f t="shared" si="478"/>
        <v/>
      </c>
      <c r="AI1440" s="22" t="str">
        <f t="shared" si="479"/>
        <v/>
      </c>
      <c r="AJ1440" s="304" t="str">
        <f t="shared" si="480"/>
        <v/>
      </c>
      <c r="AK1440" s="140" t="str">
        <f t="shared" si="481"/>
        <v/>
      </c>
    </row>
    <row r="1441" spans="7:37" x14ac:dyDescent="0.25">
      <c r="G1441" s="235" t="str">
        <f t="shared" si="470"/>
        <v/>
      </c>
      <c r="H1441" s="4" t="str">
        <f t="shared" si="469"/>
        <v/>
      </c>
      <c r="I1441" s="11" t="str">
        <f t="shared" si="471"/>
        <v/>
      </c>
      <c r="K1441" s="30">
        <v>519</v>
      </c>
      <c r="L1441" s="29">
        <f t="shared" si="482"/>
        <v>11371.908376190921</v>
      </c>
      <c r="M1441" s="28" t="str">
        <f t="shared" si="472"/>
        <v/>
      </c>
      <c r="N1441" s="27" t="str">
        <f t="shared" si="483"/>
        <v/>
      </c>
      <c r="O1441" s="26" t="str">
        <f>IF(AND($Q1440=$O$38,IFERROR(LARGE($V$923:$V1440,1)&lt;$N$42,TRUE)),1,IF(AND(ISNUMBER($O1440),$O1440&lt;$N$32),$O1440+1,""))</f>
        <v/>
      </c>
      <c r="P1441" s="26" t="str">
        <f t="shared" si="484"/>
        <v/>
      </c>
      <c r="Q1441" s="26" t="str">
        <f t="shared" si="473"/>
        <v/>
      </c>
      <c r="R1441" s="24" t="str">
        <f t="shared" si="485"/>
        <v/>
      </c>
      <c r="S1441" s="180">
        <f t="shared" si="468"/>
        <v>8</v>
      </c>
      <c r="T1441" s="29">
        <f>SUM($AC$923:$AC1441)</f>
        <v>49500</v>
      </c>
      <c r="U1441" s="25" t="str">
        <f t="shared" si="474"/>
        <v/>
      </c>
      <c r="V1441" s="24" t="str">
        <f>IF(AND(ISNUMBER(R1440),ISNUMBER(R1441)),V1440,IF(AND(R1440="",ISNUMBER(R1441)),IFERROR(LARGE($V$923:$V1440,1)+1,0),""))</f>
        <v/>
      </c>
      <c r="W1441" s="23" t="str">
        <f t="shared" si="486"/>
        <v/>
      </c>
      <c r="X1441" s="22" t="str">
        <f t="shared" si="487"/>
        <v/>
      </c>
      <c r="Y1441" s="236"/>
      <c r="Z1441" s="22"/>
      <c r="AA1441" s="22"/>
      <c r="AB1441" s="22" t="str">
        <f t="shared" si="465"/>
        <v/>
      </c>
      <c r="AC1441" s="22" t="str">
        <f t="shared" si="466"/>
        <v/>
      </c>
      <c r="AD1441" s="22" t="str">
        <f t="shared" si="475"/>
        <v/>
      </c>
      <c r="AE1441" s="22" t="str">
        <f t="shared" si="467"/>
        <v/>
      </c>
      <c r="AF1441" s="22" t="str">
        <f t="shared" si="476"/>
        <v/>
      </c>
      <c r="AG1441" s="22" t="str">
        <f t="shared" si="477"/>
        <v/>
      </c>
      <c r="AH1441" s="22" t="str">
        <f t="shared" si="478"/>
        <v/>
      </c>
      <c r="AI1441" s="22" t="str">
        <f t="shared" si="479"/>
        <v/>
      </c>
      <c r="AJ1441" s="304" t="str">
        <f t="shared" si="480"/>
        <v/>
      </c>
      <c r="AK1441" s="140" t="str">
        <f t="shared" si="481"/>
        <v/>
      </c>
    </row>
    <row r="1442" spans="7:37" x14ac:dyDescent="0.25">
      <c r="G1442" s="235" t="str">
        <f t="shared" si="470"/>
        <v/>
      </c>
      <c r="H1442" s="4" t="str">
        <f t="shared" si="469"/>
        <v/>
      </c>
      <c r="I1442" s="11" t="str">
        <f t="shared" si="471"/>
        <v/>
      </c>
      <c r="K1442" s="30">
        <v>520</v>
      </c>
      <c r="L1442" s="29">
        <f t="shared" si="482"/>
        <v>11371.908376190921</v>
      </c>
      <c r="M1442" s="28" t="str">
        <f t="shared" si="472"/>
        <v/>
      </c>
      <c r="N1442" s="27" t="str">
        <f t="shared" si="483"/>
        <v/>
      </c>
      <c r="O1442" s="26" t="str">
        <f>IF(AND($Q1441=$O$38,IFERROR(LARGE($V$923:$V1441,1)&lt;$N$42,TRUE)),1,IF(AND(ISNUMBER($O1441),$O1441&lt;$N$32),$O1441+1,""))</f>
        <v/>
      </c>
      <c r="P1442" s="26" t="str">
        <f t="shared" si="484"/>
        <v/>
      </c>
      <c r="Q1442" s="26" t="str">
        <f t="shared" si="473"/>
        <v/>
      </c>
      <c r="R1442" s="24" t="str">
        <f t="shared" si="485"/>
        <v/>
      </c>
      <c r="S1442" s="180">
        <f t="shared" si="468"/>
        <v>8</v>
      </c>
      <c r="T1442" s="29">
        <f>SUM($AC$923:$AC1442)</f>
        <v>49500</v>
      </c>
      <c r="U1442" s="25" t="str">
        <f t="shared" si="474"/>
        <v/>
      </c>
      <c r="V1442" s="24" t="str">
        <f>IF(AND(ISNUMBER(R1441),ISNUMBER(R1442)),V1441,IF(AND(R1441="",ISNUMBER(R1442)),IFERROR(LARGE($V$923:$V1441,1)+1,0),""))</f>
        <v/>
      </c>
      <c r="W1442" s="23" t="str">
        <f t="shared" si="486"/>
        <v/>
      </c>
      <c r="X1442" s="22" t="str">
        <f t="shared" si="487"/>
        <v/>
      </c>
      <c r="Y1442" s="236"/>
      <c r="Z1442" s="22"/>
      <c r="AA1442" s="22"/>
      <c r="AB1442" s="22" t="str">
        <f t="shared" si="465"/>
        <v/>
      </c>
      <c r="AC1442" s="22" t="str">
        <f t="shared" si="466"/>
        <v/>
      </c>
      <c r="AD1442" s="22" t="str">
        <f t="shared" si="475"/>
        <v/>
      </c>
      <c r="AE1442" s="22" t="str">
        <f t="shared" si="467"/>
        <v/>
      </c>
      <c r="AF1442" s="22" t="str">
        <f t="shared" si="476"/>
        <v/>
      </c>
      <c r="AG1442" s="22" t="str">
        <f t="shared" si="477"/>
        <v/>
      </c>
      <c r="AH1442" s="22" t="str">
        <f t="shared" si="478"/>
        <v/>
      </c>
      <c r="AI1442" s="22" t="str">
        <f t="shared" si="479"/>
        <v/>
      </c>
      <c r="AJ1442" s="304" t="str">
        <f t="shared" si="480"/>
        <v/>
      </c>
      <c r="AK1442" s="140" t="str">
        <f t="shared" si="481"/>
        <v/>
      </c>
    </row>
    <row r="1443" spans="7:37" x14ac:dyDescent="0.25">
      <c r="G1443" s="235" t="str">
        <f t="shared" si="470"/>
        <v/>
      </c>
      <c r="H1443" s="4" t="str">
        <f t="shared" si="469"/>
        <v/>
      </c>
      <c r="I1443" s="11" t="str">
        <f t="shared" si="471"/>
        <v/>
      </c>
      <c r="K1443" s="30">
        <v>521</v>
      </c>
      <c r="L1443" s="29">
        <f t="shared" si="482"/>
        <v>11371.908376190921</v>
      </c>
      <c r="M1443" s="28" t="str">
        <f t="shared" si="472"/>
        <v/>
      </c>
      <c r="N1443" s="27" t="str">
        <f t="shared" si="483"/>
        <v/>
      </c>
      <c r="O1443" s="26" t="str">
        <f>IF(AND($Q1442=$O$38,IFERROR(LARGE($V$923:$V1442,1)&lt;$N$42,TRUE)),1,IF(AND(ISNUMBER($O1442),$O1442&lt;$N$32),$O1442+1,""))</f>
        <v/>
      </c>
      <c r="P1443" s="26" t="str">
        <f t="shared" si="484"/>
        <v/>
      </c>
      <c r="Q1443" s="26" t="str">
        <f t="shared" si="473"/>
        <v/>
      </c>
      <c r="R1443" s="24" t="str">
        <f t="shared" si="485"/>
        <v/>
      </c>
      <c r="S1443" s="180">
        <f t="shared" si="468"/>
        <v>8</v>
      </c>
      <c r="T1443" s="29">
        <f>SUM($AC$923:$AC1443)</f>
        <v>49500</v>
      </c>
      <c r="U1443" s="25" t="str">
        <f t="shared" si="474"/>
        <v/>
      </c>
      <c r="V1443" s="24" t="str">
        <f>IF(AND(ISNUMBER(R1442),ISNUMBER(R1443)),V1442,IF(AND(R1442="",ISNUMBER(R1443)),IFERROR(LARGE($V$923:$V1442,1)+1,0),""))</f>
        <v/>
      </c>
      <c r="W1443" s="23" t="str">
        <f t="shared" si="486"/>
        <v/>
      </c>
      <c r="X1443" s="22" t="str">
        <f t="shared" si="487"/>
        <v/>
      </c>
      <c r="Y1443" s="236"/>
      <c r="Z1443" s="22"/>
      <c r="AA1443" s="22"/>
      <c r="AB1443" s="22" t="str">
        <f t="shared" si="465"/>
        <v/>
      </c>
      <c r="AC1443" s="22" t="str">
        <f t="shared" si="466"/>
        <v/>
      </c>
      <c r="AD1443" s="22" t="str">
        <f t="shared" si="475"/>
        <v/>
      </c>
      <c r="AE1443" s="22" t="str">
        <f t="shared" si="467"/>
        <v/>
      </c>
      <c r="AF1443" s="22" t="str">
        <f t="shared" si="476"/>
        <v/>
      </c>
      <c r="AG1443" s="22" t="str">
        <f t="shared" si="477"/>
        <v/>
      </c>
      <c r="AH1443" s="22" t="str">
        <f t="shared" si="478"/>
        <v/>
      </c>
      <c r="AI1443" s="22" t="str">
        <f t="shared" si="479"/>
        <v/>
      </c>
      <c r="AJ1443" s="304" t="str">
        <f t="shared" si="480"/>
        <v/>
      </c>
      <c r="AK1443" s="140" t="str">
        <f t="shared" si="481"/>
        <v/>
      </c>
    </row>
    <row r="1444" spans="7:37" x14ac:dyDescent="0.25">
      <c r="G1444" s="235" t="str">
        <f t="shared" si="470"/>
        <v/>
      </c>
      <c r="H1444" s="4" t="str">
        <f t="shared" si="469"/>
        <v/>
      </c>
      <c r="I1444" s="11" t="str">
        <f t="shared" si="471"/>
        <v/>
      </c>
      <c r="K1444" s="30">
        <v>522</v>
      </c>
      <c r="L1444" s="29">
        <f t="shared" si="482"/>
        <v>11371.908376190921</v>
      </c>
      <c r="M1444" s="28" t="str">
        <f t="shared" si="472"/>
        <v/>
      </c>
      <c r="N1444" s="27" t="str">
        <f t="shared" si="483"/>
        <v/>
      </c>
      <c r="O1444" s="26" t="str">
        <f>IF(AND($Q1443=$O$38,IFERROR(LARGE($V$923:$V1443,1)&lt;$N$42,TRUE)),1,IF(AND(ISNUMBER($O1443),$O1443&lt;$N$32),$O1443+1,""))</f>
        <v/>
      </c>
      <c r="P1444" s="26" t="str">
        <f t="shared" si="484"/>
        <v/>
      </c>
      <c r="Q1444" s="26" t="str">
        <f t="shared" si="473"/>
        <v/>
      </c>
      <c r="R1444" s="24" t="str">
        <f t="shared" si="485"/>
        <v/>
      </c>
      <c r="S1444" s="180">
        <f t="shared" si="468"/>
        <v>8</v>
      </c>
      <c r="T1444" s="29">
        <f>SUM($AC$923:$AC1444)</f>
        <v>49500</v>
      </c>
      <c r="U1444" s="25" t="str">
        <f t="shared" si="474"/>
        <v/>
      </c>
      <c r="V1444" s="24" t="str">
        <f>IF(AND(ISNUMBER(R1443),ISNUMBER(R1444)),V1443,IF(AND(R1443="",ISNUMBER(R1444)),IFERROR(LARGE($V$923:$V1443,1)+1,0),""))</f>
        <v/>
      </c>
      <c r="W1444" s="23" t="str">
        <f t="shared" si="486"/>
        <v/>
      </c>
      <c r="X1444" s="22" t="str">
        <f t="shared" si="487"/>
        <v/>
      </c>
      <c r="Y1444" s="236"/>
      <c r="Z1444" s="22"/>
      <c r="AA1444" s="22"/>
      <c r="AB1444" s="22" t="str">
        <f t="shared" si="465"/>
        <v/>
      </c>
      <c r="AC1444" s="22" t="str">
        <f t="shared" si="466"/>
        <v/>
      </c>
      <c r="AD1444" s="22" t="str">
        <f t="shared" si="475"/>
        <v/>
      </c>
      <c r="AE1444" s="22" t="str">
        <f t="shared" si="467"/>
        <v/>
      </c>
      <c r="AF1444" s="22" t="str">
        <f t="shared" si="476"/>
        <v/>
      </c>
      <c r="AG1444" s="22" t="str">
        <f t="shared" si="477"/>
        <v/>
      </c>
      <c r="AH1444" s="22" t="str">
        <f t="shared" si="478"/>
        <v/>
      </c>
      <c r="AI1444" s="22" t="str">
        <f t="shared" si="479"/>
        <v/>
      </c>
      <c r="AJ1444" s="304" t="str">
        <f t="shared" si="480"/>
        <v/>
      </c>
      <c r="AK1444" s="140" t="str">
        <f t="shared" si="481"/>
        <v/>
      </c>
    </row>
    <row r="1445" spans="7:37" x14ac:dyDescent="0.25">
      <c r="G1445" s="235" t="str">
        <f t="shared" si="470"/>
        <v/>
      </c>
      <c r="H1445" s="4" t="str">
        <f t="shared" si="469"/>
        <v/>
      </c>
      <c r="I1445" s="11" t="str">
        <f t="shared" si="471"/>
        <v/>
      </c>
      <c r="K1445" s="30">
        <v>523</v>
      </c>
      <c r="L1445" s="29">
        <f t="shared" si="482"/>
        <v>11371.908376190921</v>
      </c>
      <c r="M1445" s="28" t="str">
        <f t="shared" si="472"/>
        <v/>
      </c>
      <c r="N1445" s="27" t="str">
        <f t="shared" si="483"/>
        <v/>
      </c>
      <c r="O1445" s="26" t="str">
        <f>IF(AND($Q1444=$O$38,IFERROR(LARGE($V$923:$V1444,1)&lt;$N$42,TRUE)),1,IF(AND(ISNUMBER($O1444),$O1444&lt;$N$32),$O1444+1,""))</f>
        <v/>
      </c>
      <c r="P1445" s="26" t="str">
        <f t="shared" si="484"/>
        <v/>
      </c>
      <c r="Q1445" s="26" t="str">
        <f t="shared" si="473"/>
        <v/>
      </c>
      <c r="R1445" s="24" t="str">
        <f t="shared" si="485"/>
        <v/>
      </c>
      <c r="S1445" s="180">
        <f t="shared" si="468"/>
        <v>8</v>
      </c>
      <c r="T1445" s="29">
        <f>SUM($AC$923:$AC1445)</f>
        <v>49500</v>
      </c>
      <c r="U1445" s="25" t="str">
        <f t="shared" si="474"/>
        <v/>
      </c>
      <c r="V1445" s="24" t="str">
        <f>IF(AND(ISNUMBER(R1444),ISNUMBER(R1445)),V1444,IF(AND(R1444="",ISNUMBER(R1445)),IFERROR(LARGE($V$923:$V1444,1)+1,0),""))</f>
        <v/>
      </c>
      <c r="W1445" s="23" t="str">
        <f t="shared" si="486"/>
        <v/>
      </c>
      <c r="X1445" s="22" t="str">
        <f t="shared" si="487"/>
        <v/>
      </c>
      <c r="Y1445" s="236"/>
      <c r="Z1445" s="22"/>
      <c r="AA1445" s="22"/>
      <c r="AB1445" s="22" t="str">
        <f t="shared" si="465"/>
        <v/>
      </c>
      <c r="AC1445" s="22" t="str">
        <f t="shared" si="466"/>
        <v/>
      </c>
      <c r="AD1445" s="22" t="str">
        <f t="shared" si="475"/>
        <v/>
      </c>
      <c r="AE1445" s="22" t="str">
        <f t="shared" si="467"/>
        <v/>
      </c>
      <c r="AF1445" s="22" t="str">
        <f t="shared" si="476"/>
        <v/>
      </c>
      <c r="AG1445" s="22" t="str">
        <f t="shared" si="477"/>
        <v/>
      </c>
      <c r="AH1445" s="22" t="str">
        <f t="shared" si="478"/>
        <v/>
      </c>
      <c r="AI1445" s="22" t="str">
        <f t="shared" si="479"/>
        <v/>
      </c>
      <c r="AJ1445" s="304" t="str">
        <f t="shared" si="480"/>
        <v/>
      </c>
      <c r="AK1445" s="140" t="str">
        <f t="shared" si="481"/>
        <v/>
      </c>
    </row>
    <row r="1446" spans="7:37" x14ac:dyDescent="0.25">
      <c r="G1446" s="235" t="str">
        <f t="shared" si="470"/>
        <v/>
      </c>
      <c r="H1446" s="4" t="str">
        <f t="shared" si="469"/>
        <v/>
      </c>
      <c r="I1446" s="11" t="str">
        <f t="shared" si="471"/>
        <v/>
      </c>
      <c r="K1446" s="30">
        <v>524</v>
      </c>
      <c r="L1446" s="29">
        <f t="shared" si="482"/>
        <v>11371.908376190921</v>
      </c>
      <c r="M1446" s="28" t="str">
        <f t="shared" si="472"/>
        <v/>
      </c>
      <c r="N1446" s="27" t="str">
        <f t="shared" si="483"/>
        <v/>
      </c>
      <c r="O1446" s="26" t="str">
        <f>IF(AND($Q1445=$O$38,IFERROR(LARGE($V$923:$V1445,1)&lt;$N$42,TRUE)),1,IF(AND(ISNUMBER($O1445),$O1445&lt;$N$32),$O1445+1,""))</f>
        <v/>
      </c>
      <c r="P1446" s="26" t="str">
        <f t="shared" si="484"/>
        <v/>
      </c>
      <c r="Q1446" s="26" t="str">
        <f t="shared" si="473"/>
        <v/>
      </c>
      <c r="R1446" s="24" t="str">
        <f t="shared" si="485"/>
        <v/>
      </c>
      <c r="S1446" s="180">
        <f t="shared" si="468"/>
        <v>8</v>
      </c>
      <c r="T1446" s="29">
        <f>SUM($AC$923:$AC1446)</f>
        <v>49500</v>
      </c>
      <c r="U1446" s="25" t="str">
        <f t="shared" si="474"/>
        <v/>
      </c>
      <c r="V1446" s="24" t="str">
        <f>IF(AND(ISNUMBER(R1445),ISNUMBER(R1446)),V1445,IF(AND(R1445="",ISNUMBER(R1446)),IFERROR(LARGE($V$923:$V1445,1)+1,0),""))</f>
        <v/>
      </c>
      <c r="W1446" s="23" t="str">
        <f t="shared" si="486"/>
        <v/>
      </c>
      <c r="X1446" s="22" t="str">
        <f t="shared" si="487"/>
        <v/>
      </c>
      <c r="Y1446" s="236"/>
      <c r="Z1446" s="22"/>
      <c r="AA1446" s="22"/>
      <c r="AB1446" s="22" t="str">
        <f t="shared" si="465"/>
        <v/>
      </c>
      <c r="AC1446" s="22" t="str">
        <f t="shared" si="466"/>
        <v/>
      </c>
      <c r="AD1446" s="22" t="str">
        <f t="shared" si="475"/>
        <v/>
      </c>
      <c r="AE1446" s="22" t="str">
        <f t="shared" si="467"/>
        <v/>
      </c>
      <c r="AF1446" s="22" t="str">
        <f t="shared" si="476"/>
        <v/>
      </c>
      <c r="AG1446" s="22" t="str">
        <f t="shared" si="477"/>
        <v/>
      </c>
      <c r="AH1446" s="22" t="str">
        <f t="shared" si="478"/>
        <v/>
      </c>
      <c r="AI1446" s="22" t="str">
        <f t="shared" si="479"/>
        <v/>
      </c>
      <c r="AJ1446" s="304" t="str">
        <f t="shared" si="480"/>
        <v/>
      </c>
      <c r="AK1446" s="140" t="str">
        <f t="shared" si="481"/>
        <v/>
      </c>
    </row>
    <row r="1447" spans="7:37" x14ac:dyDescent="0.25">
      <c r="G1447" s="235" t="str">
        <f t="shared" si="470"/>
        <v/>
      </c>
      <c r="H1447" s="4" t="str">
        <f t="shared" si="469"/>
        <v/>
      </c>
      <c r="I1447" s="11" t="str">
        <f t="shared" si="471"/>
        <v/>
      </c>
      <c r="K1447" s="30">
        <v>525</v>
      </c>
      <c r="L1447" s="29">
        <f t="shared" si="482"/>
        <v>11371.908376190921</v>
      </c>
      <c r="M1447" s="28" t="str">
        <f t="shared" si="472"/>
        <v/>
      </c>
      <c r="N1447" s="27" t="str">
        <f t="shared" si="483"/>
        <v/>
      </c>
      <c r="O1447" s="26" t="str">
        <f>IF(AND($Q1446=$O$38,IFERROR(LARGE($V$923:$V1446,1)&lt;$N$42,TRUE)),1,IF(AND(ISNUMBER($O1446),$O1446&lt;$N$32),$O1446+1,""))</f>
        <v/>
      </c>
      <c r="P1447" s="26" t="str">
        <f t="shared" si="484"/>
        <v/>
      </c>
      <c r="Q1447" s="26" t="str">
        <f t="shared" si="473"/>
        <v/>
      </c>
      <c r="R1447" s="24" t="str">
        <f t="shared" si="485"/>
        <v/>
      </c>
      <c r="S1447" s="180">
        <f t="shared" si="468"/>
        <v>8</v>
      </c>
      <c r="T1447" s="29">
        <f>SUM($AC$923:$AC1447)</f>
        <v>49500</v>
      </c>
      <c r="U1447" s="25" t="str">
        <f t="shared" si="474"/>
        <v/>
      </c>
      <c r="V1447" s="24" t="str">
        <f>IF(AND(ISNUMBER(R1446),ISNUMBER(R1447)),V1446,IF(AND(R1446="",ISNUMBER(R1447)),IFERROR(LARGE($V$923:$V1446,1)+1,0),""))</f>
        <v/>
      </c>
      <c r="W1447" s="23" t="str">
        <f t="shared" si="486"/>
        <v/>
      </c>
      <c r="X1447" s="22" t="str">
        <f t="shared" si="487"/>
        <v/>
      </c>
      <c r="Y1447" s="236"/>
      <c r="Z1447" s="22"/>
      <c r="AA1447" s="22"/>
      <c r="AB1447" s="22" t="str">
        <f t="shared" si="465"/>
        <v/>
      </c>
      <c r="AC1447" s="22" t="str">
        <f t="shared" si="466"/>
        <v/>
      </c>
      <c r="AD1447" s="22" t="str">
        <f t="shared" si="475"/>
        <v/>
      </c>
      <c r="AE1447" s="22" t="str">
        <f t="shared" si="467"/>
        <v/>
      </c>
      <c r="AF1447" s="22" t="str">
        <f t="shared" si="476"/>
        <v/>
      </c>
      <c r="AG1447" s="22" t="str">
        <f t="shared" si="477"/>
        <v/>
      </c>
      <c r="AH1447" s="22" t="str">
        <f t="shared" si="478"/>
        <v/>
      </c>
      <c r="AI1447" s="22" t="str">
        <f t="shared" si="479"/>
        <v/>
      </c>
      <c r="AJ1447" s="304" t="str">
        <f t="shared" si="480"/>
        <v/>
      </c>
      <c r="AK1447" s="140" t="str">
        <f t="shared" si="481"/>
        <v/>
      </c>
    </row>
    <row r="1448" spans="7:37" x14ac:dyDescent="0.25">
      <c r="G1448" s="235" t="str">
        <f t="shared" si="470"/>
        <v/>
      </c>
      <c r="H1448" s="4" t="str">
        <f t="shared" si="469"/>
        <v/>
      </c>
      <c r="I1448" s="11" t="str">
        <f t="shared" si="471"/>
        <v/>
      </c>
      <c r="K1448" s="30">
        <v>526</v>
      </c>
      <c r="L1448" s="29">
        <f t="shared" si="482"/>
        <v>11371.908376190921</v>
      </c>
      <c r="M1448" s="28" t="str">
        <f t="shared" si="472"/>
        <v/>
      </c>
      <c r="N1448" s="27" t="str">
        <f t="shared" si="483"/>
        <v/>
      </c>
      <c r="O1448" s="26" t="str">
        <f>IF(AND($Q1447=$O$38,IFERROR(LARGE($V$923:$V1447,1)&lt;$N$42,TRUE)),1,IF(AND(ISNUMBER($O1447),$O1447&lt;$N$32),$O1447+1,""))</f>
        <v/>
      </c>
      <c r="P1448" s="26" t="str">
        <f t="shared" si="484"/>
        <v/>
      </c>
      <c r="Q1448" s="26" t="str">
        <f t="shared" si="473"/>
        <v/>
      </c>
      <c r="R1448" s="24" t="str">
        <f t="shared" si="485"/>
        <v/>
      </c>
      <c r="S1448" s="180">
        <f t="shared" si="468"/>
        <v>8</v>
      </c>
      <c r="T1448" s="29">
        <f>SUM($AC$923:$AC1448)</f>
        <v>49500</v>
      </c>
      <c r="U1448" s="25" t="str">
        <f t="shared" si="474"/>
        <v/>
      </c>
      <c r="V1448" s="24" t="str">
        <f>IF(AND(ISNUMBER(R1447),ISNUMBER(R1448)),V1447,IF(AND(R1447="",ISNUMBER(R1448)),IFERROR(LARGE($V$923:$V1447,1)+1,0),""))</f>
        <v/>
      </c>
      <c r="W1448" s="23" t="str">
        <f t="shared" si="486"/>
        <v/>
      </c>
      <c r="X1448" s="22" t="str">
        <f t="shared" si="487"/>
        <v/>
      </c>
      <c r="Y1448" s="236"/>
      <c r="Z1448" s="22"/>
      <c r="AA1448" s="22"/>
      <c r="AB1448" s="22" t="str">
        <f t="shared" si="465"/>
        <v/>
      </c>
      <c r="AC1448" s="22" t="str">
        <f t="shared" si="466"/>
        <v/>
      </c>
      <c r="AD1448" s="22" t="str">
        <f t="shared" si="475"/>
        <v/>
      </c>
      <c r="AE1448" s="22" t="str">
        <f t="shared" si="467"/>
        <v/>
      </c>
      <c r="AF1448" s="22" t="str">
        <f t="shared" si="476"/>
        <v/>
      </c>
      <c r="AG1448" s="22" t="str">
        <f t="shared" si="477"/>
        <v/>
      </c>
      <c r="AH1448" s="22" t="str">
        <f t="shared" si="478"/>
        <v/>
      </c>
      <c r="AI1448" s="22" t="str">
        <f t="shared" si="479"/>
        <v/>
      </c>
      <c r="AJ1448" s="304" t="str">
        <f t="shared" si="480"/>
        <v/>
      </c>
      <c r="AK1448" s="140" t="str">
        <f t="shared" si="481"/>
        <v/>
      </c>
    </row>
    <row r="1449" spans="7:37" x14ac:dyDescent="0.25">
      <c r="G1449" s="235" t="str">
        <f t="shared" si="470"/>
        <v/>
      </c>
      <c r="H1449" s="4" t="str">
        <f t="shared" si="469"/>
        <v/>
      </c>
      <c r="I1449" s="11" t="str">
        <f t="shared" si="471"/>
        <v/>
      </c>
      <c r="K1449" s="30">
        <v>527</v>
      </c>
      <c r="L1449" s="29">
        <f t="shared" si="482"/>
        <v>11371.908376190921</v>
      </c>
      <c r="M1449" s="28" t="str">
        <f t="shared" si="472"/>
        <v/>
      </c>
      <c r="N1449" s="27" t="str">
        <f t="shared" si="483"/>
        <v/>
      </c>
      <c r="O1449" s="26" t="str">
        <f>IF(AND($Q1448=$O$38,IFERROR(LARGE($V$923:$V1448,1)&lt;$N$42,TRUE)),1,IF(AND(ISNUMBER($O1448),$O1448&lt;$N$32),$O1448+1,""))</f>
        <v/>
      </c>
      <c r="P1449" s="26" t="str">
        <f t="shared" si="484"/>
        <v/>
      </c>
      <c r="Q1449" s="26" t="str">
        <f t="shared" si="473"/>
        <v/>
      </c>
      <c r="R1449" s="24" t="str">
        <f t="shared" si="485"/>
        <v/>
      </c>
      <c r="S1449" s="180">
        <f t="shared" si="468"/>
        <v>8</v>
      </c>
      <c r="T1449" s="29">
        <f>SUM($AC$923:$AC1449)</f>
        <v>49500</v>
      </c>
      <c r="U1449" s="25" t="str">
        <f t="shared" si="474"/>
        <v/>
      </c>
      <c r="V1449" s="24" t="str">
        <f>IF(AND(ISNUMBER(R1448),ISNUMBER(R1449)),V1448,IF(AND(R1448="",ISNUMBER(R1449)),IFERROR(LARGE($V$923:$V1448,1)+1,0),""))</f>
        <v/>
      </c>
      <c r="W1449" s="23" t="str">
        <f t="shared" si="486"/>
        <v/>
      </c>
      <c r="X1449" s="22" t="str">
        <f t="shared" si="487"/>
        <v/>
      </c>
      <c r="Y1449" s="236"/>
      <c r="Z1449" s="22"/>
      <c r="AA1449" s="22"/>
      <c r="AB1449" s="22" t="str">
        <f t="shared" si="465"/>
        <v/>
      </c>
      <c r="AC1449" s="22" t="str">
        <f t="shared" si="466"/>
        <v/>
      </c>
      <c r="AD1449" s="22" t="str">
        <f t="shared" si="475"/>
        <v/>
      </c>
      <c r="AE1449" s="22" t="str">
        <f t="shared" si="467"/>
        <v/>
      </c>
      <c r="AF1449" s="22" t="str">
        <f t="shared" si="476"/>
        <v/>
      </c>
      <c r="AG1449" s="22" t="str">
        <f t="shared" si="477"/>
        <v/>
      </c>
      <c r="AH1449" s="22" t="str">
        <f t="shared" si="478"/>
        <v/>
      </c>
      <c r="AI1449" s="22" t="str">
        <f t="shared" si="479"/>
        <v/>
      </c>
      <c r="AJ1449" s="304" t="str">
        <f t="shared" si="480"/>
        <v/>
      </c>
      <c r="AK1449" s="140" t="str">
        <f t="shared" si="481"/>
        <v/>
      </c>
    </row>
    <row r="1450" spans="7:37" x14ac:dyDescent="0.25">
      <c r="G1450" s="235" t="str">
        <f t="shared" si="470"/>
        <v/>
      </c>
      <c r="H1450" s="4" t="str">
        <f t="shared" si="469"/>
        <v/>
      </c>
      <c r="I1450" s="11" t="str">
        <f t="shared" si="471"/>
        <v/>
      </c>
      <c r="K1450" s="30">
        <v>528</v>
      </c>
      <c r="L1450" s="29">
        <f t="shared" si="482"/>
        <v>11371.908376190921</v>
      </c>
      <c r="M1450" s="28" t="str">
        <f t="shared" si="472"/>
        <v/>
      </c>
      <c r="N1450" s="27" t="str">
        <f t="shared" si="483"/>
        <v/>
      </c>
      <c r="O1450" s="26" t="str">
        <f>IF(AND($Q1449=$O$38,IFERROR(LARGE($V$923:$V1449,1)&lt;$N$42,TRUE)),1,IF(AND(ISNUMBER($O1449),$O1449&lt;$N$32),$O1449+1,""))</f>
        <v/>
      </c>
      <c r="P1450" s="26" t="str">
        <f t="shared" si="484"/>
        <v/>
      </c>
      <c r="Q1450" s="26" t="str">
        <f t="shared" si="473"/>
        <v/>
      </c>
      <c r="R1450" s="24" t="str">
        <f t="shared" si="485"/>
        <v/>
      </c>
      <c r="S1450" s="180">
        <f t="shared" si="468"/>
        <v>8</v>
      </c>
      <c r="T1450" s="29">
        <f>SUM($AC$923:$AC1450)</f>
        <v>49500</v>
      </c>
      <c r="U1450" s="25" t="str">
        <f t="shared" si="474"/>
        <v/>
      </c>
      <c r="V1450" s="24" t="str">
        <f>IF(AND(ISNUMBER(R1449),ISNUMBER(R1450)),V1449,IF(AND(R1449="",ISNUMBER(R1450)),IFERROR(LARGE($V$923:$V1449,1)+1,0),""))</f>
        <v/>
      </c>
      <c r="W1450" s="23" t="str">
        <f t="shared" si="486"/>
        <v/>
      </c>
      <c r="X1450" s="22" t="str">
        <f t="shared" si="487"/>
        <v/>
      </c>
      <c r="Y1450" s="236"/>
      <c r="Z1450" s="22"/>
      <c r="AA1450" s="22"/>
      <c r="AB1450" s="22" t="str">
        <f t="shared" si="465"/>
        <v/>
      </c>
      <c r="AC1450" s="22" t="str">
        <f t="shared" si="466"/>
        <v/>
      </c>
      <c r="AD1450" s="22" t="str">
        <f t="shared" si="475"/>
        <v/>
      </c>
      <c r="AE1450" s="22" t="str">
        <f t="shared" si="467"/>
        <v/>
      </c>
      <c r="AF1450" s="22" t="str">
        <f t="shared" si="476"/>
        <v/>
      </c>
      <c r="AG1450" s="22" t="str">
        <f t="shared" si="477"/>
        <v/>
      </c>
      <c r="AH1450" s="22" t="str">
        <f t="shared" si="478"/>
        <v/>
      </c>
      <c r="AI1450" s="22" t="str">
        <f t="shared" si="479"/>
        <v/>
      </c>
      <c r="AJ1450" s="304" t="str">
        <f t="shared" si="480"/>
        <v/>
      </c>
      <c r="AK1450" s="140" t="str">
        <f t="shared" si="481"/>
        <v/>
      </c>
    </row>
    <row r="1451" spans="7:37" x14ac:dyDescent="0.25">
      <c r="G1451" s="235" t="str">
        <f t="shared" si="470"/>
        <v/>
      </c>
      <c r="H1451" s="4" t="str">
        <f t="shared" si="469"/>
        <v/>
      </c>
      <c r="I1451" s="11" t="str">
        <f t="shared" si="471"/>
        <v/>
      </c>
      <c r="K1451" s="30">
        <v>529</v>
      </c>
      <c r="L1451" s="29">
        <f t="shared" si="482"/>
        <v>11371.908376190921</v>
      </c>
      <c r="M1451" s="28" t="str">
        <f t="shared" si="472"/>
        <v/>
      </c>
      <c r="N1451" s="27" t="str">
        <f t="shared" si="483"/>
        <v/>
      </c>
      <c r="O1451" s="26" t="str">
        <f>IF(AND($Q1450=$O$38,IFERROR(LARGE($V$923:$V1450,1)&lt;$N$42,TRUE)),1,IF(AND(ISNUMBER($O1450),$O1450&lt;$N$32),$O1450+1,""))</f>
        <v/>
      </c>
      <c r="P1451" s="26" t="str">
        <f t="shared" si="484"/>
        <v/>
      </c>
      <c r="Q1451" s="26" t="str">
        <f t="shared" si="473"/>
        <v/>
      </c>
      <c r="R1451" s="24" t="str">
        <f t="shared" si="485"/>
        <v/>
      </c>
      <c r="S1451" s="180">
        <f t="shared" si="468"/>
        <v>8</v>
      </c>
      <c r="T1451" s="29">
        <f>SUM($AC$923:$AC1451)</f>
        <v>49500</v>
      </c>
      <c r="U1451" s="25" t="str">
        <f t="shared" si="474"/>
        <v/>
      </c>
      <c r="V1451" s="24" t="str">
        <f>IF(AND(ISNUMBER(R1450),ISNUMBER(R1451)),V1450,IF(AND(R1450="",ISNUMBER(R1451)),IFERROR(LARGE($V$923:$V1450,1)+1,0),""))</f>
        <v/>
      </c>
      <c r="W1451" s="23" t="str">
        <f t="shared" si="486"/>
        <v/>
      </c>
      <c r="X1451" s="22" t="str">
        <f t="shared" si="487"/>
        <v/>
      </c>
      <c r="Y1451" s="236"/>
      <c r="Z1451" s="22"/>
      <c r="AA1451" s="22"/>
      <c r="AB1451" s="22" t="str">
        <f t="shared" ref="AB1451:AB1514" si="488">IF((IF(AND($P1450="",$P1451=1),($N$37*-1),0)+IF(AND($Q1450="",$Q1451=1),($N$38*-1),0)+IF(OR(AND(ISNUMBER($U1451),IF(ISNUMBER($U1452),$U1452,0)-IF(ISNUMBER($U1451),$U1451,0)=1),AND(ISNUMBER($U1451),$U1452="")),IF($U1451=1,$P$37,0),0))=0,"",(IF(AND($P1450="",$P1451=1),($N$37*-1),0)+IF(AND($Q1450="",$Q1451=1),($N$38*-1),0)+IF(OR(AND(ISNUMBER($U1451),IF(ISNUMBER($U1452),$U1452,0)-IF(ISNUMBER($U1451),$U1451,0)=1),AND(ISNUMBER($U1451),$U1452="")),IF($U1451=1,$P$37,0),0)))</f>
        <v/>
      </c>
      <c r="AC1451" s="22" t="str">
        <f t="shared" ref="AC1451:AC1514" si="489">IF(IF(OR(AND(ISNUMBER($U1451),IF(ISNUMBER($U1452),$U1452,0)-IF(ISNUMBER($U1451),$U1451,0)=1),AND(ISNUMBER($U1451),$U1452="")),VLOOKUP(IF($U1451&gt;$L$63,$L$63,$U1451),$L$52:$N$63,COLUMNS($L$52:$N$52),FALSE),0)=0,"",IF(OR(AND(ISNUMBER($U1451),IF(ISNUMBER($U1452),$U1452,0)-IF(ISNUMBER($U1451),$U1451,0)=1),AND(ISNUMBER($U1451),$U1452="")),VLOOKUP(IF($U1451&gt;$L$63,$L$63,$U1451),$L$52:$N$63,COLUMNS($L$52:$N$52),FALSE),0))</f>
        <v/>
      </c>
      <c r="AD1451" s="22" t="str">
        <f t="shared" si="475"/>
        <v/>
      </c>
      <c r="AE1451" s="22" t="str">
        <f t="shared" ref="AE1451:AE1514" si="490">$AC1451</f>
        <v/>
      </c>
      <c r="AF1451" s="22" t="str">
        <f t="shared" si="476"/>
        <v/>
      </c>
      <c r="AG1451" s="22" t="str">
        <f t="shared" si="477"/>
        <v/>
      </c>
      <c r="AH1451" s="22" t="str">
        <f t="shared" si="478"/>
        <v/>
      </c>
      <c r="AI1451" s="22" t="str">
        <f t="shared" si="479"/>
        <v/>
      </c>
      <c r="AJ1451" s="304" t="str">
        <f t="shared" si="480"/>
        <v/>
      </c>
      <c r="AK1451" s="140" t="str">
        <f t="shared" si="481"/>
        <v/>
      </c>
    </row>
    <row r="1452" spans="7:37" x14ac:dyDescent="0.25">
      <c r="G1452" s="235" t="str">
        <f t="shared" si="470"/>
        <v/>
      </c>
      <c r="H1452" s="4" t="str">
        <f t="shared" si="469"/>
        <v/>
      </c>
      <c r="I1452" s="11" t="str">
        <f t="shared" si="471"/>
        <v/>
      </c>
      <c r="K1452" s="30">
        <v>530</v>
      </c>
      <c r="L1452" s="29">
        <f t="shared" si="482"/>
        <v>11371.908376190921</v>
      </c>
      <c r="M1452" s="28" t="str">
        <f t="shared" si="472"/>
        <v/>
      </c>
      <c r="N1452" s="27" t="str">
        <f t="shared" si="483"/>
        <v/>
      </c>
      <c r="O1452" s="26" t="str">
        <f>IF(AND($Q1451=$O$38,IFERROR(LARGE($V$923:$V1451,1)&lt;$N$42,TRUE)),1,IF(AND(ISNUMBER($O1451),$O1451&lt;$N$32),$O1451+1,""))</f>
        <v/>
      </c>
      <c r="P1452" s="26" t="str">
        <f t="shared" si="484"/>
        <v/>
      </c>
      <c r="Q1452" s="26" t="str">
        <f t="shared" si="473"/>
        <v/>
      </c>
      <c r="R1452" s="24" t="str">
        <f t="shared" si="485"/>
        <v/>
      </c>
      <c r="S1452" s="180">
        <f t="shared" si="468"/>
        <v>8</v>
      </c>
      <c r="T1452" s="29">
        <f>SUM($AC$923:$AC1452)</f>
        <v>49500</v>
      </c>
      <c r="U1452" s="25" t="str">
        <f t="shared" si="474"/>
        <v/>
      </c>
      <c r="V1452" s="24" t="str">
        <f>IF(AND(ISNUMBER(R1451),ISNUMBER(R1452)),V1451,IF(AND(R1451="",ISNUMBER(R1452)),IFERROR(LARGE($V$923:$V1451,1)+1,0),""))</f>
        <v/>
      </c>
      <c r="W1452" s="23" t="str">
        <f t="shared" si="486"/>
        <v/>
      </c>
      <c r="X1452" s="22" t="str">
        <f t="shared" si="487"/>
        <v/>
      </c>
      <c r="Y1452" s="236"/>
      <c r="Z1452" s="22"/>
      <c r="AA1452" s="22"/>
      <c r="AB1452" s="22" t="str">
        <f t="shared" si="488"/>
        <v/>
      </c>
      <c r="AC1452" s="22" t="str">
        <f t="shared" si="489"/>
        <v/>
      </c>
      <c r="AD1452" s="22" t="str">
        <f t="shared" si="475"/>
        <v/>
      </c>
      <c r="AE1452" s="22" t="str">
        <f t="shared" si="490"/>
        <v/>
      </c>
      <c r="AF1452" s="22" t="str">
        <f t="shared" si="476"/>
        <v/>
      </c>
      <c r="AG1452" s="22" t="str">
        <f t="shared" si="477"/>
        <v/>
      </c>
      <c r="AH1452" s="22" t="str">
        <f t="shared" si="478"/>
        <v/>
      </c>
      <c r="AI1452" s="22" t="str">
        <f t="shared" si="479"/>
        <v/>
      </c>
      <c r="AJ1452" s="304" t="str">
        <f t="shared" si="480"/>
        <v/>
      </c>
      <c r="AK1452" s="140" t="str">
        <f t="shared" si="481"/>
        <v/>
      </c>
    </row>
    <row r="1453" spans="7:37" x14ac:dyDescent="0.25">
      <c r="G1453" s="235" t="str">
        <f t="shared" si="470"/>
        <v/>
      </c>
      <c r="H1453" s="4" t="str">
        <f t="shared" si="469"/>
        <v/>
      </c>
      <c r="I1453" s="11" t="str">
        <f t="shared" si="471"/>
        <v/>
      </c>
      <c r="K1453" s="30">
        <v>531</v>
      </c>
      <c r="L1453" s="29">
        <f t="shared" si="482"/>
        <v>11371.908376190921</v>
      </c>
      <c r="M1453" s="28" t="str">
        <f t="shared" si="472"/>
        <v/>
      </c>
      <c r="N1453" s="27" t="str">
        <f t="shared" si="483"/>
        <v/>
      </c>
      <c r="O1453" s="26" t="str">
        <f>IF(AND($Q1452=$O$38,IFERROR(LARGE($V$923:$V1452,1)&lt;$N$42,TRUE)),1,IF(AND(ISNUMBER($O1452),$O1452&lt;$N$32),$O1452+1,""))</f>
        <v/>
      </c>
      <c r="P1453" s="26" t="str">
        <f t="shared" si="484"/>
        <v/>
      </c>
      <c r="Q1453" s="26" t="str">
        <f t="shared" si="473"/>
        <v/>
      </c>
      <c r="R1453" s="24" t="str">
        <f t="shared" si="485"/>
        <v/>
      </c>
      <c r="S1453" s="180">
        <f t="shared" si="468"/>
        <v>8</v>
      </c>
      <c r="T1453" s="29">
        <f>SUM($AC$923:$AC1453)</f>
        <v>49500</v>
      </c>
      <c r="U1453" s="25" t="str">
        <f t="shared" si="474"/>
        <v/>
      </c>
      <c r="V1453" s="24" t="str">
        <f>IF(AND(ISNUMBER(R1452),ISNUMBER(R1453)),V1452,IF(AND(R1452="",ISNUMBER(R1453)),IFERROR(LARGE($V$923:$V1452,1)+1,0),""))</f>
        <v/>
      </c>
      <c r="W1453" s="23" t="str">
        <f t="shared" si="486"/>
        <v/>
      </c>
      <c r="X1453" s="22" t="str">
        <f t="shared" si="487"/>
        <v/>
      </c>
      <c r="Y1453" s="236"/>
      <c r="Z1453" s="22"/>
      <c r="AA1453" s="22"/>
      <c r="AB1453" s="22" t="str">
        <f t="shared" si="488"/>
        <v/>
      </c>
      <c r="AC1453" s="22" t="str">
        <f t="shared" si="489"/>
        <v/>
      </c>
      <c r="AD1453" s="22" t="str">
        <f t="shared" si="475"/>
        <v/>
      </c>
      <c r="AE1453" s="22" t="str">
        <f t="shared" si="490"/>
        <v/>
      </c>
      <c r="AF1453" s="22" t="str">
        <f t="shared" si="476"/>
        <v/>
      </c>
      <c r="AG1453" s="22" t="str">
        <f t="shared" si="477"/>
        <v/>
      </c>
      <c r="AH1453" s="22" t="str">
        <f t="shared" si="478"/>
        <v/>
      </c>
      <c r="AI1453" s="22" t="str">
        <f t="shared" si="479"/>
        <v/>
      </c>
      <c r="AJ1453" s="304" t="str">
        <f t="shared" si="480"/>
        <v/>
      </c>
      <c r="AK1453" s="140" t="str">
        <f t="shared" si="481"/>
        <v/>
      </c>
    </row>
    <row r="1454" spans="7:37" x14ac:dyDescent="0.25">
      <c r="G1454" s="235" t="str">
        <f t="shared" si="470"/>
        <v/>
      </c>
      <c r="H1454" s="4" t="str">
        <f t="shared" si="469"/>
        <v/>
      </c>
      <c r="I1454" s="11" t="str">
        <f t="shared" si="471"/>
        <v/>
      </c>
      <c r="K1454" s="30">
        <v>532</v>
      </c>
      <c r="L1454" s="29">
        <f t="shared" si="482"/>
        <v>11371.908376190921</v>
      </c>
      <c r="M1454" s="28" t="str">
        <f t="shared" si="472"/>
        <v/>
      </c>
      <c r="N1454" s="27" t="str">
        <f t="shared" si="483"/>
        <v/>
      </c>
      <c r="O1454" s="26" t="str">
        <f>IF(AND($Q1453=$O$38,IFERROR(LARGE($V$923:$V1453,1)&lt;$N$42,TRUE)),1,IF(AND(ISNUMBER($O1453),$O1453&lt;$N$32),$O1453+1,""))</f>
        <v/>
      </c>
      <c r="P1454" s="26" t="str">
        <f t="shared" si="484"/>
        <v/>
      </c>
      <c r="Q1454" s="26" t="str">
        <f t="shared" si="473"/>
        <v/>
      </c>
      <c r="R1454" s="24" t="str">
        <f t="shared" si="485"/>
        <v/>
      </c>
      <c r="S1454" s="180">
        <f t="shared" si="468"/>
        <v>8</v>
      </c>
      <c r="T1454" s="29">
        <f>SUM($AC$923:$AC1454)</f>
        <v>49500</v>
      </c>
      <c r="U1454" s="25" t="str">
        <f t="shared" si="474"/>
        <v/>
      </c>
      <c r="V1454" s="24" t="str">
        <f>IF(AND(ISNUMBER(R1453),ISNUMBER(R1454)),V1453,IF(AND(R1453="",ISNUMBER(R1454)),IFERROR(LARGE($V$923:$V1453,1)+1,0),""))</f>
        <v/>
      </c>
      <c r="W1454" s="23" t="str">
        <f t="shared" si="486"/>
        <v/>
      </c>
      <c r="X1454" s="22" t="str">
        <f t="shared" si="487"/>
        <v/>
      </c>
      <c r="Y1454" s="236"/>
      <c r="Z1454" s="22"/>
      <c r="AA1454" s="22"/>
      <c r="AB1454" s="22" t="str">
        <f t="shared" si="488"/>
        <v/>
      </c>
      <c r="AC1454" s="22" t="str">
        <f t="shared" si="489"/>
        <v/>
      </c>
      <c r="AD1454" s="22" t="str">
        <f t="shared" si="475"/>
        <v/>
      </c>
      <c r="AE1454" s="22" t="str">
        <f t="shared" si="490"/>
        <v/>
      </c>
      <c r="AF1454" s="22" t="str">
        <f t="shared" si="476"/>
        <v/>
      </c>
      <c r="AG1454" s="22" t="str">
        <f t="shared" si="477"/>
        <v/>
      </c>
      <c r="AH1454" s="22" t="str">
        <f t="shared" si="478"/>
        <v/>
      </c>
      <c r="AI1454" s="22" t="str">
        <f t="shared" si="479"/>
        <v/>
      </c>
      <c r="AJ1454" s="304" t="str">
        <f t="shared" si="480"/>
        <v/>
      </c>
      <c r="AK1454" s="140" t="str">
        <f t="shared" si="481"/>
        <v/>
      </c>
    </row>
    <row r="1455" spans="7:37" x14ac:dyDescent="0.25">
      <c r="G1455" s="235" t="str">
        <f t="shared" si="470"/>
        <v/>
      </c>
      <c r="H1455" s="4" t="str">
        <f t="shared" si="469"/>
        <v/>
      </c>
      <c r="I1455" s="11" t="str">
        <f t="shared" si="471"/>
        <v/>
      </c>
      <c r="K1455" s="30">
        <v>533</v>
      </c>
      <c r="L1455" s="29">
        <f t="shared" si="482"/>
        <v>11371.908376190921</v>
      </c>
      <c r="M1455" s="28" t="str">
        <f t="shared" si="472"/>
        <v/>
      </c>
      <c r="N1455" s="27" t="str">
        <f t="shared" si="483"/>
        <v/>
      </c>
      <c r="O1455" s="26" t="str">
        <f>IF(AND($Q1454=$O$38,IFERROR(LARGE($V$923:$V1454,1)&lt;$N$42,TRUE)),1,IF(AND(ISNUMBER($O1454),$O1454&lt;$N$32),$O1454+1,""))</f>
        <v/>
      </c>
      <c r="P1455" s="26" t="str">
        <f t="shared" si="484"/>
        <v/>
      </c>
      <c r="Q1455" s="26" t="str">
        <f t="shared" si="473"/>
        <v/>
      </c>
      <c r="R1455" s="24" t="str">
        <f t="shared" si="485"/>
        <v/>
      </c>
      <c r="S1455" s="180">
        <f t="shared" si="468"/>
        <v>8</v>
      </c>
      <c r="T1455" s="29">
        <f>SUM($AC$923:$AC1455)</f>
        <v>49500</v>
      </c>
      <c r="U1455" s="25" t="str">
        <f t="shared" si="474"/>
        <v/>
      </c>
      <c r="V1455" s="24" t="str">
        <f>IF(AND(ISNUMBER(R1454),ISNUMBER(R1455)),V1454,IF(AND(R1454="",ISNUMBER(R1455)),IFERROR(LARGE($V$923:$V1454,1)+1,0),""))</f>
        <v/>
      </c>
      <c r="W1455" s="23" t="str">
        <f t="shared" si="486"/>
        <v/>
      </c>
      <c r="X1455" s="22" t="str">
        <f t="shared" si="487"/>
        <v/>
      </c>
      <c r="Y1455" s="236"/>
      <c r="Z1455" s="22"/>
      <c r="AA1455" s="22"/>
      <c r="AB1455" s="22" t="str">
        <f t="shared" si="488"/>
        <v/>
      </c>
      <c r="AC1455" s="22" t="str">
        <f t="shared" si="489"/>
        <v/>
      </c>
      <c r="AD1455" s="22" t="str">
        <f t="shared" si="475"/>
        <v/>
      </c>
      <c r="AE1455" s="22" t="str">
        <f t="shared" si="490"/>
        <v/>
      </c>
      <c r="AF1455" s="22" t="str">
        <f t="shared" si="476"/>
        <v/>
      </c>
      <c r="AG1455" s="22" t="str">
        <f t="shared" si="477"/>
        <v/>
      </c>
      <c r="AH1455" s="22" t="str">
        <f t="shared" si="478"/>
        <v/>
      </c>
      <c r="AI1455" s="22" t="str">
        <f t="shared" si="479"/>
        <v/>
      </c>
      <c r="AJ1455" s="304" t="str">
        <f t="shared" si="480"/>
        <v/>
      </c>
      <c r="AK1455" s="140" t="str">
        <f t="shared" si="481"/>
        <v/>
      </c>
    </row>
    <row r="1456" spans="7:37" x14ac:dyDescent="0.25">
      <c r="G1456" s="235" t="str">
        <f t="shared" si="470"/>
        <v/>
      </c>
      <c r="H1456" s="4" t="str">
        <f t="shared" si="469"/>
        <v/>
      </c>
      <c r="I1456" s="11" t="str">
        <f t="shared" si="471"/>
        <v/>
      </c>
      <c r="K1456" s="30">
        <v>534</v>
      </c>
      <c r="L1456" s="29">
        <f t="shared" si="482"/>
        <v>11371.908376190921</v>
      </c>
      <c r="M1456" s="28" t="str">
        <f t="shared" si="472"/>
        <v/>
      </c>
      <c r="N1456" s="27" t="str">
        <f t="shared" si="483"/>
        <v/>
      </c>
      <c r="O1456" s="26" t="str">
        <f>IF(AND($Q1455=$O$38,IFERROR(LARGE($V$923:$V1455,1)&lt;$N$42,TRUE)),1,IF(AND(ISNUMBER($O1455),$O1455&lt;$N$32),$O1455+1,""))</f>
        <v/>
      </c>
      <c r="P1456" s="26" t="str">
        <f t="shared" si="484"/>
        <v/>
      </c>
      <c r="Q1456" s="26" t="str">
        <f t="shared" si="473"/>
        <v/>
      </c>
      <c r="R1456" s="24" t="str">
        <f t="shared" si="485"/>
        <v/>
      </c>
      <c r="S1456" s="180">
        <f t="shared" si="468"/>
        <v>8</v>
      </c>
      <c r="T1456" s="29">
        <f>SUM($AC$923:$AC1456)</f>
        <v>49500</v>
      </c>
      <c r="U1456" s="25" t="str">
        <f t="shared" si="474"/>
        <v/>
      </c>
      <c r="V1456" s="24" t="str">
        <f>IF(AND(ISNUMBER(R1455),ISNUMBER(R1456)),V1455,IF(AND(R1455="",ISNUMBER(R1456)),IFERROR(LARGE($V$923:$V1455,1)+1,0),""))</f>
        <v/>
      </c>
      <c r="W1456" s="23" t="str">
        <f t="shared" si="486"/>
        <v/>
      </c>
      <c r="X1456" s="22" t="str">
        <f t="shared" si="487"/>
        <v/>
      </c>
      <c r="Y1456" s="236"/>
      <c r="Z1456" s="22"/>
      <c r="AA1456" s="22"/>
      <c r="AB1456" s="22" t="str">
        <f t="shared" si="488"/>
        <v/>
      </c>
      <c r="AC1456" s="22" t="str">
        <f t="shared" si="489"/>
        <v/>
      </c>
      <c r="AD1456" s="22" t="str">
        <f t="shared" si="475"/>
        <v/>
      </c>
      <c r="AE1456" s="22" t="str">
        <f t="shared" si="490"/>
        <v/>
      </c>
      <c r="AF1456" s="22" t="str">
        <f t="shared" si="476"/>
        <v/>
      </c>
      <c r="AG1456" s="22" t="str">
        <f t="shared" si="477"/>
        <v/>
      </c>
      <c r="AH1456" s="22" t="str">
        <f t="shared" si="478"/>
        <v/>
      </c>
      <c r="AI1456" s="22" t="str">
        <f t="shared" si="479"/>
        <v/>
      </c>
      <c r="AJ1456" s="304" t="str">
        <f t="shared" si="480"/>
        <v/>
      </c>
      <c r="AK1456" s="140" t="str">
        <f t="shared" si="481"/>
        <v/>
      </c>
    </row>
    <row r="1457" spans="7:37" x14ac:dyDescent="0.25">
      <c r="G1457" s="235" t="str">
        <f t="shared" si="470"/>
        <v/>
      </c>
      <c r="H1457" s="4" t="str">
        <f t="shared" si="469"/>
        <v/>
      </c>
      <c r="I1457" s="11" t="str">
        <f t="shared" si="471"/>
        <v/>
      </c>
      <c r="K1457" s="30">
        <v>535</v>
      </c>
      <c r="L1457" s="29">
        <f t="shared" si="482"/>
        <v>11371.908376190921</v>
      </c>
      <c r="M1457" s="28" t="str">
        <f t="shared" si="472"/>
        <v/>
      </c>
      <c r="N1457" s="27" t="str">
        <f t="shared" si="483"/>
        <v/>
      </c>
      <c r="O1457" s="26" t="str">
        <f>IF(AND($Q1456=$O$38,IFERROR(LARGE($V$923:$V1456,1)&lt;$N$42,TRUE)),1,IF(AND(ISNUMBER($O1456),$O1456&lt;$N$32),$O1456+1,""))</f>
        <v/>
      </c>
      <c r="P1457" s="26" t="str">
        <f t="shared" si="484"/>
        <v/>
      </c>
      <c r="Q1457" s="26" t="str">
        <f t="shared" si="473"/>
        <v/>
      </c>
      <c r="R1457" s="24" t="str">
        <f t="shared" si="485"/>
        <v/>
      </c>
      <c r="S1457" s="180">
        <f t="shared" si="468"/>
        <v>8</v>
      </c>
      <c r="T1457" s="29">
        <f>SUM($AC$923:$AC1457)</f>
        <v>49500</v>
      </c>
      <c r="U1457" s="25" t="str">
        <f t="shared" si="474"/>
        <v/>
      </c>
      <c r="V1457" s="24" t="str">
        <f>IF(AND(ISNUMBER(R1456),ISNUMBER(R1457)),V1456,IF(AND(R1456="",ISNUMBER(R1457)),IFERROR(LARGE($V$923:$V1456,1)+1,0),""))</f>
        <v/>
      </c>
      <c r="W1457" s="23" t="str">
        <f t="shared" si="486"/>
        <v/>
      </c>
      <c r="X1457" s="22" t="str">
        <f t="shared" si="487"/>
        <v/>
      </c>
      <c r="Y1457" s="236"/>
      <c r="Z1457" s="22"/>
      <c r="AA1457" s="22"/>
      <c r="AB1457" s="22" t="str">
        <f t="shared" si="488"/>
        <v/>
      </c>
      <c r="AC1457" s="22" t="str">
        <f t="shared" si="489"/>
        <v/>
      </c>
      <c r="AD1457" s="22" t="str">
        <f t="shared" si="475"/>
        <v/>
      </c>
      <c r="AE1457" s="22" t="str">
        <f t="shared" si="490"/>
        <v/>
      </c>
      <c r="AF1457" s="22" t="str">
        <f t="shared" si="476"/>
        <v/>
      </c>
      <c r="AG1457" s="22" t="str">
        <f t="shared" si="477"/>
        <v/>
      </c>
      <c r="AH1457" s="22" t="str">
        <f t="shared" si="478"/>
        <v/>
      </c>
      <c r="AI1457" s="22" t="str">
        <f t="shared" si="479"/>
        <v/>
      </c>
      <c r="AJ1457" s="304" t="str">
        <f t="shared" si="480"/>
        <v/>
      </c>
      <c r="AK1457" s="140" t="str">
        <f t="shared" si="481"/>
        <v/>
      </c>
    </row>
    <row r="1458" spans="7:37" x14ac:dyDescent="0.25">
      <c r="G1458" s="235" t="str">
        <f t="shared" si="470"/>
        <v/>
      </c>
      <c r="H1458" s="4" t="str">
        <f t="shared" si="469"/>
        <v/>
      </c>
      <c r="I1458" s="11" t="str">
        <f t="shared" si="471"/>
        <v/>
      </c>
      <c r="K1458" s="30">
        <v>536</v>
      </c>
      <c r="L1458" s="29">
        <f t="shared" si="482"/>
        <v>11371.908376190921</v>
      </c>
      <c r="M1458" s="28" t="str">
        <f t="shared" si="472"/>
        <v/>
      </c>
      <c r="N1458" s="27" t="str">
        <f t="shared" si="483"/>
        <v/>
      </c>
      <c r="O1458" s="26" t="str">
        <f>IF(AND($Q1457=$O$38,IFERROR(LARGE($V$923:$V1457,1)&lt;$N$42,TRUE)),1,IF(AND(ISNUMBER($O1457),$O1457&lt;$N$32),$O1457+1,""))</f>
        <v/>
      </c>
      <c r="P1458" s="26" t="str">
        <f t="shared" si="484"/>
        <v/>
      </c>
      <c r="Q1458" s="26" t="str">
        <f t="shared" si="473"/>
        <v/>
      </c>
      <c r="R1458" s="24" t="str">
        <f t="shared" si="485"/>
        <v/>
      </c>
      <c r="S1458" s="180">
        <f t="shared" ref="S1458:S1521" si="491">IF($Q1458=1,ROUNDDOWN($S1457,0),IF($O1458=1,ROUNDDOWN($S1457,0)+1,IF($R1458=1,$S1457+0.01,IF(ISNUMBER($U1458),IF(AND($U1458&gt;1,($U1458-$U1457)=1),$S1457+0.01,$S1457),$S1457))))</f>
        <v>8</v>
      </c>
      <c r="T1458" s="29">
        <f>SUM($AC$923:$AC1458)</f>
        <v>49500</v>
      </c>
      <c r="U1458" s="25" t="str">
        <f t="shared" si="474"/>
        <v/>
      </c>
      <c r="V1458" s="24" t="str">
        <f>IF(AND(ISNUMBER(R1457),ISNUMBER(R1458)),V1457,IF(AND(R1457="",ISNUMBER(R1458)),IFERROR(LARGE($V$923:$V1457,1)+1,0),""))</f>
        <v/>
      </c>
      <c r="W1458" s="23" t="str">
        <f t="shared" si="486"/>
        <v/>
      </c>
      <c r="X1458" s="22" t="str">
        <f t="shared" si="487"/>
        <v/>
      </c>
      <c r="Y1458" s="236"/>
      <c r="Z1458" s="22"/>
      <c r="AA1458" s="22"/>
      <c r="AB1458" s="22" t="str">
        <f t="shared" si="488"/>
        <v/>
      </c>
      <c r="AC1458" s="22" t="str">
        <f t="shared" si="489"/>
        <v/>
      </c>
      <c r="AD1458" s="22" t="str">
        <f t="shared" si="475"/>
        <v/>
      </c>
      <c r="AE1458" s="22" t="str">
        <f t="shared" si="490"/>
        <v/>
      </c>
      <c r="AF1458" s="22" t="str">
        <f t="shared" si="476"/>
        <v/>
      </c>
      <c r="AG1458" s="22" t="str">
        <f t="shared" si="477"/>
        <v/>
      </c>
      <c r="AH1458" s="22" t="str">
        <f t="shared" si="478"/>
        <v/>
      </c>
      <c r="AI1458" s="22" t="str">
        <f t="shared" si="479"/>
        <v/>
      </c>
      <c r="AJ1458" s="304" t="str">
        <f t="shared" si="480"/>
        <v/>
      </c>
      <c r="AK1458" s="140" t="str">
        <f t="shared" si="481"/>
        <v/>
      </c>
    </row>
    <row r="1459" spans="7:37" x14ac:dyDescent="0.25">
      <c r="G1459" s="235" t="str">
        <f t="shared" si="470"/>
        <v/>
      </c>
      <c r="H1459" s="4" t="str">
        <f t="shared" si="469"/>
        <v/>
      </c>
      <c r="I1459" s="11" t="str">
        <f t="shared" si="471"/>
        <v/>
      </c>
      <c r="K1459" s="30">
        <v>537</v>
      </c>
      <c r="L1459" s="29">
        <f t="shared" si="482"/>
        <v>11371.908376190921</v>
      </c>
      <c r="M1459" s="28" t="str">
        <f t="shared" si="472"/>
        <v/>
      </c>
      <c r="N1459" s="27" t="str">
        <f t="shared" si="483"/>
        <v/>
      </c>
      <c r="O1459" s="26" t="str">
        <f>IF(AND($Q1458=$O$38,IFERROR(LARGE($V$923:$V1458,1)&lt;$N$42,TRUE)),1,IF(AND(ISNUMBER($O1458),$O1458&lt;$N$32),$O1458+1,""))</f>
        <v/>
      </c>
      <c r="P1459" s="26" t="str">
        <f t="shared" si="484"/>
        <v/>
      </c>
      <c r="Q1459" s="26" t="str">
        <f t="shared" si="473"/>
        <v/>
      </c>
      <c r="R1459" s="24" t="str">
        <f t="shared" si="485"/>
        <v/>
      </c>
      <c r="S1459" s="180">
        <f t="shared" si="491"/>
        <v>8</v>
      </c>
      <c r="T1459" s="29">
        <f>SUM($AC$923:$AC1459)</f>
        <v>49500</v>
      </c>
      <c r="U1459" s="25" t="str">
        <f t="shared" si="474"/>
        <v/>
      </c>
      <c r="V1459" s="24" t="str">
        <f>IF(AND(ISNUMBER(R1458),ISNUMBER(R1459)),V1458,IF(AND(R1458="",ISNUMBER(R1459)),IFERROR(LARGE($V$923:$V1458,1)+1,0),""))</f>
        <v/>
      </c>
      <c r="W1459" s="23" t="str">
        <f t="shared" si="486"/>
        <v/>
      </c>
      <c r="X1459" s="22" t="str">
        <f t="shared" si="487"/>
        <v/>
      </c>
      <c r="Y1459" s="236"/>
      <c r="Z1459" s="22"/>
      <c r="AA1459" s="22"/>
      <c r="AB1459" s="22" t="str">
        <f t="shared" si="488"/>
        <v/>
      </c>
      <c r="AC1459" s="22" t="str">
        <f t="shared" si="489"/>
        <v/>
      </c>
      <c r="AD1459" s="22" t="str">
        <f t="shared" si="475"/>
        <v/>
      </c>
      <c r="AE1459" s="22" t="str">
        <f t="shared" si="490"/>
        <v/>
      </c>
      <c r="AF1459" s="22" t="str">
        <f t="shared" si="476"/>
        <v/>
      </c>
      <c r="AG1459" s="22" t="str">
        <f t="shared" si="477"/>
        <v/>
      </c>
      <c r="AH1459" s="22" t="str">
        <f t="shared" si="478"/>
        <v/>
      </c>
      <c r="AI1459" s="22" t="str">
        <f t="shared" si="479"/>
        <v/>
      </c>
      <c r="AJ1459" s="304" t="str">
        <f t="shared" si="480"/>
        <v/>
      </c>
      <c r="AK1459" s="140" t="str">
        <f t="shared" si="481"/>
        <v/>
      </c>
    </row>
    <row r="1460" spans="7:37" x14ac:dyDescent="0.25">
      <c r="G1460" s="235" t="str">
        <f t="shared" si="470"/>
        <v/>
      </c>
      <c r="H1460" s="4" t="str">
        <f t="shared" si="469"/>
        <v/>
      </c>
      <c r="I1460" s="11" t="str">
        <f t="shared" si="471"/>
        <v/>
      </c>
      <c r="K1460" s="30">
        <v>538</v>
      </c>
      <c r="L1460" s="29">
        <f t="shared" si="482"/>
        <v>11371.908376190921</v>
      </c>
      <c r="M1460" s="28" t="str">
        <f t="shared" si="472"/>
        <v/>
      </c>
      <c r="N1460" s="27" t="str">
        <f t="shared" si="483"/>
        <v/>
      </c>
      <c r="O1460" s="26" t="str">
        <f>IF(AND($Q1459=$O$38,IFERROR(LARGE($V$923:$V1459,1)&lt;$N$42,TRUE)),1,IF(AND(ISNUMBER($O1459),$O1459&lt;$N$32),$O1459+1,""))</f>
        <v/>
      </c>
      <c r="P1460" s="26" t="str">
        <f t="shared" si="484"/>
        <v/>
      </c>
      <c r="Q1460" s="26" t="str">
        <f t="shared" si="473"/>
        <v/>
      </c>
      <c r="R1460" s="24" t="str">
        <f t="shared" si="485"/>
        <v/>
      </c>
      <c r="S1460" s="180">
        <f t="shared" si="491"/>
        <v>8</v>
      </c>
      <c r="T1460" s="29">
        <f>SUM($AC$923:$AC1460)</f>
        <v>49500</v>
      </c>
      <c r="U1460" s="25" t="str">
        <f t="shared" si="474"/>
        <v/>
      </c>
      <c r="V1460" s="24" t="str">
        <f>IF(AND(ISNUMBER(R1459),ISNUMBER(R1460)),V1459,IF(AND(R1459="",ISNUMBER(R1460)),IFERROR(LARGE($V$923:$V1459,1)+1,0),""))</f>
        <v/>
      </c>
      <c r="W1460" s="23" t="str">
        <f t="shared" si="486"/>
        <v/>
      </c>
      <c r="X1460" s="22" t="str">
        <f t="shared" si="487"/>
        <v/>
      </c>
      <c r="Y1460" s="236"/>
      <c r="Z1460" s="22"/>
      <c r="AA1460" s="22"/>
      <c r="AB1460" s="22" t="str">
        <f t="shared" si="488"/>
        <v/>
      </c>
      <c r="AC1460" s="22" t="str">
        <f t="shared" si="489"/>
        <v/>
      </c>
      <c r="AD1460" s="22" t="str">
        <f t="shared" si="475"/>
        <v/>
      </c>
      <c r="AE1460" s="22" t="str">
        <f t="shared" si="490"/>
        <v/>
      </c>
      <c r="AF1460" s="22" t="str">
        <f t="shared" si="476"/>
        <v/>
      </c>
      <c r="AG1460" s="22" t="str">
        <f t="shared" si="477"/>
        <v/>
      </c>
      <c r="AH1460" s="22" t="str">
        <f t="shared" si="478"/>
        <v/>
      </c>
      <c r="AI1460" s="22" t="str">
        <f t="shared" si="479"/>
        <v/>
      </c>
      <c r="AJ1460" s="304" t="str">
        <f t="shared" si="480"/>
        <v/>
      </c>
      <c r="AK1460" s="140" t="str">
        <f t="shared" si="481"/>
        <v/>
      </c>
    </row>
    <row r="1461" spans="7:37" x14ac:dyDescent="0.25">
      <c r="G1461" s="235" t="str">
        <f t="shared" si="470"/>
        <v/>
      </c>
      <c r="H1461" s="4" t="str">
        <f t="shared" si="469"/>
        <v/>
      </c>
      <c r="I1461" s="11" t="str">
        <f t="shared" si="471"/>
        <v/>
      </c>
      <c r="K1461" s="30">
        <v>539</v>
      </c>
      <c r="L1461" s="29">
        <f t="shared" si="482"/>
        <v>11371.908376190921</v>
      </c>
      <c r="M1461" s="28" t="str">
        <f t="shared" si="472"/>
        <v/>
      </c>
      <c r="N1461" s="27" t="str">
        <f t="shared" si="483"/>
        <v/>
      </c>
      <c r="O1461" s="26" t="str">
        <f>IF(AND($Q1460=$O$38,IFERROR(LARGE($V$923:$V1460,1)&lt;$N$42,TRUE)),1,IF(AND(ISNUMBER($O1460),$O1460&lt;$N$32),$O1460+1,""))</f>
        <v/>
      </c>
      <c r="P1461" s="26" t="str">
        <f t="shared" si="484"/>
        <v/>
      </c>
      <c r="Q1461" s="26" t="str">
        <f t="shared" si="473"/>
        <v/>
      </c>
      <c r="R1461" s="24" t="str">
        <f t="shared" si="485"/>
        <v/>
      </c>
      <c r="S1461" s="180">
        <f t="shared" si="491"/>
        <v>8</v>
      </c>
      <c r="T1461" s="29">
        <f>SUM($AC$923:$AC1461)</f>
        <v>49500</v>
      </c>
      <c r="U1461" s="25" t="str">
        <f t="shared" si="474"/>
        <v/>
      </c>
      <c r="V1461" s="24" t="str">
        <f>IF(AND(ISNUMBER(R1460),ISNUMBER(R1461)),V1460,IF(AND(R1460="",ISNUMBER(R1461)),IFERROR(LARGE($V$923:$V1460,1)+1,0),""))</f>
        <v/>
      </c>
      <c r="W1461" s="23" t="str">
        <f t="shared" si="486"/>
        <v/>
      </c>
      <c r="X1461" s="22" t="str">
        <f t="shared" si="487"/>
        <v/>
      </c>
      <c r="Y1461" s="236"/>
      <c r="Z1461" s="22"/>
      <c r="AA1461" s="22"/>
      <c r="AB1461" s="22" t="str">
        <f t="shared" si="488"/>
        <v/>
      </c>
      <c r="AC1461" s="22" t="str">
        <f t="shared" si="489"/>
        <v/>
      </c>
      <c r="AD1461" s="22" t="str">
        <f t="shared" si="475"/>
        <v/>
      </c>
      <c r="AE1461" s="22" t="str">
        <f t="shared" si="490"/>
        <v/>
      </c>
      <c r="AF1461" s="22" t="str">
        <f t="shared" si="476"/>
        <v/>
      </c>
      <c r="AG1461" s="22" t="str">
        <f t="shared" si="477"/>
        <v/>
      </c>
      <c r="AH1461" s="22" t="str">
        <f t="shared" si="478"/>
        <v/>
      </c>
      <c r="AI1461" s="22" t="str">
        <f t="shared" si="479"/>
        <v/>
      </c>
      <c r="AJ1461" s="304" t="str">
        <f t="shared" si="480"/>
        <v/>
      </c>
      <c r="AK1461" s="140" t="str">
        <f t="shared" si="481"/>
        <v/>
      </c>
    </row>
    <row r="1462" spans="7:37" x14ac:dyDescent="0.25">
      <c r="G1462" s="235" t="str">
        <f t="shared" si="470"/>
        <v/>
      </c>
      <c r="H1462" s="4" t="str">
        <f t="shared" si="469"/>
        <v/>
      </c>
      <c r="I1462" s="11" t="str">
        <f t="shared" si="471"/>
        <v/>
      </c>
      <c r="K1462" s="30">
        <v>540</v>
      </c>
      <c r="L1462" s="29">
        <f t="shared" si="482"/>
        <v>11371.908376190921</v>
      </c>
      <c r="M1462" s="28" t="str">
        <f t="shared" si="472"/>
        <v/>
      </c>
      <c r="N1462" s="27" t="str">
        <f t="shared" si="483"/>
        <v/>
      </c>
      <c r="O1462" s="26" t="str">
        <f>IF(AND($Q1461=$O$38,IFERROR(LARGE($V$923:$V1461,1)&lt;$N$42,TRUE)),1,IF(AND(ISNUMBER($O1461),$O1461&lt;$N$32),$O1461+1,""))</f>
        <v/>
      </c>
      <c r="P1462" s="26" t="str">
        <f t="shared" si="484"/>
        <v/>
      </c>
      <c r="Q1462" s="26" t="str">
        <f t="shared" si="473"/>
        <v/>
      </c>
      <c r="R1462" s="24" t="str">
        <f t="shared" si="485"/>
        <v/>
      </c>
      <c r="S1462" s="180">
        <f t="shared" si="491"/>
        <v>8</v>
      </c>
      <c r="T1462" s="29">
        <f>SUM($AC$923:$AC1462)</f>
        <v>49500</v>
      </c>
      <c r="U1462" s="25" t="str">
        <f t="shared" si="474"/>
        <v/>
      </c>
      <c r="V1462" s="24" t="str">
        <f>IF(AND(ISNUMBER(R1461),ISNUMBER(R1462)),V1461,IF(AND(R1461="",ISNUMBER(R1462)),IFERROR(LARGE($V$923:$V1461,1)+1,0),""))</f>
        <v/>
      </c>
      <c r="W1462" s="23" t="str">
        <f t="shared" si="486"/>
        <v/>
      </c>
      <c r="X1462" s="22" t="str">
        <f t="shared" si="487"/>
        <v/>
      </c>
      <c r="Y1462" s="236"/>
      <c r="Z1462" s="22"/>
      <c r="AA1462" s="22"/>
      <c r="AB1462" s="22" t="str">
        <f t="shared" si="488"/>
        <v/>
      </c>
      <c r="AC1462" s="22" t="str">
        <f t="shared" si="489"/>
        <v/>
      </c>
      <c r="AD1462" s="22" t="str">
        <f t="shared" si="475"/>
        <v/>
      </c>
      <c r="AE1462" s="22" t="str">
        <f t="shared" si="490"/>
        <v/>
      </c>
      <c r="AF1462" s="22" t="str">
        <f t="shared" si="476"/>
        <v/>
      </c>
      <c r="AG1462" s="22" t="str">
        <f t="shared" si="477"/>
        <v/>
      </c>
      <c r="AH1462" s="22" t="str">
        <f t="shared" si="478"/>
        <v/>
      </c>
      <c r="AI1462" s="22" t="str">
        <f t="shared" si="479"/>
        <v/>
      </c>
      <c r="AJ1462" s="304" t="str">
        <f t="shared" si="480"/>
        <v/>
      </c>
      <c r="AK1462" s="140" t="str">
        <f t="shared" si="481"/>
        <v/>
      </c>
    </row>
    <row r="1463" spans="7:37" x14ac:dyDescent="0.25">
      <c r="G1463" s="235" t="str">
        <f t="shared" si="470"/>
        <v/>
      </c>
      <c r="H1463" s="4" t="str">
        <f t="shared" si="469"/>
        <v/>
      </c>
      <c r="I1463" s="11" t="str">
        <f t="shared" si="471"/>
        <v/>
      </c>
      <c r="K1463" s="30">
        <v>541</v>
      </c>
      <c r="L1463" s="29">
        <f t="shared" si="482"/>
        <v>11371.908376190921</v>
      </c>
      <c r="M1463" s="28" t="str">
        <f t="shared" si="472"/>
        <v/>
      </c>
      <c r="N1463" s="27" t="str">
        <f t="shared" si="483"/>
        <v/>
      </c>
      <c r="O1463" s="26" t="str">
        <f>IF(AND($Q1462=$O$38,IFERROR(LARGE($V$923:$V1462,1)&lt;$N$42,TRUE)),1,IF(AND(ISNUMBER($O1462),$O1462&lt;$N$32),$O1462+1,""))</f>
        <v/>
      </c>
      <c r="P1463" s="26" t="str">
        <f t="shared" si="484"/>
        <v/>
      </c>
      <c r="Q1463" s="26" t="str">
        <f t="shared" si="473"/>
        <v/>
      </c>
      <c r="R1463" s="24" t="str">
        <f t="shared" si="485"/>
        <v/>
      </c>
      <c r="S1463" s="180">
        <f t="shared" si="491"/>
        <v>8</v>
      </c>
      <c r="T1463" s="29">
        <f>SUM($AC$923:$AC1463)</f>
        <v>49500</v>
      </c>
      <c r="U1463" s="25" t="str">
        <f t="shared" si="474"/>
        <v/>
      </c>
      <c r="V1463" s="24" t="str">
        <f>IF(AND(ISNUMBER(R1462),ISNUMBER(R1463)),V1462,IF(AND(R1462="",ISNUMBER(R1463)),IFERROR(LARGE($V$923:$V1462,1)+1,0),""))</f>
        <v/>
      </c>
      <c r="W1463" s="23" t="str">
        <f t="shared" si="486"/>
        <v/>
      </c>
      <c r="X1463" s="22" t="str">
        <f t="shared" si="487"/>
        <v/>
      </c>
      <c r="Y1463" s="236"/>
      <c r="Z1463" s="22"/>
      <c r="AA1463" s="22"/>
      <c r="AB1463" s="22" t="str">
        <f t="shared" si="488"/>
        <v/>
      </c>
      <c r="AC1463" s="22" t="str">
        <f t="shared" si="489"/>
        <v/>
      </c>
      <c r="AD1463" s="22" t="str">
        <f t="shared" si="475"/>
        <v/>
      </c>
      <c r="AE1463" s="22" t="str">
        <f t="shared" si="490"/>
        <v/>
      </c>
      <c r="AF1463" s="22" t="str">
        <f t="shared" si="476"/>
        <v/>
      </c>
      <c r="AG1463" s="22" t="str">
        <f t="shared" si="477"/>
        <v/>
      </c>
      <c r="AH1463" s="22" t="str">
        <f t="shared" si="478"/>
        <v/>
      </c>
      <c r="AI1463" s="22" t="str">
        <f t="shared" si="479"/>
        <v/>
      </c>
      <c r="AJ1463" s="304" t="str">
        <f t="shared" si="480"/>
        <v/>
      </c>
      <c r="AK1463" s="140" t="str">
        <f t="shared" si="481"/>
        <v/>
      </c>
    </row>
    <row r="1464" spans="7:37" x14ac:dyDescent="0.25">
      <c r="G1464" s="235" t="str">
        <f t="shared" si="470"/>
        <v/>
      </c>
      <c r="H1464" s="4" t="str">
        <f t="shared" si="469"/>
        <v/>
      </c>
      <c r="I1464" s="11" t="str">
        <f t="shared" si="471"/>
        <v/>
      </c>
      <c r="K1464" s="30">
        <v>542</v>
      </c>
      <c r="L1464" s="29">
        <f t="shared" si="482"/>
        <v>11371.908376190921</v>
      </c>
      <c r="M1464" s="28" t="str">
        <f t="shared" si="472"/>
        <v/>
      </c>
      <c r="N1464" s="27" t="str">
        <f t="shared" si="483"/>
        <v/>
      </c>
      <c r="O1464" s="26" t="str">
        <f>IF(AND($Q1463=$O$38,IFERROR(LARGE($V$923:$V1463,1)&lt;$N$42,TRUE)),1,IF(AND(ISNUMBER($O1463),$O1463&lt;$N$32),$O1463+1,""))</f>
        <v/>
      </c>
      <c r="P1464" s="26" t="str">
        <f t="shared" si="484"/>
        <v/>
      </c>
      <c r="Q1464" s="26" t="str">
        <f t="shared" si="473"/>
        <v/>
      </c>
      <c r="R1464" s="24" t="str">
        <f t="shared" si="485"/>
        <v/>
      </c>
      <c r="S1464" s="180">
        <f t="shared" si="491"/>
        <v>8</v>
      </c>
      <c r="T1464" s="29">
        <f>SUM($AC$923:$AC1464)</f>
        <v>49500</v>
      </c>
      <c r="U1464" s="25" t="str">
        <f t="shared" si="474"/>
        <v/>
      </c>
      <c r="V1464" s="24" t="str">
        <f>IF(AND(ISNUMBER(R1463),ISNUMBER(R1464)),V1463,IF(AND(R1463="",ISNUMBER(R1464)),IFERROR(LARGE($V$923:$V1463,1)+1,0),""))</f>
        <v/>
      </c>
      <c r="W1464" s="23" t="str">
        <f t="shared" si="486"/>
        <v/>
      </c>
      <c r="X1464" s="22" t="str">
        <f t="shared" si="487"/>
        <v/>
      </c>
      <c r="Y1464" s="236"/>
      <c r="Z1464" s="22"/>
      <c r="AA1464" s="22"/>
      <c r="AB1464" s="22" t="str">
        <f t="shared" si="488"/>
        <v/>
      </c>
      <c r="AC1464" s="22" t="str">
        <f t="shared" si="489"/>
        <v/>
      </c>
      <c r="AD1464" s="22" t="str">
        <f t="shared" si="475"/>
        <v/>
      </c>
      <c r="AE1464" s="22" t="str">
        <f t="shared" si="490"/>
        <v/>
      </c>
      <c r="AF1464" s="22" t="str">
        <f t="shared" si="476"/>
        <v/>
      </c>
      <c r="AG1464" s="22" t="str">
        <f t="shared" si="477"/>
        <v/>
      </c>
      <c r="AH1464" s="22" t="str">
        <f t="shared" si="478"/>
        <v/>
      </c>
      <c r="AI1464" s="22" t="str">
        <f t="shared" si="479"/>
        <v/>
      </c>
      <c r="AJ1464" s="304" t="str">
        <f t="shared" si="480"/>
        <v/>
      </c>
      <c r="AK1464" s="140" t="str">
        <f t="shared" si="481"/>
        <v/>
      </c>
    </row>
    <row r="1465" spans="7:37" x14ac:dyDescent="0.25">
      <c r="G1465" s="235" t="str">
        <f t="shared" si="470"/>
        <v/>
      </c>
      <c r="H1465" s="4" t="str">
        <f t="shared" si="469"/>
        <v/>
      </c>
      <c r="I1465" s="11" t="str">
        <f t="shared" si="471"/>
        <v/>
      </c>
      <c r="K1465" s="30">
        <v>543</v>
      </c>
      <c r="L1465" s="29">
        <f t="shared" si="482"/>
        <v>11371.908376190921</v>
      </c>
      <c r="M1465" s="28" t="str">
        <f t="shared" si="472"/>
        <v/>
      </c>
      <c r="N1465" s="27" t="str">
        <f t="shared" si="483"/>
        <v/>
      </c>
      <c r="O1465" s="26" t="str">
        <f>IF(AND($Q1464=$O$38,IFERROR(LARGE($V$923:$V1464,1)&lt;$N$42,TRUE)),1,IF(AND(ISNUMBER($O1464),$O1464&lt;$N$32),$O1464+1,""))</f>
        <v/>
      </c>
      <c r="P1465" s="26" t="str">
        <f t="shared" si="484"/>
        <v/>
      </c>
      <c r="Q1465" s="26" t="str">
        <f t="shared" si="473"/>
        <v/>
      </c>
      <c r="R1465" s="24" t="str">
        <f t="shared" si="485"/>
        <v/>
      </c>
      <c r="S1465" s="180">
        <f t="shared" si="491"/>
        <v>8</v>
      </c>
      <c r="T1465" s="29">
        <f>SUM($AC$923:$AC1465)</f>
        <v>49500</v>
      </c>
      <c r="U1465" s="25" t="str">
        <f t="shared" si="474"/>
        <v/>
      </c>
      <c r="V1465" s="24" t="str">
        <f>IF(AND(ISNUMBER(R1464),ISNUMBER(R1465)),V1464,IF(AND(R1464="",ISNUMBER(R1465)),IFERROR(LARGE($V$923:$V1464,1)+1,0),""))</f>
        <v/>
      </c>
      <c r="W1465" s="23" t="str">
        <f t="shared" si="486"/>
        <v/>
      </c>
      <c r="X1465" s="22" t="str">
        <f t="shared" si="487"/>
        <v/>
      </c>
      <c r="Y1465" s="236"/>
      <c r="Z1465" s="22"/>
      <c r="AA1465" s="22"/>
      <c r="AB1465" s="22" t="str">
        <f t="shared" si="488"/>
        <v/>
      </c>
      <c r="AC1465" s="22" t="str">
        <f t="shared" si="489"/>
        <v/>
      </c>
      <c r="AD1465" s="22" t="str">
        <f t="shared" si="475"/>
        <v/>
      </c>
      <c r="AE1465" s="22" t="str">
        <f t="shared" si="490"/>
        <v/>
      </c>
      <c r="AF1465" s="22" t="str">
        <f t="shared" si="476"/>
        <v/>
      </c>
      <c r="AG1465" s="22" t="str">
        <f t="shared" si="477"/>
        <v/>
      </c>
      <c r="AH1465" s="22" t="str">
        <f t="shared" si="478"/>
        <v/>
      </c>
      <c r="AI1465" s="22" t="str">
        <f t="shared" si="479"/>
        <v/>
      </c>
      <c r="AJ1465" s="304" t="str">
        <f t="shared" si="480"/>
        <v/>
      </c>
      <c r="AK1465" s="140" t="str">
        <f t="shared" si="481"/>
        <v/>
      </c>
    </row>
    <row r="1466" spans="7:37" x14ac:dyDescent="0.25">
      <c r="G1466" s="235" t="str">
        <f t="shared" si="470"/>
        <v/>
      </c>
      <c r="H1466" s="4" t="str">
        <f t="shared" ref="H1466:H1529" si="492">IF(SUM(N1466:R1466)&gt;0,CONCATENATE(IF(LEN(ROUNDDOWN(S1466,0))=1,CONCATENATE("0",ROUNDDOWN(S1466,0)),ROUNDDOWN(S1466,0)),".",IF(LEN(ROUND(MOD(S1466,1)*100,0))=1,CONCATENATE("0",ROUND(MOD(S1466,1)*100,0)),ROUND(MOD(S1466,1)*100,0)),IF(N1466&lt;&gt;"",".N",IF(O1466&lt;&gt;"",".R",IF(P1466&lt;&gt;"",".O",IF(Q1466&lt;&gt;"",".I",IF(R1466&lt;&gt;"",".D","")))))),"")</f>
        <v/>
      </c>
      <c r="I1466" s="11" t="str">
        <f t="shared" si="471"/>
        <v/>
      </c>
      <c r="K1466" s="30">
        <v>544</v>
      </c>
      <c r="L1466" s="29">
        <f t="shared" si="482"/>
        <v>11371.908376190921</v>
      </c>
      <c r="M1466" s="28" t="str">
        <f t="shared" si="472"/>
        <v/>
      </c>
      <c r="N1466" s="27" t="str">
        <f t="shared" si="483"/>
        <v/>
      </c>
      <c r="O1466" s="26" t="str">
        <f>IF(AND($Q1465=$O$38,IFERROR(LARGE($V$923:$V1465,1)&lt;$N$42,TRUE)),1,IF(AND(ISNUMBER($O1465),$O1465&lt;$N$32),$O1465+1,""))</f>
        <v/>
      </c>
      <c r="P1466" s="26" t="str">
        <f t="shared" si="484"/>
        <v/>
      </c>
      <c r="Q1466" s="26" t="str">
        <f t="shared" si="473"/>
        <v/>
      </c>
      <c r="R1466" s="24" t="str">
        <f t="shared" si="485"/>
        <v/>
      </c>
      <c r="S1466" s="180">
        <f t="shared" si="491"/>
        <v>8</v>
      </c>
      <c r="T1466" s="29">
        <f>SUM($AC$923:$AC1466)</f>
        <v>49500</v>
      </c>
      <c r="U1466" s="25" t="str">
        <f t="shared" si="474"/>
        <v/>
      </c>
      <c r="V1466" s="24" t="str">
        <f>IF(AND(ISNUMBER(R1465),ISNUMBER(R1466)),V1465,IF(AND(R1465="",ISNUMBER(R1466)),IFERROR(LARGE($V$923:$V1465,1)+1,0),""))</f>
        <v/>
      </c>
      <c r="W1466" s="23" t="str">
        <f t="shared" si="486"/>
        <v/>
      </c>
      <c r="X1466" s="22" t="str">
        <f t="shared" si="487"/>
        <v/>
      </c>
      <c r="Y1466" s="236"/>
      <c r="Z1466" s="22"/>
      <c r="AA1466" s="22"/>
      <c r="AB1466" s="22" t="str">
        <f t="shared" si="488"/>
        <v/>
      </c>
      <c r="AC1466" s="22" t="str">
        <f t="shared" si="489"/>
        <v/>
      </c>
      <c r="AD1466" s="22" t="str">
        <f t="shared" si="475"/>
        <v/>
      </c>
      <c r="AE1466" s="22" t="str">
        <f t="shared" si="490"/>
        <v/>
      </c>
      <c r="AF1466" s="22" t="str">
        <f t="shared" si="476"/>
        <v/>
      </c>
      <c r="AG1466" s="22" t="str">
        <f t="shared" si="477"/>
        <v/>
      </c>
      <c r="AH1466" s="22" t="str">
        <f t="shared" si="478"/>
        <v/>
      </c>
      <c r="AI1466" s="22" t="str">
        <f t="shared" si="479"/>
        <v/>
      </c>
      <c r="AJ1466" s="304" t="str">
        <f t="shared" si="480"/>
        <v/>
      </c>
      <c r="AK1466" s="140" t="str">
        <f t="shared" si="481"/>
        <v/>
      </c>
    </row>
    <row r="1467" spans="7:37" x14ac:dyDescent="0.25">
      <c r="G1467" s="235" t="str">
        <f t="shared" si="470"/>
        <v/>
      </c>
      <c r="H1467" s="4" t="str">
        <f t="shared" si="492"/>
        <v/>
      </c>
      <c r="I1467" s="11" t="str">
        <f t="shared" si="471"/>
        <v/>
      </c>
      <c r="K1467" s="30">
        <v>545</v>
      </c>
      <c r="L1467" s="29">
        <f t="shared" si="482"/>
        <v>11371.908376190921</v>
      </c>
      <c r="M1467" s="28" t="str">
        <f t="shared" si="472"/>
        <v/>
      </c>
      <c r="N1467" s="27" t="str">
        <f t="shared" si="483"/>
        <v/>
      </c>
      <c r="O1467" s="26" t="str">
        <f>IF(AND($Q1466=$O$38,IFERROR(LARGE($V$923:$V1466,1)&lt;$N$42,TRUE)),1,IF(AND(ISNUMBER($O1466),$O1466&lt;$N$32),$O1466+1,""))</f>
        <v/>
      </c>
      <c r="P1467" s="26" t="str">
        <f t="shared" si="484"/>
        <v/>
      </c>
      <c r="Q1467" s="26" t="str">
        <f t="shared" si="473"/>
        <v/>
      </c>
      <c r="R1467" s="24" t="str">
        <f t="shared" si="485"/>
        <v/>
      </c>
      <c r="S1467" s="180">
        <f t="shared" si="491"/>
        <v>8</v>
      </c>
      <c r="T1467" s="29">
        <f>SUM($AC$923:$AC1467)</f>
        <v>49500</v>
      </c>
      <c r="U1467" s="25" t="str">
        <f t="shared" si="474"/>
        <v/>
      </c>
      <c r="V1467" s="24" t="str">
        <f>IF(AND(ISNUMBER(R1466),ISNUMBER(R1467)),V1466,IF(AND(R1466="",ISNUMBER(R1467)),IFERROR(LARGE($V$923:$V1466,1)+1,0),""))</f>
        <v/>
      </c>
      <c r="W1467" s="23" t="str">
        <f t="shared" si="486"/>
        <v/>
      </c>
      <c r="X1467" s="22" t="str">
        <f t="shared" si="487"/>
        <v/>
      </c>
      <c r="Y1467" s="236"/>
      <c r="Z1467" s="22"/>
      <c r="AA1467" s="22"/>
      <c r="AB1467" s="22" t="str">
        <f t="shared" si="488"/>
        <v/>
      </c>
      <c r="AC1467" s="22" t="str">
        <f t="shared" si="489"/>
        <v/>
      </c>
      <c r="AD1467" s="22" t="str">
        <f t="shared" si="475"/>
        <v/>
      </c>
      <c r="AE1467" s="22" t="str">
        <f t="shared" si="490"/>
        <v/>
      </c>
      <c r="AF1467" s="22" t="str">
        <f t="shared" si="476"/>
        <v/>
      </c>
      <c r="AG1467" s="22" t="str">
        <f t="shared" si="477"/>
        <v/>
      </c>
      <c r="AH1467" s="22" t="str">
        <f t="shared" si="478"/>
        <v/>
      </c>
      <c r="AI1467" s="22" t="str">
        <f t="shared" si="479"/>
        <v/>
      </c>
      <c r="AJ1467" s="304" t="str">
        <f t="shared" si="480"/>
        <v/>
      </c>
      <c r="AK1467" s="140" t="str">
        <f t="shared" si="481"/>
        <v/>
      </c>
    </row>
    <row r="1468" spans="7:37" x14ac:dyDescent="0.25">
      <c r="G1468" s="235" t="str">
        <f t="shared" si="470"/>
        <v/>
      </c>
      <c r="H1468" s="4" t="str">
        <f t="shared" si="492"/>
        <v/>
      </c>
      <c r="I1468" s="11" t="str">
        <f t="shared" si="471"/>
        <v/>
      </c>
      <c r="K1468" s="30">
        <v>546</v>
      </c>
      <c r="L1468" s="29">
        <f t="shared" si="482"/>
        <v>11371.908376190921</v>
      </c>
      <c r="M1468" s="28" t="str">
        <f t="shared" si="472"/>
        <v/>
      </c>
      <c r="N1468" s="27" t="str">
        <f t="shared" si="483"/>
        <v/>
      </c>
      <c r="O1468" s="26" t="str">
        <f>IF(AND($Q1467=$O$38,IFERROR(LARGE($V$923:$V1467,1)&lt;$N$42,TRUE)),1,IF(AND(ISNUMBER($O1467),$O1467&lt;$N$32),$O1467+1,""))</f>
        <v/>
      </c>
      <c r="P1468" s="26" t="str">
        <f t="shared" si="484"/>
        <v/>
      </c>
      <c r="Q1468" s="26" t="str">
        <f t="shared" si="473"/>
        <v/>
      </c>
      <c r="R1468" s="24" t="str">
        <f t="shared" si="485"/>
        <v/>
      </c>
      <c r="S1468" s="180">
        <f t="shared" si="491"/>
        <v>8</v>
      </c>
      <c r="T1468" s="29">
        <f>SUM($AC$923:$AC1468)</f>
        <v>49500</v>
      </c>
      <c r="U1468" s="25" t="str">
        <f t="shared" si="474"/>
        <v/>
      </c>
      <c r="V1468" s="24" t="str">
        <f>IF(AND(ISNUMBER(R1467),ISNUMBER(R1468)),V1467,IF(AND(R1467="",ISNUMBER(R1468)),IFERROR(LARGE($V$923:$V1467,1)+1,0),""))</f>
        <v/>
      </c>
      <c r="W1468" s="23" t="str">
        <f t="shared" si="486"/>
        <v/>
      </c>
      <c r="X1468" s="22" t="str">
        <f t="shared" si="487"/>
        <v/>
      </c>
      <c r="Y1468" s="236"/>
      <c r="Z1468" s="22"/>
      <c r="AA1468" s="22"/>
      <c r="AB1468" s="22" t="str">
        <f t="shared" si="488"/>
        <v/>
      </c>
      <c r="AC1468" s="22" t="str">
        <f t="shared" si="489"/>
        <v/>
      </c>
      <c r="AD1468" s="22" t="str">
        <f t="shared" si="475"/>
        <v/>
      </c>
      <c r="AE1468" s="22" t="str">
        <f t="shared" si="490"/>
        <v/>
      </c>
      <c r="AF1468" s="22" t="str">
        <f t="shared" si="476"/>
        <v/>
      </c>
      <c r="AG1468" s="22" t="str">
        <f t="shared" si="477"/>
        <v/>
      </c>
      <c r="AH1468" s="22" t="str">
        <f t="shared" si="478"/>
        <v/>
      </c>
      <c r="AI1468" s="22" t="str">
        <f t="shared" si="479"/>
        <v/>
      </c>
      <c r="AJ1468" s="304" t="str">
        <f t="shared" si="480"/>
        <v/>
      </c>
      <c r="AK1468" s="140" t="str">
        <f t="shared" si="481"/>
        <v/>
      </c>
    </row>
    <row r="1469" spans="7:37" x14ac:dyDescent="0.25">
      <c r="G1469" s="235" t="str">
        <f t="shared" si="470"/>
        <v/>
      </c>
      <c r="H1469" s="4" t="str">
        <f t="shared" si="492"/>
        <v/>
      </c>
      <c r="I1469" s="11" t="str">
        <f t="shared" si="471"/>
        <v/>
      </c>
      <c r="K1469" s="30">
        <v>547</v>
      </c>
      <c r="L1469" s="29">
        <f t="shared" si="482"/>
        <v>11371.908376190921</v>
      </c>
      <c r="M1469" s="28" t="str">
        <f t="shared" si="472"/>
        <v/>
      </c>
      <c r="N1469" s="27" t="str">
        <f t="shared" si="483"/>
        <v/>
      </c>
      <c r="O1469" s="26" t="str">
        <f>IF(AND($Q1468=$O$38,IFERROR(LARGE($V$923:$V1468,1)&lt;$N$42,TRUE)),1,IF(AND(ISNUMBER($O1468),$O1468&lt;$N$32),$O1468+1,""))</f>
        <v/>
      </c>
      <c r="P1469" s="26" t="str">
        <f t="shared" si="484"/>
        <v/>
      </c>
      <c r="Q1469" s="26" t="str">
        <f t="shared" si="473"/>
        <v/>
      </c>
      <c r="R1469" s="24" t="str">
        <f t="shared" si="485"/>
        <v/>
      </c>
      <c r="S1469" s="180">
        <f t="shared" si="491"/>
        <v>8</v>
      </c>
      <c r="T1469" s="29">
        <f>SUM($AC$923:$AC1469)</f>
        <v>49500</v>
      </c>
      <c r="U1469" s="25" t="str">
        <f t="shared" si="474"/>
        <v/>
      </c>
      <c r="V1469" s="24" t="str">
        <f>IF(AND(ISNUMBER(R1468),ISNUMBER(R1469)),V1468,IF(AND(R1468="",ISNUMBER(R1469)),IFERROR(LARGE($V$923:$V1468,1)+1,0),""))</f>
        <v/>
      </c>
      <c r="W1469" s="23" t="str">
        <f t="shared" si="486"/>
        <v/>
      </c>
      <c r="X1469" s="22" t="str">
        <f t="shared" si="487"/>
        <v/>
      </c>
      <c r="Y1469" s="236"/>
      <c r="Z1469" s="22"/>
      <c r="AA1469" s="22"/>
      <c r="AB1469" s="22" t="str">
        <f t="shared" si="488"/>
        <v/>
      </c>
      <c r="AC1469" s="22" t="str">
        <f t="shared" si="489"/>
        <v/>
      </c>
      <c r="AD1469" s="22" t="str">
        <f t="shared" si="475"/>
        <v/>
      </c>
      <c r="AE1469" s="22" t="str">
        <f t="shared" si="490"/>
        <v/>
      </c>
      <c r="AF1469" s="22" t="str">
        <f t="shared" si="476"/>
        <v/>
      </c>
      <c r="AG1469" s="22" t="str">
        <f t="shared" si="477"/>
        <v/>
      </c>
      <c r="AH1469" s="22" t="str">
        <f t="shared" si="478"/>
        <v/>
      </c>
      <c r="AI1469" s="22" t="str">
        <f t="shared" si="479"/>
        <v/>
      </c>
      <c r="AJ1469" s="304" t="str">
        <f t="shared" si="480"/>
        <v/>
      </c>
      <c r="AK1469" s="140" t="str">
        <f t="shared" si="481"/>
        <v/>
      </c>
    </row>
    <row r="1470" spans="7:37" x14ac:dyDescent="0.25">
      <c r="G1470" s="235" t="str">
        <f t="shared" si="470"/>
        <v/>
      </c>
      <c r="H1470" s="4" t="str">
        <f t="shared" si="492"/>
        <v/>
      </c>
      <c r="I1470" s="11" t="str">
        <f t="shared" si="471"/>
        <v/>
      </c>
      <c r="K1470" s="30">
        <v>548</v>
      </c>
      <c r="L1470" s="29">
        <f t="shared" si="482"/>
        <v>11371.908376190921</v>
      </c>
      <c r="M1470" s="28" t="str">
        <f t="shared" si="472"/>
        <v/>
      </c>
      <c r="N1470" s="27" t="str">
        <f t="shared" si="483"/>
        <v/>
      </c>
      <c r="O1470" s="26" t="str">
        <f>IF(AND($Q1469=$O$38,IFERROR(LARGE($V$923:$V1469,1)&lt;$N$42,TRUE)),1,IF(AND(ISNUMBER($O1469),$O1469&lt;$N$32),$O1469+1,""))</f>
        <v/>
      </c>
      <c r="P1470" s="26" t="str">
        <f t="shared" si="484"/>
        <v/>
      </c>
      <c r="Q1470" s="26" t="str">
        <f t="shared" si="473"/>
        <v/>
      </c>
      <c r="R1470" s="24" t="str">
        <f t="shared" si="485"/>
        <v/>
      </c>
      <c r="S1470" s="180">
        <f t="shared" si="491"/>
        <v>8</v>
      </c>
      <c r="T1470" s="29">
        <f>SUM($AC$923:$AC1470)</f>
        <v>49500</v>
      </c>
      <c r="U1470" s="25" t="str">
        <f t="shared" si="474"/>
        <v/>
      </c>
      <c r="V1470" s="24" t="str">
        <f>IF(AND(ISNUMBER(R1469),ISNUMBER(R1470)),V1469,IF(AND(R1469="",ISNUMBER(R1470)),IFERROR(LARGE($V$923:$V1469,1)+1,0),""))</f>
        <v/>
      </c>
      <c r="W1470" s="23" t="str">
        <f t="shared" si="486"/>
        <v/>
      </c>
      <c r="X1470" s="22" t="str">
        <f t="shared" si="487"/>
        <v/>
      </c>
      <c r="Y1470" s="236"/>
      <c r="Z1470" s="22"/>
      <c r="AA1470" s="22"/>
      <c r="AB1470" s="22" t="str">
        <f t="shared" si="488"/>
        <v/>
      </c>
      <c r="AC1470" s="22" t="str">
        <f t="shared" si="489"/>
        <v/>
      </c>
      <c r="AD1470" s="22" t="str">
        <f t="shared" si="475"/>
        <v/>
      </c>
      <c r="AE1470" s="22" t="str">
        <f t="shared" si="490"/>
        <v/>
      </c>
      <c r="AF1470" s="22" t="str">
        <f t="shared" si="476"/>
        <v/>
      </c>
      <c r="AG1470" s="22" t="str">
        <f t="shared" si="477"/>
        <v/>
      </c>
      <c r="AH1470" s="22" t="str">
        <f t="shared" si="478"/>
        <v/>
      </c>
      <c r="AI1470" s="22" t="str">
        <f t="shared" si="479"/>
        <v/>
      </c>
      <c r="AJ1470" s="304" t="str">
        <f t="shared" si="480"/>
        <v/>
      </c>
      <c r="AK1470" s="140" t="str">
        <f t="shared" si="481"/>
        <v/>
      </c>
    </row>
    <row r="1471" spans="7:37" x14ac:dyDescent="0.25">
      <c r="G1471" s="235" t="str">
        <f t="shared" si="470"/>
        <v/>
      </c>
      <c r="H1471" s="4" t="str">
        <f t="shared" si="492"/>
        <v/>
      </c>
      <c r="I1471" s="11" t="str">
        <f t="shared" si="471"/>
        <v/>
      </c>
      <c r="K1471" s="30">
        <v>549</v>
      </c>
      <c r="L1471" s="29">
        <f t="shared" si="482"/>
        <v>11371.908376190921</v>
      </c>
      <c r="M1471" s="28" t="str">
        <f t="shared" si="472"/>
        <v/>
      </c>
      <c r="N1471" s="27" t="str">
        <f t="shared" si="483"/>
        <v/>
      </c>
      <c r="O1471" s="26" t="str">
        <f>IF(AND($Q1470=$O$38,IFERROR(LARGE($V$923:$V1470,1)&lt;$N$42,TRUE)),1,IF(AND(ISNUMBER($O1470),$O1470&lt;$N$32),$O1470+1,""))</f>
        <v/>
      </c>
      <c r="P1471" s="26" t="str">
        <f t="shared" si="484"/>
        <v/>
      </c>
      <c r="Q1471" s="26" t="str">
        <f t="shared" si="473"/>
        <v/>
      </c>
      <c r="R1471" s="24" t="str">
        <f t="shared" si="485"/>
        <v/>
      </c>
      <c r="S1471" s="180">
        <f t="shared" si="491"/>
        <v>8</v>
      </c>
      <c r="T1471" s="29">
        <f>SUM($AC$923:$AC1471)</f>
        <v>49500</v>
      </c>
      <c r="U1471" s="25" t="str">
        <f t="shared" si="474"/>
        <v/>
      </c>
      <c r="V1471" s="24" t="str">
        <f>IF(AND(ISNUMBER(R1470),ISNUMBER(R1471)),V1470,IF(AND(R1470="",ISNUMBER(R1471)),IFERROR(LARGE($V$923:$V1470,1)+1,0),""))</f>
        <v/>
      </c>
      <c r="W1471" s="23" t="str">
        <f t="shared" si="486"/>
        <v/>
      </c>
      <c r="X1471" s="22" t="str">
        <f t="shared" si="487"/>
        <v/>
      </c>
      <c r="Y1471" s="236"/>
      <c r="Z1471" s="22"/>
      <c r="AA1471" s="22"/>
      <c r="AB1471" s="22" t="str">
        <f t="shared" si="488"/>
        <v/>
      </c>
      <c r="AC1471" s="22" t="str">
        <f t="shared" si="489"/>
        <v/>
      </c>
      <c r="AD1471" s="22" t="str">
        <f t="shared" si="475"/>
        <v/>
      </c>
      <c r="AE1471" s="22" t="str">
        <f t="shared" si="490"/>
        <v/>
      </c>
      <c r="AF1471" s="22" t="str">
        <f t="shared" si="476"/>
        <v/>
      </c>
      <c r="AG1471" s="22" t="str">
        <f t="shared" si="477"/>
        <v/>
      </c>
      <c r="AH1471" s="22" t="str">
        <f t="shared" si="478"/>
        <v/>
      </c>
      <c r="AI1471" s="22" t="str">
        <f t="shared" si="479"/>
        <v/>
      </c>
      <c r="AJ1471" s="304" t="str">
        <f t="shared" si="480"/>
        <v/>
      </c>
      <c r="AK1471" s="140" t="str">
        <f t="shared" si="481"/>
        <v/>
      </c>
    </row>
    <row r="1472" spans="7:37" x14ac:dyDescent="0.25">
      <c r="G1472" s="235" t="str">
        <f t="shared" si="470"/>
        <v/>
      </c>
      <c r="H1472" s="4" t="str">
        <f t="shared" si="492"/>
        <v/>
      </c>
      <c r="I1472" s="11" t="str">
        <f t="shared" si="471"/>
        <v/>
      </c>
      <c r="K1472" s="30">
        <v>550</v>
      </c>
      <c r="L1472" s="29">
        <f t="shared" si="482"/>
        <v>11371.908376190921</v>
      </c>
      <c r="M1472" s="28" t="str">
        <f t="shared" si="472"/>
        <v/>
      </c>
      <c r="N1472" s="27" t="str">
        <f t="shared" si="483"/>
        <v/>
      </c>
      <c r="O1472" s="26" t="str">
        <f>IF(AND($Q1471=$O$38,IFERROR(LARGE($V$923:$V1471,1)&lt;$N$42,TRUE)),1,IF(AND(ISNUMBER($O1471),$O1471&lt;$N$32),$O1471+1,""))</f>
        <v/>
      </c>
      <c r="P1472" s="26" t="str">
        <f t="shared" si="484"/>
        <v/>
      </c>
      <c r="Q1472" s="26" t="str">
        <f t="shared" si="473"/>
        <v/>
      </c>
      <c r="R1472" s="24" t="str">
        <f t="shared" si="485"/>
        <v/>
      </c>
      <c r="S1472" s="180">
        <f t="shared" si="491"/>
        <v>8</v>
      </c>
      <c r="T1472" s="29">
        <f>SUM($AC$923:$AC1472)</f>
        <v>49500</v>
      </c>
      <c r="U1472" s="25" t="str">
        <f t="shared" si="474"/>
        <v/>
      </c>
      <c r="V1472" s="24" t="str">
        <f>IF(AND(ISNUMBER(R1471),ISNUMBER(R1472)),V1471,IF(AND(R1471="",ISNUMBER(R1472)),IFERROR(LARGE($V$923:$V1471,1)+1,0),""))</f>
        <v/>
      </c>
      <c r="W1472" s="23" t="str">
        <f t="shared" si="486"/>
        <v/>
      </c>
      <c r="X1472" s="22" t="str">
        <f t="shared" si="487"/>
        <v/>
      </c>
      <c r="Y1472" s="236"/>
      <c r="Z1472" s="22"/>
      <c r="AA1472" s="22"/>
      <c r="AB1472" s="22" t="str">
        <f t="shared" si="488"/>
        <v/>
      </c>
      <c r="AC1472" s="22" t="str">
        <f t="shared" si="489"/>
        <v/>
      </c>
      <c r="AD1472" s="22" t="str">
        <f t="shared" si="475"/>
        <v/>
      </c>
      <c r="AE1472" s="22" t="str">
        <f t="shared" si="490"/>
        <v/>
      </c>
      <c r="AF1472" s="22" t="str">
        <f t="shared" si="476"/>
        <v/>
      </c>
      <c r="AG1472" s="22" t="str">
        <f t="shared" si="477"/>
        <v/>
      </c>
      <c r="AH1472" s="22" t="str">
        <f t="shared" si="478"/>
        <v/>
      </c>
      <c r="AI1472" s="22" t="str">
        <f t="shared" si="479"/>
        <v/>
      </c>
      <c r="AJ1472" s="304" t="str">
        <f t="shared" si="480"/>
        <v/>
      </c>
      <c r="AK1472" s="140" t="str">
        <f t="shared" si="481"/>
        <v/>
      </c>
    </row>
    <row r="1473" spans="7:37" x14ac:dyDescent="0.25">
      <c r="G1473" s="235" t="str">
        <f t="shared" si="470"/>
        <v/>
      </c>
      <c r="H1473" s="4" t="str">
        <f t="shared" si="492"/>
        <v/>
      </c>
      <c r="I1473" s="11" t="str">
        <f t="shared" si="471"/>
        <v/>
      </c>
      <c r="K1473" s="30">
        <v>551</v>
      </c>
      <c r="L1473" s="29">
        <f t="shared" si="482"/>
        <v>11371.908376190921</v>
      </c>
      <c r="M1473" s="28" t="str">
        <f t="shared" si="472"/>
        <v/>
      </c>
      <c r="N1473" s="27" t="str">
        <f t="shared" si="483"/>
        <v/>
      </c>
      <c r="O1473" s="26" t="str">
        <f>IF(AND($Q1472=$O$38,IFERROR(LARGE($V$923:$V1472,1)&lt;$N$42,TRUE)),1,IF(AND(ISNUMBER($O1472),$O1472&lt;$N$32),$O1472+1,""))</f>
        <v/>
      </c>
      <c r="P1473" s="26" t="str">
        <f t="shared" si="484"/>
        <v/>
      </c>
      <c r="Q1473" s="26" t="str">
        <f t="shared" si="473"/>
        <v/>
      </c>
      <c r="R1473" s="24" t="str">
        <f t="shared" si="485"/>
        <v/>
      </c>
      <c r="S1473" s="180">
        <f t="shared" si="491"/>
        <v>8</v>
      </c>
      <c r="T1473" s="29">
        <f>SUM($AC$923:$AC1473)</f>
        <v>49500</v>
      </c>
      <c r="U1473" s="25" t="str">
        <f t="shared" si="474"/>
        <v/>
      </c>
      <c r="V1473" s="24" t="str">
        <f>IF(AND(ISNUMBER(R1472),ISNUMBER(R1473)),V1472,IF(AND(R1472="",ISNUMBER(R1473)),IFERROR(LARGE($V$923:$V1472,1)+1,0),""))</f>
        <v/>
      </c>
      <c r="W1473" s="23" t="str">
        <f t="shared" si="486"/>
        <v/>
      </c>
      <c r="X1473" s="22" t="str">
        <f t="shared" si="487"/>
        <v/>
      </c>
      <c r="Y1473" s="236"/>
      <c r="Z1473" s="22"/>
      <c r="AA1473" s="22"/>
      <c r="AB1473" s="22" t="str">
        <f t="shared" si="488"/>
        <v/>
      </c>
      <c r="AC1473" s="22" t="str">
        <f t="shared" si="489"/>
        <v/>
      </c>
      <c r="AD1473" s="22" t="str">
        <f t="shared" si="475"/>
        <v/>
      </c>
      <c r="AE1473" s="22" t="str">
        <f t="shared" si="490"/>
        <v/>
      </c>
      <c r="AF1473" s="22" t="str">
        <f t="shared" si="476"/>
        <v/>
      </c>
      <c r="AG1473" s="22" t="str">
        <f t="shared" si="477"/>
        <v/>
      </c>
      <c r="AH1473" s="22" t="str">
        <f t="shared" si="478"/>
        <v/>
      </c>
      <c r="AI1473" s="22" t="str">
        <f t="shared" si="479"/>
        <v/>
      </c>
      <c r="AJ1473" s="304" t="str">
        <f t="shared" si="480"/>
        <v/>
      </c>
      <c r="AK1473" s="140" t="str">
        <f t="shared" si="481"/>
        <v/>
      </c>
    </row>
    <row r="1474" spans="7:37" x14ac:dyDescent="0.25">
      <c r="G1474" s="235" t="str">
        <f t="shared" si="470"/>
        <v/>
      </c>
      <c r="H1474" s="4" t="str">
        <f t="shared" si="492"/>
        <v/>
      </c>
      <c r="I1474" s="11" t="str">
        <f t="shared" si="471"/>
        <v/>
      </c>
      <c r="K1474" s="30">
        <v>552</v>
      </c>
      <c r="L1474" s="29">
        <f t="shared" si="482"/>
        <v>11371.908376190921</v>
      </c>
      <c r="M1474" s="28" t="str">
        <f t="shared" si="472"/>
        <v/>
      </c>
      <c r="N1474" s="27" t="str">
        <f t="shared" si="483"/>
        <v/>
      </c>
      <c r="O1474" s="26" t="str">
        <f>IF(AND($Q1473=$O$38,IFERROR(LARGE($V$923:$V1473,1)&lt;$N$42,TRUE)),1,IF(AND(ISNUMBER($O1473),$O1473&lt;$N$32),$O1473+1,""))</f>
        <v/>
      </c>
      <c r="P1474" s="26" t="str">
        <f t="shared" si="484"/>
        <v/>
      </c>
      <c r="Q1474" s="26" t="str">
        <f t="shared" si="473"/>
        <v/>
      </c>
      <c r="R1474" s="24" t="str">
        <f t="shared" si="485"/>
        <v/>
      </c>
      <c r="S1474" s="180">
        <f t="shared" si="491"/>
        <v>8</v>
      </c>
      <c r="T1474" s="29">
        <f>SUM($AC$923:$AC1474)</f>
        <v>49500</v>
      </c>
      <c r="U1474" s="25" t="str">
        <f t="shared" si="474"/>
        <v/>
      </c>
      <c r="V1474" s="24" t="str">
        <f>IF(AND(ISNUMBER(R1473),ISNUMBER(R1474)),V1473,IF(AND(R1473="",ISNUMBER(R1474)),IFERROR(LARGE($V$923:$V1473,1)+1,0),""))</f>
        <v/>
      </c>
      <c r="W1474" s="23" t="str">
        <f t="shared" si="486"/>
        <v/>
      </c>
      <c r="X1474" s="22" t="str">
        <f t="shared" si="487"/>
        <v/>
      </c>
      <c r="Y1474" s="236"/>
      <c r="Z1474" s="22"/>
      <c r="AA1474" s="22"/>
      <c r="AB1474" s="22" t="str">
        <f t="shared" si="488"/>
        <v/>
      </c>
      <c r="AC1474" s="22" t="str">
        <f t="shared" si="489"/>
        <v/>
      </c>
      <c r="AD1474" s="22" t="str">
        <f t="shared" si="475"/>
        <v/>
      </c>
      <c r="AE1474" s="22" t="str">
        <f t="shared" si="490"/>
        <v/>
      </c>
      <c r="AF1474" s="22" t="str">
        <f t="shared" si="476"/>
        <v/>
      </c>
      <c r="AG1474" s="22" t="str">
        <f t="shared" si="477"/>
        <v/>
      </c>
      <c r="AH1474" s="22" t="str">
        <f t="shared" si="478"/>
        <v/>
      </c>
      <c r="AI1474" s="22" t="str">
        <f t="shared" si="479"/>
        <v/>
      </c>
      <c r="AJ1474" s="304" t="str">
        <f t="shared" si="480"/>
        <v/>
      </c>
      <c r="AK1474" s="140" t="str">
        <f t="shared" si="481"/>
        <v/>
      </c>
    </row>
    <row r="1475" spans="7:37" x14ac:dyDescent="0.25">
      <c r="G1475" s="235" t="str">
        <f t="shared" si="470"/>
        <v/>
      </c>
      <c r="H1475" s="4" t="str">
        <f t="shared" si="492"/>
        <v/>
      </c>
      <c r="I1475" s="11" t="str">
        <f t="shared" si="471"/>
        <v/>
      </c>
      <c r="K1475" s="30">
        <v>553</v>
      </c>
      <c r="L1475" s="29">
        <f t="shared" si="482"/>
        <v>11371.908376190921</v>
      </c>
      <c r="M1475" s="28" t="str">
        <f t="shared" si="472"/>
        <v/>
      </c>
      <c r="N1475" s="27" t="str">
        <f t="shared" si="483"/>
        <v/>
      </c>
      <c r="O1475" s="26" t="str">
        <f>IF(AND($Q1474=$O$38,IFERROR(LARGE($V$923:$V1474,1)&lt;$N$42,TRUE)),1,IF(AND(ISNUMBER($O1474),$O1474&lt;$N$32),$O1474+1,""))</f>
        <v/>
      </c>
      <c r="P1475" s="26" t="str">
        <f t="shared" si="484"/>
        <v/>
      </c>
      <c r="Q1475" s="26" t="str">
        <f t="shared" si="473"/>
        <v/>
      </c>
      <c r="R1475" s="24" t="str">
        <f t="shared" si="485"/>
        <v/>
      </c>
      <c r="S1475" s="180">
        <f t="shared" si="491"/>
        <v>8</v>
      </c>
      <c r="T1475" s="29">
        <f>SUM($AC$923:$AC1475)</f>
        <v>49500</v>
      </c>
      <c r="U1475" s="25" t="str">
        <f t="shared" si="474"/>
        <v/>
      </c>
      <c r="V1475" s="24" t="str">
        <f>IF(AND(ISNUMBER(R1474),ISNUMBER(R1475)),V1474,IF(AND(R1474="",ISNUMBER(R1475)),IFERROR(LARGE($V$923:$V1474,1)+1,0),""))</f>
        <v/>
      </c>
      <c r="W1475" s="23" t="str">
        <f t="shared" si="486"/>
        <v/>
      </c>
      <c r="X1475" s="22" t="str">
        <f t="shared" si="487"/>
        <v/>
      </c>
      <c r="Y1475" s="236"/>
      <c r="Z1475" s="22"/>
      <c r="AA1475" s="22"/>
      <c r="AB1475" s="22" t="str">
        <f t="shared" si="488"/>
        <v/>
      </c>
      <c r="AC1475" s="22" t="str">
        <f t="shared" si="489"/>
        <v/>
      </c>
      <c r="AD1475" s="22" t="str">
        <f t="shared" si="475"/>
        <v/>
      </c>
      <c r="AE1475" s="22" t="str">
        <f t="shared" si="490"/>
        <v/>
      </c>
      <c r="AF1475" s="22" t="str">
        <f t="shared" si="476"/>
        <v/>
      </c>
      <c r="AG1475" s="22" t="str">
        <f t="shared" si="477"/>
        <v/>
      </c>
      <c r="AH1475" s="22" t="str">
        <f t="shared" si="478"/>
        <v/>
      </c>
      <c r="AI1475" s="22" t="str">
        <f t="shared" si="479"/>
        <v/>
      </c>
      <c r="AJ1475" s="304" t="str">
        <f t="shared" si="480"/>
        <v/>
      </c>
      <c r="AK1475" s="140" t="str">
        <f t="shared" si="481"/>
        <v/>
      </c>
    </row>
    <row r="1476" spans="7:37" x14ac:dyDescent="0.25">
      <c r="G1476" s="235" t="str">
        <f t="shared" si="470"/>
        <v/>
      </c>
      <c r="H1476" s="4" t="str">
        <f t="shared" si="492"/>
        <v/>
      </c>
      <c r="I1476" s="11" t="str">
        <f t="shared" si="471"/>
        <v/>
      </c>
      <c r="K1476" s="30">
        <v>554</v>
      </c>
      <c r="L1476" s="29">
        <f t="shared" si="482"/>
        <v>11371.908376190921</v>
      </c>
      <c r="M1476" s="28" t="str">
        <f t="shared" si="472"/>
        <v/>
      </c>
      <c r="N1476" s="27" t="str">
        <f t="shared" si="483"/>
        <v/>
      </c>
      <c r="O1476" s="26" t="str">
        <f>IF(AND($Q1475=$O$38,IFERROR(LARGE($V$923:$V1475,1)&lt;$N$42,TRUE)),1,IF(AND(ISNUMBER($O1475),$O1475&lt;$N$32),$O1475+1,""))</f>
        <v/>
      </c>
      <c r="P1476" s="26" t="str">
        <f t="shared" si="484"/>
        <v/>
      </c>
      <c r="Q1476" s="26" t="str">
        <f t="shared" si="473"/>
        <v/>
      </c>
      <c r="R1476" s="24" t="str">
        <f t="shared" si="485"/>
        <v/>
      </c>
      <c r="S1476" s="180">
        <f t="shared" si="491"/>
        <v>8</v>
      </c>
      <c r="T1476" s="29">
        <f>SUM($AC$923:$AC1476)</f>
        <v>49500</v>
      </c>
      <c r="U1476" s="25" t="str">
        <f t="shared" si="474"/>
        <v/>
      </c>
      <c r="V1476" s="24" t="str">
        <f>IF(AND(ISNUMBER(R1475),ISNUMBER(R1476)),V1475,IF(AND(R1475="",ISNUMBER(R1476)),IFERROR(LARGE($V$923:$V1475,1)+1,0),""))</f>
        <v/>
      </c>
      <c r="W1476" s="23" t="str">
        <f t="shared" si="486"/>
        <v/>
      </c>
      <c r="X1476" s="22" t="str">
        <f t="shared" si="487"/>
        <v/>
      </c>
      <c r="Y1476" s="236"/>
      <c r="Z1476" s="22"/>
      <c r="AA1476" s="22"/>
      <c r="AB1476" s="22" t="str">
        <f t="shared" si="488"/>
        <v/>
      </c>
      <c r="AC1476" s="22" t="str">
        <f t="shared" si="489"/>
        <v/>
      </c>
      <c r="AD1476" s="22" t="str">
        <f t="shared" si="475"/>
        <v/>
      </c>
      <c r="AE1476" s="22" t="str">
        <f t="shared" si="490"/>
        <v/>
      </c>
      <c r="AF1476" s="22" t="str">
        <f t="shared" si="476"/>
        <v/>
      </c>
      <c r="AG1476" s="22" t="str">
        <f t="shared" si="477"/>
        <v/>
      </c>
      <c r="AH1476" s="22" t="str">
        <f t="shared" si="478"/>
        <v/>
      </c>
      <c r="AI1476" s="22" t="str">
        <f t="shared" si="479"/>
        <v/>
      </c>
      <c r="AJ1476" s="304" t="str">
        <f t="shared" si="480"/>
        <v/>
      </c>
      <c r="AK1476" s="140" t="str">
        <f t="shared" si="481"/>
        <v/>
      </c>
    </row>
    <row r="1477" spans="7:37" x14ac:dyDescent="0.25">
      <c r="G1477" s="235" t="str">
        <f t="shared" si="470"/>
        <v/>
      </c>
      <c r="H1477" s="4" t="str">
        <f t="shared" si="492"/>
        <v/>
      </c>
      <c r="I1477" s="11" t="str">
        <f t="shared" si="471"/>
        <v/>
      </c>
      <c r="K1477" s="30">
        <v>555</v>
      </c>
      <c r="L1477" s="29">
        <f t="shared" si="482"/>
        <v>11371.908376190921</v>
      </c>
      <c r="M1477" s="28" t="str">
        <f t="shared" si="472"/>
        <v/>
      </c>
      <c r="N1477" s="27" t="str">
        <f t="shared" si="483"/>
        <v/>
      </c>
      <c r="O1477" s="26" t="str">
        <f>IF(AND($Q1476=$O$38,IFERROR(LARGE($V$923:$V1476,1)&lt;$N$42,TRUE)),1,IF(AND(ISNUMBER($O1476),$O1476&lt;$N$32),$O1476+1,""))</f>
        <v/>
      </c>
      <c r="P1477" s="26" t="str">
        <f t="shared" si="484"/>
        <v/>
      </c>
      <c r="Q1477" s="26" t="str">
        <f t="shared" si="473"/>
        <v/>
      </c>
      <c r="R1477" s="24" t="str">
        <f t="shared" si="485"/>
        <v/>
      </c>
      <c r="S1477" s="180">
        <f t="shared" si="491"/>
        <v>8</v>
      </c>
      <c r="T1477" s="29">
        <f>SUM($AC$923:$AC1477)</f>
        <v>49500</v>
      </c>
      <c r="U1477" s="25" t="str">
        <f t="shared" si="474"/>
        <v/>
      </c>
      <c r="V1477" s="24" t="str">
        <f>IF(AND(ISNUMBER(R1476),ISNUMBER(R1477)),V1476,IF(AND(R1476="",ISNUMBER(R1477)),IFERROR(LARGE($V$923:$V1476,1)+1,0),""))</f>
        <v/>
      </c>
      <c r="W1477" s="23" t="str">
        <f t="shared" si="486"/>
        <v/>
      </c>
      <c r="X1477" s="22" t="str">
        <f t="shared" si="487"/>
        <v/>
      </c>
      <c r="Y1477" s="236"/>
      <c r="Z1477" s="22"/>
      <c r="AA1477" s="22"/>
      <c r="AB1477" s="22" t="str">
        <f t="shared" si="488"/>
        <v/>
      </c>
      <c r="AC1477" s="22" t="str">
        <f t="shared" si="489"/>
        <v/>
      </c>
      <c r="AD1477" s="22" t="str">
        <f t="shared" si="475"/>
        <v/>
      </c>
      <c r="AE1477" s="22" t="str">
        <f t="shared" si="490"/>
        <v/>
      </c>
      <c r="AF1477" s="22" t="str">
        <f t="shared" si="476"/>
        <v/>
      </c>
      <c r="AG1477" s="22" t="str">
        <f t="shared" si="477"/>
        <v/>
      </c>
      <c r="AH1477" s="22" t="str">
        <f t="shared" si="478"/>
        <v/>
      </c>
      <c r="AI1477" s="22" t="str">
        <f t="shared" si="479"/>
        <v/>
      </c>
      <c r="AJ1477" s="304" t="str">
        <f t="shared" si="480"/>
        <v/>
      </c>
      <c r="AK1477" s="140" t="str">
        <f t="shared" si="481"/>
        <v/>
      </c>
    </row>
    <row r="1478" spans="7:37" x14ac:dyDescent="0.25">
      <c r="G1478" s="235" t="str">
        <f t="shared" si="470"/>
        <v/>
      </c>
      <c r="H1478" s="4" t="str">
        <f t="shared" si="492"/>
        <v/>
      </c>
      <c r="I1478" s="11" t="str">
        <f t="shared" si="471"/>
        <v/>
      </c>
      <c r="K1478" s="30">
        <v>556</v>
      </c>
      <c r="L1478" s="29">
        <f t="shared" si="482"/>
        <v>11371.908376190921</v>
      </c>
      <c r="M1478" s="28" t="str">
        <f t="shared" si="472"/>
        <v/>
      </c>
      <c r="N1478" s="27" t="str">
        <f t="shared" si="483"/>
        <v/>
      </c>
      <c r="O1478" s="26" t="str">
        <f>IF(AND($Q1477=$O$38,IFERROR(LARGE($V$923:$V1477,1)&lt;$N$42,TRUE)),1,IF(AND(ISNUMBER($O1477),$O1477&lt;$N$32),$O1477+1,""))</f>
        <v/>
      </c>
      <c r="P1478" s="26" t="str">
        <f t="shared" si="484"/>
        <v/>
      </c>
      <c r="Q1478" s="26" t="str">
        <f t="shared" si="473"/>
        <v/>
      </c>
      <c r="R1478" s="24" t="str">
        <f t="shared" si="485"/>
        <v/>
      </c>
      <c r="S1478" s="180">
        <f t="shared" si="491"/>
        <v>8</v>
      </c>
      <c r="T1478" s="29">
        <f>SUM($AC$923:$AC1478)</f>
        <v>49500</v>
      </c>
      <c r="U1478" s="25" t="str">
        <f t="shared" si="474"/>
        <v/>
      </c>
      <c r="V1478" s="24" t="str">
        <f>IF(AND(ISNUMBER(R1477),ISNUMBER(R1478)),V1477,IF(AND(R1477="",ISNUMBER(R1478)),IFERROR(LARGE($V$923:$V1477,1)+1,0),""))</f>
        <v/>
      </c>
      <c r="W1478" s="23" t="str">
        <f t="shared" si="486"/>
        <v/>
      </c>
      <c r="X1478" s="22" t="str">
        <f t="shared" si="487"/>
        <v/>
      </c>
      <c r="Y1478" s="236"/>
      <c r="Z1478" s="22"/>
      <c r="AA1478" s="22"/>
      <c r="AB1478" s="22" t="str">
        <f t="shared" si="488"/>
        <v/>
      </c>
      <c r="AC1478" s="22" t="str">
        <f t="shared" si="489"/>
        <v/>
      </c>
      <c r="AD1478" s="22" t="str">
        <f t="shared" si="475"/>
        <v/>
      </c>
      <c r="AE1478" s="22" t="str">
        <f t="shared" si="490"/>
        <v/>
      </c>
      <c r="AF1478" s="22" t="str">
        <f t="shared" si="476"/>
        <v/>
      </c>
      <c r="AG1478" s="22" t="str">
        <f t="shared" si="477"/>
        <v/>
      </c>
      <c r="AH1478" s="22" t="str">
        <f t="shared" si="478"/>
        <v/>
      </c>
      <c r="AI1478" s="22" t="str">
        <f t="shared" si="479"/>
        <v/>
      </c>
      <c r="AJ1478" s="304" t="str">
        <f t="shared" si="480"/>
        <v/>
      </c>
      <c r="AK1478" s="140" t="str">
        <f t="shared" si="481"/>
        <v/>
      </c>
    </row>
    <row r="1479" spans="7:37" x14ac:dyDescent="0.25">
      <c r="G1479" s="235" t="str">
        <f t="shared" si="470"/>
        <v/>
      </c>
      <c r="H1479" s="4" t="str">
        <f t="shared" si="492"/>
        <v/>
      </c>
      <c r="I1479" s="11" t="str">
        <f t="shared" si="471"/>
        <v/>
      </c>
      <c r="K1479" s="30">
        <v>557</v>
      </c>
      <c r="L1479" s="29">
        <f t="shared" si="482"/>
        <v>11371.908376190921</v>
      </c>
      <c r="M1479" s="28" t="str">
        <f t="shared" si="472"/>
        <v/>
      </c>
      <c r="N1479" s="27" t="str">
        <f t="shared" si="483"/>
        <v/>
      </c>
      <c r="O1479" s="26" t="str">
        <f>IF(AND($Q1478=$O$38,IFERROR(LARGE($V$923:$V1478,1)&lt;$N$42,TRUE)),1,IF(AND(ISNUMBER($O1478),$O1478&lt;$N$32),$O1478+1,""))</f>
        <v/>
      </c>
      <c r="P1479" s="26" t="str">
        <f t="shared" si="484"/>
        <v/>
      </c>
      <c r="Q1479" s="26" t="str">
        <f t="shared" si="473"/>
        <v/>
      </c>
      <c r="R1479" s="24" t="str">
        <f t="shared" si="485"/>
        <v/>
      </c>
      <c r="S1479" s="180">
        <f t="shared" si="491"/>
        <v>8</v>
      </c>
      <c r="T1479" s="29">
        <f>SUM($AC$923:$AC1479)</f>
        <v>49500</v>
      </c>
      <c r="U1479" s="25" t="str">
        <f t="shared" si="474"/>
        <v/>
      </c>
      <c r="V1479" s="24" t="str">
        <f>IF(AND(ISNUMBER(R1478),ISNUMBER(R1479)),V1478,IF(AND(R1478="",ISNUMBER(R1479)),IFERROR(LARGE($V$923:$V1478,1)+1,0),""))</f>
        <v/>
      </c>
      <c r="W1479" s="23" t="str">
        <f t="shared" si="486"/>
        <v/>
      </c>
      <c r="X1479" s="22" t="str">
        <f t="shared" si="487"/>
        <v/>
      </c>
      <c r="Y1479" s="236"/>
      <c r="Z1479" s="22"/>
      <c r="AA1479" s="22"/>
      <c r="AB1479" s="22" t="str">
        <f t="shared" si="488"/>
        <v/>
      </c>
      <c r="AC1479" s="22" t="str">
        <f t="shared" si="489"/>
        <v/>
      </c>
      <c r="AD1479" s="22" t="str">
        <f t="shared" si="475"/>
        <v/>
      </c>
      <c r="AE1479" s="22" t="str">
        <f t="shared" si="490"/>
        <v/>
      </c>
      <c r="AF1479" s="22" t="str">
        <f t="shared" si="476"/>
        <v/>
      </c>
      <c r="AG1479" s="22" t="str">
        <f t="shared" si="477"/>
        <v/>
      </c>
      <c r="AH1479" s="22" t="str">
        <f t="shared" si="478"/>
        <v/>
      </c>
      <c r="AI1479" s="22" t="str">
        <f t="shared" si="479"/>
        <v/>
      </c>
      <c r="AJ1479" s="304" t="str">
        <f t="shared" si="480"/>
        <v/>
      </c>
      <c r="AK1479" s="140" t="str">
        <f t="shared" si="481"/>
        <v/>
      </c>
    </row>
    <row r="1480" spans="7:37" x14ac:dyDescent="0.25">
      <c r="G1480" s="235" t="str">
        <f t="shared" si="470"/>
        <v/>
      </c>
      <c r="H1480" s="4" t="str">
        <f t="shared" si="492"/>
        <v/>
      </c>
      <c r="I1480" s="11" t="str">
        <f t="shared" si="471"/>
        <v/>
      </c>
      <c r="K1480" s="30">
        <v>558</v>
      </c>
      <c r="L1480" s="29">
        <f t="shared" si="482"/>
        <v>11371.908376190921</v>
      </c>
      <c r="M1480" s="28" t="str">
        <f t="shared" si="472"/>
        <v/>
      </c>
      <c r="N1480" s="27" t="str">
        <f t="shared" si="483"/>
        <v/>
      </c>
      <c r="O1480" s="26" t="str">
        <f>IF(AND($Q1479=$O$38,IFERROR(LARGE($V$923:$V1479,1)&lt;$N$42,TRUE)),1,IF(AND(ISNUMBER($O1479),$O1479&lt;$N$32),$O1479+1,""))</f>
        <v/>
      </c>
      <c r="P1480" s="26" t="str">
        <f t="shared" si="484"/>
        <v/>
      </c>
      <c r="Q1480" s="26" t="str">
        <f t="shared" si="473"/>
        <v/>
      </c>
      <c r="R1480" s="24" t="str">
        <f t="shared" si="485"/>
        <v/>
      </c>
      <c r="S1480" s="180">
        <f t="shared" si="491"/>
        <v>8</v>
      </c>
      <c r="T1480" s="29">
        <f>SUM($AC$923:$AC1480)</f>
        <v>49500</v>
      </c>
      <c r="U1480" s="25" t="str">
        <f t="shared" si="474"/>
        <v/>
      </c>
      <c r="V1480" s="24" t="str">
        <f>IF(AND(ISNUMBER(R1479),ISNUMBER(R1480)),V1479,IF(AND(R1479="",ISNUMBER(R1480)),IFERROR(LARGE($V$923:$V1479,1)+1,0),""))</f>
        <v/>
      </c>
      <c r="W1480" s="23" t="str">
        <f t="shared" si="486"/>
        <v/>
      </c>
      <c r="X1480" s="22" t="str">
        <f t="shared" si="487"/>
        <v/>
      </c>
      <c r="Y1480" s="236"/>
      <c r="Z1480" s="22"/>
      <c r="AA1480" s="22"/>
      <c r="AB1480" s="22" t="str">
        <f t="shared" si="488"/>
        <v/>
      </c>
      <c r="AC1480" s="22" t="str">
        <f t="shared" si="489"/>
        <v/>
      </c>
      <c r="AD1480" s="22" t="str">
        <f t="shared" si="475"/>
        <v/>
      </c>
      <c r="AE1480" s="22" t="str">
        <f t="shared" si="490"/>
        <v/>
      </c>
      <c r="AF1480" s="22" t="str">
        <f t="shared" si="476"/>
        <v/>
      </c>
      <c r="AG1480" s="22" t="str">
        <f t="shared" si="477"/>
        <v/>
      </c>
      <c r="AH1480" s="22" t="str">
        <f t="shared" si="478"/>
        <v/>
      </c>
      <c r="AI1480" s="22" t="str">
        <f t="shared" si="479"/>
        <v/>
      </c>
      <c r="AJ1480" s="304" t="str">
        <f t="shared" si="480"/>
        <v/>
      </c>
      <c r="AK1480" s="140" t="str">
        <f t="shared" si="481"/>
        <v/>
      </c>
    </row>
    <row r="1481" spans="7:37" x14ac:dyDescent="0.25">
      <c r="G1481" s="235" t="str">
        <f t="shared" si="470"/>
        <v/>
      </c>
      <c r="H1481" s="4" t="str">
        <f t="shared" si="492"/>
        <v/>
      </c>
      <c r="I1481" s="11" t="str">
        <f t="shared" si="471"/>
        <v/>
      </c>
      <c r="K1481" s="30">
        <v>559</v>
      </c>
      <c r="L1481" s="29">
        <f t="shared" si="482"/>
        <v>11371.908376190921</v>
      </c>
      <c r="M1481" s="28" t="str">
        <f t="shared" si="472"/>
        <v/>
      </c>
      <c r="N1481" s="27" t="str">
        <f t="shared" si="483"/>
        <v/>
      </c>
      <c r="O1481" s="26" t="str">
        <f>IF(AND($Q1480=$O$38,IFERROR(LARGE($V$923:$V1480,1)&lt;$N$42,TRUE)),1,IF(AND(ISNUMBER($O1480),$O1480&lt;$N$32),$O1480+1,""))</f>
        <v/>
      </c>
      <c r="P1481" s="26" t="str">
        <f t="shared" si="484"/>
        <v/>
      </c>
      <c r="Q1481" s="26" t="str">
        <f t="shared" si="473"/>
        <v/>
      </c>
      <c r="R1481" s="24" t="str">
        <f t="shared" si="485"/>
        <v/>
      </c>
      <c r="S1481" s="180">
        <f t="shared" si="491"/>
        <v>8</v>
      </c>
      <c r="T1481" s="29">
        <f>SUM($AC$923:$AC1481)</f>
        <v>49500</v>
      </c>
      <c r="U1481" s="25" t="str">
        <f t="shared" si="474"/>
        <v/>
      </c>
      <c r="V1481" s="24" t="str">
        <f>IF(AND(ISNUMBER(R1480),ISNUMBER(R1481)),V1480,IF(AND(R1480="",ISNUMBER(R1481)),IFERROR(LARGE($V$923:$V1480,1)+1,0),""))</f>
        <v/>
      </c>
      <c r="W1481" s="23" t="str">
        <f t="shared" si="486"/>
        <v/>
      </c>
      <c r="X1481" s="22" t="str">
        <f t="shared" si="487"/>
        <v/>
      </c>
      <c r="Y1481" s="236"/>
      <c r="Z1481" s="22"/>
      <c r="AA1481" s="22"/>
      <c r="AB1481" s="22" t="str">
        <f t="shared" si="488"/>
        <v/>
      </c>
      <c r="AC1481" s="22" t="str">
        <f t="shared" si="489"/>
        <v/>
      </c>
      <c r="AD1481" s="22" t="str">
        <f t="shared" si="475"/>
        <v/>
      </c>
      <c r="AE1481" s="22" t="str">
        <f t="shared" si="490"/>
        <v/>
      </c>
      <c r="AF1481" s="22" t="str">
        <f t="shared" si="476"/>
        <v/>
      </c>
      <c r="AG1481" s="22" t="str">
        <f t="shared" si="477"/>
        <v/>
      </c>
      <c r="AH1481" s="22" t="str">
        <f t="shared" si="478"/>
        <v/>
      </c>
      <c r="AI1481" s="22" t="str">
        <f t="shared" si="479"/>
        <v/>
      </c>
      <c r="AJ1481" s="304" t="str">
        <f t="shared" si="480"/>
        <v/>
      </c>
      <c r="AK1481" s="140" t="str">
        <f t="shared" si="481"/>
        <v/>
      </c>
    </row>
    <row r="1482" spans="7:37" x14ac:dyDescent="0.25">
      <c r="G1482" s="235" t="str">
        <f t="shared" si="470"/>
        <v/>
      </c>
      <c r="H1482" s="4" t="str">
        <f t="shared" si="492"/>
        <v/>
      </c>
      <c r="I1482" s="11" t="str">
        <f t="shared" si="471"/>
        <v/>
      </c>
      <c r="K1482" s="30">
        <v>560</v>
      </c>
      <c r="L1482" s="29">
        <f t="shared" si="482"/>
        <v>11371.908376190921</v>
      </c>
      <c r="M1482" s="28" t="str">
        <f t="shared" si="472"/>
        <v/>
      </c>
      <c r="N1482" s="27" t="str">
        <f t="shared" si="483"/>
        <v/>
      </c>
      <c r="O1482" s="26" t="str">
        <f>IF(AND($Q1481=$O$38,IFERROR(LARGE($V$923:$V1481,1)&lt;$N$42,TRUE)),1,IF(AND(ISNUMBER($O1481),$O1481&lt;$N$32),$O1481+1,""))</f>
        <v/>
      </c>
      <c r="P1482" s="26" t="str">
        <f t="shared" si="484"/>
        <v/>
      </c>
      <c r="Q1482" s="26" t="str">
        <f t="shared" si="473"/>
        <v/>
      </c>
      <c r="R1482" s="24" t="str">
        <f t="shared" si="485"/>
        <v/>
      </c>
      <c r="S1482" s="180">
        <f t="shared" si="491"/>
        <v>8</v>
      </c>
      <c r="T1482" s="29">
        <f>SUM($AC$923:$AC1482)</f>
        <v>49500</v>
      </c>
      <c r="U1482" s="25" t="str">
        <f t="shared" si="474"/>
        <v/>
      </c>
      <c r="V1482" s="24" t="str">
        <f>IF(AND(ISNUMBER(R1481),ISNUMBER(R1482)),V1481,IF(AND(R1481="",ISNUMBER(R1482)),IFERROR(LARGE($V$923:$V1481,1)+1,0),""))</f>
        <v/>
      </c>
      <c r="W1482" s="23" t="str">
        <f t="shared" si="486"/>
        <v/>
      </c>
      <c r="X1482" s="22" t="str">
        <f t="shared" si="487"/>
        <v/>
      </c>
      <c r="Y1482" s="236"/>
      <c r="Z1482" s="22"/>
      <c r="AA1482" s="22"/>
      <c r="AB1482" s="22" t="str">
        <f t="shared" si="488"/>
        <v/>
      </c>
      <c r="AC1482" s="22" t="str">
        <f t="shared" si="489"/>
        <v/>
      </c>
      <c r="AD1482" s="22" t="str">
        <f t="shared" si="475"/>
        <v/>
      </c>
      <c r="AE1482" s="22" t="str">
        <f t="shared" si="490"/>
        <v/>
      </c>
      <c r="AF1482" s="22" t="str">
        <f t="shared" si="476"/>
        <v/>
      </c>
      <c r="AG1482" s="22" t="str">
        <f t="shared" si="477"/>
        <v/>
      </c>
      <c r="AH1482" s="22" t="str">
        <f t="shared" si="478"/>
        <v/>
      </c>
      <c r="AI1482" s="22" t="str">
        <f t="shared" si="479"/>
        <v/>
      </c>
      <c r="AJ1482" s="304" t="str">
        <f t="shared" si="480"/>
        <v/>
      </c>
      <c r="AK1482" s="140" t="str">
        <f t="shared" si="481"/>
        <v/>
      </c>
    </row>
    <row r="1483" spans="7:37" x14ac:dyDescent="0.25">
      <c r="G1483" s="235" t="str">
        <f t="shared" si="470"/>
        <v/>
      </c>
      <c r="H1483" s="4" t="str">
        <f t="shared" si="492"/>
        <v/>
      </c>
      <c r="I1483" s="11" t="str">
        <f t="shared" si="471"/>
        <v/>
      </c>
      <c r="K1483" s="30">
        <v>561</v>
      </c>
      <c r="L1483" s="29">
        <f t="shared" si="482"/>
        <v>11371.908376190921</v>
      </c>
      <c r="M1483" s="28" t="str">
        <f t="shared" si="472"/>
        <v/>
      </c>
      <c r="N1483" s="27" t="str">
        <f t="shared" si="483"/>
        <v/>
      </c>
      <c r="O1483" s="26" t="str">
        <f>IF(AND($Q1482=$O$38,IFERROR(LARGE($V$923:$V1482,1)&lt;$N$42,TRUE)),1,IF(AND(ISNUMBER($O1482),$O1482&lt;$N$32),$O1482+1,""))</f>
        <v/>
      </c>
      <c r="P1483" s="26" t="str">
        <f t="shared" si="484"/>
        <v/>
      </c>
      <c r="Q1483" s="26" t="str">
        <f t="shared" si="473"/>
        <v/>
      </c>
      <c r="R1483" s="24" t="str">
        <f t="shared" si="485"/>
        <v/>
      </c>
      <c r="S1483" s="180">
        <f t="shared" si="491"/>
        <v>8</v>
      </c>
      <c r="T1483" s="29">
        <f>SUM($AC$923:$AC1483)</f>
        <v>49500</v>
      </c>
      <c r="U1483" s="25" t="str">
        <f t="shared" si="474"/>
        <v/>
      </c>
      <c r="V1483" s="24" t="str">
        <f>IF(AND(ISNUMBER(R1482),ISNUMBER(R1483)),V1482,IF(AND(R1482="",ISNUMBER(R1483)),IFERROR(LARGE($V$923:$V1482,1)+1,0),""))</f>
        <v/>
      </c>
      <c r="W1483" s="23" t="str">
        <f t="shared" si="486"/>
        <v/>
      </c>
      <c r="X1483" s="22" t="str">
        <f t="shared" si="487"/>
        <v/>
      </c>
      <c r="Y1483" s="236"/>
      <c r="Z1483" s="22"/>
      <c r="AA1483" s="22"/>
      <c r="AB1483" s="22" t="str">
        <f t="shared" si="488"/>
        <v/>
      </c>
      <c r="AC1483" s="22" t="str">
        <f t="shared" si="489"/>
        <v/>
      </c>
      <c r="AD1483" s="22" t="str">
        <f t="shared" si="475"/>
        <v/>
      </c>
      <c r="AE1483" s="22" t="str">
        <f t="shared" si="490"/>
        <v/>
      </c>
      <c r="AF1483" s="22" t="str">
        <f t="shared" si="476"/>
        <v/>
      </c>
      <c r="AG1483" s="22" t="str">
        <f t="shared" si="477"/>
        <v/>
      </c>
      <c r="AH1483" s="22" t="str">
        <f t="shared" si="478"/>
        <v/>
      </c>
      <c r="AI1483" s="22" t="str">
        <f t="shared" si="479"/>
        <v/>
      </c>
      <c r="AJ1483" s="304" t="str">
        <f t="shared" si="480"/>
        <v/>
      </c>
      <c r="AK1483" s="140" t="str">
        <f t="shared" si="481"/>
        <v/>
      </c>
    </row>
    <row r="1484" spans="7:37" x14ac:dyDescent="0.25">
      <c r="G1484" s="235" t="str">
        <f t="shared" si="470"/>
        <v/>
      </c>
      <c r="H1484" s="4" t="str">
        <f t="shared" si="492"/>
        <v/>
      </c>
      <c r="I1484" s="11" t="str">
        <f t="shared" si="471"/>
        <v/>
      </c>
      <c r="K1484" s="30">
        <v>562</v>
      </c>
      <c r="L1484" s="29">
        <f t="shared" si="482"/>
        <v>11371.908376190921</v>
      </c>
      <c r="M1484" s="28" t="str">
        <f t="shared" si="472"/>
        <v/>
      </c>
      <c r="N1484" s="27" t="str">
        <f t="shared" si="483"/>
        <v/>
      </c>
      <c r="O1484" s="26" t="str">
        <f>IF(AND($Q1483=$O$38,IFERROR(LARGE($V$923:$V1483,1)&lt;$N$42,TRUE)),1,IF(AND(ISNUMBER($O1483),$O1483&lt;$N$32),$O1483+1,""))</f>
        <v/>
      </c>
      <c r="P1484" s="26" t="str">
        <f t="shared" si="484"/>
        <v/>
      </c>
      <c r="Q1484" s="26" t="str">
        <f t="shared" si="473"/>
        <v/>
      </c>
      <c r="R1484" s="24" t="str">
        <f t="shared" si="485"/>
        <v/>
      </c>
      <c r="S1484" s="180">
        <f t="shared" si="491"/>
        <v>8</v>
      </c>
      <c r="T1484" s="29">
        <f>SUM($AC$923:$AC1484)</f>
        <v>49500</v>
      </c>
      <c r="U1484" s="25" t="str">
        <f t="shared" si="474"/>
        <v/>
      </c>
      <c r="V1484" s="24" t="str">
        <f>IF(AND(ISNUMBER(R1483),ISNUMBER(R1484)),V1483,IF(AND(R1483="",ISNUMBER(R1484)),IFERROR(LARGE($V$923:$V1483,1)+1,0),""))</f>
        <v/>
      </c>
      <c r="W1484" s="23" t="str">
        <f t="shared" si="486"/>
        <v/>
      </c>
      <c r="X1484" s="22" t="str">
        <f t="shared" si="487"/>
        <v/>
      </c>
      <c r="Y1484" s="236"/>
      <c r="Z1484" s="22"/>
      <c r="AA1484" s="22"/>
      <c r="AB1484" s="22" t="str">
        <f t="shared" si="488"/>
        <v/>
      </c>
      <c r="AC1484" s="22" t="str">
        <f t="shared" si="489"/>
        <v/>
      </c>
      <c r="AD1484" s="22" t="str">
        <f t="shared" si="475"/>
        <v/>
      </c>
      <c r="AE1484" s="22" t="str">
        <f t="shared" si="490"/>
        <v/>
      </c>
      <c r="AF1484" s="22" t="str">
        <f t="shared" si="476"/>
        <v/>
      </c>
      <c r="AG1484" s="22" t="str">
        <f t="shared" si="477"/>
        <v/>
      </c>
      <c r="AH1484" s="22" t="str">
        <f t="shared" si="478"/>
        <v/>
      </c>
      <c r="AI1484" s="22" t="str">
        <f t="shared" si="479"/>
        <v/>
      </c>
      <c r="AJ1484" s="304" t="str">
        <f t="shared" si="480"/>
        <v/>
      </c>
      <c r="AK1484" s="140" t="str">
        <f t="shared" si="481"/>
        <v/>
      </c>
    </row>
    <row r="1485" spans="7:37" x14ac:dyDescent="0.25">
      <c r="G1485" s="235" t="str">
        <f t="shared" si="470"/>
        <v/>
      </c>
      <c r="H1485" s="4" t="str">
        <f t="shared" si="492"/>
        <v/>
      </c>
      <c r="I1485" s="11" t="str">
        <f t="shared" si="471"/>
        <v/>
      </c>
      <c r="K1485" s="30">
        <v>563</v>
      </c>
      <c r="L1485" s="29">
        <f t="shared" si="482"/>
        <v>11371.908376190921</v>
      </c>
      <c r="M1485" s="28" t="str">
        <f t="shared" si="472"/>
        <v/>
      </c>
      <c r="N1485" s="27" t="str">
        <f t="shared" si="483"/>
        <v/>
      </c>
      <c r="O1485" s="26" t="str">
        <f>IF(AND($Q1484=$O$38,IFERROR(LARGE($V$923:$V1484,1)&lt;$N$42,TRUE)),1,IF(AND(ISNUMBER($O1484),$O1484&lt;$N$32),$O1484+1,""))</f>
        <v/>
      </c>
      <c r="P1485" s="26" t="str">
        <f t="shared" si="484"/>
        <v/>
      </c>
      <c r="Q1485" s="26" t="str">
        <f t="shared" si="473"/>
        <v/>
      </c>
      <c r="R1485" s="24" t="str">
        <f t="shared" si="485"/>
        <v/>
      </c>
      <c r="S1485" s="180">
        <f t="shared" si="491"/>
        <v>8</v>
      </c>
      <c r="T1485" s="29">
        <f>SUM($AC$923:$AC1485)</f>
        <v>49500</v>
      </c>
      <c r="U1485" s="25" t="str">
        <f t="shared" si="474"/>
        <v/>
      </c>
      <c r="V1485" s="24" t="str">
        <f>IF(AND(ISNUMBER(R1484),ISNUMBER(R1485)),V1484,IF(AND(R1484="",ISNUMBER(R1485)),IFERROR(LARGE($V$923:$V1484,1)+1,0),""))</f>
        <v/>
      </c>
      <c r="W1485" s="23" t="str">
        <f t="shared" si="486"/>
        <v/>
      </c>
      <c r="X1485" s="22" t="str">
        <f t="shared" si="487"/>
        <v/>
      </c>
      <c r="Y1485" s="236"/>
      <c r="Z1485" s="22"/>
      <c r="AA1485" s="22"/>
      <c r="AB1485" s="22" t="str">
        <f t="shared" si="488"/>
        <v/>
      </c>
      <c r="AC1485" s="22" t="str">
        <f t="shared" si="489"/>
        <v/>
      </c>
      <c r="AD1485" s="22" t="str">
        <f t="shared" si="475"/>
        <v/>
      </c>
      <c r="AE1485" s="22" t="str">
        <f t="shared" si="490"/>
        <v/>
      </c>
      <c r="AF1485" s="22" t="str">
        <f t="shared" si="476"/>
        <v/>
      </c>
      <c r="AG1485" s="22" t="str">
        <f t="shared" si="477"/>
        <v/>
      </c>
      <c r="AH1485" s="22" t="str">
        <f t="shared" si="478"/>
        <v/>
      </c>
      <c r="AI1485" s="22" t="str">
        <f t="shared" si="479"/>
        <v/>
      </c>
      <c r="AJ1485" s="304" t="str">
        <f t="shared" si="480"/>
        <v/>
      </c>
      <c r="AK1485" s="140" t="str">
        <f t="shared" si="481"/>
        <v/>
      </c>
    </row>
    <row r="1486" spans="7:37" x14ac:dyDescent="0.25">
      <c r="G1486" s="235" t="str">
        <f t="shared" si="470"/>
        <v/>
      </c>
      <c r="H1486" s="4" t="str">
        <f t="shared" si="492"/>
        <v/>
      </c>
      <c r="I1486" s="11" t="str">
        <f t="shared" si="471"/>
        <v/>
      </c>
      <c r="K1486" s="30">
        <v>564</v>
      </c>
      <c r="L1486" s="29">
        <f t="shared" si="482"/>
        <v>11371.908376190921</v>
      </c>
      <c r="M1486" s="28" t="str">
        <f t="shared" si="472"/>
        <v/>
      </c>
      <c r="N1486" s="27" t="str">
        <f t="shared" si="483"/>
        <v/>
      </c>
      <c r="O1486" s="26" t="str">
        <f>IF(AND($Q1485=$O$38,IFERROR(LARGE($V$923:$V1485,1)&lt;$N$42,TRUE)),1,IF(AND(ISNUMBER($O1485),$O1485&lt;$N$32),$O1485+1,""))</f>
        <v/>
      </c>
      <c r="P1486" s="26" t="str">
        <f t="shared" si="484"/>
        <v/>
      </c>
      <c r="Q1486" s="26" t="str">
        <f t="shared" si="473"/>
        <v/>
      </c>
      <c r="R1486" s="24" t="str">
        <f t="shared" si="485"/>
        <v/>
      </c>
      <c r="S1486" s="180">
        <f t="shared" si="491"/>
        <v>8</v>
      </c>
      <c r="T1486" s="29">
        <f>SUM($AC$923:$AC1486)</f>
        <v>49500</v>
      </c>
      <c r="U1486" s="25" t="str">
        <f t="shared" si="474"/>
        <v/>
      </c>
      <c r="V1486" s="24" t="str">
        <f>IF(AND(ISNUMBER(R1485),ISNUMBER(R1486)),V1485,IF(AND(R1485="",ISNUMBER(R1486)),IFERROR(LARGE($V$923:$V1485,1)+1,0),""))</f>
        <v/>
      </c>
      <c r="W1486" s="23" t="str">
        <f t="shared" si="486"/>
        <v/>
      </c>
      <c r="X1486" s="22" t="str">
        <f t="shared" si="487"/>
        <v/>
      </c>
      <c r="Y1486" s="236"/>
      <c r="Z1486" s="22"/>
      <c r="AA1486" s="22"/>
      <c r="AB1486" s="22" t="str">
        <f t="shared" si="488"/>
        <v/>
      </c>
      <c r="AC1486" s="22" t="str">
        <f t="shared" si="489"/>
        <v/>
      </c>
      <c r="AD1486" s="22" t="str">
        <f t="shared" si="475"/>
        <v/>
      </c>
      <c r="AE1486" s="22" t="str">
        <f t="shared" si="490"/>
        <v/>
      </c>
      <c r="AF1486" s="22" t="str">
        <f t="shared" si="476"/>
        <v/>
      </c>
      <c r="AG1486" s="22" t="str">
        <f t="shared" si="477"/>
        <v/>
      </c>
      <c r="AH1486" s="22" t="str">
        <f t="shared" si="478"/>
        <v/>
      </c>
      <c r="AI1486" s="22" t="str">
        <f t="shared" si="479"/>
        <v/>
      </c>
      <c r="AJ1486" s="304" t="str">
        <f t="shared" si="480"/>
        <v/>
      </c>
      <c r="AK1486" s="140" t="str">
        <f t="shared" si="481"/>
        <v/>
      </c>
    </row>
    <row r="1487" spans="7:37" x14ac:dyDescent="0.25">
      <c r="G1487" s="235" t="str">
        <f t="shared" si="470"/>
        <v/>
      </c>
      <c r="H1487" s="4" t="str">
        <f t="shared" si="492"/>
        <v/>
      </c>
      <c r="I1487" s="11" t="str">
        <f t="shared" si="471"/>
        <v/>
      </c>
      <c r="K1487" s="30">
        <v>565</v>
      </c>
      <c r="L1487" s="29">
        <f t="shared" si="482"/>
        <v>11371.908376190921</v>
      </c>
      <c r="M1487" s="28" t="str">
        <f t="shared" si="472"/>
        <v/>
      </c>
      <c r="N1487" s="27" t="str">
        <f t="shared" si="483"/>
        <v/>
      </c>
      <c r="O1487" s="26" t="str">
        <f>IF(AND($Q1486=$O$38,IFERROR(LARGE($V$923:$V1486,1)&lt;$N$42,TRUE)),1,IF(AND(ISNUMBER($O1486),$O1486&lt;$N$32),$O1486+1,""))</f>
        <v/>
      </c>
      <c r="P1487" s="26" t="str">
        <f t="shared" si="484"/>
        <v/>
      </c>
      <c r="Q1487" s="26" t="str">
        <f t="shared" si="473"/>
        <v/>
      </c>
      <c r="R1487" s="24" t="str">
        <f t="shared" si="485"/>
        <v/>
      </c>
      <c r="S1487" s="180">
        <f t="shared" si="491"/>
        <v>8</v>
      </c>
      <c r="T1487" s="29">
        <f>SUM($AC$923:$AC1487)</f>
        <v>49500</v>
      </c>
      <c r="U1487" s="25" t="str">
        <f t="shared" si="474"/>
        <v/>
      </c>
      <c r="V1487" s="24" t="str">
        <f>IF(AND(ISNUMBER(R1486),ISNUMBER(R1487)),V1486,IF(AND(R1486="",ISNUMBER(R1487)),IFERROR(LARGE($V$923:$V1486,1)+1,0),""))</f>
        <v/>
      </c>
      <c r="W1487" s="23" t="str">
        <f t="shared" si="486"/>
        <v/>
      </c>
      <c r="X1487" s="22" t="str">
        <f t="shared" si="487"/>
        <v/>
      </c>
      <c r="Y1487" s="236"/>
      <c r="Z1487" s="22"/>
      <c r="AA1487" s="22"/>
      <c r="AB1487" s="22" t="str">
        <f t="shared" si="488"/>
        <v/>
      </c>
      <c r="AC1487" s="22" t="str">
        <f t="shared" si="489"/>
        <v/>
      </c>
      <c r="AD1487" s="22" t="str">
        <f t="shared" si="475"/>
        <v/>
      </c>
      <c r="AE1487" s="22" t="str">
        <f t="shared" si="490"/>
        <v/>
      </c>
      <c r="AF1487" s="22" t="str">
        <f t="shared" si="476"/>
        <v/>
      </c>
      <c r="AG1487" s="22" t="str">
        <f t="shared" si="477"/>
        <v/>
      </c>
      <c r="AH1487" s="22" t="str">
        <f t="shared" si="478"/>
        <v/>
      </c>
      <c r="AI1487" s="22" t="str">
        <f t="shared" si="479"/>
        <v/>
      </c>
      <c r="AJ1487" s="304" t="str">
        <f t="shared" si="480"/>
        <v/>
      </c>
      <c r="AK1487" s="140" t="str">
        <f t="shared" si="481"/>
        <v/>
      </c>
    </row>
    <row r="1488" spans="7:37" x14ac:dyDescent="0.25">
      <c r="G1488" s="235" t="str">
        <f t="shared" si="470"/>
        <v/>
      </c>
      <c r="H1488" s="4" t="str">
        <f t="shared" si="492"/>
        <v/>
      </c>
      <c r="I1488" s="11" t="str">
        <f t="shared" si="471"/>
        <v/>
      </c>
      <c r="K1488" s="30">
        <v>566</v>
      </c>
      <c r="L1488" s="29">
        <f t="shared" si="482"/>
        <v>11371.908376190921</v>
      </c>
      <c r="M1488" s="28" t="str">
        <f t="shared" si="472"/>
        <v/>
      </c>
      <c r="N1488" s="27" t="str">
        <f t="shared" si="483"/>
        <v/>
      </c>
      <c r="O1488" s="26" t="str">
        <f>IF(AND($Q1487=$O$38,IFERROR(LARGE($V$923:$V1487,1)&lt;$N$42,TRUE)),1,IF(AND(ISNUMBER($O1487),$O1487&lt;$N$32),$O1487+1,""))</f>
        <v/>
      </c>
      <c r="P1488" s="26" t="str">
        <f t="shared" si="484"/>
        <v/>
      </c>
      <c r="Q1488" s="26" t="str">
        <f t="shared" si="473"/>
        <v/>
      </c>
      <c r="R1488" s="24" t="str">
        <f t="shared" si="485"/>
        <v/>
      </c>
      <c r="S1488" s="180">
        <f t="shared" si="491"/>
        <v>8</v>
      </c>
      <c r="T1488" s="29">
        <f>SUM($AC$923:$AC1488)</f>
        <v>49500</v>
      </c>
      <c r="U1488" s="25" t="str">
        <f t="shared" si="474"/>
        <v/>
      </c>
      <c r="V1488" s="24" t="str">
        <f>IF(AND(ISNUMBER(R1487),ISNUMBER(R1488)),V1487,IF(AND(R1487="",ISNUMBER(R1488)),IFERROR(LARGE($V$923:$V1487,1)+1,0),""))</f>
        <v/>
      </c>
      <c r="W1488" s="23" t="str">
        <f t="shared" si="486"/>
        <v/>
      </c>
      <c r="X1488" s="22" t="str">
        <f t="shared" si="487"/>
        <v/>
      </c>
      <c r="Y1488" s="236"/>
      <c r="Z1488" s="22"/>
      <c r="AA1488" s="22"/>
      <c r="AB1488" s="22" t="str">
        <f t="shared" si="488"/>
        <v/>
      </c>
      <c r="AC1488" s="22" t="str">
        <f t="shared" si="489"/>
        <v/>
      </c>
      <c r="AD1488" s="22" t="str">
        <f t="shared" si="475"/>
        <v/>
      </c>
      <c r="AE1488" s="22" t="str">
        <f t="shared" si="490"/>
        <v/>
      </c>
      <c r="AF1488" s="22" t="str">
        <f t="shared" si="476"/>
        <v/>
      </c>
      <c r="AG1488" s="22" t="str">
        <f t="shared" si="477"/>
        <v/>
      </c>
      <c r="AH1488" s="22" t="str">
        <f t="shared" si="478"/>
        <v/>
      </c>
      <c r="AI1488" s="22" t="str">
        <f t="shared" si="479"/>
        <v/>
      </c>
      <c r="AJ1488" s="304" t="str">
        <f t="shared" si="480"/>
        <v/>
      </c>
      <c r="AK1488" s="140" t="str">
        <f t="shared" si="481"/>
        <v/>
      </c>
    </row>
    <row r="1489" spans="7:37" x14ac:dyDescent="0.25">
      <c r="G1489" s="235" t="str">
        <f t="shared" si="470"/>
        <v/>
      </c>
      <c r="H1489" s="4" t="str">
        <f t="shared" si="492"/>
        <v/>
      </c>
      <c r="I1489" s="11" t="str">
        <f t="shared" si="471"/>
        <v/>
      </c>
      <c r="K1489" s="30">
        <v>567</v>
      </c>
      <c r="L1489" s="29">
        <f t="shared" si="482"/>
        <v>11371.908376190921</v>
      </c>
      <c r="M1489" s="28" t="str">
        <f t="shared" si="472"/>
        <v/>
      </c>
      <c r="N1489" s="27" t="str">
        <f t="shared" si="483"/>
        <v/>
      </c>
      <c r="O1489" s="26" t="str">
        <f>IF(AND($Q1488=$O$38,IFERROR(LARGE($V$923:$V1488,1)&lt;$N$42,TRUE)),1,IF(AND(ISNUMBER($O1488),$O1488&lt;$N$32),$O1488+1,""))</f>
        <v/>
      </c>
      <c r="P1489" s="26" t="str">
        <f t="shared" si="484"/>
        <v/>
      </c>
      <c r="Q1489" s="26" t="str">
        <f t="shared" si="473"/>
        <v/>
      </c>
      <c r="R1489" s="24" t="str">
        <f t="shared" si="485"/>
        <v/>
      </c>
      <c r="S1489" s="180">
        <f t="shared" si="491"/>
        <v>8</v>
      </c>
      <c r="T1489" s="29">
        <f>SUM($AC$923:$AC1489)</f>
        <v>49500</v>
      </c>
      <c r="U1489" s="25" t="str">
        <f t="shared" si="474"/>
        <v/>
      </c>
      <c r="V1489" s="24" t="str">
        <f>IF(AND(ISNUMBER(R1488),ISNUMBER(R1489)),V1488,IF(AND(R1488="",ISNUMBER(R1489)),IFERROR(LARGE($V$923:$V1488,1)+1,0),""))</f>
        <v/>
      </c>
      <c r="W1489" s="23" t="str">
        <f t="shared" si="486"/>
        <v/>
      </c>
      <c r="X1489" s="22" t="str">
        <f t="shared" si="487"/>
        <v/>
      </c>
      <c r="Y1489" s="236"/>
      <c r="Z1489" s="22"/>
      <c r="AA1489" s="22"/>
      <c r="AB1489" s="22" t="str">
        <f t="shared" si="488"/>
        <v/>
      </c>
      <c r="AC1489" s="22" t="str">
        <f t="shared" si="489"/>
        <v/>
      </c>
      <c r="AD1489" s="22" t="str">
        <f t="shared" si="475"/>
        <v/>
      </c>
      <c r="AE1489" s="22" t="str">
        <f t="shared" si="490"/>
        <v/>
      </c>
      <c r="AF1489" s="22" t="str">
        <f t="shared" si="476"/>
        <v/>
      </c>
      <c r="AG1489" s="22" t="str">
        <f t="shared" si="477"/>
        <v/>
      </c>
      <c r="AH1489" s="22" t="str">
        <f t="shared" si="478"/>
        <v/>
      </c>
      <c r="AI1489" s="22" t="str">
        <f t="shared" si="479"/>
        <v/>
      </c>
      <c r="AJ1489" s="304" t="str">
        <f t="shared" si="480"/>
        <v/>
      </c>
      <c r="AK1489" s="140" t="str">
        <f t="shared" si="481"/>
        <v/>
      </c>
    </row>
    <row r="1490" spans="7:37" x14ac:dyDescent="0.25">
      <c r="G1490" s="235" t="str">
        <f t="shared" si="470"/>
        <v/>
      </c>
      <c r="H1490" s="4" t="str">
        <f t="shared" si="492"/>
        <v/>
      </c>
      <c r="I1490" s="11" t="str">
        <f t="shared" si="471"/>
        <v/>
      </c>
      <c r="K1490" s="30">
        <v>568</v>
      </c>
      <c r="L1490" s="29">
        <f t="shared" si="482"/>
        <v>11371.908376190921</v>
      </c>
      <c r="M1490" s="28" t="str">
        <f t="shared" si="472"/>
        <v/>
      </c>
      <c r="N1490" s="27" t="str">
        <f t="shared" si="483"/>
        <v/>
      </c>
      <c r="O1490" s="26" t="str">
        <f>IF(AND($Q1489=$O$38,IFERROR(LARGE($V$923:$V1489,1)&lt;$N$42,TRUE)),1,IF(AND(ISNUMBER($O1489),$O1489&lt;$N$32),$O1489+1,""))</f>
        <v/>
      </c>
      <c r="P1490" s="26" t="str">
        <f t="shared" si="484"/>
        <v/>
      </c>
      <c r="Q1490" s="26" t="str">
        <f t="shared" si="473"/>
        <v/>
      </c>
      <c r="R1490" s="24" t="str">
        <f t="shared" si="485"/>
        <v/>
      </c>
      <c r="S1490" s="180">
        <f t="shared" si="491"/>
        <v>8</v>
      </c>
      <c r="T1490" s="29">
        <f>SUM($AC$923:$AC1490)</f>
        <v>49500</v>
      </c>
      <c r="U1490" s="25" t="str">
        <f t="shared" si="474"/>
        <v/>
      </c>
      <c r="V1490" s="24" t="str">
        <f>IF(AND(ISNUMBER(R1489),ISNUMBER(R1490)),V1489,IF(AND(R1489="",ISNUMBER(R1490)),IFERROR(LARGE($V$923:$V1489,1)+1,0),""))</f>
        <v/>
      </c>
      <c r="W1490" s="23" t="str">
        <f t="shared" si="486"/>
        <v/>
      </c>
      <c r="X1490" s="22" t="str">
        <f t="shared" si="487"/>
        <v/>
      </c>
      <c r="Y1490" s="236"/>
      <c r="Z1490" s="22"/>
      <c r="AA1490" s="22"/>
      <c r="AB1490" s="22" t="str">
        <f t="shared" si="488"/>
        <v/>
      </c>
      <c r="AC1490" s="22" t="str">
        <f t="shared" si="489"/>
        <v/>
      </c>
      <c r="AD1490" s="22" t="str">
        <f t="shared" si="475"/>
        <v/>
      </c>
      <c r="AE1490" s="22" t="str">
        <f t="shared" si="490"/>
        <v/>
      </c>
      <c r="AF1490" s="22" t="str">
        <f t="shared" si="476"/>
        <v/>
      </c>
      <c r="AG1490" s="22" t="str">
        <f t="shared" si="477"/>
        <v/>
      </c>
      <c r="AH1490" s="22" t="str">
        <f t="shared" si="478"/>
        <v/>
      </c>
      <c r="AI1490" s="22" t="str">
        <f t="shared" si="479"/>
        <v/>
      </c>
      <c r="AJ1490" s="304" t="str">
        <f t="shared" si="480"/>
        <v/>
      </c>
      <c r="AK1490" s="140" t="str">
        <f t="shared" si="481"/>
        <v/>
      </c>
    </row>
    <row r="1491" spans="7:37" x14ac:dyDescent="0.25">
      <c r="G1491" s="235" t="str">
        <f t="shared" si="470"/>
        <v/>
      </c>
      <c r="H1491" s="4" t="str">
        <f t="shared" si="492"/>
        <v/>
      </c>
      <c r="I1491" s="11" t="str">
        <f t="shared" si="471"/>
        <v/>
      </c>
      <c r="K1491" s="30">
        <v>569</v>
      </c>
      <c r="L1491" s="29">
        <f t="shared" si="482"/>
        <v>11371.908376190921</v>
      </c>
      <c r="M1491" s="28" t="str">
        <f t="shared" si="472"/>
        <v/>
      </c>
      <c r="N1491" s="27" t="str">
        <f t="shared" si="483"/>
        <v/>
      </c>
      <c r="O1491" s="26" t="str">
        <f>IF(AND($Q1490=$O$38,IFERROR(LARGE($V$923:$V1490,1)&lt;$N$42,TRUE)),1,IF(AND(ISNUMBER($O1490),$O1490&lt;$N$32),$O1490+1,""))</f>
        <v/>
      </c>
      <c r="P1491" s="26" t="str">
        <f t="shared" si="484"/>
        <v/>
      </c>
      <c r="Q1491" s="26" t="str">
        <f t="shared" si="473"/>
        <v/>
      </c>
      <c r="R1491" s="24" t="str">
        <f t="shared" si="485"/>
        <v/>
      </c>
      <c r="S1491" s="180">
        <f t="shared" si="491"/>
        <v>8</v>
      </c>
      <c r="T1491" s="29">
        <f>SUM($AC$923:$AC1491)</f>
        <v>49500</v>
      </c>
      <c r="U1491" s="25" t="str">
        <f t="shared" si="474"/>
        <v/>
      </c>
      <c r="V1491" s="24" t="str">
        <f>IF(AND(ISNUMBER(R1490),ISNUMBER(R1491)),V1490,IF(AND(R1490="",ISNUMBER(R1491)),IFERROR(LARGE($V$923:$V1490,1)+1,0),""))</f>
        <v/>
      </c>
      <c r="W1491" s="23" t="str">
        <f t="shared" si="486"/>
        <v/>
      </c>
      <c r="X1491" s="22" t="str">
        <f t="shared" si="487"/>
        <v/>
      </c>
      <c r="Y1491" s="236"/>
      <c r="Z1491" s="22"/>
      <c r="AA1491" s="22"/>
      <c r="AB1491" s="22" t="str">
        <f t="shared" si="488"/>
        <v/>
      </c>
      <c r="AC1491" s="22" t="str">
        <f t="shared" si="489"/>
        <v/>
      </c>
      <c r="AD1491" s="22" t="str">
        <f t="shared" si="475"/>
        <v/>
      </c>
      <c r="AE1491" s="22" t="str">
        <f t="shared" si="490"/>
        <v/>
      </c>
      <c r="AF1491" s="22" t="str">
        <f t="shared" si="476"/>
        <v/>
      </c>
      <c r="AG1491" s="22" t="str">
        <f t="shared" si="477"/>
        <v/>
      </c>
      <c r="AH1491" s="22" t="str">
        <f t="shared" si="478"/>
        <v/>
      </c>
      <c r="AI1491" s="22" t="str">
        <f t="shared" si="479"/>
        <v/>
      </c>
      <c r="AJ1491" s="304" t="str">
        <f t="shared" si="480"/>
        <v/>
      </c>
      <c r="AK1491" s="140" t="str">
        <f t="shared" si="481"/>
        <v/>
      </c>
    </row>
    <row r="1492" spans="7:37" x14ac:dyDescent="0.25">
      <c r="G1492" s="235" t="str">
        <f t="shared" si="470"/>
        <v/>
      </c>
      <c r="H1492" s="4" t="str">
        <f t="shared" si="492"/>
        <v/>
      </c>
      <c r="I1492" s="11" t="str">
        <f t="shared" si="471"/>
        <v/>
      </c>
      <c r="K1492" s="30">
        <v>570</v>
      </c>
      <c r="L1492" s="29">
        <f t="shared" si="482"/>
        <v>11371.908376190921</v>
      </c>
      <c r="M1492" s="28" t="str">
        <f t="shared" si="472"/>
        <v/>
      </c>
      <c r="N1492" s="27" t="str">
        <f t="shared" si="483"/>
        <v/>
      </c>
      <c r="O1492" s="26" t="str">
        <f>IF(AND($Q1491=$O$38,IFERROR(LARGE($V$923:$V1491,1)&lt;$N$42,TRUE)),1,IF(AND(ISNUMBER($O1491),$O1491&lt;$N$32),$O1491+1,""))</f>
        <v/>
      </c>
      <c r="P1492" s="26" t="str">
        <f t="shared" si="484"/>
        <v/>
      </c>
      <c r="Q1492" s="26" t="str">
        <f t="shared" si="473"/>
        <v/>
      </c>
      <c r="R1492" s="24" t="str">
        <f t="shared" si="485"/>
        <v/>
      </c>
      <c r="S1492" s="180">
        <f t="shared" si="491"/>
        <v>8</v>
      </c>
      <c r="T1492" s="29">
        <f>SUM($AC$923:$AC1492)</f>
        <v>49500</v>
      </c>
      <c r="U1492" s="25" t="str">
        <f t="shared" si="474"/>
        <v/>
      </c>
      <c r="V1492" s="24" t="str">
        <f>IF(AND(ISNUMBER(R1491),ISNUMBER(R1492)),V1491,IF(AND(R1491="",ISNUMBER(R1492)),IFERROR(LARGE($V$923:$V1491,1)+1,0),""))</f>
        <v/>
      </c>
      <c r="W1492" s="23" t="str">
        <f t="shared" si="486"/>
        <v/>
      </c>
      <c r="X1492" s="22" t="str">
        <f t="shared" si="487"/>
        <v/>
      </c>
      <c r="Y1492" s="236"/>
      <c r="Z1492" s="22"/>
      <c r="AA1492" s="22"/>
      <c r="AB1492" s="22" t="str">
        <f t="shared" si="488"/>
        <v/>
      </c>
      <c r="AC1492" s="22" t="str">
        <f t="shared" si="489"/>
        <v/>
      </c>
      <c r="AD1492" s="22" t="str">
        <f t="shared" si="475"/>
        <v/>
      </c>
      <c r="AE1492" s="22" t="str">
        <f t="shared" si="490"/>
        <v/>
      </c>
      <c r="AF1492" s="22" t="str">
        <f t="shared" si="476"/>
        <v/>
      </c>
      <c r="AG1492" s="22" t="str">
        <f t="shared" si="477"/>
        <v/>
      </c>
      <c r="AH1492" s="22" t="str">
        <f t="shared" si="478"/>
        <v/>
      </c>
      <c r="AI1492" s="22" t="str">
        <f t="shared" si="479"/>
        <v/>
      </c>
      <c r="AJ1492" s="304" t="str">
        <f t="shared" si="480"/>
        <v/>
      </c>
      <c r="AK1492" s="140" t="str">
        <f t="shared" si="481"/>
        <v/>
      </c>
    </row>
    <row r="1493" spans="7:37" x14ac:dyDescent="0.25">
      <c r="G1493" s="235" t="str">
        <f t="shared" si="470"/>
        <v/>
      </c>
      <c r="H1493" s="4" t="str">
        <f t="shared" si="492"/>
        <v/>
      </c>
      <c r="I1493" s="11" t="str">
        <f t="shared" si="471"/>
        <v/>
      </c>
      <c r="K1493" s="30">
        <v>571</v>
      </c>
      <c r="L1493" s="29">
        <f t="shared" si="482"/>
        <v>11371.908376190921</v>
      </c>
      <c r="M1493" s="28" t="str">
        <f t="shared" si="472"/>
        <v/>
      </c>
      <c r="N1493" s="27" t="str">
        <f t="shared" si="483"/>
        <v/>
      </c>
      <c r="O1493" s="26" t="str">
        <f>IF(AND($Q1492=$O$38,IFERROR(LARGE($V$923:$V1492,1)&lt;$N$42,TRUE)),1,IF(AND(ISNUMBER($O1492),$O1492&lt;$N$32),$O1492+1,""))</f>
        <v/>
      </c>
      <c r="P1493" s="26" t="str">
        <f t="shared" si="484"/>
        <v/>
      </c>
      <c r="Q1493" s="26" t="str">
        <f t="shared" si="473"/>
        <v/>
      </c>
      <c r="R1493" s="24" t="str">
        <f t="shared" si="485"/>
        <v/>
      </c>
      <c r="S1493" s="180">
        <f t="shared" si="491"/>
        <v>8</v>
      </c>
      <c r="T1493" s="29">
        <f>SUM($AC$923:$AC1493)</f>
        <v>49500</v>
      </c>
      <c r="U1493" s="25" t="str">
        <f t="shared" si="474"/>
        <v/>
      </c>
      <c r="V1493" s="24" t="str">
        <f>IF(AND(ISNUMBER(R1492),ISNUMBER(R1493)),V1492,IF(AND(R1492="",ISNUMBER(R1493)),IFERROR(LARGE($V$923:$V1492,1)+1,0),""))</f>
        <v/>
      </c>
      <c r="W1493" s="23" t="str">
        <f t="shared" si="486"/>
        <v/>
      </c>
      <c r="X1493" s="22" t="str">
        <f t="shared" si="487"/>
        <v/>
      </c>
      <c r="Y1493" s="236"/>
      <c r="Z1493" s="22"/>
      <c r="AA1493" s="22"/>
      <c r="AB1493" s="22" t="str">
        <f t="shared" si="488"/>
        <v/>
      </c>
      <c r="AC1493" s="22" t="str">
        <f t="shared" si="489"/>
        <v/>
      </c>
      <c r="AD1493" s="22" t="str">
        <f t="shared" si="475"/>
        <v/>
      </c>
      <c r="AE1493" s="22" t="str">
        <f t="shared" si="490"/>
        <v/>
      </c>
      <c r="AF1493" s="22" t="str">
        <f t="shared" si="476"/>
        <v/>
      </c>
      <c r="AG1493" s="22" t="str">
        <f t="shared" si="477"/>
        <v/>
      </c>
      <c r="AH1493" s="22" t="str">
        <f t="shared" si="478"/>
        <v/>
      </c>
      <c r="AI1493" s="22" t="str">
        <f t="shared" si="479"/>
        <v/>
      </c>
      <c r="AJ1493" s="304" t="str">
        <f t="shared" si="480"/>
        <v/>
      </c>
      <c r="AK1493" s="140" t="str">
        <f t="shared" si="481"/>
        <v/>
      </c>
    </row>
    <row r="1494" spans="7:37" x14ac:dyDescent="0.25">
      <c r="G1494" s="235" t="str">
        <f t="shared" si="470"/>
        <v/>
      </c>
      <c r="H1494" s="4" t="str">
        <f t="shared" si="492"/>
        <v/>
      </c>
      <c r="I1494" s="11" t="str">
        <f t="shared" si="471"/>
        <v/>
      </c>
      <c r="K1494" s="30">
        <v>572</v>
      </c>
      <c r="L1494" s="29">
        <f t="shared" si="482"/>
        <v>11371.908376190921</v>
      </c>
      <c r="M1494" s="28" t="str">
        <f t="shared" si="472"/>
        <v/>
      </c>
      <c r="N1494" s="27" t="str">
        <f t="shared" si="483"/>
        <v/>
      </c>
      <c r="O1494" s="26" t="str">
        <f>IF(AND($Q1493=$O$38,IFERROR(LARGE($V$923:$V1493,1)&lt;$N$42,TRUE)),1,IF(AND(ISNUMBER($O1493),$O1493&lt;$N$32),$O1493+1,""))</f>
        <v/>
      </c>
      <c r="P1494" s="26" t="str">
        <f t="shared" si="484"/>
        <v/>
      </c>
      <c r="Q1494" s="26" t="str">
        <f t="shared" si="473"/>
        <v/>
      </c>
      <c r="R1494" s="24" t="str">
        <f t="shared" si="485"/>
        <v/>
      </c>
      <c r="S1494" s="180">
        <f t="shared" si="491"/>
        <v>8</v>
      </c>
      <c r="T1494" s="29">
        <f>SUM($AC$923:$AC1494)</f>
        <v>49500</v>
      </c>
      <c r="U1494" s="25" t="str">
        <f t="shared" si="474"/>
        <v/>
      </c>
      <c r="V1494" s="24" t="str">
        <f>IF(AND(ISNUMBER(R1493),ISNUMBER(R1494)),V1493,IF(AND(R1493="",ISNUMBER(R1494)),IFERROR(LARGE($V$923:$V1493,1)+1,0),""))</f>
        <v/>
      </c>
      <c r="W1494" s="23" t="str">
        <f t="shared" si="486"/>
        <v/>
      </c>
      <c r="X1494" s="22" t="str">
        <f t="shared" si="487"/>
        <v/>
      </c>
      <c r="Y1494" s="236"/>
      <c r="Z1494" s="22"/>
      <c r="AA1494" s="22"/>
      <c r="AB1494" s="22" t="str">
        <f t="shared" si="488"/>
        <v/>
      </c>
      <c r="AC1494" s="22" t="str">
        <f t="shared" si="489"/>
        <v/>
      </c>
      <c r="AD1494" s="22" t="str">
        <f t="shared" si="475"/>
        <v/>
      </c>
      <c r="AE1494" s="22" t="str">
        <f t="shared" si="490"/>
        <v/>
      </c>
      <c r="AF1494" s="22" t="str">
        <f t="shared" si="476"/>
        <v/>
      </c>
      <c r="AG1494" s="22" t="str">
        <f t="shared" si="477"/>
        <v/>
      </c>
      <c r="AH1494" s="22" t="str">
        <f t="shared" si="478"/>
        <v/>
      </c>
      <c r="AI1494" s="22" t="str">
        <f t="shared" si="479"/>
        <v/>
      </c>
      <c r="AJ1494" s="304" t="str">
        <f t="shared" si="480"/>
        <v/>
      </c>
      <c r="AK1494" s="140" t="str">
        <f t="shared" si="481"/>
        <v/>
      </c>
    </row>
    <row r="1495" spans="7:37" x14ac:dyDescent="0.25">
      <c r="G1495" s="235" t="str">
        <f t="shared" si="470"/>
        <v/>
      </c>
      <c r="H1495" s="4" t="str">
        <f t="shared" si="492"/>
        <v/>
      </c>
      <c r="I1495" s="11" t="str">
        <f t="shared" si="471"/>
        <v/>
      </c>
      <c r="K1495" s="30">
        <v>573</v>
      </c>
      <c r="L1495" s="29">
        <f t="shared" si="482"/>
        <v>11371.908376190921</v>
      </c>
      <c r="M1495" s="28" t="str">
        <f t="shared" si="472"/>
        <v/>
      </c>
      <c r="N1495" s="27" t="str">
        <f t="shared" si="483"/>
        <v/>
      </c>
      <c r="O1495" s="26" t="str">
        <f>IF(AND($Q1494=$O$38,IFERROR(LARGE($V$923:$V1494,1)&lt;$N$42,TRUE)),1,IF(AND(ISNUMBER($O1494),$O1494&lt;$N$32),$O1494+1,""))</f>
        <v/>
      </c>
      <c r="P1495" s="26" t="str">
        <f t="shared" si="484"/>
        <v/>
      </c>
      <c r="Q1495" s="26" t="str">
        <f t="shared" si="473"/>
        <v/>
      </c>
      <c r="R1495" s="24" t="str">
        <f t="shared" si="485"/>
        <v/>
      </c>
      <c r="S1495" s="180">
        <f t="shared" si="491"/>
        <v>8</v>
      </c>
      <c r="T1495" s="29">
        <f>SUM($AC$923:$AC1495)</f>
        <v>49500</v>
      </c>
      <c r="U1495" s="25" t="str">
        <f t="shared" si="474"/>
        <v/>
      </c>
      <c r="V1495" s="24" t="str">
        <f>IF(AND(ISNUMBER(R1494),ISNUMBER(R1495)),V1494,IF(AND(R1494="",ISNUMBER(R1495)),IFERROR(LARGE($V$923:$V1494,1)+1,0),""))</f>
        <v/>
      </c>
      <c r="W1495" s="23" t="str">
        <f t="shared" si="486"/>
        <v/>
      </c>
      <c r="X1495" s="22" t="str">
        <f t="shared" si="487"/>
        <v/>
      </c>
      <c r="Y1495" s="236"/>
      <c r="Z1495" s="22"/>
      <c r="AA1495" s="22"/>
      <c r="AB1495" s="22" t="str">
        <f t="shared" si="488"/>
        <v/>
      </c>
      <c r="AC1495" s="22" t="str">
        <f t="shared" si="489"/>
        <v/>
      </c>
      <c r="AD1495" s="22" t="str">
        <f t="shared" si="475"/>
        <v/>
      </c>
      <c r="AE1495" s="22" t="str">
        <f t="shared" si="490"/>
        <v/>
      </c>
      <c r="AF1495" s="22" t="str">
        <f t="shared" si="476"/>
        <v/>
      </c>
      <c r="AG1495" s="22" t="str">
        <f t="shared" si="477"/>
        <v/>
      </c>
      <c r="AH1495" s="22" t="str">
        <f t="shared" si="478"/>
        <v/>
      </c>
      <c r="AI1495" s="22" t="str">
        <f t="shared" si="479"/>
        <v/>
      </c>
      <c r="AJ1495" s="304" t="str">
        <f t="shared" si="480"/>
        <v/>
      </c>
      <c r="AK1495" s="140" t="str">
        <f t="shared" si="481"/>
        <v/>
      </c>
    </row>
    <row r="1496" spans="7:37" x14ac:dyDescent="0.25">
      <c r="G1496" s="235" t="str">
        <f t="shared" si="470"/>
        <v/>
      </c>
      <c r="H1496" s="4" t="str">
        <f t="shared" si="492"/>
        <v/>
      </c>
      <c r="I1496" s="11" t="str">
        <f t="shared" si="471"/>
        <v/>
      </c>
      <c r="K1496" s="30">
        <v>574</v>
      </c>
      <c r="L1496" s="29">
        <f t="shared" si="482"/>
        <v>11371.908376190921</v>
      </c>
      <c r="M1496" s="28" t="str">
        <f t="shared" si="472"/>
        <v/>
      </c>
      <c r="N1496" s="27" t="str">
        <f t="shared" si="483"/>
        <v/>
      </c>
      <c r="O1496" s="26" t="str">
        <f>IF(AND($Q1495=$O$38,IFERROR(LARGE($V$923:$V1495,1)&lt;$N$42,TRUE)),1,IF(AND(ISNUMBER($O1495),$O1495&lt;$N$32),$O1495+1,""))</f>
        <v/>
      </c>
      <c r="P1496" s="26" t="str">
        <f t="shared" si="484"/>
        <v/>
      </c>
      <c r="Q1496" s="26" t="str">
        <f t="shared" si="473"/>
        <v/>
      </c>
      <c r="R1496" s="24" t="str">
        <f t="shared" si="485"/>
        <v/>
      </c>
      <c r="S1496" s="180">
        <f t="shared" si="491"/>
        <v>8</v>
      </c>
      <c r="T1496" s="29">
        <f>SUM($AC$923:$AC1496)</f>
        <v>49500</v>
      </c>
      <c r="U1496" s="25" t="str">
        <f t="shared" si="474"/>
        <v/>
      </c>
      <c r="V1496" s="24" t="str">
        <f>IF(AND(ISNUMBER(R1495),ISNUMBER(R1496)),V1495,IF(AND(R1495="",ISNUMBER(R1496)),IFERROR(LARGE($V$923:$V1495,1)+1,0),""))</f>
        <v/>
      </c>
      <c r="W1496" s="23" t="str">
        <f t="shared" si="486"/>
        <v/>
      </c>
      <c r="X1496" s="22" t="str">
        <f t="shared" si="487"/>
        <v/>
      </c>
      <c r="Y1496" s="236"/>
      <c r="Z1496" s="22"/>
      <c r="AA1496" s="22"/>
      <c r="AB1496" s="22" t="str">
        <f t="shared" si="488"/>
        <v/>
      </c>
      <c r="AC1496" s="22" t="str">
        <f t="shared" si="489"/>
        <v/>
      </c>
      <c r="AD1496" s="22" t="str">
        <f t="shared" si="475"/>
        <v/>
      </c>
      <c r="AE1496" s="22" t="str">
        <f t="shared" si="490"/>
        <v/>
      </c>
      <c r="AF1496" s="22" t="str">
        <f t="shared" si="476"/>
        <v/>
      </c>
      <c r="AG1496" s="22" t="str">
        <f t="shared" si="477"/>
        <v/>
      </c>
      <c r="AH1496" s="22" t="str">
        <f t="shared" si="478"/>
        <v/>
      </c>
      <c r="AI1496" s="22" t="str">
        <f t="shared" si="479"/>
        <v/>
      </c>
      <c r="AJ1496" s="304" t="str">
        <f t="shared" si="480"/>
        <v/>
      </c>
      <c r="AK1496" s="140" t="str">
        <f t="shared" si="481"/>
        <v/>
      </c>
    </row>
    <row r="1497" spans="7:37" x14ac:dyDescent="0.25">
      <c r="G1497" s="235" t="str">
        <f t="shared" si="470"/>
        <v/>
      </c>
      <c r="H1497" s="4" t="str">
        <f t="shared" si="492"/>
        <v/>
      </c>
      <c r="I1497" s="11" t="str">
        <f t="shared" si="471"/>
        <v/>
      </c>
      <c r="K1497" s="30">
        <v>575</v>
      </c>
      <c r="L1497" s="29">
        <f t="shared" si="482"/>
        <v>11371.908376190921</v>
      </c>
      <c r="M1497" s="28" t="str">
        <f t="shared" si="472"/>
        <v/>
      </c>
      <c r="N1497" s="27" t="str">
        <f t="shared" si="483"/>
        <v/>
      </c>
      <c r="O1497" s="26" t="str">
        <f>IF(AND($Q1496=$O$38,IFERROR(LARGE($V$923:$V1496,1)&lt;$N$42,TRUE)),1,IF(AND(ISNUMBER($O1496),$O1496&lt;$N$32),$O1496+1,""))</f>
        <v/>
      </c>
      <c r="P1497" s="26" t="str">
        <f t="shared" si="484"/>
        <v/>
      </c>
      <c r="Q1497" s="26" t="str">
        <f t="shared" si="473"/>
        <v/>
      </c>
      <c r="R1497" s="24" t="str">
        <f t="shared" si="485"/>
        <v/>
      </c>
      <c r="S1497" s="180">
        <f t="shared" si="491"/>
        <v>8</v>
      </c>
      <c r="T1497" s="29">
        <f>SUM($AC$923:$AC1497)</f>
        <v>49500</v>
      </c>
      <c r="U1497" s="25" t="str">
        <f t="shared" si="474"/>
        <v/>
      </c>
      <c r="V1497" s="24" t="str">
        <f>IF(AND(ISNUMBER(R1496),ISNUMBER(R1497)),V1496,IF(AND(R1496="",ISNUMBER(R1497)),IFERROR(LARGE($V$923:$V1496,1)+1,0),""))</f>
        <v/>
      </c>
      <c r="W1497" s="23" t="str">
        <f t="shared" si="486"/>
        <v/>
      </c>
      <c r="X1497" s="22" t="str">
        <f t="shared" si="487"/>
        <v/>
      </c>
      <c r="Y1497" s="236"/>
      <c r="Z1497" s="22"/>
      <c r="AA1497" s="22"/>
      <c r="AB1497" s="22" t="str">
        <f t="shared" si="488"/>
        <v/>
      </c>
      <c r="AC1497" s="22" t="str">
        <f t="shared" si="489"/>
        <v/>
      </c>
      <c r="AD1497" s="22" t="str">
        <f t="shared" si="475"/>
        <v/>
      </c>
      <c r="AE1497" s="22" t="str">
        <f t="shared" si="490"/>
        <v/>
      </c>
      <c r="AF1497" s="22" t="str">
        <f t="shared" si="476"/>
        <v/>
      </c>
      <c r="AG1497" s="22" t="str">
        <f t="shared" si="477"/>
        <v/>
      </c>
      <c r="AH1497" s="22" t="str">
        <f t="shared" si="478"/>
        <v/>
      </c>
      <c r="AI1497" s="22" t="str">
        <f t="shared" si="479"/>
        <v/>
      </c>
      <c r="AJ1497" s="304" t="str">
        <f t="shared" si="480"/>
        <v/>
      </c>
      <c r="AK1497" s="140" t="str">
        <f t="shared" si="481"/>
        <v/>
      </c>
    </row>
    <row r="1498" spans="7:37" x14ac:dyDescent="0.25">
      <c r="G1498" s="235" t="str">
        <f t="shared" si="470"/>
        <v/>
      </c>
      <c r="H1498" s="4" t="str">
        <f t="shared" si="492"/>
        <v/>
      </c>
      <c r="I1498" s="11" t="str">
        <f t="shared" si="471"/>
        <v/>
      </c>
      <c r="K1498" s="30">
        <v>576</v>
      </c>
      <c r="L1498" s="29">
        <f t="shared" si="482"/>
        <v>11371.908376190921</v>
      </c>
      <c r="M1498" s="28" t="str">
        <f t="shared" si="472"/>
        <v/>
      </c>
      <c r="N1498" s="27" t="str">
        <f t="shared" si="483"/>
        <v/>
      </c>
      <c r="O1498" s="26" t="str">
        <f>IF(AND($Q1497=$O$38,IFERROR(LARGE($V$923:$V1497,1)&lt;$N$42,TRUE)),1,IF(AND(ISNUMBER($O1497),$O1497&lt;$N$32),$O1497+1,""))</f>
        <v/>
      </c>
      <c r="P1498" s="26" t="str">
        <f t="shared" si="484"/>
        <v/>
      </c>
      <c r="Q1498" s="26" t="str">
        <f t="shared" si="473"/>
        <v/>
      </c>
      <c r="R1498" s="24" t="str">
        <f t="shared" si="485"/>
        <v/>
      </c>
      <c r="S1498" s="180">
        <f t="shared" si="491"/>
        <v>8</v>
      </c>
      <c r="T1498" s="29">
        <f>SUM($AC$923:$AC1498)</f>
        <v>49500</v>
      </c>
      <c r="U1498" s="25" t="str">
        <f t="shared" si="474"/>
        <v/>
      </c>
      <c r="V1498" s="24" t="str">
        <f>IF(AND(ISNUMBER(R1497),ISNUMBER(R1498)),V1497,IF(AND(R1497="",ISNUMBER(R1498)),IFERROR(LARGE($V$923:$V1497,1)+1,0),""))</f>
        <v/>
      </c>
      <c r="W1498" s="23" t="str">
        <f t="shared" si="486"/>
        <v/>
      </c>
      <c r="X1498" s="22" t="str">
        <f t="shared" si="487"/>
        <v/>
      </c>
      <c r="Y1498" s="236"/>
      <c r="Z1498" s="22"/>
      <c r="AA1498" s="22"/>
      <c r="AB1498" s="22" t="str">
        <f t="shared" si="488"/>
        <v/>
      </c>
      <c r="AC1498" s="22" t="str">
        <f t="shared" si="489"/>
        <v/>
      </c>
      <c r="AD1498" s="22" t="str">
        <f t="shared" si="475"/>
        <v/>
      </c>
      <c r="AE1498" s="22" t="str">
        <f t="shared" si="490"/>
        <v/>
      </c>
      <c r="AF1498" s="22" t="str">
        <f t="shared" si="476"/>
        <v/>
      </c>
      <c r="AG1498" s="22" t="str">
        <f t="shared" si="477"/>
        <v/>
      </c>
      <c r="AH1498" s="22" t="str">
        <f t="shared" si="478"/>
        <v/>
      </c>
      <c r="AI1498" s="22" t="str">
        <f t="shared" si="479"/>
        <v/>
      </c>
      <c r="AJ1498" s="304" t="str">
        <f t="shared" si="480"/>
        <v/>
      </c>
      <c r="AK1498" s="140" t="str">
        <f t="shared" si="481"/>
        <v/>
      </c>
    </row>
    <row r="1499" spans="7:37" x14ac:dyDescent="0.25">
      <c r="G1499" s="235" t="str">
        <f t="shared" ref="G1499:G1562" si="493">IF(RIGHT(H1499,2)=".N","NEW",IF(SUM(N1499:R1499)=0,"",LEFT(H1499,5)))</f>
        <v/>
      </c>
      <c r="H1499" s="4" t="str">
        <f t="shared" si="492"/>
        <v/>
      </c>
      <c r="I1499" s="11" t="str">
        <f t="shared" ref="I1499:I1562" si="494">IF(SUM(N1499:R1499)&gt;0,CONCATENATE(IF(LEN(ROUNDDOWN(S1499,0))=1,CONCATENATE("0",ROUNDDOWN(S1499,0)),ROUNDDOWN(S1499,0)),".",IF(LEN(ROUND(MOD(S1499,1)*100,0))=1,CONCATENATE("0",ROUND(MOD(S1499,1)*100,0)),ROUND(MOD(S1499,1)*100,0)),IF(N1499&lt;&gt;"",".N.",IF(O1499&lt;&gt;"",".R.",IF(P1499&lt;&gt;"",".O.",IF(Q1499&lt;&gt;"",".I.",IF(R1499&lt;&gt;"",".D.",""))))),IF(N1499&lt;&gt;"",N1499,IF(O1499&lt;&gt;"",O1499,IF(P1499&lt;&gt;"",P1499,IF(Q1499&lt;&gt;"",Q1499,IF(R1499&lt;&gt;"",IF(MOD(R1499,$N$44)=0,$N$44,MOD(R1499,$N$44)),"")))))),"")</f>
        <v/>
      </c>
      <c r="K1499" s="30">
        <v>577</v>
      </c>
      <c r="L1499" s="29">
        <f t="shared" si="482"/>
        <v>11371.908376190921</v>
      </c>
      <c r="M1499" s="28" t="str">
        <f t="shared" ref="M1499:M1562" si="495">IFERROR(IF(IF($K1499=1,(($M$23*-1)+($M$24*-1)),IF(ISNUMBER(W1499),W1499,0)+IF(ISNUMBER(X1499),X1499,0)+IF(ISNUMBER(AB1499),AB1499,0)+IF(ISNUMBER(AE1499),AE1499,0)+IF(ISNUMBER(AF1499),AF1499,0)+IF(ISNUMBER(AG1499),AG1499,0)+IF(ISNUMBER(AH1499),AH1499,0)+IF(ISNUMBER(AI1499),AI1499,0)+IF(ISNUMBER(AK1499),AK1499,0))=0,"",IF($K1499=1,(($M$23*-1)+($M$24*-1)),IF(ISNUMBER(W1499),W1499,0)+IF(ISNUMBER(X1499),X1499,0)+IF(ISNUMBER(AB1499),AB1499,0)+IF(ISNUMBER(AE1499),AE1499,0)+IF(ISNUMBER(AF1499),AF1499,0)+IF(ISNUMBER(AG1499),AG1499,0)+IF(ISNUMBER(AH1499),AH1499,0)+IF(ISNUMBER(AI1499),AI1499,0)+IF(ISNUMBER(AK1499),AK1499,0))),"")</f>
        <v/>
      </c>
      <c r="N1499" s="27" t="str">
        <f t="shared" si="483"/>
        <v/>
      </c>
      <c r="O1499" s="26" t="str">
        <f>IF(AND($Q1498=$O$38,IFERROR(LARGE($V$923:$V1498,1)&lt;$N$42,TRUE)),1,IF(AND(ISNUMBER($O1498),$O1498&lt;$N$32),$O1498+1,""))</f>
        <v/>
      </c>
      <c r="P1499" s="26" t="str">
        <f t="shared" si="484"/>
        <v/>
      </c>
      <c r="Q1499" s="26" t="str">
        <f t="shared" ref="Q1499:Q1562" si="496">IF($R1498=($N$43*$N$44),1,IF(AND(ISNUMBER($Q1498),$Q1498&lt;$O$38),$Q1498+1,""))</f>
        <v/>
      </c>
      <c r="R1499" s="24" t="str">
        <f t="shared" si="485"/>
        <v/>
      </c>
      <c r="S1499" s="180">
        <f t="shared" si="491"/>
        <v>8</v>
      </c>
      <c r="T1499" s="29">
        <f>SUM($AC$923:$AC1499)</f>
        <v>49500</v>
      </c>
      <c r="U1499" s="25" t="str">
        <f t="shared" ref="U1499:U1562" si="497">IF(ISNUMBER($R1499),ROUNDUP($R1499/$N$44,0),"")</f>
        <v/>
      </c>
      <c r="V1499" s="24" t="str">
        <f>IF(AND(ISNUMBER(R1498),ISNUMBER(R1499)),V1498,IF(AND(R1498="",ISNUMBER(R1499)),IFERROR(LARGE($V$923:$V1498,1)+1,0),""))</f>
        <v/>
      </c>
      <c r="W1499" s="23" t="str">
        <f t="shared" si="486"/>
        <v/>
      </c>
      <c r="X1499" s="22" t="str">
        <f t="shared" si="487"/>
        <v/>
      </c>
      <c r="Y1499" s="236"/>
      <c r="Z1499" s="22"/>
      <c r="AA1499" s="22"/>
      <c r="AB1499" s="22" t="str">
        <f t="shared" si="488"/>
        <v/>
      </c>
      <c r="AC1499" s="22" t="str">
        <f t="shared" si="489"/>
        <v/>
      </c>
      <c r="AD1499" s="22" t="str">
        <f t="shared" ref="AD1499:AD1562" si="498">IF(IF(OR(AND(ISNUMBER($U1499),IF(ISNUMBER($U1500),$U1500,0)-IF(ISNUMBER($U1499),$U1499,0)=1),AND(ISNUMBER($U1499),$U1500="")),IF($U1499=1,$P$37,0),0)=0,"",IF(OR(AND(ISNUMBER($U1499),IF(ISNUMBER($U1500),$U1500,0)-IF(ISNUMBER($U1499),$U1499,0)=1),AND(ISNUMBER($U1499),$U1500="")),IF($U1499=1,$P$37,0),0))</f>
        <v/>
      </c>
      <c r="AE1499" s="22" t="str">
        <f t="shared" si="490"/>
        <v/>
      </c>
      <c r="AF1499" s="22" t="str">
        <f t="shared" ref="AF1499:AF1562" si="499">IF($O$67="Invoice",IF(AND(ISNUMBER($AC1499),ISNUMBER($O$68)),$AC1499*$O$68*-1,""),IF($O$67="Payment",IF(AND(ISNUMBER($AE1499),ISNUMBER($O$68)),$AE1499*$O$68*-1,""),""))</f>
        <v/>
      </c>
      <c r="AG1499" s="22" t="str">
        <f t="shared" ref="AG1499:AG1562" si="500">IF($O$67="Invoice",IF(AND(ISNUMBER($AC1499),ISNUMBER($O$69)),$AC1499*$O$69*-1,""),IF($O$67="Payment",IF(AND(ISNUMBER($AE1499),ISNUMBER($O$69)),$AE1499*$O$69*-1,""),""))</f>
        <v/>
      </c>
      <c r="AH1499" s="22" t="str">
        <f t="shared" ref="AH1499:AH1562" si="501">IF($O$67="Invoice",IF(AND(ISNUMBER($AC1499),ISNUMBER($O$70)),$AC1499*$O$70*-1,""),IF($O$67="Payment",IF(AND(ISNUMBER($AE1499),ISNUMBER($O$70)),$AE1499*$O$70*-1,""),""))</f>
        <v/>
      </c>
      <c r="AI1499" s="22" t="str">
        <f t="shared" ref="AI1499:AI1562" si="502">IF($O$67="Invoice",IF(AND(ISNUMBER($AC1499),ISNUMBER($O$71)),$AC1499*$O$71*-1,""),IF($O$67="Payment",IF(AND(ISNUMBER($AE1499),ISNUMBER($O$71)),$AE1499*$O$71*-1,""),""))</f>
        <v/>
      </c>
      <c r="AJ1499" s="304" t="str">
        <f t="shared" ref="AJ1499:AJ1562" si="503">IF($O$67="Invoice",IF(AND(ISNUMBER($AC1499),ISNUMBER($O$72)),$AC1499*$O$72*-1,""),IF($O$67="Payment",IF(AND(ISNUMBER($AE1499),ISNUMBER($O$72)),$AE1499*$O$72*-1,""),""))</f>
        <v/>
      </c>
      <c r="AK1499" s="140" t="str">
        <f t="shared" ref="AK1499:AK1562" si="504">IF($O$67="Invoice",IF(AND(ISNUMBER($AC1499),ISNUMBER($O$73)),$AC1499*$O$73*-1,""),IF($O$67="Payment",IF(AND(ISNUMBER($AE1499),ISNUMBER($O$73)),$AE1499*$O$73*-1,""),""))</f>
        <v/>
      </c>
    </row>
    <row r="1500" spans="7:37" x14ac:dyDescent="0.25">
      <c r="G1500" s="235" t="str">
        <f t="shared" si="493"/>
        <v/>
      </c>
      <c r="H1500" s="4" t="str">
        <f t="shared" si="492"/>
        <v/>
      </c>
      <c r="I1500" s="11" t="str">
        <f t="shared" si="494"/>
        <v/>
      </c>
      <c r="K1500" s="30">
        <v>578</v>
      </c>
      <c r="L1500" s="29">
        <f t="shared" ref="L1500:L1563" si="505">IF(ISNUMBER($M1500),$M1500+$L1499,$L1499)</f>
        <v>11371.908376190921</v>
      </c>
      <c r="M1500" s="28" t="str">
        <f t="shared" si="495"/>
        <v/>
      </c>
      <c r="N1500" s="27" t="str">
        <f t="shared" ref="N1500:N1563" si="506">IF($K1499&lt;$N$25,$N1499+1,"")</f>
        <v/>
      </c>
      <c r="O1500" s="26" t="str">
        <f>IF(AND($Q1499=$O$38,IFERROR(LARGE($V$923:$V1499,1)&lt;$N$42,TRUE)),1,IF(AND(ISNUMBER($O1499),$O1499&lt;$N$32),$O1499+1,""))</f>
        <v/>
      </c>
      <c r="P1500" s="26" t="str">
        <f t="shared" ref="P1500:P1563" si="507">IF(OR($N1499=$N$25,O1499=$N$32),1,IF(AND($P1499&lt;$O$37,P1499&gt;0),P1499+1,""))</f>
        <v/>
      </c>
      <c r="Q1500" s="26" t="str">
        <f t="shared" si="496"/>
        <v/>
      </c>
      <c r="R1500" s="24" t="str">
        <f t="shared" ref="R1500:R1563" si="508">IF(AND($P1499=$O$37,$R1499=""),1,IF($R1499&lt;($N$43*$N$44),$R1499+1,""))</f>
        <v/>
      </c>
      <c r="S1500" s="180">
        <f t="shared" si="491"/>
        <v>8</v>
      </c>
      <c r="T1500" s="29">
        <f>SUM($AC$923:$AC1500)</f>
        <v>49500</v>
      </c>
      <c r="U1500" s="25" t="str">
        <f t="shared" si="497"/>
        <v/>
      </c>
      <c r="V1500" s="24" t="str">
        <f>IF(AND(ISNUMBER(R1499),ISNUMBER(R1500)),V1499,IF(AND(R1499="",ISNUMBER(R1500)),IFERROR(LARGE($V$923:$V1499,1)+1,0),""))</f>
        <v/>
      </c>
      <c r="W1500" s="23" t="str">
        <f t="shared" ref="W1500:W1563" si="509">IF($O1500=1,($M$30*-1),"")</f>
        <v/>
      </c>
      <c r="X1500" s="22" t="str">
        <f t="shared" ref="X1500:X1563" si="510">IF($K1500=1,($M$24*-1),IF($O1500=1,($M$31*-1),""))</f>
        <v/>
      </c>
      <c r="Y1500" s="236"/>
      <c r="Z1500" s="22"/>
      <c r="AA1500" s="22"/>
      <c r="AB1500" s="22" t="str">
        <f t="shared" si="488"/>
        <v/>
      </c>
      <c r="AC1500" s="22" t="str">
        <f t="shared" si="489"/>
        <v/>
      </c>
      <c r="AD1500" s="22" t="str">
        <f t="shared" si="498"/>
        <v/>
      </c>
      <c r="AE1500" s="22" t="str">
        <f t="shared" si="490"/>
        <v/>
      </c>
      <c r="AF1500" s="22" t="str">
        <f t="shared" si="499"/>
        <v/>
      </c>
      <c r="AG1500" s="22" t="str">
        <f t="shared" si="500"/>
        <v/>
      </c>
      <c r="AH1500" s="22" t="str">
        <f t="shared" si="501"/>
        <v/>
      </c>
      <c r="AI1500" s="22" t="str">
        <f t="shared" si="502"/>
        <v/>
      </c>
      <c r="AJ1500" s="304" t="str">
        <f t="shared" si="503"/>
        <v/>
      </c>
      <c r="AK1500" s="140" t="str">
        <f t="shared" si="504"/>
        <v/>
      </c>
    </row>
    <row r="1501" spans="7:37" x14ac:dyDescent="0.25">
      <c r="G1501" s="235" t="str">
        <f t="shared" si="493"/>
        <v/>
      </c>
      <c r="H1501" s="4" t="str">
        <f t="shared" si="492"/>
        <v/>
      </c>
      <c r="I1501" s="11" t="str">
        <f t="shared" si="494"/>
        <v/>
      </c>
      <c r="K1501" s="30">
        <v>579</v>
      </c>
      <c r="L1501" s="29">
        <f t="shared" si="505"/>
        <v>11371.908376190921</v>
      </c>
      <c r="M1501" s="28" t="str">
        <f t="shared" si="495"/>
        <v/>
      </c>
      <c r="N1501" s="27" t="str">
        <f t="shared" si="506"/>
        <v/>
      </c>
      <c r="O1501" s="26" t="str">
        <f>IF(AND($Q1500=$O$38,IFERROR(LARGE($V$923:$V1500,1)&lt;$N$42,TRUE)),1,IF(AND(ISNUMBER($O1500),$O1500&lt;$N$32),$O1500+1,""))</f>
        <v/>
      </c>
      <c r="P1501" s="26" t="str">
        <f t="shared" si="507"/>
        <v/>
      </c>
      <c r="Q1501" s="26" t="str">
        <f t="shared" si="496"/>
        <v/>
      </c>
      <c r="R1501" s="24" t="str">
        <f t="shared" si="508"/>
        <v/>
      </c>
      <c r="S1501" s="180">
        <f t="shared" si="491"/>
        <v>8</v>
      </c>
      <c r="T1501" s="29">
        <f>SUM($AC$923:$AC1501)</f>
        <v>49500</v>
      </c>
      <c r="U1501" s="25" t="str">
        <f t="shared" si="497"/>
        <v/>
      </c>
      <c r="V1501" s="24" t="str">
        <f>IF(AND(ISNUMBER(R1500),ISNUMBER(R1501)),V1500,IF(AND(R1500="",ISNUMBER(R1501)),IFERROR(LARGE($V$923:$V1500,1)+1,0),""))</f>
        <v/>
      </c>
      <c r="W1501" s="23" t="str">
        <f t="shared" si="509"/>
        <v/>
      </c>
      <c r="X1501" s="22" t="str">
        <f t="shared" si="510"/>
        <v/>
      </c>
      <c r="Y1501" s="236"/>
      <c r="Z1501" s="22"/>
      <c r="AA1501" s="22"/>
      <c r="AB1501" s="22" t="str">
        <f t="shared" si="488"/>
        <v/>
      </c>
      <c r="AC1501" s="22" t="str">
        <f t="shared" si="489"/>
        <v/>
      </c>
      <c r="AD1501" s="22" t="str">
        <f t="shared" si="498"/>
        <v/>
      </c>
      <c r="AE1501" s="22" t="str">
        <f t="shared" si="490"/>
        <v/>
      </c>
      <c r="AF1501" s="22" t="str">
        <f t="shared" si="499"/>
        <v/>
      </c>
      <c r="AG1501" s="22" t="str">
        <f t="shared" si="500"/>
        <v/>
      </c>
      <c r="AH1501" s="22" t="str">
        <f t="shared" si="501"/>
        <v/>
      </c>
      <c r="AI1501" s="22" t="str">
        <f t="shared" si="502"/>
        <v/>
      </c>
      <c r="AJ1501" s="304" t="str">
        <f t="shared" si="503"/>
        <v/>
      </c>
      <c r="AK1501" s="140" t="str">
        <f t="shared" si="504"/>
        <v/>
      </c>
    </row>
    <row r="1502" spans="7:37" x14ac:dyDescent="0.25">
      <c r="G1502" s="235" t="str">
        <f t="shared" si="493"/>
        <v/>
      </c>
      <c r="H1502" s="4" t="str">
        <f t="shared" si="492"/>
        <v/>
      </c>
      <c r="I1502" s="11" t="str">
        <f t="shared" si="494"/>
        <v/>
      </c>
      <c r="K1502" s="30">
        <v>580</v>
      </c>
      <c r="L1502" s="29">
        <f t="shared" si="505"/>
        <v>11371.908376190921</v>
      </c>
      <c r="M1502" s="28" t="str">
        <f t="shared" si="495"/>
        <v/>
      </c>
      <c r="N1502" s="27" t="str">
        <f t="shared" si="506"/>
        <v/>
      </c>
      <c r="O1502" s="26" t="str">
        <f>IF(AND($Q1501=$O$38,IFERROR(LARGE($V$923:$V1501,1)&lt;$N$42,TRUE)),1,IF(AND(ISNUMBER($O1501),$O1501&lt;$N$32),$O1501+1,""))</f>
        <v/>
      </c>
      <c r="P1502" s="26" t="str">
        <f t="shared" si="507"/>
        <v/>
      </c>
      <c r="Q1502" s="26" t="str">
        <f t="shared" si="496"/>
        <v/>
      </c>
      <c r="R1502" s="24" t="str">
        <f t="shared" si="508"/>
        <v/>
      </c>
      <c r="S1502" s="180">
        <f t="shared" si="491"/>
        <v>8</v>
      </c>
      <c r="T1502" s="29">
        <f>SUM($AC$923:$AC1502)</f>
        <v>49500</v>
      </c>
      <c r="U1502" s="25" t="str">
        <f t="shared" si="497"/>
        <v/>
      </c>
      <c r="V1502" s="24" t="str">
        <f>IF(AND(ISNUMBER(R1501),ISNUMBER(R1502)),V1501,IF(AND(R1501="",ISNUMBER(R1502)),IFERROR(LARGE($V$923:$V1501,1)+1,0),""))</f>
        <v/>
      </c>
      <c r="W1502" s="23" t="str">
        <f t="shared" si="509"/>
        <v/>
      </c>
      <c r="X1502" s="22" t="str">
        <f t="shared" si="510"/>
        <v/>
      </c>
      <c r="Y1502" s="236"/>
      <c r="Z1502" s="22"/>
      <c r="AA1502" s="22"/>
      <c r="AB1502" s="22" t="str">
        <f t="shared" si="488"/>
        <v/>
      </c>
      <c r="AC1502" s="22" t="str">
        <f t="shared" si="489"/>
        <v/>
      </c>
      <c r="AD1502" s="22" t="str">
        <f t="shared" si="498"/>
        <v/>
      </c>
      <c r="AE1502" s="22" t="str">
        <f t="shared" si="490"/>
        <v/>
      </c>
      <c r="AF1502" s="22" t="str">
        <f t="shared" si="499"/>
        <v/>
      </c>
      <c r="AG1502" s="22" t="str">
        <f t="shared" si="500"/>
        <v/>
      </c>
      <c r="AH1502" s="22" t="str">
        <f t="shared" si="501"/>
        <v/>
      </c>
      <c r="AI1502" s="22" t="str">
        <f t="shared" si="502"/>
        <v/>
      </c>
      <c r="AJ1502" s="304" t="str">
        <f t="shared" si="503"/>
        <v/>
      </c>
      <c r="AK1502" s="140" t="str">
        <f t="shared" si="504"/>
        <v/>
      </c>
    </row>
    <row r="1503" spans="7:37" x14ac:dyDescent="0.25">
      <c r="G1503" s="235" t="str">
        <f t="shared" si="493"/>
        <v/>
      </c>
      <c r="H1503" s="4" t="str">
        <f t="shared" si="492"/>
        <v/>
      </c>
      <c r="I1503" s="11" t="str">
        <f t="shared" si="494"/>
        <v/>
      </c>
      <c r="K1503" s="30">
        <v>581</v>
      </c>
      <c r="L1503" s="29">
        <f t="shared" si="505"/>
        <v>11371.908376190921</v>
      </c>
      <c r="M1503" s="28" t="str">
        <f t="shared" si="495"/>
        <v/>
      </c>
      <c r="N1503" s="27" t="str">
        <f t="shared" si="506"/>
        <v/>
      </c>
      <c r="O1503" s="26" t="str">
        <f>IF(AND($Q1502=$O$38,IFERROR(LARGE($V$923:$V1502,1)&lt;$N$42,TRUE)),1,IF(AND(ISNUMBER($O1502),$O1502&lt;$N$32),$O1502+1,""))</f>
        <v/>
      </c>
      <c r="P1503" s="26" t="str">
        <f t="shared" si="507"/>
        <v/>
      </c>
      <c r="Q1503" s="26" t="str">
        <f t="shared" si="496"/>
        <v/>
      </c>
      <c r="R1503" s="24" t="str">
        <f t="shared" si="508"/>
        <v/>
      </c>
      <c r="S1503" s="180">
        <f t="shared" si="491"/>
        <v>8</v>
      </c>
      <c r="T1503" s="29">
        <f>SUM($AC$923:$AC1503)</f>
        <v>49500</v>
      </c>
      <c r="U1503" s="25" t="str">
        <f t="shared" si="497"/>
        <v/>
      </c>
      <c r="V1503" s="24" t="str">
        <f>IF(AND(ISNUMBER(R1502),ISNUMBER(R1503)),V1502,IF(AND(R1502="",ISNUMBER(R1503)),IFERROR(LARGE($V$923:$V1502,1)+1,0),""))</f>
        <v/>
      </c>
      <c r="W1503" s="23" t="str">
        <f t="shared" si="509"/>
        <v/>
      </c>
      <c r="X1503" s="22" t="str">
        <f t="shared" si="510"/>
        <v/>
      </c>
      <c r="Y1503" s="236"/>
      <c r="Z1503" s="22"/>
      <c r="AA1503" s="22"/>
      <c r="AB1503" s="22" t="str">
        <f t="shared" si="488"/>
        <v/>
      </c>
      <c r="AC1503" s="22" t="str">
        <f t="shared" si="489"/>
        <v/>
      </c>
      <c r="AD1503" s="22" t="str">
        <f t="shared" si="498"/>
        <v/>
      </c>
      <c r="AE1503" s="22" t="str">
        <f t="shared" si="490"/>
        <v/>
      </c>
      <c r="AF1503" s="22" t="str">
        <f t="shared" si="499"/>
        <v/>
      </c>
      <c r="AG1503" s="22" t="str">
        <f t="shared" si="500"/>
        <v/>
      </c>
      <c r="AH1503" s="22" t="str">
        <f t="shared" si="501"/>
        <v/>
      </c>
      <c r="AI1503" s="22" t="str">
        <f t="shared" si="502"/>
        <v/>
      </c>
      <c r="AJ1503" s="304" t="str">
        <f t="shared" si="503"/>
        <v/>
      </c>
      <c r="AK1503" s="140" t="str">
        <f t="shared" si="504"/>
        <v/>
      </c>
    </row>
    <row r="1504" spans="7:37" x14ac:dyDescent="0.25">
      <c r="G1504" s="235" t="str">
        <f t="shared" si="493"/>
        <v/>
      </c>
      <c r="H1504" s="4" t="str">
        <f t="shared" si="492"/>
        <v/>
      </c>
      <c r="I1504" s="11" t="str">
        <f t="shared" si="494"/>
        <v/>
      </c>
      <c r="K1504" s="30">
        <v>582</v>
      </c>
      <c r="L1504" s="29">
        <f t="shared" si="505"/>
        <v>11371.908376190921</v>
      </c>
      <c r="M1504" s="28" t="str">
        <f t="shared" si="495"/>
        <v/>
      </c>
      <c r="N1504" s="27" t="str">
        <f t="shared" si="506"/>
        <v/>
      </c>
      <c r="O1504" s="26" t="str">
        <f>IF(AND($Q1503=$O$38,IFERROR(LARGE($V$923:$V1503,1)&lt;$N$42,TRUE)),1,IF(AND(ISNUMBER($O1503),$O1503&lt;$N$32),$O1503+1,""))</f>
        <v/>
      </c>
      <c r="P1504" s="26" t="str">
        <f t="shared" si="507"/>
        <v/>
      </c>
      <c r="Q1504" s="26" t="str">
        <f t="shared" si="496"/>
        <v/>
      </c>
      <c r="R1504" s="24" t="str">
        <f t="shared" si="508"/>
        <v/>
      </c>
      <c r="S1504" s="180">
        <f t="shared" si="491"/>
        <v>8</v>
      </c>
      <c r="T1504" s="29">
        <f>SUM($AC$923:$AC1504)</f>
        <v>49500</v>
      </c>
      <c r="U1504" s="25" t="str">
        <f t="shared" si="497"/>
        <v/>
      </c>
      <c r="V1504" s="24" t="str">
        <f>IF(AND(ISNUMBER(R1503),ISNUMBER(R1504)),V1503,IF(AND(R1503="",ISNUMBER(R1504)),IFERROR(LARGE($V$923:$V1503,1)+1,0),""))</f>
        <v/>
      </c>
      <c r="W1504" s="23" t="str">
        <f t="shared" si="509"/>
        <v/>
      </c>
      <c r="X1504" s="22" t="str">
        <f t="shared" si="510"/>
        <v/>
      </c>
      <c r="Y1504" s="236"/>
      <c r="Z1504" s="22"/>
      <c r="AA1504" s="22"/>
      <c r="AB1504" s="22" t="str">
        <f t="shared" si="488"/>
        <v/>
      </c>
      <c r="AC1504" s="22" t="str">
        <f t="shared" si="489"/>
        <v/>
      </c>
      <c r="AD1504" s="22" t="str">
        <f t="shared" si="498"/>
        <v/>
      </c>
      <c r="AE1504" s="22" t="str">
        <f t="shared" si="490"/>
        <v/>
      </c>
      <c r="AF1504" s="22" t="str">
        <f t="shared" si="499"/>
        <v/>
      </c>
      <c r="AG1504" s="22" t="str">
        <f t="shared" si="500"/>
        <v/>
      </c>
      <c r="AH1504" s="22" t="str">
        <f t="shared" si="501"/>
        <v/>
      </c>
      <c r="AI1504" s="22" t="str">
        <f t="shared" si="502"/>
        <v/>
      </c>
      <c r="AJ1504" s="304" t="str">
        <f t="shared" si="503"/>
        <v/>
      </c>
      <c r="AK1504" s="140" t="str">
        <f t="shared" si="504"/>
        <v/>
      </c>
    </row>
    <row r="1505" spans="7:37" x14ac:dyDescent="0.25">
      <c r="G1505" s="235" t="str">
        <f t="shared" si="493"/>
        <v/>
      </c>
      <c r="H1505" s="4" t="str">
        <f t="shared" si="492"/>
        <v/>
      </c>
      <c r="I1505" s="11" t="str">
        <f t="shared" si="494"/>
        <v/>
      </c>
      <c r="K1505" s="30">
        <v>583</v>
      </c>
      <c r="L1505" s="29">
        <f t="shared" si="505"/>
        <v>11371.908376190921</v>
      </c>
      <c r="M1505" s="28" t="str">
        <f t="shared" si="495"/>
        <v/>
      </c>
      <c r="N1505" s="27" t="str">
        <f t="shared" si="506"/>
        <v/>
      </c>
      <c r="O1505" s="26" t="str">
        <f>IF(AND($Q1504=$O$38,IFERROR(LARGE($V$923:$V1504,1)&lt;$N$42,TRUE)),1,IF(AND(ISNUMBER($O1504),$O1504&lt;$N$32),$O1504+1,""))</f>
        <v/>
      </c>
      <c r="P1505" s="26" t="str">
        <f t="shared" si="507"/>
        <v/>
      </c>
      <c r="Q1505" s="26" t="str">
        <f t="shared" si="496"/>
        <v/>
      </c>
      <c r="R1505" s="24" t="str">
        <f t="shared" si="508"/>
        <v/>
      </c>
      <c r="S1505" s="180">
        <f t="shared" si="491"/>
        <v>8</v>
      </c>
      <c r="T1505" s="29">
        <f>SUM($AC$923:$AC1505)</f>
        <v>49500</v>
      </c>
      <c r="U1505" s="25" t="str">
        <f t="shared" si="497"/>
        <v/>
      </c>
      <c r="V1505" s="24" t="str">
        <f>IF(AND(ISNUMBER(R1504),ISNUMBER(R1505)),V1504,IF(AND(R1504="",ISNUMBER(R1505)),IFERROR(LARGE($V$923:$V1504,1)+1,0),""))</f>
        <v/>
      </c>
      <c r="W1505" s="23" t="str">
        <f t="shared" si="509"/>
        <v/>
      </c>
      <c r="X1505" s="22" t="str">
        <f t="shared" si="510"/>
        <v/>
      </c>
      <c r="Y1505" s="236"/>
      <c r="Z1505" s="22"/>
      <c r="AA1505" s="22"/>
      <c r="AB1505" s="22" t="str">
        <f t="shared" si="488"/>
        <v/>
      </c>
      <c r="AC1505" s="22" t="str">
        <f t="shared" si="489"/>
        <v/>
      </c>
      <c r="AD1505" s="22" t="str">
        <f t="shared" si="498"/>
        <v/>
      </c>
      <c r="AE1505" s="22" t="str">
        <f t="shared" si="490"/>
        <v/>
      </c>
      <c r="AF1505" s="22" t="str">
        <f t="shared" si="499"/>
        <v/>
      </c>
      <c r="AG1505" s="22" t="str">
        <f t="shared" si="500"/>
        <v/>
      </c>
      <c r="AH1505" s="22" t="str">
        <f t="shared" si="501"/>
        <v/>
      </c>
      <c r="AI1505" s="22" t="str">
        <f t="shared" si="502"/>
        <v/>
      </c>
      <c r="AJ1505" s="304" t="str">
        <f t="shared" si="503"/>
        <v/>
      </c>
      <c r="AK1505" s="140" t="str">
        <f t="shared" si="504"/>
        <v/>
      </c>
    </row>
    <row r="1506" spans="7:37" x14ac:dyDescent="0.25">
      <c r="G1506" s="235" t="str">
        <f t="shared" si="493"/>
        <v/>
      </c>
      <c r="H1506" s="4" t="str">
        <f t="shared" si="492"/>
        <v/>
      </c>
      <c r="I1506" s="11" t="str">
        <f t="shared" si="494"/>
        <v/>
      </c>
      <c r="K1506" s="30">
        <v>584</v>
      </c>
      <c r="L1506" s="29">
        <f t="shared" si="505"/>
        <v>11371.908376190921</v>
      </c>
      <c r="M1506" s="28" t="str">
        <f t="shared" si="495"/>
        <v/>
      </c>
      <c r="N1506" s="27" t="str">
        <f t="shared" si="506"/>
        <v/>
      </c>
      <c r="O1506" s="26" t="str">
        <f>IF(AND($Q1505=$O$38,IFERROR(LARGE($V$923:$V1505,1)&lt;$N$42,TRUE)),1,IF(AND(ISNUMBER($O1505),$O1505&lt;$N$32),$O1505+1,""))</f>
        <v/>
      </c>
      <c r="P1506" s="26" t="str">
        <f t="shared" si="507"/>
        <v/>
      </c>
      <c r="Q1506" s="26" t="str">
        <f t="shared" si="496"/>
        <v/>
      </c>
      <c r="R1506" s="24" t="str">
        <f t="shared" si="508"/>
        <v/>
      </c>
      <c r="S1506" s="180">
        <f t="shared" si="491"/>
        <v>8</v>
      </c>
      <c r="T1506" s="29">
        <f>SUM($AC$923:$AC1506)</f>
        <v>49500</v>
      </c>
      <c r="U1506" s="25" t="str">
        <f t="shared" si="497"/>
        <v/>
      </c>
      <c r="V1506" s="24" t="str">
        <f>IF(AND(ISNUMBER(R1505),ISNUMBER(R1506)),V1505,IF(AND(R1505="",ISNUMBER(R1506)),IFERROR(LARGE($V$923:$V1505,1)+1,0),""))</f>
        <v/>
      </c>
      <c r="W1506" s="23" t="str">
        <f t="shared" si="509"/>
        <v/>
      </c>
      <c r="X1506" s="22" t="str">
        <f t="shared" si="510"/>
        <v/>
      </c>
      <c r="Y1506" s="236"/>
      <c r="Z1506" s="22"/>
      <c r="AA1506" s="22"/>
      <c r="AB1506" s="22" t="str">
        <f t="shared" si="488"/>
        <v/>
      </c>
      <c r="AC1506" s="22" t="str">
        <f t="shared" si="489"/>
        <v/>
      </c>
      <c r="AD1506" s="22" t="str">
        <f t="shared" si="498"/>
        <v/>
      </c>
      <c r="AE1506" s="22" t="str">
        <f t="shared" si="490"/>
        <v/>
      </c>
      <c r="AF1506" s="22" t="str">
        <f t="shared" si="499"/>
        <v/>
      </c>
      <c r="AG1506" s="22" t="str">
        <f t="shared" si="500"/>
        <v/>
      </c>
      <c r="AH1506" s="22" t="str">
        <f t="shared" si="501"/>
        <v/>
      </c>
      <c r="AI1506" s="22" t="str">
        <f t="shared" si="502"/>
        <v/>
      </c>
      <c r="AJ1506" s="304" t="str">
        <f t="shared" si="503"/>
        <v/>
      </c>
      <c r="AK1506" s="140" t="str">
        <f t="shared" si="504"/>
        <v/>
      </c>
    </row>
    <row r="1507" spans="7:37" x14ac:dyDescent="0.25">
      <c r="G1507" s="235" t="str">
        <f t="shared" si="493"/>
        <v/>
      </c>
      <c r="H1507" s="4" t="str">
        <f t="shared" si="492"/>
        <v/>
      </c>
      <c r="I1507" s="11" t="str">
        <f t="shared" si="494"/>
        <v/>
      </c>
      <c r="K1507" s="30">
        <v>585</v>
      </c>
      <c r="L1507" s="29">
        <f t="shared" si="505"/>
        <v>11371.908376190921</v>
      </c>
      <c r="M1507" s="28" t="str">
        <f t="shared" si="495"/>
        <v/>
      </c>
      <c r="N1507" s="27" t="str">
        <f t="shared" si="506"/>
        <v/>
      </c>
      <c r="O1507" s="26" t="str">
        <f>IF(AND($Q1506=$O$38,IFERROR(LARGE($V$923:$V1506,1)&lt;$N$42,TRUE)),1,IF(AND(ISNUMBER($O1506),$O1506&lt;$N$32),$O1506+1,""))</f>
        <v/>
      </c>
      <c r="P1507" s="26" t="str">
        <f t="shared" si="507"/>
        <v/>
      </c>
      <c r="Q1507" s="26" t="str">
        <f t="shared" si="496"/>
        <v/>
      </c>
      <c r="R1507" s="24" t="str">
        <f t="shared" si="508"/>
        <v/>
      </c>
      <c r="S1507" s="180">
        <f t="shared" si="491"/>
        <v>8</v>
      </c>
      <c r="T1507" s="29">
        <f>SUM($AC$923:$AC1507)</f>
        <v>49500</v>
      </c>
      <c r="U1507" s="25" t="str">
        <f t="shared" si="497"/>
        <v/>
      </c>
      <c r="V1507" s="24" t="str">
        <f>IF(AND(ISNUMBER(R1506),ISNUMBER(R1507)),V1506,IF(AND(R1506="",ISNUMBER(R1507)),IFERROR(LARGE($V$923:$V1506,1)+1,0),""))</f>
        <v/>
      </c>
      <c r="W1507" s="23" t="str">
        <f t="shared" si="509"/>
        <v/>
      </c>
      <c r="X1507" s="22" t="str">
        <f t="shared" si="510"/>
        <v/>
      </c>
      <c r="Y1507" s="236"/>
      <c r="Z1507" s="22"/>
      <c r="AA1507" s="22"/>
      <c r="AB1507" s="22" t="str">
        <f t="shared" si="488"/>
        <v/>
      </c>
      <c r="AC1507" s="22" t="str">
        <f t="shared" si="489"/>
        <v/>
      </c>
      <c r="AD1507" s="22" t="str">
        <f t="shared" si="498"/>
        <v/>
      </c>
      <c r="AE1507" s="22" t="str">
        <f t="shared" si="490"/>
        <v/>
      </c>
      <c r="AF1507" s="22" t="str">
        <f t="shared" si="499"/>
        <v/>
      </c>
      <c r="AG1507" s="22" t="str">
        <f t="shared" si="500"/>
        <v/>
      </c>
      <c r="AH1507" s="22" t="str">
        <f t="shared" si="501"/>
        <v/>
      </c>
      <c r="AI1507" s="22" t="str">
        <f t="shared" si="502"/>
        <v/>
      </c>
      <c r="AJ1507" s="304" t="str">
        <f t="shared" si="503"/>
        <v/>
      </c>
      <c r="AK1507" s="140" t="str">
        <f t="shared" si="504"/>
        <v/>
      </c>
    </row>
    <row r="1508" spans="7:37" x14ac:dyDescent="0.25">
      <c r="G1508" s="235" t="str">
        <f t="shared" si="493"/>
        <v/>
      </c>
      <c r="H1508" s="4" t="str">
        <f t="shared" si="492"/>
        <v/>
      </c>
      <c r="I1508" s="11" t="str">
        <f t="shared" si="494"/>
        <v/>
      </c>
      <c r="K1508" s="30">
        <v>586</v>
      </c>
      <c r="L1508" s="29">
        <f t="shared" si="505"/>
        <v>11371.908376190921</v>
      </c>
      <c r="M1508" s="28" t="str">
        <f t="shared" si="495"/>
        <v/>
      </c>
      <c r="N1508" s="27" t="str">
        <f t="shared" si="506"/>
        <v/>
      </c>
      <c r="O1508" s="26" t="str">
        <f>IF(AND($Q1507=$O$38,IFERROR(LARGE($V$923:$V1507,1)&lt;$N$42,TRUE)),1,IF(AND(ISNUMBER($O1507),$O1507&lt;$N$32),$O1507+1,""))</f>
        <v/>
      </c>
      <c r="P1508" s="26" t="str">
        <f t="shared" si="507"/>
        <v/>
      </c>
      <c r="Q1508" s="26" t="str">
        <f t="shared" si="496"/>
        <v/>
      </c>
      <c r="R1508" s="24" t="str">
        <f t="shared" si="508"/>
        <v/>
      </c>
      <c r="S1508" s="180">
        <f t="shared" si="491"/>
        <v>8</v>
      </c>
      <c r="T1508" s="29">
        <f>SUM($AC$923:$AC1508)</f>
        <v>49500</v>
      </c>
      <c r="U1508" s="25" t="str">
        <f t="shared" si="497"/>
        <v/>
      </c>
      <c r="V1508" s="24" t="str">
        <f>IF(AND(ISNUMBER(R1507),ISNUMBER(R1508)),V1507,IF(AND(R1507="",ISNUMBER(R1508)),IFERROR(LARGE($V$923:$V1507,1)+1,0),""))</f>
        <v/>
      </c>
      <c r="W1508" s="23" t="str">
        <f t="shared" si="509"/>
        <v/>
      </c>
      <c r="X1508" s="22" t="str">
        <f t="shared" si="510"/>
        <v/>
      </c>
      <c r="Y1508" s="236"/>
      <c r="Z1508" s="22"/>
      <c r="AA1508" s="22"/>
      <c r="AB1508" s="22" t="str">
        <f t="shared" si="488"/>
        <v/>
      </c>
      <c r="AC1508" s="22" t="str">
        <f t="shared" si="489"/>
        <v/>
      </c>
      <c r="AD1508" s="22" t="str">
        <f t="shared" si="498"/>
        <v/>
      </c>
      <c r="AE1508" s="22" t="str">
        <f t="shared" si="490"/>
        <v/>
      </c>
      <c r="AF1508" s="22" t="str">
        <f t="shared" si="499"/>
        <v/>
      </c>
      <c r="AG1508" s="22" t="str">
        <f t="shared" si="500"/>
        <v/>
      </c>
      <c r="AH1508" s="22" t="str">
        <f t="shared" si="501"/>
        <v/>
      </c>
      <c r="AI1508" s="22" t="str">
        <f t="shared" si="502"/>
        <v/>
      </c>
      <c r="AJ1508" s="304" t="str">
        <f t="shared" si="503"/>
        <v/>
      </c>
      <c r="AK1508" s="140" t="str">
        <f t="shared" si="504"/>
        <v/>
      </c>
    </row>
    <row r="1509" spans="7:37" x14ac:dyDescent="0.25">
      <c r="G1509" s="235" t="str">
        <f t="shared" si="493"/>
        <v/>
      </c>
      <c r="H1509" s="4" t="str">
        <f t="shared" si="492"/>
        <v/>
      </c>
      <c r="I1509" s="11" t="str">
        <f t="shared" si="494"/>
        <v/>
      </c>
      <c r="K1509" s="30">
        <v>587</v>
      </c>
      <c r="L1509" s="29">
        <f t="shared" si="505"/>
        <v>11371.908376190921</v>
      </c>
      <c r="M1509" s="28" t="str">
        <f t="shared" si="495"/>
        <v/>
      </c>
      <c r="N1509" s="27" t="str">
        <f t="shared" si="506"/>
        <v/>
      </c>
      <c r="O1509" s="26" t="str">
        <f>IF(AND($Q1508=$O$38,IFERROR(LARGE($V$923:$V1508,1)&lt;$N$42,TRUE)),1,IF(AND(ISNUMBER($O1508),$O1508&lt;$N$32),$O1508+1,""))</f>
        <v/>
      </c>
      <c r="P1509" s="26" t="str">
        <f t="shared" si="507"/>
        <v/>
      </c>
      <c r="Q1509" s="26" t="str">
        <f t="shared" si="496"/>
        <v/>
      </c>
      <c r="R1509" s="24" t="str">
        <f t="shared" si="508"/>
        <v/>
      </c>
      <c r="S1509" s="180">
        <f t="shared" si="491"/>
        <v>8</v>
      </c>
      <c r="T1509" s="29">
        <f>SUM($AC$923:$AC1509)</f>
        <v>49500</v>
      </c>
      <c r="U1509" s="25" t="str">
        <f t="shared" si="497"/>
        <v/>
      </c>
      <c r="V1509" s="24" t="str">
        <f>IF(AND(ISNUMBER(R1508),ISNUMBER(R1509)),V1508,IF(AND(R1508="",ISNUMBER(R1509)),IFERROR(LARGE($V$923:$V1508,1)+1,0),""))</f>
        <v/>
      </c>
      <c r="W1509" s="23" t="str">
        <f t="shared" si="509"/>
        <v/>
      </c>
      <c r="X1509" s="22" t="str">
        <f t="shared" si="510"/>
        <v/>
      </c>
      <c r="Y1509" s="236"/>
      <c r="Z1509" s="22"/>
      <c r="AA1509" s="22"/>
      <c r="AB1509" s="22" t="str">
        <f t="shared" si="488"/>
        <v/>
      </c>
      <c r="AC1509" s="22" t="str">
        <f t="shared" si="489"/>
        <v/>
      </c>
      <c r="AD1509" s="22" t="str">
        <f t="shared" si="498"/>
        <v/>
      </c>
      <c r="AE1509" s="22" t="str">
        <f t="shared" si="490"/>
        <v/>
      </c>
      <c r="AF1509" s="22" t="str">
        <f t="shared" si="499"/>
        <v/>
      </c>
      <c r="AG1509" s="22" t="str">
        <f t="shared" si="500"/>
        <v/>
      </c>
      <c r="AH1509" s="22" t="str">
        <f t="shared" si="501"/>
        <v/>
      </c>
      <c r="AI1509" s="22" t="str">
        <f t="shared" si="502"/>
        <v/>
      </c>
      <c r="AJ1509" s="304" t="str">
        <f t="shared" si="503"/>
        <v/>
      </c>
      <c r="AK1509" s="140" t="str">
        <f t="shared" si="504"/>
        <v/>
      </c>
    </row>
    <row r="1510" spans="7:37" x14ac:dyDescent="0.25">
      <c r="G1510" s="235" t="str">
        <f t="shared" si="493"/>
        <v/>
      </c>
      <c r="H1510" s="4" t="str">
        <f t="shared" si="492"/>
        <v/>
      </c>
      <c r="I1510" s="11" t="str">
        <f t="shared" si="494"/>
        <v/>
      </c>
      <c r="K1510" s="30">
        <v>588</v>
      </c>
      <c r="L1510" s="29">
        <f t="shared" si="505"/>
        <v>11371.908376190921</v>
      </c>
      <c r="M1510" s="28" t="str">
        <f t="shared" si="495"/>
        <v/>
      </c>
      <c r="N1510" s="27" t="str">
        <f t="shared" si="506"/>
        <v/>
      </c>
      <c r="O1510" s="26" t="str">
        <f>IF(AND($Q1509=$O$38,IFERROR(LARGE($V$923:$V1509,1)&lt;$N$42,TRUE)),1,IF(AND(ISNUMBER($O1509),$O1509&lt;$N$32),$O1509+1,""))</f>
        <v/>
      </c>
      <c r="P1510" s="26" t="str">
        <f t="shared" si="507"/>
        <v/>
      </c>
      <c r="Q1510" s="26" t="str">
        <f t="shared" si="496"/>
        <v/>
      </c>
      <c r="R1510" s="24" t="str">
        <f t="shared" si="508"/>
        <v/>
      </c>
      <c r="S1510" s="180">
        <f t="shared" si="491"/>
        <v>8</v>
      </c>
      <c r="T1510" s="29">
        <f>SUM($AC$923:$AC1510)</f>
        <v>49500</v>
      </c>
      <c r="U1510" s="25" t="str">
        <f t="shared" si="497"/>
        <v/>
      </c>
      <c r="V1510" s="24" t="str">
        <f>IF(AND(ISNUMBER(R1509),ISNUMBER(R1510)),V1509,IF(AND(R1509="",ISNUMBER(R1510)),IFERROR(LARGE($V$923:$V1509,1)+1,0),""))</f>
        <v/>
      </c>
      <c r="W1510" s="23" t="str">
        <f t="shared" si="509"/>
        <v/>
      </c>
      <c r="X1510" s="22" t="str">
        <f t="shared" si="510"/>
        <v/>
      </c>
      <c r="Y1510" s="236"/>
      <c r="Z1510" s="22"/>
      <c r="AA1510" s="22"/>
      <c r="AB1510" s="22" t="str">
        <f t="shared" si="488"/>
        <v/>
      </c>
      <c r="AC1510" s="22" t="str">
        <f t="shared" si="489"/>
        <v/>
      </c>
      <c r="AD1510" s="22" t="str">
        <f t="shared" si="498"/>
        <v/>
      </c>
      <c r="AE1510" s="22" t="str">
        <f t="shared" si="490"/>
        <v/>
      </c>
      <c r="AF1510" s="22" t="str">
        <f t="shared" si="499"/>
        <v/>
      </c>
      <c r="AG1510" s="22" t="str">
        <f t="shared" si="500"/>
        <v/>
      </c>
      <c r="AH1510" s="22" t="str">
        <f t="shared" si="501"/>
        <v/>
      </c>
      <c r="AI1510" s="22" t="str">
        <f t="shared" si="502"/>
        <v/>
      </c>
      <c r="AJ1510" s="304" t="str">
        <f t="shared" si="503"/>
        <v/>
      </c>
      <c r="AK1510" s="140" t="str">
        <f t="shared" si="504"/>
        <v/>
      </c>
    </row>
    <row r="1511" spans="7:37" x14ac:dyDescent="0.25">
      <c r="G1511" s="235" t="str">
        <f t="shared" si="493"/>
        <v/>
      </c>
      <c r="H1511" s="4" t="str">
        <f t="shared" si="492"/>
        <v/>
      </c>
      <c r="I1511" s="11" t="str">
        <f t="shared" si="494"/>
        <v/>
      </c>
      <c r="K1511" s="30">
        <v>589</v>
      </c>
      <c r="L1511" s="29">
        <f t="shared" si="505"/>
        <v>11371.908376190921</v>
      </c>
      <c r="M1511" s="28" t="str">
        <f t="shared" si="495"/>
        <v/>
      </c>
      <c r="N1511" s="27" t="str">
        <f t="shared" si="506"/>
        <v/>
      </c>
      <c r="O1511" s="26" t="str">
        <f>IF(AND($Q1510=$O$38,IFERROR(LARGE($V$923:$V1510,1)&lt;$N$42,TRUE)),1,IF(AND(ISNUMBER($O1510),$O1510&lt;$N$32),$O1510+1,""))</f>
        <v/>
      </c>
      <c r="P1511" s="26" t="str">
        <f t="shared" si="507"/>
        <v/>
      </c>
      <c r="Q1511" s="26" t="str">
        <f t="shared" si="496"/>
        <v/>
      </c>
      <c r="R1511" s="24" t="str">
        <f t="shared" si="508"/>
        <v/>
      </c>
      <c r="S1511" s="180">
        <f t="shared" si="491"/>
        <v>8</v>
      </c>
      <c r="T1511" s="29">
        <f>SUM($AC$923:$AC1511)</f>
        <v>49500</v>
      </c>
      <c r="U1511" s="25" t="str">
        <f t="shared" si="497"/>
        <v/>
      </c>
      <c r="V1511" s="24" t="str">
        <f>IF(AND(ISNUMBER(R1510),ISNUMBER(R1511)),V1510,IF(AND(R1510="",ISNUMBER(R1511)),IFERROR(LARGE($V$923:$V1510,1)+1,0),""))</f>
        <v/>
      </c>
      <c r="W1511" s="23" t="str">
        <f t="shared" si="509"/>
        <v/>
      </c>
      <c r="X1511" s="22" t="str">
        <f t="shared" si="510"/>
        <v/>
      </c>
      <c r="Y1511" s="236"/>
      <c r="Z1511" s="22"/>
      <c r="AA1511" s="22"/>
      <c r="AB1511" s="22" t="str">
        <f t="shared" si="488"/>
        <v/>
      </c>
      <c r="AC1511" s="22" t="str">
        <f t="shared" si="489"/>
        <v/>
      </c>
      <c r="AD1511" s="22" t="str">
        <f t="shared" si="498"/>
        <v/>
      </c>
      <c r="AE1511" s="22" t="str">
        <f t="shared" si="490"/>
        <v/>
      </c>
      <c r="AF1511" s="22" t="str">
        <f t="shared" si="499"/>
        <v/>
      </c>
      <c r="AG1511" s="22" t="str">
        <f t="shared" si="500"/>
        <v/>
      </c>
      <c r="AH1511" s="22" t="str">
        <f t="shared" si="501"/>
        <v/>
      </c>
      <c r="AI1511" s="22" t="str">
        <f t="shared" si="502"/>
        <v/>
      </c>
      <c r="AJ1511" s="304" t="str">
        <f t="shared" si="503"/>
        <v/>
      </c>
      <c r="AK1511" s="140" t="str">
        <f t="shared" si="504"/>
        <v/>
      </c>
    </row>
    <row r="1512" spans="7:37" x14ac:dyDescent="0.25">
      <c r="G1512" s="235" t="str">
        <f t="shared" si="493"/>
        <v/>
      </c>
      <c r="H1512" s="4" t="str">
        <f t="shared" si="492"/>
        <v/>
      </c>
      <c r="I1512" s="11" t="str">
        <f t="shared" si="494"/>
        <v/>
      </c>
      <c r="K1512" s="30">
        <v>590</v>
      </c>
      <c r="L1512" s="29">
        <f t="shared" si="505"/>
        <v>11371.908376190921</v>
      </c>
      <c r="M1512" s="28" t="str">
        <f t="shared" si="495"/>
        <v/>
      </c>
      <c r="N1512" s="27" t="str">
        <f t="shared" si="506"/>
        <v/>
      </c>
      <c r="O1512" s="26" t="str">
        <f>IF(AND($Q1511=$O$38,IFERROR(LARGE($V$923:$V1511,1)&lt;$N$42,TRUE)),1,IF(AND(ISNUMBER($O1511),$O1511&lt;$N$32),$O1511+1,""))</f>
        <v/>
      </c>
      <c r="P1512" s="26" t="str">
        <f t="shared" si="507"/>
        <v/>
      </c>
      <c r="Q1512" s="26" t="str">
        <f t="shared" si="496"/>
        <v/>
      </c>
      <c r="R1512" s="24" t="str">
        <f t="shared" si="508"/>
        <v/>
      </c>
      <c r="S1512" s="180">
        <f t="shared" si="491"/>
        <v>8</v>
      </c>
      <c r="T1512" s="29">
        <f>SUM($AC$923:$AC1512)</f>
        <v>49500</v>
      </c>
      <c r="U1512" s="25" t="str">
        <f t="shared" si="497"/>
        <v/>
      </c>
      <c r="V1512" s="24" t="str">
        <f>IF(AND(ISNUMBER(R1511),ISNUMBER(R1512)),V1511,IF(AND(R1511="",ISNUMBER(R1512)),IFERROR(LARGE($V$923:$V1511,1)+1,0),""))</f>
        <v/>
      </c>
      <c r="W1512" s="23" t="str">
        <f t="shared" si="509"/>
        <v/>
      </c>
      <c r="X1512" s="22" t="str">
        <f t="shared" si="510"/>
        <v/>
      </c>
      <c r="Y1512" s="236"/>
      <c r="Z1512" s="22"/>
      <c r="AA1512" s="22"/>
      <c r="AB1512" s="22" t="str">
        <f t="shared" si="488"/>
        <v/>
      </c>
      <c r="AC1512" s="22" t="str">
        <f t="shared" si="489"/>
        <v/>
      </c>
      <c r="AD1512" s="22" t="str">
        <f t="shared" si="498"/>
        <v/>
      </c>
      <c r="AE1512" s="22" t="str">
        <f t="shared" si="490"/>
        <v/>
      </c>
      <c r="AF1512" s="22" t="str">
        <f t="shared" si="499"/>
        <v/>
      </c>
      <c r="AG1512" s="22" t="str">
        <f t="shared" si="500"/>
        <v/>
      </c>
      <c r="AH1512" s="22" t="str">
        <f t="shared" si="501"/>
        <v/>
      </c>
      <c r="AI1512" s="22" t="str">
        <f t="shared" si="502"/>
        <v/>
      </c>
      <c r="AJ1512" s="304" t="str">
        <f t="shared" si="503"/>
        <v/>
      </c>
      <c r="AK1512" s="140" t="str">
        <f t="shared" si="504"/>
        <v/>
      </c>
    </row>
    <row r="1513" spans="7:37" x14ac:dyDescent="0.25">
      <c r="G1513" s="235" t="str">
        <f t="shared" si="493"/>
        <v/>
      </c>
      <c r="H1513" s="4" t="str">
        <f t="shared" si="492"/>
        <v/>
      </c>
      <c r="I1513" s="11" t="str">
        <f t="shared" si="494"/>
        <v/>
      </c>
      <c r="K1513" s="30">
        <v>591</v>
      </c>
      <c r="L1513" s="29">
        <f t="shared" si="505"/>
        <v>11371.908376190921</v>
      </c>
      <c r="M1513" s="28" t="str">
        <f t="shared" si="495"/>
        <v/>
      </c>
      <c r="N1513" s="27" t="str">
        <f t="shared" si="506"/>
        <v/>
      </c>
      <c r="O1513" s="26" t="str">
        <f>IF(AND($Q1512=$O$38,IFERROR(LARGE($V$923:$V1512,1)&lt;$N$42,TRUE)),1,IF(AND(ISNUMBER($O1512),$O1512&lt;$N$32),$O1512+1,""))</f>
        <v/>
      </c>
      <c r="P1513" s="26" t="str">
        <f t="shared" si="507"/>
        <v/>
      </c>
      <c r="Q1513" s="26" t="str">
        <f t="shared" si="496"/>
        <v/>
      </c>
      <c r="R1513" s="24" t="str">
        <f t="shared" si="508"/>
        <v/>
      </c>
      <c r="S1513" s="180">
        <f t="shared" si="491"/>
        <v>8</v>
      </c>
      <c r="T1513" s="29">
        <f>SUM($AC$923:$AC1513)</f>
        <v>49500</v>
      </c>
      <c r="U1513" s="25" t="str">
        <f t="shared" si="497"/>
        <v/>
      </c>
      <c r="V1513" s="24" t="str">
        <f>IF(AND(ISNUMBER(R1512),ISNUMBER(R1513)),V1512,IF(AND(R1512="",ISNUMBER(R1513)),IFERROR(LARGE($V$923:$V1512,1)+1,0),""))</f>
        <v/>
      </c>
      <c r="W1513" s="23" t="str">
        <f t="shared" si="509"/>
        <v/>
      </c>
      <c r="X1513" s="22" t="str">
        <f t="shared" si="510"/>
        <v/>
      </c>
      <c r="Y1513" s="236"/>
      <c r="Z1513" s="22"/>
      <c r="AA1513" s="22"/>
      <c r="AB1513" s="22" t="str">
        <f t="shared" si="488"/>
        <v/>
      </c>
      <c r="AC1513" s="22" t="str">
        <f t="shared" si="489"/>
        <v/>
      </c>
      <c r="AD1513" s="22" t="str">
        <f t="shared" si="498"/>
        <v/>
      </c>
      <c r="AE1513" s="22" t="str">
        <f t="shared" si="490"/>
        <v/>
      </c>
      <c r="AF1513" s="22" t="str">
        <f t="shared" si="499"/>
        <v/>
      </c>
      <c r="AG1513" s="22" t="str">
        <f t="shared" si="500"/>
        <v/>
      </c>
      <c r="AH1513" s="22" t="str">
        <f t="shared" si="501"/>
        <v/>
      </c>
      <c r="AI1513" s="22" t="str">
        <f t="shared" si="502"/>
        <v/>
      </c>
      <c r="AJ1513" s="304" t="str">
        <f t="shared" si="503"/>
        <v/>
      </c>
      <c r="AK1513" s="140" t="str">
        <f t="shared" si="504"/>
        <v/>
      </c>
    </row>
    <row r="1514" spans="7:37" x14ac:dyDescent="0.25">
      <c r="G1514" s="235" t="str">
        <f t="shared" si="493"/>
        <v/>
      </c>
      <c r="H1514" s="4" t="str">
        <f t="shared" si="492"/>
        <v/>
      </c>
      <c r="I1514" s="11" t="str">
        <f t="shared" si="494"/>
        <v/>
      </c>
      <c r="K1514" s="30">
        <v>592</v>
      </c>
      <c r="L1514" s="29">
        <f t="shared" si="505"/>
        <v>11371.908376190921</v>
      </c>
      <c r="M1514" s="28" t="str">
        <f t="shared" si="495"/>
        <v/>
      </c>
      <c r="N1514" s="27" t="str">
        <f t="shared" si="506"/>
        <v/>
      </c>
      <c r="O1514" s="26" t="str">
        <f>IF(AND($Q1513=$O$38,IFERROR(LARGE($V$923:$V1513,1)&lt;$N$42,TRUE)),1,IF(AND(ISNUMBER($O1513),$O1513&lt;$N$32),$O1513+1,""))</f>
        <v/>
      </c>
      <c r="P1514" s="26" t="str">
        <f t="shared" si="507"/>
        <v/>
      </c>
      <c r="Q1514" s="26" t="str">
        <f t="shared" si="496"/>
        <v/>
      </c>
      <c r="R1514" s="24" t="str">
        <f t="shared" si="508"/>
        <v/>
      </c>
      <c r="S1514" s="180">
        <f t="shared" si="491"/>
        <v>8</v>
      </c>
      <c r="T1514" s="29">
        <f>SUM($AC$923:$AC1514)</f>
        <v>49500</v>
      </c>
      <c r="U1514" s="25" t="str">
        <f t="shared" si="497"/>
        <v/>
      </c>
      <c r="V1514" s="24" t="str">
        <f>IF(AND(ISNUMBER(R1513),ISNUMBER(R1514)),V1513,IF(AND(R1513="",ISNUMBER(R1514)),IFERROR(LARGE($V$923:$V1513,1)+1,0),""))</f>
        <v/>
      </c>
      <c r="W1514" s="23" t="str">
        <f t="shared" si="509"/>
        <v/>
      </c>
      <c r="X1514" s="22" t="str">
        <f t="shared" si="510"/>
        <v/>
      </c>
      <c r="Y1514" s="236"/>
      <c r="Z1514" s="22"/>
      <c r="AA1514" s="22"/>
      <c r="AB1514" s="22" t="str">
        <f t="shared" si="488"/>
        <v/>
      </c>
      <c r="AC1514" s="22" t="str">
        <f t="shared" si="489"/>
        <v/>
      </c>
      <c r="AD1514" s="22" t="str">
        <f t="shared" si="498"/>
        <v/>
      </c>
      <c r="AE1514" s="22" t="str">
        <f t="shared" si="490"/>
        <v/>
      </c>
      <c r="AF1514" s="22" t="str">
        <f t="shared" si="499"/>
        <v/>
      </c>
      <c r="AG1514" s="22" t="str">
        <f t="shared" si="500"/>
        <v/>
      </c>
      <c r="AH1514" s="22" t="str">
        <f t="shared" si="501"/>
        <v/>
      </c>
      <c r="AI1514" s="22" t="str">
        <f t="shared" si="502"/>
        <v/>
      </c>
      <c r="AJ1514" s="304" t="str">
        <f t="shared" si="503"/>
        <v/>
      </c>
      <c r="AK1514" s="140" t="str">
        <f t="shared" si="504"/>
        <v/>
      </c>
    </row>
    <row r="1515" spans="7:37" x14ac:dyDescent="0.25">
      <c r="G1515" s="235" t="str">
        <f t="shared" si="493"/>
        <v/>
      </c>
      <c r="H1515" s="4" t="str">
        <f t="shared" si="492"/>
        <v/>
      </c>
      <c r="I1515" s="11" t="str">
        <f t="shared" si="494"/>
        <v/>
      </c>
      <c r="K1515" s="30">
        <v>593</v>
      </c>
      <c r="L1515" s="29">
        <f t="shared" si="505"/>
        <v>11371.908376190921</v>
      </c>
      <c r="M1515" s="28" t="str">
        <f t="shared" si="495"/>
        <v/>
      </c>
      <c r="N1515" s="27" t="str">
        <f t="shared" si="506"/>
        <v/>
      </c>
      <c r="O1515" s="26" t="str">
        <f>IF(AND($Q1514=$O$38,IFERROR(LARGE($V$923:$V1514,1)&lt;$N$42,TRUE)),1,IF(AND(ISNUMBER($O1514),$O1514&lt;$N$32),$O1514+1,""))</f>
        <v/>
      </c>
      <c r="P1515" s="26" t="str">
        <f t="shared" si="507"/>
        <v/>
      </c>
      <c r="Q1515" s="26" t="str">
        <f t="shared" si="496"/>
        <v/>
      </c>
      <c r="R1515" s="24" t="str">
        <f t="shared" si="508"/>
        <v/>
      </c>
      <c r="S1515" s="180">
        <f t="shared" si="491"/>
        <v>8</v>
      </c>
      <c r="T1515" s="29">
        <f>SUM($AC$923:$AC1515)</f>
        <v>49500</v>
      </c>
      <c r="U1515" s="25" t="str">
        <f t="shared" si="497"/>
        <v/>
      </c>
      <c r="V1515" s="24" t="str">
        <f>IF(AND(ISNUMBER(R1514),ISNUMBER(R1515)),V1514,IF(AND(R1514="",ISNUMBER(R1515)),IFERROR(LARGE($V$923:$V1514,1)+1,0),""))</f>
        <v/>
      </c>
      <c r="W1515" s="23" t="str">
        <f t="shared" si="509"/>
        <v/>
      </c>
      <c r="X1515" s="22" t="str">
        <f t="shared" si="510"/>
        <v/>
      </c>
      <c r="Y1515" s="236"/>
      <c r="Z1515" s="22"/>
      <c r="AA1515" s="22"/>
      <c r="AB1515" s="22" t="str">
        <f t="shared" ref="AB1515:AB1578" si="511">IF((IF(AND($P1514="",$P1515=1),($N$37*-1),0)+IF(AND($Q1514="",$Q1515=1),($N$38*-1),0)+IF(OR(AND(ISNUMBER($U1515),IF(ISNUMBER($U1516),$U1516,0)-IF(ISNUMBER($U1515),$U1515,0)=1),AND(ISNUMBER($U1515),$U1516="")),IF($U1515=1,$P$37,0),0))=0,"",(IF(AND($P1514="",$P1515=1),($N$37*-1),0)+IF(AND($Q1514="",$Q1515=1),($N$38*-1),0)+IF(OR(AND(ISNUMBER($U1515),IF(ISNUMBER($U1516),$U1516,0)-IF(ISNUMBER($U1515),$U1515,0)=1),AND(ISNUMBER($U1515),$U1516="")),IF($U1515=1,$P$37,0),0)))</f>
        <v/>
      </c>
      <c r="AC1515" s="22" t="str">
        <f t="shared" ref="AC1515:AC1578" si="512">IF(IF(OR(AND(ISNUMBER($U1515),IF(ISNUMBER($U1516),$U1516,0)-IF(ISNUMBER($U1515),$U1515,0)=1),AND(ISNUMBER($U1515),$U1516="")),VLOOKUP(IF($U1515&gt;$L$63,$L$63,$U1515),$L$52:$N$63,COLUMNS($L$52:$N$52),FALSE),0)=0,"",IF(OR(AND(ISNUMBER($U1515),IF(ISNUMBER($U1516),$U1516,0)-IF(ISNUMBER($U1515),$U1515,0)=1),AND(ISNUMBER($U1515),$U1516="")),VLOOKUP(IF($U1515&gt;$L$63,$L$63,$U1515),$L$52:$N$63,COLUMNS($L$52:$N$52),FALSE),0))</f>
        <v/>
      </c>
      <c r="AD1515" s="22" t="str">
        <f t="shared" si="498"/>
        <v/>
      </c>
      <c r="AE1515" s="22" t="str">
        <f t="shared" ref="AE1515:AE1578" si="513">$AC1515</f>
        <v/>
      </c>
      <c r="AF1515" s="22" t="str">
        <f t="shared" si="499"/>
        <v/>
      </c>
      <c r="AG1515" s="22" t="str">
        <f t="shared" si="500"/>
        <v/>
      </c>
      <c r="AH1515" s="22" t="str">
        <f t="shared" si="501"/>
        <v/>
      </c>
      <c r="AI1515" s="22" t="str">
        <f t="shared" si="502"/>
        <v/>
      </c>
      <c r="AJ1515" s="304" t="str">
        <f t="shared" si="503"/>
        <v/>
      </c>
      <c r="AK1515" s="140" t="str">
        <f t="shared" si="504"/>
        <v/>
      </c>
    </row>
    <row r="1516" spans="7:37" x14ac:dyDescent="0.25">
      <c r="G1516" s="235" t="str">
        <f t="shared" si="493"/>
        <v/>
      </c>
      <c r="H1516" s="4" t="str">
        <f t="shared" si="492"/>
        <v/>
      </c>
      <c r="I1516" s="11" t="str">
        <f t="shared" si="494"/>
        <v/>
      </c>
      <c r="K1516" s="30">
        <v>594</v>
      </c>
      <c r="L1516" s="29">
        <f t="shared" si="505"/>
        <v>11371.908376190921</v>
      </c>
      <c r="M1516" s="28" t="str">
        <f t="shared" si="495"/>
        <v/>
      </c>
      <c r="N1516" s="27" t="str">
        <f t="shared" si="506"/>
        <v/>
      </c>
      <c r="O1516" s="26" t="str">
        <f>IF(AND($Q1515=$O$38,IFERROR(LARGE($V$923:$V1515,1)&lt;$N$42,TRUE)),1,IF(AND(ISNUMBER($O1515),$O1515&lt;$N$32),$O1515+1,""))</f>
        <v/>
      </c>
      <c r="P1516" s="26" t="str">
        <f t="shared" si="507"/>
        <v/>
      </c>
      <c r="Q1516" s="26" t="str">
        <f t="shared" si="496"/>
        <v/>
      </c>
      <c r="R1516" s="24" t="str">
        <f t="shared" si="508"/>
        <v/>
      </c>
      <c r="S1516" s="180">
        <f t="shared" si="491"/>
        <v>8</v>
      </c>
      <c r="T1516" s="29">
        <f>SUM($AC$923:$AC1516)</f>
        <v>49500</v>
      </c>
      <c r="U1516" s="25" t="str">
        <f t="shared" si="497"/>
        <v/>
      </c>
      <c r="V1516" s="24" t="str">
        <f>IF(AND(ISNUMBER(R1515),ISNUMBER(R1516)),V1515,IF(AND(R1515="",ISNUMBER(R1516)),IFERROR(LARGE($V$923:$V1515,1)+1,0),""))</f>
        <v/>
      </c>
      <c r="W1516" s="23" t="str">
        <f t="shared" si="509"/>
        <v/>
      </c>
      <c r="X1516" s="22" t="str">
        <f t="shared" si="510"/>
        <v/>
      </c>
      <c r="Y1516" s="236"/>
      <c r="Z1516" s="22"/>
      <c r="AA1516" s="22"/>
      <c r="AB1516" s="22" t="str">
        <f t="shared" si="511"/>
        <v/>
      </c>
      <c r="AC1516" s="22" t="str">
        <f t="shared" si="512"/>
        <v/>
      </c>
      <c r="AD1516" s="22" t="str">
        <f t="shared" si="498"/>
        <v/>
      </c>
      <c r="AE1516" s="22" t="str">
        <f t="shared" si="513"/>
        <v/>
      </c>
      <c r="AF1516" s="22" t="str">
        <f t="shared" si="499"/>
        <v/>
      </c>
      <c r="AG1516" s="22" t="str">
        <f t="shared" si="500"/>
        <v/>
      </c>
      <c r="AH1516" s="22" t="str">
        <f t="shared" si="501"/>
        <v/>
      </c>
      <c r="AI1516" s="22" t="str">
        <f t="shared" si="502"/>
        <v/>
      </c>
      <c r="AJ1516" s="304" t="str">
        <f t="shared" si="503"/>
        <v/>
      </c>
      <c r="AK1516" s="140" t="str">
        <f t="shared" si="504"/>
        <v/>
      </c>
    </row>
    <row r="1517" spans="7:37" x14ac:dyDescent="0.25">
      <c r="G1517" s="235" t="str">
        <f t="shared" si="493"/>
        <v/>
      </c>
      <c r="H1517" s="4" t="str">
        <f t="shared" si="492"/>
        <v/>
      </c>
      <c r="I1517" s="11" t="str">
        <f t="shared" si="494"/>
        <v/>
      </c>
      <c r="K1517" s="30">
        <v>595</v>
      </c>
      <c r="L1517" s="29">
        <f t="shared" si="505"/>
        <v>11371.908376190921</v>
      </c>
      <c r="M1517" s="28" t="str">
        <f t="shared" si="495"/>
        <v/>
      </c>
      <c r="N1517" s="27" t="str">
        <f t="shared" si="506"/>
        <v/>
      </c>
      <c r="O1517" s="26" t="str">
        <f>IF(AND($Q1516=$O$38,IFERROR(LARGE($V$923:$V1516,1)&lt;$N$42,TRUE)),1,IF(AND(ISNUMBER($O1516),$O1516&lt;$N$32),$O1516+1,""))</f>
        <v/>
      </c>
      <c r="P1517" s="26" t="str">
        <f t="shared" si="507"/>
        <v/>
      </c>
      <c r="Q1517" s="26" t="str">
        <f t="shared" si="496"/>
        <v/>
      </c>
      <c r="R1517" s="24" t="str">
        <f t="shared" si="508"/>
        <v/>
      </c>
      <c r="S1517" s="180">
        <f t="shared" si="491"/>
        <v>8</v>
      </c>
      <c r="T1517" s="29">
        <f>SUM($AC$923:$AC1517)</f>
        <v>49500</v>
      </c>
      <c r="U1517" s="25" t="str">
        <f t="shared" si="497"/>
        <v/>
      </c>
      <c r="V1517" s="24" t="str">
        <f>IF(AND(ISNUMBER(R1516),ISNUMBER(R1517)),V1516,IF(AND(R1516="",ISNUMBER(R1517)),IFERROR(LARGE($V$923:$V1516,1)+1,0),""))</f>
        <v/>
      </c>
      <c r="W1517" s="23" t="str">
        <f t="shared" si="509"/>
        <v/>
      </c>
      <c r="X1517" s="22" t="str">
        <f t="shared" si="510"/>
        <v/>
      </c>
      <c r="Y1517" s="236"/>
      <c r="Z1517" s="22"/>
      <c r="AA1517" s="22"/>
      <c r="AB1517" s="22" t="str">
        <f t="shared" si="511"/>
        <v/>
      </c>
      <c r="AC1517" s="22" t="str">
        <f t="shared" si="512"/>
        <v/>
      </c>
      <c r="AD1517" s="22" t="str">
        <f t="shared" si="498"/>
        <v/>
      </c>
      <c r="AE1517" s="22" t="str">
        <f t="shared" si="513"/>
        <v/>
      </c>
      <c r="AF1517" s="22" t="str">
        <f t="shared" si="499"/>
        <v/>
      </c>
      <c r="AG1517" s="22" t="str">
        <f t="shared" si="500"/>
        <v/>
      </c>
      <c r="AH1517" s="22" t="str">
        <f t="shared" si="501"/>
        <v/>
      </c>
      <c r="AI1517" s="22" t="str">
        <f t="shared" si="502"/>
        <v/>
      </c>
      <c r="AJ1517" s="304" t="str">
        <f t="shared" si="503"/>
        <v/>
      </c>
      <c r="AK1517" s="140" t="str">
        <f t="shared" si="504"/>
        <v/>
      </c>
    </row>
    <row r="1518" spans="7:37" x14ac:dyDescent="0.25">
      <c r="G1518" s="235" t="str">
        <f t="shared" si="493"/>
        <v/>
      </c>
      <c r="H1518" s="4" t="str">
        <f t="shared" si="492"/>
        <v/>
      </c>
      <c r="I1518" s="11" t="str">
        <f t="shared" si="494"/>
        <v/>
      </c>
      <c r="K1518" s="30">
        <v>596</v>
      </c>
      <c r="L1518" s="29">
        <f t="shared" si="505"/>
        <v>11371.908376190921</v>
      </c>
      <c r="M1518" s="28" t="str">
        <f t="shared" si="495"/>
        <v/>
      </c>
      <c r="N1518" s="27" t="str">
        <f t="shared" si="506"/>
        <v/>
      </c>
      <c r="O1518" s="26" t="str">
        <f>IF(AND($Q1517=$O$38,IFERROR(LARGE($V$923:$V1517,1)&lt;$N$42,TRUE)),1,IF(AND(ISNUMBER($O1517),$O1517&lt;$N$32),$O1517+1,""))</f>
        <v/>
      </c>
      <c r="P1518" s="26" t="str">
        <f t="shared" si="507"/>
        <v/>
      </c>
      <c r="Q1518" s="26" t="str">
        <f t="shared" si="496"/>
        <v/>
      </c>
      <c r="R1518" s="24" t="str">
        <f t="shared" si="508"/>
        <v/>
      </c>
      <c r="S1518" s="180">
        <f t="shared" si="491"/>
        <v>8</v>
      </c>
      <c r="T1518" s="29">
        <f>SUM($AC$923:$AC1518)</f>
        <v>49500</v>
      </c>
      <c r="U1518" s="25" t="str">
        <f t="shared" si="497"/>
        <v/>
      </c>
      <c r="V1518" s="24" t="str">
        <f>IF(AND(ISNUMBER(R1517),ISNUMBER(R1518)),V1517,IF(AND(R1517="",ISNUMBER(R1518)),IFERROR(LARGE($V$923:$V1517,1)+1,0),""))</f>
        <v/>
      </c>
      <c r="W1518" s="23" t="str">
        <f t="shared" si="509"/>
        <v/>
      </c>
      <c r="X1518" s="22" t="str">
        <f t="shared" si="510"/>
        <v/>
      </c>
      <c r="Y1518" s="236"/>
      <c r="Z1518" s="22"/>
      <c r="AA1518" s="22"/>
      <c r="AB1518" s="22" t="str">
        <f t="shared" si="511"/>
        <v/>
      </c>
      <c r="AC1518" s="22" t="str">
        <f t="shared" si="512"/>
        <v/>
      </c>
      <c r="AD1518" s="22" t="str">
        <f t="shared" si="498"/>
        <v/>
      </c>
      <c r="AE1518" s="22" t="str">
        <f t="shared" si="513"/>
        <v/>
      </c>
      <c r="AF1518" s="22" t="str">
        <f t="shared" si="499"/>
        <v/>
      </c>
      <c r="AG1518" s="22" t="str">
        <f t="shared" si="500"/>
        <v/>
      </c>
      <c r="AH1518" s="22" t="str">
        <f t="shared" si="501"/>
        <v/>
      </c>
      <c r="AI1518" s="22" t="str">
        <f t="shared" si="502"/>
        <v/>
      </c>
      <c r="AJ1518" s="304" t="str">
        <f t="shared" si="503"/>
        <v/>
      </c>
      <c r="AK1518" s="140" t="str">
        <f t="shared" si="504"/>
        <v/>
      </c>
    </row>
    <row r="1519" spans="7:37" x14ac:dyDescent="0.25">
      <c r="G1519" s="235" t="str">
        <f t="shared" si="493"/>
        <v/>
      </c>
      <c r="H1519" s="4" t="str">
        <f t="shared" si="492"/>
        <v/>
      </c>
      <c r="I1519" s="11" t="str">
        <f t="shared" si="494"/>
        <v/>
      </c>
      <c r="K1519" s="30">
        <v>597</v>
      </c>
      <c r="L1519" s="29">
        <f t="shared" si="505"/>
        <v>11371.908376190921</v>
      </c>
      <c r="M1519" s="28" t="str">
        <f t="shared" si="495"/>
        <v/>
      </c>
      <c r="N1519" s="27" t="str">
        <f t="shared" si="506"/>
        <v/>
      </c>
      <c r="O1519" s="26" t="str">
        <f>IF(AND($Q1518=$O$38,IFERROR(LARGE($V$923:$V1518,1)&lt;$N$42,TRUE)),1,IF(AND(ISNUMBER($O1518),$O1518&lt;$N$32),$O1518+1,""))</f>
        <v/>
      </c>
      <c r="P1519" s="26" t="str">
        <f t="shared" si="507"/>
        <v/>
      </c>
      <c r="Q1519" s="26" t="str">
        <f t="shared" si="496"/>
        <v/>
      </c>
      <c r="R1519" s="24" t="str">
        <f t="shared" si="508"/>
        <v/>
      </c>
      <c r="S1519" s="180">
        <f t="shared" si="491"/>
        <v>8</v>
      </c>
      <c r="T1519" s="29">
        <f>SUM($AC$923:$AC1519)</f>
        <v>49500</v>
      </c>
      <c r="U1519" s="25" t="str">
        <f t="shared" si="497"/>
        <v/>
      </c>
      <c r="V1519" s="24" t="str">
        <f>IF(AND(ISNUMBER(R1518),ISNUMBER(R1519)),V1518,IF(AND(R1518="",ISNUMBER(R1519)),IFERROR(LARGE($V$923:$V1518,1)+1,0),""))</f>
        <v/>
      </c>
      <c r="W1519" s="23" t="str">
        <f t="shared" si="509"/>
        <v/>
      </c>
      <c r="X1519" s="22" t="str">
        <f t="shared" si="510"/>
        <v/>
      </c>
      <c r="Y1519" s="236"/>
      <c r="Z1519" s="22"/>
      <c r="AA1519" s="22"/>
      <c r="AB1519" s="22" t="str">
        <f t="shared" si="511"/>
        <v/>
      </c>
      <c r="AC1519" s="22" t="str">
        <f t="shared" si="512"/>
        <v/>
      </c>
      <c r="AD1519" s="22" t="str">
        <f t="shared" si="498"/>
        <v/>
      </c>
      <c r="AE1519" s="22" t="str">
        <f t="shared" si="513"/>
        <v/>
      </c>
      <c r="AF1519" s="22" t="str">
        <f t="shared" si="499"/>
        <v/>
      </c>
      <c r="AG1519" s="22" t="str">
        <f t="shared" si="500"/>
        <v/>
      </c>
      <c r="AH1519" s="22" t="str">
        <f t="shared" si="501"/>
        <v/>
      </c>
      <c r="AI1519" s="22" t="str">
        <f t="shared" si="502"/>
        <v/>
      </c>
      <c r="AJ1519" s="304" t="str">
        <f t="shared" si="503"/>
        <v/>
      </c>
      <c r="AK1519" s="140" t="str">
        <f t="shared" si="504"/>
        <v/>
      </c>
    </row>
    <row r="1520" spans="7:37" x14ac:dyDescent="0.25">
      <c r="G1520" s="235" t="str">
        <f t="shared" si="493"/>
        <v/>
      </c>
      <c r="H1520" s="4" t="str">
        <f t="shared" si="492"/>
        <v/>
      </c>
      <c r="I1520" s="11" t="str">
        <f t="shared" si="494"/>
        <v/>
      </c>
      <c r="K1520" s="30">
        <v>598</v>
      </c>
      <c r="L1520" s="29">
        <f t="shared" si="505"/>
        <v>11371.908376190921</v>
      </c>
      <c r="M1520" s="28" t="str">
        <f t="shared" si="495"/>
        <v/>
      </c>
      <c r="N1520" s="27" t="str">
        <f t="shared" si="506"/>
        <v/>
      </c>
      <c r="O1520" s="26" t="str">
        <f>IF(AND($Q1519=$O$38,IFERROR(LARGE($V$923:$V1519,1)&lt;$N$42,TRUE)),1,IF(AND(ISNUMBER($O1519),$O1519&lt;$N$32),$O1519+1,""))</f>
        <v/>
      </c>
      <c r="P1520" s="26" t="str">
        <f t="shared" si="507"/>
        <v/>
      </c>
      <c r="Q1520" s="26" t="str">
        <f t="shared" si="496"/>
        <v/>
      </c>
      <c r="R1520" s="24" t="str">
        <f t="shared" si="508"/>
        <v/>
      </c>
      <c r="S1520" s="180">
        <f t="shared" si="491"/>
        <v>8</v>
      </c>
      <c r="T1520" s="29">
        <f>SUM($AC$923:$AC1520)</f>
        <v>49500</v>
      </c>
      <c r="U1520" s="25" t="str">
        <f t="shared" si="497"/>
        <v/>
      </c>
      <c r="V1520" s="24" t="str">
        <f>IF(AND(ISNUMBER(R1519),ISNUMBER(R1520)),V1519,IF(AND(R1519="",ISNUMBER(R1520)),IFERROR(LARGE($V$923:$V1519,1)+1,0),""))</f>
        <v/>
      </c>
      <c r="W1520" s="23" t="str">
        <f t="shared" si="509"/>
        <v/>
      </c>
      <c r="X1520" s="22" t="str">
        <f t="shared" si="510"/>
        <v/>
      </c>
      <c r="Y1520" s="236"/>
      <c r="Z1520" s="22"/>
      <c r="AA1520" s="22"/>
      <c r="AB1520" s="22" t="str">
        <f t="shared" si="511"/>
        <v/>
      </c>
      <c r="AC1520" s="22" t="str">
        <f t="shared" si="512"/>
        <v/>
      </c>
      <c r="AD1520" s="22" t="str">
        <f t="shared" si="498"/>
        <v/>
      </c>
      <c r="AE1520" s="22" t="str">
        <f t="shared" si="513"/>
        <v/>
      </c>
      <c r="AF1520" s="22" t="str">
        <f t="shared" si="499"/>
        <v/>
      </c>
      <c r="AG1520" s="22" t="str">
        <f t="shared" si="500"/>
        <v/>
      </c>
      <c r="AH1520" s="22" t="str">
        <f t="shared" si="501"/>
        <v/>
      </c>
      <c r="AI1520" s="22" t="str">
        <f t="shared" si="502"/>
        <v/>
      </c>
      <c r="AJ1520" s="304" t="str">
        <f t="shared" si="503"/>
        <v/>
      </c>
      <c r="AK1520" s="140" t="str">
        <f t="shared" si="504"/>
        <v/>
      </c>
    </row>
    <row r="1521" spans="7:37" x14ac:dyDescent="0.25">
      <c r="G1521" s="235" t="str">
        <f t="shared" si="493"/>
        <v/>
      </c>
      <c r="H1521" s="4" t="str">
        <f t="shared" si="492"/>
        <v/>
      </c>
      <c r="I1521" s="11" t="str">
        <f t="shared" si="494"/>
        <v/>
      </c>
      <c r="K1521" s="30">
        <v>599</v>
      </c>
      <c r="L1521" s="29">
        <f t="shared" si="505"/>
        <v>11371.908376190921</v>
      </c>
      <c r="M1521" s="28" t="str">
        <f t="shared" si="495"/>
        <v/>
      </c>
      <c r="N1521" s="27" t="str">
        <f t="shared" si="506"/>
        <v/>
      </c>
      <c r="O1521" s="26" t="str">
        <f>IF(AND($Q1520=$O$38,IFERROR(LARGE($V$923:$V1520,1)&lt;$N$42,TRUE)),1,IF(AND(ISNUMBER($O1520),$O1520&lt;$N$32),$O1520+1,""))</f>
        <v/>
      </c>
      <c r="P1521" s="26" t="str">
        <f t="shared" si="507"/>
        <v/>
      </c>
      <c r="Q1521" s="26" t="str">
        <f t="shared" si="496"/>
        <v/>
      </c>
      <c r="R1521" s="24" t="str">
        <f t="shared" si="508"/>
        <v/>
      </c>
      <c r="S1521" s="180">
        <f t="shared" si="491"/>
        <v>8</v>
      </c>
      <c r="T1521" s="29">
        <f>SUM($AC$923:$AC1521)</f>
        <v>49500</v>
      </c>
      <c r="U1521" s="25" t="str">
        <f t="shared" si="497"/>
        <v/>
      </c>
      <c r="V1521" s="24" t="str">
        <f>IF(AND(ISNUMBER(R1520),ISNUMBER(R1521)),V1520,IF(AND(R1520="",ISNUMBER(R1521)),IFERROR(LARGE($V$923:$V1520,1)+1,0),""))</f>
        <v/>
      </c>
      <c r="W1521" s="23" t="str">
        <f t="shared" si="509"/>
        <v/>
      </c>
      <c r="X1521" s="22" t="str">
        <f t="shared" si="510"/>
        <v/>
      </c>
      <c r="Y1521" s="236"/>
      <c r="Z1521" s="22"/>
      <c r="AA1521" s="22"/>
      <c r="AB1521" s="22" t="str">
        <f t="shared" si="511"/>
        <v/>
      </c>
      <c r="AC1521" s="22" t="str">
        <f t="shared" si="512"/>
        <v/>
      </c>
      <c r="AD1521" s="22" t="str">
        <f t="shared" si="498"/>
        <v/>
      </c>
      <c r="AE1521" s="22" t="str">
        <f t="shared" si="513"/>
        <v/>
      </c>
      <c r="AF1521" s="22" t="str">
        <f t="shared" si="499"/>
        <v/>
      </c>
      <c r="AG1521" s="22" t="str">
        <f t="shared" si="500"/>
        <v/>
      </c>
      <c r="AH1521" s="22" t="str">
        <f t="shared" si="501"/>
        <v/>
      </c>
      <c r="AI1521" s="22" t="str">
        <f t="shared" si="502"/>
        <v/>
      </c>
      <c r="AJ1521" s="304" t="str">
        <f t="shared" si="503"/>
        <v/>
      </c>
      <c r="AK1521" s="140" t="str">
        <f t="shared" si="504"/>
        <v/>
      </c>
    </row>
    <row r="1522" spans="7:37" x14ac:dyDescent="0.25">
      <c r="G1522" s="235" t="str">
        <f t="shared" si="493"/>
        <v/>
      </c>
      <c r="H1522" s="4" t="str">
        <f t="shared" si="492"/>
        <v/>
      </c>
      <c r="I1522" s="11" t="str">
        <f t="shared" si="494"/>
        <v/>
      </c>
      <c r="K1522" s="30">
        <v>600</v>
      </c>
      <c r="L1522" s="29">
        <f t="shared" si="505"/>
        <v>11371.908376190921</v>
      </c>
      <c r="M1522" s="28" t="str">
        <f t="shared" si="495"/>
        <v/>
      </c>
      <c r="N1522" s="27" t="str">
        <f t="shared" si="506"/>
        <v/>
      </c>
      <c r="O1522" s="26" t="str">
        <f>IF(AND($Q1521=$O$38,IFERROR(LARGE($V$923:$V1521,1)&lt;$N$42,TRUE)),1,IF(AND(ISNUMBER($O1521),$O1521&lt;$N$32),$O1521+1,""))</f>
        <v/>
      </c>
      <c r="P1522" s="26" t="str">
        <f t="shared" si="507"/>
        <v/>
      </c>
      <c r="Q1522" s="26" t="str">
        <f t="shared" si="496"/>
        <v/>
      </c>
      <c r="R1522" s="24" t="str">
        <f t="shared" si="508"/>
        <v/>
      </c>
      <c r="S1522" s="180">
        <f t="shared" ref="S1522:S1585" si="514">IF($Q1522=1,ROUNDDOWN($S1521,0),IF($O1522=1,ROUNDDOWN($S1521,0)+1,IF($R1522=1,$S1521+0.01,IF(ISNUMBER($U1522),IF(AND($U1522&gt;1,($U1522-$U1521)=1),$S1521+0.01,$S1521),$S1521))))</f>
        <v>8</v>
      </c>
      <c r="T1522" s="29">
        <f>SUM($AC$923:$AC1522)</f>
        <v>49500</v>
      </c>
      <c r="U1522" s="25" t="str">
        <f t="shared" si="497"/>
        <v/>
      </c>
      <c r="V1522" s="24" t="str">
        <f>IF(AND(ISNUMBER(R1521),ISNUMBER(R1522)),V1521,IF(AND(R1521="",ISNUMBER(R1522)),IFERROR(LARGE($V$923:$V1521,1)+1,0),""))</f>
        <v/>
      </c>
      <c r="W1522" s="23" t="str">
        <f t="shared" si="509"/>
        <v/>
      </c>
      <c r="X1522" s="22" t="str">
        <f t="shared" si="510"/>
        <v/>
      </c>
      <c r="Y1522" s="236"/>
      <c r="Z1522" s="22"/>
      <c r="AA1522" s="22"/>
      <c r="AB1522" s="22" t="str">
        <f t="shared" si="511"/>
        <v/>
      </c>
      <c r="AC1522" s="22" t="str">
        <f t="shared" si="512"/>
        <v/>
      </c>
      <c r="AD1522" s="22" t="str">
        <f t="shared" si="498"/>
        <v/>
      </c>
      <c r="AE1522" s="22" t="str">
        <f t="shared" si="513"/>
        <v/>
      </c>
      <c r="AF1522" s="22" t="str">
        <f t="shared" si="499"/>
        <v/>
      </c>
      <c r="AG1522" s="22" t="str">
        <f t="shared" si="500"/>
        <v/>
      </c>
      <c r="AH1522" s="22" t="str">
        <f t="shared" si="501"/>
        <v/>
      </c>
      <c r="AI1522" s="22" t="str">
        <f t="shared" si="502"/>
        <v/>
      </c>
      <c r="AJ1522" s="304" t="str">
        <f t="shared" si="503"/>
        <v/>
      </c>
      <c r="AK1522" s="140" t="str">
        <f t="shared" si="504"/>
        <v/>
      </c>
    </row>
    <row r="1523" spans="7:37" x14ac:dyDescent="0.25">
      <c r="G1523" s="235" t="str">
        <f t="shared" si="493"/>
        <v/>
      </c>
      <c r="H1523" s="4" t="str">
        <f t="shared" si="492"/>
        <v/>
      </c>
      <c r="I1523" s="11" t="str">
        <f t="shared" si="494"/>
        <v/>
      </c>
      <c r="K1523" s="30">
        <v>601</v>
      </c>
      <c r="L1523" s="29">
        <f t="shared" si="505"/>
        <v>11371.908376190921</v>
      </c>
      <c r="M1523" s="28" t="str">
        <f t="shared" si="495"/>
        <v/>
      </c>
      <c r="N1523" s="27" t="str">
        <f t="shared" si="506"/>
        <v/>
      </c>
      <c r="O1523" s="26" t="str">
        <f>IF(AND($Q1522=$O$38,IFERROR(LARGE($V$923:$V1522,1)&lt;$N$42,TRUE)),1,IF(AND(ISNUMBER($O1522),$O1522&lt;$N$32),$O1522+1,""))</f>
        <v/>
      </c>
      <c r="P1523" s="26" t="str">
        <f t="shared" si="507"/>
        <v/>
      </c>
      <c r="Q1523" s="26" t="str">
        <f t="shared" si="496"/>
        <v/>
      </c>
      <c r="R1523" s="24" t="str">
        <f t="shared" si="508"/>
        <v/>
      </c>
      <c r="S1523" s="180">
        <f t="shared" si="514"/>
        <v>8</v>
      </c>
      <c r="T1523" s="29">
        <f>SUM($AC$923:$AC1523)</f>
        <v>49500</v>
      </c>
      <c r="U1523" s="25" t="str">
        <f t="shared" si="497"/>
        <v/>
      </c>
      <c r="V1523" s="24" t="str">
        <f>IF(AND(ISNUMBER(R1522),ISNUMBER(R1523)),V1522,IF(AND(R1522="",ISNUMBER(R1523)),IFERROR(LARGE($V$923:$V1522,1)+1,0),""))</f>
        <v/>
      </c>
      <c r="W1523" s="23" t="str">
        <f t="shared" si="509"/>
        <v/>
      </c>
      <c r="X1523" s="22" t="str">
        <f t="shared" si="510"/>
        <v/>
      </c>
      <c r="Y1523" s="236"/>
      <c r="Z1523" s="22"/>
      <c r="AA1523" s="22"/>
      <c r="AB1523" s="22" t="str">
        <f t="shared" si="511"/>
        <v/>
      </c>
      <c r="AC1523" s="22" t="str">
        <f t="shared" si="512"/>
        <v/>
      </c>
      <c r="AD1523" s="22" t="str">
        <f t="shared" si="498"/>
        <v/>
      </c>
      <c r="AE1523" s="22" t="str">
        <f t="shared" si="513"/>
        <v/>
      </c>
      <c r="AF1523" s="22" t="str">
        <f t="shared" si="499"/>
        <v/>
      </c>
      <c r="AG1523" s="22" t="str">
        <f t="shared" si="500"/>
        <v/>
      </c>
      <c r="AH1523" s="22" t="str">
        <f t="shared" si="501"/>
        <v/>
      </c>
      <c r="AI1523" s="22" t="str">
        <f t="shared" si="502"/>
        <v/>
      </c>
      <c r="AJ1523" s="304" t="str">
        <f t="shared" si="503"/>
        <v/>
      </c>
      <c r="AK1523" s="140" t="str">
        <f t="shared" si="504"/>
        <v/>
      </c>
    </row>
    <row r="1524" spans="7:37" x14ac:dyDescent="0.25">
      <c r="G1524" s="235" t="str">
        <f t="shared" si="493"/>
        <v/>
      </c>
      <c r="H1524" s="4" t="str">
        <f t="shared" si="492"/>
        <v/>
      </c>
      <c r="I1524" s="11" t="str">
        <f t="shared" si="494"/>
        <v/>
      </c>
      <c r="K1524" s="30">
        <v>602</v>
      </c>
      <c r="L1524" s="29">
        <f t="shared" si="505"/>
        <v>11371.908376190921</v>
      </c>
      <c r="M1524" s="28" t="str">
        <f t="shared" si="495"/>
        <v/>
      </c>
      <c r="N1524" s="27" t="str">
        <f t="shared" si="506"/>
        <v/>
      </c>
      <c r="O1524" s="26" t="str">
        <f>IF(AND($Q1523=$O$38,IFERROR(LARGE($V$923:$V1523,1)&lt;$N$42,TRUE)),1,IF(AND(ISNUMBER($O1523),$O1523&lt;$N$32),$O1523+1,""))</f>
        <v/>
      </c>
      <c r="P1524" s="26" t="str">
        <f t="shared" si="507"/>
        <v/>
      </c>
      <c r="Q1524" s="26" t="str">
        <f t="shared" si="496"/>
        <v/>
      </c>
      <c r="R1524" s="24" t="str">
        <f t="shared" si="508"/>
        <v/>
      </c>
      <c r="S1524" s="180">
        <f t="shared" si="514"/>
        <v>8</v>
      </c>
      <c r="T1524" s="29">
        <f>SUM($AC$923:$AC1524)</f>
        <v>49500</v>
      </c>
      <c r="U1524" s="25" t="str">
        <f t="shared" si="497"/>
        <v/>
      </c>
      <c r="V1524" s="24" t="str">
        <f>IF(AND(ISNUMBER(R1523),ISNUMBER(R1524)),V1523,IF(AND(R1523="",ISNUMBER(R1524)),IFERROR(LARGE($V$923:$V1523,1)+1,0),""))</f>
        <v/>
      </c>
      <c r="W1524" s="23" t="str">
        <f t="shared" si="509"/>
        <v/>
      </c>
      <c r="X1524" s="22" t="str">
        <f t="shared" si="510"/>
        <v/>
      </c>
      <c r="Y1524" s="236"/>
      <c r="Z1524" s="22"/>
      <c r="AA1524" s="22"/>
      <c r="AB1524" s="22" t="str">
        <f t="shared" si="511"/>
        <v/>
      </c>
      <c r="AC1524" s="22" t="str">
        <f t="shared" si="512"/>
        <v/>
      </c>
      <c r="AD1524" s="22" t="str">
        <f t="shared" si="498"/>
        <v/>
      </c>
      <c r="AE1524" s="22" t="str">
        <f t="shared" si="513"/>
        <v/>
      </c>
      <c r="AF1524" s="22" t="str">
        <f t="shared" si="499"/>
        <v/>
      </c>
      <c r="AG1524" s="22" t="str">
        <f t="shared" si="500"/>
        <v/>
      </c>
      <c r="AH1524" s="22" t="str">
        <f t="shared" si="501"/>
        <v/>
      </c>
      <c r="AI1524" s="22" t="str">
        <f t="shared" si="502"/>
        <v/>
      </c>
      <c r="AJ1524" s="304" t="str">
        <f t="shared" si="503"/>
        <v/>
      </c>
      <c r="AK1524" s="140" t="str">
        <f t="shared" si="504"/>
        <v/>
      </c>
    </row>
    <row r="1525" spans="7:37" x14ac:dyDescent="0.25">
      <c r="G1525" s="235" t="str">
        <f t="shared" si="493"/>
        <v/>
      </c>
      <c r="H1525" s="4" t="str">
        <f t="shared" si="492"/>
        <v/>
      </c>
      <c r="I1525" s="11" t="str">
        <f t="shared" si="494"/>
        <v/>
      </c>
      <c r="K1525" s="30">
        <v>603</v>
      </c>
      <c r="L1525" s="29">
        <f t="shared" si="505"/>
        <v>11371.908376190921</v>
      </c>
      <c r="M1525" s="28" t="str">
        <f t="shared" si="495"/>
        <v/>
      </c>
      <c r="N1525" s="27" t="str">
        <f t="shared" si="506"/>
        <v/>
      </c>
      <c r="O1525" s="26" t="str">
        <f>IF(AND($Q1524=$O$38,IFERROR(LARGE($V$923:$V1524,1)&lt;$N$42,TRUE)),1,IF(AND(ISNUMBER($O1524),$O1524&lt;$N$32),$O1524+1,""))</f>
        <v/>
      </c>
      <c r="P1525" s="26" t="str">
        <f t="shared" si="507"/>
        <v/>
      </c>
      <c r="Q1525" s="26" t="str">
        <f t="shared" si="496"/>
        <v/>
      </c>
      <c r="R1525" s="24" t="str">
        <f t="shared" si="508"/>
        <v/>
      </c>
      <c r="S1525" s="180">
        <f t="shared" si="514"/>
        <v>8</v>
      </c>
      <c r="T1525" s="29">
        <f>SUM($AC$923:$AC1525)</f>
        <v>49500</v>
      </c>
      <c r="U1525" s="25" t="str">
        <f t="shared" si="497"/>
        <v/>
      </c>
      <c r="V1525" s="24" t="str">
        <f>IF(AND(ISNUMBER(R1524),ISNUMBER(R1525)),V1524,IF(AND(R1524="",ISNUMBER(R1525)),IFERROR(LARGE($V$923:$V1524,1)+1,0),""))</f>
        <v/>
      </c>
      <c r="W1525" s="23" t="str">
        <f t="shared" si="509"/>
        <v/>
      </c>
      <c r="X1525" s="22" t="str">
        <f t="shared" si="510"/>
        <v/>
      </c>
      <c r="Y1525" s="236"/>
      <c r="Z1525" s="22"/>
      <c r="AA1525" s="22"/>
      <c r="AB1525" s="22" t="str">
        <f t="shared" si="511"/>
        <v/>
      </c>
      <c r="AC1525" s="22" t="str">
        <f t="shared" si="512"/>
        <v/>
      </c>
      <c r="AD1525" s="22" t="str">
        <f t="shared" si="498"/>
        <v/>
      </c>
      <c r="AE1525" s="22" t="str">
        <f t="shared" si="513"/>
        <v/>
      </c>
      <c r="AF1525" s="22" t="str">
        <f t="shared" si="499"/>
        <v/>
      </c>
      <c r="AG1525" s="22" t="str">
        <f t="shared" si="500"/>
        <v/>
      </c>
      <c r="AH1525" s="22" t="str">
        <f t="shared" si="501"/>
        <v/>
      </c>
      <c r="AI1525" s="22" t="str">
        <f t="shared" si="502"/>
        <v/>
      </c>
      <c r="AJ1525" s="304" t="str">
        <f t="shared" si="503"/>
        <v/>
      </c>
      <c r="AK1525" s="140" t="str">
        <f t="shared" si="504"/>
        <v/>
      </c>
    </row>
    <row r="1526" spans="7:37" x14ac:dyDescent="0.25">
      <c r="G1526" s="235" t="str">
        <f t="shared" si="493"/>
        <v/>
      </c>
      <c r="H1526" s="4" t="str">
        <f t="shared" si="492"/>
        <v/>
      </c>
      <c r="I1526" s="11" t="str">
        <f t="shared" si="494"/>
        <v/>
      </c>
      <c r="K1526" s="30">
        <v>604</v>
      </c>
      <c r="L1526" s="29">
        <f t="shared" si="505"/>
        <v>11371.908376190921</v>
      </c>
      <c r="M1526" s="28" t="str">
        <f t="shared" si="495"/>
        <v/>
      </c>
      <c r="N1526" s="27" t="str">
        <f t="shared" si="506"/>
        <v/>
      </c>
      <c r="O1526" s="26" t="str">
        <f>IF(AND($Q1525=$O$38,IFERROR(LARGE($V$923:$V1525,1)&lt;$N$42,TRUE)),1,IF(AND(ISNUMBER($O1525),$O1525&lt;$N$32),$O1525+1,""))</f>
        <v/>
      </c>
      <c r="P1526" s="26" t="str">
        <f t="shared" si="507"/>
        <v/>
      </c>
      <c r="Q1526" s="26" t="str">
        <f t="shared" si="496"/>
        <v/>
      </c>
      <c r="R1526" s="24" t="str">
        <f t="shared" si="508"/>
        <v/>
      </c>
      <c r="S1526" s="180">
        <f t="shared" si="514"/>
        <v>8</v>
      </c>
      <c r="T1526" s="29">
        <f>SUM($AC$923:$AC1526)</f>
        <v>49500</v>
      </c>
      <c r="U1526" s="25" t="str">
        <f t="shared" si="497"/>
        <v/>
      </c>
      <c r="V1526" s="24" t="str">
        <f>IF(AND(ISNUMBER(R1525),ISNUMBER(R1526)),V1525,IF(AND(R1525="",ISNUMBER(R1526)),IFERROR(LARGE($V$923:$V1525,1)+1,0),""))</f>
        <v/>
      </c>
      <c r="W1526" s="23" t="str">
        <f t="shared" si="509"/>
        <v/>
      </c>
      <c r="X1526" s="22" t="str">
        <f t="shared" si="510"/>
        <v/>
      </c>
      <c r="Y1526" s="236"/>
      <c r="Z1526" s="22"/>
      <c r="AA1526" s="22"/>
      <c r="AB1526" s="22" t="str">
        <f t="shared" si="511"/>
        <v/>
      </c>
      <c r="AC1526" s="22" t="str">
        <f t="shared" si="512"/>
        <v/>
      </c>
      <c r="AD1526" s="22" t="str">
        <f t="shared" si="498"/>
        <v/>
      </c>
      <c r="AE1526" s="22" t="str">
        <f t="shared" si="513"/>
        <v/>
      </c>
      <c r="AF1526" s="22" t="str">
        <f t="shared" si="499"/>
        <v/>
      </c>
      <c r="AG1526" s="22" t="str">
        <f t="shared" si="500"/>
        <v/>
      </c>
      <c r="AH1526" s="22" t="str">
        <f t="shared" si="501"/>
        <v/>
      </c>
      <c r="AI1526" s="22" t="str">
        <f t="shared" si="502"/>
        <v/>
      </c>
      <c r="AJ1526" s="304" t="str">
        <f t="shared" si="503"/>
        <v/>
      </c>
      <c r="AK1526" s="140" t="str">
        <f t="shared" si="504"/>
        <v/>
      </c>
    </row>
    <row r="1527" spans="7:37" x14ac:dyDescent="0.25">
      <c r="G1527" s="235" t="str">
        <f t="shared" si="493"/>
        <v/>
      </c>
      <c r="H1527" s="4" t="str">
        <f t="shared" si="492"/>
        <v/>
      </c>
      <c r="I1527" s="11" t="str">
        <f t="shared" si="494"/>
        <v/>
      </c>
      <c r="K1527" s="30">
        <v>605</v>
      </c>
      <c r="L1527" s="29">
        <f t="shared" si="505"/>
        <v>11371.908376190921</v>
      </c>
      <c r="M1527" s="28" t="str">
        <f t="shared" si="495"/>
        <v/>
      </c>
      <c r="N1527" s="27" t="str">
        <f t="shared" si="506"/>
        <v/>
      </c>
      <c r="O1527" s="26" t="str">
        <f>IF(AND($Q1526=$O$38,IFERROR(LARGE($V$923:$V1526,1)&lt;$N$42,TRUE)),1,IF(AND(ISNUMBER($O1526),$O1526&lt;$N$32),$O1526+1,""))</f>
        <v/>
      </c>
      <c r="P1527" s="26" t="str">
        <f t="shared" si="507"/>
        <v/>
      </c>
      <c r="Q1527" s="26" t="str">
        <f t="shared" si="496"/>
        <v/>
      </c>
      <c r="R1527" s="24" t="str">
        <f t="shared" si="508"/>
        <v/>
      </c>
      <c r="S1527" s="180">
        <f t="shared" si="514"/>
        <v>8</v>
      </c>
      <c r="T1527" s="29">
        <f>SUM($AC$923:$AC1527)</f>
        <v>49500</v>
      </c>
      <c r="U1527" s="25" t="str">
        <f t="shared" si="497"/>
        <v/>
      </c>
      <c r="V1527" s="24" t="str">
        <f>IF(AND(ISNUMBER(R1526),ISNUMBER(R1527)),V1526,IF(AND(R1526="",ISNUMBER(R1527)),IFERROR(LARGE($V$923:$V1526,1)+1,0),""))</f>
        <v/>
      </c>
      <c r="W1527" s="23" t="str">
        <f t="shared" si="509"/>
        <v/>
      </c>
      <c r="X1527" s="22" t="str">
        <f t="shared" si="510"/>
        <v/>
      </c>
      <c r="Y1527" s="236"/>
      <c r="Z1527" s="22"/>
      <c r="AA1527" s="22"/>
      <c r="AB1527" s="22" t="str">
        <f t="shared" si="511"/>
        <v/>
      </c>
      <c r="AC1527" s="22" t="str">
        <f t="shared" si="512"/>
        <v/>
      </c>
      <c r="AD1527" s="22" t="str">
        <f t="shared" si="498"/>
        <v/>
      </c>
      <c r="AE1527" s="22" t="str">
        <f t="shared" si="513"/>
        <v/>
      </c>
      <c r="AF1527" s="22" t="str">
        <f t="shared" si="499"/>
        <v/>
      </c>
      <c r="AG1527" s="22" t="str">
        <f t="shared" si="500"/>
        <v/>
      </c>
      <c r="AH1527" s="22" t="str">
        <f t="shared" si="501"/>
        <v/>
      </c>
      <c r="AI1527" s="22" t="str">
        <f t="shared" si="502"/>
        <v/>
      </c>
      <c r="AJ1527" s="304" t="str">
        <f t="shared" si="503"/>
        <v/>
      </c>
      <c r="AK1527" s="140" t="str">
        <f t="shared" si="504"/>
        <v/>
      </c>
    </row>
    <row r="1528" spans="7:37" x14ac:dyDescent="0.25">
      <c r="G1528" s="235" t="str">
        <f t="shared" si="493"/>
        <v/>
      </c>
      <c r="H1528" s="4" t="str">
        <f t="shared" si="492"/>
        <v/>
      </c>
      <c r="I1528" s="11" t="str">
        <f t="shared" si="494"/>
        <v/>
      </c>
      <c r="K1528" s="30">
        <v>606</v>
      </c>
      <c r="L1528" s="29">
        <f t="shared" si="505"/>
        <v>11371.908376190921</v>
      </c>
      <c r="M1528" s="28" t="str">
        <f t="shared" si="495"/>
        <v/>
      </c>
      <c r="N1528" s="27" t="str">
        <f t="shared" si="506"/>
        <v/>
      </c>
      <c r="O1528" s="26" t="str">
        <f>IF(AND($Q1527=$O$38,IFERROR(LARGE($V$923:$V1527,1)&lt;$N$42,TRUE)),1,IF(AND(ISNUMBER($O1527),$O1527&lt;$N$32),$O1527+1,""))</f>
        <v/>
      </c>
      <c r="P1528" s="26" t="str">
        <f t="shared" si="507"/>
        <v/>
      </c>
      <c r="Q1528" s="26" t="str">
        <f t="shared" si="496"/>
        <v/>
      </c>
      <c r="R1528" s="24" t="str">
        <f t="shared" si="508"/>
        <v/>
      </c>
      <c r="S1528" s="180">
        <f t="shared" si="514"/>
        <v>8</v>
      </c>
      <c r="T1528" s="29">
        <f>SUM($AC$923:$AC1528)</f>
        <v>49500</v>
      </c>
      <c r="U1528" s="25" t="str">
        <f t="shared" si="497"/>
        <v/>
      </c>
      <c r="V1528" s="24" t="str">
        <f>IF(AND(ISNUMBER(R1527),ISNUMBER(R1528)),V1527,IF(AND(R1527="",ISNUMBER(R1528)),IFERROR(LARGE($V$923:$V1527,1)+1,0),""))</f>
        <v/>
      </c>
      <c r="W1528" s="23" t="str">
        <f t="shared" si="509"/>
        <v/>
      </c>
      <c r="X1528" s="22" t="str">
        <f t="shared" si="510"/>
        <v/>
      </c>
      <c r="Y1528" s="236"/>
      <c r="Z1528" s="22"/>
      <c r="AA1528" s="22"/>
      <c r="AB1528" s="22" t="str">
        <f t="shared" si="511"/>
        <v/>
      </c>
      <c r="AC1528" s="22" t="str">
        <f t="shared" si="512"/>
        <v/>
      </c>
      <c r="AD1528" s="22" t="str">
        <f t="shared" si="498"/>
        <v/>
      </c>
      <c r="AE1528" s="22" t="str">
        <f t="shared" si="513"/>
        <v/>
      </c>
      <c r="AF1528" s="22" t="str">
        <f t="shared" si="499"/>
        <v/>
      </c>
      <c r="AG1528" s="22" t="str">
        <f t="shared" si="500"/>
        <v/>
      </c>
      <c r="AH1528" s="22" t="str">
        <f t="shared" si="501"/>
        <v/>
      </c>
      <c r="AI1528" s="22" t="str">
        <f t="shared" si="502"/>
        <v/>
      </c>
      <c r="AJ1528" s="304" t="str">
        <f t="shared" si="503"/>
        <v/>
      </c>
      <c r="AK1528" s="140" t="str">
        <f t="shared" si="504"/>
        <v/>
      </c>
    </row>
    <row r="1529" spans="7:37" x14ac:dyDescent="0.25">
      <c r="G1529" s="235" t="str">
        <f t="shared" si="493"/>
        <v/>
      </c>
      <c r="H1529" s="4" t="str">
        <f t="shared" si="492"/>
        <v/>
      </c>
      <c r="I1529" s="11" t="str">
        <f t="shared" si="494"/>
        <v/>
      </c>
      <c r="K1529" s="30">
        <v>607</v>
      </c>
      <c r="L1529" s="29">
        <f t="shared" si="505"/>
        <v>11371.908376190921</v>
      </c>
      <c r="M1529" s="28" t="str">
        <f t="shared" si="495"/>
        <v/>
      </c>
      <c r="N1529" s="27" t="str">
        <f t="shared" si="506"/>
        <v/>
      </c>
      <c r="O1529" s="26" t="str">
        <f>IF(AND($Q1528=$O$38,IFERROR(LARGE($V$923:$V1528,1)&lt;$N$42,TRUE)),1,IF(AND(ISNUMBER($O1528),$O1528&lt;$N$32),$O1528+1,""))</f>
        <v/>
      </c>
      <c r="P1529" s="26" t="str">
        <f t="shared" si="507"/>
        <v/>
      </c>
      <c r="Q1529" s="26" t="str">
        <f t="shared" si="496"/>
        <v/>
      </c>
      <c r="R1529" s="24" t="str">
        <f t="shared" si="508"/>
        <v/>
      </c>
      <c r="S1529" s="180">
        <f t="shared" si="514"/>
        <v>8</v>
      </c>
      <c r="T1529" s="29">
        <f>SUM($AC$923:$AC1529)</f>
        <v>49500</v>
      </c>
      <c r="U1529" s="25" t="str">
        <f t="shared" si="497"/>
        <v/>
      </c>
      <c r="V1529" s="24" t="str">
        <f>IF(AND(ISNUMBER(R1528),ISNUMBER(R1529)),V1528,IF(AND(R1528="",ISNUMBER(R1529)),IFERROR(LARGE($V$923:$V1528,1)+1,0),""))</f>
        <v/>
      </c>
      <c r="W1529" s="23" t="str">
        <f t="shared" si="509"/>
        <v/>
      </c>
      <c r="X1529" s="22" t="str">
        <f t="shared" si="510"/>
        <v/>
      </c>
      <c r="Y1529" s="236"/>
      <c r="Z1529" s="22"/>
      <c r="AA1529" s="22"/>
      <c r="AB1529" s="22" t="str">
        <f t="shared" si="511"/>
        <v/>
      </c>
      <c r="AC1529" s="22" t="str">
        <f t="shared" si="512"/>
        <v/>
      </c>
      <c r="AD1529" s="22" t="str">
        <f t="shared" si="498"/>
        <v/>
      </c>
      <c r="AE1529" s="22" t="str">
        <f t="shared" si="513"/>
        <v/>
      </c>
      <c r="AF1529" s="22" t="str">
        <f t="shared" si="499"/>
        <v/>
      </c>
      <c r="AG1529" s="22" t="str">
        <f t="shared" si="500"/>
        <v/>
      </c>
      <c r="AH1529" s="22" t="str">
        <f t="shared" si="501"/>
        <v/>
      </c>
      <c r="AI1529" s="22" t="str">
        <f t="shared" si="502"/>
        <v/>
      </c>
      <c r="AJ1529" s="304" t="str">
        <f t="shared" si="503"/>
        <v/>
      </c>
      <c r="AK1529" s="140" t="str">
        <f t="shared" si="504"/>
        <v/>
      </c>
    </row>
    <row r="1530" spans="7:37" x14ac:dyDescent="0.25">
      <c r="G1530" s="235" t="str">
        <f t="shared" si="493"/>
        <v/>
      </c>
      <c r="H1530" s="4" t="str">
        <f t="shared" ref="H1530:H1593" si="515">IF(SUM(N1530:R1530)&gt;0,CONCATENATE(IF(LEN(ROUNDDOWN(S1530,0))=1,CONCATENATE("0",ROUNDDOWN(S1530,0)),ROUNDDOWN(S1530,0)),".",IF(LEN(ROUND(MOD(S1530,1)*100,0))=1,CONCATENATE("0",ROUND(MOD(S1530,1)*100,0)),ROUND(MOD(S1530,1)*100,0)),IF(N1530&lt;&gt;"",".N",IF(O1530&lt;&gt;"",".R",IF(P1530&lt;&gt;"",".O",IF(Q1530&lt;&gt;"",".I",IF(R1530&lt;&gt;"",".D","")))))),"")</f>
        <v/>
      </c>
      <c r="I1530" s="11" t="str">
        <f t="shared" si="494"/>
        <v/>
      </c>
      <c r="K1530" s="30">
        <v>608</v>
      </c>
      <c r="L1530" s="29">
        <f t="shared" si="505"/>
        <v>11371.908376190921</v>
      </c>
      <c r="M1530" s="28" t="str">
        <f t="shared" si="495"/>
        <v/>
      </c>
      <c r="N1530" s="27" t="str">
        <f t="shared" si="506"/>
        <v/>
      </c>
      <c r="O1530" s="26" t="str">
        <f>IF(AND($Q1529=$O$38,IFERROR(LARGE($V$923:$V1529,1)&lt;$N$42,TRUE)),1,IF(AND(ISNUMBER($O1529),$O1529&lt;$N$32),$O1529+1,""))</f>
        <v/>
      </c>
      <c r="P1530" s="26" t="str">
        <f t="shared" si="507"/>
        <v/>
      </c>
      <c r="Q1530" s="26" t="str">
        <f t="shared" si="496"/>
        <v/>
      </c>
      <c r="R1530" s="24" t="str">
        <f t="shared" si="508"/>
        <v/>
      </c>
      <c r="S1530" s="180">
        <f t="shared" si="514"/>
        <v>8</v>
      </c>
      <c r="T1530" s="29">
        <f>SUM($AC$923:$AC1530)</f>
        <v>49500</v>
      </c>
      <c r="U1530" s="25" t="str">
        <f t="shared" si="497"/>
        <v/>
      </c>
      <c r="V1530" s="24" t="str">
        <f>IF(AND(ISNUMBER(R1529),ISNUMBER(R1530)),V1529,IF(AND(R1529="",ISNUMBER(R1530)),IFERROR(LARGE($V$923:$V1529,1)+1,0),""))</f>
        <v/>
      </c>
      <c r="W1530" s="23" t="str">
        <f t="shared" si="509"/>
        <v/>
      </c>
      <c r="X1530" s="22" t="str">
        <f t="shared" si="510"/>
        <v/>
      </c>
      <c r="Y1530" s="236"/>
      <c r="Z1530" s="22"/>
      <c r="AA1530" s="22"/>
      <c r="AB1530" s="22" t="str">
        <f t="shared" si="511"/>
        <v/>
      </c>
      <c r="AC1530" s="22" t="str">
        <f t="shared" si="512"/>
        <v/>
      </c>
      <c r="AD1530" s="22" t="str">
        <f t="shared" si="498"/>
        <v/>
      </c>
      <c r="AE1530" s="22" t="str">
        <f t="shared" si="513"/>
        <v/>
      </c>
      <c r="AF1530" s="22" t="str">
        <f t="shared" si="499"/>
        <v/>
      </c>
      <c r="AG1530" s="22" t="str">
        <f t="shared" si="500"/>
        <v/>
      </c>
      <c r="AH1530" s="22" t="str">
        <f t="shared" si="501"/>
        <v/>
      </c>
      <c r="AI1530" s="22" t="str">
        <f t="shared" si="502"/>
        <v/>
      </c>
      <c r="AJ1530" s="304" t="str">
        <f t="shared" si="503"/>
        <v/>
      </c>
      <c r="AK1530" s="140" t="str">
        <f t="shared" si="504"/>
        <v/>
      </c>
    </row>
    <row r="1531" spans="7:37" x14ac:dyDescent="0.25">
      <c r="G1531" s="235" t="str">
        <f t="shared" si="493"/>
        <v/>
      </c>
      <c r="H1531" s="4" t="str">
        <f t="shared" si="515"/>
        <v/>
      </c>
      <c r="I1531" s="11" t="str">
        <f t="shared" si="494"/>
        <v/>
      </c>
      <c r="K1531" s="30">
        <v>609</v>
      </c>
      <c r="L1531" s="29">
        <f t="shared" si="505"/>
        <v>11371.908376190921</v>
      </c>
      <c r="M1531" s="28" t="str">
        <f t="shared" si="495"/>
        <v/>
      </c>
      <c r="N1531" s="27" t="str">
        <f t="shared" si="506"/>
        <v/>
      </c>
      <c r="O1531" s="26" t="str">
        <f>IF(AND($Q1530=$O$38,IFERROR(LARGE($V$923:$V1530,1)&lt;$N$42,TRUE)),1,IF(AND(ISNUMBER($O1530),$O1530&lt;$N$32),$O1530+1,""))</f>
        <v/>
      </c>
      <c r="P1531" s="26" t="str">
        <f t="shared" si="507"/>
        <v/>
      </c>
      <c r="Q1531" s="26" t="str">
        <f t="shared" si="496"/>
        <v/>
      </c>
      <c r="R1531" s="24" t="str">
        <f t="shared" si="508"/>
        <v/>
      </c>
      <c r="S1531" s="180">
        <f t="shared" si="514"/>
        <v>8</v>
      </c>
      <c r="T1531" s="29">
        <f>SUM($AC$923:$AC1531)</f>
        <v>49500</v>
      </c>
      <c r="U1531" s="25" t="str">
        <f t="shared" si="497"/>
        <v/>
      </c>
      <c r="V1531" s="24" t="str">
        <f>IF(AND(ISNUMBER(R1530),ISNUMBER(R1531)),V1530,IF(AND(R1530="",ISNUMBER(R1531)),IFERROR(LARGE($V$923:$V1530,1)+1,0),""))</f>
        <v/>
      </c>
      <c r="W1531" s="23" t="str">
        <f t="shared" si="509"/>
        <v/>
      </c>
      <c r="X1531" s="22" t="str">
        <f t="shared" si="510"/>
        <v/>
      </c>
      <c r="Y1531" s="236"/>
      <c r="Z1531" s="22"/>
      <c r="AA1531" s="22"/>
      <c r="AB1531" s="22" t="str">
        <f t="shared" si="511"/>
        <v/>
      </c>
      <c r="AC1531" s="22" t="str">
        <f t="shared" si="512"/>
        <v/>
      </c>
      <c r="AD1531" s="22" t="str">
        <f t="shared" si="498"/>
        <v/>
      </c>
      <c r="AE1531" s="22" t="str">
        <f t="shared" si="513"/>
        <v/>
      </c>
      <c r="AF1531" s="22" t="str">
        <f t="shared" si="499"/>
        <v/>
      </c>
      <c r="AG1531" s="22" t="str">
        <f t="shared" si="500"/>
        <v/>
      </c>
      <c r="AH1531" s="22" t="str">
        <f t="shared" si="501"/>
        <v/>
      </c>
      <c r="AI1531" s="22" t="str">
        <f t="shared" si="502"/>
        <v/>
      </c>
      <c r="AJ1531" s="304" t="str">
        <f t="shared" si="503"/>
        <v/>
      </c>
      <c r="AK1531" s="140" t="str">
        <f t="shared" si="504"/>
        <v/>
      </c>
    </row>
    <row r="1532" spans="7:37" x14ac:dyDescent="0.25">
      <c r="G1532" s="235" t="str">
        <f t="shared" si="493"/>
        <v/>
      </c>
      <c r="H1532" s="4" t="str">
        <f t="shared" si="515"/>
        <v/>
      </c>
      <c r="I1532" s="11" t="str">
        <f t="shared" si="494"/>
        <v/>
      </c>
      <c r="K1532" s="30">
        <v>610</v>
      </c>
      <c r="L1532" s="29">
        <f t="shared" si="505"/>
        <v>11371.908376190921</v>
      </c>
      <c r="M1532" s="28" t="str">
        <f t="shared" si="495"/>
        <v/>
      </c>
      <c r="N1532" s="27" t="str">
        <f t="shared" si="506"/>
        <v/>
      </c>
      <c r="O1532" s="26" t="str">
        <f>IF(AND($Q1531=$O$38,IFERROR(LARGE($V$923:$V1531,1)&lt;$N$42,TRUE)),1,IF(AND(ISNUMBER($O1531),$O1531&lt;$N$32),$O1531+1,""))</f>
        <v/>
      </c>
      <c r="P1532" s="26" t="str">
        <f t="shared" si="507"/>
        <v/>
      </c>
      <c r="Q1532" s="26" t="str">
        <f t="shared" si="496"/>
        <v/>
      </c>
      <c r="R1532" s="24" t="str">
        <f t="shared" si="508"/>
        <v/>
      </c>
      <c r="S1532" s="180">
        <f t="shared" si="514"/>
        <v>8</v>
      </c>
      <c r="T1532" s="29">
        <f>SUM($AC$923:$AC1532)</f>
        <v>49500</v>
      </c>
      <c r="U1532" s="25" t="str">
        <f t="shared" si="497"/>
        <v/>
      </c>
      <c r="V1532" s="24" t="str">
        <f>IF(AND(ISNUMBER(R1531),ISNUMBER(R1532)),V1531,IF(AND(R1531="",ISNUMBER(R1532)),IFERROR(LARGE($V$923:$V1531,1)+1,0),""))</f>
        <v/>
      </c>
      <c r="W1532" s="23" t="str">
        <f t="shared" si="509"/>
        <v/>
      </c>
      <c r="X1532" s="22" t="str">
        <f t="shared" si="510"/>
        <v/>
      </c>
      <c r="Y1532" s="236"/>
      <c r="Z1532" s="22"/>
      <c r="AA1532" s="22"/>
      <c r="AB1532" s="22" t="str">
        <f t="shared" si="511"/>
        <v/>
      </c>
      <c r="AC1532" s="22" t="str">
        <f t="shared" si="512"/>
        <v/>
      </c>
      <c r="AD1532" s="22" t="str">
        <f t="shared" si="498"/>
        <v/>
      </c>
      <c r="AE1532" s="22" t="str">
        <f t="shared" si="513"/>
        <v/>
      </c>
      <c r="AF1532" s="22" t="str">
        <f t="shared" si="499"/>
        <v/>
      </c>
      <c r="AG1532" s="22" t="str">
        <f t="shared" si="500"/>
        <v/>
      </c>
      <c r="AH1532" s="22" t="str">
        <f t="shared" si="501"/>
        <v/>
      </c>
      <c r="AI1532" s="22" t="str">
        <f t="shared" si="502"/>
        <v/>
      </c>
      <c r="AJ1532" s="304" t="str">
        <f t="shared" si="503"/>
        <v/>
      </c>
      <c r="AK1532" s="140" t="str">
        <f t="shared" si="504"/>
        <v/>
      </c>
    </row>
    <row r="1533" spans="7:37" x14ac:dyDescent="0.25">
      <c r="G1533" s="235" t="str">
        <f t="shared" si="493"/>
        <v/>
      </c>
      <c r="H1533" s="4" t="str">
        <f t="shared" si="515"/>
        <v/>
      </c>
      <c r="I1533" s="11" t="str">
        <f t="shared" si="494"/>
        <v/>
      </c>
      <c r="K1533" s="30">
        <v>611</v>
      </c>
      <c r="L1533" s="29">
        <f t="shared" si="505"/>
        <v>11371.908376190921</v>
      </c>
      <c r="M1533" s="28" t="str">
        <f t="shared" si="495"/>
        <v/>
      </c>
      <c r="N1533" s="27" t="str">
        <f t="shared" si="506"/>
        <v/>
      </c>
      <c r="O1533" s="26" t="str">
        <f>IF(AND($Q1532=$O$38,IFERROR(LARGE($V$923:$V1532,1)&lt;$N$42,TRUE)),1,IF(AND(ISNUMBER($O1532),$O1532&lt;$N$32),$O1532+1,""))</f>
        <v/>
      </c>
      <c r="P1533" s="26" t="str">
        <f t="shared" si="507"/>
        <v/>
      </c>
      <c r="Q1533" s="26" t="str">
        <f t="shared" si="496"/>
        <v/>
      </c>
      <c r="R1533" s="24" t="str">
        <f t="shared" si="508"/>
        <v/>
      </c>
      <c r="S1533" s="180">
        <f t="shared" si="514"/>
        <v>8</v>
      </c>
      <c r="T1533" s="29">
        <f>SUM($AC$923:$AC1533)</f>
        <v>49500</v>
      </c>
      <c r="U1533" s="25" t="str">
        <f t="shared" si="497"/>
        <v/>
      </c>
      <c r="V1533" s="24" t="str">
        <f>IF(AND(ISNUMBER(R1532),ISNUMBER(R1533)),V1532,IF(AND(R1532="",ISNUMBER(R1533)),IFERROR(LARGE($V$923:$V1532,1)+1,0),""))</f>
        <v/>
      </c>
      <c r="W1533" s="23" t="str">
        <f t="shared" si="509"/>
        <v/>
      </c>
      <c r="X1533" s="22" t="str">
        <f t="shared" si="510"/>
        <v/>
      </c>
      <c r="Y1533" s="236"/>
      <c r="Z1533" s="22"/>
      <c r="AA1533" s="22"/>
      <c r="AB1533" s="22" t="str">
        <f t="shared" si="511"/>
        <v/>
      </c>
      <c r="AC1533" s="22" t="str">
        <f t="shared" si="512"/>
        <v/>
      </c>
      <c r="AD1533" s="22" t="str">
        <f t="shared" si="498"/>
        <v/>
      </c>
      <c r="AE1533" s="22" t="str">
        <f t="shared" si="513"/>
        <v/>
      </c>
      <c r="AF1533" s="22" t="str">
        <f t="shared" si="499"/>
        <v/>
      </c>
      <c r="AG1533" s="22" t="str">
        <f t="shared" si="500"/>
        <v/>
      </c>
      <c r="AH1533" s="22" t="str">
        <f t="shared" si="501"/>
        <v/>
      </c>
      <c r="AI1533" s="22" t="str">
        <f t="shared" si="502"/>
        <v/>
      </c>
      <c r="AJ1533" s="304" t="str">
        <f t="shared" si="503"/>
        <v/>
      </c>
      <c r="AK1533" s="140" t="str">
        <f t="shared" si="504"/>
        <v/>
      </c>
    </row>
    <row r="1534" spans="7:37" x14ac:dyDescent="0.25">
      <c r="G1534" s="235" t="str">
        <f t="shared" si="493"/>
        <v/>
      </c>
      <c r="H1534" s="4" t="str">
        <f t="shared" si="515"/>
        <v/>
      </c>
      <c r="I1534" s="11" t="str">
        <f t="shared" si="494"/>
        <v/>
      </c>
      <c r="K1534" s="30">
        <v>612</v>
      </c>
      <c r="L1534" s="29">
        <f t="shared" si="505"/>
        <v>11371.908376190921</v>
      </c>
      <c r="M1534" s="28" t="str">
        <f t="shared" si="495"/>
        <v/>
      </c>
      <c r="N1534" s="27" t="str">
        <f t="shared" si="506"/>
        <v/>
      </c>
      <c r="O1534" s="26" t="str">
        <f>IF(AND($Q1533=$O$38,IFERROR(LARGE($V$923:$V1533,1)&lt;$N$42,TRUE)),1,IF(AND(ISNUMBER($O1533),$O1533&lt;$N$32),$O1533+1,""))</f>
        <v/>
      </c>
      <c r="P1534" s="26" t="str">
        <f t="shared" si="507"/>
        <v/>
      </c>
      <c r="Q1534" s="26" t="str">
        <f t="shared" si="496"/>
        <v/>
      </c>
      <c r="R1534" s="24" t="str">
        <f t="shared" si="508"/>
        <v/>
      </c>
      <c r="S1534" s="180">
        <f t="shared" si="514"/>
        <v>8</v>
      </c>
      <c r="T1534" s="29">
        <f>SUM($AC$923:$AC1534)</f>
        <v>49500</v>
      </c>
      <c r="U1534" s="25" t="str">
        <f t="shared" si="497"/>
        <v/>
      </c>
      <c r="V1534" s="24" t="str">
        <f>IF(AND(ISNUMBER(R1533),ISNUMBER(R1534)),V1533,IF(AND(R1533="",ISNUMBER(R1534)),IFERROR(LARGE($V$923:$V1533,1)+1,0),""))</f>
        <v/>
      </c>
      <c r="W1534" s="23" t="str">
        <f t="shared" si="509"/>
        <v/>
      </c>
      <c r="X1534" s="22" t="str">
        <f t="shared" si="510"/>
        <v/>
      </c>
      <c r="Y1534" s="236"/>
      <c r="Z1534" s="22"/>
      <c r="AA1534" s="22"/>
      <c r="AB1534" s="22" t="str">
        <f t="shared" si="511"/>
        <v/>
      </c>
      <c r="AC1534" s="22" t="str">
        <f t="shared" si="512"/>
        <v/>
      </c>
      <c r="AD1534" s="22" t="str">
        <f t="shared" si="498"/>
        <v/>
      </c>
      <c r="AE1534" s="22" t="str">
        <f t="shared" si="513"/>
        <v/>
      </c>
      <c r="AF1534" s="22" t="str">
        <f t="shared" si="499"/>
        <v/>
      </c>
      <c r="AG1534" s="22" t="str">
        <f t="shared" si="500"/>
        <v/>
      </c>
      <c r="AH1534" s="22" t="str">
        <f t="shared" si="501"/>
        <v/>
      </c>
      <c r="AI1534" s="22" t="str">
        <f t="shared" si="502"/>
        <v/>
      </c>
      <c r="AJ1534" s="304" t="str">
        <f t="shared" si="503"/>
        <v/>
      </c>
      <c r="AK1534" s="140" t="str">
        <f t="shared" si="504"/>
        <v/>
      </c>
    </row>
    <row r="1535" spans="7:37" x14ac:dyDescent="0.25">
      <c r="G1535" s="235" t="str">
        <f t="shared" si="493"/>
        <v/>
      </c>
      <c r="H1535" s="4" t="str">
        <f t="shared" si="515"/>
        <v/>
      </c>
      <c r="I1535" s="11" t="str">
        <f t="shared" si="494"/>
        <v/>
      </c>
      <c r="K1535" s="30">
        <v>613</v>
      </c>
      <c r="L1535" s="29">
        <f t="shared" si="505"/>
        <v>11371.908376190921</v>
      </c>
      <c r="M1535" s="28" t="str">
        <f t="shared" si="495"/>
        <v/>
      </c>
      <c r="N1535" s="27" t="str">
        <f t="shared" si="506"/>
        <v/>
      </c>
      <c r="O1535" s="26" t="str">
        <f>IF(AND($Q1534=$O$38,IFERROR(LARGE($V$923:$V1534,1)&lt;$N$42,TRUE)),1,IF(AND(ISNUMBER($O1534),$O1534&lt;$N$32),$O1534+1,""))</f>
        <v/>
      </c>
      <c r="P1535" s="26" t="str">
        <f t="shared" si="507"/>
        <v/>
      </c>
      <c r="Q1535" s="26" t="str">
        <f t="shared" si="496"/>
        <v/>
      </c>
      <c r="R1535" s="24" t="str">
        <f t="shared" si="508"/>
        <v/>
      </c>
      <c r="S1535" s="180">
        <f t="shared" si="514"/>
        <v>8</v>
      </c>
      <c r="T1535" s="29">
        <f>SUM($AC$923:$AC1535)</f>
        <v>49500</v>
      </c>
      <c r="U1535" s="25" t="str">
        <f t="shared" si="497"/>
        <v/>
      </c>
      <c r="V1535" s="24" t="str">
        <f>IF(AND(ISNUMBER(R1534),ISNUMBER(R1535)),V1534,IF(AND(R1534="",ISNUMBER(R1535)),IFERROR(LARGE($V$923:$V1534,1)+1,0),""))</f>
        <v/>
      </c>
      <c r="W1535" s="23" t="str">
        <f t="shared" si="509"/>
        <v/>
      </c>
      <c r="X1535" s="22" t="str">
        <f t="shared" si="510"/>
        <v/>
      </c>
      <c r="Y1535" s="236"/>
      <c r="Z1535" s="22"/>
      <c r="AA1535" s="22"/>
      <c r="AB1535" s="22" t="str">
        <f t="shared" si="511"/>
        <v/>
      </c>
      <c r="AC1535" s="22" t="str">
        <f t="shared" si="512"/>
        <v/>
      </c>
      <c r="AD1535" s="22" t="str">
        <f t="shared" si="498"/>
        <v/>
      </c>
      <c r="AE1535" s="22" t="str">
        <f t="shared" si="513"/>
        <v/>
      </c>
      <c r="AF1535" s="22" t="str">
        <f t="shared" si="499"/>
        <v/>
      </c>
      <c r="AG1535" s="22" t="str">
        <f t="shared" si="500"/>
        <v/>
      </c>
      <c r="AH1535" s="22" t="str">
        <f t="shared" si="501"/>
        <v/>
      </c>
      <c r="AI1535" s="22" t="str">
        <f t="shared" si="502"/>
        <v/>
      </c>
      <c r="AJ1535" s="304" t="str">
        <f t="shared" si="503"/>
        <v/>
      </c>
      <c r="AK1535" s="140" t="str">
        <f t="shared" si="504"/>
        <v/>
      </c>
    </row>
    <row r="1536" spans="7:37" x14ac:dyDescent="0.25">
      <c r="G1536" s="235" t="str">
        <f t="shared" si="493"/>
        <v/>
      </c>
      <c r="H1536" s="4" t="str">
        <f t="shared" si="515"/>
        <v/>
      </c>
      <c r="I1536" s="11" t="str">
        <f t="shared" si="494"/>
        <v/>
      </c>
      <c r="K1536" s="30">
        <v>614</v>
      </c>
      <c r="L1536" s="29">
        <f t="shared" si="505"/>
        <v>11371.908376190921</v>
      </c>
      <c r="M1536" s="28" t="str">
        <f t="shared" si="495"/>
        <v/>
      </c>
      <c r="N1536" s="27" t="str">
        <f t="shared" si="506"/>
        <v/>
      </c>
      <c r="O1536" s="26" t="str">
        <f>IF(AND($Q1535=$O$38,IFERROR(LARGE($V$923:$V1535,1)&lt;$N$42,TRUE)),1,IF(AND(ISNUMBER($O1535),$O1535&lt;$N$32),$O1535+1,""))</f>
        <v/>
      </c>
      <c r="P1536" s="26" t="str">
        <f t="shared" si="507"/>
        <v/>
      </c>
      <c r="Q1536" s="26" t="str">
        <f t="shared" si="496"/>
        <v/>
      </c>
      <c r="R1536" s="24" t="str">
        <f t="shared" si="508"/>
        <v/>
      </c>
      <c r="S1536" s="180">
        <f t="shared" si="514"/>
        <v>8</v>
      </c>
      <c r="T1536" s="29">
        <f>SUM($AC$923:$AC1536)</f>
        <v>49500</v>
      </c>
      <c r="U1536" s="25" t="str">
        <f t="shared" si="497"/>
        <v/>
      </c>
      <c r="V1536" s="24" t="str">
        <f>IF(AND(ISNUMBER(R1535),ISNUMBER(R1536)),V1535,IF(AND(R1535="",ISNUMBER(R1536)),IFERROR(LARGE($V$923:$V1535,1)+1,0),""))</f>
        <v/>
      </c>
      <c r="W1536" s="23" t="str">
        <f t="shared" si="509"/>
        <v/>
      </c>
      <c r="X1536" s="22" t="str">
        <f t="shared" si="510"/>
        <v/>
      </c>
      <c r="Y1536" s="236"/>
      <c r="Z1536" s="22"/>
      <c r="AA1536" s="22"/>
      <c r="AB1536" s="22" t="str">
        <f t="shared" si="511"/>
        <v/>
      </c>
      <c r="AC1536" s="22" t="str">
        <f t="shared" si="512"/>
        <v/>
      </c>
      <c r="AD1536" s="22" t="str">
        <f t="shared" si="498"/>
        <v/>
      </c>
      <c r="AE1536" s="22" t="str">
        <f t="shared" si="513"/>
        <v/>
      </c>
      <c r="AF1536" s="22" t="str">
        <f t="shared" si="499"/>
        <v/>
      </c>
      <c r="AG1536" s="22" t="str">
        <f t="shared" si="500"/>
        <v/>
      </c>
      <c r="AH1536" s="22" t="str">
        <f t="shared" si="501"/>
        <v/>
      </c>
      <c r="AI1536" s="22" t="str">
        <f t="shared" si="502"/>
        <v/>
      </c>
      <c r="AJ1536" s="304" t="str">
        <f t="shared" si="503"/>
        <v/>
      </c>
      <c r="AK1536" s="140" t="str">
        <f t="shared" si="504"/>
        <v/>
      </c>
    </row>
    <row r="1537" spans="7:37" x14ac:dyDescent="0.25">
      <c r="G1537" s="235" t="str">
        <f t="shared" si="493"/>
        <v/>
      </c>
      <c r="H1537" s="4" t="str">
        <f t="shared" si="515"/>
        <v/>
      </c>
      <c r="I1537" s="11" t="str">
        <f t="shared" si="494"/>
        <v/>
      </c>
      <c r="K1537" s="30">
        <v>615</v>
      </c>
      <c r="L1537" s="29">
        <f t="shared" si="505"/>
        <v>11371.908376190921</v>
      </c>
      <c r="M1537" s="28" t="str">
        <f t="shared" si="495"/>
        <v/>
      </c>
      <c r="N1537" s="27" t="str">
        <f t="shared" si="506"/>
        <v/>
      </c>
      <c r="O1537" s="26" t="str">
        <f>IF(AND($Q1536=$O$38,IFERROR(LARGE($V$923:$V1536,1)&lt;$N$42,TRUE)),1,IF(AND(ISNUMBER($O1536),$O1536&lt;$N$32),$O1536+1,""))</f>
        <v/>
      </c>
      <c r="P1537" s="26" t="str">
        <f t="shared" si="507"/>
        <v/>
      </c>
      <c r="Q1537" s="26" t="str">
        <f t="shared" si="496"/>
        <v/>
      </c>
      <c r="R1537" s="24" t="str">
        <f t="shared" si="508"/>
        <v/>
      </c>
      <c r="S1537" s="180">
        <f t="shared" si="514"/>
        <v>8</v>
      </c>
      <c r="T1537" s="29">
        <f>SUM($AC$923:$AC1537)</f>
        <v>49500</v>
      </c>
      <c r="U1537" s="25" t="str">
        <f t="shared" si="497"/>
        <v/>
      </c>
      <c r="V1537" s="24" t="str">
        <f>IF(AND(ISNUMBER(R1536),ISNUMBER(R1537)),V1536,IF(AND(R1536="",ISNUMBER(R1537)),IFERROR(LARGE($V$923:$V1536,1)+1,0),""))</f>
        <v/>
      </c>
      <c r="W1537" s="23" t="str">
        <f t="shared" si="509"/>
        <v/>
      </c>
      <c r="X1537" s="22" t="str">
        <f t="shared" si="510"/>
        <v/>
      </c>
      <c r="Y1537" s="236"/>
      <c r="Z1537" s="22"/>
      <c r="AA1537" s="22"/>
      <c r="AB1537" s="22" t="str">
        <f t="shared" si="511"/>
        <v/>
      </c>
      <c r="AC1537" s="22" t="str">
        <f t="shared" si="512"/>
        <v/>
      </c>
      <c r="AD1537" s="22" t="str">
        <f t="shared" si="498"/>
        <v/>
      </c>
      <c r="AE1537" s="22" t="str">
        <f t="shared" si="513"/>
        <v/>
      </c>
      <c r="AF1537" s="22" t="str">
        <f t="shared" si="499"/>
        <v/>
      </c>
      <c r="AG1537" s="22" t="str">
        <f t="shared" si="500"/>
        <v/>
      </c>
      <c r="AH1537" s="22" t="str">
        <f t="shared" si="501"/>
        <v/>
      </c>
      <c r="AI1537" s="22" t="str">
        <f t="shared" si="502"/>
        <v/>
      </c>
      <c r="AJ1537" s="304" t="str">
        <f t="shared" si="503"/>
        <v/>
      </c>
      <c r="AK1537" s="140" t="str">
        <f t="shared" si="504"/>
        <v/>
      </c>
    </row>
    <row r="1538" spans="7:37" x14ac:dyDescent="0.25">
      <c r="G1538" s="235" t="str">
        <f t="shared" si="493"/>
        <v/>
      </c>
      <c r="H1538" s="4" t="str">
        <f t="shared" si="515"/>
        <v/>
      </c>
      <c r="I1538" s="11" t="str">
        <f t="shared" si="494"/>
        <v/>
      </c>
      <c r="K1538" s="30">
        <v>616</v>
      </c>
      <c r="L1538" s="29">
        <f t="shared" si="505"/>
        <v>11371.908376190921</v>
      </c>
      <c r="M1538" s="28" t="str">
        <f t="shared" si="495"/>
        <v/>
      </c>
      <c r="N1538" s="27" t="str">
        <f t="shared" si="506"/>
        <v/>
      </c>
      <c r="O1538" s="26" t="str">
        <f>IF(AND($Q1537=$O$38,IFERROR(LARGE($V$923:$V1537,1)&lt;$N$42,TRUE)),1,IF(AND(ISNUMBER($O1537),$O1537&lt;$N$32),$O1537+1,""))</f>
        <v/>
      </c>
      <c r="P1538" s="26" t="str">
        <f t="shared" si="507"/>
        <v/>
      </c>
      <c r="Q1538" s="26" t="str">
        <f t="shared" si="496"/>
        <v/>
      </c>
      <c r="R1538" s="24" t="str">
        <f t="shared" si="508"/>
        <v/>
      </c>
      <c r="S1538" s="180">
        <f t="shared" si="514"/>
        <v>8</v>
      </c>
      <c r="T1538" s="29">
        <f>SUM($AC$923:$AC1538)</f>
        <v>49500</v>
      </c>
      <c r="U1538" s="25" t="str">
        <f t="shared" si="497"/>
        <v/>
      </c>
      <c r="V1538" s="24" t="str">
        <f>IF(AND(ISNUMBER(R1537),ISNUMBER(R1538)),V1537,IF(AND(R1537="",ISNUMBER(R1538)),IFERROR(LARGE($V$923:$V1537,1)+1,0),""))</f>
        <v/>
      </c>
      <c r="W1538" s="23" t="str">
        <f t="shared" si="509"/>
        <v/>
      </c>
      <c r="X1538" s="22" t="str">
        <f t="shared" si="510"/>
        <v/>
      </c>
      <c r="Y1538" s="236"/>
      <c r="Z1538" s="22"/>
      <c r="AA1538" s="22"/>
      <c r="AB1538" s="22" t="str">
        <f t="shared" si="511"/>
        <v/>
      </c>
      <c r="AC1538" s="22" t="str">
        <f t="shared" si="512"/>
        <v/>
      </c>
      <c r="AD1538" s="22" t="str">
        <f t="shared" si="498"/>
        <v/>
      </c>
      <c r="AE1538" s="22" t="str">
        <f t="shared" si="513"/>
        <v/>
      </c>
      <c r="AF1538" s="22" t="str">
        <f t="shared" si="499"/>
        <v/>
      </c>
      <c r="AG1538" s="22" t="str">
        <f t="shared" si="500"/>
        <v/>
      </c>
      <c r="AH1538" s="22" t="str">
        <f t="shared" si="501"/>
        <v/>
      </c>
      <c r="AI1538" s="22" t="str">
        <f t="shared" si="502"/>
        <v/>
      </c>
      <c r="AJ1538" s="304" t="str">
        <f t="shared" si="503"/>
        <v/>
      </c>
      <c r="AK1538" s="140" t="str">
        <f t="shared" si="504"/>
        <v/>
      </c>
    </row>
    <row r="1539" spans="7:37" x14ac:dyDescent="0.25">
      <c r="G1539" s="235" t="str">
        <f t="shared" si="493"/>
        <v/>
      </c>
      <c r="H1539" s="4" t="str">
        <f t="shared" si="515"/>
        <v/>
      </c>
      <c r="I1539" s="11" t="str">
        <f t="shared" si="494"/>
        <v/>
      </c>
      <c r="K1539" s="30">
        <v>617</v>
      </c>
      <c r="L1539" s="29">
        <f t="shared" si="505"/>
        <v>11371.908376190921</v>
      </c>
      <c r="M1539" s="28" t="str">
        <f t="shared" si="495"/>
        <v/>
      </c>
      <c r="N1539" s="27" t="str">
        <f t="shared" si="506"/>
        <v/>
      </c>
      <c r="O1539" s="26" t="str">
        <f>IF(AND($Q1538=$O$38,IFERROR(LARGE($V$923:$V1538,1)&lt;$N$42,TRUE)),1,IF(AND(ISNUMBER($O1538),$O1538&lt;$N$32),$O1538+1,""))</f>
        <v/>
      </c>
      <c r="P1539" s="26" t="str">
        <f t="shared" si="507"/>
        <v/>
      </c>
      <c r="Q1539" s="26" t="str">
        <f t="shared" si="496"/>
        <v/>
      </c>
      <c r="R1539" s="24" t="str">
        <f t="shared" si="508"/>
        <v/>
      </c>
      <c r="S1539" s="180">
        <f t="shared" si="514"/>
        <v>8</v>
      </c>
      <c r="T1539" s="29">
        <f>SUM($AC$923:$AC1539)</f>
        <v>49500</v>
      </c>
      <c r="U1539" s="25" t="str">
        <f t="shared" si="497"/>
        <v/>
      </c>
      <c r="V1539" s="24" t="str">
        <f>IF(AND(ISNUMBER(R1538),ISNUMBER(R1539)),V1538,IF(AND(R1538="",ISNUMBER(R1539)),IFERROR(LARGE($V$923:$V1538,1)+1,0),""))</f>
        <v/>
      </c>
      <c r="W1539" s="23" t="str">
        <f t="shared" si="509"/>
        <v/>
      </c>
      <c r="X1539" s="22" t="str">
        <f t="shared" si="510"/>
        <v/>
      </c>
      <c r="Y1539" s="236"/>
      <c r="Z1539" s="22"/>
      <c r="AA1539" s="22"/>
      <c r="AB1539" s="22" t="str">
        <f t="shared" si="511"/>
        <v/>
      </c>
      <c r="AC1539" s="22" t="str">
        <f t="shared" si="512"/>
        <v/>
      </c>
      <c r="AD1539" s="22" t="str">
        <f t="shared" si="498"/>
        <v/>
      </c>
      <c r="AE1539" s="22" t="str">
        <f t="shared" si="513"/>
        <v/>
      </c>
      <c r="AF1539" s="22" t="str">
        <f t="shared" si="499"/>
        <v/>
      </c>
      <c r="AG1539" s="22" t="str">
        <f t="shared" si="500"/>
        <v/>
      </c>
      <c r="AH1539" s="22" t="str">
        <f t="shared" si="501"/>
        <v/>
      </c>
      <c r="AI1539" s="22" t="str">
        <f t="shared" si="502"/>
        <v/>
      </c>
      <c r="AJ1539" s="304" t="str">
        <f t="shared" si="503"/>
        <v/>
      </c>
      <c r="AK1539" s="140" t="str">
        <f t="shared" si="504"/>
        <v/>
      </c>
    </row>
    <row r="1540" spans="7:37" x14ac:dyDescent="0.25">
      <c r="G1540" s="235" t="str">
        <f t="shared" si="493"/>
        <v/>
      </c>
      <c r="H1540" s="4" t="str">
        <f t="shared" si="515"/>
        <v/>
      </c>
      <c r="I1540" s="11" t="str">
        <f t="shared" si="494"/>
        <v/>
      </c>
      <c r="K1540" s="30">
        <v>618</v>
      </c>
      <c r="L1540" s="29">
        <f t="shared" si="505"/>
        <v>11371.908376190921</v>
      </c>
      <c r="M1540" s="28" t="str">
        <f t="shared" si="495"/>
        <v/>
      </c>
      <c r="N1540" s="27" t="str">
        <f t="shared" si="506"/>
        <v/>
      </c>
      <c r="O1540" s="26" t="str">
        <f>IF(AND($Q1539=$O$38,IFERROR(LARGE($V$923:$V1539,1)&lt;$N$42,TRUE)),1,IF(AND(ISNUMBER($O1539),$O1539&lt;$N$32),$O1539+1,""))</f>
        <v/>
      </c>
      <c r="P1540" s="26" t="str">
        <f t="shared" si="507"/>
        <v/>
      </c>
      <c r="Q1540" s="26" t="str">
        <f t="shared" si="496"/>
        <v/>
      </c>
      <c r="R1540" s="24" t="str">
        <f t="shared" si="508"/>
        <v/>
      </c>
      <c r="S1540" s="180">
        <f t="shared" si="514"/>
        <v>8</v>
      </c>
      <c r="T1540" s="29">
        <f>SUM($AC$923:$AC1540)</f>
        <v>49500</v>
      </c>
      <c r="U1540" s="25" t="str">
        <f t="shared" si="497"/>
        <v/>
      </c>
      <c r="V1540" s="24" t="str">
        <f>IF(AND(ISNUMBER(R1539),ISNUMBER(R1540)),V1539,IF(AND(R1539="",ISNUMBER(R1540)),IFERROR(LARGE($V$923:$V1539,1)+1,0),""))</f>
        <v/>
      </c>
      <c r="W1540" s="23" t="str">
        <f t="shared" si="509"/>
        <v/>
      </c>
      <c r="X1540" s="22" t="str">
        <f t="shared" si="510"/>
        <v/>
      </c>
      <c r="Y1540" s="236"/>
      <c r="Z1540" s="22"/>
      <c r="AA1540" s="22"/>
      <c r="AB1540" s="22" t="str">
        <f t="shared" si="511"/>
        <v/>
      </c>
      <c r="AC1540" s="22" t="str">
        <f t="shared" si="512"/>
        <v/>
      </c>
      <c r="AD1540" s="22" t="str">
        <f t="shared" si="498"/>
        <v/>
      </c>
      <c r="AE1540" s="22" t="str">
        <f t="shared" si="513"/>
        <v/>
      </c>
      <c r="AF1540" s="22" t="str">
        <f t="shared" si="499"/>
        <v/>
      </c>
      <c r="AG1540" s="22" t="str">
        <f t="shared" si="500"/>
        <v/>
      </c>
      <c r="AH1540" s="22" t="str">
        <f t="shared" si="501"/>
        <v/>
      </c>
      <c r="AI1540" s="22" t="str">
        <f t="shared" si="502"/>
        <v/>
      </c>
      <c r="AJ1540" s="304" t="str">
        <f t="shared" si="503"/>
        <v/>
      </c>
      <c r="AK1540" s="140" t="str">
        <f t="shared" si="504"/>
        <v/>
      </c>
    </row>
    <row r="1541" spans="7:37" x14ac:dyDescent="0.25">
      <c r="G1541" s="235" t="str">
        <f t="shared" si="493"/>
        <v/>
      </c>
      <c r="H1541" s="4" t="str">
        <f t="shared" si="515"/>
        <v/>
      </c>
      <c r="I1541" s="11" t="str">
        <f t="shared" si="494"/>
        <v/>
      </c>
      <c r="K1541" s="30">
        <v>619</v>
      </c>
      <c r="L1541" s="29">
        <f t="shared" si="505"/>
        <v>11371.908376190921</v>
      </c>
      <c r="M1541" s="28" t="str">
        <f t="shared" si="495"/>
        <v/>
      </c>
      <c r="N1541" s="27" t="str">
        <f t="shared" si="506"/>
        <v/>
      </c>
      <c r="O1541" s="26" t="str">
        <f>IF(AND($Q1540=$O$38,IFERROR(LARGE($V$923:$V1540,1)&lt;$N$42,TRUE)),1,IF(AND(ISNUMBER($O1540),$O1540&lt;$N$32),$O1540+1,""))</f>
        <v/>
      </c>
      <c r="P1541" s="26" t="str">
        <f t="shared" si="507"/>
        <v/>
      </c>
      <c r="Q1541" s="26" t="str">
        <f t="shared" si="496"/>
        <v/>
      </c>
      <c r="R1541" s="24" t="str">
        <f t="shared" si="508"/>
        <v/>
      </c>
      <c r="S1541" s="180">
        <f t="shared" si="514"/>
        <v>8</v>
      </c>
      <c r="T1541" s="29">
        <f>SUM($AC$923:$AC1541)</f>
        <v>49500</v>
      </c>
      <c r="U1541" s="25" t="str">
        <f t="shared" si="497"/>
        <v/>
      </c>
      <c r="V1541" s="24" t="str">
        <f>IF(AND(ISNUMBER(R1540),ISNUMBER(R1541)),V1540,IF(AND(R1540="",ISNUMBER(R1541)),IFERROR(LARGE($V$923:$V1540,1)+1,0),""))</f>
        <v/>
      </c>
      <c r="W1541" s="23" t="str">
        <f t="shared" si="509"/>
        <v/>
      </c>
      <c r="X1541" s="22" t="str">
        <f t="shared" si="510"/>
        <v/>
      </c>
      <c r="Y1541" s="236"/>
      <c r="Z1541" s="22"/>
      <c r="AA1541" s="22"/>
      <c r="AB1541" s="22" t="str">
        <f t="shared" si="511"/>
        <v/>
      </c>
      <c r="AC1541" s="22" t="str">
        <f t="shared" si="512"/>
        <v/>
      </c>
      <c r="AD1541" s="22" t="str">
        <f t="shared" si="498"/>
        <v/>
      </c>
      <c r="AE1541" s="22" t="str">
        <f t="shared" si="513"/>
        <v/>
      </c>
      <c r="AF1541" s="22" t="str">
        <f t="shared" si="499"/>
        <v/>
      </c>
      <c r="AG1541" s="22" t="str">
        <f t="shared" si="500"/>
        <v/>
      </c>
      <c r="AH1541" s="22" t="str">
        <f t="shared" si="501"/>
        <v/>
      </c>
      <c r="AI1541" s="22" t="str">
        <f t="shared" si="502"/>
        <v/>
      </c>
      <c r="AJ1541" s="304" t="str">
        <f t="shared" si="503"/>
        <v/>
      </c>
      <c r="AK1541" s="140" t="str">
        <f t="shared" si="504"/>
        <v/>
      </c>
    </row>
    <row r="1542" spans="7:37" x14ac:dyDescent="0.25">
      <c r="G1542" s="235" t="str">
        <f t="shared" si="493"/>
        <v/>
      </c>
      <c r="H1542" s="4" t="str">
        <f t="shared" si="515"/>
        <v/>
      </c>
      <c r="I1542" s="11" t="str">
        <f t="shared" si="494"/>
        <v/>
      </c>
      <c r="K1542" s="30">
        <v>620</v>
      </c>
      <c r="L1542" s="29">
        <f t="shared" si="505"/>
        <v>11371.908376190921</v>
      </c>
      <c r="M1542" s="28" t="str">
        <f t="shared" si="495"/>
        <v/>
      </c>
      <c r="N1542" s="27" t="str">
        <f t="shared" si="506"/>
        <v/>
      </c>
      <c r="O1542" s="26" t="str">
        <f>IF(AND($Q1541=$O$38,IFERROR(LARGE($V$923:$V1541,1)&lt;$N$42,TRUE)),1,IF(AND(ISNUMBER($O1541),$O1541&lt;$N$32),$O1541+1,""))</f>
        <v/>
      </c>
      <c r="P1542" s="26" t="str">
        <f t="shared" si="507"/>
        <v/>
      </c>
      <c r="Q1542" s="26" t="str">
        <f t="shared" si="496"/>
        <v/>
      </c>
      <c r="R1542" s="24" t="str">
        <f t="shared" si="508"/>
        <v/>
      </c>
      <c r="S1542" s="180">
        <f t="shared" si="514"/>
        <v>8</v>
      </c>
      <c r="T1542" s="29">
        <f>SUM($AC$923:$AC1542)</f>
        <v>49500</v>
      </c>
      <c r="U1542" s="25" t="str">
        <f t="shared" si="497"/>
        <v/>
      </c>
      <c r="V1542" s="24" t="str">
        <f>IF(AND(ISNUMBER(R1541),ISNUMBER(R1542)),V1541,IF(AND(R1541="",ISNUMBER(R1542)),IFERROR(LARGE($V$923:$V1541,1)+1,0),""))</f>
        <v/>
      </c>
      <c r="W1542" s="23" t="str">
        <f t="shared" si="509"/>
        <v/>
      </c>
      <c r="X1542" s="22" t="str">
        <f t="shared" si="510"/>
        <v/>
      </c>
      <c r="Y1542" s="236"/>
      <c r="Z1542" s="22"/>
      <c r="AA1542" s="22"/>
      <c r="AB1542" s="22" t="str">
        <f t="shared" si="511"/>
        <v/>
      </c>
      <c r="AC1542" s="22" t="str">
        <f t="shared" si="512"/>
        <v/>
      </c>
      <c r="AD1542" s="22" t="str">
        <f t="shared" si="498"/>
        <v/>
      </c>
      <c r="AE1542" s="22" t="str">
        <f t="shared" si="513"/>
        <v/>
      </c>
      <c r="AF1542" s="22" t="str">
        <f t="shared" si="499"/>
        <v/>
      </c>
      <c r="AG1542" s="22" t="str">
        <f t="shared" si="500"/>
        <v/>
      </c>
      <c r="AH1542" s="22" t="str">
        <f t="shared" si="501"/>
        <v/>
      </c>
      <c r="AI1542" s="22" t="str">
        <f t="shared" si="502"/>
        <v/>
      </c>
      <c r="AJ1542" s="304" t="str">
        <f t="shared" si="503"/>
        <v/>
      </c>
      <c r="AK1542" s="140" t="str">
        <f t="shared" si="504"/>
        <v/>
      </c>
    </row>
    <row r="1543" spans="7:37" x14ac:dyDescent="0.25">
      <c r="G1543" s="235" t="str">
        <f t="shared" si="493"/>
        <v/>
      </c>
      <c r="H1543" s="4" t="str">
        <f t="shared" si="515"/>
        <v/>
      </c>
      <c r="I1543" s="11" t="str">
        <f t="shared" si="494"/>
        <v/>
      </c>
      <c r="K1543" s="30">
        <v>621</v>
      </c>
      <c r="L1543" s="29">
        <f t="shared" si="505"/>
        <v>11371.908376190921</v>
      </c>
      <c r="M1543" s="28" t="str">
        <f t="shared" si="495"/>
        <v/>
      </c>
      <c r="N1543" s="27" t="str">
        <f t="shared" si="506"/>
        <v/>
      </c>
      <c r="O1543" s="26" t="str">
        <f>IF(AND($Q1542=$O$38,IFERROR(LARGE($V$923:$V1542,1)&lt;$N$42,TRUE)),1,IF(AND(ISNUMBER($O1542),$O1542&lt;$N$32),$O1542+1,""))</f>
        <v/>
      </c>
      <c r="P1543" s="26" t="str">
        <f t="shared" si="507"/>
        <v/>
      </c>
      <c r="Q1543" s="26" t="str">
        <f t="shared" si="496"/>
        <v/>
      </c>
      <c r="R1543" s="24" t="str">
        <f t="shared" si="508"/>
        <v/>
      </c>
      <c r="S1543" s="180">
        <f t="shared" si="514"/>
        <v>8</v>
      </c>
      <c r="T1543" s="29">
        <f>SUM($AC$923:$AC1543)</f>
        <v>49500</v>
      </c>
      <c r="U1543" s="25" t="str">
        <f t="shared" si="497"/>
        <v/>
      </c>
      <c r="V1543" s="24" t="str">
        <f>IF(AND(ISNUMBER(R1542),ISNUMBER(R1543)),V1542,IF(AND(R1542="",ISNUMBER(R1543)),IFERROR(LARGE($V$923:$V1542,1)+1,0),""))</f>
        <v/>
      </c>
      <c r="W1543" s="23" t="str">
        <f t="shared" si="509"/>
        <v/>
      </c>
      <c r="X1543" s="22" t="str">
        <f t="shared" si="510"/>
        <v/>
      </c>
      <c r="Y1543" s="236"/>
      <c r="Z1543" s="22"/>
      <c r="AA1543" s="22"/>
      <c r="AB1543" s="22" t="str">
        <f t="shared" si="511"/>
        <v/>
      </c>
      <c r="AC1543" s="22" t="str">
        <f t="shared" si="512"/>
        <v/>
      </c>
      <c r="AD1543" s="22" t="str">
        <f t="shared" si="498"/>
        <v/>
      </c>
      <c r="AE1543" s="22" t="str">
        <f t="shared" si="513"/>
        <v/>
      </c>
      <c r="AF1543" s="22" t="str">
        <f t="shared" si="499"/>
        <v/>
      </c>
      <c r="AG1543" s="22" t="str">
        <f t="shared" si="500"/>
        <v/>
      </c>
      <c r="AH1543" s="22" t="str">
        <f t="shared" si="501"/>
        <v/>
      </c>
      <c r="AI1543" s="22" t="str">
        <f t="shared" si="502"/>
        <v/>
      </c>
      <c r="AJ1543" s="304" t="str">
        <f t="shared" si="503"/>
        <v/>
      </c>
      <c r="AK1543" s="140" t="str">
        <f t="shared" si="504"/>
        <v/>
      </c>
    </row>
    <row r="1544" spans="7:37" x14ac:dyDescent="0.25">
      <c r="G1544" s="235" t="str">
        <f t="shared" si="493"/>
        <v/>
      </c>
      <c r="H1544" s="4" t="str">
        <f t="shared" si="515"/>
        <v/>
      </c>
      <c r="I1544" s="11" t="str">
        <f t="shared" si="494"/>
        <v/>
      </c>
      <c r="K1544" s="30">
        <v>622</v>
      </c>
      <c r="L1544" s="29">
        <f t="shared" si="505"/>
        <v>11371.908376190921</v>
      </c>
      <c r="M1544" s="28" t="str">
        <f t="shared" si="495"/>
        <v/>
      </c>
      <c r="N1544" s="27" t="str">
        <f t="shared" si="506"/>
        <v/>
      </c>
      <c r="O1544" s="26" t="str">
        <f>IF(AND($Q1543=$O$38,IFERROR(LARGE($V$923:$V1543,1)&lt;$N$42,TRUE)),1,IF(AND(ISNUMBER($O1543),$O1543&lt;$N$32),$O1543+1,""))</f>
        <v/>
      </c>
      <c r="P1544" s="26" t="str">
        <f t="shared" si="507"/>
        <v/>
      </c>
      <c r="Q1544" s="26" t="str">
        <f t="shared" si="496"/>
        <v/>
      </c>
      <c r="R1544" s="24" t="str">
        <f t="shared" si="508"/>
        <v/>
      </c>
      <c r="S1544" s="180">
        <f t="shared" si="514"/>
        <v>8</v>
      </c>
      <c r="T1544" s="29">
        <f>SUM($AC$923:$AC1544)</f>
        <v>49500</v>
      </c>
      <c r="U1544" s="25" t="str">
        <f t="shared" si="497"/>
        <v/>
      </c>
      <c r="V1544" s="24" t="str">
        <f>IF(AND(ISNUMBER(R1543),ISNUMBER(R1544)),V1543,IF(AND(R1543="",ISNUMBER(R1544)),IFERROR(LARGE($V$923:$V1543,1)+1,0),""))</f>
        <v/>
      </c>
      <c r="W1544" s="23" t="str">
        <f t="shared" si="509"/>
        <v/>
      </c>
      <c r="X1544" s="22" t="str">
        <f t="shared" si="510"/>
        <v/>
      </c>
      <c r="Y1544" s="236"/>
      <c r="Z1544" s="22"/>
      <c r="AA1544" s="22"/>
      <c r="AB1544" s="22" t="str">
        <f t="shared" si="511"/>
        <v/>
      </c>
      <c r="AC1544" s="22" t="str">
        <f t="shared" si="512"/>
        <v/>
      </c>
      <c r="AD1544" s="22" t="str">
        <f t="shared" si="498"/>
        <v/>
      </c>
      <c r="AE1544" s="22" t="str">
        <f t="shared" si="513"/>
        <v/>
      </c>
      <c r="AF1544" s="22" t="str">
        <f t="shared" si="499"/>
        <v/>
      </c>
      <c r="AG1544" s="22" t="str">
        <f t="shared" si="500"/>
        <v/>
      </c>
      <c r="AH1544" s="22" t="str">
        <f t="shared" si="501"/>
        <v/>
      </c>
      <c r="AI1544" s="22" t="str">
        <f t="shared" si="502"/>
        <v/>
      </c>
      <c r="AJ1544" s="304" t="str">
        <f t="shared" si="503"/>
        <v/>
      </c>
      <c r="AK1544" s="140" t="str">
        <f t="shared" si="504"/>
        <v/>
      </c>
    </row>
    <row r="1545" spans="7:37" x14ac:dyDescent="0.25">
      <c r="G1545" s="235" t="str">
        <f t="shared" si="493"/>
        <v/>
      </c>
      <c r="H1545" s="4" t="str">
        <f t="shared" si="515"/>
        <v/>
      </c>
      <c r="I1545" s="11" t="str">
        <f t="shared" si="494"/>
        <v/>
      </c>
      <c r="K1545" s="30">
        <v>623</v>
      </c>
      <c r="L1545" s="29">
        <f t="shared" si="505"/>
        <v>11371.908376190921</v>
      </c>
      <c r="M1545" s="28" t="str">
        <f t="shared" si="495"/>
        <v/>
      </c>
      <c r="N1545" s="27" t="str">
        <f t="shared" si="506"/>
        <v/>
      </c>
      <c r="O1545" s="26" t="str">
        <f>IF(AND($Q1544=$O$38,IFERROR(LARGE($V$923:$V1544,1)&lt;$N$42,TRUE)),1,IF(AND(ISNUMBER($O1544),$O1544&lt;$N$32),$O1544+1,""))</f>
        <v/>
      </c>
      <c r="P1545" s="26" t="str">
        <f t="shared" si="507"/>
        <v/>
      </c>
      <c r="Q1545" s="26" t="str">
        <f t="shared" si="496"/>
        <v/>
      </c>
      <c r="R1545" s="24" t="str">
        <f t="shared" si="508"/>
        <v/>
      </c>
      <c r="S1545" s="180">
        <f t="shared" si="514"/>
        <v>8</v>
      </c>
      <c r="T1545" s="29">
        <f>SUM($AC$923:$AC1545)</f>
        <v>49500</v>
      </c>
      <c r="U1545" s="25" t="str">
        <f t="shared" si="497"/>
        <v/>
      </c>
      <c r="V1545" s="24" t="str">
        <f>IF(AND(ISNUMBER(R1544),ISNUMBER(R1545)),V1544,IF(AND(R1544="",ISNUMBER(R1545)),IFERROR(LARGE($V$923:$V1544,1)+1,0),""))</f>
        <v/>
      </c>
      <c r="W1545" s="23" t="str">
        <f t="shared" si="509"/>
        <v/>
      </c>
      <c r="X1545" s="22" t="str">
        <f t="shared" si="510"/>
        <v/>
      </c>
      <c r="Y1545" s="236"/>
      <c r="Z1545" s="22"/>
      <c r="AA1545" s="22"/>
      <c r="AB1545" s="22" t="str">
        <f t="shared" si="511"/>
        <v/>
      </c>
      <c r="AC1545" s="22" t="str">
        <f t="shared" si="512"/>
        <v/>
      </c>
      <c r="AD1545" s="22" t="str">
        <f t="shared" si="498"/>
        <v/>
      </c>
      <c r="AE1545" s="22" t="str">
        <f t="shared" si="513"/>
        <v/>
      </c>
      <c r="AF1545" s="22" t="str">
        <f t="shared" si="499"/>
        <v/>
      </c>
      <c r="AG1545" s="22" t="str">
        <f t="shared" si="500"/>
        <v/>
      </c>
      <c r="AH1545" s="22" t="str">
        <f t="shared" si="501"/>
        <v/>
      </c>
      <c r="AI1545" s="22" t="str">
        <f t="shared" si="502"/>
        <v/>
      </c>
      <c r="AJ1545" s="304" t="str">
        <f t="shared" si="503"/>
        <v/>
      </c>
      <c r="AK1545" s="140" t="str">
        <f t="shared" si="504"/>
        <v/>
      </c>
    </row>
    <row r="1546" spans="7:37" x14ac:dyDescent="0.25">
      <c r="G1546" s="235" t="str">
        <f t="shared" si="493"/>
        <v/>
      </c>
      <c r="H1546" s="4" t="str">
        <f t="shared" si="515"/>
        <v/>
      </c>
      <c r="I1546" s="11" t="str">
        <f t="shared" si="494"/>
        <v/>
      </c>
      <c r="K1546" s="30">
        <v>624</v>
      </c>
      <c r="L1546" s="29">
        <f t="shared" si="505"/>
        <v>11371.908376190921</v>
      </c>
      <c r="M1546" s="28" t="str">
        <f t="shared" si="495"/>
        <v/>
      </c>
      <c r="N1546" s="27" t="str">
        <f t="shared" si="506"/>
        <v/>
      </c>
      <c r="O1546" s="26" t="str">
        <f>IF(AND($Q1545=$O$38,IFERROR(LARGE($V$923:$V1545,1)&lt;$N$42,TRUE)),1,IF(AND(ISNUMBER($O1545),$O1545&lt;$N$32),$O1545+1,""))</f>
        <v/>
      </c>
      <c r="P1546" s="26" t="str">
        <f t="shared" si="507"/>
        <v/>
      </c>
      <c r="Q1546" s="26" t="str">
        <f t="shared" si="496"/>
        <v/>
      </c>
      <c r="R1546" s="24" t="str">
        <f t="shared" si="508"/>
        <v/>
      </c>
      <c r="S1546" s="180">
        <f t="shared" si="514"/>
        <v>8</v>
      </c>
      <c r="T1546" s="29">
        <f>SUM($AC$923:$AC1546)</f>
        <v>49500</v>
      </c>
      <c r="U1546" s="25" t="str">
        <f t="shared" si="497"/>
        <v/>
      </c>
      <c r="V1546" s="24" t="str">
        <f>IF(AND(ISNUMBER(R1545),ISNUMBER(R1546)),V1545,IF(AND(R1545="",ISNUMBER(R1546)),IFERROR(LARGE($V$923:$V1545,1)+1,0),""))</f>
        <v/>
      </c>
      <c r="W1546" s="23" t="str">
        <f t="shared" si="509"/>
        <v/>
      </c>
      <c r="X1546" s="22" t="str">
        <f t="shared" si="510"/>
        <v/>
      </c>
      <c r="Y1546" s="236"/>
      <c r="Z1546" s="22"/>
      <c r="AA1546" s="22"/>
      <c r="AB1546" s="22" t="str">
        <f t="shared" si="511"/>
        <v/>
      </c>
      <c r="AC1546" s="22" t="str">
        <f t="shared" si="512"/>
        <v/>
      </c>
      <c r="AD1546" s="22" t="str">
        <f t="shared" si="498"/>
        <v/>
      </c>
      <c r="AE1546" s="22" t="str">
        <f t="shared" si="513"/>
        <v/>
      </c>
      <c r="AF1546" s="22" t="str">
        <f t="shared" si="499"/>
        <v/>
      </c>
      <c r="AG1546" s="22" t="str">
        <f t="shared" si="500"/>
        <v/>
      </c>
      <c r="AH1546" s="22" t="str">
        <f t="shared" si="501"/>
        <v/>
      </c>
      <c r="AI1546" s="22" t="str">
        <f t="shared" si="502"/>
        <v/>
      </c>
      <c r="AJ1546" s="304" t="str">
        <f t="shared" si="503"/>
        <v/>
      </c>
      <c r="AK1546" s="140" t="str">
        <f t="shared" si="504"/>
        <v/>
      </c>
    </row>
    <row r="1547" spans="7:37" x14ac:dyDescent="0.25">
      <c r="G1547" s="235" t="str">
        <f t="shared" si="493"/>
        <v/>
      </c>
      <c r="H1547" s="4" t="str">
        <f t="shared" si="515"/>
        <v/>
      </c>
      <c r="I1547" s="11" t="str">
        <f t="shared" si="494"/>
        <v/>
      </c>
      <c r="K1547" s="30">
        <v>625</v>
      </c>
      <c r="L1547" s="29">
        <f t="shared" si="505"/>
        <v>11371.908376190921</v>
      </c>
      <c r="M1547" s="28" t="str">
        <f t="shared" si="495"/>
        <v/>
      </c>
      <c r="N1547" s="27" t="str">
        <f t="shared" si="506"/>
        <v/>
      </c>
      <c r="O1547" s="26" t="str">
        <f>IF(AND($Q1546=$O$38,IFERROR(LARGE($V$923:$V1546,1)&lt;$N$42,TRUE)),1,IF(AND(ISNUMBER($O1546),$O1546&lt;$N$32),$O1546+1,""))</f>
        <v/>
      </c>
      <c r="P1547" s="26" t="str">
        <f t="shared" si="507"/>
        <v/>
      </c>
      <c r="Q1547" s="26" t="str">
        <f t="shared" si="496"/>
        <v/>
      </c>
      <c r="R1547" s="24" t="str">
        <f t="shared" si="508"/>
        <v/>
      </c>
      <c r="S1547" s="180">
        <f t="shared" si="514"/>
        <v>8</v>
      </c>
      <c r="T1547" s="29">
        <f>SUM($AC$923:$AC1547)</f>
        <v>49500</v>
      </c>
      <c r="U1547" s="25" t="str">
        <f t="shared" si="497"/>
        <v/>
      </c>
      <c r="V1547" s="24" t="str">
        <f>IF(AND(ISNUMBER(R1546),ISNUMBER(R1547)),V1546,IF(AND(R1546="",ISNUMBER(R1547)),IFERROR(LARGE($V$923:$V1546,1)+1,0),""))</f>
        <v/>
      </c>
      <c r="W1547" s="23" t="str">
        <f t="shared" si="509"/>
        <v/>
      </c>
      <c r="X1547" s="22" t="str">
        <f t="shared" si="510"/>
        <v/>
      </c>
      <c r="Y1547" s="236"/>
      <c r="Z1547" s="22"/>
      <c r="AA1547" s="22"/>
      <c r="AB1547" s="22" t="str">
        <f t="shared" si="511"/>
        <v/>
      </c>
      <c r="AC1547" s="22" t="str">
        <f t="shared" si="512"/>
        <v/>
      </c>
      <c r="AD1547" s="22" t="str">
        <f t="shared" si="498"/>
        <v/>
      </c>
      <c r="AE1547" s="22" t="str">
        <f t="shared" si="513"/>
        <v/>
      </c>
      <c r="AF1547" s="22" t="str">
        <f t="shared" si="499"/>
        <v/>
      </c>
      <c r="AG1547" s="22" t="str">
        <f t="shared" si="500"/>
        <v/>
      </c>
      <c r="AH1547" s="22" t="str">
        <f t="shared" si="501"/>
        <v/>
      </c>
      <c r="AI1547" s="22" t="str">
        <f t="shared" si="502"/>
        <v/>
      </c>
      <c r="AJ1547" s="304" t="str">
        <f t="shared" si="503"/>
        <v/>
      </c>
      <c r="AK1547" s="140" t="str">
        <f t="shared" si="504"/>
        <v/>
      </c>
    </row>
    <row r="1548" spans="7:37" x14ac:dyDescent="0.25">
      <c r="G1548" s="235" t="str">
        <f t="shared" si="493"/>
        <v/>
      </c>
      <c r="H1548" s="4" t="str">
        <f t="shared" si="515"/>
        <v/>
      </c>
      <c r="I1548" s="11" t="str">
        <f t="shared" si="494"/>
        <v/>
      </c>
      <c r="K1548" s="30">
        <v>626</v>
      </c>
      <c r="L1548" s="29">
        <f t="shared" si="505"/>
        <v>11371.908376190921</v>
      </c>
      <c r="M1548" s="28" t="str">
        <f t="shared" si="495"/>
        <v/>
      </c>
      <c r="N1548" s="27" t="str">
        <f t="shared" si="506"/>
        <v/>
      </c>
      <c r="O1548" s="26" t="str">
        <f>IF(AND($Q1547=$O$38,IFERROR(LARGE($V$923:$V1547,1)&lt;$N$42,TRUE)),1,IF(AND(ISNUMBER($O1547),$O1547&lt;$N$32),$O1547+1,""))</f>
        <v/>
      </c>
      <c r="P1548" s="26" t="str">
        <f t="shared" si="507"/>
        <v/>
      </c>
      <c r="Q1548" s="26" t="str">
        <f t="shared" si="496"/>
        <v/>
      </c>
      <c r="R1548" s="24" t="str">
        <f t="shared" si="508"/>
        <v/>
      </c>
      <c r="S1548" s="180">
        <f t="shared" si="514"/>
        <v>8</v>
      </c>
      <c r="T1548" s="29">
        <f>SUM($AC$923:$AC1548)</f>
        <v>49500</v>
      </c>
      <c r="U1548" s="25" t="str">
        <f t="shared" si="497"/>
        <v/>
      </c>
      <c r="V1548" s="24" t="str">
        <f>IF(AND(ISNUMBER(R1547),ISNUMBER(R1548)),V1547,IF(AND(R1547="",ISNUMBER(R1548)),IFERROR(LARGE($V$923:$V1547,1)+1,0),""))</f>
        <v/>
      </c>
      <c r="W1548" s="23" t="str">
        <f t="shared" si="509"/>
        <v/>
      </c>
      <c r="X1548" s="22" t="str">
        <f t="shared" si="510"/>
        <v/>
      </c>
      <c r="Y1548" s="236"/>
      <c r="Z1548" s="22"/>
      <c r="AA1548" s="22"/>
      <c r="AB1548" s="22" t="str">
        <f t="shared" si="511"/>
        <v/>
      </c>
      <c r="AC1548" s="22" t="str">
        <f t="shared" si="512"/>
        <v/>
      </c>
      <c r="AD1548" s="22" t="str">
        <f t="shared" si="498"/>
        <v/>
      </c>
      <c r="AE1548" s="22" t="str">
        <f t="shared" si="513"/>
        <v/>
      </c>
      <c r="AF1548" s="22" t="str">
        <f t="shared" si="499"/>
        <v/>
      </c>
      <c r="AG1548" s="22" t="str">
        <f t="shared" si="500"/>
        <v/>
      </c>
      <c r="AH1548" s="22" t="str">
        <f t="shared" si="501"/>
        <v/>
      </c>
      <c r="AI1548" s="22" t="str">
        <f t="shared" si="502"/>
        <v/>
      </c>
      <c r="AJ1548" s="304" t="str">
        <f t="shared" si="503"/>
        <v/>
      </c>
      <c r="AK1548" s="140" t="str">
        <f t="shared" si="504"/>
        <v/>
      </c>
    </row>
    <row r="1549" spans="7:37" x14ac:dyDescent="0.25">
      <c r="G1549" s="235" t="str">
        <f t="shared" si="493"/>
        <v/>
      </c>
      <c r="H1549" s="4" t="str">
        <f t="shared" si="515"/>
        <v/>
      </c>
      <c r="I1549" s="11" t="str">
        <f t="shared" si="494"/>
        <v/>
      </c>
      <c r="K1549" s="30">
        <v>627</v>
      </c>
      <c r="L1549" s="29">
        <f t="shared" si="505"/>
        <v>11371.908376190921</v>
      </c>
      <c r="M1549" s="28" t="str">
        <f t="shared" si="495"/>
        <v/>
      </c>
      <c r="N1549" s="27" t="str">
        <f t="shared" si="506"/>
        <v/>
      </c>
      <c r="O1549" s="26" t="str">
        <f>IF(AND($Q1548=$O$38,IFERROR(LARGE($V$923:$V1548,1)&lt;$N$42,TRUE)),1,IF(AND(ISNUMBER($O1548),$O1548&lt;$N$32),$O1548+1,""))</f>
        <v/>
      </c>
      <c r="P1549" s="26" t="str">
        <f t="shared" si="507"/>
        <v/>
      </c>
      <c r="Q1549" s="26" t="str">
        <f t="shared" si="496"/>
        <v/>
      </c>
      <c r="R1549" s="24" t="str">
        <f t="shared" si="508"/>
        <v/>
      </c>
      <c r="S1549" s="180">
        <f t="shared" si="514"/>
        <v>8</v>
      </c>
      <c r="T1549" s="29">
        <f>SUM($AC$923:$AC1549)</f>
        <v>49500</v>
      </c>
      <c r="U1549" s="25" t="str">
        <f t="shared" si="497"/>
        <v/>
      </c>
      <c r="V1549" s="24" t="str">
        <f>IF(AND(ISNUMBER(R1548),ISNUMBER(R1549)),V1548,IF(AND(R1548="",ISNUMBER(R1549)),IFERROR(LARGE($V$923:$V1548,1)+1,0),""))</f>
        <v/>
      </c>
      <c r="W1549" s="23" t="str">
        <f t="shared" si="509"/>
        <v/>
      </c>
      <c r="X1549" s="22" t="str">
        <f t="shared" si="510"/>
        <v/>
      </c>
      <c r="Y1549" s="236"/>
      <c r="Z1549" s="22"/>
      <c r="AA1549" s="22"/>
      <c r="AB1549" s="22" t="str">
        <f t="shared" si="511"/>
        <v/>
      </c>
      <c r="AC1549" s="22" t="str">
        <f t="shared" si="512"/>
        <v/>
      </c>
      <c r="AD1549" s="22" t="str">
        <f t="shared" si="498"/>
        <v/>
      </c>
      <c r="AE1549" s="22" t="str">
        <f t="shared" si="513"/>
        <v/>
      </c>
      <c r="AF1549" s="22" t="str">
        <f t="shared" si="499"/>
        <v/>
      </c>
      <c r="AG1549" s="22" t="str">
        <f t="shared" si="500"/>
        <v/>
      </c>
      <c r="AH1549" s="22" t="str">
        <f t="shared" si="501"/>
        <v/>
      </c>
      <c r="AI1549" s="22" t="str">
        <f t="shared" si="502"/>
        <v/>
      </c>
      <c r="AJ1549" s="304" t="str">
        <f t="shared" si="503"/>
        <v/>
      </c>
      <c r="AK1549" s="140" t="str">
        <f t="shared" si="504"/>
        <v/>
      </c>
    </row>
    <row r="1550" spans="7:37" x14ac:dyDescent="0.25">
      <c r="G1550" s="235" t="str">
        <f t="shared" si="493"/>
        <v/>
      </c>
      <c r="H1550" s="4" t="str">
        <f t="shared" si="515"/>
        <v/>
      </c>
      <c r="I1550" s="11" t="str">
        <f t="shared" si="494"/>
        <v/>
      </c>
      <c r="K1550" s="30">
        <v>628</v>
      </c>
      <c r="L1550" s="29">
        <f t="shared" si="505"/>
        <v>11371.908376190921</v>
      </c>
      <c r="M1550" s="28" t="str">
        <f t="shared" si="495"/>
        <v/>
      </c>
      <c r="N1550" s="27" t="str">
        <f t="shared" si="506"/>
        <v/>
      </c>
      <c r="O1550" s="26" t="str">
        <f>IF(AND($Q1549=$O$38,IFERROR(LARGE($V$923:$V1549,1)&lt;$N$42,TRUE)),1,IF(AND(ISNUMBER($O1549),$O1549&lt;$N$32),$O1549+1,""))</f>
        <v/>
      </c>
      <c r="P1550" s="26" t="str">
        <f t="shared" si="507"/>
        <v/>
      </c>
      <c r="Q1550" s="26" t="str">
        <f t="shared" si="496"/>
        <v/>
      </c>
      <c r="R1550" s="24" t="str">
        <f t="shared" si="508"/>
        <v/>
      </c>
      <c r="S1550" s="180">
        <f t="shared" si="514"/>
        <v>8</v>
      </c>
      <c r="T1550" s="29">
        <f>SUM($AC$923:$AC1550)</f>
        <v>49500</v>
      </c>
      <c r="U1550" s="25" t="str">
        <f t="shared" si="497"/>
        <v/>
      </c>
      <c r="V1550" s="24" t="str">
        <f>IF(AND(ISNUMBER(R1549),ISNUMBER(R1550)),V1549,IF(AND(R1549="",ISNUMBER(R1550)),IFERROR(LARGE($V$923:$V1549,1)+1,0),""))</f>
        <v/>
      </c>
      <c r="W1550" s="23" t="str">
        <f t="shared" si="509"/>
        <v/>
      </c>
      <c r="X1550" s="22" t="str">
        <f t="shared" si="510"/>
        <v/>
      </c>
      <c r="Y1550" s="236"/>
      <c r="Z1550" s="22"/>
      <c r="AA1550" s="22"/>
      <c r="AB1550" s="22" t="str">
        <f t="shared" si="511"/>
        <v/>
      </c>
      <c r="AC1550" s="22" t="str">
        <f t="shared" si="512"/>
        <v/>
      </c>
      <c r="AD1550" s="22" t="str">
        <f t="shared" si="498"/>
        <v/>
      </c>
      <c r="AE1550" s="22" t="str">
        <f t="shared" si="513"/>
        <v/>
      </c>
      <c r="AF1550" s="22" t="str">
        <f t="shared" si="499"/>
        <v/>
      </c>
      <c r="AG1550" s="22" t="str">
        <f t="shared" si="500"/>
        <v/>
      </c>
      <c r="AH1550" s="22" t="str">
        <f t="shared" si="501"/>
        <v/>
      </c>
      <c r="AI1550" s="22" t="str">
        <f t="shared" si="502"/>
        <v/>
      </c>
      <c r="AJ1550" s="304" t="str">
        <f t="shared" si="503"/>
        <v/>
      </c>
      <c r="AK1550" s="140" t="str">
        <f t="shared" si="504"/>
        <v/>
      </c>
    </row>
    <row r="1551" spans="7:37" x14ac:dyDescent="0.25">
      <c r="G1551" s="235" t="str">
        <f t="shared" si="493"/>
        <v/>
      </c>
      <c r="H1551" s="4" t="str">
        <f t="shared" si="515"/>
        <v/>
      </c>
      <c r="I1551" s="11" t="str">
        <f t="shared" si="494"/>
        <v/>
      </c>
      <c r="K1551" s="30">
        <v>629</v>
      </c>
      <c r="L1551" s="29">
        <f t="shared" si="505"/>
        <v>11371.908376190921</v>
      </c>
      <c r="M1551" s="28" t="str">
        <f t="shared" si="495"/>
        <v/>
      </c>
      <c r="N1551" s="27" t="str">
        <f t="shared" si="506"/>
        <v/>
      </c>
      <c r="O1551" s="26" t="str">
        <f>IF(AND($Q1550=$O$38,IFERROR(LARGE($V$923:$V1550,1)&lt;$N$42,TRUE)),1,IF(AND(ISNUMBER($O1550),$O1550&lt;$N$32),$O1550+1,""))</f>
        <v/>
      </c>
      <c r="P1551" s="26" t="str">
        <f t="shared" si="507"/>
        <v/>
      </c>
      <c r="Q1551" s="26" t="str">
        <f t="shared" si="496"/>
        <v/>
      </c>
      <c r="R1551" s="24" t="str">
        <f t="shared" si="508"/>
        <v/>
      </c>
      <c r="S1551" s="180">
        <f t="shared" si="514"/>
        <v>8</v>
      </c>
      <c r="T1551" s="29">
        <f>SUM($AC$923:$AC1551)</f>
        <v>49500</v>
      </c>
      <c r="U1551" s="25" t="str">
        <f t="shared" si="497"/>
        <v/>
      </c>
      <c r="V1551" s="24" t="str">
        <f>IF(AND(ISNUMBER(R1550),ISNUMBER(R1551)),V1550,IF(AND(R1550="",ISNUMBER(R1551)),IFERROR(LARGE($V$923:$V1550,1)+1,0),""))</f>
        <v/>
      </c>
      <c r="W1551" s="23" t="str">
        <f t="shared" si="509"/>
        <v/>
      </c>
      <c r="X1551" s="22" t="str">
        <f t="shared" si="510"/>
        <v/>
      </c>
      <c r="Y1551" s="236"/>
      <c r="Z1551" s="22"/>
      <c r="AA1551" s="22"/>
      <c r="AB1551" s="22" t="str">
        <f t="shared" si="511"/>
        <v/>
      </c>
      <c r="AC1551" s="22" t="str">
        <f t="shared" si="512"/>
        <v/>
      </c>
      <c r="AD1551" s="22" t="str">
        <f t="shared" si="498"/>
        <v/>
      </c>
      <c r="AE1551" s="22" t="str">
        <f t="shared" si="513"/>
        <v/>
      </c>
      <c r="AF1551" s="22" t="str">
        <f t="shared" si="499"/>
        <v/>
      </c>
      <c r="AG1551" s="22" t="str">
        <f t="shared" si="500"/>
        <v/>
      </c>
      <c r="AH1551" s="22" t="str">
        <f t="shared" si="501"/>
        <v/>
      </c>
      <c r="AI1551" s="22" t="str">
        <f t="shared" si="502"/>
        <v/>
      </c>
      <c r="AJ1551" s="304" t="str">
        <f t="shared" si="503"/>
        <v/>
      </c>
      <c r="AK1551" s="140" t="str">
        <f t="shared" si="504"/>
        <v/>
      </c>
    </row>
    <row r="1552" spans="7:37" x14ac:dyDescent="0.25">
      <c r="G1552" s="235" t="str">
        <f t="shared" si="493"/>
        <v/>
      </c>
      <c r="H1552" s="4" t="str">
        <f t="shared" si="515"/>
        <v/>
      </c>
      <c r="I1552" s="11" t="str">
        <f t="shared" si="494"/>
        <v/>
      </c>
      <c r="K1552" s="30">
        <v>630</v>
      </c>
      <c r="L1552" s="29">
        <f t="shared" si="505"/>
        <v>11371.908376190921</v>
      </c>
      <c r="M1552" s="28" t="str">
        <f t="shared" si="495"/>
        <v/>
      </c>
      <c r="N1552" s="27" t="str">
        <f t="shared" si="506"/>
        <v/>
      </c>
      <c r="O1552" s="26" t="str">
        <f>IF(AND($Q1551=$O$38,IFERROR(LARGE($V$923:$V1551,1)&lt;$N$42,TRUE)),1,IF(AND(ISNUMBER($O1551),$O1551&lt;$N$32),$O1551+1,""))</f>
        <v/>
      </c>
      <c r="P1552" s="26" t="str">
        <f t="shared" si="507"/>
        <v/>
      </c>
      <c r="Q1552" s="26" t="str">
        <f t="shared" si="496"/>
        <v/>
      </c>
      <c r="R1552" s="24" t="str">
        <f t="shared" si="508"/>
        <v/>
      </c>
      <c r="S1552" s="180">
        <f t="shared" si="514"/>
        <v>8</v>
      </c>
      <c r="T1552" s="29">
        <f>SUM($AC$923:$AC1552)</f>
        <v>49500</v>
      </c>
      <c r="U1552" s="25" t="str">
        <f t="shared" si="497"/>
        <v/>
      </c>
      <c r="V1552" s="24" t="str">
        <f>IF(AND(ISNUMBER(R1551),ISNUMBER(R1552)),V1551,IF(AND(R1551="",ISNUMBER(R1552)),IFERROR(LARGE($V$923:$V1551,1)+1,0),""))</f>
        <v/>
      </c>
      <c r="W1552" s="23" t="str">
        <f t="shared" si="509"/>
        <v/>
      </c>
      <c r="X1552" s="22" t="str">
        <f t="shared" si="510"/>
        <v/>
      </c>
      <c r="Y1552" s="236"/>
      <c r="Z1552" s="22"/>
      <c r="AA1552" s="22"/>
      <c r="AB1552" s="22" t="str">
        <f t="shared" si="511"/>
        <v/>
      </c>
      <c r="AC1552" s="22" t="str">
        <f t="shared" si="512"/>
        <v/>
      </c>
      <c r="AD1552" s="22" t="str">
        <f t="shared" si="498"/>
        <v/>
      </c>
      <c r="AE1552" s="22" t="str">
        <f t="shared" si="513"/>
        <v/>
      </c>
      <c r="AF1552" s="22" t="str">
        <f t="shared" si="499"/>
        <v/>
      </c>
      <c r="AG1552" s="22" t="str">
        <f t="shared" si="500"/>
        <v/>
      </c>
      <c r="AH1552" s="22" t="str">
        <f t="shared" si="501"/>
        <v/>
      </c>
      <c r="AI1552" s="22" t="str">
        <f t="shared" si="502"/>
        <v/>
      </c>
      <c r="AJ1552" s="304" t="str">
        <f t="shared" si="503"/>
        <v/>
      </c>
      <c r="AK1552" s="140" t="str">
        <f t="shared" si="504"/>
        <v/>
      </c>
    </row>
    <row r="1553" spans="7:37" x14ac:dyDescent="0.25">
      <c r="G1553" s="235" t="str">
        <f t="shared" si="493"/>
        <v/>
      </c>
      <c r="H1553" s="4" t="str">
        <f t="shared" si="515"/>
        <v/>
      </c>
      <c r="I1553" s="11" t="str">
        <f t="shared" si="494"/>
        <v/>
      </c>
      <c r="K1553" s="30">
        <v>631</v>
      </c>
      <c r="L1553" s="29">
        <f t="shared" si="505"/>
        <v>11371.908376190921</v>
      </c>
      <c r="M1553" s="28" t="str">
        <f t="shared" si="495"/>
        <v/>
      </c>
      <c r="N1553" s="27" t="str">
        <f t="shared" si="506"/>
        <v/>
      </c>
      <c r="O1553" s="26" t="str">
        <f>IF(AND($Q1552=$O$38,IFERROR(LARGE($V$923:$V1552,1)&lt;$N$42,TRUE)),1,IF(AND(ISNUMBER($O1552),$O1552&lt;$N$32),$O1552+1,""))</f>
        <v/>
      </c>
      <c r="P1553" s="26" t="str">
        <f t="shared" si="507"/>
        <v/>
      </c>
      <c r="Q1553" s="26" t="str">
        <f t="shared" si="496"/>
        <v/>
      </c>
      <c r="R1553" s="24" t="str">
        <f t="shared" si="508"/>
        <v/>
      </c>
      <c r="S1553" s="180">
        <f t="shared" si="514"/>
        <v>8</v>
      </c>
      <c r="T1553" s="29">
        <f>SUM($AC$923:$AC1553)</f>
        <v>49500</v>
      </c>
      <c r="U1553" s="25" t="str">
        <f t="shared" si="497"/>
        <v/>
      </c>
      <c r="V1553" s="24" t="str">
        <f>IF(AND(ISNUMBER(R1552),ISNUMBER(R1553)),V1552,IF(AND(R1552="",ISNUMBER(R1553)),IFERROR(LARGE($V$923:$V1552,1)+1,0),""))</f>
        <v/>
      </c>
      <c r="W1553" s="23" t="str">
        <f t="shared" si="509"/>
        <v/>
      </c>
      <c r="X1553" s="22" t="str">
        <f t="shared" si="510"/>
        <v/>
      </c>
      <c r="Y1553" s="236"/>
      <c r="Z1553" s="22"/>
      <c r="AA1553" s="22"/>
      <c r="AB1553" s="22" t="str">
        <f t="shared" si="511"/>
        <v/>
      </c>
      <c r="AC1553" s="22" t="str">
        <f t="shared" si="512"/>
        <v/>
      </c>
      <c r="AD1553" s="22" t="str">
        <f t="shared" si="498"/>
        <v/>
      </c>
      <c r="AE1553" s="22" t="str">
        <f t="shared" si="513"/>
        <v/>
      </c>
      <c r="AF1553" s="22" t="str">
        <f t="shared" si="499"/>
        <v/>
      </c>
      <c r="AG1553" s="22" t="str">
        <f t="shared" si="500"/>
        <v/>
      </c>
      <c r="AH1553" s="22" t="str">
        <f t="shared" si="501"/>
        <v/>
      </c>
      <c r="AI1553" s="22" t="str">
        <f t="shared" si="502"/>
        <v/>
      </c>
      <c r="AJ1553" s="304" t="str">
        <f t="shared" si="503"/>
        <v/>
      </c>
      <c r="AK1553" s="140" t="str">
        <f t="shared" si="504"/>
        <v/>
      </c>
    </row>
    <row r="1554" spans="7:37" x14ac:dyDescent="0.25">
      <c r="G1554" s="235" t="str">
        <f t="shared" si="493"/>
        <v/>
      </c>
      <c r="H1554" s="4" t="str">
        <f t="shared" si="515"/>
        <v/>
      </c>
      <c r="I1554" s="11" t="str">
        <f t="shared" si="494"/>
        <v/>
      </c>
      <c r="K1554" s="30">
        <v>632</v>
      </c>
      <c r="L1554" s="29">
        <f t="shared" si="505"/>
        <v>11371.908376190921</v>
      </c>
      <c r="M1554" s="28" t="str">
        <f t="shared" si="495"/>
        <v/>
      </c>
      <c r="N1554" s="27" t="str">
        <f t="shared" si="506"/>
        <v/>
      </c>
      <c r="O1554" s="26" t="str">
        <f>IF(AND($Q1553=$O$38,IFERROR(LARGE($V$923:$V1553,1)&lt;$N$42,TRUE)),1,IF(AND(ISNUMBER($O1553),$O1553&lt;$N$32),$O1553+1,""))</f>
        <v/>
      </c>
      <c r="P1554" s="26" t="str">
        <f t="shared" si="507"/>
        <v/>
      </c>
      <c r="Q1554" s="26" t="str">
        <f t="shared" si="496"/>
        <v/>
      </c>
      <c r="R1554" s="24" t="str">
        <f t="shared" si="508"/>
        <v/>
      </c>
      <c r="S1554" s="180">
        <f t="shared" si="514"/>
        <v>8</v>
      </c>
      <c r="T1554" s="29">
        <f>SUM($AC$923:$AC1554)</f>
        <v>49500</v>
      </c>
      <c r="U1554" s="25" t="str">
        <f t="shared" si="497"/>
        <v/>
      </c>
      <c r="V1554" s="24" t="str">
        <f>IF(AND(ISNUMBER(R1553),ISNUMBER(R1554)),V1553,IF(AND(R1553="",ISNUMBER(R1554)),IFERROR(LARGE($V$923:$V1553,1)+1,0),""))</f>
        <v/>
      </c>
      <c r="W1554" s="23" t="str">
        <f t="shared" si="509"/>
        <v/>
      </c>
      <c r="X1554" s="22" t="str">
        <f t="shared" si="510"/>
        <v/>
      </c>
      <c r="Y1554" s="236"/>
      <c r="Z1554" s="22"/>
      <c r="AA1554" s="22"/>
      <c r="AB1554" s="22" t="str">
        <f t="shared" si="511"/>
        <v/>
      </c>
      <c r="AC1554" s="22" t="str">
        <f t="shared" si="512"/>
        <v/>
      </c>
      <c r="AD1554" s="22" t="str">
        <f t="shared" si="498"/>
        <v/>
      </c>
      <c r="AE1554" s="22" t="str">
        <f t="shared" si="513"/>
        <v/>
      </c>
      <c r="AF1554" s="22" t="str">
        <f t="shared" si="499"/>
        <v/>
      </c>
      <c r="AG1554" s="22" t="str">
        <f t="shared" si="500"/>
        <v/>
      </c>
      <c r="AH1554" s="22" t="str">
        <f t="shared" si="501"/>
        <v/>
      </c>
      <c r="AI1554" s="22" t="str">
        <f t="shared" si="502"/>
        <v/>
      </c>
      <c r="AJ1554" s="304" t="str">
        <f t="shared" si="503"/>
        <v/>
      </c>
      <c r="AK1554" s="140" t="str">
        <f t="shared" si="504"/>
        <v/>
      </c>
    </row>
    <row r="1555" spans="7:37" x14ac:dyDescent="0.25">
      <c r="G1555" s="235" t="str">
        <f t="shared" si="493"/>
        <v/>
      </c>
      <c r="H1555" s="4" t="str">
        <f t="shared" si="515"/>
        <v/>
      </c>
      <c r="I1555" s="11" t="str">
        <f t="shared" si="494"/>
        <v/>
      </c>
      <c r="K1555" s="30">
        <v>633</v>
      </c>
      <c r="L1555" s="29">
        <f t="shared" si="505"/>
        <v>11371.908376190921</v>
      </c>
      <c r="M1555" s="28" t="str">
        <f t="shared" si="495"/>
        <v/>
      </c>
      <c r="N1555" s="27" t="str">
        <f t="shared" si="506"/>
        <v/>
      </c>
      <c r="O1555" s="26" t="str">
        <f>IF(AND($Q1554=$O$38,IFERROR(LARGE($V$923:$V1554,1)&lt;$N$42,TRUE)),1,IF(AND(ISNUMBER($O1554),$O1554&lt;$N$32),$O1554+1,""))</f>
        <v/>
      </c>
      <c r="P1555" s="26" t="str">
        <f t="shared" si="507"/>
        <v/>
      </c>
      <c r="Q1555" s="26" t="str">
        <f t="shared" si="496"/>
        <v/>
      </c>
      <c r="R1555" s="24" t="str">
        <f t="shared" si="508"/>
        <v/>
      </c>
      <c r="S1555" s="180">
        <f t="shared" si="514"/>
        <v>8</v>
      </c>
      <c r="T1555" s="29">
        <f>SUM($AC$923:$AC1555)</f>
        <v>49500</v>
      </c>
      <c r="U1555" s="25" t="str">
        <f t="shared" si="497"/>
        <v/>
      </c>
      <c r="V1555" s="24" t="str">
        <f>IF(AND(ISNUMBER(R1554),ISNUMBER(R1555)),V1554,IF(AND(R1554="",ISNUMBER(R1555)),IFERROR(LARGE($V$923:$V1554,1)+1,0),""))</f>
        <v/>
      </c>
      <c r="W1555" s="23" t="str">
        <f t="shared" si="509"/>
        <v/>
      </c>
      <c r="X1555" s="22" t="str">
        <f t="shared" si="510"/>
        <v/>
      </c>
      <c r="Y1555" s="236"/>
      <c r="Z1555" s="22"/>
      <c r="AA1555" s="22"/>
      <c r="AB1555" s="22" t="str">
        <f t="shared" si="511"/>
        <v/>
      </c>
      <c r="AC1555" s="22" t="str">
        <f t="shared" si="512"/>
        <v/>
      </c>
      <c r="AD1555" s="22" t="str">
        <f t="shared" si="498"/>
        <v/>
      </c>
      <c r="AE1555" s="22" t="str">
        <f t="shared" si="513"/>
        <v/>
      </c>
      <c r="AF1555" s="22" t="str">
        <f t="shared" si="499"/>
        <v/>
      </c>
      <c r="AG1555" s="22" t="str">
        <f t="shared" si="500"/>
        <v/>
      </c>
      <c r="AH1555" s="22" t="str">
        <f t="shared" si="501"/>
        <v/>
      </c>
      <c r="AI1555" s="22" t="str">
        <f t="shared" si="502"/>
        <v/>
      </c>
      <c r="AJ1555" s="304" t="str">
        <f t="shared" si="503"/>
        <v/>
      </c>
      <c r="AK1555" s="140" t="str">
        <f t="shared" si="504"/>
        <v/>
      </c>
    </row>
    <row r="1556" spans="7:37" x14ac:dyDescent="0.25">
      <c r="G1556" s="235" t="str">
        <f t="shared" si="493"/>
        <v/>
      </c>
      <c r="H1556" s="4" t="str">
        <f t="shared" si="515"/>
        <v/>
      </c>
      <c r="I1556" s="11" t="str">
        <f t="shared" si="494"/>
        <v/>
      </c>
      <c r="K1556" s="30">
        <v>634</v>
      </c>
      <c r="L1556" s="29">
        <f t="shared" si="505"/>
        <v>11371.908376190921</v>
      </c>
      <c r="M1556" s="28" t="str">
        <f t="shared" si="495"/>
        <v/>
      </c>
      <c r="N1556" s="27" t="str">
        <f t="shared" si="506"/>
        <v/>
      </c>
      <c r="O1556" s="26" t="str">
        <f>IF(AND($Q1555=$O$38,IFERROR(LARGE($V$923:$V1555,1)&lt;$N$42,TRUE)),1,IF(AND(ISNUMBER($O1555),$O1555&lt;$N$32),$O1555+1,""))</f>
        <v/>
      </c>
      <c r="P1556" s="26" t="str">
        <f t="shared" si="507"/>
        <v/>
      </c>
      <c r="Q1556" s="26" t="str">
        <f t="shared" si="496"/>
        <v/>
      </c>
      <c r="R1556" s="24" t="str">
        <f t="shared" si="508"/>
        <v/>
      </c>
      <c r="S1556" s="180">
        <f t="shared" si="514"/>
        <v>8</v>
      </c>
      <c r="T1556" s="29">
        <f>SUM($AC$923:$AC1556)</f>
        <v>49500</v>
      </c>
      <c r="U1556" s="25" t="str">
        <f t="shared" si="497"/>
        <v/>
      </c>
      <c r="V1556" s="24" t="str">
        <f>IF(AND(ISNUMBER(R1555),ISNUMBER(R1556)),V1555,IF(AND(R1555="",ISNUMBER(R1556)),IFERROR(LARGE($V$923:$V1555,1)+1,0),""))</f>
        <v/>
      </c>
      <c r="W1556" s="23" t="str">
        <f t="shared" si="509"/>
        <v/>
      </c>
      <c r="X1556" s="22" t="str">
        <f t="shared" si="510"/>
        <v/>
      </c>
      <c r="Y1556" s="236"/>
      <c r="Z1556" s="22"/>
      <c r="AA1556" s="22"/>
      <c r="AB1556" s="22" t="str">
        <f t="shared" si="511"/>
        <v/>
      </c>
      <c r="AC1556" s="22" t="str">
        <f t="shared" si="512"/>
        <v/>
      </c>
      <c r="AD1556" s="22" t="str">
        <f t="shared" si="498"/>
        <v/>
      </c>
      <c r="AE1556" s="22" t="str">
        <f t="shared" si="513"/>
        <v/>
      </c>
      <c r="AF1556" s="22" t="str">
        <f t="shared" si="499"/>
        <v/>
      </c>
      <c r="AG1556" s="22" t="str">
        <f t="shared" si="500"/>
        <v/>
      </c>
      <c r="AH1556" s="22" t="str">
        <f t="shared" si="501"/>
        <v/>
      </c>
      <c r="AI1556" s="22" t="str">
        <f t="shared" si="502"/>
        <v/>
      </c>
      <c r="AJ1556" s="304" t="str">
        <f t="shared" si="503"/>
        <v/>
      </c>
      <c r="AK1556" s="140" t="str">
        <f t="shared" si="504"/>
        <v/>
      </c>
    </row>
    <row r="1557" spans="7:37" x14ac:dyDescent="0.25">
      <c r="G1557" s="235" t="str">
        <f t="shared" si="493"/>
        <v/>
      </c>
      <c r="H1557" s="4" t="str">
        <f t="shared" si="515"/>
        <v/>
      </c>
      <c r="I1557" s="11" t="str">
        <f t="shared" si="494"/>
        <v/>
      </c>
      <c r="K1557" s="30">
        <v>635</v>
      </c>
      <c r="L1557" s="29">
        <f t="shared" si="505"/>
        <v>11371.908376190921</v>
      </c>
      <c r="M1557" s="28" t="str">
        <f t="shared" si="495"/>
        <v/>
      </c>
      <c r="N1557" s="27" t="str">
        <f t="shared" si="506"/>
        <v/>
      </c>
      <c r="O1557" s="26" t="str">
        <f>IF(AND($Q1556=$O$38,IFERROR(LARGE($V$923:$V1556,1)&lt;$N$42,TRUE)),1,IF(AND(ISNUMBER($O1556),$O1556&lt;$N$32),$O1556+1,""))</f>
        <v/>
      </c>
      <c r="P1557" s="26" t="str">
        <f t="shared" si="507"/>
        <v/>
      </c>
      <c r="Q1557" s="26" t="str">
        <f t="shared" si="496"/>
        <v/>
      </c>
      <c r="R1557" s="24" t="str">
        <f t="shared" si="508"/>
        <v/>
      </c>
      <c r="S1557" s="180">
        <f t="shared" si="514"/>
        <v>8</v>
      </c>
      <c r="T1557" s="29">
        <f>SUM($AC$923:$AC1557)</f>
        <v>49500</v>
      </c>
      <c r="U1557" s="25" t="str">
        <f t="shared" si="497"/>
        <v/>
      </c>
      <c r="V1557" s="24" t="str">
        <f>IF(AND(ISNUMBER(R1556),ISNUMBER(R1557)),V1556,IF(AND(R1556="",ISNUMBER(R1557)),IFERROR(LARGE($V$923:$V1556,1)+1,0),""))</f>
        <v/>
      </c>
      <c r="W1557" s="23" t="str">
        <f t="shared" si="509"/>
        <v/>
      </c>
      <c r="X1557" s="22" t="str">
        <f t="shared" si="510"/>
        <v/>
      </c>
      <c r="Y1557" s="236"/>
      <c r="Z1557" s="22"/>
      <c r="AA1557" s="22"/>
      <c r="AB1557" s="22" t="str">
        <f t="shared" si="511"/>
        <v/>
      </c>
      <c r="AC1557" s="22" t="str">
        <f t="shared" si="512"/>
        <v/>
      </c>
      <c r="AD1557" s="22" t="str">
        <f t="shared" si="498"/>
        <v/>
      </c>
      <c r="AE1557" s="22" t="str">
        <f t="shared" si="513"/>
        <v/>
      </c>
      <c r="AF1557" s="22" t="str">
        <f t="shared" si="499"/>
        <v/>
      </c>
      <c r="AG1557" s="22" t="str">
        <f t="shared" si="500"/>
        <v/>
      </c>
      <c r="AH1557" s="22" t="str">
        <f t="shared" si="501"/>
        <v/>
      </c>
      <c r="AI1557" s="22" t="str">
        <f t="shared" si="502"/>
        <v/>
      </c>
      <c r="AJ1557" s="304" t="str">
        <f t="shared" si="503"/>
        <v/>
      </c>
      <c r="AK1557" s="140" t="str">
        <f t="shared" si="504"/>
        <v/>
      </c>
    </row>
    <row r="1558" spans="7:37" x14ac:dyDescent="0.25">
      <c r="G1558" s="235" t="str">
        <f t="shared" si="493"/>
        <v/>
      </c>
      <c r="H1558" s="4" t="str">
        <f t="shared" si="515"/>
        <v/>
      </c>
      <c r="I1558" s="11" t="str">
        <f t="shared" si="494"/>
        <v/>
      </c>
      <c r="K1558" s="30">
        <v>636</v>
      </c>
      <c r="L1558" s="29">
        <f t="shared" si="505"/>
        <v>11371.908376190921</v>
      </c>
      <c r="M1558" s="28" t="str">
        <f t="shared" si="495"/>
        <v/>
      </c>
      <c r="N1558" s="27" t="str">
        <f t="shared" si="506"/>
        <v/>
      </c>
      <c r="O1558" s="26" t="str">
        <f>IF(AND($Q1557=$O$38,IFERROR(LARGE($V$923:$V1557,1)&lt;$N$42,TRUE)),1,IF(AND(ISNUMBER($O1557),$O1557&lt;$N$32),$O1557+1,""))</f>
        <v/>
      </c>
      <c r="P1558" s="26" t="str">
        <f t="shared" si="507"/>
        <v/>
      </c>
      <c r="Q1558" s="26" t="str">
        <f t="shared" si="496"/>
        <v/>
      </c>
      <c r="R1558" s="24" t="str">
        <f t="shared" si="508"/>
        <v/>
      </c>
      <c r="S1558" s="180">
        <f t="shared" si="514"/>
        <v>8</v>
      </c>
      <c r="T1558" s="29">
        <f>SUM($AC$923:$AC1558)</f>
        <v>49500</v>
      </c>
      <c r="U1558" s="25" t="str">
        <f t="shared" si="497"/>
        <v/>
      </c>
      <c r="V1558" s="24" t="str">
        <f>IF(AND(ISNUMBER(R1557),ISNUMBER(R1558)),V1557,IF(AND(R1557="",ISNUMBER(R1558)),IFERROR(LARGE($V$923:$V1557,1)+1,0),""))</f>
        <v/>
      </c>
      <c r="W1558" s="23" t="str">
        <f t="shared" si="509"/>
        <v/>
      </c>
      <c r="X1558" s="22" t="str">
        <f t="shared" si="510"/>
        <v/>
      </c>
      <c r="Y1558" s="236"/>
      <c r="Z1558" s="22"/>
      <c r="AA1558" s="22"/>
      <c r="AB1558" s="22" t="str">
        <f t="shared" si="511"/>
        <v/>
      </c>
      <c r="AC1558" s="22" t="str">
        <f t="shared" si="512"/>
        <v/>
      </c>
      <c r="AD1558" s="22" t="str">
        <f t="shared" si="498"/>
        <v/>
      </c>
      <c r="AE1558" s="22" t="str">
        <f t="shared" si="513"/>
        <v/>
      </c>
      <c r="AF1558" s="22" t="str">
        <f t="shared" si="499"/>
        <v/>
      </c>
      <c r="AG1558" s="22" t="str">
        <f t="shared" si="500"/>
        <v/>
      </c>
      <c r="AH1558" s="22" t="str">
        <f t="shared" si="501"/>
        <v/>
      </c>
      <c r="AI1558" s="22" t="str">
        <f t="shared" si="502"/>
        <v/>
      </c>
      <c r="AJ1558" s="304" t="str">
        <f t="shared" si="503"/>
        <v/>
      </c>
      <c r="AK1558" s="140" t="str">
        <f t="shared" si="504"/>
        <v/>
      </c>
    </row>
    <row r="1559" spans="7:37" x14ac:dyDescent="0.25">
      <c r="G1559" s="235" t="str">
        <f t="shared" si="493"/>
        <v/>
      </c>
      <c r="H1559" s="4" t="str">
        <f t="shared" si="515"/>
        <v/>
      </c>
      <c r="I1559" s="11" t="str">
        <f t="shared" si="494"/>
        <v/>
      </c>
      <c r="K1559" s="30">
        <v>637</v>
      </c>
      <c r="L1559" s="29">
        <f t="shared" si="505"/>
        <v>11371.908376190921</v>
      </c>
      <c r="M1559" s="28" t="str">
        <f t="shared" si="495"/>
        <v/>
      </c>
      <c r="N1559" s="27" t="str">
        <f t="shared" si="506"/>
        <v/>
      </c>
      <c r="O1559" s="26" t="str">
        <f>IF(AND($Q1558=$O$38,IFERROR(LARGE($V$923:$V1558,1)&lt;$N$42,TRUE)),1,IF(AND(ISNUMBER($O1558),$O1558&lt;$N$32),$O1558+1,""))</f>
        <v/>
      </c>
      <c r="P1559" s="26" t="str">
        <f t="shared" si="507"/>
        <v/>
      </c>
      <c r="Q1559" s="26" t="str">
        <f t="shared" si="496"/>
        <v/>
      </c>
      <c r="R1559" s="24" t="str">
        <f t="shared" si="508"/>
        <v/>
      </c>
      <c r="S1559" s="180">
        <f t="shared" si="514"/>
        <v>8</v>
      </c>
      <c r="T1559" s="29">
        <f>SUM($AC$923:$AC1559)</f>
        <v>49500</v>
      </c>
      <c r="U1559" s="25" t="str">
        <f t="shared" si="497"/>
        <v/>
      </c>
      <c r="V1559" s="24" t="str">
        <f>IF(AND(ISNUMBER(R1558),ISNUMBER(R1559)),V1558,IF(AND(R1558="",ISNUMBER(R1559)),IFERROR(LARGE($V$923:$V1558,1)+1,0),""))</f>
        <v/>
      </c>
      <c r="W1559" s="23" t="str">
        <f t="shared" si="509"/>
        <v/>
      </c>
      <c r="X1559" s="22" t="str">
        <f t="shared" si="510"/>
        <v/>
      </c>
      <c r="Y1559" s="236"/>
      <c r="Z1559" s="22"/>
      <c r="AA1559" s="22"/>
      <c r="AB1559" s="22" t="str">
        <f t="shared" si="511"/>
        <v/>
      </c>
      <c r="AC1559" s="22" t="str">
        <f t="shared" si="512"/>
        <v/>
      </c>
      <c r="AD1559" s="22" t="str">
        <f t="shared" si="498"/>
        <v/>
      </c>
      <c r="AE1559" s="22" t="str">
        <f t="shared" si="513"/>
        <v/>
      </c>
      <c r="AF1559" s="22" t="str">
        <f t="shared" si="499"/>
        <v/>
      </c>
      <c r="AG1559" s="22" t="str">
        <f t="shared" si="500"/>
        <v/>
      </c>
      <c r="AH1559" s="22" t="str">
        <f t="shared" si="501"/>
        <v/>
      </c>
      <c r="AI1559" s="22" t="str">
        <f t="shared" si="502"/>
        <v/>
      </c>
      <c r="AJ1559" s="304" t="str">
        <f t="shared" si="503"/>
        <v/>
      </c>
      <c r="AK1559" s="140" t="str">
        <f t="shared" si="504"/>
        <v/>
      </c>
    </row>
    <row r="1560" spans="7:37" x14ac:dyDescent="0.25">
      <c r="G1560" s="235" t="str">
        <f t="shared" si="493"/>
        <v/>
      </c>
      <c r="H1560" s="4" t="str">
        <f t="shared" si="515"/>
        <v/>
      </c>
      <c r="I1560" s="11" t="str">
        <f t="shared" si="494"/>
        <v/>
      </c>
      <c r="K1560" s="30">
        <v>638</v>
      </c>
      <c r="L1560" s="29">
        <f t="shared" si="505"/>
        <v>11371.908376190921</v>
      </c>
      <c r="M1560" s="28" t="str">
        <f t="shared" si="495"/>
        <v/>
      </c>
      <c r="N1560" s="27" t="str">
        <f t="shared" si="506"/>
        <v/>
      </c>
      <c r="O1560" s="26" t="str">
        <f>IF(AND($Q1559=$O$38,IFERROR(LARGE($V$923:$V1559,1)&lt;$N$42,TRUE)),1,IF(AND(ISNUMBER($O1559),$O1559&lt;$N$32),$O1559+1,""))</f>
        <v/>
      </c>
      <c r="P1560" s="26" t="str">
        <f t="shared" si="507"/>
        <v/>
      </c>
      <c r="Q1560" s="26" t="str">
        <f t="shared" si="496"/>
        <v/>
      </c>
      <c r="R1560" s="24" t="str">
        <f t="shared" si="508"/>
        <v/>
      </c>
      <c r="S1560" s="180">
        <f t="shared" si="514"/>
        <v>8</v>
      </c>
      <c r="T1560" s="29">
        <f>SUM($AC$923:$AC1560)</f>
        <v>49500</v>
      </c>
      <c r="U1560" s="25" t="str">
        <f t="shared" si="497"/>
        <v/>
      </c>
      <c r="V1560" s="24" t="str">
        <f>IF(AND(ISNUMBER(R1559),ISNUMBER(R1560)),V1559,IF(AND(R1559="",ISNUMBER(R1560)),IFERROR(LARGE($V$923:$V1559,1)+1,0),""))</f>
        <v/>
      </c>
      <c r="W1560" s="23" t="str">
        <f t="shared" si="509"/>
        <v/>
      </c>
      <c r="X1560" s="22" t="str">
        <f t="shared" si="510"/>
        <v/>
      </c>
      <c r="Y1560" s="236"/>
      <c r="Z1560" s="22"/>
      <c r="AA1560" s="22"/>
      <c r="AB1560" s="22" t="str">
        <f t="shared" si="511"/>
        <v/>
      </c>
      <c r="AC1560" s="22" t="str">
        <f t="shared" si="512"/>
        <v/>
      </c>
      <c r="AD1560" s="22" t="str">
        <f t="shared" si="498"/>
        <v/>
      </c>
      <c r="AE1560" s="22" t="str">
        <f t="shared" si="513"/>
        <v/>
      </c>
      <c r="AF1560" s="22" t="str">
        <f t="shared" si="499"/>
        <v/>
      </c>
      <c r="AG1560" s="22" t="str">
        <f t="shared" si="500"/>
        <v/>
      </c>
      <c r="AH1560" s="22" t="str">
        <f t="shared" si="501"/>
        <v/>
      </c>
      <c r="AI1560" s="22" t="str">
        <f t="shared" si="502"/>
        <v/>
      </c>
      <c r="AJ1560" s="304" t="str">
        <f t="shared" si="503"/>
        <v/>
      </c>
      <c r="AK1560" s="140" t="str">
        <f t="shared" si="504"/>
        <v/>
      </c>
    </row>
    <row r="1561" spans="7:37" x14ac:dyDescent="0.25">
      <c r="G1561" s="235" t="str">
        <f t="shared" si="493"/>
        <v/>
      </c>
      <c r="H1561" s="4" t="str">
        <f t="shared" si="515"/>
        <v/>
      </c>
      <c r="I1561" s="11" t="str">
        <f t="shared" si="494"/>
        <v/>
      </c>
      <c r="K1561" s="30">
        <v>639</v>
      </c>
      <c r="L1561" s="29">
        <f t="shared" si="505"/>
        <v>11371.908376190921</v>
      </c>
      <c r="M1561" s="28" t="str">
        <f t="shared" si="495"/>
        <v/>
      </c>
      <c r="N1561" s="27" t="str">
        <f t="shared" si="506"/>
        <v/>
      </c>
      <c r="O1561" s="26" t="str">
        <f>IF(AND($Q1560=$O$38,IFERROR(LARGE($V$923:$V1560,1)&lt;$N$42,TRUE)),1,IF(AND(ISNUMBER($O1560),$O1560&lt;$N$32),$O1560+1,""))</f>
        <v/>
      </c>
      <c r="P1561" s="26" t="str">
        <f t="shared" si="507"/>
        <v/>
      </c>
      <c r="Q1561" s="26" t="str">
        <f t="shared" si="496"/>
        <v/>
      </c>
      <c r="R1561" s="24" t="str">
        <f t="shared" si="508"/>
        <v/>
      </c>
      <c r="S1561" s="180">
        <f t="shared" si="514"/>
        <v>8</v>
      </c>
      <c r="T1561" s="29">
        <f>SUM($AC$923:$AC1561)</f>
        <v>49500</v>
      </c>
      <c r="U1561" s="25" t="str">
        <f t="shared" si="497"/>
        <v/>
      </c>
      <c r="V1561" s="24" t="str">
        <f>IF(AND(ISNUMBER(R1560),ISNUMBER(R1561)),V1560,IF(AND(R1560="",ISNUMBER(R1561)),IFERROR(LARGE($V$923:$V1560,1)+1,0),""))</f>
        <v/>
      </c>
      <c r="W1561" s="23" t="str">
        <f t="shared" si="509"/>
        <v/>
      </c>
      <c r="X1561" s="22" t="str">
        <f t="shared" si="510"/>
        <v/>
      </c>
      <c r="Y1561" s="236"/>
      <c r="Z1561" s="22"/>
      <c r="AA1561" s="22"/>
      <c r="AB1561" s="22" t="str">
        <f t="shared" si="511"/>
        <v/>
      </c>
      <c r="AC1561" s="22" t="str">
        <f t="shared" si="512"/>
        <v/>
      </c>
      <c r="AD1561" s="22" t="str">
        <f t="shared" si="498"/>
        <v/>
      </c>
      <c r="AE1561" s="22" t="str">
        <f t="shared" si="513"/>
        <v/>
      </c>
      <c r="AF1561" s="22" t="str">
        <f t="shared" si="499"/>
        <v/>
      </c>
      <c r="AG1561" s="22" t="str">
        <f t="shared" si="500"/>
        <v/>
      </c>
      <c r="AH1561" s="22" t="str">
        <f t="shared" si="501"/>
        <v/>
      </c>
      <c r="AI1561" s="22" t="str">
        <f t="shared" si="502"/>
        <v/>
      </c>
      <c r="AJ1561" s="304" t="str">
        <f t="shared" si="503"/>
        <v/>
      </c>
      <c r="AK1561" s="140" t="str">
        <f t="shared" si="504"/>
        <v/>
      </c>
    </row>
    <row r="1562" spans="7:37" x14ac:dyDescent="0.25">
      <c r="G1562" s="235" t="str">
        <f t="shared" si="493"/>
        <v/>
      </c>
      <c r="H1562" s="4" t="str">
        <f t="shared" si="515"/>
        <v/>
      </c>
      <c r="I1562" s="11" t="str">
        <f t="shared" si="494"/>
        <v/>
      </c>
      <c r="K1562" s="30">
        <v>640</v>
      </c>
      <c r="L1562" s="29">
        <f t="shared" si="505"/>
        <v>11371.908376190921</v>
      </c>
      <c r="M1562" s="28" t="str">
        <f t="shared" si="495"/>
        <v/>
      </c>
      <c r="N1562" s="27" t="str">
        <f t="shared" si="506"/>
        <v/>
      </c>
      <c r="O1562" s="26" t="str">
        <f>IF(AND($Q1561=$O$38,IFERROR(LARGE($V$923:$V1561,1)&lt;$N$42,TRUE)),1,IF(AND(ISNUMBER($O1561),$O1561&lt;$N$32),$O1561+1,""))</f>
        <v/>
      </c>
      <c r="P1562" s="26" t="str">
        <f t="shared" si="507"/>
        <v/>
      </c>
      <c r="Q1562" s="26" t="str">
        <f t="shared" si="496"/>
        <v/>
      </c>
      <c r="R1562" s="24" t="str">
        <f t="shared" si="508"/>
        <v/>
      </c>
      <c r="S1562" s="180">
        <f t="shared" si="514"/>
        <v>8</v>
      </c>
      <c r="T1562" s="29">
        <f>SUM($AC$923:$AC1562)</f>
        <v>49500</v>
      </c>
      <c r="U1562" s="25" t="str">
        <f t="shared" si="497"/>
        <v/>
      </c>
      <c r="V1562" s="24" t="str">
        <f>IF(AND(ISNUMBER(R1561),ISNUMBER(R1562)),V1561,IF(AND(R1561="",ISNUMBER(R1562)),IFERROR(LARGE($V$923:$V1561,1)+1,0),""))</f>
        <v/>
      </c>
      <c r="W1562" s="23" t="str">
        <f t="shared" si="509"/>
        <v/>
      </c>
      <c r="X1562" s="22" t="str">
        <f t="shared" si="510"/>
        <v/>
      </c>
      <c r="Y1562" s="236"/>
      <c r="Z1562" s="22"/>
      <c r="AA1562" s="22"/>
      <c r="AB1562" s="22" t="str">
        <f t="shared" si="511"/>
        <v/>
      </c>
      <c r="AC1562" s="22" t="str">
        <f t="shared" si="512"/>
        <v/>
      </c>
      <c r="AD1562" s="22" t="str">
        <f t="shared" si="498"/>
        <v/>
      </c>
      <c r="AE1562" s="22" t="str">
        <f t="shared" si="513"/>
        <v/>
      </c>
      <c r="AF1562" s="22" t="str">
        <f t="shared" si="499"/>
        <v/>
      </c>
      <c r="AG1562" s="22" t="str">
        <f t="shared" si="500"/>
        <v/>
      </c>
      <c r="AH1562" s="22" t="str">
        <f t="shared" si="501"/>
        <v/>
      </c>
      <c r="AI1562" s="22" t="str">
        <f t="shared" si="502"/>
        <v/>
      </c>
      <c r="AJ1562" s="304" t="str">
        <f t="shared" si="503"/>
        <v/>
      </c>
      <c r="AK1562" s="140" t="str">
        <f t="shared" si="504"/>
        <v/>
      </c>
    </row>
    <row r="1563" spans="7:37" x14ac:dyDescent="0.25">
      <c r="G1563" s="235" t="str">
        <f t="shared" ref="G1563:G1626" si="516">IF(RIGHT(H1563,2)=".N","NEW",IF(SUM(N1563:R1563)=0,"",LEFT(H1563,5)))</f>
        <v/>
      </c>
      <c r="H1563" s="4" t="str">
        <f t="shared" si="515"/>
        <v/>
      </c>
      <c r="I1563" s="11" t="str">
        <f t="shared" ref="I1563:I1626" si="517">IF(SUM(N1563:R1563)&gt;0,CONCATENATE(IF(LEN(ROUNDDOWN(S1563,0))=1,CONCATENATE("0",ROUNDDOWN(S1563,0)),ROUNDDOWN(S1563,0)),".",IF(LEN(ROUND(MOD(S1563,1)*100,0))=1,CONCATENATE("0",ROUND(MOD(S1563,1)*100,0)),ROUND(MOD(S1563,1)*100,0)),IF(N1563&lt;&gt;"",".N.",IF(O1563&lt;&gt;"",".R.",IF(P1563&lt;&gt;"",".O.",IF(Q1563&lt;&gt;"",".I.",IF(R1563&lt;&gt;"",".D.",""))))),IF(N1563&lt;&gt;"",N1563,IF(O1563&lt;&gt;"",O1563,IF(P1563&lt;&gt;"",P1563,IF(Q1563&lt;&gt;"",Q1563,IF(R1563&lt;&gt;"",IF(MOD(R1563,$N$44)=0,$N$44,MOD(R1563,$N$44)),"")))))),"")</f>
        <v/>
      </c>
      <c r="K1563" s="30">
        <v>641</v>
      </c>
      <c r="L1563" s="29">
        <f t="shared" si="505"/>
        <v>11371.908376190921</v>
      </c>
      <c r="M1563" s="28" t="str">
        <f t="shared" ref="M1563:M1626" si="518">IFERROR(IF(IF($K1563=1,(($M$23*-1)+($M$24*-1)),IF(ISNUMBER(W1563),W1563,0)+IF(ISNUMBER(X1563),X1563,0)+IF(ISNUMBER(AB1563),AB1563,0)+IF(ISNUMBER(AE1563),AE1563,0)+IF(ISNUMBER(AF1563),AF1563,0)+IF(ISNUMBER(AG1563),AG1563,0)+IF(ISNUMBER(AH1563),AH1563,0)+IF(ISNUMBER(AI1563),AI1563,0)+IF(ISNUMBER(AK1563),AK1563,0))=0,"",IF($K1563=1,(($M$23*-1)+($M$24*-1)),IF(ISNUMBER(W1563),W1563,0)+IF(ISNUMBER(X1563),X1563,0)+IF(ISNUMBER(AB1563),AB1563,0)+IF(ISNUMBER(AE1563),AE1563,0)+IF(ISNUMBER(AF1563),AF1563,0)+IF(ISNUMBER(AG1563),AG1563,0)+IF(ISNUMBER(AH1563),AH1563,0)+IF(ISNUMBER(AI1563),AI1563,0)+IF(ISNUMBER(AK1563),AK1563,0))),"")</f>
        <v/>
      </c>
      <c r="N1563" s="27" t="str">
        <f t="shared" si="506"/>
        <v/>
      </c>
      <c r="O1563" s="26" t="str">
        <f>IF(AND($Q1562=$O$38,IFERROR(LARGE($V$923:$V1562,1)&lt;$N$42,TRUE)),1,IF(AND(ISNUMBER($O1562),$O1562&lt;$N$32),$O1562+1,""))</f>
        <v/>
      </c>
      <c r="P1563" s="26" t="str">
        <f t="shared" si="507"/>
        <v/>
      </c>
      <c r="Q1563" s="26" t="str">
        <f t="shared" ref="Q1563:Q1626" si="519">IF($R1562=($N$43*$N$44),1,IF(AND(ISNUMBER($Q1562),$Q1562&lt;$O$38),$Q1562+1,""))</f>
        <v/>
      </c>
      <c r="R1563" s="24" t="str">
        <f t="shared" si="508"/>
        <v/>
      </c>
      <c r="S1563" s="180">
        <f t="shared" si="514"/>
        <v>8</v>
      </c>
      <c r="T1563" s="29">
        <f>SUM($AC$923:$AC1563)</f>
        <v>49500</v>
      </c>
      <c r="U1563" s="25" t="str">
        <f t="shared" ref="U1563:U1626" si="520">IF(ISNUMBER($R1563),ROUNDUP($R1563/$N$44,0),"")</f>
        <v/>
      </c>
      <c r="V1563" s="24" t="str">
        <f>IF(AND(ISNUMBER(R1562),ISNUMBER(R1563)),V1562,IF(AND(R1562="",ISNUMBER(R1563)),IFERROR(LARGE($V$923:$V1562,1)+1,0),""))</f>
        <v/>
      </c>
      <c r="W1563" s="23" t="str">
        <f t="shared" si="509"/>
        <v/>
      </c>
      <c r="X1563" s="22" t="str">
        <f t="shared" si="510"/>
        <v/>
      </c>
      <c r="Y1563" s="236"/>
      <c r="Z1563" s="22"/>
      <c r="AA1563" s="22"/>
      <c r="AB1563" s="22" t="str">
        <f t="shared" si="511"/>
        <v/>
      </c>
      <c r="AC1563" s="22" t="str">
        <f t="shared" si="512"/>
        <v/>
      </c>
      <c r="AD1563" s="22" t="str">
        <f t="shared" ref="AD1563:AD1626" si="521">IF(IF(OR(AND(ISNUMBER($U1563),IF(ISNUMBER($U1564),$U1564,0)-IF(ISNUMBER($U1563),$U1563,0)=1),AND(ISNUMBER($U1563),$U1564="")),IF($U1563=1,$P$37,0),0)=0,"",IF(OR(AND(ISNUMBER($U1563),IF(ISNUMBER($U1564),$U1564,0)-IF(ISNUMBER($U1563),$U1563,0)=1),AND(ISNUMBER($U1563),$U1564="")),IF($U1563=1,$P$37,0),0))</f>
        <v/>
      </c>
      <c r="AE1563" s="22" t="str">
        <f t="shared" si="513"/>
        <v/>
      </c>
      <c r="AF1563" s="22" t="str">
        <f t="shared" ref="AF1563:AF1626" si="522">IF($O$67="Invoice",IF(AND(ISNUMBER($AC1563),ISNUMBER($O$68)),$AC1563*$O$68*-1,""),IF($O$67="Payment",IF(AND(ISNUMBER($AE1563),ISNUMBER($O$68)),$AE1563*$O$68*-1,""),""))</f>
        <v/>
      </c>
      <c r="AG1563" s="22" t="str">
        <f t="shared" ref="AG1563:AG1626" si="523">IF($O$67="Invoice",IF(AND(ISNUMBER($AC1563),ISNUMBER($O$69)),$AC1563*$O$69*-1,""),IF($O$67="Payment",IF(AND(ISNUMBER($AE1563),ISNUMBER($O$69)),$AE1563*$O$69*-1,""),""))</f>
        <v/>
      </c>
      <c r="AH1563" s="22" t="str">
        <f t="shared" ref="AH1563:AH1626" si="524">IF($O$67="Invoice",IF(AND(ISNUMBER($AC1563),ISNUMBER($O$70)),$AC1563*$O$70*-1,""),IF($O$67="Payment",IF(AND(ISNUMBER($AE1563),ISNUMBER($O$70)),$AE1563*$O$70*-1,""),""))</f>
        <v/>
      </c>
      <c r="AI1563" s="22" t="str">
        <f t="shared" ref="AI1563:AI1626" si="525">IF($O$67="Invoice",IF(AND(ISNUMBER($AC1563),ISNUMBER($O$71)),$AC1563*$O$71*-1,""),IF($O$67="Payment",IF(AND(ISNUMBER($AE1563),ISNUMBER($O$71)),$AE1563*$O$71*-1,""),""))</f>
        <v/>
      </c>
      <c r="AJ1563" s="304" t="str">
        <f t="shared" ref="AJ1563:AJ1626" si="526">IF($O$67="Invoice",IF(AND(ISNUMBER($AC1563),ISNUMBER($O$72)),$AC1563*$O$72*-1,""),IF($O$67="Payment",IF(AND(ISNUMBER($AE1563),ISNUMBER($O$72)),$AE1563*$O$72*-1,""),""))</f>
        <v/>
      </c>
      <c r="AK1563" s="140" t="str">
        <f t="shared" ref="AK1563:AK1626" si="527">IF($O$67="Invoice",IF(AND(ISNUMBER($AC1563),ISNUMBER($O$73)),$AC1563*$O$73*-1,""),IF($O$67="Payment",IF(AND(ISNUMBER($AE1563),ISNUMBER($O$73)),$AE1563*$O$73*-1,""),""))</f>
        <v/>
      </c>
    </row>
    <row r="1564" spans="7:37" x14ac:dyDescent="0.25">
      <c r="G1564" s="235" t="str">
        <f t="shared" si="516"/>
        <v/>
      </c>
      <c r="H1564" s="4" t="str">
        <f t="shared" si="515"/>
        <v/>
      </c>
      <c r="I1564" s="11" t="str">
        <f t="shared" si="517"/>
        <v/>
      </c>
      <c r="K1564" s="30">
        <v>642</v>
      </c>
      <c r="L1564" s="29">
        <f t="shared" ref="L1564:L1627" si="528">IF(ISNUMBER($M1564),$M1564+$L1563,$L1563)</f>
        <v>11371.908376190921</v>
      </c>
      <c r="M1564" s="28" t="str">
        <f t="shared" si="518"/>
        <v/>
      </c>
      <c r="N1564" s="27" t="str">
        <f t="shared" ref="N1564:N1627" si="529">IF($K1563&lt;$N$25,$N1563+1,"")</f>
        <v/>
      </c>
      <c r="O1564" s="26" t="str">
        <f>IF(AND($Q1563=$O$38,IFERROR(LARGE($V$923:$V1563,1)&lt;$N$42,TRUE)),1,IF(AND(ISNUMBER($O1563),$O1563&lt;$N$32),$O1563+1,""))</f>
        <v/>
      </c>
      <c r="P1564" s="26" t="str">
        <f t="shared" ref="P1564:P1627" si="530">IF(OR($N1563=$N$25,O1563=$N$32),1,IF(AND($P1563&lt;$O$37,P1563&gt;0),P1563+1,""))</f>
        <v/>
      </c>
      <c r="Q1564" s="26" t="str">
        <f t="shared" si="519"/>
        <v/>
      </c>
      <c r="R1564" s="24" t="str">
        <f t="shared" ref="R1564:R1627" si="531">IF(AND($P1563=$O$37,$R1563=""),1,IF($R1563&lt;($N$43*$N$44),$R1563+1,""))</f>
        <v/>
      </c>
      <c r="S1564" s="180">
        <f t="shared" si="514"/>
        <v>8</v>
      </c>
      <c r="T1564" s="29">
        <f>SUM($AC$923:$AC1564)</f>
        <v>49500</v>
      </c>
      <c r="U1564" s="25" t="str">
        <f t="shared" si="520"/>
        <v/>
      </c>
      <c r="V1564" s="24" t="str">
        <f>IF(AND(ISNUMBER(R1563),ISNUMBER(R1564)),V1563,IF(AND(R1563="",ISNUMBER(R1564)),IFERROR(LARGE($V$923:$V1563,1)+1,0),""))</f>
        <v/>
      </c>
      <c r="W1564" s="23" t="str">
        <f t="shared" ref="W1564:W1627" si="532">IF($O1564=1,($M$30*-1),"")</f>
        <v/>
      </c>
      <c r="X1564" s="22" t="str">
        <f t="shared" ref="X1564:X1627" si="533">IF($K1564=1,($M$24*-1),IF($O1564=1,($M$31*-1),""))</f>
        <v/>
      </c>
      <c r="Y1564" s="236"/>
      <c r="Z1564" s="22"/>
      <c r="AA1564" s="22"/>
      <c r="AB1564" s="22" t="str">
        <f t="shared" si="511"/>
        <v/>
      </c>
      <c r="AC1564" s="22" t="str">
        <f t="shared" si="512"/>
        <v/>
      </c>
      <c r="AD1564" s="22" t="str">
        <f t="shared" si="521"/>
        <v/>
      </c>
      <c r="AE1564" s="22" t="str">
        <f t="shared" si="513"/>
        <v/>
      </c>
      <c r="AF1564" s="22" t="str">
        <f t="shared" si="522"/>
        <v/>
      </c>
      <c r="AG1564" s="22" t="str">
        <f t="shared" si="523"/>
        <v/>
      </c>
      <c r="AH1564" s="22" t="str">
        <f t="shared" si="524"/>
        <v/>
      </c>
      <c r="AI1564" s="22" t="str">
        <f t="shared" si="525"/>
        <v/>
      </c>
      <c r="AJ1564" s="304" t="str">
        <f t="shared" si="526"/>
        <v/>
      </c>
      <c r="AK1564" s="140" t="str">
        <f t="shared" si="527"/>
        <v/>
      </c>
    </row>
    <row r="1565" spans="7:37" x14ac:dyDescent="0.25">
      <c r="G1565" s="235" t="str">
        <f t="shared" si="516"/>
        <v/>
      </c>
      <c r="H1565" s="4" t="str">
        <f t="shared" si="515"/>
        <v/>
      </c>
      <c r="I1565" s="11" t="str">
        <f t="shared" si="517"/>
        <v/>
      </c>
      <c r="K1565" s="30">
        <v>643</v>
      </c>
      <c r="L1565" s="29">
        <f t="shared" si="528"/>
        <v>11371.908376190921</v>
      </c>
      <c r="M1565" s="28" t="str">
        <f t="shared" si="518"/>
        <v/>
      </c>
      <c r="N1565" s="27" t="str">
        <f t="shared" si="529"/>
        <v/>
      </c>
      <c r="O1565" s="26" t="str">
        <f>IF(AND($Q1564=$O$38,IFERROR(LARGE($V$923:$V1564,1)&lt;$N$42,TRUE)),1,IF(AND(ISNUMBER($O1564),$O1564&lt;$N$32),$O1564+1,""))</f>
        <v/>
      </c>
      <c r="P1565" s="26" t="str">
        <f t="shared" si="530"/>
        <v/>
      </c>
      <c r="Q1565" s="26" t="str">
        <f t="shared" si="519"/>
        <v/>
      </c>
      <c r="R1565" s="24" t="str">
        <f t="shared" si="531"/>
        <v/>
      </c>
      <c r="S1565" s="180">
        <f t="shared" si="514"/>
        <v>8</v>
      </c>
      <c r="T1565" s="29">
        <f>SUM($AC$923:$AC1565)</f>
        <v>49500</v>
      </c>
      <c r="U1565" s="25" t="str">
        <f t="shared" si="520"/>
        <v/>
      </c>
      <c r="V1565" s="24" t="str">
        <f>IF(AND(ISNUMBER(R1564),ISNUMBER(R1565)),V1564,IF(AND(R1564="",ISNUMBER(R1565)),IFERROR(LARGE($V$923:$V1564,1)+1,0),""))</f>
        <v/>
      </c>
      <c r="W1565" s="23" t="str">
        <f t="shared" si="532"/>
        <v/>
      </c>
      <c r="X1565" s="22" t="str">
        <f t="shared" si="533"/>
        <v/>
      </c>
      <c r="Y1565" s="236"/>
      <c r="Z1565" s="22"/>
      <c r="AA1565" s="22"/>
      <c r="AB1565" s="22" t="str">
        <f t="shared" si="511"/>
        <v/>
      </c>
      <c r="AC1565" s="22" t="str">
        <f t="shared" si="512"/>
        <v/>
      </c>
      <c r="AD1565" s="22" t="str">
        <f t="shared" si="521"/>
        <v/>
      </c>
      <c r="AE1565" s="22" t="str">
        <f t="shared" si="513"/>
        <v/>
      </c>
      <c r="AF1565" s="22" t="str">
        <f t="shared" si="522"/>
        <v/>
      </c>
      <c r="AG1565" s="22" t="str">
        <f t="shared" si="523"/>
        <v/>
      </c>
      <c r="AH1565" s="22" t="str">
        <f t="shared" si="524"/>
        <v/>
      </c>
      <c r="AI1565" s="22" t="str">
        <f t="shared" si="525"/>
        <v/>
      </c>
      <c r="AJ1565" s="304" t="str">
        <f t="shared" si="526"/>
        <v/>
      </c>
      <c r="AK1565" s="140" t="str">
        <f t="shared" si="527"/>
        <v/>
      </c>
    </row>
    <row r="1566" spans="7:37" x14ac:dyDescent="0.25">
      <c r="G1566" s="235" t="str">
        <f t="shared" si="516"/>
        <v/>
      </c>
      <c r="H1566" s="4" t="str">
        <f t="shared" si="515"/>
        <v/>
      </c>
      <c r="I1566" s="11" t="str">
        <f t="shared" si="517"/>
        <v/>
      </c>
      <c r="K1566" s="30">
        <v>644</v>
      </c>
      <c r="L1566" s="29">
        <f t="shared" si="528"/>
        <v>11371.908376190921</v>
      </c>
      <c r="M1566" s="28" t="str">
        <f t="shared" si="518"/>
        <v/>
      </c>
      <c r="N1566" s="27" t="str">
        <f t="shared" si="529"/>
        <v/>
      </c>
      <c r="O1566" s="26" t="str">
        <f>IF(AND($Q1565=$O$38,IFERROR(LARGE($V$923:$V1565,1)&lt;$N$42,TRUE)),1,IF(AND(ISNUMBER($O1565),$O1565&lt;$N$32),$O1565+1,""))</f>
        <v/>
      </c>
      <c r="P1566" s="26" t="str">
        <f t="shared" si="530"/>
        <v/>
      </c>
      <c r="Q1566" s="26" t="str">
        <f t="shared" si="519"/>
        <v/>
      </c>
      <c r="R1566" s="24" t="str">
        <f t="shared" si="531"/>
        <v/>
      </c>
      <c r="S1566" s="180">
        <f t="shared" si="514"/>
        <v>8</v>
      </c>
      <c r="T1566" s="29">
        <f>SUM($AC$923:$AC1566)</f>
        <v>49500</v>
      </c>
      <c r="U1566" s="25" t="str">
        <f t="shared" si="520"/>
        <v/>
      </c>
      <c r="V1566" s="24" t="str">
        <f>IF(AND(ISNUMBER(R1565),ISNUMBER(R1566)),V1565,IF(AND(R1565="",ISNUMBER(R1566)),IFERROR(LARGE($V$923:$V1565,1)+1,0),""))</f>
        <v/>
      </c>
      <c r="W1566" s="23" t="str">
        <f t="shared" si="532"/>
        <v/>
      </c>
      <c r="X1566" s="22" t="str">
        <f t="shared" si="533"/>
        <v/>
      </c>
      <c r="Y1566" s="236"/>
      <c r="Z1566" s="22"/>
      <c r="AA1566" s="22"/>
      <c r="AB1566" s="22" t="str">
        <f t="shared" si="511"/>
        <v/>
      </c>
      <c r="AC1566" s="22" t="str">
        <f t="shared" si="512"/>
        <v/>
      </c>
      <c r="AD1566" s="22" t="str">
        <f t="shared" si="521"/>
        <v/>
      </c>
      <c r="AE1566" s="22" t="str">
        <f t="shared" si="513"/>
        <v/>
      </c>
      <c r="AF1566" s="22" t="str">
        <f t="shared" si="522"/>
        <v/>
      </c>
      <c r="AG1566" s="22" t="str">
        <f t="shared" si="523"/>
        <v/>
      </c>
      <c r="AH1566" s="22" t="str">
        <f t="shared" si="524"/>
        <v/>
      </c>
      <c r="AI1566" s="22" t="str">
        <f t="shared" si="525"/>
        <v/>
      </c>
      <c r="AJ1566" s="304" t="str">
        <f t="shared" si="526"/>
        <v/>
      </c>
      <c r="AK1566" s="140" t="str">
        <f t="shared" si="527"/>
        <v/>
      </c>
    </row>
    <row r="1567" spans="7:37" x14ac:dyDescent="0.25">
      <c r="G1567" s="235" t="str">
        <f t="shared" si="516"/>
        <v/>
      </c>
      <c r="H1567" s="4" t="str">
        <f t="shared" si="515"/>
        <v/>
      </c>
      <c r="I1567" s="11" t="str">
        <f t="shared" si="517"/>
        <v/>
      </c>
      <c r="K1567" s="30">
        <v>645</v>
      </c>
      <c r="L1567" s="29">
        <f t="shared" si="528"/>
        <v>11371.908376190921</v>
      </c>
      <c r="M1567" s="28" t="str">
        <f t="shared" si="518"/>
        <v/>
      </c>
      <c r="N1567" s="27" t="str">
        <f t="shared" si="529"/>
        <v/>
      </c>
      <c r="O1567" s="26" t="str">
        <f>IF(AND($Q1566=$O$38,IFERROR(LARGE($V$923:$V1566,1)&lt;$N$42,TRUE)),1,IF(AND(ISNUMBER($O1566),$O1566&lt;$N$32),$O1566+1,""))</f>
        <v/>
      </c>
      <c r="P1567" s="26" t="str">
        <f t="shared" si="530"/>
        <v/>
      </c>
      <c r="Q1567" s="26" t="str">
        <f t="shared" si="519"/>
        <v/>
      </c>
      <c r="R1567" s="24" t="str">
        <f t="shared" si="531"/>
        <v/>
      </c>
      <c r="S1567" s="180">
        <f t="shared" si="514"/>
        <v>8</v>
      </c>
      <c r="T1567" s="29">
        <f>SUM($AC$923:$AC1567)</f>
        <v>49500</v>
      </c>
      <c r="U1567" s="25" t="str">
        <f t="shared" si="520"/>
        <v/>
      </c>
      <c r="V1567" s="24" t="str">
        <f>IF(AND(ISNUMBER(R1566),ISNUMBER(R1567)),V1566,IF(AND(R1566="",ISNUMBER(R1567)),IFERROR(LARGE($V$923:$V1566,1)+1,0),""))</f>
        <v/>
      </c>
      <c r="W1567" s="23" t="str">
        <f t="shared" si="532"/>
        <v/>
      </c>
      <c r="X1567" s="22" t="str">
        <f t="shared" si="533"/>
        <v/>
      </c>
      <c r="Y1567" s="236"/>
      <c r="Z1567" s="22"/>
      <c r="AA1567" s="22"/>
      <c r="AB1567" s="22" t="str">
        <f t="shared" si="511"/>
        <v/>
      </c>
      <c r="AC1567" s="22" t="str">
        <f t="shared" si="512"/>
        <v/>
      </c>
      <c r="AD1567" s="22" t="str">
        <f t="shared" si="521"/>
        <v/>
      </c>
      <c r="AE1567" s="22" t="str">
        <f t="shared" si="513"/>
        <v/>
      </c>
      <c r="AF1567" s="22" t="str">
        <f t="shared" si="522"/>
        <v/>
      </c>
      <c r="AG1567" s="22" t="str">
        <f t="shared" si="523"/>
        <v/>
      </c>
      <c r="AH1567" s="22" t="str">
        <f t="shared" si="524"/>
        <v/>
      </c>
      <c r="AI1567" s="22" t="str">
        <f t="shared" si="525"/>
        <v/>
      </c>
      <c r="AJ1567" s="304" t="str">
        <f t="shared" si="526"/>
        <v/>
      </c>
      <c r="AK1567" s="140" t="str">
        <f t="shared" si="527"/>
        <v/>
      </c>
    </row>
    <row r="1568" spans="7:37" x14ac:dyDescent="0.25">
      <c r="G1568" s="235" t="str">
        <f t="shared" si="516"/>
        <v/>
      </c>
      <c r="H1568" s="4" t="str">
        <f t="shared" si="515"/>
        <v/>
      </c>
      <c r="I1568" s="11" t="str">
        <f t="shared" si="517"/>
        <v/>
      </c>
      <c r="K1568" s="30">
        <v>646</v>
      </c>
      <c r="L1568" s="29">
        <f t="shared" si="528"/>
        <v>11371.908376190921</v>
      </c>
      <c r="M1568" s="28" t="str">
        <f t="shared" si="518"/>
        <v/>
      </c>
      <c r="N1568" s="27" t="str">
        <f t="shared" si="529"/>
        <v/>
      </c>
      <c r="O1568" s="26" t="str">
        <f>IF(AND($Q1567=$O$38,IFERROR(LARGE($V$923:$V1567,1)&lt;$N$42,TRUE)),1,IF(AND(ISNUMBER($O1567),$O1567&lt;$N$32),$O1567+1,""))</f>
        <v/>
      </c>
      <c r="P1568" s="26" t="str">
        <f t="shared" si="530"/>
        <v/>
      </c>
      <c r="Q1568" s="26" t="str">
        <f t="shared" si="519"/>
        <v/>
      </c>
      <c r="R1568" s="24" t="str">
        <f t="shared" si="531"/>
        <v/>
      </c>
      <c r="S1568" s="180">
        <f t="shared" si="514"/>
        <v>8</v>
      </c>
      <c r="T1568" s="29">
        <f>SUM($AC$923:$AC1568)</f>
        <v>49500</v>
      </c>
      <c r="U1568" s="25" t="str">
        <f t="shared" si="520"/>
        <v/>
      </c>
      <c r="V1568" s="24" t="str">
        <f>IF(AND(ISNUMBER(R1567),ISNUMBER(R1568)),V1567,IF(AND(R1567="",ISNUMBER(R1568)),IFERROR(LARGE($V$923:$V1567,1)+1,0),""))</f>
        <v/>
      </c>
      <c r="W1568" s="23" t="str">
        <f t="shared" si="532"/>
        <v/>
      </c>
      <c r="X1568" s="22" t="str">
        <f t="shared" si="533"/>
        <v/>
      </c>
      <c r="Y1568" s="236"/>
      <c r="Z1568" s="22"/>
      <c r="AA1568" s="22"/>
      <c r="AB1568" s="22" t="str">
        <f t="shared" si="511"/>
        <v/>
      </c>
      <c r="AC1568" s="22" t="str">
        <f t="shared" si="512"/>
        <v/>
      </c>
      <c r="AD1568" s="22" t="str">
        <f t="shared" si="521"/>
        <v/>
      </c>
      <c r="AE1568" s="22" t="str">
        <f t="shared" si="513"/>
        <v/>
      </c>
      <c r="AF1568" s="22" t="str">
        <f t="shared" si="522"/>
        <v/>
      </c>
      <c r="AG1568" s="22" t="str">
        <f t="shared" si="523"/>
        <v/>
      </c>
      <c r="AH1568" s="22" t="str">
        <f t="shared" si="524"/>
        <v/>
      </c>
      <c r="AI1568" s="22" t="str">
        <f t="shared" si="525"/>
        <v/>
      </c>
      <c r="AJ1568" s="304" t="str">
        <f t="shared" si="526"/>
        <v/>
      </c>
      <c r="AK1568" s="140" t="str">
        <f t="shared" si="527"/>
        <v/>
      </c>
    </row>
    <row r="1569" spans="7:37" x14ac:dyDescent="0.25">
      <c r="G1569" s="235" t="str">
        <f t="shared" si="516"/>
        <v/>
      </c>
      <c r="H1569" s="4" t="str">
        <f t="shared" si="515"/>
        <v/>
      </c>
      <c r="I1569" s="11" t="str">
        <f t="shared" si="517"/>
        <v/>
      </c>
      <c r="K1569" s="30">
        <v>647</v>
      </c>
      <c r="L1569" s="29">
        <f t="shared" si="528"/>
        <v>11371.908376190921</v>
      </c>
      <c r="M1569" s="28" t="str">
        <f t="shared" si="518"/>
        <v/>
      </c>
      <c r="N1569" s="27" t="str">
        <f t="shared" si="529"/>
        <v/>
      </c>
      <c r="O1569" s="26" t="str">
        <f>IF(AND($Q1568=$O$38,IFERROR(LARGE($V$923:$V1568,1)&lt;$N$42,TRUE)),1,IF(AND(ISNUMBER($O1568),$O1568&lt;$N$32),$O1568+1,""))</f>
        <v/>
      </c>
      <c r="P1569" s="26" t="str">
        <f t="shared" si="530"/>
        <v/>
      </c>
      <c r="Q1569" s="26" t="str">
        <f t="shared" si="519"/>
        <v/>
      </c>
      <c r="R1569" s="24" t="str">
        <f t="shared" si="531"/>
        <v/>
      </c>
      <c r="S1569" s="180">
        <f t="shared" si="514"/>
        <v>8</v>
      </c>
      <c r="T1569" s="29">
        <f>SUM($AC$923:$AC1569)</f>
        <v>49500</v>
      </c>
      <c r="U1569" s="25" t="str">
        <f t="shared" si="520"/>
        <v/>
      </c>
      <c r="V1569" s="24" t="str">
        <f>IF(AND(ISNUMBER(R1568),ISNUMBER(R1569)),V1568,IF(AND(R1568="",ISNUMBER(R1569)),IFERROR(LARGE($V$923:$V1568,1)+1,0),""))</f>
        <v/>
      </c>
      <c r="W1569" s="23" t="str">
        <f t="shared" si="532"/>
        <v/>
      </c>
      <c r="X1569" s="22" t="str">
        <f t="shared" si="533"/>
        <v/>
      </c>
      <c r="Y1569" s="236"/>
      <c r="Z1569" s="22"/>
      <c r="AA1569" s="22"/>
      <c r="AB1569" s="22" t="str">
        <f t="shared" si="511"/>
        <v/>
      </c>
      <c r="AC1569" s="22" t="str">
        <f t="shared" si="512"/>
        <v/>
      </c>
      <c r="AD1569" s="22" t="str">
        <f t="shared" si="521"/>
        <v/>
      </c>
      <c r="AE1569" s="22" t="str">
        <f t="shared" si="513"/>
        <v/>
      </c>
      <c r="AF1569" s="22" t="str">
        <f t="shared" si="522"/>
        <v/>
      </c>
      <c r="AG1569" s="22" t="str">
        <f t="shared" si="523"/>
        <v/>
      </c>
      <c r="AH1569" s="22" t="str">
        <f t="shared" si="524"/>
        <v/>
      </c>
      <c r="AI1569" s="22" t="str">
        <f t="shared" si="525"/>
        <v/>
      </c>
      <c r="AJ1569" s="304" t="str">
        <f t="shared" si="526"/>
        <v/>
      </c>
      <c r="AK1569" s="140" t="str">
        <f t="shared" si="527"/>
        <v/>
      </c>
    </row>
    <row r="1570" spans="7:37" x14ac:dyDescent="0.25">
      <c r="G1570" s="235" t="str">
        <f t="shared" si="516"/>
        <v/>
      </c>
      <c r="H1570" s="4" t="str">
        <f t="shared" si="515"/>
        <v/>
      </c>
      <c r="I1570" s="11" t="str">
        <f t="shared" si="517"/>
        <v/>
      </c>
      <c r="K1570" s="30">
        <v>648</v>
      </c>
      <c r="L1570" s="29">
        <f t="shared" si="528"/>
        <v>11371.908376190921</v>
      </c>
      <c r="M1570" s="28" t="str">
        <f t="shared" si="518"/>
        <v/>
      </c>
      <c r="N1570" s="27" t="str">
        <f t="shared" si="529"/>
        <v/>
      </c>
      <c r="O1570" s="26" t="str">
        <f>IF(AND($Q1569=$O$38,IFERROR(LARGE($V$923:$V1569,1)&lt;$N$42,TRUE)),1,IF(AND(ISNUMBER($O1569),$O1569&lt;$N$32),$O1569+1,""))</f>
        <v/>
      </c>
      <c r="P1570" s="26" t="str">
        <f t="shared" si="530"/>
        <v/>
      </c>
      <c r="Q1570" s="26" t="str">
        <f t="shared" si="519"/>
        <v/>
      </c>
      <c r="R1570" s="24" t="str">
        <f t="shared" si="531"/>
        <v/>
      </c>
      <c r="S1570" s="180">
        <f t="shared" si="514"/>
        <v>8</v>
      </c>
      <c r="T1570" s="29">
        <f>SUM($AC$923:$AC1570)</f>
        <v>49500</v>
      </c>
      <c r="U1570" s="25" t="str">
        <f t="shared" si="520"/>
        <v/>
      </c>
      <c r="V1570" s="24" t="str">
        <f>IF(AND(ISNUMBER(R1569),ISNUMBER(R1570)),V1569,IF(AND(R1569="",ISNUMBER(R1570)),IFERROR(LARGE($V$923:$V1569,1)+1,0),""))</f>
        <v/>
      </c>
      <c r="W1570" s="23" t="str">
        <f t="shared" si="532"/>
        <v/>
      </c>
      <c r="X1570" s="22" t="str">
        <f t="shared" si="533"/>
        <v/>
      </c>
      <c r="Y1570" s="236"/>
      <c r="Z1570" s="22"/>
      <c r="AA1570" s="22"/>
      <c r="AB1570" s="22" t="str">
        <f t="shared" si="511"/>
        <v/>
      </c>
      <c r="AC1570" s="22" t="str">
        <f t="shared" si="512"/>
        <v/>
      </c>
      <c r="AD1570" s="22" t="str">
        <f t="shared" si="521"/>
        <v/>
      </c>
      <c r="AE1570" s="22" t="str">
        <f t="shared" si="513"/>
        <v/>
      </c>
      <c r="AF1570" s="22" t="str">
        <f t="shared" si="522"/>
        <v/>
      </c>
      <c r="AG1570" s="22" t="str">
        <f t="shared" si="523"/>
        <v/>
      </c>
      <c r="AH1570" s="22" t="str">
        <f t="shared" si="524"/>
        <v/>
      </c>
      <c r="AI1570" s="22" t="str">
        <f t="shared" si="525"/>
        <v/>
      </c>
      <c r="AJ1570" s="304" t="str">
        <f t="shared" si="526"/>
        <v/>
      </c>
      <c r="AK1570" s="140" t="str">
        <f t="shared" si="527"/>
        <v/>
      </c>
    </row>
    <row r="1571" spans="7:37" x14ac:dyDescent="0.25">
      <c r="G1571" s="235" t="str">
        <f t="shared" si="516"/>
        <v/>
      </c>
      <c r="H1571" s="4" t="str">
        <f t="shared" si="515"/>
        <v/>
      </c>
      <c r="I1571" s="11" t="str">
        <f t="shared" si="517"/>
        <v/>
      </c>
      <c r="K1571" s="30">
        <v>649</v>
      </c>
      <c r="L1571" s="29">
        <f t="shared" si="528"/>
        <v>11371.908376190921</v>
      </c>
      <c r="M1571" s="28" t="str">
        <f t="shared" si="518"/>
        <v/>
      </c>
      <c r="N1571" s="27" t="str">
        <f t="shared" si="529"/>
        <v/>
      </c>
      <c r="O1571" s="26" t="str">
        <f>IF(AND($Q1570=$O$38,IFERROR(LARGE($V$923:$V1570,1)&lt;$N$42,TRUE)),1,IF(AND(ISNUMBER($O1570),$O1570&lt;$N$32),$O1570+1,""))</f>
        <v/>
      </c>
      <c r="P1571" s="26" t="str">
        <f t="shared" si="530"/>
        <v/>
      </c>
      <c r="Q1571" s="26" t="str">
        <f t="shared" si="519"/>
        <v/>
      </c>
      <c r="R1571" s="24" t="str">
        <f t="shared" si="531"/>
        <v/>
      </c>
      <c r="S1571" s="180">
        <f t="shared" si="514"/>
        <v>8</v>
      </c>
      <c r="T1571" s="29">
        <f>SUM($AC$923:$AC1571)</f>
        <v>49500</v>
      </c>
      <c r="U1571" s="25" t="str">
        <f t="shared" si="520"/>
        <v/>
      </c>
      <c r="V1571" s="24" t="str">
        <f>IF(AND(ISNUMBER(R1570),ISNUMBER(R1571)),V1570,IF(AND(R1570="",ISNUMBER(R1571)),IFERROR(LARGE($V$923:$V1570,1)+1,0),""))</f>
        <v/>
      </c>
      <c r="W1571" s="23" t="str">
        <f t="shared" si="532"/>
        <v/>
      </c>
      <c r="X1571" s="22" t="str">
        <f t="shared" si="533"/>
        <v/>
      </c>
      <c r="Y1571" s="236"/>
      <c r="Z1571" s="22"/>
      <c r="AA1571" s="22"/>
      <c r="AB1571" s="22" t="str">
        <f t="shared" si="511"/>
        <v/>
      </c>
      <c r="AC1571" s="22" t="str">
        <f t="shared" si="512"/>
        <v/>
      </c>
      <c r="AD1571" s="22" t="str">
        <f t="shared" si="521"/>
        <v/>
      </c>
      <c r="AE1571" s="22" t="str">
        <f t="shared" si="513"/>
        <v/>
      </c>
      <c r="AF1571" s="22" t="str">
        <f t="shared" si="522"/>
        <v/>
      </c>
      <c r="AG1571" s="22" t="str">
        <f t="shared" si="523"/>
        <v/>
      </c>
      <c r="AH1571" s="22" t="str">
        <f t="shared" si="524"/>
        <v/>
      </c>
      <c r="AI1571" s="22" t="str">
        <f t="shared" si="525"/>
        <v/>
      </c>
      <c r="AJ1571" s="304" t="str">
        <f t="shared" si="526"/>
        <v/>
      </c>
      <c r="AK1571" s="140" t="str">
        <f t="shared" si="527"/>
        <v/>
      </c>
    </row>
    <row r="1572" spans="7:37" x14ac:dyDescent="0.25">
      <c r="G1572" s="235" t="str">
        <f t="shared" si="516"/>
        <v/>
      </c>
      <c r="H1572" s="4" t="str">
        <f t="shared" si="515"/>
        <v/>
      </c>
      <c r="I1572" s="11" t="str">
        <f t="shared" si="517"/>
        <v/>
      </c>
      <c r="K1572" s="30">
        <v>650</v>
      </c>
      <c r="L1572" s="29">
        <f t="shared" si="528"/>
        <v>11371.908376190921</v>
      </c>
      <c r="M1572" s="28" t="str">
        <f t="shared" si="518"/>
        <v/>
      </c>
      <c r="N1572" s="27" t="str">
        <f t="shared" si="529"/>
        <v/>
      </c>
      <c r="O1572" s="26" t="str">
        <f>IF(AND($Q1571=$O$38,IFERROR(LARGE($V$923:$V1571,1)&lt;$N$42,TRUE)),1,IF(AND(ISNUMBER($O1571),$O1571&lt;$N$32),$O1571+1,""))</f>
        <v/>
      </c>
      <c r="P1572" s="26" t="str">
        <f t="shared" si="530"/>
        <v/>
      </c>
      <c r="Q1572" s="26" t="str">
        <f t="shared" si="519"/>
        <v/>
      </c>
      <c r="R1572" s="24" t="str">
        <f t="shared" si="531"/>
        <v/>
      </c>
      <c r="S1572" s="180">
        <f t="shared" si="514"/>
        <v>8</v>
      </c>
      <c r="T1572" s="29">
        <f>SUM($AC$923:$AC1572)</f>
        <v>49500</v>
      </c>
      <c r="U1572" s="25" t="str">
        <f t="shared" si="520"/>
        <v/>
      </c>
      <c r="V1572" s="24" t="str">
        <f>IF(AND(ISNUMBER(R1571),ISNUMBER(R1572)),V1571,IF(AND(R1571="",ISNUMBER(R1572)),IFERROR(LARGE($V$923:$V1571,1)+1,0),""))</f>
        <v/>
      </c>
      <c r="W1572" s="23" t="str">
        <f t="shared" si="532"/>
        <v/>
      </c>
      <c r="X1572" s="22" t="str">
        <f t="shared" si="533"/>
        <v/>
      </c>
      <c r="Y1572" s="236"/>
      <c r="Z1572" s="22"/>
      <c r="AA1572" s="22"/>
      <c r="AB1572" s="22" t="str">
        <f t="shared" si="511"/>
        <v/>
      </c>
      <c r="AC1572" s="22" t="str">
        <f t="shared" si="512"/>
        <v/>
      </c>
      <c r="AD1572" s="22" t="str">
        <f t="shared" si="521"/>
        <v/>
      </c>
      <c r="AE1572" s="22" t="str">
        <f t="shared" si="513"/>
        <v/>
      </c>
      <c r="AF1572" s="22" t="str">
        <f t="shared" si="522"/>
        <v/>
      </c>
      <c r="AG1572" s="22" t="str">
        <f t="shared" si="523"/>
        <v/>
      </c>
      <c r="AH1572" s="22" t="str">
        <f t="shared" si="524"/>
        <v/>
      </c>
      <c r="AI1572" s="22" t="str">
        <f t="shared" si="525"/>
        <v/>
      </c>
      <c r="AJ1572" s="304" t="str">
        <f t="shared" si="526"/>
        <v/>
      </c>
      <c r="AK1572" s="140" t="str">
        <f t="shared" si="527"/>
        <v/>
      </c>
    </row>
    <row r="1573" spans="7:37" x14ac:dyDescent="0.25">
      <c r="G1573" s="235" t="str">
        <f t="shared" si="516"/>
        <v/>
      </c>
      <c r="H1573" s="4" t="str">
        <f t="shared" si="515"/>
        <v/>
      </c>
      <c r="I1573" s="11" t="str">
        <f t="shared" si="517"/>
        <v/>
      </c>
      <c r="K1573" s="30">
        <v>651</v>
      </c>
      <c r="L1573" s="29">
        <f t="shared" si="528"/>
        <v>11371.908376190921</v>
      </c>
      <c r="M1573" s="28" t="str">
        <f t="shared" si="518"/>
        <v/>
      </c>
      <c r="N1573" s="27" t="str">
        <f t="shared" si="529"/>
        <v/>
      </c>
      <c r="O1573" s="26" t="str">
        <f>IF(AND($Q1572=$O$38,IFERROR(LARGE($V$923:$V1572,1)&lt;$N$42,TRUE)),1,IF(AND(ISNUMBER($O1572),$O1572&lt;$N$32),$O1572+1,""))</f>
        <v/>
      </c>
      <c r="P1573" s="26" t="str">
        <f t="shared" si="530"/>
        <v/>
      </c>
      <c r="Q1573" s="26" t="str">
        <f t="shared" si="519"/>
        <v/>
      </c>
      <c r="R1573" s="24" t="str">
        <f t="shared" si="531"/>
        <v/>
      </c>
      <c r="S1573" s="180">
        <f t="shared" si="514"/>
        <v>8</v>
      </c>
      <c r="T1573" s="29">
        <f>SUM($AC$923:$AC1573)</f>
        <v>49500</v>
      </c>
      <c r="U1573" s="25" t="str">
        <f t="shared" si="520"/>
        <v/>
      </c>
      <c r="V1573" s="24" t="str">
        <f>IF(AND(ISNUMBER(R1572),ISNUMBER(R1573)),V1572,IF(AND(R1572="",ISNUMBER(R1573)),IFERROR(LARGE($V$923:$V1572,1)+1,0),""))</f>
        <v/>
      </c>
      <c r="W1573" s="23" t="str">
        <f t="shared" si="532"/>
        <v/>
      </c>
      <c r="X1573" s="22" t="str">
        <f t="shared" si="533"/>
        <v/>
      </c>
      <c r="Y1573" s="236"/>
      <c r="Z1573" s="22"/>
      <c r="AA1573" s="22"/>
      <c r="AB1573" s="22" t="str">
        <f t="shared" si="511"/>
        <v/>
      </c>
      <c r="AC1573" s="22" t="str">
        <f t="shared" si="512"/>
        <v/>
      </c>
      <c r="AD1573" s="22" t="str">
        <f t="shared" si="521"/>
        <v/>
      </c>
      <c r="AE1573" s="22" t="str">
        <f t="shared" si="513"/>
        <v/>
      </c>
      <c r="AF1573" s="22" t="str">
        <f t="shared" si="522"/>
        <v/>
      </c>
      <c r="AG1573" s="22" t="str">
        <f t="shared" si="523"/>
        <v/>
      </c>
      <c r="AH1573" s="22" t="str">
        <f t="shared" si="524"/>
        <v/>
      </c>
      <c r="AI1573" s="22" t="str">
        <f t="shared" si="525"/>
        <v/>
      </c>
      <c r="AJ1573" s="304" t="str">
        <f t="shared" si="526"/>
        <v/>
      </c>
      <c r="AK1573" s="140" t="str">
        <f t="shared" si="527"/>
        <v/>
      </c>
    </row>
    <row r="1574" spans="7:37" x14ac:dyDescent="0.25">
      <c r="G1574" s="235" t="str">
        <f t="shared" si="516"/>
        <v/>
      </c>
      <c r="H1574" s="4" t="str">
        <f t="shared" si="515"/>
        <v/>
      </c>
      <c r="I1574" s="11" t="str">
        <f t="shared" si="517"/>
        <v/>
      </c>
      <c r="K1574" s="30">
        <v>652</v>
      </c>
      <c r="L1574" s="29">
        <f t="shared" si="528"/>
        <v>11371.908376190921</v>
      </c>
      <c r="M1574" s="28" t="str">
        <f t="shared" si="518"/>
        <v/>
      </c>
      <c r="N1574" s="27" t="str">
        <f t="shared" si="529"/>
        <v/>
      </c>
      <c r="O1574" s="26" t="str">
        <f>IF(AND($Q1573=$O$38,IFERROR(LARGE($V$923:$V1573,1)&lt;$N$42,TRUE)),1,IF(AND(ISNUMBER($O1573),$O1573&lt;$N$32),$O1573+1,""))</f>
        <v/>
      </c>
      <c r="P1574" s="26" t="str">
        <f t="shared" si="530"/>
        <v/>
      </c>
      <c r="Q1574" s="26" t="str">
        <f t="shared" si="519"/>
        <v/>
      </c>
      <c r="R1574" s="24" t="str">
        <f t="shared" si="531"/>
        <v/>
      </c>
      <c r="S1574" s="180">
        <f t="shared" si="514"/>
        <v>8</v>
      </c>
      <c r="T1574" s="29">
        <f>SUM($AC$923:$AC1574)</f>
        <v>49500</v>
      </c>
      <c r="U1574" s="25" t="str">
        <f t="shared" si="520"/>
        <v/>
      </c>
      <c r="V1574" s="24" t="str">
        <f>IF(AND(ISNUMBER(R1573),ISNUMBER(R1574)),V1573,IF(AND(R1573="",ISNUMBER(R1574)),IFERROR(LARGE($V$923:$V1573,1)+1,0),""))</f>
        <v/>
      </c>
      <c r="W1574" s="23" t="str">
        <f t="shared" si="532"/>
        <v/>
      </c>
      <c r="X1574" s="22" t="str">
        <f t="shared" si="533"/>
        <v/>
      </c>
      <c r="Y1574" s="236"/>
      <c r="Z1574" s="22"/>
      <c r="AA1574" s="22"/>
      <c r="AB1574" s="22" t="str">
        <f t="shared" si="511"/>
        <v/>
      </c>
      <c r="AC1574" s="22" t="str">
        <f t="shared" si="512"/>
        <v/>
      </c>
      <c r="AD1574" s="22" t="str">
        <f t="shared" si="521"/>
        <v/>
      </c>
      <c r="AE1574" s="22" t="str">
        <f t="shared" si="513"/>
        <v/>
      </c>
      <c r="AF1574" s="22" t="str">
        <f t="shared" si="522"/>
        <v/>
      </c>
      <c r="AG1574" s="22" t="str">
        <f t="shared" si="523"/>
        <v/>
      </c>
      <c r="AH1574" s="22" t="str">
        <f t="shared" si="524"/>
        <v/>
      </c>
      <c r="AI1574" s="22" t="str">
        <f t="shared" si="525"/>
        <v/>
      </c>
      <c r="AJ1574" s="304" t="str">
        <f t="shared" si="526"/>
        <v/>
      </c>
      <c r="AK1574" s="140" t="str">
        <f t="shared" si="527"/>
        <v/>
      </c>
    </row>
    <row r="1575" spans="7:37" x14ac:dyDescent="0.25">
      <c r="G1575" s="235" t="str">
        <f t="shared" si="516"/>
        <v/>
      </c>
      <c r="H1575" s="4" t="str">
        <f t="shared" si="515"/>
        <v/>
      </c>
      <c r="I1575" s="11" t="str">
        <f t="shared" si="517"/>
        <v/>
      </c>
      <c r="K1575" s="30">
        <v>653</v>
      </c>
      <c r="L1575" s="29">
        <f t="shared" si="528"/>
        <v>11371.908376190921</v>
      </c>
      <c r="M1575" s="28" t="str">
        <f t="shared" si="518"/>
        <v/>
      </c>
      <c r="N1575" s="27" t="str">
        <f t="shared" si="529"/>
        <v/>
      </c>
      <c r="O1575" s="26" t="str">
        <f>IF(AND($Q1574=$O$38,IFERROR(LARGE($V$923:$V1574,1)&lt;$N$42,TRUE)),1,IF(AND(ISNUMBER($O1574),$O1574&lt;$N$32),$O1574+1,""))</f>
        <v/>
      </c>
      <c r="P1575" s="26" t="str">
        <f t="shared" si="530"/>
        <v/>
      </c>
      <c r="Q1575" s="26" t="str">
        <f t="shared" si="519"/>
        <v/>
      </c>
      <c r="R1575" s="24" t="str">
        <f t="shared" si="531"/>
        <v/>
      </c>
      <c r="S1575" s="180">
        <f t="shared" si="514"/>
        <v>8</v>
      </c>
      <c r="T1575" s="29">
        <f>SUM($AC$923:$AC1575)</f>
        <v>49500</v>
      </c>
      <c r="U1575" s="25" t="str">
        <f t="shared" si="520"/>
        <v/>
      </c>
      <c r="V1575" s="24" t="str">
        <f>IF(AND(ISNUMBER(R1574),ISNUMBER(R1575)),V1574,IF(AND(R1574="",ISNUMBER(R1575)),IFERROR(LARGE($V$923:$V1574,1)+1,0),""))</f>
        <v/>
      </c>
      <c r="W1575" s="23" t="str">
        <f t="shared" si="532"/>
        <v/>
      </c>
      <c r="X1575" s="22" t="str">
        <f t="shared" si="533"/>
        <v/>
      </c>
      <c r="Y1575" s="236"/>
      <c r="Z1575" s="22"/>
      <c r="AA1575" s="22"/>
      <c r="AB1575" s="22" t="str">
        <f t="shared" si="511"/>
        <v/>
      </c>
      <c r="AC1575" s="22" t="str">
        <f t="shared" si="512"/>
        <v/>
      </c>
      <c r="AD1575" s="22" t="str">
        <f t="shared" si="521"/>
        <v/>
      </c>
      <c r="AE1575" s="22" t="str">
        <f t="shared" si="513"/>
        <v/>
      </c>
      <c r="AF1575" s="22" t="str">
        <f t="shared" si="522"/>
        <v/>
      </c>
      <c r="AG1575" s="22" t="str">
        <f t="shared" si="523"/>
        <v/>
      </c>
      <c r="AH1575" s="22" t="str">
        <f t="shared" si="524"/>
        <v/>
      </c>
      <c r="AI1575" s="22" t="str">
        <f t="shared" si="525"/>
        <v/>
      </c>
      <c r="AJ1575" s="304" t="str">
        <f t="shared" si="526"/>
        <v/>
      </c>
      <c r="AK1575" s="140" t="str">
        <f t="shared" si="527"/>
        <v/>
      </c>
    </row>
    <row r="1576" spans="7:37" x14ac:dyDescent="0.25">
      <c r="G1576" s="235" t="str">
        <f t="shared" si="516"/>
        <v/>
      </c>
      <c r="H1576" s="4" t="str">
        <f t="shared" si="515"/>
        <v/>
      </c>
      <c r="I1576" s="11" t="str">
        <f t="shared" si="517"/>
        <v/>
      </c>
      <c r="K1576" s="30">
        <v>654</v>
      </c>
      <c r="L1576" s="29">
        <f t="shared" si="528"/>
        <v>11371.908376190921</v>
      </c>
      <c r="M1576" s="28" t="str">
        <f t="shared" si="518"/>
        <v/>
      </c>
      <c r="N1576" s="27" t="str">
        <f t="shared" si="529"/>
        <v/>
      </c>
      <c r="O1576" s="26" t="str">
        <f>IF(AND($Q1575=$O$38,IFERROR(LARGE($V$923:$V1575,1)&lt;$N$42,TRUE)),1,IF(AND(ISNUMBER($O1575),$O1575&lt;$N$32),$O1575+1,""))</f>
        <v/>
      </c>
      <c r="P1576" s="26" t="str">
        <f t="shared" si="530"/>
        <v/>
      </c>
      <c r="Q1576" s="26" t="str">
        <f t="shared" si="519"/>
        <v/>
      </c>
      <c r="R1576" s="24" t="str">
        <f t="shared" si="531"/>
        <v/>
      </c>
      <c r="S1576" s="180">
        <f t="shared" si="514"/>
        <v>8</v>
      </c>
      <c r="T1576" s="29">
        <f>SUM($AC$923:$AC1576)</f>
        <v>49500</v>
      </c>
      <c r="U1576" s="25" t="str">
        <f t="shared" si="520"/>
        <v/>
      </c>
      <c r="V1576" s="24" t="str">
        <f>IF(AND(ISNUMBER(R1575),ISNUMBER(R1576)),V1575,IF(AND(R1575="",ISNUMBER(R1576)),IFERROR(LARGE($V$923:$V1575,1)+1,0),""))</f>
        <v/>
      </c>
      <c r="W1576" s="23" t="str">
        <f t="shared" si="532"/>
        <v/>
      </c>
      <c r="X1576" s="22" t="str">
        <f t="shared" si="533"/>
        <v/>
      </c>
      <c r="Y1576" s="236"/>
      <c r="Z1576" s="22"/>
      <c r="AA1576" s="22"/>
      <c r="AB1576" s="22" t="str">
        <f t="shared" si="511"/>
        <v/>
      </c>
      <c r="AC1576" s="22" t="str">
        <f t="shared" si="512"/>
        <v/>
      </c>
      <c r="AD1576" s="22" t="str">
        <f t="shared" si="521"/>
        <v/>
      </c>
      <c r="AE1576" s="22" t="str">
        <f t="shared" si="513"/>
        <v/>
      </c>
      <c r="AF1576" s="22" t="str">
        <f t="shared" si="522"/>
        <v/>
      </c>
      <c r="AG1576" s="22" t="str">
        <f t="shared" si="523"/>
        <v/>
      </c>
      <c r="AH1576" s="22" t="str">
        <f t="shared" si="524"/>
        <v/>
      </c>
      <c r="AI1576" s="22" t="str">
        <f t="shared" si="525"/>
        <v/>
      </c>
      <c r="AJ1576" s="304" t="str">
        <f t="shared" si="526"/>
        <v/>
      </c>
      <c r="AK1576" s="140" t="str">
        <f t="shared" si="527"/>
        <v/>
      </c>
    </row>
    <row r="1577" spans="7:37" x14ac:dyDescent="0.25">
      <c r="G1577" s="235" t="str">
        <f t="shared" si="516"/>
        <v/>
      </c>
      <c r="H1577" s="4" t="str">
        <f t="shared" si="515"/>
        <v/>
      </c>
      <c r="I1577" s="11" t="str">
        <f t="shared" si="517"/>
        <v/>
      </c>
      <c r="K1577" s="30">
        <v>655</v>
      </c>
      <c r="L1577" s="29">
        <f t="shared" si="528"/>
        <v>11371.908376190921</v>
      </c>
      <c r="M1577" s="28" t="str">
        <f t="shared" si="518"/>
        <v/>
      </c>
      <c r="N1577" s="27" t="str">
        <f t="shared" si="529"/>
        <v/>
      </c>
      <c r="O1577" s="26" t="str">
        <f>IF(AND($Q1576=$O$38,IFERROR(LARGE($V$923:$V1576,1)&lt;$N$42,TRUE)),1,IF(AND(ISNUMBER($O1576),$O1576&lt;$N$32),$O1576+1,""))</f>
        <v/>
      </c>
      <c r="P1577" s="26" t="str">
        <f t="shared" si="530"/>
        <v/>
      </c>
      <c r="Q1577" s="26" t="str">
        <f t="shared" si="519"/>
        <v/>
      </c>
      <c r="R1577" s="24" t="str">
        <f t="shared" si="531"/>
        <v/>
      </c>
      <c r="S1577" s="180">
        <f t="shared" si="514"/>
        <v>8</v>
      </c>
      <c r="T1577" s="29">
        <f>SUM($AC$923:$AC1577)</f>
        <v>49500</v>
      </c>
      <c r="U1577" s="25" t="str">
        <f t="shared" si="520"/>
        <v/>
      </c>
      <c r="V1577" s="24" t="str">
        <f>IF(AND(ISNUMBER(R1576),ISNUMBER(R1577)),V1576,IF(AND(R1576="",ISNUMBER(R1577)),IFERROR(LARGE($V$923:$V1576,1)+1,0),""))</f>
        <v/>
      </c>
      <c r="W1577" s="23" t="str">
        <f t="shared" si="532"/>
        <v/>
      </c>
      <c r="X1577" s="22" t="str">
        <f t="shared" si="533"/>
        <v/>
      </c>
      <c r="Y1577" s="236"/>
      <c r="Z1577" s="22"/>
      <c r="AA1577" s="22"/>
      <c r="AB1577" s="22" t="str">
        <f t="shared" si="511"/>
        <v/>
      </c>
      <c r="AC1577" s="22" t="str">
        <f t="shared" si="512"/>
        <v/>
      </c>
      <c r="AD1577" s="22" t="str">
        <f t="shared" si="521"/>
        <v/>
      </c>
      <c r="AE1577" s="22" t="str">
        <f t="shared" si="513"/>
        <v/>
      </c>
      <c r="AF1577" s="22" t="str">
        <f t="shared" si="522"/>
        <v/>
      </c>
      <c r="AG1577" s="22" t="str">
        <f t="shared" si="523"/>
        <v/>
      </c>
      <c r="AH1577" s="22" t="str">
        <f t="shared" si="524"/>
        <v/>
      </c>
      <c r="AI1577" s="22" t="str">
        <f t="shared" si="525"/>
        <v/>
      </c>
      <c r="AJ1577" s="304" t="str">
        <f t="shared" si="526"/>
        <v/>
      </c>
      <c r="AK1577" s="140" t="str">
        <f t="shared" si="527"/>
        <v/>
      </c>
    </row>
    <row r="1578" spans="7:37" x14ac:dyDescent="0.25">
      <c r="G1578" s="235" t="str">
        <f t="shared" si="516"/>
        <v/>
      </c>
      <c r="H1578" s="4" t="str">
        <f t="shared" si="515"/>
        <v/>
      </c>
      <c r="I1578" s="11" t="str">
        <f t="shared" si="517"/>
        <v/>
      </c>
      <c r="K1578" s="30">
        <v>656</v>
      </c>
      <c r="L1578" s="29">
        <f t="shared" si="528"/>
        <v>11371.908376190921</v>
      </c>
      <c r="M1578" s="28" t="str">
        <f t="shared" si="518"/>
        <v/>
      </c>
      <c r="N1578" s="27" t="str">
        <f t="shared" si="529"/>
        <v/>
      </c>
      <c r="O1578" s="26" t="str">
        <f>IF(AND($Q1577=$O$38,IFERROR(LARGE($V$923:$V1577,1)&lt;$N$42,TRUE)),1,IF(AND(ISNUMBER($O1577),$O1577&lt;$N$32),$O1577+1,""))</f>
        <v/>
      </c>
      <c r="P1578" s="26" t="str">
        <f t="shared" si="530"/>
        <v/>
      </c>
      <c r="Q1578" s="26" t="str">
        <f t="shared" si="519"/>
        <v/>
      </c>
      <c r="R1578" s="24" t="str">
        <f t="shared" si="531"/>
        <v/>
      </c>
      <c r="S1578" s="180">
        <f t="shared" si="514"/>
        <v>8</v>
      </c>
      <c r="T1578" s="29">
        <f>SUM($AC$923:$AC1578)</f>
        <v>49500</v>
      </c>
      <c r="U1578" s="25" t="str">
        <f t="shared" si="520"/>
        <v/>
      </c>
      <c r="V1578" s="24" t="str">
        <f>IF(AND(ISNUMBER(R1577),ISNUMBER(R1578)),V1577,IF(AND(R1577="",ISNUMBER(R1578)),IFERROR(LARGE($V$923:$V1577,1)+1,0),""))</f>
        <v/>
      </c>
      <c r="W1578" s="23" t="str">
        <f t="shared" si="532"/>
        <v/>
      </c>
      <c r="X1578" s="22" t="str">
        <f t="shared" si="533"/>
        <v/>
      </c>
      <c r="Y1578" s="236"/>
      <c r="Z1578" s="22"/>
      <c r="AA1578" s="22"/>
      <c r="AB1578" s="22" t="str">
        <f t="shared" si="511"/>
        <v/>
      </c>
      <c r="AC1578" s="22" t="str">
        <f t="shared" si="512"/>
        <v/>
      </c>
      <c r="AD1578" s="22" t="str">
        <f t="shared" si="521"/>
        <v/>
      </c>
      <c r="AE1578" s="22" t="str">
        <f t="shared" si="513"/>
        <v/>
      </c>
      <c r="AF1578" s="22" t="str">
        <f t="shared" si="522"/>
        <v/>
      </c>
      <c r="AG1578" s="22" t="str">
        <f t="shared" si="523"/>
        <v/>
      </c>
      <c r="AH1578" s="22" t="str">
        <f t="shared" si="524"/>
        <v/>
      </c>
      <c r="AI1578" s="22" t="str">
        <f t="shared" si="525"/>
        <v/>
      </c>
      <c r="AJ1578" s="304" t="str">
        <f t="shared" si="526"/>
        <v/>
      </c>
      <c r="AK1578" s="140" t="str">
        <f t="shared" si="527"/>
        <v/>
      </c>
    </row>
    <row r="1579" spans="7:37" x14ac:dyDescent="0.25">
      <c r="G1579" s="235" t="str">
        <f t="shared" si="516"/>
        <v/>
      </c>
      <c r="H1579" s="4" t="str">
        <f t="shared" si="515"/>
        <v/>
      </c>
      <c r="I1579" s="11" t="str">
        <f t="shared" si="517"/>
        <v/>
      </c>
      <c r="K1579" s="30">
        <v>657</v>
      </c>
      <c r="L1579" s="29">
        <f t="shared" si="528"/>
        <v>11371.908376190921</v>
      </c>
      <c r="M1579" s="28" t="str">
        <f t="shared" si="518"/>
        <v/>
      </c>
      <c r="N1579" s="27" t="str">
        <f t="shared" si="529"/>
        <v/>
      </c>
      <c r="O1579" s="26" t="str">
        <f>IF(AND($Q1578=$O$38,IFERROR(LARGE($V$923:$V1578,1)&lt;$N$42,TRUE)),1,IF(AND(ISNUMBER($O1578),$O1578&lt;$N$32),$O1578+1,""))</f>
        <v/>
      </c>
      <c r="P1579" s="26" t="str">
        <f t="shared" si="530"/>
        <v/>
      </c>
      <c r="Q1579" s="26" t="str">
        <f t="shared" si="519"/>
        <v/>
      </c>
      <c r="R1579" s="24" t="str">
        <f t="shared" si="531"/>
        <v/>
      </c>
      <c r="S1579" s="180">
        <f t="shared" si="514"/>
        <v>8</v>
      </c>
      <c r="T1579" s="29">
        <f>SUM($AC$923:$AC1579)</f>
        <v>49500</v>
      </c>
      <c r="U1579" s="25" t="str">
        <f t="shared" si="520"/>
        <v/>
      </c>
      <c r="V1579" s="24" t="str">
        <f>IF(AND(ISNUMBER(R1578),ISNUMBER(R1579)),V1578,IF(AND(R1578="",ISNUMBER(R1579)),IFERROR(LARGE($V$923:$V1578,1)+1,0),""))</f>
        <v/>
      </c>
      <c r="W1579" s="23" t="str">
        <f t="shared" si="532"/>
        <v/>
      </c>
      <c r="X1579" s="22" t="str">
        <f t="shared" si="533"/>
        <v/>
      </c>
      <c r="Y1579" s="236"/>
      <c r="Z1579" s="22"/>
      <c r="AA1579" s="22"/>
      <c r="AB1579" s="22" t="str">
        <f t="shared" ref="AB1579:AB1642" si="534">IF((IF(AND($P1578="",$P1579=1),($N$37*-1),0)+IF(AND($Q1578="",$Q1579=1),($N$38*-1),0)+IF(OR(AND(ISNUMBER($U1579),IF(ISNUMBER($U1580),$U1580,0)-IF(ISNUMBER($U1579),$U1579,0)=1),AND(ISNUMBER($U1579),$U1580="")),IF($U1579=1,$P$37,0),0))=0,"",(IF(AND($P1578="",$P1579=1),($N$37*-1),0)+IF(AND($Q1578="",$Q1579=1),($N$38*-1),0)+IF(OR(AND(ISNUMBER($U1579),IF(ISNUMBER($U1580),$U1580,0)-IF(ISNUMBER($U1579),$U1579,0)=1),AND(ISNUMBER($U1579),$U1580="")),IF($U1579=1,$P$37,0),0)))</f>
        <v/>
      </c>
      <c r="AC1579" s="22" t="str">
        <f t="shared" ref="AC1579:AC1642" si="535">IF(IF(OR(AND(ISNUMBER($U1579),IF(ISNUMBER($U1580),$U1580,0)-IF(ISNUMBER($U1579),$U1579,0)=1),AND(ISNUMBER($U1579),$U1580="")),VLOOKUP(IF($U1579&gt;$L$63,$L$63,$U1579),$L$52:$N$63,COLUMNS($L$52:$N$52),FALSE),0)=0,"",IF(OR(AND(ISNUMBER($U1579),IF(ISNUMBER($U1580),$U1580,0)-IF(ISNUMBER($U1579),$U1579,0)=1),AND(ISNUMBER($U1579),$U1580="")),VLOOKUP(IF($U1579&gt;$L$63,$L$63,$U1579),$L$52:$N$63,COLUMNS($L$52:$N$52),FALSE),0))</f>
        <v/>
      </c>
      <c r="AD1579" s="22" t="str">
        <f t="shared" si="521"/>
        <v/>
      </c>
      <c r="AE1579" s="22" t="str">
        <f t="shared" ref="AE1579:AE1642" si="536">$AC1579</f>
        <v/>
      </c>
      <c r="AF1579" s="22" t="str">
        <f t="shared" si="522"/>
        <v/>
      </c>
      <c r="AG1579" s="22" t="str">
        <f t="shared" si="523"/>
        <v/>
      </c>
      <c r="AH1579" s="22" t="str">
        <f t="shared" si="524"/>
        <v/>
      </c>
      <c r="AI1579" s="22" t="str">
        <f t="shared" si="525"/>
        <v/>
      </c>
      <c r="AJ1579" s="304" t="str">
        <f t="shared" si="526"/>
        <v/>
      </c>
      <c r="AK1579" s="140" t="str">
        <f t="shared" si="527"/>
        <v/>
      </c>
    </row>
    <row r="1580" spans="7:37" x14ac:dyDescent="0.25">
      <c r="G1580" s="235" t="str">
        <f t="shared" si="516"/>
        <v/>
      </c>
      <c r="H1580" s="4" t="str">
        <f t="shared" si="515"/>
        <v/>
      </c>
      <c r="I1580" s="11" t="str">
        <f t="shared" si="517"/>
        <v/>
      </c>
      <c r="K1580" s="30">
        <v>658</v>
      </c>
      <c r="L1580" s="29">
        <f t="shared" si="528"/>
        <v>11371.908376190921</v>
      </c>
      <c r="M1580" s="28" t="str">
        <f t="shared" si="518"/>
        <v/>
      </c>
      <c r="N1580" s="27" t="str">
        <f t="shared" si="529"/>
        <v/>
      </c>
      <c r="O1580" s="26" t="str">
        <f>IF(AND($Q1579=$O$38,IFERROR(LARGE($V$923:$V1579,1)&lt;$N$42,TRUE)),1,IF(AND(ISNUMBER($O1579),$O1579&lt;$N$32),$O1579+1,""))</f>
        <v/>
      </c>
      <c r="P1580" s="26" t="str">
        <f t="shared" si="530"/>
        <v/>
      </c>
      <c r="Q1580" s="26" t="str">
        <f t="shared" si="519"/>
        <v/>
      </c>
      <c r="R1580" s="24" t="str">
        <f t="shared" si="531"/>
        <v/>
      </c>
      <c r="S1580" s="180">
        <f t="shared" si="514"/>
        <v>8</v>
      </c>
      <c r="T1580" s="29">
        <f>SUM($AC$923:$AC1580)</f>
        <v>49500</v>
      </c>
      <c r="U1580" s="25" t="str">
        <f t="shared" si="520"/>
        <v/>
      </c>
      <c r="V1580" s="24" t="str">
        <f>IF(AND(ISNUMBER(R1579),ISNUMBER(R1580)),V1579,IF(AND(R1579="",ISNUMBER(R1580)),IFERROR(LARGE($V$923:$V1579,1)+1,0),""))</f>
        <v/>
      </c>
      <c r="W1580" s="23" t="str">
        <f t="shared" si="532"/>
        <v/>
      </c>
      <c r="X1580" s="22" t="str">
        <f t="shared" si="533"/>
        <v/>
      </c>
      <c r="Y1580" s="236"/>
      <c r="Z1580" s="22"/>
      <c r="AA1580" s="22"/>
      <c r="AB1580" s="22" t="str">
        <f t="shared" si="534"/>
        <v/>
      </c>
      <c r="AC1580" s="22" t="str">
        <f t="shared" si="535"/>
        <v/>
      </c>
      <c r="AD1580" s="22" t="str">
        <f t="shared" si="521"/>
        <v/>
      </c>
      <c r="AE1580" s="22" t="str">
        <f t="shared" si="536"/>
        <v/>
      </c>
      <c r="AF1580" s="22" t="str">
        <f t="shared" si="522"/>
        <v/>
      </c>
      <c r="AG1580" s="22" t="str">
        <f t="shared" si="523"/>
        <v/>
      </c>
      <c r="AH1580" s="22" t="str">
        <f t="shared" si="524"/>
        <v/>
      </c>
      <c r="AI1580" s="22" t="str">
        <f t="shared" si="525"/>
        <v/>
      </c>
      <c r="AJ1580" s="304" t="str">
        <f t="shared" si="526"/>
        <v/>
      </c>
      <c r="AK1580" s="140" t="str">
        <f t="shared" si="527"/>
        <v/>
      </c>
    </row>
    <row r="1581" spans="7:37" x14ac:dyDescent="0.25">
      <c r="G1581" s="235" t="str">
        <f t="shared" si="516"/>
        <v/>
      </c>
      <c r="H1581" s="4" t="str">
        <f t="shared" si="515"/>
        <v/>
      </c>
      <c r="I1581" s="11" t="str">
        <f t="shared" si="517"/>
        <v/>
      </c>
      <c r="K1581" s="30">
        <v>659</v>
      </c>
      <c r="L1581" s="29">
        <f t="shared" si="528"/>
        <v>11371.908376190921</v>
      </c>
      <c r="M1581" s="28" t="str">
        <f t="shared" si="518"/>
        <v/>
      </c>
      <c r="N1581" s="27" t="str">
        <f t="shared" si="529"/>
        <v/>
      </c>
      <c r="O1581" s="26" t="str">
        <f>IF(AND($Q1580=$O$38,IFERROR(LARGE($V$923:$V1580,1)&lt;$N$42,TRUE)),1,IF(AND(ISNUMBER($O1580),$O1580&lt;$N$32),$O1580+1,""))</f>
        <v/>
      </c>
      <c r="P1581" s="26" t="str">
        <f t="shared" si="530"/>
        <v/>
      </c>
      <c r="Q1581" s="26" t="str">
        <f t="shared" si="519"/>
        <v/>
      </c>
      <c r="R1581" s="24" t="str">
        <f t="shared" si="531"/>
        <v/>
      </c>
      <c r="S1581" s="180">
        <f t="shared" si="514"/>
        <v>8</v>
      </c>
      <c r="T1581" s="29">
        <f>SUM($AC$923:$AC1581)</f>
        <v>49500</v>
      </c>
      <c r="U1581" s="25" t="str">
        <f t="shared" si="520"/>
        <v/>
      </c>
      <c r="V1581" s="24" t="str">
        <f>IF(AND(ISNUMBER(R1580),ISNUMBER(R1581)),V1580,IF(AND(R1580="",ISNUMBER(R1581)),IFERROR(LARGE($V$923:$V1580,1)+1,0),""))</f>
        <v/>
      </c>
      <c r="W1581" s="23" t="str">
        <f t="shared" si="532"/>
        <v/>
      </c>
      <c r="X1581" s="22" t="str">
        <f t="shared" si="533"/>
        <v/>
      </c>
      <c r="Y1581" s="236"/>
      <c r="Z1581" s="22"/>
      <c r="AA1581" s="22"/>
      <c r="AB1581" s="22" t="str">
        <f t="shared" si="534"/>
        <v/>
      </c>
      <c r="AC1581" s="22" t="str">
        <f t="shared" si="535"/>
        <v/>
      </c>
      <c r="AD1581" s="22" t="str">
        <f t="shared" si="521"/>
        <v/>
      </c>
      <c r="AE1581" s="22" t="str">
        <f t="shared" si="536"/>
        <v/>
      </c>
      <c r="AF1581" s="22" t="str">
        <f t="shared" si="522"/>
        <v/>
      </c>
      <c r="AG1581" s="22" t="str">
        <f t="shared" si="523"/>
        <v/>
      </c>
      <c r="AH1581" s="22" t="str">
        <f t="shared" si="524"/>
        <v/>
      </c>
      <c r="AI1581" s="22" t="str">
        <f t="shared" si="525"/>
        <v/>
      </c>
      <c r="AJ1581" s="304" t="str">
        <f t="shared" si="526"/>
        <v/>
      </c>
      <c r="AK1581" s="140" t="str">
        <f t="shared" si="527"/>
        <v/>
      </c>
    </row>
    <row r="1582" spans="7:37" x14ac:dyDescent="0.25">
      <c r="G1582" s="235" t="str">
        <f t="shared" si="516"/>
        <v/>
      </c>
      <c r="H1582" s="4" t="str">
        <f t="shared" si="515"/>
        <v/>
      </c>
      <c r="I1582" s="11" t="str">
        <f t="shared" si="517"/>
        <v/>
      </c>
      <c r="K1582" s="30">
        <v>660</v>
      </c>
      <c r="L1582" s="29">
        <f t="shared" si="528"/>
        <v>11371.908376190921</v>
      </c>
      <c r="M1582" s="28" t="str">
        <f t="shared" si="518"/>
        <v/>
      </c>
      <c r="N1582" s="27" t="str">
        <f t="shared" si="529"/>
        <v/>
      </c>
      <c r="O1582" s="26" t="str">
        <f>IF(AND($Q1581=$O$38,IFERROR(LARGE($V$923:$V1581,1)&lt;$N$42,TRUE)),1,IF(AND(ISNUMBER($O1581),$O1581&lt;$N$32),$O1581+1,""))</f>
        <v/>
      </c>
      <c r="P1582" s="26" t="str">
        <f t="shared" si="530"/>
        <v/>
      </c>
      <c r="Q1582" s="26" t="str">
        <f t="shared" si="519"/>
        <v/>
      </c>
      <c r="R1582" s="24" t="str">
        <f t="shared" si="531"/>
        <v/>
      </c>
      <c r="S1582" s="180">
        <f t="shared" si="514"/>
        <v>8</v>
      </c>
      <c r="T1582" s="29">
        <f>SUM($AC$923:$AC1582)</f>
        <v>49500</v>
      </c>
      <c r="U1582" s="25" t="str">
        <f t="shared" si="520"/>
        <v/>
      </c>
      <c r="V1582" s="24" t="str">
        <f>IF(AND(ISNUMBER(R1581),ISNUMBER(R1582)),V1581,IF(AND(R1581="",ISNUMBER(R1582)),IFERROR(LARGE($V$923:$V1581,1)+1,0),""))</f>
        <v/>
      </c>
      <c r="W1582" s="23" t="str">
        <f t="shared" si="532"/>
        <v/>
      </c>
      <c r="X1582" s="22" t="str">
        <f t="shared" si="533"/>
        <v/>
      </c>
      <c r="Y1582" s="236"/>
      <c r="Z1582" s="22"/>
      <c r="AA1582" s="22"/>
      <c r="AB1582" s="22" t="str">
        <f t="shared" si="534"/>
        <v/>
      </c>
      <c r="AC1582" s="22" t="str">
        <f t="shared" si="535"/>
        <v/>
      </c>
      <c r="AD1582" s="22" t="str">
        <f t="shared" si="521"/>
        <v/>
      </c>
      <c r="AE1582" s="22" t="str">
        <f t="shared" si="536"/>
        <v/>
      </c>
      <c r="AF1582" s="22" t="str">
        <f t="shared" si="522"/>
        <v/>
      </c>
      <c r="AG1582" s="22" t="str">
        <f t="shared" si="523"/>
        <v/>
      </c>
      <c r="AH1582" s="22" t="str">
        <f t="shared" si="524"/>
        <v/>
      </c>
      <c r="AI1582" s="22" t="str">
        <f t="shared" si="525"/>
        <v/>
      </c>
      <c r="AJ1582" s="304" t="str">
        <f t="shared" si="526"/>
        <v/>
      </c>
      <c r="AK1582" s="140" t="str">
        <f t="shared" si="527"/>
        <v/>
      </c>
    </row>
    <row r="1583" spans="7:37" x14ac:dyDescent="0.25">
      <c r="G1583" s="235" t="str">
        <f t="shared" si="516"/>
        <v/>
      </c>
      <c r="H1583" s="4" t="str">
        <f t="shared" si="515"/>
        <v/>
      </c>
      <c r="I1583" s="11" t="str">
        <f t="shared" si="517"/>
        <v/>
      </c>
      <c r="K1583" s="30">
        <v>661</v>
      </c>
      <c r="L1583" s="29">
        <f t="shared" si="528"/>
        <v>11371.908376190921</v>
      </c>
      <c r="M1583" s="28" t="str">
        <f t="shared" si="518"/>
        <v/>
      </c>
      <c r="N1583" s="27" t="str">
        <f t="shared" si="529"/>
        <v/>
      </c>
      <c r="O1583" s="26" t="str">
        <f>IF(AND($Q1582=$O$38,IFERROR(LARGE($V$923:$V1582,1)&lt;$N$42,TRUE)),1,IF(AND(ISNUMBER($O1582),$O1582&lt;$N$32),$O1582+1,""))</f>
        <v/>
      </c>
      <c r="P1583" s="26" t="str">
        <f t="shared" si="530"/>
        <v/>
      </c>
      <c r="Q1583" s="26" t="str">
        <f t="shared" si="519"/>
        <v/>
      </c>
      <c r="R1583" s="24" t="str">
        <f t="shared" si="531"/>
        <v/>
      </c>
      <c r="S1583" s="180">
        <f t="shared" si="514"/>
        <v>8</v>
      </c>
      <c r="T1583" s="29">
        <f>SUM($AC$923:$AC1583)</f>
        <v>49500</v>
      </c>
      <c r="U1583" s="25" t="str">
        <f t="shared" si="520"/>
        <v/>
      </c>
      <c r="V1583" s="24" t="str">
        <f>IF(AND(ISNUMBER(R1582),ISNUMBER(R1583)),V1582,IF(AND(R1582="",ISNUMBER(R1583)),IFERROR(LARGE($V$923:$V1582,1)+1,0),""))</f>
        <v/>
      </c>
      <c r="W1583" s="23" t="str">
        <f t="shared" si="532"/>
        <v/>
      </c>
      <c r="X1583" s="22" t="str">
        <f t="shared" si="533"/>
        <v/>
      </c>
      <c r="Y1583" s="236"/>
      <c r="Z1583" s="22"/>
      <c r="AA1583" s="22"/>
      <c r="AB1583" s="22" t="str">
        <f t="shared" si="534"/>
        <v/>
      </c>
      <c r="AC1583" s="22" t="str">
        <f t="shared" si="535"/>
        <v/>
      </c>
      <c r="AD1583" s="22" t="str">
        <f t="shared" si="521"/>
        <v/>
      </c>
      <c r="AE1583" s="22" t="str">
        <f t="shared" si="536"/>
        <v/>
      </c>
      <c r="AF1583" s="22" t="str">
        <f t="shared" si="522"/>
        <v/>
      </c>
      <c r="AG1583" s="22" t="str">
        <f t="shared" si="523"/>
        <v/>
      </c>
      <c r="AH1583" s="22" t="str">
        <f t="shared" si="524"/>
        <v/>
      </c>
      <c r="AI1583" s="22" t="str">
        <f t="shared" si="525"/>
        <v/>
      </c>
      <c r="AJ1583" s="304" t="str">
        <f t="shared" si="526"/>
        <v/>
      </c>
      <c r="AK1583" s="140" t="str">
        <f t="shared" si="527"/>
        <v/>
      </c>
    </row>
    <row r="1584" spans="7:37" x14ac:dyDescent="0.25">
      <c r="G1584" s="235" t="str">
        <f t="shared" si="516"/>
        <v/>
      </c>
      <c r="H1584" s="4" t="str">
        <f t="shared" si="515"/>
        <v/>
      </c>
      <c r="I1584" s="11" t="str">
        <f t="shared" si="517"/>
        <v/>
      </c>
      <c r="K1584" s="30">
        <v>662</v>
      </c>
      <c r="L1584" s="29">
        <f t="shared" si="528"/>
        <v>11371.908376190921</v>
      </c>
      <c r="M1584" s="28" t="str">
        <f t="shared" si="518"/>
        <v/>
      </c>
      <c r="N1584" s="27" t="str">
        <f t="shared" si="529"/>
        <v/>
      </c>
      <c r="O1584" s="26" t="str">
        <f>IF(AND($Q1583=$O$38,IFERROR(LARGE($V$923:$V1583,1)&lt;$N$42,TRUE)),1,IF(AND(ISNUMBER($O1583),$O1583&lt;$N$32),$O1583+1,""))</f>
        <v/>
      </c>
      <c r="P1584" s="26" t="str">
        <f t="shared" si="530"/>
        <v/>
      </c>
      <c r="Q1584" s="26" t="str">
        <f t="shared" si="519"/>
        <v/>
      </c>
      <c r="R1584" s="24" t="str">
        <f t="shared" si="531"/>
        <v/>
      </c>
      <c r="S1584" s="180">
        <f t="shared" si="514"/>
        <v>8</v>
      </c>
      <c r="T1584" s="29">
        <f>SUM($AC$923:$AC1584)</f>
        <v>49500</v>
      </c>
      <c r="U1584" s="25" t="str">
        <f t="shared" si="520"/>
        <v/>
      </c>
      <c r="V1584" s="24" t="str">
        <f>IF(AND(ISNUMBER(R1583),ISNUMBER(R1584)),V1583,IF(AND(R1583="",ISNUMBER(R1584)),IFERROR(LARGE($V$923:$V1583,1)+1,0),""))</f>
        <v/>
      </c>
      <c r="W1584" s="23" t="str">
        <f t="shared" si="532"/>
        <v/>
      </c>
      <c r="X1584" s="22" t="str">
        <f t="shared" si="533"/>
        <v/>
      </c>
      <c r="Y1584" s="236"/>
      <c r="Z1584" s="22"/>
      <c r="AA1584" s="22"/>
      <c r="AB1584" s="22" t="str">
        <f t="shared" si="534"/>
        <v/>
      </c>
      <c r="AC1584" s="22" t="str">
        <f t="shared" si="535"/>
        <v/>
      </c>
      <c r="AD1584" s="22" t="str">
        <f t="shared" si="521"/>
        <v/>
      </c>
      <c r="AE1584" s="22" t="str">
        <f t="shared" si="536"/>
        <v/>
      </c>
      <c r="AF1584" s="22" t="str">
        <f t="shared" si="522"/>
        <v/>
      </c>
      <c r="AG1584" s="22" t="str">
        <f t="shared" si="523"/>
        <v/>
      </c>
      <c r="AH1584" s="22" t="str">
        <f t="shared" si="524"/>
        <v/>
      </c>
      <c r="AI1584" s="22" t="str">
        <f t="shared" si="525"/>
        <v/>
      </c>
      <c r="AJ1584" s="304" t="str">
        <f t="shared" si="526"/>
        <v/>
      </c>
      <c r="AK1584" s="140" t="str">
        <f t="shared" si="527"/>
        <v/>
      </c>
    </row>
    <row r="1585" spans="7:37" x14ac:dyDescent="0.25">
      <c r="G1585" s="235" t="str">
        <f t="shared" si="516"/>
        <v/>
      </c>
      <c r="H1585" s="4" t="str">
        <f t="shared" si="515"/>
        <v/>
      </c>
      <c r="I1585" s="11" t="str">
        <f t="shared" si="517"/>
        <v/>
      </c>
      <c r="K1585" s="30">
        <v>663</v>
      </c>
      <c r="L1585" s="29">
        <f t="shared" si="528"/>
        <v>11371.908376190921</v>
      </c>
      <c r="M1585" s="28" t="str">
        <f t="shared" si="518"/>
        <v/>
      </c>
      <c r="N1585" s="27" t="str">
        <f t="shared" si="529"/>
        <v/>
      </c>
      <c r="O1585" s="26" t="str">
        <f>IF(AND($Q1584=$O$38,IFERROR(LARGE($V$923:$V1584,1)&lt;$N$42,TRUE)),1,IF(AND(ISNUMBER($O1584),$O1584&lt;$N$32),$O1584+1,""))</f>
        <v/>
      </c>
      <c r="P1585" s="26" t="str">
        <f t="shared" si="530"/>
        <v/>
      </c>
      <c r="Q1585" s="26" t="str">
        <f t="shared" si="519"/>
        <v/>
      </c>
      <c r="R1585" s="24" t="str">
        <f t="shared" si="531"/>
        <v/>
      </c>
      <c r="S1585" s="180">
        <f t="shared" si="514"/>
        <v>8</v>
      </c>
      <c r="T1585" s="29">
        <f>SUM($AC$923:$AC1585)</f>
        <v>49500</v>
      </c>
      <c r="U1585" s="25" t="str">
        <f t="shared" si="520"/>
        <v/>
      </c>
      <c r="V1585" s="24" t="str">
        <f>IF(AND(ISNUMBER(R1584),ISNUMBER(R1585)),V1584,IF(AND(R1584="",ISNUMBER(R1585)),IFERROR(LARGE($V$923:$V1584,1)+1,0),""))</f>
        <v/>
      </c>
      <c r="W1585" s="23" t="str">
        <f t="shared" si="532"/>
        <v/>
      </c>
      <c r="X1585" s="22" t="str">
        <f t="shared" si="533"/>
        <v/>
      </c>
      <c r="Y1585" s="236"/>
      <c r="Z1585" s="22"/>
      <c r="AA1585" s="22"/>
      <c r="AB1585" s="22" t="str">
        <f t="shared" si="534"/>
        <v/>
      </c>
      <c r="AC1585" s="22" t="str">
        <f t="shared" si="535"/>
        <v/>
      </c>
      <c r="AD1585" s="22" t="str">
        <f t="shared" si="521"/>
        <v/>
      </c>
      <c r="AE1585" s="22" t="str">
        <f t="shared" si="536"/>
        <v/>
      </c>
      <c r="AF1585" s="22" t="str">
        <f t="shared" si="522"/>
        <v/>
      </c>
      <c r="AG1585" s="22" t="str">
        <f t="shared" si="523"/>
        <v/>
      </c>
      <c r="AH1585" s="22" t="str">
        <f t="shared" si="524"/>
        <v/>
      </c>
      <c r="AI1585" s="22" t="str">
        <f t="shared" si="525"/>
        <v/>
      </c>
      <c r="AJ1585" s="304" t="str">
        <f t="shared" si="526"/>
        <v/>
      </c>
      <c r="AK1585" s="140" t="str">
        <f t="shared" si="527"/>
        <v/>
      </c>
    </row>
    <row r="1586" spans="7:37" x14ac:dyDescent="0.25">
      <c r="G1586" s="235" t="str">
        <f t="shared" si="516"/>
        <v/>
      </c>
      <c r="H1586" s="4" t="str">
        <f t="shared" si="515"/>
        <v/>
      </c>
      <c r="I1586" s="11" t="str">
        <f t="shared" si="517"/>
        <v/>
      </c>
      <c r="K1586" s="30">
        <v>664</v>
      </c>
      <c r="L1586" s="29">
        <f t="shared" si="528"/>
        <v>11371.908376190921</v>
      </c>
      <c r="M1586" s="28" t="str">
        <f t="shared" si="518"/>
        <v/>
      </c>
      <c r="N1586" s="27" t="str">
        <f t="shared" si="529"/>
        <v/>
      </c>
      <c r="O1586" s="26" t="str">
        <f>IF(AND($Q1585=$O$38,IFERROR(LARGE($V$923:$V1585,1)&lt;$N$42,TRUE)),1,IF(AND(ISNUMBER($O1585),$O1585&lt;$N$32),$O1585+1,""))</f>
        <v/>
      </c>
      <c r="P1586" s="26" t="str">
        <f t="shared" si="530"/>
        <v/>
      </c>
      <c r="Q1586" s="26" t="str">
        <f t="shared" si="519"/>
        <v/>
      </c>
      <c r="R1586" s="24" t="str">
        <f t="shared" si="531"/>
        <v/>
      </c>
      <c r="S1586" s="180">
        <f t="shared" ref="S1586:S1649" si="537">IF($Q1586=1,ROUNDDOWN($S1585,0),IF($O1586=1,ROUNDDOWN($S1585,0)+1,IF($R1586=1,$S1585+0.01,IF(ISNUMBER($U1586),IF(AND($U1586&gt;1,($U1586-$U1585)=1),$S1585+0.01,$S1585),$S1585))))</f>
        <v>8</v>
      </c>
      <c r="T1586" s="29">
        <f>SUM($AC$923:$AC1586)</f>
        <v>49500</v>
      </c>
      <c r="U1586" s="25" t="str">
        <f t="shared" si="520"/>
        <v/>
      </c>
      <c r="V1586" s="24" t="str">
        <f>IF(AND(ISNUMBER(R1585),ISNUMBER(R1586)),V1585,IF(AND(R1585="",ISNUMBER(R1586)),IFERROR(LARGE($V$923:$V1585,1)+1,0),""))</f>
        <v/>
      </c>
      <c r="W1586" s="23" t="str">
        <f t="shared" si="532"/>
        <v/>
      </c>
      <c r="X1586" s="22" t="str">
        <f t="shared" si="533"/>
        <v/>
      </c>
      <c r="Y1586" s="236"/>
      <c r="Z1586" s="22"/>
      <c r="AA1586" s="22"/>
      <c r="AB1586" s="22" t="str">
        <f t="shared" si="534"/>
        <v/>
      </c>
      <c r="AC1586" s="22" t="str">
        <f t="shared" si="535"/>
        <v/>
      </c>
      <c r="AD1586" s="22" t="str">
        <f t="shared" si="521"/>
        <v/>
      </c>
      <c r="AE1586" s="22" t="str">
        <f t="shared" si="536"/>
        <v/>
      </c>
      <c r="AF1586" s="22" t="str">
        <f t="shared" si="522"/>
        <v/>
      </c>
      <c r="AG1586" s="22" t="str">
        <f t="shared" si="523"/>
        <v/>
      </c>
      <c r="AH1586" s="22" t="str">
        <f t="shared" si="524"/>
        <v/>
      </c>
      <c r="AI1586" s="22" t="str">
        <f t="shared" si="525"/>
        <v/>
      </c>
      <c r="AJ1586" s="304" t="str">
        <f t="shared" si="526"/>
        <v/>
      </c>
      <c r="AK1586" s="140" t="str">
        <f t="shared" si="527"/>
        <v/>
      </c>
    </row>
    <row r="1587" spans="7:37" x14ac:dyDescent="0.25">
      <c r="G1587" s="235" t="str">
        <f t="shared" si="516"/>
        <v/>
      </c>
      <c r="H1587" s="4" t="str">
        <f t="shared" si="515"/>
        <v/>
      </c>
      <c r="I1587" s="11" t="str">
        <f t="shared" si="517"/>
        <v/>
      </c>
      <c r="K1587" s="30">
        <v>665</v>
      </c>
      <c r="L1587" s="29">
        <f t="shared" si="528"/>
        <v>11371.908376190921</v>
      </c>
      <c r="M1587" s="28" t="str">
        <f t="shared" si="518"/>
        <v/>
      </c>
      <c r="N1587" s="27" t="str">
        <f t="shared" si="529"/>
        <v/>
      </c>
      <c r="O1587" s="26" t="str">
        <f>IF(AND($Q1586=$O$38,IFERROR(LARGE($V$923:$V1586,1)&lt;$N$42,TRUE)),1,IF(AND(ISNUMBER($O1586),$O1586&lt;$N$32),$O1586+1,""))</f>
        <v/>
      </c>
      <c r="P1587" s="26" t="str">
        <f t="shared" si="530"/>
        <v/>
      </c>
      <c r="Q1587" s="26" t="str">
        <f t="shared" si="519"/>
        <v/>
      </c>
      <c r="R1587" s="24" t="str">
        <f t="shared" si="531"/>
        <v/>
      </c>
      <c r="S1587" s="180">
        <f t="shared" si="537"/>
        <v>8</v>
      </c>
      <c r="T1587" s="29">
        <f>SUM($AC$923:$AC1587)</f>
        <v>49500</v>
      </c>
      <c r="U1587" s="25" t="str">
        <f t="shared" si="520"/>
        <v/>
      </c>
      <c r="V1587" s="24" t="str">
        <f>IF(AND(ISNUMBER(R1586),ISNUMBER(R1587)),V1586,IF(AND(R1586="",ISNUMBER(R1587)),IFERROR(LARGE($V$923:$V1586,1)+1,0),""))</f>
        <v/>
      </c>
      <c r="W1587" s="23" t="str">
        <f t="shared" si="532"/>
        <v/>
      </c>
      <c r="X1587" s="22" t="str">
        <f t="shared" si="533"/>
        <v/>
      </c>
      <c r="Y1587" s="236"/>
      <c r="Z1587" s="22"/>
      <c r="AA1587" s="22"/>
      <c r="AB1587" s="22" t="str">
        <f t="shared" si="534"/>
        <v/>
      </c>
      <c r="AC1587" s="22" t="str">
        <f t="shared" si="535"/>
        <v/>
      </c>
      <c r="AD1587" s="22" t="str">
        <f t="shared" si="521"/>
        <v/>
      </c>
      <c r="AE1587" s="22" t="str">
        <f t="shared" si="536"/>
        <v/>
      </c>
      <c r="AF1587" s="22" t="str">
        <f t="shared" si="522"/>
        <v/>
      </c>
      <c r="AG1587" s="22" t="str">
        <f t="shared" si="523"/>
        <v/>
      </c>
      <c r="AH1587" s="22" t="str">
        <f t="shared" si="524"/>
        <v/>
      </c>
      <c r="AI1587" s="22" t="str">
        <f t="shared" si="525"/>
        <v/>
      </c>
      <c r="AJ1587" s="304" t="str">
        <f t="shared" si="526"/>
        <v/>
      </c>
      <c r="AK1587" s="140" t="str">
        <f t="shared" si="527"/>
        <v/>
      </c>
    </row>
    <row r="1588" spans="7:37" x14ac:dyDescent="0.25">
      <c r="G1588" s="235" t="str">
        <f t="shared" si="516"/>
        <v/>
      </c>
      <c r="H1588" s="4" t="str">
        <f t="shared" si="515"/>
        <v/>
      </c>
      <c r="I1588" s="11" t="str">
        <f t="shared" si="517"/>
        <v/>
      </c>
      <c r="K1588" s="30">
        <v>666</v>
      </c>
      <c r="L1588" s="29">
        <f t="shared" si="528"/>
        <v>11371.908376190921</v>
      </c>
      <c r="M1588" s="28" t="str">
        <f t="shared" si="518"/>
        <v/>
      </c>
      <c r="N1588" s="27" t="str">
        <f t="shared" si="529"/>
        <v/>
      </c>
      <c r="O1588" s="26" t="str">
        <f>IF(AND($Q1587=$O$38,IFERROR(LARGE($V$923:$V1587,1)&lt;$N$42,TRUE)),1,IF(AND(ISNUMBER($O1587),$O1587&lt;$N$32),$O1587+1,""))</f>
        <v/>
      </c>
      <c r="P1588" s="26" t="str">
        <f t="shared" si="530"/>
        <v/>
      </c>
      <c r="Q1588" s="26" t="str">
        <f t="shared" si="519"/>
        <v/>
      </c>
      <c r="R1588" s="24" t="str">
        <f t="shared" si="531"/>
        <v/>
      </c>
      <c r="S1588" s="180">
        <f t="shared" si="537"/>
        <v>8</v>
      </c>
      <c r="T1588" s="29">
        <f>SUM($AC$923:$AC1588)</f>
        <v>49500</v>
      </c>
      <c r="U1588" s="25" t="str">
        <f t="shared" si="520"/>
        <v/>
      </c>
      <c r="V1588" s="24" t="str">
        <f>IF(AND(ISNUMBER(R1587),ISNUMBER(R1588)),V1587,IF(AND(R1587="",ISNUMBER(R1588)),IFERROR(LARGE($V$923:$V1587,1)+1,0),""))</f>
        <v/>
      </c>
      <c r="W1588" s="23" t="str">
        <f t="shared" si="532"/>
        <v/>
      </c>
      <c r="X1588" s="22" t="str">
        <f t="shared" si="533"/>
        <v/>
      </c>
      <c r="Y1588" s="236"/>
      <c r="Z1588" s="22"/>
      <c r="AA1588" s="22"/>
      <c r="AB1588" s="22" t="str">
        <f t="shared" si="534"/>
        <v/>
      </c>
      <c r="AC1588" s="22" t="str">
        <f t="shared" si="535"/>
        <v/>
      </c>
      <c r="AD1588" s="22" t="str">
        <f t="shared" si="521"/>
        <v/>
      </c>
      <c r="AE1588" s="22" t="str">
        <f t="shared" si="536"/>
        <v/>
      </c>
      <c r="AF1588" s="22" t="str">
        <f t="shared" si="522"/>
        <v/>
      </c>
      <c r="AG1588" s="22" t="str">
        <f t="shared" si="523"/>
        <v/>
      </c>
      <c r="AH1588" s="22" t="str">
        <f t="shared" si="524"/>
        <v/>
      </c>
      <c r="AI1588" s="22" t="str">
        <f t="shared" si="525"/>
        <v/>
      </c>
      <c r="AJ1588" s="304" t="str">
        <f t="shared" si="526"/>
        <v/>
      </c>
      <c r="AK1588" s="140" t="str">
        <f t="shared" si="527"/>
        <v/>
      </c>
    </row>
    <row r="1589" spans="7:37" x14ac:dyDescent="0.25">
      <c r="G1589" s="235" t="str">
        <f t="shared" si="516"/>
        <v/>
      </c>
      <c r="H1589" s="4" t="str">
        <f t="shared" si="515"/>
        <v/>
      </c>
      <c r="I1589" s="11" t="str">
        <f t="shared" si="517"/>
        <v/>
      </c>
      <c r="K1589" s="30">
        <v>667</v>
      </c>
      <c r="L1589" s="29">
        <f t="shared" si="528"/>
        <v>11371.908376190921</v>
      </c>
      <c r="M1589" s="28" t="str">
        <f t="shared" si="518"/>
        <v/>
      </c>
      <c r="N1589" s="27" t="str">
        <f t="shared" si="529"/>
        <v/>
      </c>
      <c r="O1589" s="26" t="str">
        <f>IF(AND($Q1588=$O$38,IFERROR(LARGE($V$923:$V1588,1)&lt;$N$42,TRUE)),1,IF(AND(ISNUMBER($O1588),$O1588&lt;$N$32),$O1588+1,""))</f>
        <v/>
      </c>
      <c r="P1589" s="26" t="str">
        <f t="shared" si="530"/>
        <v/>
      </c>
      <c r="Q1589" s="26" t="str">
        <f t="shared" si="519"/>
        <v/>
      </c>
      <c r="R1589" s="24" t="str">
        <f t="shared" si="531"/>
        <v/>
      </c>
      <c r="S1589" s="180">
        <f t="shared" si="537"/>
        <v>8</v>
      </c>
      <c r="T1589" s="29">
        <f>SUM($AC$923:$AC1589)</f>
        <v>49500</v>
      </c>
      <c r="U1589" s="25" t="str">
        <f t="shared" si="520"/>
        <v/>
      </c>
      <c r="V1589" s="24" t="str">
        <f>IF(AND(ISNUMBER(R1588),ISNUMBER(R1589)),V1588,IF(AND(R1588="",ISNUMBER(R1589)),IFERROR(LARGE($V$923:$V1588,1)+1,0),""))</f>
        <v/>
      </c>
      <c r="W1589" s="23" t="str">
        <f t="shared" si="532"/>
        <v/>
      </c>
      <c r="X1589" s="22" t="str">
        <f t="shared" si="533"/>
        <v/>
      </c>
      <c r="Y1589" s="236"/>
      <c r="Z1589" s="22"/>
      <c r="AA1589" s="22"/>
      <c r="AB1589" s="22" t="str">
        <f t="shared" si="534"/>
        <v/>
      </c>
      <c r="AC1589" s="22" t="str">
        <f t="shared" si="535"/>
        <v/>
      </c>
      <c r="AD1589" s="22" t="str">
        <f t="shared" si="521"/>
        <v/>
      </c>
      <c r="AE1589" s="22" t="str">
        <f t="shared" si="536"/>
        <v/>
      </c>
      <c r="AF1589" s="22" t="str">
        <f t="shared" si="522"/>
        <v/>
      </c>
      <c r="AG1589" s="22" t="str">
        <f t="shared" si="523"/>
        <v/>
      </c>
      <c r="AH1589" s="22" t="str">
        <f t="shared" si="524"/>
        <v/>
      </c>
      <c r="AI1589" s="22" t="str">
        <f t="shared" si="525"/>
        <v/>
      </c>
      <c r="AJ1589" s="304" t="str">
        <f t="shared" si="526"/>
        <v/>
      </c>
      <c r="AK1589" s="140" t="str">
        <f t="shared" si="527"/>
        <v/>
      </c>
    </row>
    <row r="1590" spans="7:37" x14ac:dyDescent="0.25">
      <c r="G1590" s="235" t="str">
        <f t="shared" si="516"/>
        <v/>
      </c>
      <c r="H1590" s="4" t="str">
        <f t="shared" si="515"/>
        <v/>
      </c>
      <c r="I1590" s="11" t="str">
        <f t="shared" si="517"/>
        <v/>
      </c>
      <c r="K1590" s="30">
        <v>668</v>
      </c>
      <c r="L1590" s="29">
        <f t="shared" si="528"/>
        <v>11371.908376190921</v>
      </c>
      <c r="M1590" s="28" t="str">
        <f t="shared" si="518"/>
        <v/>
      </c>
      <c r="N1590" s="27" t="str">
        <f t="shared" si="529"/>
        <v/>
      </c>
      <c r="O1590" s="26" t="str">
        <f>IF(AND($Q1589=$O$38,IFERROR(LARGE($V$923:$V1589,1)&lt;$N$42,TRUE)),1,IF(AND(ISNUMBER($O1589),$O1589&lt;$N$32),$O1589+1,""))</f>
        <v/>
      </c>
      <c r="P1590" s="26" t="str">
        <f t="shared" si="530"/>
        <v/>
      </c>
      <c r="Q1590" s="26" t="str">
        <f t="shared" si="519"/>
        <v/>
      </c>
      <c r="R1590" s="24" t="str">
        <f t="shared" si="531"/>
        <v/>
      </c>
      <c r="S1590" s="180">
        <f t="shared" si="537"/>
        <v>8</v>
      </c>
      <c r="T1590" s="29">
        <f>SUM($AC$923:$AC1590)</f>
        <v>49500</v>
      </c>
      <c r="U1590" s="25" t="str">
        <f t="shared" si="520"/>
        <v/>
      </c>
      <c r="V1590" s="24" t="str">
        <f>IF(AND(ISNUMBER(R1589),ISNUMBER(R1590)),V1589,IF(AND(R1589="",ISNUMBER(R1590)),IFERROR(LARGE($V$923:$V1589,1)+1,0),""))</f>
        <v/>
      </c>
      <c r="W1590" s="23" t="str">
        <f t="shared" si="532"/>
        <v/>
      </c>
      <c r="X1590" s="22" t="str">
        <f t="shared" si="533"/>
        <v/>
      </c>
      <c r="Y1590" s="236"/>
      <c r="Z1590" s="22"/>
      <c r="AA1590" s="22"/>
      <c r="AB1590" s="22" t="str">
        <f t="shared" si="534"/>
        <v/>
      </c>
      <c r="AC1590" s="22" t="str">
        <f t="shared" si="535"/>
        <v/>
      </c>
      <c r="AD1590" s="22" t="str">
        <f t="shared" si="521"/>
        <v/>
      </c>
      <c r="AE1590" s="22" t="str">
        <f t="shared" si="536"/>
        <v/>
      </c>
      <c r="AF1590" s="22" t="str">
        <f t="shared" si="522"/>
        <v/>
      </c>
      <c r="AG1590" s="22" t="str">
        <f t="shared" si="523"/>
        <v/>
      </c>
      <c r="AH1590" s="22" t="str">
        <f t="shared" si="524"/>
        <v/>
      </c>
      <c r="AI1590" s="22" t="str">
        <f t="shared" si="525"/>
        <v/>
      </c>
      <c r="AJ1590" s="304" t="str">
        <f t="shared" si="526"/>
        <v/>
      </c>
      <c r="AK1590" s="140" t="str">
        <f t="shared" si="527"/>
        <v/>
      </c>
    </row>
    <row r="1591" spans="7:37" x14ac:dyDescent="0.25">
      <c r="G1591" s="235" t="str">
        <f t="shared" si="516"/>
        <v/>
      </c>
      <c r="H1591" s="4" t="str">
        <f t="shared" si="515"/>
        <v/>
      </c>
      <c r="I1591" s="11" t="str">
        <f t="shared" si="517"/>
        <v/>
      </c>
      <c r="K1591" s="30">
        <v>669</v>
      </c>
      <c r="L1591" s="29">
        <f t="shared" si="528"/>
        <v>11371.908376190921</v>
      </c>
      <c r="M1591" s="28" t="str">
        <f t="shared" si="518"/>
        <v/>
      </c>
      <c r="N1591" s="27" t="str">
        <f t="shared" si="529"/>
        <v/>
      </c>
      <c r="O1591" s="26" t="str">
        <f>IF(AND($Q1590=$O$38,IFERROR(LARGE($V$923:$V1590,1)&lt;$N$42,TRUE)),1,IF(AND(ISNUMBER($O1590),$O1590&lt;$N$32),$O1590+1,""))</f>
        <v/>
      </c>
      <c r="P1591" s="26" t="str">
        <f t="shared" si="530"/>
        <v/>
      </c>
      <c r="Q1591" s="26" t="str">
        <f t="shared" si="519"/>
        <v/>
      </c>
      <c r="R1591" s="24" t="str">
        <f t="shared" si="531"/>
        <v/>
      </c>
      <c r="S1591" s="180">
        <f t="shared" si="537"/>
        <v>8</v>
      </c>
      <c r="T1591" s="29">
        <f>SUM($AC$923:$AC1591)</f>
        <v>49500</v>
      </c>
      <c r="U1591" s="25" t="str">
        <f t="shared" si="520"/>
        <v/>
      </c>
      <c r="V1591" s="24" t="str">
        <f>IF(AND(ISNUMBER(R1590),ISNUMBER(R1591)),V1590,IF(AND(R1590="",ISNUMBER(R1591)),IFERROR(LARGE($V$923:$V1590,1)+1,0),""))</f>
        <v/>
      </c>
      <c r="W1591" s="23" t="str">
        <f t="shared" si="532"/>
        <v/>
      </c>
      <c r="X1591" s="22" t="str">
        <f t="shared" si="533"/>
        <v/>
      </c>
      <c r="Y1591" s="236"/>
      <c r="Z1591" s="22"/>
      <c r="AA1591" s="22"/>
      <c r="AB1591" s="22" t="str">
        <f t="shared" si="534"/>
        <v/>
      </c>
      <c r="AC1591" s="22" t="str">
        <f t="shared" si="535"/>
        <v/>
      </c>
      <c r="AD1591" s="22" t="str">
        <f t="shared" si="521"/>
        <v/>
      </c>
      <c r="AE1591" s="22" t="str">
        <f t="shared" si="536"/>
        <v/>
      </c>
      <c r="AF1591" s="22" t="str">
        <f t="shared" si="522"/>
        <v/>
      </c>
      <c r="AG1591" s="22" t="str">
        <f t="shared" si="523"/>
        <v/>
      </c>
      <c r="AH1591" s="22" t="str">
        <f t="shared" si="524"/>
        <v/>
      </c>
      <c r="AI1591" s="22" t="str">
        <f t="shared" si="525"/>
        <v/>
      </c>
      <c r="AJ1591" s="304" t="str">
        <f t="shared" si="526"/>
        <v/>
      </c>
      <c r="AK1591" s="140" t="str">
        <f t="shared" si="527"/>
        <v/>
      </c>
    </row>
    <row r="1592" spans="7:37" x14ac:dyDescent="0.25">
      <c r="G1592" s="235" t="str">
        <f t="shared" si="516"/>
        <v/>
      </c>
      <c r="H1592" s="4" t="str">
        <f t="shared" si="515"/>
        <v/>
      </c>
      <c r="I1592" s="11" t="str">
        <f t="shared" si="517"/>
        <v/>
      </c>
      <c r="K1592" s="30">
        <v>670</v>
      </c>
      <c r="L1592" s="29">
        <f t="shared" si="528"/>
        <v>11371.908376190921</v>
      </c>
      <c r="M1592" s="28" t="str">
        <f t="shared" si="518"/>
        <v/>
      </c>
      <c r="N1592" s="27" t="str">
        <f t="shared" si="529"/>
        <v/>
      </c>
      <c r="O1592" s="26" t="str">
        <f>IF(AND($Q1591=$O$38,IFERROR(LARGE($V$923:$V1591,1)&lt;$N$42,TRUE)),1,IF(AND(ISNUMBER($O1591),$O1591&lt;$N$32),$O1591+1,""))</f>
        <v/>
      </c>
      <c r="P1592" s="26" t="str">
        <f t="shared" si="530"/>
        <v/>
      </c>
      <c r="Q1592" s="26" t="str">
        <f t="shared" si="519"/>
        <v/>
      </c>
      <c r="R1592" s="24" t="str">
        <f t="shared" si="531"/>
        <v/>
      </c>
      <c r="S1592" s="180">
        <f t="shared" si="537"/>
        <v>8</v>
      </c>
      <c r="T1592" s="29">
        <f>SUM($AC$923:$AC1592)</f>
        <v>49500</v>
      </c>
      <c r="U1592" s="25" t="str">
        <f t="shared" si="520"/>
        <v/>
      </c>
      <c r="V1592" s="24" t="str">
        <f>IF(AND(ISNUMBER(R1591),ISNUMBER(R1592)),V1591,IF(AND(R1591="",ISNUMBER(R1592)),IFERROR(LARGE($V$923:$V1591,1)+1,0),""))</f>
        <v/>
      </c>
      <c r="W1592" s="23" t="str">
        <f t="shared" si="532"/>
        <v/>
      </c>
      <c r="X1592" s="22" t="str">
        <f t="shared" si="533"/>
        <v/>
      </c>
      <c r="Y1592" s="236"/>
      <c r="Z1592" s="22"/>
      <c r="AA1592" s="22"/>
      <c r="AB1592" s="22" t="str">
        <f t="shared" si="534"/>
        <v/>
      </c>
      <c r="AC1592" s="22" t="str">
        <f t="shared" si="535"/>
        <v/>
      </c>
      <c r="AD1592" s="22" t="str">
        <f t="shared" si="521"/>
        <v/>
      </c>
      <c r="AE1592" s="22" t="str">
        <f t="shared" si="536"/>
        <v/>
      </c>
      <c r="AF1592" s="22" t="str">
        <f t="shared" si="522"/>
        <v/>
      </c>
      <c r="AG1592" s="22" t="str">
        <f t="shared" si="523"/>
        <v/>
      </c>
      <c r="AH1592" s="22" t="str">
        <f t="shared" si="524"/>
        <v/>
      </c>
      <c r="AI1592" s="22" t="str">
        <f t="shared" si="525"/>
        <v/>
      </c>
      <c r="AJ1592" s="304" t="str">
        <f t="shared" si="526"/>
        <v/>
      </c>
      <c r="AK1592" s="140" t="str">
        <f t="shared" si="527"/>
        <v/>
      </c>
    </row>
    <row r="1593" spans="7:37" x14ac:dyDescent="0.25">
      <c r="G1593" s="235" t="str">
        <f t="shared" si="516"/>
        <v/>
      </c>
      <c r="H1593" s="4" t="str">
        <f t="shared" si="515"/>
        <v/>
      </c>
      <c r="I1593" s="11" t="str">
        <f t="shared" si="517"/>
        <v/>
      </c>
      <c r="K1593" s="30">
        <v>671</v>
      </c>
      <c r="L1593" s="29">
        <f t="shared" si="528"/>
        <v>11371.908376190921</v>
      </c>
      <c r="M1593" s="28" t="str">
        <f t="shared" si="518"/>
        <v/>
      </c>
      <c r="N1593" s="27" t="str">
        <f t="shared" si="529"/>
        <v/>
      </c>
      <c r="O1593" s="26" t="str">
        <f>IF(AND($Q1592=$O$38,IFERROR(LARGE($V$923:$V1592,1)&lt;$N$42,TRUE)),1,IF(AND(ISNUMBER($O1592),$O1592&lt;$N$32),$O1592+1,""))</f>
        <v/>
      </c>
      <c r="P1593" s="26" t="str">
        <f t="shared" si="530"/>
        <v/>
      </c>
      <c r="Q1593" s="26" t="str">
        <f t="shared" si="519"/>
        <v/>
      </c>
      <c r="R1593" s="24" t="str">
        <f t="shared" si="531"/>
        <v/>
      </c>
      <c r="S1593" s="180">
        <f t="shared" si="537"/>
        <v>8</v>
      </c>
      <c r="T1593" s="29">
        <f>SUM($AC$923:$AC1593)</f>
        <v>49500</v>
      </c>
      <c r="U1593" s="25" t="str">
        <f t="shared" si="520"/>
        <v/>
      </c>
      <c r="V1593" s="24" t="str">
        <f>IF(AND(ISNUMBER(R1592),ISNUMBER(R1593)),V1592,IF(AND(R1592="",ISNUMBER(R1593)),IFERROR(LARGE($V$923:$V1592,1)+1,0),""))</f>
        <v/>
      </c>
      <c r="W1593" s="23" t="str">
        <f t="shared" si="532"/>
        <v/>
      </c>
      <c r="X1593" s="22" t="str">
        <f t="shared" si="533"/>
        <v/>
      </c>
      <c r="Y1593" s="236"/>
      <c r="Z1593" s="22"/>
      <c r="AA1593" s="22"/>
      <c r="AB1593" s="22" t="str">
        <f t="shared" si="534"/>
        <v/>
      </c>
      <c r="AC1593" s="22" t="str">
        <f t="shared" si="535"/>
        <v/>
      </c>
      <c r="AD1593" s="22" t="str">
        <f t="shared" si="521"/>
        <v/>
      </c>
      <c r="AE1593" s="22" t="str">
        <f t="shared" si="536"/>
        <v/>
      </c>
      <c r="AF1593" s="22" t="str">
        <f t="shared" si="522"/>
        <v/>
      </c>
      <c r="AG1593" s="22" t="str">
        <f t="shared" si="523"/>
        <v/>
      </c>
      <c r="AH1593" s="22" t="str">
        <f t="shared" si="524"/>
        <v/>
      </c>
      <c r="AI1593" s="22" t="str">
        <f t="shared" si="525"/>
        <v/>
      </c>
      <c r="AJ1593" s="304" t="str">
        <f t="shared" si="526"/>
        <v/>
      </c>
      <c r="AK1593" s="140" t="str">
        <f t="shared" si="527"/>
        <v/>
      </c>
    </row>
    <row r="1594" spans="7:37" x14ac:dyDescent="0.25">
      <c r="G1594" s="235" t="str">
        <f t="shared" si="516"/>
        <v/>
      </c>
      <c r="H1594" s="4" t="str">
        <f t="shared" ref="H1594:H1652" si="538">IF(SUM(N1594:R1594)&gt;0,CONCATENATE(IF(LEN(ROUNDDOWN(S1594,0))=1,CONCATENATE("0",ROUNDDOWN(S1594,0)),ROUNDDOWN(S1594,0)),".",IF(LEN(ROUND(MOD(S1594,1)*100,0))=1,CONCATENATE("0",ROUND(MOD(S1594,1)*100,0)),ROUND(MOD(S1594,1)*100,0)),IF(N1594&lt;&gt;"",".N",IF(O1594&lt;&gt;"",".R",IF(P1594&lt;&gt;"",".O",IF(Q1594&lt;&gt;"",".I",IF(R1594&lt;&gt;"",".D","")))))),"")</f>
        <v/>
      </c>
      <c r="I1594" s="11" t="str">
        <f t="shared" si="517"/>
        <v/>
      </c>
      <c r="K1594" s="30">
        <v>672</v>
      </c>
      <c r="L1594" s="29">
        <f t="shared" si="528"/>
        <v>11371.908376190921</v>
      </c>
      <c r="M1594" s="28" t="str">
        <f t="shared" si="518"/>
        <v/>
      </c>
      <c r="N1594" s="27" t="str">
        <f t="shared" si="529"/>
        <v/>
      </c>
      <c r="O1594" s="26" t="str">
        <f>IF(AND($Q1593=$O$38,IFERROR(LARGE($V$923:$V1593,1)&lt;$N$42,TRUE)),1,IF(AND(ISNUMBER($O1593),$O1593&lt;$N$32),$O1593+1,""))</f>
        <v/>
      </c>
      <c r="P1594" s="26" t="str">
        <f t="shared" si="530"/>
        <v/>
      </c>
      <c r="Q1594" s="26" t="str">
        <f t="shared" si="519"/>
        <v/>
      </c>
      <c r="R1594" s="24" t="str">
        <f t="shared" si="531"/>
        <v/>
      </c>
      <c r="S1594" s="180">
        <f t="shared" si="537"/>
        <v>8</v>
      </c>
      <c r="T1594" s="29">
        <f>SUM($AC$923:$AC1594)</f>
        <v>49500</v>
      </c>
      <c r="U1594" s="25" t="str">
        <f t="shared" si="520"/>
        <v/>
      </c>
      <c r="V1594" s="24" t="str">
        <f>IF(AND(ISNUMBER(R1593),ISNUMBER(R1594)),V1593,IF(AND(R1593="",ISNUMBER(R1594)),IFERROR(LARGE($V$923:$V1593,1)+1,0),""))</f>
        <v/>
      </c>
      <c r="W1594" s="23" t="str">
        <f t="shared" si="532"/>
        <v/>
      </c>
      <c r="X1594" s="22" t="str">
        <f t="shared" si="533"/>
        <v/>
      </c>
      <c r="Y1594" s="236"/>
      <c r="Z1594" s="22"/>
      <c r="AA1594" s="22"/>
      <c r="AB1594" s="22" t="str">
        <f t="shared" si="534"/>
        <v/>
      </c>
      <c r="AC1594" s="22" t="str">
        <f t="shared" si="535"/>
        <v/>
      </c>
      <c r="AD1594" s="22" t="str">
        <f t="shared" si="521"/>
        <v/>
      </c>
      <c r="AE1594" s="22" t="str">
        <f t="shared" si="536"/>
        <v/>
      </c>
      <c r="AF1594" s="22" t="str">
        <f t="shared" si="522"/>
        <v/>
      </c>
      <c r="AG1594" s="22" t="str">
        <f t="shared" si="523"/>
        <v/>
      </c>
      <c r="AH1594" s="22" t="str">
        <f t="shared" si="524"/>
        <v/>
      </c>
      <c r="AI1594" s="22" t="str">
        <f t="shared" si="525"/>
        <v/>
      </c>
      <c r="AJ1594" s="304" t="str">
        <f t="shared" si="526"/>
        <v/>
      </c>
      <c r="AK1594" s="140" t="str">
        <f t="shared" si="527"/>
        <v/>
      </c>
    </row>
    <row r="1595" spans="7:37" x14ac:dyDescent="0.25">
      <c r="G1595" s="235" t="str">
        <f t="shared" si="516"/>
        <v/>
      </c>
      <c r="H1595" s="4" t="str">
        <f t="shared" si="538"/>
        <v/>
      </c>
      <c r="I1595" s="11" t="str">
        <f t="shared" si="517"/>
        <v/>
      </c>
      <c r="K1595" s="30">
        <v>673</v>
      </c>
      <c r="L1595" s="29">
        <f t="shared" si="528"/>
        <v>11371.908376190921</v>
      </c>
      <c r="M1595" s="28" t="str">
        <f t="shared" si="518"/>
        <v/>
      </c>
      <c r="N1595" s="27" t="str">
        <f t="shared" si="529"/>
        <v/>
      </c>
      <c r="O1595" s="26" t="str">
        <f>IF(AND($Q1594=$O$38,IFERROR(LARGE($V$923:$V1594,1)&lt;$N$42,TRUE)),1,IF(AND(ISNUMBER($O1594),$O1594&lt;$N$32),$O1594+1,""))</f>
        <v/>
      </c>
      <c r="P1595" s="26" t="str">
        <f t="shared" si="530"/>
        <v/>
      </c>
      <c r="Q1595" s="26" t="str">
        <f t="shared" si="519"/>
        <v/>
      </c>
      <c r="R1595" s="24" t="str">
        <f t="shared" si="531"/>
        <v/>
      </c>
      <c r="S1595" s="180">
        <f t="shared" si="537"/>
        <v>8</v>
      </c>
      <c r="T1595" s="29">
        <f>SUM($AC$923:$AC1595)</f>
        <v>49500</v>
      </c>
      <c r="U1595" s="25" t="str">
        <f t="shared" si="520"/>
        <v/>
      </c>
      <c r="V1595" s="24" t="str">
        <f>IF(AND(ISNUMBER(R1594),ISNUMBER(R1595)),V1594,IF(AND(R1594="",ISNUMBER(R1595)),IFERROR(LARGE($V$923:$V1594,1)+1,0),""))</f>
        <v/>
      </c>
      <c r="W1595" s="23" t="str">
        <f t="shared" si="532"/>
        <v/>
      </c>
      <c r="X1595" s="22" t="str">
        <f t="shared" si="533"/>
        <v/>
      </c>
      <c r="Y1595" s="236"/>
      <c r="Z1595" s="22"/>
      <c r="AA1595" s="22"/>
      <c r="AB1595" s="22" t="str">
        <f t="shared" si="534"/>
        <v/>
      </c>
      <c r="AC1595" s="22" t="str">
        <f t="shared" si="535"/>
        <v/>
      </c>
      <c r="AD1595" s="22" t="str">
        <f t="shared" si="521"/>
        <v/>
      </c>
      <c r="AE1595" s="22" t="str">
        <f t="shared" si="536"/>
        <v/>
      </c>
      <c r="AF1595" s="22" t="str">
        <f t="shared" si="522"/>
        <v/>
      </c>
      <c r="AG1595" s="22" t="str">
        <f t="shared" si="523"/>
        <v/>
      </c>
      <c r="AH1595" s="22" t="str">
        <f t="shared" si="524"/>
        <v/>
      </c>
      <c r="AI1595" s="22" t="str">
        <f t="shared" si="525"/>
        <v/>
      </c>
      <c r="AJ1595" s="304" t="str">
        <f t="shared" si="526"/>
        <v/>
      </c>
      <c r="AK1595" s="140" t="str">
        <f t="shared" si="527"/>
        <v/>
      </c>
    </row>
    <row r="1596" spans="7:37" x14ac:dyDescent="0.25">
      <c r="G1596" s="235" t="str">
        <f t="shared" si="516"/>
        <v/>
      </c>
      <c r="H1596" s="4" t="str">
        <f t="shared" si="538"/>
        <v/>
      </c>
      <c r="I1596" s="11" t="str">
        <f t="shared" si="517"/>
        <v/>
      </c>
      <c r="K1596" s="30">
        <v>674</v>
      </c>
      <c r="L1596" s="29">
        <f t="shared" si="528"/>
        <v>11371.908376190921</v>
      </c>
      <c r="M1596" s="28" t="str">
        <f t="shared" si="518"/>
        <v/>
      </c>
      <c r="N1596" s="27" t="str">
        <f t="shared" si="529"/>
        <v/>
      </c>
      <c r="O1596" s="26" t="str">
        <f>IF(AND($Q1595=$O$38,IFERROR(LARGE($V$923:$V1595,1)&lt;$N$42,TRUE)),1,IF(AND(ISNUMBER($O1595),$O1595&lt;$N$32),$O1595+1,""))</f>
        <v/>
      </c>
      <c r="P1596" s="26" t="str">
        <f t="shared" si="530"/>
        <v/>
      </c>
      <c r="Q1596" s="26" t="str">
        <f t="shared" si="519"/>
        <v/>
      </c>
      <c r="R1596" s="24" t="str">
        <f t="shared" si="531"/>
        <v/>
      </c>
      <c r="S1596" s="180">
        <f t="shared" si="537"/>
        <v>8</v>
      </c>
      <c r="T1596" s="29">
        <f>SUM($AC$923:$AC1596)</f>
        <v>49500</v>
      </c>
      <c r="U1596" s="25" t="str">
        <f t="shared" si="520"/>
        <v/>
      </c>
      <c r="V1596" s="24" t="str">
        <f>IF(AND(ISNUMBER(R1595),ISNUMBER(R1596)),V1595,IF(AND(R1595="",ISNUMBER(R1596)),IFERROR(LARGE($V$923:$V1595,1)+1,0),""))</f>
        <v/>
      </c>
      <c r="W1596" s="23" t="str">
        <f t="shared" si="532"/>
        <v/>
      </c>
      <c r="X1596" s="22" t="str">
        <f t="shared" si="533"/>
        <v/>
      </c>
      <c r="Y1596" s="236"/>
      <c r="Z1596" s="22"/>
      <c r="AA1596" s="22"/>
      <c r="AB1596" s="22" t="str">
        <f t="shared" si="534"/>
        <v/>
      </c>
      <c r="AC1596" s="22" t="str">
        <f t="shared" si="535"/>
        <v/>
      </c>
      <c r="AD1596" s="22" t="str">
        <f t="shared" si="521"/>
        <v/>
      </c>
      <c r="AE1596" s="22" t="str">
        <f t="shared" si="536"/>
        <v/>
      </c>
      <c r="AF1596" s="22" t="str">
        <f t="shared" si="522"/>
        <v/>
      </c>
      <c r="AG1596" s="22" t="str">
        <f t="shared" si="523"/>
        <v/>
      </c>
      <c r="AH1596" s="22" t="str">
        <f t="shared" si="524"/>
        <v/>
      </c>
      <c r="AI1596" s="22" t="str">
        <f t="shared" si="525"/>
        <v/>
      </c>
      <c r="AJ1596" s="304" t="str">
        <f t="shared" si="526"/>
        <v/>
      </c>
      <c r="AK1596" s="140" t="str">
        <f t="shared" si="527"/>
        <v/>
      </c>
    </row>
    <row r="1597" spans="7:37" x14ac:dyDescent="0.25">
      <c r="G1597" s="235" t="str">
        <f t="shared" si="516"/>
        <v/>
      </c>
      <c r="H1597" s="4" t="str">
        <f t="shared" si="538"/>
        <v/>
      </c>
      <c r="I1597" s="11" t="str">
        <f t="shared" si="517"/>
        <v/>
      </c>
      <c r="K1597" s="30">
        <v>675</v>
      </c>
      <c r="L1597" s="29">
        <f t="shared" si="528"/>
        <v>11371.908376190921</v>
      </c>
      <c r="M1597" s="28" t="str">
        <f t="shared" si="518"/>
        <v/>
      </c>
      <c r="N1597" s="27" t="str">
        <f t="shared" si="529"/>
        <v/>
      </c>
      <c r="O1597" s="26" t="str">
        <f>IF(AND($Q1596=$O$38,IFERROR(LARGE($V$923:$V1596,1)&lt;$N$42,TRUE)),1,IF(AND(ISNUMBER($O1596),$O1596&lt;$N$32),$O1596+1,""))</f>
        <v/>
      </c>
      <c r="P1597" s="26" t="str">
        <f t="shared" si="530"/>
        <v/>
      </c>
      <c r="Q1597" s="26" t="str">
        <f t="shared" si="519"/>
        <v/>
      </c>
      <c r="R1597" s="24" t="str">
        <f t="shared" si="531"/>
        <v/>
      </c>
      <c r="S1597" s="180">
        <f t="shared" si="537"/>
        <v>8</v>
      </c>
      <c r="T1597" s="29">
        <f>SUM($AC$923:$AC1597)</f>
        <v>49500</v>
      </c>
      <c r="U1597" s="25" t="str">
        <f t="shared" si="520"/>
        <v/>
      </c>
      <c r="V1597" s="24" t="str">
        <f>IF(AND(ISNUMBER(R1596),ISNUMBER(R1597)),V1596,IF(AND(R1596="",ISNUMBER(R1597)),IFERROR(LARGE($V$923:$V1596,1)+1,0),""))</f>
        <v/>
      </c>
      <c r="W1597" s="23" t="str">
        <f t="shared" si="532"/>
        <v/>
      </c>
      <c r="X1597" s="22" t="str">
        <f t="shared" si="533"/>
        <v/>
      </c>
      <c r="Y1597" s="236"/>
      <c r="Z1597" s="22"/>
      <c r="AA1597" s="22"/>
      <c r="AB1597" s="22" t="str">
        <f t="shared" si="534"/>
        <v/>
      </c>
      <c r="AC1597" s="22" t="str">
        <f t="shared" si="535"/>
        <v/>
      </c>
      <c r="AD1597" s="22" t="str">
        <f t="shared" si="521"/>
        <v/>
      </c>
      <c r="AE1597" s="22" t="str">
        <f t="shared" si="536"/>
        <v/>
      </c>
      <c r="AF1597" s="22" t="str">
        <f t="shared" si="522"/>
        <v/>
      </c>
      <c r="AG1597" s="22" t="str">
        <f t="shared" si="523"/>
        <v/>
      </c>
      <c r="AH1597" s="22" t="str">
        <f t="shared" si="524"/>
        <v/>
      </c>
      <c r="AI1597" s="22" t="str">
        <f t="shared" si="525"/>
        <v/>
      </c>
      <c r="AJ1597" s="304" t="str">
        <f t="shared" si="526"/>
        <v/>
      </c>
      <c r="AK1597" s="140" t="str">
        <f t="shared" si="527"/>
        <v/>
      </c>
    </row>
    <row r="1598" spans="7:37" x14ac:dyDescent="0.25">
      <c r="G1598" s="235" t="str">
        <f t="shared" si="516"/>
        <v/>
      </c>
      <c r="H1598" s="4" t="str">
        <f t="shared" si="538"/>
        <v/>
      </c>
      <c r="I1598" s="11" t="str">
        <f t="shared" si="517"/>
        <v/>
      </c>
      <c r="K1598" s="30">
        <v>676</v>
      </c>
      <c r="L1598" s="29">
        <f t="shared" si="528"/>
        <v>11371.908376190921</v>
      </c>
      <c r="M1598" s="28" t="str">
        <f t="shared" si="518"/>
        <v/>
      </c>
      <c r="N1598" s="27" t="str">
        <f t="shared" si="529"/>
        <v/>
      </c>
      <c r="O1598" s="26" t="str">
        <f>IF(AND($Q1597=$O$38,IFERROR(LARGE($V$923:$V1597,1)&lt;$N$42,TRUE)),1,IF(AND(ISNUMBER($O1597),$O1597&lt;$N$32),$O1597+1,""))</f>
        <v/>
      </c>
      <c r="P1598" s="26" t="str">
        <f t="shared" si="530"/>
        <v/>
      </c>
      <c r="Q1598" s="26" t="str">
        <f t="shared" si="519"/>
        <v/>
      </c>
      <c r="R1598" s="24" t="str">
        <f t="shared" si="531"/>
        <v/>
      </c>
      <c r="S1598" s="180">
        <f t="shared" si="537"/>
        <v>8</v>
      </c>
      <c r="T1598" s="29">
        <f>SUM($AC$923:$AC1598)</f>
        <v>49500</v>
      </c>
      <c r="U1598" s="25" t="str">
        <f t="shared" si="520"/>
        <v/>
      </c>
      <c r="V1598" s="24" t="str">
        <f>IF(AND(ISNUMBER(R1597),ISNUMBER(R1598)),V1597,IF(AND(R1597="",ISNUMBER(R1598)),IFERROR(LARGE($V$923:$V1597,1)+1,0),""))</f>
        <v/>
      </c>
      <c r="W1598" s="23" t="str">
        <f t="shared" si="532"/>
        <v/>
      </c>
      <c r="X1598" s="22" t="str">
        <f t="shared" si="533"/>
        <v/>
      </c>
      <c r="Y1598" s="236"/>
      <c r="Z1598" s="22"/>
      <c r="AA1598" s="22"/>
      <c r="AB1598" s="22" t="str">
        <f t="shared" si="534"/>
        <v/>
      </c>
      <c r="AC1598" s="22" t="str">
        <f t="shared" si="535"/>
        <v/>
      </c>
      <c r="AD1598" s="22" t="str">
        <f t="shared" si="521"/>
        <v/>
      </c>
      <c r="AE1598" s="22" t="str">
        <f t="shared" si="536"/>
        <v/>
      </c>
      <c r="AF1598" s="22" t="str">
        <f t="shared" si="522"/>
        <v/>
      </c>
      <c r="AG1598" s="22" t="str">
        <f t="shared" si="523"/>
        <v/>
      </c>
      <c r="AH1598" s="22" t="str">
        <f t="shared" si="524"/>
        <v/>
      </c>
      <c r="AI1598" s="22" t="str">
        <f t="shared" si="525"/>
        <v/>
      </c>
      <c r="AJ1598" s="304" t="str">
        <f t="shared" si="526"/>
        <v/>
      </c>
      <c r="AK1598" s="140" t="str">
        <f t="shared" si="527"/>
        <v/>
      </c>
    </row>
    <row r="1599" spans="7:37" x14ac:dyDescent="0.25">
      <c r="G1599" s="235" t="str">
        <f t="shared" si="516"/>
        <v/>
      </c>
      <c r="H1599" s="4" t="str">
        <f t="shared" si="538"/>
        <v/>
      </c>
      <c r="I1599" s="11" t="str">
        <f t="shared" si="517"/>
        <v/>
      </c>
      <c r="K1599" s="30">
        <v>677</v>
      </c>
      <c r="L1599" s="29">
        <f t="shared" si="528"/>
        <v>11371.908376190921</v>
      </c>
      <c r="M1599" s="28" t="str">
        <f t="shared" si="518"/>
        <v/>
      </c>
      <c r="N1599" s="27" t="str">
        <f t="shared" si="529"/>
        <v/>
      </c>
      <c r="O1599" s="26" t="str">
        <f>IF(AND($Q1598=$O$38,IFERROR(LARGE($V$923:$V1598,1)&lt;$N$42,TRUE)),1,IF(AND(ISNUMBER($O1598),$O1598&lt;$N$32),$O1598+1,""))</f>
        <v/>
      </c>
      <c r="P1599" s="26" t="str">
        <f t="shared" si="530"/>
        <v/>
      </c>
      <c r="Q1599" s="26" t="str">
        <f t="shared" si="519"/>
        <v/>
      </c>
      <c r="R1599" s="24" t="str">
        <f t="shared" si="531"/>
        <v/>
      </c>
      <c r="S1599" s="180">
        <f t="shared" si="537"/>
        <v>8</v>
      </c>
      <c r="T1599" s="29">
        <f>SUM($AC$923:$AC1599)</f>
        <v>49500</v>
      </c>
      <c r="U1599" s="25" t="str">
        <f t="shared" si="520"/>
        <v/>
      </c>
      <c r="V1599" s="24" t="str">
        <f>IF(AND(ISNUMBER(R1598),ISNUMBER(R1599)),V1598,IF(AND(R1598="",ISNUMBER(R1599)),IFERROR(LARGE($V$923:$V1598,1)+1,0),""))</f>
        <v/>
      </c>
      <c r="W1599" s="23" t="str">
        <f t="shared" si="532"/>
        <v/>
      </c>
      <c r="X1599" s="22" t="str">
        <f t="shared" si="533"/>
        <v/>
      </c>
      <c r="Y1599" s="236"/>
      <c r="Z1599" s="22"/>
      <c r="AA1599" s="22"/>
      <c r="AB1599" s="22" t="str">
        <f t="shared" si="534"/>
        <v/>
      </c>
      <c r="AC1599" s="22" t="str">
        <f t="shared" si="535"/>
        <v/>
      </c>
      <c r="AD1599" s="22" t="str">
        <f t="shared" si="521"/>
        <v/>
      </c>
      <c r="AE1599" s="22" t="str">
        <f t="shared" si="536"/>
        <v/>
      </c>
      <c r="AF1599" s="22" t="str">
        <f t="shared" si="522"/>
        <v/>
      </c>
      <c r="AG1599" s="22" t="str">
        <f t="shared" si="523"/>
        <v/>
      </c>
      <c r="AH1599" s="22" t="str">
        <f t="shared" si="524"/>
        <v/>
      </c>
      <c r="AI1599" s="22" t="str">
        <f t="shared" si="525"/>
        <v/>
      </c>
      <c r="AJ1599" s="304" t="str">
        <f t="shared" si="526"/>
        <v/>
      </c>
      <c r="AK1599" s="140" t="str">
        <f t="shared" si="527"/>
        <v/>
      </c>
    </row>
    <row r="1600" spans="7:37" x14ac:dyDescent="0.25">
      <c r="G1600" s="235" t="str">
        <f t="shared" si="516"/>
        <v/>
      </c>
      <c r="H1600" s="4" t="str">
        <f t="shared" si="538"/>
        <v/>
      </c>
      <c r="I1600" s="11" t="str">
        <f t="shared" si="517"/>
        <v/>
      </c>
      <c r="K1600" s="30">
        <v>678</v>
      </c>
      <c r="L1600" s="29">
        <f t="shared" si="528"/>
        <v>11371.908376190921</v>
      </c>
      <c r="M1600" s="28" t="str">
        <f t="shared" si="518"/>
        <v/>
      </c>
      <c r="N1600" s="27" t="str">
        <f t="shared" si="529"/>
        <v/>
      </c>
      <c r="O1600" s="26" t="str">
        <f>IF(AND($Q1599=$O$38,IFERROR(LARGE($V$923:$V1599,1)&lt;$N$42,TRUE)),1,IF(AND(ISNUMBER($O1599),$O1599&lt;$N$32),$O1599+1,""))</f>
        <v/>
      </c>
      <c r="P1600" s="26" t="str">
        <f t="shared" si="530"/>
        <v/>
      </c>
      <c r="Q1600" s="26" t="str">
        <f t="shared" si="519"/>
        <v/>
      </c>
      <c r="R1600" s="24" t="str">
        <f t="shared" si="531"/>
        <v/>
      </c>
      <c r="S1600" s="180">
        <f t="shared" si="537"/>
        <v>8</v>
      </c>
      <c r="T1600" s="29">
        <f>SUM($AC$923:$AC1600)</f>
        <v>49500</v>
      </c>
      <c r="U1600" s="25" t="str">
        <f t="shared" si="520"/>
        <v/>
      </c>
      <c r="V1600" s="24" t="str">
        <f>IF(AND(ISNUMBER(R1599),ISNUMBER(R1600)),V1599,IF(AND(R1599="",ISNUMBER(R1600)),IFERROR(LARGE($V$923:$V1599,1)+1,0),""))</f>
        <v/>
      </c>
      <c r="W1600" s="23" t="str">
        <f t="shared" si="532"/>
        <v/>
      </c>
      <c r="X1600" s="22" t="str">
        <f t="shared" si="533"/>
        <v/>
      </c>
      <c r="Y1600" s="236"/>
      <c r="Z1600" s="22"/>
      <c r="AA1600" s="22"/>
      <c r="AB1600" s="22" t="str">
        <f t="shared" si="534"/>
        <v/>
      </c>
      <c r="AC1600" s="22" t="str">
        <f t="shared" si="535"/>
        <v/>
      </c>
      <c r="AD1600" s="22" t="str">
        <f t="shared" si="521"/>
        <v/>
      </c>
      <c r="AE1600" s="22" t="str">
        <f t="shared" si="536"/>
        <v/>
      </c>
      <c r="AF1600" s="22" t="str">
        <f t="shared" si="522"/>
        <v/>
      </c>
      <c r="AG1600" s="22" t="str">
        <f t="shared" si="523"/>
        <v/>
      </c>
      <c r="AH1600" s="22" t="str">
        <f t="shared" si="524"/>
        <v/>
      </c>
      <c r="AI1600" s="22" t="str">
        <f t="shared" si="525"/>
        <v/>
      </c>
      <c r="AJ1600" s="304" t="str">
        <f t="shared" si="526"/>
        <v/>
      </c>
      <c r="AK1600" s="140" t="str">
        <f t="shared" si="527"/>
        <v/>
      </c>
    </row>
    <row r="1601" spans="7:37" x14ac:dyDescent="0.25">
      <c r="G1601" s="235" t="str">
        <f t="shared" si="516"/>
        <v/>
      </c>
      <c r="H1601" s="4" t="str">
        <f t="shared" si="538"/>
        <v/>
      </c>
      <c r="I1601" s="11" t="str">
        <f t="shared" si="517"/>
        <v/>
      </c>
      <c r="K1601" s="30">
        <v>679</v>
      </c>
      <c r="L1601" s="29">
        <f t="shared" si="528"/>
        <v>11371.908376190921</v>
      </c>
      <c r="M1601" s="28" t="str">
        <f t="shared" si="518"/>
        <v/>
      </c>
      <c r="N1601" s="27" t="str">
        <f t="shared" si="529"/>
        <v/>
      </c>
      <c r="O1601" s="26" t="str">
        <f>IF(AND($Q1600=$O$38,IFERROR(LARGE($V$923:$V1600,1)&lt;$N$42,TRUE)),1,IF(AND(ISNUMBER($O1600),$O1600&lt;$N$32),$O1600+1,""))</f>
        <v/>
      </c>
      <c r="P1601" s="26" t="str">
        <f t="shared" si="530"/>
        <v/>
      </c>
      <c r="Q1601" s="26" t="str">
        <f t="shared" si="519"/>
        <v/>
      </c>
      <c r="R1601" s="24" t="str">
        <f t="shared" si="531"/>
        <v/>
      </c>
      <c r="S1601" s="180">
        <f t="shared" si="537"/>
        <v>8</v>
      </c>
      <c r="T1601" s="29">
        <f>SUM($AC$923:$AC1601)</f>
        <v>49500</v>
      </c>
      <c r="U1601" s="25" t="str">
        <f t="shared" si="520"/>
        <v/>
      </c>
      <c r="V1601" s="24" t="str">
        <f>IF(AND(ISNUMBER(R1600),ISNUMBER(R1601)),V1600,IF(AND(R1600="",ISNUMBER(R1601)),IFERROR(LARGE($V$923:$V1600,1)+1,0),""))</f>
        <v/>
      </c>
      <c r="W1601" s="23" t="str">
        <f t="shared" si="532"/>
        <v/>
      </c>
      <c r="X1601" s="22" t="str">
        <f t="shared" si="533"/>
        <v/>
      </c>
      <c r="Y1601" s="236"/>
      <c r="Z1601" s="22"/>
      <c r="AA1601" s="22"/>
      <c r="AB1601" s="22" t="str">
        <f t="shared" si="534"/>
        <v/>
      </c>
      <c r="AC1601" s="22" t="str">
        <f t="shared" si="535"/>
        <v/>
      </c>
      <c r="AD1601" s="22" t="str">
        <f t="shared" si="521"/>
        <v/>
      </c>
      <c r="AE1601" s="22" t="str">
        <f t="shared" si="536"/>
        <v/>
      </c>
      <c r="AF1601" s="22" t="str">
        <f t="shared" si="522"/>
        <v/>
      </c>
      <c r="AG1601" s="22" t="str">
        <f t="shared" si="523"/>
        <v/>
      </c>
      <c r="AH1601" s="22" t="str">
        <f t="shared" si="524"/>
        <v/>
      </c>
      <c r="AI1601" s="22" t="str">
        <f t="shared" si="525"/>
        <v/>
      </c>
      <c r="AJ1601" s="304" t="str">
        <f t="shared" si="526"/>
        <v/>
      </c>
      <c r="AK1601" s="140" t="str">
        <f t="shared" si="527"/>
        <v/>
      </c>
    </row>
    <row r="1602" spans="7:37" x14ac:dyDescent="0.25">
      <c r="G1602" s="235" t="str">
        <f t="shared" si="516"/>
        <v/>
      </c>
      <c r="H1602" s="4" t="str">
        <f t="shared" si="538"/>
        <v/>
      </c>
      <c r="I1602" s="11" t="str">
        <f t="shared" si="517"/>
        <v/>
      </c>
      <c r="K1602" s="30">
        <v>680</v>
      </c>
      <c r="L1602" s="29">
        <f t="shared" si="528"/>
        <v>11371.908376190921</v>
      </c>
      <c r="M1602" s="28" t="str">
        <f t="shared" si="518"/>
        <v/>
      </c>
      <c r="N1602" s="27" t="str">
        <f t="shared" si="529"/>
        <v/>
      </c>
      <c r="O1602" s="26" t="str">
        <f>IF(AND($Q1601=$O$38,IFERROR(LARGE($V$923:$V1601,1)&lt;$N$42,TRUE)),1,IF(AND(ISNUMBER($O1601),$O1601&lt;$N$32),$O1601+1,""))</f>
        <v/>
      </c>
      <c r="P1602" s="26" t="str">
        <f t="shared" si="530"/>
        <v/>
      </c>
      <c r="Q1602" s="26" t="str">
        <f t="shared" si="519"/>
        <v/>
      </c>
      <c r="R1602" s="24" t="str">
        <f t="shared" si="531"/>
        <v/>
      </c>
      <c r="S1602" s="180">
        <f t="shared" si="537"/>
        <v>8</v>
      </c>
      <c r="T1602" s="29">
        <f>SUM($AC$923:$AC1602)</f>
        <v>49500</v>
      </c>
      <c r="U1602" s="25" t="str">
        <f t="shared" si="520"/>
        <v/>
      </c>
      <c r="V1602" s="24" t="str">
        <f>IF(AND(ISNUMBER(R1601),ISNUMBER(R1602)),V1601,IF(AND(R1601="",ISNUMBER(R1602)),IFERROR(LARGE($V$923:$V1601,1)+1,0),""))</f>
        <v/>
      </c>
      <c r="W1602" s="23" t="str">
        <f t="shared" si="532"/>
        <v/>
      </c>
      <c r="X1602" s="22" t="str">
        <f t="shared" si="533"/>
        <v/>
      </c>
      <c r="Y1602" s="236"/>
      <c r="Z1602" s="22"/>
      <c r="AA1602" s="22"/>
      <c r="AB1602" s="22" t="str">
        <f t="shared" si="534"/>
        <v/>
      </c>
      <c r="AC1602" s="22" t="str">
        <f t="shared" si="535"/>
        <v/>
      </c>
      <c r="AD1602" s="22" t="str">
        <f t="shared" si="521"/>
        <v/>
      </c>
      <c r="AE1602" s="22" t="str">
        <f t="shared" si="536"/>
        <v/>
      </c>
      <c r="AF1602" s="22" t="str">
        <f t="shared" si="522"/>
        <v/>
      </c>
      <c r="AG1602" s="22" t="str">
        <f t="shared" si="523"/>
        <v/>
      </c>
      <c r="AH1602" s="22" t="str">
        <f t="shared" si="524"/>
        <v/>
      </c>
      <c r="AI1602" s="22" t="str">
        <f t="shared" si="525"/>
        <v/>
      </c>
      <c r="AJ1602" s="304" t="str">
        <f t="shared" si="526"/>
        <v/>
      </c>
      <c r="AK1602" s="140" t="str">
        <f t="shared" si="527"/>
        <v/>
      </c>
    </row>
    <row r="1603" spans="7:37" x14ac:dyDescent="0.25">
      <c r="G1603" s="235" t="str">
        <f t="shared" si="516"/>
        <v/>
      </c>
      <c r="H1603" s="4" t="str">
        <f t="shared" si="538"/>
        <v/>
      </c>
      <c r="I1603" s="11" t="str">
        <f t="shared" si="517"/>
        <v/>
      </c>
      <c r="K1603" s="30">
        <v>681</v>
      </c>
      <c r="L1603" s="29">
        <f t="shared" si="528"/>
        <v>11371.908376190921</v>
      </c>
      <c r="M1603" s="28" t="str">
        <f t="shared" si="518"/>
        <v/>
      </c>
      <c r="N1603" s="27" t="str">
        <f t="shared" si="529"/>
        <v/>
      </c>
      <c r="O1603" s="26" t="str">
        <f>IF(AND($Q1602=$O$38,IFERROR(LARGE($V$923:$V1602,1)&lt;$N$42,TRUE)),1,IF(AND(ISNUMBER($O1602),$O1602&lt;$N$32),$O1602+1,""))</f>
        <v/>
      </c>
      <c r="P1603" s="26" t="str">
        <f t="shared" si="530"/>
        <v/>
      </c>
      <c r="Q1603" s="26" t="str">
        <f t="shared" si="519"/>
        <v/>
      </c>
      <c r="R1603" s="24" t="str">
        <f t="shared" si="531"/>
        <v/>
      </c>
      <c r="S1603" s="180">
        <f t="shared" si="537"/>
        <v>8</v>
      </c>
      <c r="T1603" s="29">
        <f>SUM($AC$923:$AC1603)</f>
        <v>49500</v>
      </c>
      <c r="U1603" s="25" t="str">
        <f t="shared" si="520"/>
        <v/>
      </c>
      <c r="V1603" s="24" t="str">
        <f>IF(AND(ISNUMBER(R1602),ISNUMBER(R1603)),V1602,IF(AND(R1602="",ISNUMBER(R1603)),IFERROR(LARGE($V$923:$V1602,1)+1,0),""))</f>
        <v/>
      </c>
      <c r="W1603" s="23" t="str">
        <f t="shared" si="532"/>
        <v/>
      </c>
      <c r="X1603" s="22" t="str">
        <f t="shared" si="533"/>
        <v/>
      </c>
      <c r="Y1603" s="236"/>
      <c r="Z1603" s="22"/>
      <c r="AA1603" s="22"/>
      <c r="AB1603" s="22" t="str">
        <f t="shared" si="534"/>
        <v/>
      </c>
      <c r="AC1603" s="22" t="str">
        <f t="shared" si="535"/>
        <v/>
      </c>
      <c r="AD1603" s="22" t="str">
        <f t="shared" si="521"/>
        <v/>
      </c>
      <c r="AE1603" s="22" t="str">
        <f t="shared" si="536"/>
        <v/>
      </c>
      <c r="AF1603" s="22" t="str">
        <f t="shared" si="522"/>
        <v/>
      </c>
      <c r="AG1603" s="22" t="str">
        <f t="shared" si="523"/>
        <v/>
      </c>
      <c r="AH1603" s="22" t="str">
        <f t="shared" si="524"/>
        <v/>
      </c>
      <c r="AI1603" s="22" t="str">
        <f t="shared" si="525"/>
        <v/>
      </c>
      <c r="AJ1603" s="304" t="str">
        <f t="shared" si="526"/>
        <v/>
      </c>
      <c r="AK1603" s="140" t="str">
        <f t="shared" si="527"/>
        <v/>
      </c>
    </row>
    <row r="1604" spans="7:37" x14ac:dyDescent="0.25">
      <c r="G1604" s="235" t="str">
        <f t="shared" si="516"/>
        <v/>
      </c>
      <c r="H1604" s="4" t="str">
        <f t="shared" si="538"/>
        <v/>
      </c>
      <c r="I1604" s="11" t="str">
        <f t="shared" si="517"/>
        <v/>
      </c>
      <c r="K1604" s="30">
        <v>682</v>
      </c>
      <c r="L1604" s="29">
        <f t="shared" si="528"/>
        <v>11371.908376190921</v>
      </c>
      <c r="M1604" s="28" t="str">
        <f t="shared" si="518"/>
        <v/>
      </c>
      <c r="N1604" s="27" t="str">
        <f t="shared" si="529"/>
        <v/>
      </c>
      <c r="O1604" s="26" t="str">
        <f>IF(AND($Q1603=$O$38,IFERROR(LARGE($V$923:$V1603,1)&lt;$N$42,TRUE)),1,IF(AND(ISNUMBER($O1603),$O1603&lt;$N$32),$O1603+1,""))</f>
        <v/>
      </c>
      <c r="P1604" s="26" t="str">
        <f t="shared" si="530"/>
        <v/>
      </c>
      <c r="Q1604" s="26" t="str">
        <f t="shared" si="519"/>
        <v/>
      </c>
      <c r="R1604" s="24" t="str">
        <f t="shared" si="531"/>
        <v/>
      </c>
      <c r="S1604" s="180">
        <f t="shared" si="537"/>
        <v>8</v>
      </c>
      <c r="T1604" s="29">
        <f>SUM($AC$923:$AC1604)</f>
        <v>49500</v>
      </c>
      <c r="U1604" s="25" t="str">
        <f t="shared" si="520"/>
        <v/>
      </c>
      <c r="V1604" s="24" t="str">
        <f>IF(AND(ISNUMBER(R1603),ISNUMBER(R1604)),V1603,IF(AND(R1603="",ISNUMBER(R1604)),IFERROR(LARGE($V$923:$V1603,1)+1,0),""))</f>
        <v/>
      </c>
      <c r="W1604" s="23" t="str">
        <f t="shared" si="532"/>
        <v/>
      </c>
      <c r="X1604" s="22" t="str">
        <f t="shared" si="533"/>
        <v/>
      </c>
      <c r="Y1604" s="236"/>
      <c r="Z1604" s="22"/>
      <c r="AA1604" s="22"/>
      <c r="AB1604" s="22" t="str">
        <f t="shared" si="534"/>
        <v/>
      </c>
      <c r="AC1604" s="22" t="str">
        <f t="shared" si="535"/>
        <v/>
      </c>
      <c r="AD1604" s="22" t="str">
        <f t="shared" si="521"/>
        <v/>
      </c>
      <c r="AE1604" s="22" t="str">
        <f t="shared" si="536"/>
        <v/>
      </c>
      <c r="AF1604" s="22" t="str">
        <f t="shared" si="522"/>
        <v/>
      </c>
      <c r="AG1604" s="22" t="str">
        <f t="shared" si="523"/>
        <v/>
      </c>
      <c r="AH1604" s="22" t="str">
        <f t="shared" si="524"/>
        <v/>
      </c>
      <c r="AI1604" s="22" t="str">
        <f t="shared" si="525"/>
        <v/>
      </c>
      <c r="AJ1604" s="304" t="str">
        <f t="shared" si="526"/>
        <v/>
      </c>
      <c r="AK1604" s="140" t="str">
        <f t="shared" si="527"/>
        <v/>
      </c>
    </row>
    <row r="1605" spans="7:37" x14ac:dyDescent="0.25">
      <c r="G1605" s="235" t="str">
        <f t="shared" si="516"/>
        <v/>
      </c>
      <c r="H1605" s="4" t="str">
        <f t="shared" si="538"/>
        <v/>
      </c>
      <c r="I1605" s="11" t="str">
        <f t="shared" si="517"/>
        <v/>
      </c>
      <c r="K1605" s="30">
        <v>683</v>
      </c>
      <c r="L1605" s="29">
        <f t="shared" si="528"/>
        <v>11371.908376190921</v>
      </c>
      <c r="M1605" s="28" t="str">
        <f t="shared" si="518"/>
        <v/>
      </c>
      <c r="N1605" s="27" t="str">
        <f t="shared" si="529"/>
        <v/>
      </c>
      <c r="O1605" s="26" t="str">
        <f>IF(AND($Q1604=$O$38,IFERROR(LARGE($V$923:$V1604,1)&lt;$N$42,TRUE)),1,IF(AND(ISNUMBER($O1604),$O1604&lt;$N$32),$O1604+1,""))</f>
        <v/>
      </c>
      <c r="P1605" s="26" t="str">
        <f t="shared" si="530"/>
        <v/>
      </c>
      <c r="Q1605" s="26" t="str">
        <f t="shared" si="519"/>
        <v/>
      </c>
      <c r="R1605" s="24" t="str">
        <f t="shared" si="531"/>
        <v/>
      </c>
      <c r="S1605" s="180">
        <f t="shared" si="537"/>
        <v>8</v>
      </c>
      <c r="T1605" s="29">
        <f>SUM($AC$923:$AC1605)</f>
        <v>49500</v>
      </c>
      <c r="U1605" s="25" t="str">
        <f t="shared" si="520"/>
        <v/>
      </c>
      <c r="V1605" s="24" t="str">
        <f>IF(AND(ISNUMBER(R1604),ISNUMBER(R1605)),V1604,IF(AND(R1604="",ISNUMBER(R1605)),IFERROR(LARGE($V$923:$V1604,1)+1,0),""))</f>
        <v/>
      </c>
      <c r="W1605" s="23" t="str">
        <f t="shared" si="532"/>
        <v/>
      </c>
      <c r="X1605" s="22" t="str">
        <f t="shared" si="533"/>
        <v/>
      </c>
      <c r="Y1605" s="236"/>
      <c r="Z1605" s="22"/>
      <c r="AA1605" s="22"/>
      <c r="AB1605" s="22" t="str">
        <f t="shared" si="534"/>
        <v/>
      </c>
      <c r="AC1605" s="22" t="str">
        <f t="shared" si="535"/>
        <v/>
      </c>
      <c r="AD1605" s="22" t="str">
        <f t="shared" si="521"/>
        <v/>
      </c>
      <c r="AE1605" s="22" t="str">
        <f t="shared" si="536"/>
        <v/>
      </c>
      <c r="AF1605" s="22" t="str">
        <f t="shared" si="522"/>
        <v/>
      </c>
      <c r="AG1605" s="22" t="str">
        <f t="shared" si="523"/>
        <v/>
      </c>
      <c r="AH1605" s="22" t="str">
        <f t="shared" si="524"/>
        <v/>
      </c>
      <c r="AI1605" s="22" t="str">
        <f t="shared" si="525"/>
        <v/>
      </c>
      <c r="AJ1605" s="304" t="str">
        <f t="shared" si="526"/>
        <v/>
      </c>
      <c r="AK1605" s="140" t="str">
        <f t="shared" si="527"/>
        <v/>
      </c>
    </row>
    <row r="1606" spans="7:37" x14ac:dyDescent="0.25">
      <c r="G1606" s="235" t="str">
        <f t="shared" si="516"/>
        <v/>
      </c>
      <c r="H1606" s="4" t="str">
        <f t="shared" si="538"/>
        <v/>
      </c>
      <c r="I1606" s="11" t="str">
        <f t="shared" si="517"/>
        <v/>
      </c>
      <c r="K1606" s="30">
        <v>684</v>
      </c>
      <c r="L1606" s="29">
        <f t="shared" si="528"/>
        <v>11371.908376190921</v>
      </c>
      <c r="M1606" s="28" t="str">
        <f t="shared" si="518"/>
        <v/>
      </c>
      <c r="N1606" s="27" t="str">
        <f t="shared" si="529"/>
        <v/>
      </c>
      <c r="O1606" s="26" t="str">
        <f>IF(AND($Q1605=$O$38,IFERROR(LARGE($V$923:$V1605,1)&lt;$N$42,TRUE)),1,IF(AND(ISNUMBER($O1605),$O1605&lt;$N$32),$O1605+1,""))</f>
        <v/>
      </c>
      <c r="P1606" s="26" t="str">
        <f t="shared" si="530"/>
        <v/>
      </c>
      <c r="Q1606" s="26" t="str">
        <f t="shared" si="519"/>
        <v/>
      </c>
      <c r="R1606" s="24" t="str">
        <f t="shared" si="531"/>
        <v/>
      </c>
      <c r="S1606" s="180">
        <f t="shared" si="537"/>
        <v>8</v>
      </c>
      <c r="T1606" s="29">
        <f>SUM($AC$923:$AC1606)</f>
        <v>49500</v>
      </c>
      <c r="U1606" s="25" t="str">
        <f t="shared" si="520"/>
        <v/>
      </c>
      <c r="V1606" s="24" t="str">
        <f>IF(AND(ISNUMBER(R1605),ISNUMBER(R1606)),V1605,IF(AND(R1605="",ISNUMBER(R1606)),IFERROR(LARGE($V$923:$V1605,1)+1,0),""))</f>
        <v/>
      </c>
      <c r="W1606" s="23" t="str">
        <f t="shared" si="532"/>
        <v/>
      </c>
      <c r="X1606" s="22" t="str">
        <f t="shared" si="533"/>
        <v/>
      </c>
      <c r="Y1606" s="236"/>
      <c r="Z1606" s="22"/>
      <c r="AA1606" s="22"/>
      <c r="AB1606" s="22" t="str">
        <f t="shared" si="534"/>
        <v/>
      </c>
      <c r="AC1606" s="22" t="str">
        <f t="shared" si="535"/>
        <v/>
      </c>
      <c r="AD1606" s="22" t="str">
        <f t="shared" si="521"/>
        <v/>
      </c>
      <c r="AE1606" s="22" t="str">
        <f t="shared" si="536"/>
        <v/>
      </c>
      <c r="AF1606" s="22" t="str">
        <f t="shared" si="522"/>
        <v/>
      </c>
      <c r="AG1606" s="22" t="str">
        <f t="shared" si="523"/>
        <v/>
      </c>
      <c r="AH1606" s="22" t="str">
        <f t="shared" si="524"/>
        <v/>
      </c>
      <c r="AI1606" s="22" t="str">
        <f t="shared" si="525"/>
        <v/>
      </c>
      <c r="AJ1606" s="304" t="str">
        <f t="shared" si="526"/>
        <v/>
      </c>
      <c r="AK1606" s="140" t="str">
        <f t="shared" si="527"/>
        <v/>
      </c>
    </row>
    <row r="1607" spans="7:37" x14ac:dyDescent="0.25">
      <c r="G1607" s="235" t="str">
        <f t="shared" si="516"/>
        <v/>
      </c>
      <c r="H1607" s="4" t="str">
        <f t="shared" si="538"/>
        <v/>
      </c>
      <c r="I1607" s="11" t="str">
        <f t="shared" si="517"/>
        <v/>
      </c>
      <c r="K1607" s="30">
        <v>685</v>
      </c>
      <c r="L1607" s="29">
        <f t="shared" si="528"/>
        <v>11371.908376190921</v>
      </c>
      <c r="M1607" s="28" t="str">
        <f t="shared" si="518"/>
        <v/>
      </c>
      <c r="N1607" s="27" t="str">
        <f t="shared" si="529"/>
        <v/>
      </c>
      <c r="O1607" s="26" t="str">
        <f>IF(AND($Q1606=$O$38,IFERROR(LARGE($V$923:$V1606,1)&lt;$N$42,TRUE)),1,IF(AND(ISNUMBER($O1606),$O1606&lt;$N$32),$O1606+1,""))</f>
        <v/>
      </c>
      <c r="P1607" s="26" t="str">
        <f t="shared" si="530"/>
        <v/>
      </c>
      <c r="Q1607" s="26" t="str">
        <f t="shared" si="519"/>
        <v/>
      </c>
      <c r="R1607" s="24" t="str">
        <f t="shared" si="531"/>
        <v/>
      </c>
      <c r="S1607" s="180">
        <f t="shared" si="537"/>
        <v>8</v>
      </c>
      <c r="T1607" s="29">
        <f>SUM($AC$923:$AC1607)</f>
        <v>49500</v>
      </c>
      <c r="U1607" s="25" t="str">
        <f t="shared" si="520"/>
        <v/>
      </c>
      <c r="V1607" s="24" t="str">
        <f>IF(AND(ISNUMBER(R1606),ISNUMBER(R1607)),V1606,IF(AND(R1606="",ISNUMBER(R1607)),IFERROR(LARGE($V$923:$V1606,1)+1,0),""))</f>
        <v/>
      </c>
      <c r="W1607" s="23" t="str">
        <f t="shared" si="532"/>
        <v/>
      </c>
      <c r="X1607" s="22" t="str">
        <f t="shared" si="533"/>
        <v/>
      </c>
      <c r="Y1607" s="236"/>
      <c r="Z1607" s="22"/>
      <c r="AA1607" s="22"/>
      <c r="AB1607" s="22" t="str">
        <f t="shared" si="534"/>
        <v/>
      </c>
      <c r="AC1607" s="22" t="str">
        <f t="shared" si="535"/>
        <v/>
      </c>
      <c r="AD1607" s="22" t="str">
        <f t="shared" si="521"/>
        <v/>
      </c>
      <c r="AE1607" s="22" t="str">
        <f t="shared" si="536"/>
        <v/>
      </c>
      <c r="AF1607" s="22" t="str">
        <f t="shared" si="522"/>
        <v/>
      </c>
      <c r="AG1607" s="22" t="str">
        <f t="shared" si="523"/>
        <v/>
      </c>
      <c r="AH1607" s="22" t="str">
        <f t="shared" si="524"/>
        <v/>
      </c>
      <c r="AI1607" s="22" t="str">
        <f t="shared" si="525"/>
        <v/>
      </c>
      <c r="AJ1607" s="304" t="str">
        <f t="shared" si="526"/>
        <v/>
      </c>
      <c r="AK1607" s="140" t="str">
        <f t="shared" si="527"/>
        <v/>
      </c>
    </row>
    <row r="1608" spans="7:37" x14ac:dyDescent="0.25">
      <c r="G1608" s="235" t="str">
        <f t="shared" si="516"/>
        <v/>
      </c>
      <c r="H1608" s="4" t="str">
        <f t="shared" si="538"/>
        <v/>
      </c>
      <c r="I1608" s="11" t="str">
        <f t="shared" si="517"/>
        <v/>
      </c>
      <c r="K1608" s="30">
        <v>686</v>
      </c>
      <c r="L1608" s="29">
        <f t="shared" si="528"/>
        <v>11371.908376190921</v>
      </c>
      <c r="M1608" s="28" t="str">
        <f t="shared" si="518"/>
        <v/>
      </c>
      <c r="N1608" s="27" t="str">
        <f t="shared" si="529"/>
        <v/>
      </c>
      <c r="O1608" s="26" t="str">
        <f>IF(AND($Q1607=$O$38,IFERROR(LARGE($V$923:$V1607,1)&lt;$N$42,TRUE)),1,IF(AND(ISNUMBER($O1607),$O1607&lt;$N$32),$O1607+1,""))</f>
        <v/>
      </c>
      <c r="P1608" s="26" t="str">
        <f t="shared" si="530"/>
        <v/>
      </c>
      <c r="Q1608" s="26" t="str">
        <f t="shared" si="519"/>
        <v/>
      </c>
      <c r="R1608" s="24" t="str">
        <f t="shared" si="531"/>
        <v/>
      </c>
      <c r="S1608" s="180">
        <f t="shared" si="537"/>
        <v>8</v>
      </c>
      <c r="T1608" s="29">
        <f>SUM($AC$923:$AC1608)</f>
        <v>49500</v>
      </c>
      <c r="U1608" s="25" t="str">
        <f t="shared" si="520"/>
        <v/>
      </c>
      <c r="V1608" s="24" t="str">
        <f>IF(AND(ISNUMBER(R1607),ISNUMBER(R1608)),V1607,IF(AND(R1607="",ISNUMBER(R1608)),IFERROR(LARGE($V$923:$V1607,1)+1,0),""))</f>
        <v/>
      </c>
      <c r="W1608" s="23" t="str">
        <f t="shared" si="532"/>
        <v/>
      </c>
      <c r="X1608" s="22" t="str">
        <f t="shared" si="533"/>
        <v/>
      </c>
      <c r="Y1608" s="236"/>
      <c r="Z1608" s="22"/>
      <c r="AA1608" s="22"/>
      <c r="AB1608" s="22" t="str">
        <f t="shared" si="534"/>
        <v/>
      </c>
      <c r="AC1608" s="22" t="str">
        <f t="shared" si="535"/>
        <v/>
      </c>
      <c r="AD1608" s="22" t="str">
        <f t="shared" si="521"/>
        <v/>
      </c>
      <c r="AE1608" s="22" t="str">
        <f t="shared" si="536"/>
        <v/>
      </c>
      <c r="AF1608" s="22" t="str">
        <f t="shared" si="522"/>
        <v/>
      </c>
      <c r="AG1608" s="22" t="str">
        <f t="shared" si="523"/>
        <v/>
      </c>
      <c r="AH1608" s="22" t="str">
        <f t="shared" si="524"/>
        <v/>
      </c>
      <c r="AI1608" s="22" t="str">
        <f t="shared" si="525"/>
        <v/>
      </c>
      <c r="AJ1608" s="304" t="str">
        <f t="shared" si="526"/>
        <v/>
      </c>
      <c r="AK1608" s="140" t="str">
        <f t="shared" si="527"/>
        <v/>
      </c>
    </row>
    <row r="1609" spans="7:37" x14ac:dyDescent="0.25">
      <c r="G1609" s="235" t="str">
        <f t="shared" si="516"/>
        <v/>
      </c>
      <c r="H1609" s="4" t="str">
        <f t="shared" si="538"/>
        <v/>
      </c>
      <c r="I1609" s="11" t="str">
        <f t="shared" si="517"/>
        <v/>
      </c>
      <c r="K1609" s="30">
        <v>687</v>
      </c>
      <c r="L1609" s="29">
        <f t="shared" si="528"/>
        <v>11371.908376190921</v>
      </c>
      <c r="M1609" s="28" t="str">
        <f t="shared" si="518"/>
        <v/>
      </c>
      <c r="N1609" s="27" t="str">
        <f t="shared" si="529"/>
        <v/>
      </c>
      <c r="O1609" s="26" t="str">
        <f>IF(AND($Q1608=$O$38,IFERROR(LARGE($V$923:$V1608,1)&lt;$N$42,TRUE)),1,IF(AND(ISNUMBER($O1608),$O1608&lt;$N$32),$O1608+1,""))</f>
        <v/>
      </c>
      <c r="P1609" s="26" t="str">
        <f t="shared" si="530"/>
        <v/>
      </c>
      <c r="Q1609" s="26" t="str">
        <f t="shared" si="519"/>
        <v/>
      </c>
      <c r="R1609" s="24" t="str">
        <f t="shared" si="531"/>
        <v/>
      </c>
      <c r="S1609" s="180">
        <f t="shared" si="537"/>
        <v>8</v>
      </c>
      <c r="T1609" s="29">
        <f>SUM($AC$923:$AC1609)</f>
        <v>49500</v>
      </c>
      <c r="U1609" s="25" t="str">
        <f t="shared" si="520"/>
        <v/>
      </c>
      <c r="V1609" s="24" t="str">
        <f>IF(AND(ISNUMBER(R1608),ISNUMBER(R1609)),V1608,IF(AND(R1608="",ISNUMBER(R1609)),IFERROR(LARGE($V$923:$V1608,1)+1,0),""))</f>
        <v/>
      </c>
      <c r="W1609" s="23" t="str">
        <f t="shared" si="532"/>
        <v/>
      </c>
      <c r="X1609" s="22" t="str">
        <f t="shared" si="533"/>
        <v/>
      </c>
      <c r="Y1609" s="236"/>
      <c r="Z1609" s="22"/>
      <c r="AA1609" s="22"/>
      <c r="AB1609" s="22" t="str">
        <f t="shared" si="534"/>
        <v/>
      </c>
      <c r="AC1609" s="22" t="str">
        <f t="shared" si="535"/>
        <v/>
      </c>
      <c r="AD1609" s="22" t="str">
        <f t="shared" si="521"/>
        <v/>
      </c>
      <c r="AE1609" s="22" t="str">
        <f t="shared" si="536"/>
        <v/>
      </c>
      <c r="AF1609" s="22" t="str">
        <f t="shared" si="522"/>
        <v/>
      </c>
      <c r="AG1609" s="22" t="str">
        <f t="shared" si="523"/>
        <v/>
      </c>
      <c r="AH1609" s="22" t="str">
        <f t="shared" si="524"/>
        <v/>
      </c>
      <c r="AI1609" s="22" t="str">
        <f t="shared" si="525"/>
        <v/>
      </c>
      <c r="AJ1609" s="304" t="str">
        <f t="shared" si="526"/>
        <v/>
      </c>
      <c r="AK1609" s="140" t="str">
        <f t="shared" si="527"/>
        <v/>
      </c>
    </row>
    <row r="1610" spans="7:37" x14ac:dyDescent="0.25">
      <c r="G1610" s="235" t="str">
        <f t="shared" si="516"/>
        <v/>
      </c>
      <c r="H1610" s="4" t="str">
        <f t="shared" si="538"/>
        <v/>
      </c>
      <c r="I1610" s="11" t="str">
        <f t="shared" si="517"/>
        <v/>
      </c>
      <c r="K1610" s="30">
        <v>688</v>
      </c>
      <c r="L1610" s="29">
        <f t="shared" si="528"/>
        <v>11371.908376190921</v>
      </c>
      <c r="M1610" s="28" t="str">
        <f t="shared" si="518"/>
        <v/>
      </c>
      <c r="N1610" s="27" t="str">
        <f t="shared" si="529"/>
        <v/>
      </c>
      <c r="O1610" s="26" t="str">
        <f>IF(AND($Q1609=$O$38,IFERROR(LARGE($V$923:$V1609,1)&lt;$N$42,TRUE)),1,IF(AND(ISNUMBER($O1609),$O1609&lt;$N$32),$O1609+1,""))</f>
        <v/>
      </c>
      <c r="P1610" s="26" t="str">
        <f t="shared" si="530"/>
        <v/>
      </c>
      <c r="Q1610" s="26" t="str">
        <f t="shared" si="519"/>
        <v/>
      </c>
      <c r="R1610" s="24" t="str">
        <f t="shared" si="531"/>
        <v/>
      </c>
      <c r="S1610" s="180">
        <f t="shared" si="537"/>
        <v>8</v>
      </c>
      <c r="T1610" s="29">
        <f>SUM($AC$923:$AC1610)</f>
        <v>49500</v>
      </c>
      <c r="U1610" s="25" t="str">
        <f t="shared" si="520"/>
        <v/>
      </c>
      <c r="V1610" s="24" t="str">
        <f>IF(AND(ISNUMBER(R1609),ISNUMBER(R1610)),V1609,IF(AND(R1609="",ISNUMBER(R1610)),IFERROR(LARGE($V$923:$V1609,1)+1,0),""))</f>
        <v/>
      </c>
      <c r="W1610" s="23" t="str">
        <f t="shared" si="532"/>
        <v/>
      </c>
      <c r="X1610" s="22" t="str">
        <f t="shared" si="533"/>
        <v/>
      </c>
      <c r="Y1610" s="236"/>
      <c r="Z1610" s="22"/>
      <c r="AA1610" s="22"/>
      <c r="AB1610" s="22" t="str">
        <f t="shared" si="534"/>
        <v/>
      </c>
      <c r="AC1610" s="22" t="str">
        <f t="shared" si="535"/>
        <v/>
      </c>
      <c r="AD1610" s="22" t="str">
        <f t="shared" si="521"/>
        <v/>
      </c>
      <c r="AE1610" s="22" t="str">
        <f t="shared" si="536"/>
        <v/>
      </c>
      <c r="AF1610" s="22" t="str">
        <f t="shared" si="522"/>
        <v/>
      </c>
      <c r="AG1610" s="22" t="str">
        <f t="shared" si="523"/>
        <v/>
      </c>
      <c r="AH1610" s="22" t="str">
        <f t="shared" si="524"/>
        <v/>
      </c>
      <c r="AI1610" s="22" t="str">
        <f t="shared" si="525"/>
        <v/>
      </c>
      <c r="AJ1610" s="304" t="str">
        <f t="shared" si="526"/>
        <v/>
      </c>
      <c r="AK1610" s="140" t="str">
        <f t="shared" si="527"/>
        <v/>
      </c>
    </row>
    <row r="1611" spans="7:37" x14ac:dyDescent="0.25">
      <c r="G1611" s="235" t="str">
        <f t="shared" si="516"/>
        <v/>
      </c>
      <c r="H1611" s="4" t="str">
        <f t="shared" si="538"/>
        <v/>
      </c>
      <c r="I1611" s="11" t="str">
        <f t="shared" si="517"/>
        <v/>
      </c>
      <c r="K1611" s="30">
        <v>689</v>
      </c>
      <c r="L1611" s="29">
        <f t="shared" si="528"/>
        <v>11371.908376190921</v>
      </c>
      <c r="M1611" s="28" t="str">
        <f t="shared" si="518"/>
        <v/>
      </c>
      <c r="N1611" s="27" t="str">
        <f t="shared" si="529"/>
        <v/>
      </c>
      <c r="O1611" s="26" t="str">
        <f>IF(AND($Q1610=$O$38,IFERROR(LARGE($V$923:$V1610,1)&lt;$N$42,TRUE)),1,IF(AND(ISNUMBER($O1610),$O1610&lt;$N$32),$O1610+1,""))</f>
        <v/>
      </c>
      <c r="P1611" s="26" t="str">
        <f t="shared" si="530"/>
        <v/>
      </c>
      <c r="Q1611" s="26" t="str">
        <f t="shared" si="519"/>
        <v/>
      </c>
      <c r="R1611" s="24" t="str">
        <f t="shared" si="531"/>
        <v/>
      </c>
      <c r="S1611" s="180">
        <f t="shared" si="537"/>
        <v>8</v>
      </c>
      <c r="T1611" s="29">
        <f>SUM($AC$923:$AC1611)</f>
        <v>49500</v>
      </c>
      <c r="U1611" s="25" t="str">
        <f t="shared" si="520"/>
        <v/>
      </c>
      <c r="V1611" s="24" t="str">
        <f>IF(AND(ISNUMBER(R1610),ISNUMBER(R1611)),V1610,IF(AND(R1610="",ISNUMBER(R1611)),IFERROR(LARGE($V$923:$V1610,1)+1,0),""))</f>
        <v/>
      </c>
      <c r="W1611" s="23" t="str">
        <f t="shared" si="532"/>
        <v/>
      </c>
      <c r="X1611" s="22" t="str">
        <f t="shared" si="533"/>
        <v/>
      </c>
      <c r="Y1611" s="236"/>
      <c r="Z1611" s="22"/>
      <c r="AA1611" s="22"/>
      <c r="AB1611" s="22" t="str">
        <f t="shared" si="534"/>
        <v/>
      </c>
      <c r="AC1611" s="22" t="str">
        <f t="shared" si="535"/>
        <v/>
      </c>
      <c r="AD1611" s="22" t="str">
        <f t="shared" si="521"/>
        <v/>
      </c>
      <c r="AE1611" s="22" t="str">
        <f t="shared" si="536"/>
        <v/>
      </c>
      <c r="AF1611" s="22" t="str">
        <f t="shared" si="522"/>
        <v/>
      </c>
      <c r="AG1611" s="22" t="str">
        <f t="shared" si="523"/>
        <v/>
      </c>
      <c r="AH1611" s="22" t="str">
        <f t="shared" si="524"/>
        <v/>
      </c>
      <c r="AI1611" s="22" t="str">
        <f t="shared" si="525"/>
        <v/>
      </c>
      <c r="AJ1611" s="304" t="str">
        <f t="shared" si="526"/>
        <v/>
      </c>
      <c r="AK1611" s="140" t="str">
        <f t="shared" si="527"/>
        <v/>
      </c>
    </row>
    <row r="1612" spans="7:37" x14ac:dyDescent="0.25">
      <c r="G1612" s="235" t="str">
        <f t="shared" si="516"/>
        <v/>
      </c>
      <c r="H1612" s="4" t="str">
        <f t="shared" si="538"/>
        <v/>
      </c>
      <c r="I1612" s="11" t="str">
        <f t="shared" si="517"/>
        <v/>
      </c>
      <c r="K1612" s="30">
        <v>690</v>
      </c>
      <c r="L1612" s="29">
        <f t="shared" si="528"/>
        <v>11371.908376190921</v>
      </c>
      <c r="M1612" s="28" t="str">
        <f t="shared" si="518"/>
        <v/>
      </c>
      <c r="N1612" s="27" t="str">
        <f t="shared" si="529"/>
        <v/>
      </c>
      <c r="O1612" s="26" t="str">
        <f>IF(AND($Q1611=$O$38,IFERROR(LARGE($V$923:$V1611,1)&lt;$N$42,TRUE)),1,IF(AND(ISNUMBER($O1611),$O1611&lt;$N$32),$O1611+1,""))</f>
        <v/>
      </c>
      <c r="P1612" s="26" t="str">
        <f t="shared" si="530"/>
        <v/>
      </c>
      <c r="Q1612" s="26" t="str">
        <f t="shared" si="519"/>
        <v/>
      </c>
      <c r="R1612" s="24" t="str">
        <f t="shared" si="531"/>
        <v/>
      </c>
      <c r="S1612" s="180">
        <f t="shared" si="537"/>
        <v>8</v>
      </c>
      <c r="T1612" s="29">
        <f>SUM($AC$923:$AC1612)</f>
        <v>49500</v>
      </c>
      <c r="U1612" s="25" t="str">
        <f t="shared" si="520"/>
        <v/>
      </c>
      <c r="V1612" s="24" t="str">
        <f>IF(AND(ISNUMBER(R1611),ISNUMBER(R1612)),V1611,IF(AND(R1611="",ISNUMBER(R1612)),IFERROR(LARGE($V$923:$V1611,1)+1,0),""))</f>
        <v/>
      </c>
      <c r="W1612" s="23" t="str">
        <f t="shared" si="532"/>
        <v/>
      </c>
      <c r="X1612" s="22" t="str">
        <f t="shared" si="533"/>
        <v/>
      </c>
      <c r="Y1612" s="236"/>
      <c r="Z1612" s="22"/>
      <c r="AA1612" s="22"/>
      <c r="AB1612" s="22" t="str">
        <f t="shared" si="534"/>
        <v/>
      </c>
      <c r="AC1612" s="22" t="str">
        <f t="shared" si="535"/>
        <v/>
      </c>
      <c r="AD1612" s="22" t="str">
        <f t="shared" si="521"/>
        <v/>
      </c>
      <c r="AE1612" s="22" t="str">
        <f t="shared" si="536"/>
        <v/>
      </c>
      <c r="AF1612" s="22" t="str">
        <f t="shared" si="522"/>
        <v/>
      </c>
      <c r="AG1612" s="22" t="str">
        <f t="shared" si="523"/>
        <v/>
      </c>
      <c r="AH1612" s="22" t="str">
        <f t="shared" si="524"/>
        <v/>
      </c>
      <c r="AI1612" s="22" t="str">
        <f t="shared" si="525"/>
        <v/>
      </c>
      <c r="AJ1612" s="304" t="str">
        <f t="shared" si="526"/>
        <v/>
      </c>
      <c r="AK1612" s="140" t="str">
        <f t="shared" si="527"/>
        <v/>
      </c>
    </row>
    <row r="1613" spans="7:37" x14ac:dyDescent="0.25">
      <c r="G1613" s="235" t="str">
        <f t="shared" si="516"/>
        <v/>
      </c>
      <c r="H1613" s="4" t="str">
        <f t="shared" si="538"/>
        <v/>
      </c>
      <c r="I1613" s="11" t="str">
        <f t="shared" si="517"/>
        <v/>
      </c>
      <c r="K1613" s="30">
        <v>691</v>
      </c>
      <c r="L1613" s="29">
        <f t="shared" si="528"/>
        <v>11371.908376190921</v>
      </c>
      <c r="M1613" s="28" t="str">
        <f t="shared" si="518"/>
        <v/>
      </c>
      <c r="N1613" s="27" t="str">
        <f t="shared" si="529"/>
        <v/>
      </c>
      <c r="O1613" s="26" t="str">
        <f>IF(AND($Q1612=$O$38,IFERROR(LARGE($V$923:$V1612,1)&lt;$N$42,TRUE)),1,IF(AND(ISNUMBER($O1612),$O1612&lt;$N$32),$O1612+1,""))</f>
        <v/>
      </c>
      <c r="P1613" s="26" t="str">
        <f t="shared" si="530"/>
        <v/>
      </c>
      <c r="Q1613" s="26" t="str">
        <f t="shared" si="519"/>
        <v/>
      </c>
      <c r="R1613" s="24" t="str">
        <f t="shared" si="531"/>
        <v/>
      </c>
      <c r="S1613" s="180">
        <f t="shared" si="537"/>
        <v>8</v>
      </c>
      <c r="T1613" s="29">
        <f>SUM($AC$923:$AC1613)</f>
        <v>49500</v>
      </c>
      <c r="U1613" s="25" t="str">
        <f t="shared" si="520"/>
        <v/>
      </c>
      <c r="V1613" s="24" t="str">
        <f>IF(AND(ISNUMBER(R1612),ISNUMBER(R1613)),V1612,IF(AND(R1612="",ISNUMBER(R1613)),IFERROR(LARGE($V$923:$V1612,1)+1,0),""))</f>
        <v/>
      </c>
      <c r="W1613" s="23" t="str">
        <f t="shared" si="532"/>
        <v/>
      </c>
      <c r="X1613" s="22" t="str">
        <f t="shared" si="533"/>
        <v/>
      </c>
      <c r="Y1613" s="236"/>
      <c r="Z1613" s="22"/>
      <c r="AA1613" s="22"/>
      <c r="AB1613" s="22" t="str">
        <f t="shared" si="534"/>
        <v/>
      </c>
      <c r="AC1613" s="22" t="str">
        <f t="shared" si="535"/>
        <v/>
      </c>
      <c r="AD1613" s="22" t="str">
        <f t="shared" si="521"/>
        <v/>
      </c>
      <c r="AE1613" s="22" t="str">
        <f t="shared" si="536"/>
        <v/>
      </c>
      <c r="AF1613" s="22" t="str">
        <f t="shared" si="522"/>
        <v/>
      </c>
      <c r="AG1613" s="22" t="str">
        <f t="shared" si="523"/>
        <v/>
      </c>
      <c r="AH1613" s="22" t="str">
        <f t="shared" si="524"/>
        <v/>
      </c>
      <c r="AI1613" s="22" t="str">
        <f t="shared" si="525"/>
        <v/>
      </c>
      <c r="AJ1613" s="304" t="str">
        <f t="shared" si="526"/>
        <v/>
      </c>
      <c r="AK1613" s="140" t="str">
        <f t="shared" si="527"/>
        <v/>
      </c>
    </row>
    <row r="1614" spans="7:37" x14ac:dyDescent="0.25">
      <c r="G1614" s="235" t="str">
        <f t="shared" si="516"/>
        <v/>
      </c>
      <c r="H1614" s="4" t="str">
        <f t="shared" si="538"/>
        <v/>
      </c>
      <c r="I1614" s="11" t="str">
        <f t="shared" si="517"/>
        <v/>
      </c>
      <c r="K1614" s="30">
        <v>692</v>
      </c>
      <c r="L1614" s="29">
        <f t="shared" si="528"/>
        <v>11371.908376190921</v>
      </c>
      <c r="M1614" s="28" t="str">
        <f t="shared" si="518"/>
        <v/>
      </c>
      <c r="N1614" s="27" t="str">
        <f t="shared" si="529"/>
        <v/>
      </c>
      <c r="O1614" s="26" t="str">
        <f>IF(AND($Q1613=$O$38,IFERROR(LARGE($V$923:$V1613,1)&lt;$N$42,TRUE)),1,IF(AND(ISNUMBER($O1613),$O1613&lt;$N$32),$O1613+1,""))</f>
        <v/>
      </c>
      <c r="P1614" s="26" t="str">
        <f t="shared" si="530"/>
        <v/>
      </c>
      <c r="Q1614" s="26" t="str">
        <f t="shared" si="519"/>
        <v/>
      </c>
      <c r="R1614" s="24" t="str">
        <f t="shared" si="531"/>
        <v/>
      </c>
      <c r="S1614" s="180">
        <f t="shared" si="537"/>
        <v>8</v>
      </c>
      <c r="T1614" s="29">
        <f>SUM($AC$923:$AC1614)</f>
        <v>49500</v>
      </c>
      <c r="U1614" s="25" t="str">
        <f t="shared" si="520"/>
        <v/>
      </c>
      <c r="V1614" s="24" t="str">
        <f>IF(AND(ISNUMBER(R1613),ISNUMBER(R1614)),V1613,IF(AND(R1613="",ISNUMBER(R1614)),IFERROR(LARGE($V$923:$V1613,1)+1,0),""))</f>
        <v/>
      </c>
      <c r="W1614" s="23" t="str">
        <f t="shared" si="532"/>
        <v/>
      </c>
      <c r="X1614" s="22" t="str">
        <f t="shared" si="533"/>
        <v/>
      </c>
      <c r="Y1614" s="236"/>
      <c r="Z1614" s="22"/>
      <c r="AA1614" s="22"/>
      <c r="AB1614" s="22" t="str">
        <f t="shared" si="534"/>
        <v/>
      </c>
      <c r="AC1614" s="22" t="str">
        <f t="shared" si="535"/>
        <v/>
      </c>
      <c r="AD1614" s="22" t="str">
        <f t="shared" si="521"/>
        <v/>
      </c>
      <c r="AE1614" s="22" t="str">
        <f t="shared" si="536"/>
        <v/>
      </c>
      <c r="AF1614" s="22" t="str">
        <f t="shared" si="522"/>
        <v/>
      </c>
      <c r="AG1614" s="22" t="str">
        <f t="shared" si="523"/>
        <v/>
      </c>
      <c r="AH1614" s="22" t="str">
        <f t="shared" si="524"/>
        <v/>
      </c>
      <c r="AI1614" s="22" t="str">
        <f t="shared" si="525"/>
        <v/>
      </c>
      <c r="AJ1614" s="304" t="str">
        <f t="shared" si="526"/>
        <v/>
      </c>
      <c r="AK1614" s="140" t="str">
        <f t="shared" si="527"/>
        <v/>
      </c>
    </row>
    <row r="1615" spans="7:37" x14ac:dyDescent="0.25">
      <c r="G1615" s="235" t="str">
        <f t="shared" si="516"/>
        <v/>
      </c>
      <c r="H1615" s="4" t="str">
        <f t="shared" si="538"/>
        <v/>
      </c>
      <c r="I1615" s="11" t="str">
        <f t="shared" si="517"/>
        <v/>
      </c>
      <c r="K1615" s="30">
        <v>693</v>
      </c>
      <c r="L1615" s="29">
        <f t="shared" si="528"/>
        <v>11371.908376190921</v>
      </c>
      <c r="M1615" s="28" t="str">
        <f t="shared" si="518"/>
        <v/>
      </c>
      <c r="N1615" s="27" t="str">
        <f t="shared" si="529"/>
        <v/>
      </c>
      <c r="O1615" s="26" t="str">
        <f>IF(AND($Q1614=$O$38,IFERROR(LARGE($V$923:$V1614,1)&lt;$N$42,TRUE)),1,IF(AND(ISNUMBER($O1614),$O1614&lt;$N$32),$O1614+1,""))</f>
        <v/>
      </c>
      <c r="P1615" s="26" t="str">
        <f t="shared" si="530"/>
        <v/>
      </c>
      <c r="Q1615" s="26" t="str">
        <f t="shared" si="519"/>
        <v/>
      </c>
      <c r="R1615" s="24" t="str">
        <f t="shared" si="531"/>
        <v/>
      </c>
      <c r="S1615" s="180">
        <f t="shared" si="537"/>
        <v>8</v>
      </c>
      <c r="T1615" s="29">
        <f>SUM($AC$923:$AC1615)</f>
        <v>49500</v>
      </c>
      <c r="U1615" s="25" t="str">
        <f t="shared" si="520"/>
        <v/>
      </c>
      <c r="V1615" s="24" t="str">
        <f>IF(AND(ISNUMBER(R1614),ISNUMBER(R1615)),V1614,IF(AND(R1614="",ISNUMBER(R1615)),IFERROR(LARGE($V$923:$V1614,1)+1,0),""))</f>
        <v/>
      </c>
      <c r="W1615" s="23" t="str">
        <f t="shared" si="532"/>
        <v/>
      </c>
      <c r="X1615" s="22" t="str">
        <f t="shared" si="533"/>
        <v/>
      </c>
      <c r="Y1615" s="236"/>
      <c r="Z1615" s="22"/>
      <c r="AA1615" s="22"/>
      <c r="AB1615" s="22" t="str">
        <f t="shared" si="534"/>
        <v/>
      </c>
      <c r="AC1615" s="22" t="str">
        <f t="shared" si="535"/>
        <v/>
      </c>
      <c r="AD1615" s="22" t="str">
        <f t="shared" si="521"/>
        <v/>
      </c>
      <c r="AE1615" s="22" t="str">
        <f t="shared" si="536"/>
        <v/>
      </c>
      <c r="AF1615" s="22" t="str">
        <f t="shared" si="522"/>
        <v/>
      </c>
      <c r="AG1615" s="22" t="str">
        <f t="shared" si="523"/>
        <v/>
      </c>
      <c r="AH1615" s="22" t="str">
        <f t="shared" si="524"/>
        <v/>
      </c>
      <c r="AI1615" s="22" t="str">
        <f t="shared" si="525"/>
        <v/>
      </c>
      <c r="AJ1615" s="304" t="str">
        <f t="shared" si="526"/>
        <v/>
      </c>
      <c r="AK1615" s="140" t="str">
        <f t="shared" si="527"/>
        <v/>
      </c>
    </row>
    <row r="1616" spans="7:37" x14ac:dyDescent="0.25">
      <c r="G1616" s="235" t="str">
        <f t="shared" si="516"/>
        <v/>
      </c>
      <c r="H1616" s="4" t="str">
        <f t="shared" si="538"/>
        <v/>
      </c>
      <c r="I1616" s="11" t="str">
        <f t="shared" si="517"/>
        <v/>
      </c>
      <c r="K1616" s="30">
        <v>694</v>
      </c>
      <c r="L1616" s="29">
        <f t="shared" si="528"/>
        <v>11371.908376190921</v>
      </c>
      <c r="M1616" s="28" t="str">
        <f t="shared" si="518"/>
        <v/>
      </c>
      <c r="N1616" s="27" t="str">
        <f t="shared" si="529"/>
        <v/>
      </c>
      <c r="O1616" s="26" t="str">
        <f>IF(AND($Q1615=$O$38,IFERROR(LARGE($V$923:$V1615,1)&lt;$N$42,TRUE)),1,IF(AND(ISNUMBER($O1615),$O1615&lt;$N$32),$O1615+1,""))</f>
        <v/>
      </c>
      <c r="P1616" s="26" t="str">
        <f t="shared" si="530"/>
        <v/>
      </c>
      <c r="Q1616" s="26" t="str">
        <f t="shared" si="519"/>
        <v/>
      </c>
      <c r="R1616" s="24" t="str">
        <f t="shared" si="531"/>
        <v/>
      </c>
      <c r="S1616" s="180">
        <f t="shared" si="537"/>
        <v>8</v>
      </c>
      <c r="T1616" s="29">
        <f>SUM($AC$923:$AC1616)</f>
        <v>49500</v>
      </c>
      <c r="U1616" s="25" t="str">
        <f t="shared" si="520"/>
        <v/>
      </c>
      <c r="V1616" s="24" t="str">
        <f>IF(AND(ISNUMBER(R1615),ISNUMBER(R1616)),V1615,IF(AND(R1615="",ISNUMBER(R1616)),IFERROR(LARGE($V$923:$V1615,1)+1,0),""))</f>
        <v/>
      </c>
      <c r="W1616" s="23" t="str">
        <f t="shared" si="532"/>
        <v/>
      </c>
      <c r="X1616" s="22" t="str">
        <f t="shared" si="533"/>
        <v/>
      </c>
      <c r="Y1616" s="236"/>
      <c r="Z1616" s="22"/>
      <c r="AA1616" s="22"/>
      <c r="AB1616" s="22" t="str">
        <f t="shared" si="534"/>
        <v/>
      </c>
      <c r="AC1616" s="22" t="str">
        <f t="shared" si="535"/>
        <v/>
      </c>
      <c r="AD1616" s="22" t="str">
        <f t="shared" si="521"/>
        <v/>
      </c>
      <c r="AE1616" s="22" t="str">
        <f t="shared" si="536"/>
        <v/>
      </c>
      <c r="AF1616" s="22" t="str">
        <f t="shared" si="522"/>
        <v/>
      </c>
      <c r="AG1616" s="22" t="str">
        <f t="shared" si="523"/>
        <v/>
      </c>
      <c r="AH1616" s="22" t="str">
        <f t="shared" si="524"/>
        <v/>
      </c>
      <c r="AI1616" s="22" t="str">
        <f t="shared" si="525"/>
        <v/>
      </c>
      <c r="AJ1616" s="304" t="str">
        <f t="shared" si="526"/>
        <v/>
      </c>
      <c r="AK1616" s="140" t="str">
        <f t="shared" si="527"/>
        <v/>
      </c>
    </row>
    <row r="1617" spans="7:37" x14ac:dyDescent="0.25">
      <c r="G1617" s="235" t="str">
        <f t="shared" si="516"/>
        <v/>
      </c>
      <c r="H1617" s="4" t="str">
        <f t="shared" si="538"/>
        <v/>
      </c>
      <c r="I1617" s="11" t="str">
        <f t="shared" si="517"/>
        <v/>
      </c>
      <c r="K1617" s="30">
        <v>695</v>
      </c>
      <c r="L1617" s="29">
        <f t="shared" si="528"/>
        <v>11371.908376190921</v>
      </c>
      <c r="M1617" s="28" t="str">
        <f t="shared" si="518"/>
        <v/>
      </c>
      <c r="N1617" s="27" t="str">
        <f t="shared" si="529"/>
        <v/>
      </c>
      <c r="O1617" s="26" t="str">
        <f>IF(AND($Q1616=$O$38,IFERROR(LARGE($V$923:$V1616,1)&lt;$N$42,TRUE)),1,IF(AND(ISNUMBER($O1616),$O1616&lt;$N$32),$O1616+1,""))</f>
        <v/>
      </c>
      <c r="P1617" s="26" t="str">
        <f t="shared" si="530"/>
        <v/>
      </c>
      <c r="Q1617" s="26" t="str">
        <f t="shared" si="519"/>
        <v/>
      </c>
      <c r="R1617" s="24" t="str">
        <f t="shared" si="531"/>
        <v/>
      </c>
      <c r="S1617" s="180">
        <f t="shared" si="537"/>
        <v>8</v>
      </c>
      <c r="T1617" s="29">
        <f>SUM($AC$923:$AC1617)</f>
        <v>49500</v>
      </c>
      <c r="U1617" s="25" t="str">
        <f t="shared" si="520"/>
        <v/>
      </c>
      <c r="V1617" s="24" t="str">
        <f>IF(AND(ISNUMBER(R1616),ISNUMBER(R1617)),V1616,IF(AND(R1616="",ISNUMBER(R1617)),IFERROR(LARGE($V$923:$V1616,1)+1,0),""))</f>
        <v/>
      </c>
      <c r="W1617" s="23" t="str">
        <f t="shared" si="532"/>
        <v/>
      </c>
      <c r="X1617" s="22" t="str">
        <f t="shared" si="533"/>
        <v/>
      </c>
      <c r="Y1617" s="236"/>
      <c r="Z1617" s="22"/>
      <c r="AA1617" s="22"/>
      <c r="AB1617" s="22" t="str">
        <f t="shared" si="534"/>
        <v/>
      </c>
      <c r="AC1617" s="22" t="str">
        <f t="shared" si="535"/>
        <v/>
      </c>
      <c r="AD1617" s="22" t="str">
        <f t="shared" si="521"/>
        <v/>
      </c>
      <c r="AE1617" s="22" t="str">
        <f t="shared" si="536"/>
        <v/>
      </c>
      <c r="AF1617" s="22" t="str">
        <f t="shared" si="522"/>
        <v/>
      </c>
      <c r="AG1617" s="22" t="str">
        <f t="shared" si="523"/>
        <v/>
      </c>
      <c r="AH1617" s="22" t="str">
        <f t="shared" si="524"/>
        <v/>
      </c>
      <c r="AI1617" s="22" t="str">
        <f t="shared" si="525"/>
        <v/>
      </c>
      <c r="AJ1617" s="304" t="str">
        <f t="shared" si="526"/>
        <v/>
      </c>
      <c r="AK1617" s="140" t="str">
        <f t="shared" si="527"/>
        <v/>
      </c>
    </row>
    <row r="1618" spans="7:37" x14ac:dyDescent="0.25">
      <c r="G1618" s="235" t="str">
        <f t="shared" si="516"/>
        <v/>
      </c>
      <c r="H1618" s="4" t="str">
        <f t="shared" si="538"/>
        <v/>
      </c>
      <c r="I1618" s="11" t="str">
        <f t="shared" si="517"/>
        <v/>
      </c>
      <c r="K1618" s="30">
        <v>696</v>
      </c>
      <c r="L1618" s="29">
        <f t="shared" si="528"/>
        <v>11371.908376190921</v>
      </c>
      <c r="M1618" s="28" t="str">
        <f t="shared" si="518"/>
        <v/>
      </c>
      <c r="N1618" s="27" t="str">
        <f t="shared" si="529"/>
        <v/>
      </c>
      <c r="O1618" s="26" t="str">
        <f>IF(AND($Q1617=$O$38,IFERROR(LARGE($V$923:$V1617,1)&lt;$N$42,TRUE)),1,IF(AND(ISNUMBER($O1617),$O1617&lt;$N$32),$O1617+1,""))</f>
        <v/>
      </c>
      <c r="P1618" s="26" t="str">
        <f t="shared" si="530"/>
        <v/>
      </c>
      <c r="Q1618" s="26" t="str">
        <f t="shared" si="519"/>
        <v/>
      </c>
      <c r="R1618" s="24" t="str">
        <f t="shared" si="531"/>
        <v/>
      </c>
      <c r="S1618" s="180">
        <f t="shared" si="537"/>
        <v>8</v>
      </c>
      <c r="T1618" s="29">
        <f>SUM($AC$923:$AC1618)</f>
        <v>49500</v>
      </c>
      <c r="U1618" s="25" t="str">
        <f t="shared" si="520"/>
        <v/>
      </c>
      <c r="V1618" s="24" t="str">
        <f>IF(AND(ISNUMBER(R1617),ISNUMBER(R1618)),V1617,IF(AND(R1617="",ISNUMBER(R1618)),IFERROR(LARGE($V$923:$V1617,1)+1,0),""))</f>
        <v/>
      </c>
      <c r="W1618" s="23" t="str">
        <f t="shared" si="532"/>
        <v/>
      </c>
      <c r="X1618" s="22" t="str">
        <f t="shared" si="533"/>
        <v/>
      </c>
      <c r="Y1618" s="236"/>
      <c r="Z1618" s="22"/>
      <c r="AA1618" s="22"/>
      <c r="AB1618" s="22" t="str">
        <f t="shared" si="534"/>
        <v/>
      </c>
      <c r="AC1618" s="22" t="str">
        <f t="shared" si="535"/>
        <v/>
      </c>
      <c r="AD1618" s="22" t="str">
        <f t="shared" si="521"/>
        <v/>
      </c>
      <c r="AE1618" s="22" t="str">
        <f t="shared" si="536"/>
        <v/>
      </c>
      <c r="AF1618" s="22" t="str">
        <f t="shared" si="522"/>
        <v/>
      </c>
      <c r="AG1618" s="22" t="str">
        <f t="shared" si="523"/>
        <v/>
      </c>
      <c r="AH1618" s="22" t="str">
        <f t="shared" si="524"/>
        <v/>
      </c>
      <c r="AI1618" s="22" t="str">
        <f t="shared" si="525"/>
        <v/>
      </c>
      <c r="AJ1618" s="304" t="str">
        <f t="shared" si="526"/>
        <v/>
      </c>
      <c r="AK1618" s="140" t="str">
        <f t="shared" si="527"/>
        <v/>
      </c>
    </row>
    <row r="1619" spans="7:37" x14ac:dyDescent="0.25">
      <c r="G1619" s="235" t="str">
        <f t="shared" si="516"/>
        <v/>
      </c>
      <c r="H1619" s="4" t="str">
        <f t="shared" si="538"/>
        <v/>
      </c>
      <c r="I1619" s="11" t="str">
        <f t="shared" si="517"/>
        <v/>
      </c>
      <c r="K1619" s="30">
        <v>697</v>
      </c>
      <c r="L1619" s="29">
        <f t="shared" si="528"/>
        <v>11371.908376190921</v>
      </c>
      <c r="M1619" s="28" t="str">
        <f t="shared" si="518"/>
        <v/>
      </c>
      <c r="N1619" s="27" t="str">
        <f t="shared" si="529"/>
        <v/>
      </c>
      <c r="O1619" s="26" t="str">
        <f>IF(AND($Q1618=$O$38,IFERROR(LARGE($V$923:$V1618,1)&lt;$N$42,TRUE)),1,IF(AND(ISNUMBER($O1618),$O1618&lt;$N$32),$O1618+1,""))</f>
        <v/>
      </c>
      <c r="P1619" s="26" t="str">
        <f t="shared" si="530"/>
        <v/>
      </c>
      <c r="Q1619" s="26" t="str">
        <f t="shared" si="519"/>
        <v/>
      </c>
      <c r="R1619" s="24" t="str">
        <f t="shared" si="531"/>
        <v/>
      </c>
      <c r="S1619" s="180">
        <f t="shared" si="537"/>
        <v>8</v>
      </c>
      <c r="T1619" s="29">
        <f>SUM($AC$923:$AC1619)</f>
        <v>49500</v>
      </c>
      <c r="U1619" s="25" t="str">
        <f t="shared" si="520"/>
        <v/>
      </c>
      <c r="V1619" s="24" t="str">
        <f>IF(AND(ISNUMBER(R1618),ISNUMBER(R1619)),V1618,IF(AND(R1618="",ISNUMBER(R1619)),IFERROR(LARGE($V$923:$V1618,1)+1,0),""))</f>
        <v/>
      </c>
      <c r="W1619" s="23" t="str">
        <f t="shared" si="532"/>
        <v/>
      </c>
      <c r="X1619" s="22" t="str">
        <f t="shared" si="533"/>
        <v/>
      </c>
      <c r="Y1619" s="236"/>
      <c r="Z1619" s="22"/>
      <c r="AA1619" s="22"/>
      <c r="AB1619" s="22" t="str">
        <f t="shared" si="534"/>
        <v/>
      </c>
      <c r="AC1619" s="22" t="str">
        <f t="shared" si="535"/>
        <v/>
      </c>
      <c r="AD1619" s="22" t="str">
        <f t="shared" si="521"/>
        <v/>
      </c>
      <c r="AE1619" s="22" t="str">
        <f t="shared" si="536"/>
        <v/>
      </c>
      <c r="AF1619" s="22" t="str">
        <f t="shared" si="522"/>
        <v/>
      </c>
      <c r="AG1619" s="22" t="str">
        <f t="shared" si="523"/>
        <v/>
      </c>
      <c r="AH1619" s="22" t="str">
        <f t="shared" si="524"/>
        <v/>
      </c>
      <c r="AI1619" s="22" t="str">
        <f t="shared" si="525"/>
        <v/>
      </c>
      <c r="AJ1619" s="304" t="str">
        <f t="shared" si="526"/>
        <v/>
      </c>
      <c r="AK1619" s="140" t="str">
        <f t="shared" si="527"/>
        <v/>
      </c>
    </row>
    <row r="1620" spans="7:37" x14ac:dyDescent="0.25">
      <c r="G1620" s="235" t="str">
        <f t="shared" si="516"/>
        <v/>
      </c>
      <c r="H1620" s="4" t="str">
        <f t="shared" si="538"/>
        <v/>
      </c>
      <c r="I1620" s="11" t="str">
        <f t="shared" si="517"/>
        <v/>
      </c>
      <c r="K1620" s="30">
        <v>698</v>
      </c>
      <c r="L1620" s="29">
        <f t="shared" si="528"/>
        <v>11371.908376190921</v>
      </c>
      <c r="M1620" s="28" t="str">
        <f t="shared" si="518"/>
        <v/>
      </c>
      <c r="N1620" s="27" t="str">
        <f t="shared" si="529"/>
        <v/>
      </c>
      <c r="O1620" s="26" t="str">
        <f>IF(AND($Q1619=$O$38,IFERROR(LARGE($V$923:$V1619,1)&lt;$N$42,TRUE)),1,IF(AND(ISNUMBER($O1619),$O1619&lt;$N$32),$O1619+1,""))</f>
        <v/>
      </c>
      <c r="P1620" s="26" t="str">
        <f t="shared" si="530"/>
        <v/>
      </c>
      <c r="Q1620" s="26" t="str">
        <f t="shared" si="519"/>
        <v/>
      </c>
      <c r="R1620" s="24" t="str">
        <f t="shared" si="531"/>
        <v/>
      </c>
      <c r="S1620" s="180">
        <f t="shared" si="537"/>
        <v>8</v>
      </c>
      <c r="T1620" s="29">
        <f>SUM($AC$923:$AC1620)</f>
        <v>49500</v>
      </c>
      <c r="U1620" s="25" t="str">
        <f t="shared" si="520"/>
        <v/>
      </c>
      <c r="V1620" s="24" t="str">
        <f>IF(AND(ISNUMBER(R1619),ISNUMBER(R1620)),V1619,IF(AND(R1619="",ISNUMBER(R1620)),IFERROR(LARGE($V$923:$V1619,1)+1,0),""))</f>
        <v/>
      </c>
      <c r="W1620" s="23" t="str">
        <f t="shared" si="532"/>
        <v/>
      </c>
      <c r="X1620" s="22" t="str">
        <f t="shared" si="533"/>
        <v/>
      </c>
      <c r="Y1620" s="236"/>
      <c r="Z1620" s="22"/>
      <c r="AA1620" s="22"/>
      <c r="AB1620" s="22" t="str">
        <f t="shared" si="534"/>
        <v/>
      </c>
      <c r="AC1620" s="22" t="str">
        <f t="shared" si="535"/>
        <v/>
      </c>
      <c r="AD1620" s="22" t="str">
        <f t="shared" si="521"/>
        <v/>
      </c>
      <c r="AE1620" s="22" t="str">
        <f t="shared" si="536"/>
        <v/>
      </c>
      <c r="AF1620" s="22" t="str">
        <f t="shared" si="522"/>
        <v/>
      </c>
      <c r="AG1620" s="22" t="str">
        <f t="shared" si="523"/>
        <v/>
      </c>
      <c r="AH1620" s="22" t="str">
        <f t="shared" si="524"/>
        <v/>
      </c>
      <c r="AI1620" s="22" t="str">
        <f t="shared" si="525"/>
        <v/>
      </c>
      <c r="AJ1620" s="304" t="str">
        <f t="shared" si="526"/>
        <v/>
      </c>
      <c r="AK1620" s="140" t="str">
        <f t="shared" si="527"/>
        <v/>
      </c>
    </row>
    <row r="1621" spans="7:37" x14ac:dyDescent="0.25">
      <c r="G1621" s="235" t="str">
        <f t="shared" si="516"/>
        <v/>
      </c>
      <c r="H1621" s="4" t="str">
        <f t="shared" si="538"/>
        <v/>
      </c>
      <c r="I1621" s="11" t="str">
        <f t="shared" si="517"/>
        <v/>
      </c>
      <c r="K1621" s="30">
        <v>699</v>
      </c>
      <c r="L1621" s="29">
        <f t="shared" si="528"/>
        <v>11371.908376190921</v>
      </c>
      <c r="M1621" s="28" t="str">
        <f t="shared" si="518"/>
        <v/>
      </c>
      <c r="N1621" s="27" t="str">
        <f t="shared" si="529"/>
        <v/>
      </c>
      <c r="O1621" s="26" t="str">
        <f>IF(AND($Q1620=$O$38,IFERROR(LARGE($V$923:$V1620,1)&lt;$N$42,TRUE)),1,IF(AND(ISNUMBER($O1620),$O1620&lt;$N$32),$O1620+1,""))</f>
        <v/>
      </c>
      <c r="P1621" s="26" t="str">
        <f t="shared" si="530"/>
        <v/>
      </c>
      <c r="Q1621" s="26" t="str">
        <f t="shared" si="519"/>
        <v/>
      </c>
      <c r="R1621" s="24" t="str">
        <f t="shared" si="531"/>
        <v/>
      </c>
      <c r="S1621" s="180">
        <f t="shared" si="537"/>
        <v>8</v>
      </c>
      <c r="T1621" s="29">
        <f>SUM($AC$923:$AC1621)</f>
        <v>49500</v>
      </c>
      <c r="U1621" s="25" t="str">
        <f t="shared" si="520"/>
        <v/>
      </c>
      <c r="V1621" s="24" t="str">
        <f>IF(AND(ISNUMBER(R1620),ISNUMBER(R1621)),V1620,IF(AND(R1620="",ISNUMBER(R1621)),IFERROR(LARGE($V$923:$V1620,1)+1,0),""))</f>
        <v/>
      </c>
      <c r="W1621" s="23" t="str">
        <f t="shared" si="532"/>
        <v/>
      </c>
      <c r="X1621" s="22" t="str">
        <f t="shared" si="533"/>
        <v/>
      </c>
      <c r="Y1621" s="236"/>
      <c r="Z1621" s="22"/>
      <c r="AA1621" s="22"/>
      <c r="AB1621" s="22" t="str">
        <f t="shared" si="534"/>
        <v/>
      </c>
      <c r="AC1621" s="22" t="str">
        <f t="shared" si="535"/>
        <v/>
      </c>
      <c r="AD1621" s="22" t="str">
        <f t="shared" si="521"/>
        <v/>
      </c>
      <c r="AE1621" s="22" t="str">
        <f t="shared" si="536"/>
        <v/>
      </c>
      <c r="AF1621" s="22" t="str">
        <f t="shared" si="522"/>
        <v/>
      </c>
      <c r="AG1621" s="22" t="str">
        <f t="shared" si="523"/>
        <v/>
      </c>
      <c r="AH1621" s="22" t="str">
        <f t="shared" si="524"/>
        <v/>
      </c>
      <c r="AI1621" s="22" t="str">
        <f t="shared" si="525"/>
        <v/>
      </c>
      <c r="AJ1621" s="304" t="str">
        <f t="shared" si="526"/>
        <v/>
      </c>
      <c r="AK1621" s="140" t="str">
        <f t="shared" si="527"/>
        <v/>
      </c>
    </row>
    <row r="1622" spans="7:37" x14ac:dyDescent="0.25">
      <c r="G1622" s="235" t="str">
        <f t="shared" si="516"/>
        <v/>
      </c>
      <c r="H1622" s="4" t="str">
        <f t="shared" si="538"/>
        <v/>
      </c>
      <c r="I1622" s="11" t="str">
        <f t="shared" si="517"/>
        <v/>
      </c>
      <c r="K1622" s="30">
        <v>700</v>
      </c>
      <c r="L1622" s="29">
        <f t="shared" si="528"/>
        <v>11371.908376190921</v>
      </c>
      <c r="M1622" s="28" t="str">
        <f t="shared" si="518"/>
        <v/>
      </c>
      <c r="N1622" s="27" t="str">
        <f t="shared" si="529"/>
        <v/>
      </c>
      <c r="O1622" s="26" t="str">
        <f>IF(AND($Q1621=$O$38,IFERROR(LARGE($V$923:$V1621,1)&lt;$N$42,TRUE)),1,IF(AND(ISNUMBER($O1621),$O1621&lt;$N$32),$O1621+1,""))</f>
        <v/>
      </c>
      <c r="P1622" s="26" t="str">
        <f t="shared" si="530"/>
        <v/>
      </c>
      <c r="Q1622" s="26" t="str">
        <f t="shared" si="519"/>
        <v/>
      </c>
      <c r="R1622" s="24" t="str">
        <f t="shared" si="531"/>
        <v/>
      </c>
      <c r="S1622" s="180">
        <f t="shared" si="537"/>
        <v>8</v>
      </c>
      <c r="T1622" s="29">
        <f>SUM($AC$923:$AC1622)</f>
        <v>49500</v>
      </c>
      <c r="U1622" s="25" t="str">
        <f t="shared" si="520"/>
        <v/>
      </c>
      <c r="V1622" s="24" t="str">
        <f>IF(AND(ISNUMBER(R1621),ISNUMBER(R1622)),V1621,IF(AND(R1621="",ISNUMBER(R1622)),IFERROR(LARGE($V$923:$V1621,1)+1,0),""))</f>
        <v/>
      </c>
      <c r="W1622" s="23" t="str">
        <f t="shared" si="532"/>
        <v/>
      </c>
      <c r="X1622" s="22" t="str">
        <f t="shared" si="533"/>
        <v/>
      </c>
      <c r="Y1622" s="236"/>
      <c r="Z1622" s="22"/>
      <c r="AA1622" s="22"/>
      <c r="AB1622" s="22" t="str">
        <f t="shared" si="534"/>
        <v/>
      </c>
      <c r="AC1622" s="22" t="str">
        <f t="shared" si="535"/>
        <v/>
      </c>
      <c r="AD1622" s="22" t="str">
        <f t="shared" si="521"/>
        <v/>
      </c>
      <c r="AE1622" s="22" t="str">
        <f t="shared" si="536"/>
        <v/>
      </c>
      <c r="AF1622" s="22" t="str">
        <f t="shared" si="522"/>
        <v/>
      </c>
      <c r="AG1622" s="22" t="str">
        <f t="shared" si="523"/>
        <v/>
      </c>
      <c r="AH1622" s="22" t="str">
        <f t="shared" si="524"/>
        <v/>
      </c>
      <c r="AI1622" s="22" t="str">
        <f t="shared" si="525"/>
        <v/>
      </c>
      <c r="AJ1622" s="304" t="str">
        <f t="shared" si="526"/>
        <v/>
      </c>
      <c r="AK1622" s="140" t="str">
        <f t="shared" si="527"/>
        <v/>
      </c>
    </row>
    <row r="1623" spans="7:37" x14ac:dyDescent="0.25">
      <c r="G1623" s="235" t="str">
        <f t="shared" si="516"/>
        <v/>
      </c>
      <c r="H1623" s="4" t="str">
        <f t="shared" si="538"/>
        <v/>
      </c>
      <c r="I1623" s="11" t="str">
        <f t="shared" si="517"/>
        <v/>
      </c>
      <c r="K1623" s="30">
        <v>701</v>
      </c>
      <c r="L1623" s="29">
        <f t="shared" si="528"/>
        <v>11371.908376190921</v>
      </c>
      <c r="M1623" s="28" t="str">
        <f t="shared" si="518"/>
        <v/>
      </c>
      <c r="N1623" s="27" t="str">
        <f t="shared" si="529"/>
        <v/>
      </c>
      <c r="O1623" s="26" t="str">
        <f>IF(AND($Q1622=$O$38,IFERROR(LARGE($V$923:$V1622,1)&lt;$N$42,TRUE)),1,IF(AND(ISNUMBER($O1622),$O1622&lt;$N$32),$O1622+1,""))</f>
        <v/>
      </c>
      <c r="P1623" s="26" t="str">
        <f t="shared" si="530"/>
        <v/>
      </c>
      <c r="Q1623" s="26" t="str">
        <f t="shared" si="519"/>
        <v/>
      </c>
      <c r="R1623" s="24" t="str">
        <f t="shared" si="531"/>
        <v/>
      </c>
      <c r="S1623" s="180">
        <f t="shared" si="537"/>
        <v>8</v>
      </c>
      <c r="T1623" s="29">
        <f>SUM($AC$923:$AC1623)</f>
        <v>49500</v>
      </c>
      <c r="U1623" s="25" t="str">
        <f t="shared" si="520"/>
        <v/>
      </c>
      <c r="V1623" s="24" t="str">
        <f>IF(AND(ISNUMBER(R1622),ISNUMBER(R1623)),V1622,IF(AND(R1622="",ISNUMBER(R1623)),IFERROR(LARGE($V$923:$V1622,1)+1,0),""))</f>
        <v/>
      </c>
      <c r="W1623" s="23" t="str">
        <f t="shared" si="532"/>
        <v/>
      </c>
      <c r="X1623" s="22" t="str">
        <f t="shared" si="533"/>
        <v/>
      </c>
      <c r="Y1623" s="236"/>
      <c r="Z1623" s="22"/>
      <c r="AA1623" s="22"/>
      <c r="AB1623" s="22" t="str">
        <f t="shared" si="534"/>
        <v/>
      </c>
      <c r="AC1623" s="22" t="str">
        <f t="shared" si="535"/>
        <v/>
      </c>
      <c r="AD1623" s="22" t="str">
        <f t="shared" si="521"/>
        <v/>
      </c>
      <c r="AE1623" s="22" t="str">
        <f t="shared" si="536"/>
        <v/>
      </c>
      <c r="AF1623" s="22" t="str">
        <f t="shared" si="522"/>
        <v/>
      </c>
      <c r="AG1623" s="22" t="str">
        <f t="shared" si="523"/>
        <v/>
      </c>
      <c r="AH1623" s="22" t="str">
        <f t="shared" si="524"/>
        <v/>
      </c>
      <c r="AI1623" s="22" t="str">
        <f t="shared" si="525"/>
        <v/>
      </c>
      <c r="AJ1623" s="304" t="str">
        <f t="shared" si="526"/>
        <v/>
      </c>
      <c r="AK1623" s="140" t="str">
        <f t="shared" si="527"/>
        <v/>
      </c>
    </row>
    <row r="1624" spans="7:37" x14ac:dyDescent="0.25">
      <c r="G1624" s="235" t="str">
        <f t="shared" si="516"/>
        <v/>
      </c>
      <c r="H1624" s="4" t="str">
        <f t="shared" si="538"/>
        <v/>
      </c>
      <c r="I1624" s="11" t="str">
        <f t="shared" si="517"/>
        <v/>
      </c>
      <c r="K1624" s="30">
        <v>702</v>
      </c>
      <c r="L1624" s="29">
        <f t="shared" si="528"/>
        <v>11371.908376190921</v>
      </c>
      <c r="M1624" s="28" t="str">
        <f t="shared" si="518"/>
        <v/>
      </c>
      <c r="N1624" s="27" t="str">
        <f t="shared" si="529"/>
        <v/>
      </c>
      <c r="O1624" s="26" t="str">
        <f>IF(AND($Q1623=$O$38,IFERROR(LARGE($V$923:$V1623,1)&lt;$N$42,TRUE)),1,IF(AND(ISNUMBER($O1623),$O1623&lt;$N$32),$O1623+1,""))</f>
        <v/>
      </c>
      <c r="P1624" s="26" t="str">
        <f t="shared" si="530"/>
        <v/>
      </c>
      <c r="Q1624" s="26" t="str">
        <f t="shared" si="519"/>
        <v/>
      </c>
      <c r="R1624" s="24" t="str">
        <f t="shared" si="531"/>
        <v/>
      </c>
      <c r="S1624" s="180">
        <f t="shared" si="537"/>
        <v>8</v>
      </c>
      <c r="T1624" s="29">
        <f>SUM($AC$923:$AC1624)</f>
        <v>49500</v>
      </c>
      <c r="U1624" s="25" t="str">
        <f t="shared" si="520"/>
        <v/>
      </c>
      <c r="V1624" s="24" t="str">
        <f>IF(AND(ISNUMBER(R1623),ISNUMBER(R1624)),V1623,IF(AND(R1623="",ISNUMBER(R1624)),IFERROR(LARGE($V$923:$V1623,1)+1,0),""))</f>
        <v/>
      </c>
      <c r="W1624" s="23" t="str">
        <f t="shared" si="532"/>
        <v/>
      </c>
      <c r="X1624" s="22" t="str">
        <f t="shared" si="533"/>
        <v/>
      </c>
      <c r="Y1624" s="236"/>
      <c r="Z1624" s="22"/>
      <c r="AA1624" s="22"/>
      <c r="AB1624" s="22" t="str">
        <f t="shared" si="534"/>
        <v/>
      </c>
      <c r="AC1624" s="22" t="str">
        <f t="shared" si="535"/>
        <v/>
      </c>
      <c r="AD1624" s="22" t="str">
        <f t="shared" si="521"/>
        <v/>
      </c>
      <c r="AE1624" s="22" t="str">
        <f t="shared" si="536"/>
        <v/>
      </c>
      <c r="AF1624" s="22" t="str">
        <f t="shared" si="522"/>
        <v/>
      </c>
      <c r="AG1624" s="22" t="str">
        <f t="shared" si="523"/>
        <v/>
      </c>
      <c r="AH1624" s="22" t="str">
        <f t="shared" si="524"/>
        <v/>
      </c>
      <c r="AI1624" s="22" t="str">
        <f t="shared" si="525"/>
        <v/>
      </c>
      <c r="AJ1624" s="304" t="str">
        <f t="shared" si="526"/>
        <v/>
      </c>
      <c r="AK1624" s="140" t="str">
        <f t="shared" si="527"/>
        <v/>
      </c>
    </row>
    <row r="1625" spans="7:37" x14ac:dyDescent="0.25">
      <c r="G1625" s="235" t="str">
        <f t="shared" si="516"/>
        <v/>
      </c>
      <c r="H1625" s="4" t="str">
        <f t="shared" si="538"/>
        <v/>
      </c>
      <c r="I1625" s="11" t="str">
        <f t="shared" si="517"/>
        <v/>
      </c>
      <c r="K1625" s="30">
        <v>703</v>
      </c>
      <c r="L1625" s="29">
        <f t="shared" si="528"/>
        <v>11371.908376190921</v>
      </c>
      <c r="M1625" s="28" t="str">
        <f t="shared" si="518"/>
        <v/>
      </c>
      <c r="N1625" s="27" t="str">
        <f t="shared" si="529"/>
        <v/>
      </c>
      <c r="O1625" s="26" t="str">
        <f>IF(AND($Q1624=$O$38,IFERROR(LARGE($V$923:$V1624,1)&lt;$N$42,TRUE)),1,IF(AND(ISNUMBER($O1624),$O1624&lt;$N$32),$O1624+1,""))</f>
        <v/>
      </c>
      <c r="P1625" s="26" t="str">
        <f t="shared" si="530"/>
        <v/>
      </c>
      <c r="Q1625" s="26" t="str">
        <f t="shared" si="519"/>
        <v/>
      </c>
      <c r="R1625" s="24" t="str">
        <f t="shared" si="531"/>
        <v/>
      </c>
      <c r="S1625" s="180">
        <f t="shared" si="537"/>
        <v>8</v>
      </c>
      <c r="T1625" s="29">
        <f>SUM($AC$923:$AC1625)</f>
        <v>49500</v>
      </c>
      <c r="U1625" s="25" t="str">
        <f t="shared" si="520"/>
        <v/>
      </c>
      <c r="V1625" s="24" t="str">
        <f>IF(AND(ISNUMBER(R1624),ISNUMBER(R1625)),V1624,IF(AND(R1624="",ISNUMBER(R1625)),IFERROR(LARGE($V$923:$V1624,1)+1,0),""))</f>
        <v/>
      </c>
      <c r="W1625" s="23" t="str">
        <f t="shared" si="532"/>
        <v/>
      </c>
      <c r="X1625" s="22" t="str">
        <f t="shared" si="533"/>
        <v/>
      </c>
      <c r="Y1625" s="236"/>
      <c r="Z1625" s="22"/>
      <c r="AA1625" s="22"/>
      <c r="AB1625" s="22" t="str">
        <f t="shared" si="534"/>
        <v/>
      </c>
      <c r="AC1625" s="22" t="str">
        <f t="shared" si="535"/>
        <v/>
      </c>
      <c r="AD1625" s="22" t="str">
        <f t="shared" si="521"/>
        <v/>
      </c>
      <c r="AE1625" s="22" t="str">
        <f t="shared" si="536"/>
        <v/>
      </c>
      <c r="AF1625" s="22" t="str">
        <f t="shared" si="522"/>
        <v/>
      </c>
      <c r="AG1625" s="22" t="str">
        <f t="shared" si="523"/>
        <v/>
      </c>
      <c r="AH1625" s="22" t="str">
        <f t="shared" si="524"/>
        <v/>
      </c>
      <c r="AI1625" s="22" t="str">
        <f t="shared" si="525"/>
        <v/>
      </c>
      <c r="AJ1625" s="304" t="str">
        <f t="shared" si="526"/>
        <v/>
      </c>
      <c r="AK1625" s="140" t="str">
        <f t="shared" si="527"/>
        <v/>
      </c>
    </row>
    <row r="1626" spans="7:37" x14ac:dyDescent="0.25">
      <c r="G1626" s="235" t="str">
        <f t="shared" si="516"/>
        <v/>
      </c>
      <c r="H1626" s="4" t="str">
        <f t="shared" si="538"/>
        <v/>
      </c>
      <c r="I1626" s="11" t="str">
        <f t="shared" si="517"/>
        <v/>
      </c>
      <c r="K1626" s="30">
        <v>704</v>
      </c>
      <c r="L1626" s="29">
        <f t="shared" si="528"/>
        <v>11371.908376190921</v>
      </c>
      <c r="M1626" s="28" t="str">
        <f t="shared" si="518"/>
        <v/>
      </c>
      <c r="N1626" s="27" t="str">
        <f t="shared" si="529"/>
        <v/>
      </c>
      <c r="O1626" s="26" t="str">
        <f>IF(AND($Q1625=$O$38,IFERROR(LARGE($V$923:$V1625,1)&lt;$N$42,TRUE)),1,IF(AND(ISNUMBER($O1625),$O1625&lt;$N$32),$O1625+1,""))</f>
        <v/>
      </c>
      <c r="P1626" s="26" t="str">
        <f t="shared" si="530"/>
        <v/>
      </c>
      <c r="Q1626" s="26" t="str">
        <f t="shared" si="519"/>
        <v/>
      </c>
      <c r="R1626" s="24" t="str">
        <f t="shared" si="531"/>
        <v/>
      </c>
      <c r="S1626" s="180">
        <f t="shared" si="537"/>
        <v>8</v>
      </c>
      <c r="T1626" s="29">
        <f>SUM($AC$923:$AC1626)</f>
        <v>49500</v>
      </c>
      <c r="U1626" s="25" t="str">
        <f t="shared" si="520"/>
        <v/>
      </c>
      <c r="V1626" s="24" t="str">
        <f>IF(AND(ISNUMBER(R1625),ISNUMBER(R1626)),V1625,IF(AND(R1625="",ISNUMBER(R1626)),IFERROR(LARGE($V$923:$V1625,1)+1,0),""))</f>
        <v/>
      </c>
      <c r="W1626" s="23" t="str">
        <f t="shared" si="532"/>
        <v/>
      </c>
      <c r="X1626" s="22" t="str">
        <f t="shared" si="533"/>
        <v/>
      </c>
      <c r="Y1626" s="236"/>
      <c r="Z1626" s="22"/>
      <c r="AA1626" s="22"/>
      <c r="AB1626" s="22" t="str">
        <f t="shared" si="534"/>
        <v/>
      </c>
      <c r="AC1626" s="22" t="str">
        <f t="shared" si="535"/>
        <v/>
      </c>
      <c r="AD1626" s="22" t="str">
        <f t="shared" si="521"/>
        <v/>
      </c>
      <c r="AE1626" s="22" t="str">
        <f t="shared" si="536"/>
        <v/>
      </c>
      <c r="AF1626" s="22" t="str">
        <f t="shared" si="522"/>
        <v/>
      </c>
      <c r="AG1626" s="22" t="str">
        <f t="shared" si="523"/>
        <v/>
      </c>
      <c r="AH1626" s="22" t="str">
        <f t="shared" si="524"/>
        <v/>
      </c>
      <c r="AI1626" s="22" t="str">
        <f t="shared" si="525"/>
        <v/>
      </c>
      <c r="AJ1626" s="304" t="str">
        <f t="shared" si="526"/>
        <v/>
      </c>
      <c r="AK1626" s="140" t="str">
        <f t="shared" si="527"/>
        <v/>
      </c>
    </row>
    <row r="1627" spans="7:37" x14ac:dyDescent="0.25">
      <c r="G1627" s="235" t="str">
        <f t="shared" ref="G1627:G1639" si="539">IF(RIGHT(H1627,2)=".N","NEW",IF(SUM(N1627:R1627)=0,"",LEFT(H1627,5)))</f>
        <v/>
      </c>
      <c r="H1627" s="4" t="str">
        <f t="shared" si="538"/>
        <v/>
      </c>
      <c r="I1627" s="11" t="str">
        <f t="shared" ref="I1627:I1652" si="540">IF(SUM(N1627:R1627)&gt;0,CONCATENATE(IF(LEN(ROUNDDOWN(S1627,0))=1,CONCATENATE("0",ROUNDDOWN(S1627,0)),ROUNDDOWN(S1627,0)),".",IF(LEN(ROUND(MOD(S1627,1)*100,0))=1,CONCATENATE("0",ROUND(MOD(S1627,1)*100,0)),ROUND(MOD(S1627,1)*100,0)),IF(N1627&lt;&gt;"",".N.",IF(O1627&lt;&gt;"",".R.",IF(P1627&lt;&gt;"",".O.",IF(Q1627&lt;&gt;"",".I.",IF(R1627&lt;&gt;"",".D.",""))))),IF(N1627&lt;&gt;"",N1627,IF(O1627&lt;&gt;"",O1627,IF(P1627&lt;&gt;"",P1627,IF(Q1627&lt;&gt;"",Q1627,IF(R1627&lt;&gt;"",IF(MOD(R1627,$N$44)=0,$N$44,MOD(R1627,$N$44)),"")))))),"")</f>
        <v/>
      </c>
      <c r="K1627" s="30">
        <v>705</v>
      </c>
      <c r="L1627" s="29">
        <f t="shared" si="528"/>
        <v>11371.908376190921</v>
      </c>
      <c r="M1627" s="28" t="str">
        <f t="shared" ref="M1627:M1652" si="541">IFERROR(IF(IF($K1627=1,(($M$23*-1)+($M$24*-1)),IF(ISNUMBER(W1627),W1627,0)+IF(ISNUMBER(X1627),X1627,0)+IF(ISNUMBER(AB1627),AB1627,0)+IF(ISNUMBER(AE1627),AE1627,0)+IF(ISNUMBER(AF1627),AF1627,0)+IF(ISNUMBER(AG1627),AG1627,0)+IF(ISNUMBER(AH1627),AH1627,0)+IF(ISNUMBER(AI1627),AI1627,0)+IF(ISNUMBER(AK1627),AK1627,0))=0,"",IF($K1627=1,(($M$23*-1)+($M$24*-1)),IF(ISNUMBER(W1627),W1627,0)+IF(ISNUMBER(X1627),X1627,0)+IF(ISNUMBER(AB1627),AB1627,0)+IF(ISNUMBER(AE1627),AE1627,0)+IF(ISNUMBER(AF1627),AF1627,0)+IF(ISNUMBER(AG1627),AG1627,0)+IF(ISNUMBER(AH1627),AH1627,0)+IF(ISNUMBER(AI1627),AI1627,0)+IF(ISNUMBER(AK1627),AK1627,0))),"")</f>
        <v/>
      </c>
      <c r="N1627" s="27" t="str">
        <f t="shared" si="529"/>
        <v/>
      </c>
      <c r="O1627" s="26" t="str">
        <f>IF(AND($Q1626=$O$38,IFERROR(LARGE($V$923:$V1626,1)&lt;$N$42,TRUE)),1,IF(AND(ISNUMBER($O1626),$O1626&lt;$N$32),$O1626+1,""))</f>
        <v/>
      </c>
      <c r="P1627" s="26" t="str">
        <f t="shared" si="530"/>
        <v/>
      </c>
      <c r="Q1627" s="26" t="str">
        <f t="shared" ref="Q1627:Q1652" si="542">IF($R1626=($N$43*$N$44),1,IF(AND(ISNUMBER($Q1626),$Q1626&lt;$O$38),$Q1626+1,""))</f>
        <v/>
      </c>
      <c r="R1627" s="24" t="str">
        <f t="shared" si="531"/>
        <v/>
      </c>
      <c r="S1627" s="180">
        <f t="shared" si="537"/>
        <v>8</v>
      </c>
      <c r="T1627" s="29">
        <f>SUM($AC$923:$AC1627)</f>
        <v>49500</v>
      </c>
      <c r="U1627" s="25" t="str">
        <f t="shared" ref="U1627:U1652" si="543">IF(ISNUMBER($R1627),ROUNDUP($R1627/$N$44,0),"")</f>
        <v/>
      </c>
      <c r="V1627" s="24" t="str">
        <f>IF(AND(ISNUMBER(R1626),ISNUMBER(R1627)),V1626,IF(AND(R1626="",ISNUMBER(R1627)),IFERROR(LARGE($V$923:$V1626,1)+1,0),""))</f>
        <v/>
      </c>
      <c r="W1627" s="23" t="str">
        <f t="shared" si="532"/>
        <v/>
      </c>
      <c r="X1627" s="22" t="str">
        <f t="shared" si="533"/>
        <v/>
      </c>
      <c r="Y1627" s="236"/>
      <c r="Z1627" s="22"/>
      <c r="AA1627" s="22"/>
      <c r="AB1627" s="22" t="str">
        <f t="shared" si="534"/>
        <v/>
      </c>
      <c r="AC1627" s="22" t="str">
        <f t="shared" si="535"/>
        <v/>
      </c>
      <c r="AD1627" s="22" t="str">
        <f t="shared" ref="AD1627:AD1652" si="544">IF(IF(OR(AND(ISNUMBER($U1627),IF(ISNUMBER($U1628),$U1628,0)-IF(ISNUMBER($U1627),$U1627,0)=1),AND(ISNUMBER($U1627),$U1628="")),IF($U1627=1,$P$37,0),0)=0,"",IF(OR(AND(ISNUMBER($U1627),IF(ISNUMBER($U1628),$U1628,0)-IF(ISNUMBER($U1627),$U1627,0)=1),AND(ISNUMBER($U1627),$U1628="")),IF($U1627=1,$P$37,0),0))</f>
        <v/>
      </c>
      <c r="AE1627" s="22" t="str">
        <f t="shared" si="536"/>
        <v/>
      </c>
      <c r="AF1627" s="22" t="str">
        <f t="shared" ref="AF1627:AF1652" si="545">IF($O$67="Invoice",IF(AND(ISNUMBER($AC1627),ISNUMBER($O$68)),$AC1627*$O$68*-1,""),IF($O$67="Payment",IF(AND(ISNUMBER($AE1627),ISNUMBER($O$68)),$AE1627*$O$68*-1,""),""))</f>
        <v/>
      </c>
      <c r="AG1627" s="22" t="str">
        <f t="shared" ref="AG1627:AG1652" si="546">IF($O$67="Invoice",IF(AND(ISNUMBER($AC1627),ISNUMBER($O$69)),$AC1627*$O$69*-1,""),IF($O$67="Payment",IF(AND(ISNUMBER($AE1627),ISNUMBER($O$69)),$AE1627*$O$69*-1,""),""))</f>
        <v/>
      </c>
      <c r="AH1627" s="22" t="str">
        <f t="shared" ref="AH1627:AH1652" si="547">IF($O$67="Invoice",IF(AND(ISNUMBER($AC1627),ISNUMBER($O$70)),$AC1627*$O$70*-1,""),IF($O$67="Payment",IF(AND(ISNUMBER($AE1627),ISNUMBER($O$70)),$AE1627*$O$70*-1,""),""))</f>
        <v/>
      </c>
      <c r="AI1627" s="22" t="str">
        <f t="shared" ref="AI1627:AI1652" si="548">IF($O$67="Invoice",IF(AND(ISNUMBER($AC1627),ISNUMBER($O$71)),$AC1627*$O$71*-1,""),IF($O$67="Payment",IF(AND(ISNUMBER($AE1627),ISNUMBER($O$71)),$AE1627*$O$71*-1,""),""))</f>
        <v/>
      </c>
      <c r="AJ1627" s="304" t="str">
        <f t="shared" ref="AJ1627:AJ1652" si="549">IF($O$67="Invoice",IF(AND(ISNUMBER($AC1627),ISNUMBER($O$72)),$AC1627*$O$72*-1,""),IF($O$67="Payment",IF(AND(ISNUMBER($AE1627),ISNUMBER($O$72)),$AE1627*$O$72*-1,""),""))</f>
        <v/>
      </c>
      <c r="AK1627" s="140" t="str">
        <f t="shared" ref="AK1627:AK1652" si="550">IF($O$67="Invoice",IF(AND(ISNUMBER($AC1627),ISNUMBER($O$73)),$AC1627*$O$73*-1,""),IF($O$67="Payment",IF(AND(ISNUMBER($AE1627),ISNUMBER($O$73)),$AE1627*$O$73*-1,""),""))</f>
        <v/>
      </c>
    </row>
    <row r="1628" spans="7:37" x14ac:dyDescent="0.25">
      <c r="G1628" s="235" t="str">
        <f t="shared" si="539"/>
        <v/>
      </c>
      <c r="H1628" s="4" t="str">
        <f t="shared" si="538"/>
        <v/>
      </c>
      <c r="I1628" s="11" t="str">
        <f t="shared" si="540"/>
        <v/>
      </c>
      <c r="K1628" s="30">
        <v>706</v>
      </c>
      <c r="L1628" s="29">
        <f t="shared" ref="L1628:L1652" si="551">IF(ISNUMBER($M1628),$M1628+$L1627,$L1627)</f>
        <v>11371.908376190921</v>
      </c>
      <c r="M1628" s="28" t="str">
        <f t="shared" si="541"/>
        <v/>
      </c>
      <c r="N1628" s="27" t="str">
        <f t="shared" ref="N1628:N1652" si="552">IF($K1627&lt;$N$25,$N1627+1,"")</f>
        <v/>
      </c>
      <c r="O1628" s="26" t="str">
        <f>IF(AND($Q1627=$O$38,IFERROR(LARGE($V$923:$V1627,1)&lt;$N$42,TRUE)),1,IF(AND(ISNUMBER($O1627),$O1627&lt;$N$32),$O1627+1,""))</f>
        <v/>
      </c>
      <c r="P1628" s="26" t="str">
        <f t="shared" ref="P1628:P1652" si="553">IF(OR($N1627=$N$25,O1627=$N$32),1,IF(AND($P1627&lt;$O$37,P1627&gt;0),P1627+1,""))</f>
        <v/>
      </c>
      <c r="Q1628" s="26" t="str">
        <f t="shared" si="542"/>
        <v/>
      </c>
      <c r="R1628" s="24" t="str">
        <f t="shared" ref="R1628:R1652" si="554">IF(AND($P1627=$O$37,$R1627=""),1,IF($R1627&lt;($N$43*$N$44),$R1627+1,""))</f>
        <v/>
      </c>
      <c r="S1628" s="180">
        <f t="shared" si="537"/>
        <v>8</v>
      </c>
      <c r="T1628" s="29">
        <f>SUM($AC$923:$AC1628)</f>
        <v>49500</v>
      </c>
      <c r="U1628" s="25" t="str">
        <f t="shared" si="543"/>
        <v/>
      </c>
      <c r="V1628" s="24" t="str">
        <f>IF(AND(ISNUMBER(R1627),ISNUMBER(R1628)),V1627,IF(AND(R1627="",ISNUMBER(R1628)),IFERROR(LARGE($V$923:$V1627,1)+1,0),""))</f>
        <v/>
      </c>
      <c r="W1628" s="23" t="str">
        <f t="shared" ref="W1628:W1652" si="555">IF($O1628=1,($M$30*-1),"")</f>
        <v/>
      </c>
      <c r="X1628" s="22" t="str">
        <f t="shared" ref="X1628:X1652" si="556">IF($K1628=1,($M$24*-1),IF($O1628=1,($M$31*-1),""))</f>
        <v/>
      </c>
      <c r="Y1628" s="236"/>
      <c r="Z1628" s="22"/>
      <c r="AA1628" s="22"/>
      <c r="AB1628" s="22" t="str">
        <f t="shared" si="534"/>
        <v/>
      </c>
      <c r="AC1628" s="22" t="str">
        <f t="shared" si="535"/>
        <v/>
      </c>
      <c r="AD1628" s="22" t="str">
        <f t="shared" si="544"/>
        <v/>
      </c>
      <c r="AE1628" s="22" t="str">
        <f t="shared" si="536"/>
        <v/>
      </c>
      <c r="AF1628" s="22" t="str">
        <f t="shared" si="545"/>
        <v/>
      </c>
      <c r="AG1628" s="22" t="str">
        <f t="shared" si="546"/>
        <v/>
      </c>
      <c r="AH1628" s="22" t="str">
        <f t="shared" si="547"/>
        <v/>
      </c>
      <c r="AI1628" s="22" t="str">
        <f t="shared" si="548"/>
        <v/>
      </c>
      <c r="AJ1628" s="304" t="str">
        <f t="shared" si="549"/>
        <v/>
      </c>
      <c r="AK1628" s="140" t="str">
        <f t="shared" si="550"/>
        <v/>
      </c>
    </row>
    <row r="1629" spans="7:37" x14ac:dyDescent="0.25">
      <c r="G1629" s="235" t="str">
        <f t="shared" si="539"/>
        <v/>
      </c>
      <c r="H1629" s="4" t="str">
        <f t="shared" si="538"/>
        <v/>
      </c>
      <c r="I1629" s="11" t="str">
        <f t="shared" si="540"/>
        <v/>
      </c>
      <c r="K1629" s="30">
        <v>707</v>
      </c>
      <c r="L1629" s="29">
        <f t="shared" si="551"/>
        <v>11371.908376190921</v>
      </c>
      <c r="M1629" s="28" t="str">
        <f t="shared" si="541"/>
        <v/>
      </c>
      <c r="N1629" s="27" t="str">
        <f t="shared" si="552"/>
        <v/>
      </c>
      <c r="O1629" s="26" t="str">
        <f>IF(AND($Q1628=$O$38,IFERROR(LARGE($V$923:$V1628,1)&lt;$N$42,TRUE)),1,IF(AND(ISNUMBER($O1628),$O1628&lt;$N$32),$O1628+1,""))</f>
        <v/>
      </c>
      <c r="P1629" s="26" t="str">
        <f t="shared" si="553"/>
        <v/>
      </c>
      <c r="Q1629" s="26" t="str">
        <f t="shared" si="542"/>
        <v/>
      </c>
      <c r="R1629" s="24" t="str">
        <f t="shared" si="554"/>
        <v/>
      </c>
      <c r="S1629" s="180">
        <f t="shared" si="537"/>
        <v>8</v>
      </c>
      <c r="T1629" s="29">
        <f>SUM($AC$923:$AC1629)</f>
        <v>49500</v>
      </c>
      <c r="U1629" s="25" t="str">
        <f t="shared" si="543"/>
        <v/>
      </c>
      <c r="V1629" s="24" t="str">
        <f>IF(AND(ISNUMBER(R1628),ISNUMBER(R1629)),V1628,IF(AND(R1628="",ISNUMBER(R1629)),IFERROR(LARGE($V$923:$V1628,1)+1,0),""))</f>
        <v/>
      </c>
      <c r="W1629" s="23" t="str">
        <f t="shared" si="555"/>
        <v/>
      </c>
      <c r="X1629" s="22" t="str">
        <f t="shared" si="556"/>
        <v/>
      </c>
      <c r="Y1629" s="236"/>
      <c r="Z1629" s="22"/>
      <c r="AA1629" s="22"/>
      <c r="AB1629" s="22" t="str">
        <f t="shared" si="534"/>
        <v/>
      </c>
      <c r="AC1629" s="22" t="str">
        <f t="shared" si="535"/>
        <v/>
      </c>
      <c r="AD1629" s="22" t="str">
        <f t="shared" si="544"/>
        <v/>
      </c>
      <c r="AE1629" s="22" t="str">
        <f t="shared" si="536"/>
        <v/>
      </c>
      <c r="AF1629" s="22" t="str">
        <f t="shared" si="545"/>
        <v/>
      </c>
      <c r="AG1629" s="22" t="str">
        <f t="shared" si="546"/>
        <v/>
      </c>
      <c r="AH1629" s="22" t="str">
        <f t="shared" si="547"/>
        <v/>
      </c>
      <c r="AI1629" s="22" t="str">
        <f t="shared" si="548"/>
        <v/>
      </c>
      <c r="AJ1629" s="304" t="str">
        <f t="shared" si="549"/>
        <v/>
      </c>
      <c r="AK1629" s="140" t="str">
        <f t="shared" si="550"/>
        <v/>
      </c>
    </row>
    <row r="1630" spans="7:37" x14ac:dyDescent="0.25">
      <c r="G1630" s="235" t="str">
        <f t="shared" si="539"/>
        <v/>
      </c>
      <c r="H1630" s="4" t="str">
        <f t="shared" si="538"/>
        <v/>
      </c>
      <c r="I1630" s="11" t="str">
        <f t="shared" si="540"/>
        <v/>
      </c>
      <c r="K1630" s="30">
        <v>708</v>
      </c>
      <c r="L1630" s="29">
        <f t="shared" si="551"/>
        <v>11371.908376190921</v>
      </c>
      <c r="M1630" s="28" t="str">
        <f t="shared" si="541"/>
        <v/>
      </c>
      <c r="N1630" s="27" t="str">
        <f t="shared" si="552"/>
        <v/>
      </c>
      <c r="O1630" s="26" t="str">
        <f>IF(AND($Q1629=$O$38,IFERROR(LARGE($V$923:$V1629,1)&lt;$N$42,TRUE)),1,IF(AND(ISNUMBER($O1629),$O1629&lt;$N$32),$O1629+1,""))</f>
        <v/>
      </c>
      <c r="P1630" s="26" t="str">
        <f t="shared" si="553"/>
        <v/>
      </c>
      <c r="Q1630" s="26" t="str">
        <f t="shared" si="542"/>
        <v/>
      </c>
      <c r="R1630" s="24" t="str">
        <f t="shared" si="554"/>
        <v/>
      </c>
      <c r="S1630" s="180">
        <f t="shared" si="537"/>
        <v>8</v>
      </c>
      <c r="T1630" s="29">
        <f>SUM($AC$923:$AC1630)</f>
        <v>49500</v>
      </c>
      <c r="U1630" s="25" t="str">
        <f t="shared" si="543"/>
        <v/>
      </c>
      <c r="V1630" s="24" t="str">
        <f>IF(AND(ISNUMBER(R1629),ISNUMBER(R1630)),V1629,IF(AND(R1629="",ISNUMBER(R1630)),IFERROR(LARGE($V$923:$V1629,1)+1,0),""))</f>
        <v/>
      </c>
      <c r="W1630" s="23" t="str">
        <f t="shared" si="555"/>
        <v/>
      </c>
      <c r="X1630" s="22" t="str">
        <f t="shared" si="556"/>
        <v/>
      </c>
      <c r="Y1630" s="236"/>
      <c r="Z1630" s="22"/>
      <c r="AA1630" s="22"/>
      <c r="AB1630" s="22" t="str">
        <f t="shared" si="534"/>
        <v/>
      </c>
      <c r="AC1630" s="22" t="str">
        <f t="shared" si="535"/>
        <v/>
      </c>
      <c r="AD1630" s="22" t="str">
        <f t="shared" si="544"/>
        <v/>
      </c>
      <c r="AE1630" s="22" t="str">
        <f t="shared" si="536"/>
        <v/>
      </c>
      <c r="AF1630" s="22" t="str">
        <f t="shared" si="545"/>
        <v/>
      </c>
      <c r="AG1630" s="22" t="str">
        <f t="shared" si="546"/>
        <v/>
      </c>
      <c r="AH1630" s="22" t="str">
        <f t="shared" si="547"/>
        <v/>
      </c>
      <c r="AI1630" s="22" t="str">
        <f t="shared" si="548"/>
        <v/>
      </c>
      <c r="AJ1630" s="304" t="str">
        <f t="shared" si="549"/>
        <v/>
      </c>
      <c r="AK1630" s="140" t="str">
        <f t="shared" si="550"/>
        <v/>
      </c>
    </row>
    <row r="1631" spans="7:37" x14ac:dyDescent="0.25">
      <c r="G1631" s="235" t="str">
        <f t="shared" si="539"/>
        <v/>
      </c>
      <c r="H1631" s="4" t="str">
        <f t="shared" si="538"/>
        <v/>
      </c>
      <c r="I1631" s="11" t="str">
        <f t="shared" si="540"/>
        <v/>
      </c>
      <c r="K1631" s="30">
        <v>709</v>
      </c>
      <c r="L1631" s="29">
        <f t="shared" si="551"/>
        <v>11371.908376190921</v>
      </c>
      <c r="M1631" s="28" t="str">
        <f t="shared" si="541"/>
        <v/>
      </c>
      <c r="N1631" s="27" t="str">
        <f t="shared" si="552"/>
        <v/>
      </c>
      <c r="O1631" s="26" t="str">
        <f>IF(AND($Q1630=$O$38,IFERROR(LARGE($V$923:$V1630,1)&lt;$N$42,TRUE)),1,IF(AND(ISNUMBER($O1630),$O1630&lt;$N$32),$O1630+1,""))</f>
        <v/>
      </c>
      <c r="P1631" s="26" t="str">
        <f t="shared" si="553"/>
        <v/>
      </c>
      <c r="Q1631" s="26" t="str">
        <f t="shared" si="542"/>
        <v/>
      </c>
      <c r="R1631" s="24" t="str">
        <f t="shared" si="554"/>
        <v/>
      </c>
      <c r="S1631" s="180">
        <f t="shared" si="537"/>
        <v>8</v>
      </c>
      <c r="T1631" s="29">
        <f>SUM($AC$923:$AC1631)</f>
        <v>49500</v>
      </c>
      <c r="U1631" s="25" t="str">
        <f t="shared" si="543"/>
        <v/>
      </c>
      <c r="V1631" s="24" t="str">
        <f>IF(AND(ISNUMBER(R1630),ISNUMBER(R1631)),V1630,IF(AND(R1630="",ISNUMBER(R1631)),IFERROR(LARGE($V$923:$V1630,1)+1,0),""))</f>
        <v/>
      </c>
      <c r="W1631" s="23" t="str">
        <f t="shared" si="555"/>
        <v/>
      </c>
      <c r="X1631" s="22" t="str">
        <f t="shared" si="556"/>
        <v/>
      </c>
      <c r="Y1631" s="236"/>
      <c r="Z1631" s="22"/>
      <c r="AA1631" s="22"/>
      <c r="AB1631" s="22" t="str">
        <f t="shared" si="534"/>
        <v/>
      </c>
      <c r="AC1631" s="22" t="str">
        <f t="shared" si="535"/>
        <v/>
      </c>
      <c r="AD1631" s="22" t="str">
        <f t="shared" si="544"/>
        <v/>
      </c>
      <c r="AE1631" s="22" t="str">
        <f t="shared" si="536"/>
        <v/>
      </c>
      <c r="AF1631" s="22" t="str">
        <f t="shared" si="545"/>
        <v/>
      </c>
      <c r="AG1631" s="22" t="str">
        <f t="shared" si="546"/>
        <v/>
      </c>
      <c r="AH1631" s="22" t="str">
        <f t="shared" si="547"/>
        <v/>
      </c>
      <c r="AI1631" s="22" t="str">
        <f t="shared" si="548"/>
        <v/>
      </c>
      <c r="AJ1631" s="304" t="str">
        <f t="shared" si="549"/>
        <v/>
      </c>
      <c r="AK1631" s="140" t="str">
        <f t="shared" si="550"/>
        <v/>
      </c>
    </row>
    <row r="1632" spans="7:37" x14ac:dyDescent="0.25">
      <c r="G1632" s="235" t="str">
        <f t="shared" si="539"/>
        <v/>
      </c>
      <c r="H1632" s="4" t="str">
        <f t="shared" si="538"/>
        <v/>
      </c>
      <c r="I1632" s="11" t="str">
        <f t="shared" si="540"/>
        <v/>
      </c>
      <c r="K1632" s="30">
        <v>710</v>
      </c>
      <c r="L1632" s="29">
        <f t="shared" si="551"/>
        <v>11371.908376190921</v>
      </c>
      <c r="M1632" s="28" t="str">
        <f t="shared" si="541"/>
        <v/>
      </c>
      <c r="N1632" s="27" t="str">
        <f t="shared" si="552"/>
        <v/>
      </c>
      <c r="O1632" s="26" t="str">
        <f>IF(AND($Q1631=$O$38,IFERROR(LARGE($V$923:$V1631,1)&lt;$N$42,TRUE)),1,IF(AND(ISNUMBER($O1631),$O1631&lt;$N$32),$O1631+1,""))</f>
        <v/>
      </c>
      <c r="P1632" s="26" t="str">
        <f t="shared" si="553"/>
        <v/>
      </c>
      <c r="Q1632" s="26" t="str">
        <f t="shared" si="542"/>
        <v/>
      </c>
      <c r="R1632" s="24" t="str">
        <f t="shared" si="554"/>
        <v/>
      </c>
      <c r="S1632" s="180">
        <f t="shared" si="537"/>
        <v>8</v>
      </c>
      <c r="T1632" s="29">
        <f>SUM($AC$923:$AC1632)</f>
        <v>49500</v>
      </c>
      <c r="U1632" s="25" t="str">
        <f t="shared" si="543"/>
        <v/>
      </c>
      <c r="V1632" s="24" t="str">
        <f>IF(AND(ISNUMBER(R1631),ISNUMBER(R1632)),V1631,IF(AND(R1631="",ISNUMBER(R1632)),IFERROR(LARGE($V$923:$V1631,1)+1,0),""))</f>
        <v/>
      </c>
      <c r="W1632" s="23" t="str">
        <f t="shared" si="555"/>
        <v/>
      </c>
      <c r="X1632" s="22" t="str">
        <f t="shared" si="556"/>
        <v/>
      </c>
      <c r="Y1632" s="236"/>
      <c r="Z1632" s="22"/>
      <c r="AA1632" s="22"/>
      <c r="AB1632" s="22" t="str">
        <f t="shared" si="534"/>
        <v/>
      </c>
      <c r="AC1632" s="22" t="str">
        <f t="shared" si="535"/>
        <v/>
      </c>
      <c r="AD1632" s="22" t="str">
        <f t="shared" si="544"/>
        <v/>
      </c>
      <c r="AE1632" s="22" t="str">
        <f t="shared" si="536"/>
        <v/>
      </c>
      <c r="AF1632" s="22" t="str">
        <f t="shared" si="545"/>
        <v/>
      </c>
      <c r="AG1632" s="22" t="str">
        <f t="shared" si="546"/>
        <v/>
      </c>
      <c r="AH1632" s="22" t="str">
        <f t="shared" si="547"/>
        <v/>
      </c>
      <c r="AI1632" s="22" t="str">
        <f t="shared" si="548"/>
        <v/>
      </c>
      <c r="AJ1632" s="304" t="str">
        <f t="shared" si="549"/>
        <v/>
      </c>
      <c r="AK1632" s="140" t="str">
        <f t="shared" si="550"/>
        <v/>
      </c>
    </row>
    <row r="1633" spans="7:37" x14ac:dyDescent="0.25">
      <c r="G1633" s="235" t="str">
        <f t="shared" si="539"/>
        <v/>
      </c>
      <c r="H1633" s="4" t="str">
        <f t="shared" si="538"/>
        <v/>
      </c>
      <c r="I1633" s="11" t="str">
        <f t="shared" si="540"/>
        <v/>
      </c>
      <c r="K1633" s="30">
        <v>711</v>
      </c>
      <c r="L1633" s="29">
        <f t="shared" si="551"/>
        <v>11371.908376190921</v>
      </c>
      <c r="M1633" s="28" t="str">
        <f t="shared" si="541"/>
        <v/>
      </c>
      <c r="N1633" s="27" t="str">
        <f t="shared" si="552"/>
        <v/>
      </c>
      <c r="O1633" s="26" t="str">
        <f>IF(AND($Q1632=$O$38,IFERROR(LARGE($V$923:$V1632,1)&lt;$N$42,TRUE)),1,IF(AND(ISNUMBER($O1632),$O1632&lt;$N$32),$O1632+1,""))</f>
        <v/>
      </c>
      <c r="P1633" s="26" t="str">
        <f t="shared" si="553"/>
        <v/>
      </c>
      <c r="Q1633" s="26" t="str">
        <f t="shared" si="542"/>
        <v/>
      </c>
      <c r="R1633" s="24" t="str">
        <f t="shared" si="554"/>
        <v/>
      </c>
      <c r="S1633" s="180">
        <f t="shared" si="537"/>
        <v>8</v>
      </c>
      <c r="T1633" s="29">
        <f>SUM($AC$923:$AC1633)</f>
        <v>49500</v>
      </c>
      <c r="U1633" s="25" t="str">
        <f t="shared" si="543"/>
        <v/>
      </c>
      <c r="V1633" s="24" t="str">
        <f>IF(AND(ISNUMBER(R1632),ISNUMBER(R1633)),V1632,IF(AND(R1632="",ISNUMBER(R1633)),IFERROR(LARGE($V$923:$V1632,1)+1,0),""))</f>
        <v/>
      </c>
      <c r="W1633" s="23" t="str">
        <f t="shared" si="555"/>
        <v/>
      </c>
      <c r="X1633" s="22" t="str">
        <f t="shared" si="556"/>
        <v/>
      </c>
      <c r="Y1633" s="236"/>
      <c r="Z1633" s="22"/>
      <c r="AA1633" s="22"/>
      <c r="AB1633" s="22" t="str">
        <f t="shared" si="534"/>
        <v/>
      </c>
      <c r="AC1633" s="22" t="str">
        <f t="shared" si="535"/>
        <v/>
      </c>
      <c r="AD1633" s="22" t="str">
        <f t="shared" si="544"/>
        <v/>
      </c>
      <c r="AE1633" s="22" t="str">
        <f t="shared" si="536"/>
        <v/>
      </c>
      <c r="AF1633" s="22" t="str">
        <f t="shared" si="545"/>
        <v/>
      </c>
      <c r="AG1633" s="22" t="str">
        <f t="shared" si="546"/>
        <v/>
      </c>
      <c r="AH1633" s="22" t="str">
        <f t="shared" si="547"/>
        <v/>
      </c>
      <c r="AI1633" s="22" t="str">
        <f t="shared" si="548"/>
        <v/>
      </c>
      <c r="AJ1633" s="304" t="str">
        <f t="shared" si="549"/>
        <v/>
      </c>
      <c r="AK1633" s="140" t="str">
        <f t="shared" si="550"/>
        <v/>
      </c>
    </row>
    <row r="1634" spans="7:37" x14ac:dyDescent="0.25">
      <c r="G1634" s="235" t="str">
        <f t="shared" si="539"/>
        <v/>
      </c>
      <c r="H1634" s="4" t="str">
        <f t="shared" si="538"/>
        <v/>
      </c>
      <c r="I1634" s="11" t="str">
        <f t="shared" si="540"/>
        <v/>
      </c>
      <c r="K1634" s="30">
        <v>712</v>
      </c>
      <c r="L1634" s="29">
        <f t="shared" si="551"/>
        <v>11371.908376190921</v>
      </c>
      <c r="M1634" s="28" t="str">
        <f t="shared" si="541"/>
        <v/>
      </c>
      <c r="N1634" s="27" t="str">
        <f t="shared" si="552"/>
        <v/>
      </c>
      <c r="O1634" s="26" t="str">
        <f>IF(AND($Q1633=$O$38,IFERROR(LARGE($V$923:$V1633,1)&lt;$N$42,TRUE)),1,IF(AND(ISNUMBER($O1633),$O1633&lt;$N$32),$O1633+1,""))</f>
        <v/>
      </c>
      <c r="P1634" s="26" t="str">
        <f t="shared" si="553"/>
        <v/>
      </c>
      <c r="Q1634" s="26" t="str">
        <f t="shared" si="542"/>
        <v/>
      </c>
      <c r="R1634" s="24" t="str">
        <f t="shared" si="554"/>
        <v/>
      </c>
      <c r="S1634" s="180">
        <f t="shared" si="537"/>
        <v>8</v>
      </c>
      <c r="T1634" s="29">
        <f>SUM($AC$923:$AC1634)</f>
        <v>49500</v>
      </c>
      <c r="U1634" s="25" t="str">
        <f t="shared" si="543"/>
        <v/>
      </c>
      <c r="V1634" s="24" t="str">
        <f>IF(AND(ISNUMBER(R1633),ISNUMBER(R1634)),V1633,IF(AND(R1633="",ISNUMBER(R1634)),IFERROR(LARGE($V$923:$V1633,1)+1,0),""))</f>
        <v/>
      </c>
      <c r="W1634" s="23" t="str">
        <f t="shared" si="555"/>
        <v/>
      </c>
      <c r="X1634" s="22" t="str">
        <f t="shared" si="556"/>
        <v/>
      </c>
      <c r="Y1634" s="236"/>
      <c r="Z1634" s="22"/>
      <c r="AA1634" s="22"/>
      <c r="AB1634" s="22" t="str">
        <f t="shared" si="534"/>
        <v/>
      </c>
      <c r="AC1634" s="22" t="str">
        <f t="shared" si="535"/>
        <v/>
      </c>
      <c r="AD1634" s="22" t="str">
        <f t="shared" si="544"/>
        <v/>
      </c>
      <c r="AE1634" s="22" t="str">
        <f t="shared" si="536"/>
        <v/>
      </c>
      <c r="AF1634" s="22" t="str">
        <f t="shared" si="545"/>
        <v/>
      </c>
      <c r="AG1634" s="22" t="str">
        <f t="shared" si="546"/>
        <v/>
      </c>
      <c r="AH1634" s="22" t="str">
        <f t="shared" si="547"/>
        <v/>
      </c>
      <c r="AI1634" s="22" t="str">
        <f t="shared" si="548"/>
        <v/>
      </c>
      <c r="AJ1634" s="304" t="str">
        <f t="shared" si="549"/>
        <v/>
      </c>
      <c r="AK1634" s="140" t="str">
        <f t="shared" si="550"/>
        <v/>
      </c>
    </row>
    <row r="1635" spans="7:37" x14ac:dyDescent="0.25">
      <c r="G1635" s="235" t="str">
        <f t="shared" si="539"/>
        <v/>
      </c>
      <c r="H1635" s="4" t="str">
        <f t="shared" si="538"/>
        <v/>
      </c>
      <c r="I1635" s="11" t="str">
        <f t="shared" si="540"/>
        <v/>
      </c>
      <c r="K1635" s="30">
        <v>713</v>
      </c>
      <c r="L1635" s="29">
        <f t="shared" si="551"/>
        <v>11371.908376190921</v>
      </c>
      <c r="M1635" s="28" t="str">
        <f t="shared" si="541"/>
        <v/>
      </c>
      <c r="N1635" s="27" t="str">
        <f t="shared" si="552"/>
        <v/>
      </c>
      <c r="O1635" s="26" t="str">
        <f>IF(AND($Q1634=$O$38,IFERROR(LARGE($V$923:$V1634,1)&lt;$N$42,TRUE)),1,IF(AND(ISNUMBER($O1634),$O1634&lt;$N$32),$O1634+1,""))</f>
        <v/>
      </c>
      <c r="P1635" s="26" t="str">
        <f t="shared" si="553"/>
        <v/>
      </c>
      <c r="Q1635" s="26" t="str">
        <f t="shared" si="542"/>
        <v/>
      </c>
      <c r="R1635" s="24" t="str">
        <f t="shared" si="554"/>
        <v/>
      </c>
      <c r="S1635" s="180">
        <f t="shared" si="537"/>
        <v>8</v>
      </c>
      <c r="T1635" s="29">
        <f>SUM($AC$923:$AC1635)</f>
        <v>49500</v>
      </c>
      <c r="U1635" s="25" t="str">
        <f t="shared" si="543"/>
        <v/>
      </c>
      <c r="V1635" s="24" t="str">
        <f>IF(AND(ISNUMBER(R1634),ISNUMBER(R1635)),V1634,IF(AND(R1634="",ISNUMBER(R1635)),IFERROR(LARGE($V$923:$V1634,1)+1,0),""))</f>
        <v/>
      </c>
      <c r="W1635" s="23" t="str">
        <f t="shared" si="555"/>
        <v/>
      </c>
      <c r="X1635" s="22" t="str">
        <f t="shared" si="556"/>
        <v/>
      </c>
      <c r="Y1635" s="236"/>
      <c r="Z1635" s="22"/>
      <c r="AA1635" s="22"/>
      <c r="AB1635" s="22" t="str">
        <f t="shared" si="534"/>
        <v/>
      </c>
      <c r="AC1635" s="22" t="str">
        <f t="shared" si="535"/>
        <v/>
      </c>
      <c r="AD1635" s="22" t="str">
        <f t="shared" si="544"/>
        <v/>
      </c>
      <c r="AE1635" s="22" t="str">
        <f t="shared" si="536"/>
        <v/>
      </c>
      <c r="AF1635" s="22" t="str">
        <f t="shared" si="545"/>
        <v/>
      </c>
      <c r="AG1635" s="22" t="str">
        <f t="shared" si="546"/>
        <v/>
      </c>
      <c r="AH1635" s="22" t="str">
        <f t="shared" si="547"/>
        <v/>
      </c>
      <c r="AI1635" s="22" t="str">
        <f t="shared" si="548"/>
        <v/>
      </c>
      <c r="AJ1635" s="304" t="str">
        <f t="shared" si="549"/>
        <v/>
      </c>
      <c r="AK1635" s="140" t="str">
        <f t="shared" si="550"/>
        <v/>
      </c>
    </row>
    <row r="1636" spans="7:37" x14ac:dyDescent="0.25">
      <c r="G1636" s="235" t="str">
        <f t="shared" si="539"/>
        <v/>
      </c>
      <c r="H1636" s="4" t="str">
        <f t="shared" si="538"/>
        <v/>
      </c>
      <c r="I1636" s="11" t="str">
        <f t="shared" si="540"/>
        <v/>
      </c>
      <c r="K1636" s="30">
        <v>714</v>
      </c>
      <c r="L1636" s="29">
        <f t="shared" si="551"/>
        <v>11371.908376190921</v>
      </c>
      <c r="M1636" s="28" t="str">
        <f t="shared" si="541"/>
        <v/>
      </c>
      <c r="N1636" s="27" t="str">
        <f t="shared" si="552"/>
        <v/>
      </c>
      <c r="O1636" s="26" t="str">
        <f>IF(AND($Q1635=$O$38,IFERROR(LARGE($V$923:$V1635,1)&lt;$N$42,TRUE)),1,IF(AND(ISNUMBER($O1635),$O1635&lt;$N$32),$O1635+1,""))</f>
        <v/>
      </c>
      <c r="P1636" s="26" t="str">
        <f t="shared" si="553"/>
        <v/>
      </c>
      <c r="Q1636" s="26" t="str">
        <f t="shared" si="542"/>
        <v/>
      </c>
      <c r="R1636" s="24" t="str">
        <f t="shared" si="554"/>
        <v/>
      </c>
      <c r="S1636" s="180">
        <f t="shared" si="537"/>
        <v>8</v>
      </c>
      <c r="T1636" s="29">
        <f>SUM($AC$923:$AC1636)</f>
        <v>49500</v>
      </c>
      <c r="U1636" s="25" t="str">
        <f t="shared" si="543"/>
        <v/>
      </c>
      <c r="V1636" s="24" t="str">
        <f>IF(AND(ISNUMBER(R1635),ISNUMBER(R1636)),V1635,IF(AND(R1635="",ISNUMBER(R1636)),IFERROR(LARGE($V$923:$V1635,1)+1,0),""))</f>
        <v/>
      </c>
      <c r="W1636" s="23" t="str">
        <f t="shared" si="555"/>
        <v/>
      </c>
      <c r="X1636" s="22" t="str">
        <f t="shared" si="556"/>
        <v/>
      </c>
      <c r="Y1636" s="236"/>
      <c r="Z1636" s="22"/>
      <c r="AA1636" s="22"/>
      <c r="AB1636" s="22" t="str">
        <f t="shared" si="534"/>
        <v/>
      </c>
      <c r="AC1636" s="22" t="str">
        <f t="shared" si="535"/>
        <v/>
      </c>
      <c r="AD1636" s="22" t="str">
        <f t="shared" si="544"/>
        <v/>
      </c>
      <c r="AE1636" s="22" t="str">
        <f t="shared" si="536"/>
        <v/>
      </c>
      <c r="AF1636" s="22" t="str">
        <f t="shared" si="545"/>
        <v/>
      </c>
      <c r="AG1636" s="22" t="str">
        <f t="shared" si="546"/>
        <v/>
      </c>
      <c r="AH1636" s="22" t="str">
        <f t="shared" si="547"/>
        <v/>
      </c>
      <c r="AI1636" s="22" t="str">
        <f t="shared" si="548"/>
        <v/>
      </c>
      <c r="AJ1636" s="304" t="str">
        <f t="shared" si="549"/>
        <v/>
      </c>
      <c r="AK1636" s="140" t="str">
        <f t="shared" si="550"/>
        <v/>
      </c>
    </row>
    <row r="1637" spans="7:37" x14ac:dyDescent="0.25">
      <c r="G1637" s="235" t="str">
        <f t="shared" si="539"/>
        <v/>
      </c>
      <c r="H1637" s="4" t="str">
        <f t="shared" si="538"/>
        <v/>
      </c>
      <c r="I1637" s="11" t="str">
        <f t="shared" si="540"/>
        <v/>
      </c>
      <c r="K1637" s="30">
        <v>715</v>
      </c>
      <c r="L1637" s="29">
        <f t="shared" si="551"/>
        <v>11371.908376190921</v>
      </c>
      <c r="M1637" s="28" t="str">
        <f t="shared" si="541"/>
        <v/>
      </c>
      <c r="N1637" s="27" t="str">
        <f t="shared" si="552"/>
        <v/>
      </c>
      <c r="O1637" s="26" t="str">
        <f>IF(AND($Q1636=$O$38,IFERROR(LARGE($V$923:$V1636,1)&lt;$N$42,TRUE)),1,IF(AND(ISNUMBER($O1636),$O1636&lt;$N$32),$O1636+1,""))</f>
        <v/>
      </c>
      <c r="P1637" s="26" t="str">
        <f t="shared" si="553"/>
        <v/>
      </c>
      <c r="Q1637" s="26" t="str">
        <f t="shared" si="542"/>
        <v/>
      </c>
      <c r="R1637" s="24" t="str">
        <f t="shared" si="554"/>
        <v/>
      </c>
      <c r="S1637" s="180">
        <f t="shared" si="537"/>
        <v>8</v>
      </c>
      <c r="T1637" s="29">
        <f>SUM($AC$923:$AC1637)</f>
        <v>49500</v>
      </c>
      <c r="U1637" s="25" t="str">
        <f t="shared" si="543"/>
        <v/>
      </c>
      <c r="V1637" s="24" t="str">
        <f>IF(AND(ISNUMBER(R1636),ISNUMBER(R1637)),V1636,IF(AND(R1636="",ISNUMBER(R1637)),IFERROR(LARGE($V$923:$V1636,1)+1,0),""))</f>
        <v/>
      </c>
      <c r="W1637" s="23" t="str">
        <f t="shared" si="555"/>
        <v/>
      </c>
      <c r="X1637" s="22" t="str">
        <f t="shared" si="556"/>
        <v/>
      </c>
      <c r="Y1637" s="236"/>
      <c r="Z1637" s="22"/>
      <c r="AA1637" s="22"/>
      <c r="AB1637" s="22" t="str">
        <f t="shared" si="534"/>
        <v/>
      </c>
      <c r="AC1637" s="22" t="str">
        <f t="shared" si="535"/>
        <v/>
      </c>
      <c r="AD1637" s="22" t="str">
        <f t="shared" si="544"/>
        <v/>
      </c>
      <c r="AE1637" s="22" t="str">
        <f t="shared" si="536"/>
        <v/>
      </c>
      <c r="AF1637" s="22" t="str">
        <f t="shared" si="545"/>
        <v/>
      </c>
      <c r="AG1637" s="22" t="str">
        <f t="shared" si="546"/>
        <v/>
      </c>
      <c r="AH1637" s="22" t="str">
        <f t="shared" si="547"/>
        <v/>
      </c>
      <c r="AI1637" s="22" t="str">
        <f t="shared" si="548"/>
        <v/>
      </c>
      <c r="AJ1637" s="304" t="str">
        <f t="shared" si="549"/>
        <v/>
      </c>
      <c r="AK1637" s="140" t="str">
        <f t="shared" si="550"/>
        <v/>
      </c>
    </row>
    <row r="1638" spans="7:37" x14ac:dyDescent="0.25">
      <c r="G1638" s="235" t="str">
        <f t="shared" si="539"/>
        <v/>
      </c>
      <c r="H1638" s="4" t="str">
        <f t="shared" si="538"/>
        <v/>
      </c>
      <c r="I1638" s="11" t="str">
        <f t="shared" si="540"/>
        <v/>
      </c>
      <c r="K1638" s="30">
        <v>716</v>
      </c>
      <c r="L1638" s="29">
        <f t="shared" si="551"/>
        <v>11371.908376190921</v>
      </c>
      <c r="M1638" s="28" t="str">
        <f t="shared" si="541"/>
        <v/>
      </c>
      <c r="N1638" s="27" t="str">
        <f t="shared" si="552"/>
        <v/>
      </c>
      <c r="O1638" s="26" t="str">
        <f>IF(AND($Q1637=$O$38,IFERROR(LARGE($V$923:$V1637,1)&lt;$N$42,TRUE)),1,IF(AND(ISNUMBER($O1637),$O1637&lt;$N$32),$O1637+1,""))</f>
        <v/>
      </c>
      <c r="P1638" s="26" t="str">
        <f t="shared" si="553"/>
        <v/>
      </c>
      <c r="Q1638" s="26" t="str">
        <f t="shared" si="542"/>
        <v/>
      </c>
      <c r="R1638" s="24" t="str">
        <f t="shared" si="554"/>
        <v/>
      </c>
      <c r="S1638" s="180">
        <f t="shared" si="537"/>
        <v>8</v>
      </c>
      <c r="T1638" s="29">
        <f>SUM($AC$923:$AC1638)</f>
        <v>49500</v>
      </c>
      <c r="U1638" s="25" t="str">
        <f t="shared" si="543"/>
        <v/>
      </c>
      <c r="V1638" s="24" t="str">
        <f>IF(AND(ISNUMBER(R1637),ISNUMBER(R1638)),V1637,IF(AND(R1637="",ISNUMBER(R1638)),IFERROR(LARGE($V$923:$V1637,1)+1,0),""))</f>
        <v/>
      </c>
      <c r="W1638" s="23" t="str">
        <f t="shared" si="555"/>
        <v/>
      </c>
      <c r="X1638" s="22" t="str">
        <f t="shared" si="556"/>
        <v/>
      </c>
      <c r="Y1638" s="236"/>
      <c r="Z1638" s="22"/>
      <c r="AA1638" s="22"/>
      <c r="AB1638" s="22" t="str">
        <f t="shared" si="534"/>
        <v/>
      </c>
      <c r="AC1638" s="22" t="str">
        <f t="shared" si="535"/>
        <v/>
      </c>
      <c r="AD1638" s="22" t="str">
        <f t="shared" si="544"/>
        <v/>
      </c>
      <c r="AE1638" s="22" t="str">
        <f t="shared" si="536"/>
        <v/>
      </c>
      <c r="AF1638" s="22" t="str">
        <f t="shared" si="545"/>
        <v/>
      </c>
      <c r="AG1638" s="22" t="str">
        <f t="shared" si="546"/>
        <v/>
      </c>
      <c r="AH1638" s="22" t="str">
        <f t="shared" si="547"/>
        <v/>
      </c>
      <c r="AI1638" s="22" t="str">
        <f t="shared" si="548"/>
        <v/>
      </c>
      <c r="AJ1638" s="304" t="str">
        <f t="shared" si="549"/>
        <v/>
      </c>
      <c r="AK1638" s="140" t="str">
        <f t="shared" si="550"/>
        <v/>
      </c>
    </row>
    <row r="1639" spans="7:37" x14ac:dyDescent="0.25">
      <c r="G1639" s="235" t="str">
        <f t="shared" si="539"/>
        <v/>
      </c>
      <c r="H1639" s="4" t="str">
        <f t="shared" si="538"/>
        <v/>
      </c>
      <c r="I1639" s="11" t="str">
        <f t="shared" si="540"/>
        <v/>
      </c>
      <c r="K1639" s="30">
        <v>717</v>
      </c>
      <c r="L1639" s="29">
        <f t="shared" si="551"/>
        <v>11371.908376190921</v>
      </c>
      <c r="M1639" s="28" t="str">
        <f t="shared" si="541"/>
        <v/>
      </c>
      <c r="N1639" s="27" t="str">
        <f t="shared" si="552"/>
        <v/>
      </c>
      <c r="O1639" s="26" t="str">
        <f>IF(AND($Q1638=$O$38,IFERROR(LARGE($V$923:$V1638,1)&lt;$N$42,TRUE)),1,IF(AND(ISNUMBER($O1638),$O1638&lt;$N$32),$O1638+1,""))</f>
        <v/>
      </c>
      <c r="P1639" s="26" t="str">
        <f t="shared" si="553"/>
        <v/>
      </c>
      <c r="Q1639" s="26" t="str">
        <f t="shared" si="542"/>
        <v/>
      </c>
      <c r="R1639" s="24" t="str">
        <f t="shared" si="554"/>
        <v/>
      </c>
      <c r="S1639" s="180">
        <f t="shared" si="537"/>
        <v>8</v>
      </c>
      <c r="T1639" s="29">
        <f>SUM($AC$923:$AC1639)</f>
        <v>49500</v>
      </c>
      <c r="U1639" s="25" t="str">
        <f t="shared" si="543"/>
        <v/>
      </c>
      <c r="V1639" s="24" t="str">
        <f>IF(AND(ISNUMBER(R1638),ISNUMBER(R1639)),V1638,IF(AND(R1638="",ISNUMBER(R1639)),IFERROR(LARGE($V$923:$V1638,1)+1,0),""))</f>
        <v/>
      </c>
      <c r="W1639" s="23" t="str">
        <f t="shared" si="555"/>
        <v/>
      </c>
      <c r="X1639" s="22" t="str">
        <f t="shared" si="556"/>
        <v/>
      </c>
      <c r="Y1639" s="236"/>
      <c r="Z1639" s="22"/>
      <c r="AA1639" s="22"/>
      <c r="AB1639" s="22" t="str">
        <f t="shared" si="534"/>
        <v/>
      </c>
      <c r="AC1639" s="22" t="str">
        <f t="shared" si="535"/>
        <v/>
      </c>
      <c r="AD1639" s="22" t="str">
        <f t="shared" si="544"/>
        <v/>
      </c>
      <c r="AE1639" s="22" t="str">
        <f t="shared" si="536"/>
        <v/>
      </c>
      <c r="AF1639" s="22" t="str">
        <f t="shared" si="545"/>
        <v/>
      </c>
      <c r="AG1639" s="22" t="str">
        <f t="shared" si="546"/>
        <v/>
      </c>
      <c r="AH1639" s="22" t="str">
        <f t="shared" si="547"/>
        <v/>
      </c>
      <c r="AI1639" s="22" t="str">
        <f t="shared" si="548"/>
        <v/>
      </c>
      <c r="AJ1639" s="304" t="str">
        <f t="shared" si="549"/>
        <v/>
      </c>
      <c r="AK1639" s="140" t="str">
        <f t="shared" si="550"/>
        <v/>
      </c>
    </row>
    <row r="1640" spans="7:37" x14ac:dyDescent="0.25">
      <c r="G1640" s="235" t="str">
        <f>IF(RIGHT(H1640,2)=".N","NEW",IF(SUM(N1640:R1640)=0,"",LEFT(H1640,5)))</f>
        <v/>
      </c>
      <c r="H1640" s="4" t="str">
        <f t="shared" si="538"/>
        <v/>
      </c>
      <c r="I1640" s="11" t="str">
        <f t="shared" si="540"/>
        <v/>
      </c>
      <c r="K1640" s="30">
        <v>718</v>
      </c>
      <c r="L1640" s="29">
        <f t="shared" si="551"/>
        <v>11371.908376190921</v>
      </c>
      <c r="M1640" s="28" t="str">
        <f t="shared" si="541"/>
        <v/>
      </c>
      <c r="N1640" s="27" t="str">
        <f t="shared" si="552"/>
        <v/>
      </c>
      <c r="O1640" s="26" t="str">
        <f>IF(AND($Q1639=$O$38,IFERROR(LARGE($V$923:$V1639,1)&lt;$N$42,TRUE)),1,IF(AND(ISNUMBER($O1639),$O1639&lt;$N$32),$O1639+1,""))</f>
        <v/>
      </c>
      <c r="P1640" s="26" t="str">
        <f t="shared" si="553"/>
        <v/>
      </c>
      <c r="Q1640" s="26" t="str">
        <f t="shared" si="542"/>
        <v/>
      </c>
      <c r="R1640" s="24" t="str">
        <f t="shared" si="554"/>
        <v/>
      </c>
      <c r="S1640" s="180">
        <f t="shared" si="537"/>
        <v>8</v>
      </c>
      <c r="T1640" s="29">
        <f>SUM($AC$923:$AC1640)</f>
        <v>49500</v>
      </c>
      <c r="U1640" s="25" t="str">
        <f t="shared" si="543"/>
        <v/>
      </c>
      <c r="V1640" s="24" t="str">
        <f>IF(AND(ISNUMBER(R1639),ISNUMBER(R1640)),V1639,IF(AND(R1639="",ISNUMBER(R1640)),IFERROR(LARGE($V$923:$V1639,1)+1,0),""))</f>
        <v/>
      </c>
      <c r="W1640" s="23" t="str">
        <f t="shared" si="555"/>
        <v/>
      </c>
      <c r="X1640" s="22" t="str">
        <f t="shared" si="556"/>
        <v/>
      </c>
      <c r="Y1640" s="236"/>
      <c r="Z1640" s="22"/>
      <c r="AA1640" s="22"/>
      <c r="AB1640" s="22" t="str">
        <f t="shared" si="534"/>
        <v/>
      </c>
      <c r="AC1640" s="22" t="str">
        <f t="shared" si="535"/>
        <v/>
      </c>
      <c r="AD1640" s="22" t="str">
        <f t="shared" si="544"/>
        <v/>
      </c>
      <c r="AE1640" s="22" t="str">
        <f t="shared" si="536"/>
        <v/>
      </c>
      <c r="AF1640" s="22" t="str">
        <f t="shared" si="545"/>
        <v/>
      </c>
      <c r="AG1640" s="22" t="str">
        <f t="shared" si="546"/>
        <v/>
      </c>
      <c r="AH1640" s="22" t="str">
        <f t="shared" si="547"/>
        <v/>
      </c>
      <c r="AI1640" s="22" t="str">
        <f t="shared" si="548"/>
        <v/>
      </c>
      <c r="AJ1640" s="304" t="str">
        <f t="shared" si="549"/>
        <v/>
      </c>
      <c r="AK1640" s="140" t="str">
        <f t="shared" si="550"/>
        <v/>
      </c>
    </row>
    <row r="1641" spans="7:37" x14ac:dyDescent="0.25">
      <c r="G1641" s="235" t="str">
        <f t="shared" ref="G1641:G1652" si="557">IF(RIGHT(H1641,2)=".N","NEW",IF(SUM(N1641:R1641)=0,"",LEFT(H1641,5)))</f>
        <v/>
      </c>
      <c r="H1641" s="4" t="str">
        <f t="shared" si="538"/>
        <v/>
      </c>
      <c r="I1641" s="11" t="str">
        <f t="shared" si="540"/>
        <v/>
      </c>
      <c r="K1641" s="30">
        <v>719</v>
      </c>
      <c r="L1641" s="29">
        <f t="shared" si="551"/>
        <v>11371.908376190921</v>
      </c>
      <c r="M1641" s="28" t="str">
        <f t="shared" si="541"/>
        <v/>
      </c>
      <c r="N1641" s="27" t="str">
        <f t="shared" si="552"/>
        <v/>
      </c>
      <c r="O1641" s="26" t="str">
        <f>IF(AND($Q1640=$O$38,IFERROR(LARGE($V$923:$V1640,1)&lt;$N$42,TRUE)),1,IF(AND(ISNUMBER($O1640),$O1640&lt;$N$32),$O1640+1,""))</f>
        <v/>
      </c>
      <c r="P1641" s="26" t="str">
        <f t="shared" si="553"/>
        <v/>
      </c>
      <c r="Q1641" s="26" t="str">
        <f t="shared" si="542"/>
        <v/>
      </c>
      <c r="R1641" s="24" t="str">
        <f t="shared" si="554"/>
        <v/>
      </c>
      <c r="S1641" s="180">
        <f t="shared" si="537"/>
        <v>8</v>
      </c>
      <c r="T1641" s="29">
        <f>SUM($AC$923:$AC1641)</f>
        <v>49500</v>
      </c>
      <c r="U1641" s="25" t="str">
        <f t="shared" si="543"/>
        <v/>
      </c>
      <c r="V1641" s="24" t="str">
        <f>IF(AND(ISNUMBER(R1640),ISNUMBER(R1641)),V1640,IF(AND(R1640="",ISNUMBER(R1641)),IFERROR(LARGE($V$923:$V1640,1)+1,0),""))</f>
        <v/>
      </c>
      <c r="W1641" s="23" t="str">
        <f t="shared" si="555"/>
        <v/>
      </c>
      <c r="X1641" s="22" t="str">
        <f t="shared" si="556"/>
        <v/>
      </c>
      <c r="Y1641" s="236"/>
      <c r="Z1641" s="22"/>
      <c r="AA1641" s="22"/>
      <c r="AB1641" s="22" t="str">
        <f t="shared" si="534"/>
        <v/>
      </c>
      <c r="AC1641" s="22" t="str">
        <f t="shared" si="535"/>
        <v/>
      </c>
      <c r="AD1641" s="22" t="str">
        <f t="shared" si="544"/>
        <v/>
      </c>
      <c r="AE1641" s="22" t="str">
        <f t="shared" si="536"/>
        <v/>
      </c>
      <c r="AF1641" s="22" t="str">
        <f t="shared" si="545"/>
        <v/>
      </c>
      <c r="AG1641" s="22" t="str">
        <f t="shared" si="546"/>
        <v/>
      </c>
      <c r="AH1641" s="22" t="str">
        <f t="shared" si="547"/>
        <v/>
      </c>
      <c r="AI1641" s="22" t="str">
        <f t="shared" si="548"/>
        <v/>
      </c>
      <c r="AJ1641" s="304" t="str">
        <f t="shared" si="549"/>
        <v/>
      </c>
      <c r="AK1641" s="140" t="str">
        <f t="shared" si="550"/>
        <v/>
      </c>
    </row>
    <row r="1642" spans="7:37" x14ac:dyDescent="0.25">
      <c r="G1642" s="235" t="str">
        <f t="shared" si="557"/>
        <v/>
      </c>
      <c r="H1642" s="4" t="str">
        <f t="shared" si="538"/>
        <v/>
      </c>
      <c r="I1642" s="11" t="str">
        <f t="shared" si="540"/>
        <v/>
      </c>
      <c r="K1642" s="30">
        <v>720</v>
      </c>
      <c r="L1642" s="29">
        <f t="shared" si="551"/>
        <v>11371.908376190921</v>
      </c>
      <c r="M1642" s="28" t="str">
        <f t="shared" si="541"/>
        <v/>
      </c>
      <c r="N1642" s="27" t="str">
        <f t="shared" si="552"/>
        <v/>
      </c>
      <c r="O1642" s="26" t="str">
        <f>IF(AND($Q1641=$O$38,IFERROR(LARGE($V$923:$V1641,1)&lt;$N$42,TRUE)),1,IF(AND(ISNUMBER($O1641),$O1641&lt;$N$32),$O1641+1,""))</f>
        <v/>
      </c>
      <c r="P1642" s="26" t="str">
        <f t="shared" si="553"/>
        <v/>
      </c>
      <c r="Q1642" s="26" t="str">
        <f t="shared" si="542"/>
        <v/>
      </c>
      <c r="R1642" s="24" t="str">
        <f t="shared" si="554"/>
        <v/>
      </c>
      <c r="S1642" s="180">
        <f t="shared" si="537"/>
        <v>8</v>
      </c>
      <c r="T1642" s="29">
        <f>SUM($AC$923:$AC1642)</f>
        <v>49500</v>
      </c>
      <c r="U1642" s="25" t="str">
        <f t="shared" si="543"/>
        <v/>
      </c>
      <c r="V1642" s="24" t="str">
        <f>IF(AND(ISNUMBER(R1641),ISNUMBER(R1642)),V1641,IF(AND(R1641="",ISNUMBER(R1642)),IFERROR(LARGE($V$923:$V1641,1)+1,0),""))</f>
        <v/>
      </c>
      <c r="W1642" s="23" t="str">
        <f t="shared" si="555"/>
        <v/>
      </c>
      <c r="X1642" s="22" t="str">
        <f t="shared" si="556"/>
        <v/>
      </c>
      <c r="Y1642" s="236"/>
      <c r="Z1642" s="22"/>
      <c r="AA1642" s="22"/>
      <c r="AB1642" s="22" t="str">
        <f t="shared" si="534"/>
        <v/>
      </c>
      <c r="AC1642" s="22" t="str">
        <f t="shared" si="535"/>
        <v/>
      </c>
      <c r="AD1642" s="22" t="str">
        <f t="shared" si="544"/>
        <v/>
      </c>
      <c r="AE1642" s="22" t="str">
        <f t="shared" si="536"/>
        <v/>
      </c>
      <c r="AF1642" s="22" t="str">
        <f t="shared" si="545"/>
        <v/>
      </c>
      <c r="AG1642" s="22" t="str">
        <f t="shared" si="546"/>
        <v/>
      </c>
      <c r="AH1642" s="22" t="str">
        <f t="shared" si="547"/>
        <v/>
      </c>
      <c r="AI1642" s="22" t="str">
        <f t="shared" si="548"/>
        <v/>
      </c>
      <c r="AJ1642" s="304" t="str">
        <f t="shared" si="549"/>
        <v/>
      </c>
      <c r="AK1642" s="140" t="str">
        <f t="shared" si="550"/>
        <v/>
      </c>
    </row>
    <row r="1643" spans="7:37" x14ac:dyDescent="0.25">
      <c r="G1643" s="235" t="str">
        <f t="shared" si="557"/>
        <v/>
      </c>
      <c r="H1643" s="4" t="str">
        <f t="shared" si="538"/>
        <v/>
      </c>
      <c r="I1643" s="11" t="str">
        <f t="shared" si="540"/>
        <v/>
      </c>
      <c r="K1643" s="30">
        <v>721</v>
      </c>
      <c r="L1643" s="29">
        <f t="shared" si="551"/>
        <v>11371.908376190921</v>
      </c>
      <c r="M1643" s="28" t="str">
        <f t="shared" si="541"/>
        <v/>
      </c>
      <c r="N1643" s="27" t="str">
        <f t="shared" si="552"/>
        <v/>
      </c>
      <c r="O1643" s="26" t="str">
        <f>IF(AND($Q1642=$O$38,IFERROR(LARGE($V$923:$V1642,1)&lt;$N$42,TRUE)),1,IF(AND(ISNUMBER($O1642),$O1642&lt;$N$32),$O1642+1,""))</f>
        <v/>
      </c>
      <c r="P1643" s="26" t="str">
        <f t="shared" si="553"/>
        <v/>
      </c>
      <c r="Q1643" s="26" t="str">
        <f t="shared" si="542"/>
        <v/>
      </c>
      <c r="R1643" s="24" t="str">
        <f t="shared" si="554"/>
        <v/>
      </c>
      <c r="S1643" s="180">
        <f t="shared" si="537"/>
        <v>8</v>
      </c>
      <c r="T1643" s="29">
        <f>SUM($AC$923:$AC1643)</f>
        <v>49500</v>
      </c>
      <c r="U1643" s="25" t="str">
        <f t="shared" si="543"/>
        <v/>
      </c>
      <c r="V1643" s="24" t="str">
        <f>IF(AND(ISNUMBER(R1642),ISNUMBER(R1643)),V1642,IF(AND(R1642="",ISNUMBER(R1643)),IFERROR(LARGE($V$923:$V1642,1)+1,0),""))</f>
        <v/>
      </c>
      <c r="W1643" s="23" t="str">
        <f t="shared" si="555"/>
        <v/>
      </c>
      <c r="X1643" s="22" t="str">
        <f t="shared" si="556"/>
        <v/>
      </c>
      <c r="Y1643" s="236"/>
      <c r="Z1643" s="22"/>
      <c r="AA1643" s="22"/>
      <c r="AB1643" s="22" t="str">
        <f t="shared" ref="AB1643:AB1652" si="558">IF((IF(AND($P1642="",$P1643=1),($N$37*-1),0)+IF(AND($Q1642="",$Q1643=1),($N$38*-1),0)+IF(OR(AND(ISNUMBER($U1643),IF(ISNUMBER($U1644),$U1644,0)-IF(ISNUMBER($U1643),$U1643,0)=1),AND(ISNUMBER($U1643),$U1644="")),IF($U1643=1,$P$37,0),0))=0,"",(IF(AND($P1642="",$P1643=1),($N$37*-1),0)+IF(AND($Q1642="",$Q1643=1),($N$38*-1),0)+IF(OR(AND(ISNUMBER($U1643),IF(ISNUMBER($U1644),$U1644,0)-IF(ISNUMBER($U1643),$U1643,0)=1),AND(ISNUMBER($U1643),$U1644="")),IF($U1643=1,$P$37,0),0)))</f>
        <v/>
      </c>
      <c r="AC1643" s="22" t="str">
        <f t="shared" ref="AC1643:AC1652" si="559">IF(IF(OR(AND(ISNUMBER($U1643),IF(ISNUMBER($U1644),$U1644,0)-IF(ISNUMBER($U1643),$U1643,0)=1),AND(ISNUMBER($U1643),$U1644="")),VLOOKUP(IF($U1643&gt;$L$63,$L$63,$U1643),$L$52:$N$63,COLUMNS($L$52:$N$52),FALSE),0)=0,"",IF(OR(AND(ISNUMBER($U1643),IF(ISNUMBER($U1644),$U1644,0)-IF(ISNUMBER($U1643),$U1643,0)=1),AND(ISNUMBER($U1643),$U1644="")),VLOOKUP(IF($U1643&gt;$L$63,$L$63,$U1643),$L$52:$N$63,COLUMNS($L$52:$N$52),FALSE),0))</f>
        <v/>
      </c>
      <c r="AD1643" s="22" t="str">
        <f t="shared" si="544"/>
        <v/>
      </c>
      <c r="AE1643" s="22" t="str">
        <f t="shared" ref="AE1643:AE1652" si="560">$AC1643</f>
        <v/>
      </c>
      <c r="AF1643" s="22" t="str">
        <f t="shared" si="545"/>
        <v/>
      </c>
      <c r="AG1643" s="22" t="str">
        <f t="shared" si="546"/>
        <v/>
      </c>
      <c r="AH1643" s="22" t="str">
        <f t="shared" si="547"/>
        <v/>
      </c>
      <c r="AI1643" s="22" t="str">
        <f t="shared" si="548"/>
        <v/>
      </c>
      <c r="AJ1643" s="304" t="str">
        <f t="shared" si="549"/>
        <v/>
      </c>
      <c r="AK1643" s="140" t="str">
        <f t="shared" si="550"/>
        <v/>
      </c>
    </row>
    <row r="1644" spans="7:37" x14ac:dyDescent="0.25">
      <c r="G1644" s="235" t="str">
        <f t="shared" si="557"/>
        <v/>
      </c>
      <c r="H1644" s="4" t="str">
        <f t="shared" si="538"/>
        <v/>
      </c>
      <c r="I1644" s="11" t="str">
        <f t="shared" si="540"/>
        <v/>
      </c>
      <c r="K1644" s="30">
        <v>722</v>
      </c>
      <c r="L1644" s="29">
        <f t="shared" si="551"/>
        <v>11371.908376190921</v>
      </c>
      <c r="M1644" s="28" t="str">
        <f t="shared" si="541"/>
        <v/>
      </c>
      <c r="N1644" s="27" t="str">
        <f t="shared" si="552"/>
        <v/>
      </c>
      <c r="O1644" s="26" t="str">
        <f>IF(AND($Q1643=$O$38,IFERROR(LARGE($V$923:$V1643,1)&lt;$N$42,TRUE)),1,IF(AND(ISNUMBER($O1643),$O1643&lt;$N$32),$O1643+1,""))</f>
        <v/>
      </c>
      <c r="P1644" s="26" t="str">
        <f t="shared" si="553"/>
        <v/>
      </c>
      <c r="Q1644" s="26" t="str">
        <f t="shared" si="542"/>
        <v/>
      </c>
      <c r="R1644" s="24" t="str">
        <f t="shared" si="554"/>
        <v/>
      </c>
      <c r="S1644" s="180">
        <f t="shared" si="537"/>
        <v>8</v>
      </c>
      <c r="T1644" s="29">
        <f>SUM($AC$923:$AC1644)</f>
        <v>49500</v>
      </c>
      <c r="U1644" s="25" t="str">
        <f t="shared" si="543"/>
        <v/>
      </c>
      <c r="V1644" s="24" t="str">
        <f>IF(AND(ISNUMBER(R1643),ISNUMBER(R1644)),V1643,IF(AND(R1643="",ISNUMBER(R1644)),IFERROR(LARGE($V$923:$V1643,1)+1,0),""))</f>
        <v/>
      </c>
      <c r="W1644" s="23" t="str">
        <f t="shared" si="555"/>
        <v/>
      </c>
      <c r="X1644" s="22" t="str">
        <f t="shared" si="556"/>
        <v/>
      </c>
      <c r="Y1644" s="236"/>
      <c r="Z1644" s="22"/>
      <c r="AA1644" s="22"/>
      <c r="AB1644" s="22" t="str">
        <f t="shared" si="558"/>
        <v/>
      </c>
      <c r="AC1644" s="22" t="str">
        <f t="shared" si="559"/>
        <v/>
      </c>
      <c r="AD1644" s="22" t="str">
        <f t="shared" si="544"/>
        <v/>
      </c>
      <c r="AE1644" s="22" t="str">
        <f t="shared" si="560"/>
        <v/>
      </c>
      <c r="AF1644" s="22" t="str">
        <f t="shared" si="545"/>
        <v/>
      </c>
      <c r="AG1644" s="22" t="str">
        <f t="shared" si="546"/>
        <v/>
      </c>
      <c r="AH1644" s="22" t="str">
        <f t="shared" si="547"/>
        <v/>
      </c>
      <c r="AI1644" s="22" t="str">
        <f t="shared" si="548"/>
        <v/>
      </c>
      <c r="AJ1644" s="304" t="str">
        <f t="shared" si="549"/>
        <v/>
      </c>
      <c r="AK1644" s="140" t="str">
        <f t="shared" si="550"/>
        <v/>
      </c>
    </row>
    <row r="1645" spans="7:37" x14ac:dyDescent="0.25">
      <c r="G1645" s="235" t="str">
        <f t="shared" si="557"/>
        <v/>
      </c>
      <c r="H1645" s="4" t="str">
        <f t="shared" si="538"/>
        <v/>
      </c>
      <c r="I1645" s="11" t="str">
        <f t="shared" si="540"/>
        <v/>
      </c>
      <c r="K1645" s="30">
        <v>723</v>
      </c>
      <c r="L1645" s="29">
        <f t="shared" si="551"/>
        <v>11371.908376190921</v>
      </c>
      <c r="M1645" s="28" t="str">
        <f t="shared" si="541"/>
        <v/>
      </c>
      <c r="N1645" s="27" t="str">
        <f t="shared" si="552"/>
        <v/>
      </c>
      <c r="O1645" s="26" t="str">
        <f>IF(AND($Q1644=$O$38,IFERROR(LARGE($V$923:$V1644,1)&lt;$N$42,TRUE)),1,IF(AND(ISNUMBER($O1644),$O1644&lt;$N$32),$O1644+1,""))</f>
        <v/>
      </c>
      <c r="P1645" s="26" t="str">
        <f t="shared" si="553"/>
        <v/>
      </c>
      <c r="Q1645" s="26" t="str">
        <f t="shared" si="542"/>
        <v/>
      </c>
      <c r="R1645" s="24" t="str">
        <f t="shared" si="554"/>
        <v/>
      </c>
      <c r="S1645" s="180">
        <f t="shared" si="537"/>
        <v>8</v>
      </c>
      <c r="T1645" s="29">
        <f>SUM($AC$923:$AC1645)</f>
        <v>49500</v>
      </c>
      <c r="U1645" s="25" t="str">
        <f t="shared" si="543"/>
        <v/>
      </c>
      <c r="V1645" s="24" t="str">
        <f>IF(AND(ISNUMBER(R1644),ISNUMBER(R1645)),V1644,IF(AND(R1644="",ISNUMBER(R1645)),IFERROR(LARGE($V$923:$V1644,1)+1,0),""))</f>
        <v/>
      </c>
      <c r="W1645" s="23" t="str">
        <f t="shared" si="555"/>
        <v/>
      </c>
      <c r="X1645" s="22" t="str">
        <f t="shared" si="556"/>
        <v/>
      </c>
      <c r="Y1645" s="236"/>
      <c r="Z1645" s="22"/>
      <c r="AA1645" s="22"/>
      <c r="AB1645" s="22" t="str">
        <f t="shared" si="558"/>
        <v/>
      </c>
      <c r="AC1645" s="22" t="str">
        <f t="shared" si="559"/>
        <v/>
      </c>
      <c r="AD1645" s="22" t="str">
        <f t="shared" si="544"/>
        <v/>
      </c>
      <c r="AE1645" s="22" t="str">
        <f t="shared" si="560"/>
        <v/>
      </c>
      <c r="AF1645" s="22" t="str">
        <f t="shared" si="545"/>
        <v/>
      </c>
      <c r="AG1645" s="22" t="str">
        <f t="shared" si="546"/>
        <v/>
      </c>
      <c r="AH1645" s="22" t="str">
        <f t="shared" si="547"/>
        <v/>
      </c>
      <c r="AI1645" s="22" t="str">
        <f t="shared" si="548"/>
        <v/>
      </c>
      <c r="AJ1645" s="304" t="str">
        <f t="shared" si="549"/>
        <v/>
      </c>
      <c r="AK1645" s="140" t="str">
        <f t="shared" si="550"/>
        <v/>
      </c>
    </row>
    <row r="1646" spans="7:37" x14ac:dyDescent="0.25">
      <c r="G1646" s="235" t="str">
        <f t="shared" si="557"/>
        <v/>
      </c>
      <c r="H1646" s="4" t="str">
        <f t="shared" si="538"/>
        <v/>
      </c>
      <c r="I1646" s="11" t="str">
        <f t="shared" si="540"/>
        <v/>
      </c>
      <c r="K1646" s="30">
        <v>724</v>
      </c>
      <c r="L1646" s="29">
        <f t="shared" si="551"/>
        <v>11371.908376190921</v>
      </c>
      <c r="M1646" s="28" t="str">
        <f t="shared" si="541"/>
        <v/>
      </c>
      <c r="N1646" s="27" t="str">
        <f t="shared" si="552"/>
        <v/>
      </c>
      <c r="O1646" s="26" t="str">
        <f>IF(AND($Q1645=$O$38,IFERROR(LARGE($V$923:$V1645,1)&lt;$N$42,TRUE)),1,IF(AND(ISNUMBER($O1645),$O1645&lt;$N$32),$O1645+1,""))</f>
        <v/>
      </c>
      <c r="P1646" s="26" t="str">
        <f t="shared" si="553"/>
        <v/>
      </c>
      <c r="Q1646" s="26" t="str">
        <f t="shared" si="542"/>
        <v/>
      </c>
      <c r="R1646" s="24" t="str">
        <f t="shared" si="554"/>
        <v/>
      </c>
      <c r="S1646" s="180">
        <f t="shared" si="537"/>
        <v>8</v>
      </c>
      <c r="T1646" s="29">
        <f>SUM($AC$923:$AC1646)</f>
        <v>49500</v>
      </c>
      <c r="U1646" s="25" t="str">
        <f t="shared" si="543"/>
        <v/>
      </c>
      <c r="V1646" s="24" t="str">
        <f>IF(AND(ISNUMBER(R1645),ISNUMBER(R1646)),V1645,IF(AND(R1645="",ISNUMBER(R1646)),IFERROR(LARGE($V$923:$V1645,1)+1,0),""))</f>
        <v/>
      </c>
      <c r="W1646" s="23" t="str">
        <f t="shared" si="555"/>
        <v/>
      </c>
      <c r="X1646" s="22" t="str">
        <f t="shared" si="556"/>
        <v/>
      </c>
      <c r="Y1646" s="236"/>
      <c r="Z1646" s="22"/>
      <c r="AA1646" s="22"/>
      <c r="AB1646" s="22" t="str">
        <f t="shared" si="558"/>
        <v/>
      </c>
      <c r="AC1646" s="22" t="str">
        <f t="shared" si="559"/>
        <v/>
      </c>
      <c r="AD1646" s="22" t="str">
        <f t="shared" si="544"/>
        <v/>
      </c>
      <c r="AE1646" s="22" t="str">
        <f t="shared" si="560"/>
        <v/>
      </c>
      <c r="AF1646" s="22" t="str">
        <f t="shared" si="545"/>
        <v/>
      </c>
      <c r="AG1646" s="22" t="str">
        <f t="shared" si="546"/>
        <v/>
      </c>
      <c r="AH1646" s="22" t="str">
        <f t="shared" si="547"/>
        <v/>
      </c>
      <c r="AI1646" s="22" t="str">
        <f t="shared" si="548"/>
        <v/>
      </c>
      <c r="AJ1646" s="304" t="str">
        <f t="shared" si="549"/>
        <v/>
      </c>
      <c r="AK1646" s="140" t="str">
        <f t="shared" si="550"/>
        <v/>
      </c>
    </row>
    <row r="1647" spans="7:37" x14ac:dyDescent="0.25">
      <c r="G1647" s="235" t="str">
        <f t="shared" si="557"/>
        <v/>
      </c>
      <c r="H1647" s="4" t="str">
        <f t="shared" si="538"/>
        <v/>
      </c>
      <c r="I1647" s="11" t="str">
        <f t="shared" si="540"/>
        <v/>
      </c>
      <c r="K1647" s="30">
        <v>725</v>
      </c>
      <c r="L1647" s="29">
        <f t="shared" si="551"/>
        <v>11371.908376190921</v>
      </c>
      <c r="M1647" s="28" t="str">
        <f t="shared" si="541"/>
        <v/>
      </c>
      <c r="N1647" s="27" t="str">
        <f t="shared" si="552"/>
        <v/>
      </c>
      <c r="O1647" s="26" t="str">
        <f>IF(AND($Q1646=$O$38,IFERROR(LARGE($V$923:$V1646,1)&lt;$N$42,TRUE)),1,IF(AND(ISNUMBER($O1646),$O1646&lt;$N$32),$O1646+1,""))</f>
        <v/>
      </c>
      <c r="P1647" s="26" t="str">
        <f t="shared" si="553"/>
        <v/>
      </c>
      <c r="Q1647" s="26" t="str">
        <f t="shared" si="542"/>
        <v/>
      </c>
      <c r="R1647" s="24" t="str">
        <f t="shared" si="554"/>
        <v/>
      </c>
      <c r="S1647" s="180">
        <f t="shared" si="537"/>
        <v>8</v>
      </c>
      <c r="T1647" s="29">
        <f>SUM($AC$923:$AC1647)</f>
        <v>49500</v>
      </c>
      <c r="U1647" s="25" t="str">
        <f t="shared" si="543"/>
        <v/>
      </c>
      <c r="V1647" s="24" t="str">
        <f>IF(AND(ISNUMBER(R1646),ISNUMBER(R1647)),V1646,IF(AND(R1646="",ISNUMBER(R1647)),IFERROR(LARGE($V$923:$V1646,1)+1,0),""))</f>
        <v/>
      </c>
      <c r="W1647" s="23" t="str">
        <f t="shared" si="555"/>
        <v/>
      </c>
      <c r="X1647" s="22" t="str">
        <f t="shared" si="556"/>
        <v/>
      </c>
      <c r="Y1647" s="236"/>
      <c r="Z1647" s="22"/>
      <c r="AA1647" s="22"/>
      <c r="AB1647" s="22" t="str">
        <f t="shared" si="558"/>
        <v/>
      </c>
      <c r="AC1647" s="22" t="str">
        <f t="shared" si="559"/>
        <v/>
      </c>
      <c r="AD1647" s="22" t="str">
        <f t="shared" si="544"/>
        <v/>
      </c>
      <c r="AE1647" s="22" t="str">
        <f t="shared" si="560"/>
        <v/>
      </c>
      <c r="AF1647" s="22" t="str">
        <f t="shared" si="545"/>
        <v/>
      </c>
      <c r="AG1647" s="22" t="str">
        <f t="shared" si="546"/>
        <v/>
      </c>
      <c r="AH1647" s="22" t="str">
        <f t="shared" si="547"/>
        <v/>
      </c>
      <c r="AI1647" s="22" t="str">
        <f t="shared" si="548"/>
        <v/>
      </c>
      <c r="AJ1647" s="304" t="str">
        <f t="shared" si="549"/>
        <v/>
      </c>
      <c r="AK1647" s="140" t="str">
        <f t="shared" si="550"/>
        <v/>
      </c>
    </row>
    <row r="1648" spans="7:37" x14ac:dyDescent="0.25">
      <c r="G1648" s="235" t="str">
        <f t="shared" si="557"/>
        <v/>
      </c>
      <c r="H1648" s="4" t="str">
        <f t="shared" si="538"/>
        <v/>
      </c>
      <c r="I1648" s="11" t="str">
        <f t="shared" si="540"/>
        <v/>
      </c>
      <c r="K1648" s="30">
        <v>726</v>
      </c>
      <c r="L1648" s="29">
        <f t="shared" si="551"/>
        <v>11371.908376190921</v>
      </c>
      <c r="M1648" s="28" t="str">
        <f t="shared" si="541"/>
        <v/>
      </c>
      <c r="N1648" s="27" t="str">
        <f t="shared" si="552"/>
        <v/>
      </c>
      <c r="O1648" s="26" t="str">
        <f>IF(AND($Q1647=$O$38,IFERROR(LARGE($V$923:$V1647,1)&lt;$N$42,TRUE)),1,IF(AND(ISNUMBER($O1647),$O1647&lt;$N$32),$O1647+1,""))</f>
        <v/>
      </c>
      <c r="P1648" s="26" t="str">
        <f t="shared" si="553"/>
        <v/>
      </c>
      <c r="Q1648" s="26" t="str">
        <f t="shared" si="542"/>
        <v/>
      </c>
      <c r="R1648" s="24" t="str">
        <f t="shared" si="554"/>
        <v/>
      </c>
      <c r="S1648" s="180">
        <f t="shared" si="537"/>
        <v>8</v>
      </c>
      <c r="T1648" s="29">
        <f>SUM($AC$923:$AC1648)</f>
        <v>49500</v>
      </c>
      <c r="U1648" s="25" t="str">
        <f t="shared" si="543"/>
        <v/>
      </c>
      <c r="V1648" s="24" t="str">
        <f>IF(AND(ISNUMBER(R1647),ISNUMBER(R1648)),V1647,IF(AND(R1647="",ISNUMBER(R1648)),IFERROR(LARGE($V$923:$V1647,1)+1,0),""))</f>
        <v/>
      </c>
      <c r="W1648" s="23" t="str">
        <f t="shared" si="555"/>
        <v/>
      </c>
      <c r="X1648" s="22" t="str">
        <f t="shared" si="556"/>
        <v/>
      </c>
      <c r="Y1648" s="236"/>
      <c r="Z1648" s="22"/>
      <c r="AA1648" s="22"/>
      <c r="AB1648" s="22" t="str">
        <f t="shared" si="558"/>
        <v/>
      </c>
      <c r="AC1648" s="22" t="str">
        <f t="shared" si="559"/>
        <v/>
      </c>
      <c r="AD1648" s="22" t="str">
        <f t="shared" si="544"/>
        <v/>
      </c>
      <c r="AE1648" s="22" t="str">
        <f t="shared" si="560"/>
        <v/>
      </c>
      <c r="AF1648" s="22" t="str">
        <f t="shared" si="545"/>
        <v/>
      </c>
      <c r="AG1648" s="22" t="str">
        <f t="shared" si="546"/>
        <v/>
      </c>
      <c r="AH1648" s="22" t="str">
        <f t="shared" si="547"/>
        <v/>
      </c>
      <c r="AI1648" s="22" t="str">
        <f t="shared" si="548"/>
        <v/>
      </c>
      <c r="AJ1648" s="304" t="str">
        <f t="shared" si="549"/>
        <v/>
      </c>
      <c r="AK1648" s="140" t="str">
        <f t="shared" si="550"/>
        <v/>
      </c>
    </row>
    <row r="1649" spans="7:37" x14ac:dyDescent="0.25">
      <c r="G1649" s="235" t="str">
        <f t="shared" si="557"/>
        <v/>
      </c>
      <c r="H1649" s="4" t="str">
        <f t="shared" si="538"/>
        <v/>
      </c>
      <c r="I1649" s="11" t="str">
        <f t="shared" si="540"/>
        <v/>
      </c>
      <c r="K1649" s="30">
        <v>727</v>
      </c>
      <c r="L1649" s="29">
        <f t="shared" si="551"/>
        <v>11371.908376190921</v>
      </c>
      <c r="M1649" s="28" t="str">
        <f t="shared" si="541"/>
        <v/>
      </c>
      <c r="N1649" s="27" t="str">
        <f t="shared" si="552"/>
        <v/>
      </c>
      <c r="O1649" s="26" t="str">
        <f>IF(AND($Q1648=$O$38,IFERROR(LARGE($V$923:$V1648,1)&lt;$N$42,TRUE)),1,IF(AND(ISNUMBER($O1648),$O1648&lt;$N$32),$O1648+1,""))</f>
        <v/>
      </c>
      <c r="P1649" s="26" t="str">
        <f t="shared" si="553"/>
        <v/>
      </c>
      <c r="Q1649" s="26" t="str">
        <f t="shared" si="542"/>
        <v/>
      </c>
      <c r="R1649" s="24" t="str">
        <f t="shared" si="554"/>
        <v/>
      </c>
      <c r="S1649" s="180">
        <f t="shared" si="537"/>
        <v>8</v>
      </c>
      <c r="T1649" s="29">
        <f>SUM($AC$923:$AC1649)</f>
        <v>49500</v>
      </c>
      <c r="U1649" s="25" t="str">
        <f t="shared" si="543"/>
        <v/>
      </c>
      <c r="V1649" s="24" t="str">
        <f>IF(AND(ISNUMBER(R1648),ISNUMBER(R1649)),V1648,IF(AND(R1648="",ISNUMBER(R1649)),IFERROR(LARGE($V$923:$V1648,1)+1,0),""))</f>
        <v/>
      </c>
      <c r="W1649" s="23" t="str">
        <f t="shared" si="555"/>
        <v/>
      </c>
      <c r="X1649" s="22" t="str">
        <f t="shared" si="556"/>
        <v/>
      </c>
      <c r="Y1649" s="236"/>
      <c r="Z1649" s="22"/>
      <c r="AA1649" s="22"/>
      <c r="AB1649" s="22" t="str">
        <f t="shared" si="558"/>
        <v/>
      </c>
      <c r="AC1649" s="22" t="str">
        <f t="shared" si="559"/>
        <v/>
      </c>
      <c r="AD1649" s="22" t="str">
        <f t="shared" si="544"/>
        <v/>
      </c>
      <c r="AE1649" s="22" t="str">
        <f t="shared" si="560"/>
        <v/>
      </c>
      <c r="AF1649" s="22" t="str">
        <f t="shared" si="545"/>
        <v/>
      </c>
      <c r="AG1649" s="22" t="str">
        <f t="shared" si="546"/>
        <v/>
      </c>
      <c r="AH1649" s="22" t="str">
        <f t="shared" si="547"/>
        <v/>
      </c>
      <c r="AI1649" s="22" t="str">
        <f t="shared" si="548"/>
        <v/>
      </c>
      <c r="AJ1649" s="304" t="str">
        <f t="shared" si="549"/>
        <v/>
      </c>
      <c r="AK1649" s="140" t="str">
        <f t="shared" si="550"/>
        <v/>
      </c>
    </row>
    <row r="1650" spans="7:37" x14ac:dyDescent="0.25">
      <c r="G1650" s="235" t="str">
        <f t="shared" si="557"/>
        <v/>
      </c>
      <c r="H1650" s="4" t="str">
        <f t="shared" si="538"/>
        <v/>
      </c>
      <c r="I1650" s="11" t="str">
        <f t="shared" si="540"/>
        <v/>
      </c>
      <c r="K1650" s="30">
        <v>728</v>
      </c>
      <c r="L1650" s="29">
        <f t="shared" si="551"/>
        <v>11371.908376190921</v>
      </c>
      <c r="M1650" s="28" t="str">
        <f t="shared" si="541"/>
        <v/>
      </c>
      <c r="N1650" s="27" t="str">
        <f t="shared" si="552"/>
        <v/>
      </c>
      <c r="O1650" s="26" t="str">
        <f>IF(AND($Q1649=$O$38,IFERROR(LARGE($V$923:$V1649,1)&lt;$N$42,TRUE)),1,IF(AND(ISNUMBER($O1649),$O1649&lt;$N$32),$O1649+1,""))</f>
        <v/>
      </c>
      <c r="P1650" s="26" t="str">
        <f t="shared" si="553"/>
        <v/>
      </c>
      <c r="Q1650" s="26" t="str">
        <f t="shared" si="542"/>
        <v/>
      </c>
      <c r="R1650" s="24" t="str">
        <f t="shared" si="554"/>
        <v/>
      </c>
      <c r="S1650" s="180">
        <f t="shared" ref="S1650:S1652" si="561">IF($Q1650=1,ROUNDDOWN($S1649,0),IF($O1650=1,ROUNDDOWN($S1649,0)+1,IF($R1650=1,$S1649+0.01,IF(ISNUMBER($U1650),IF(AND($U1650&gt;1,($U1650-$U1649)=1),$S1649+0.01,$S1649),$S1649))))</f>
        <v>8</v>
      </c>
      <c r="T1650" s="29">
        <f>SUM($AC$923:$AC1650)</f>
        <v>49500</v>
      </c>
      <c r="U1650" s="25" t="str">
        <f t="shared" si="543"/>
        <v/>
      </c>
      <c r="V1650" s="24" t="str">
        <f>IF(AND(ISNUMBER(R1649),ISNUMBER(R1650)),V1649,IF(AND(R1649="",ISNUMBER(R1650)),IFERROR(LARGE($V$923:$V1649,1)+1,0),""))</f>
        <v/>
      </c>
      <c r="W1650" s="23" t="str">
        <f t="shared" si="555"/>
        <v/>
      </c>
      <c r="X1650" s="22" t="str">
        <f t="shared" si="556"/>
        <v/>
      </c>
      <c r="Y1650" s="236"/>
      <c r="Z1650" s="22"/>
      <c r="AA1650" s="22"/>
      <c r="AB1650" s="22" t="str">
        <f t="shared" si="558"/>
        <v/>
      </c>
      <c r="AC1650" s="22" t="str">
        <f t="shared" si="559"/>
        <v/>
      </c>
      <c r="AD1650" s="22" t="str">
        <f t="shared" si="544"/>
        <v/>
      </c>
      <c r="AE1650" s="22" t="str">
        <f t="shared" si="560"/>
        <v/>
      </c>
      <c r="AF1650" s="22" t="str">
        <f t="shared" si="545"/>
        <v/>
      </c>
      <c r="AG1650" s="22" t="str">
        <f t="shared" si="546"/>
        <v/>
      </c>
      <c r="AH1650" s="22" t="str">
        <f t="shared" si="547"/>
        <v/>
      </c>
      <c r="AI1650" s="22" t="str">
        <f t="shared" si="548"/>
        <v/>
      </c>
      <c r="AJ1650" s="304" t="str">
        <f t="shared" si="549"/>
        <v/>
      </c>
      <c r="AK1650" s="140" t="str">
        <f t="shared" si="550"/>
        <v/>
      </c>
    </row>
    <row r="1651" spans="7:37" x14ac:dyDescent="0.25">
      <c r="G1651" s="235" t="str">
        <f t="shared" si="557"/>
        <v/>
      </c>
      <c r="H1651" s="4" t="str">
        <f t="shared" si="538"/>
        <v/>
      </c>
      <c r="I1651" s="11" t="str">
        <f t="shared" si="540"/>
        <v/>
      </c>
      <c r="K1651" s="30">
        <v>729</v>
      </c>
      <c r="L1651" s="29">
        <f t="shared" si="551"/>
        <v>11371.908376190921</v>
      </c>
      <c r="M1651" s="28" t="str">
        <f t="shared" si="541"/>
        <v/>
      </c>
      <c r="N1651" s="27" t="str">
        <f t="shared" si="552"/>
        <v/>
      </c>
      <c r="O1651" s="26" t="str">
        <f>IF(AND($Q1650=$O$38,IFERROR(LARGE($V$923:$V1650,1)&lt;$N$42,TRUE)),1,IF(AND(ISNUMBER($O1650),$O1650&lt;$N$32),$O1650+1,""))</f>
        <v/>
      </c>
      <c r="P1651" s="26" t="str">
        <f t="shared" si="553"/>
        <v/>
      </c>
      <c r="Q1651" s="26" t="str">
        <f t="shared" si="542"/>
        <v/>
      </c>
      <c r="R1651" s="24" t="str">
        <f t="shared" si="554"/>
        <v/>
      </c>
      <c r="S1651" s="180">
        <f t="shared" si="561"/>
        <v>8</v>
      </c>
      <c r="T1651" s="29">
        <f>SUM($AC$923:$AC1651)</f>
        <v>49500</v>
      </c>
      <c r="U1651" s="25" t="str">
        <f t="shared" si="543"/>
        <v/>
      </c>
      <c r="V1651" s="24" t="str">
        <f>IF(AND(ISNUMBER(R1650),ISNUMBER(R1651)),V1650,IF(AND(R1650="",ISNUMBER(R1651)),IFERROR(LARGE($V$923:$V1650,1)+1,0),""))</f>
        <v/>
      </c>
      <c r="W1651" s="23" t="str">
        <f t="shared" si="555"/>
        <v/>
      </c>
      <c r="X1651" s="22" t="str">
        <f t="shared" si="556"/>
        <v/>
      </c>
      <c r="Y1651" s="236"/>
      <c r="Z1651" s="22"/>
      <c r="AA1651" s="22"/>
      <c r="AB1651" s="22" t="str">
        <f t="shared" si="558"/>
        <v/>
      </c>
      <c r="AC1651" s="22" t="str">
        <f t="shared" si="559"/>
        <v/>
      </c>
      <c r="AD1651" s="22" t="str">
        <f t="shared" si="544"/>
        <v/>
      </c>
      <c r="AE1651" s="22" t="str">
        <f t="shared" si="560"/>
        <v/>
      </c>
      <c r="AF1651" s="22" t="str">
        <f t="shared" si="545"/>
        <v/>
      </c>
      <c r="AG1651" s="22" t="str">
        <f t="shared" si="546"/>
        <v/>
      </c>
      <c r="AH1651" s="22" t="str">
        <f t="shared" si="547"/>
        <v/>
      </c>
      <c r="AI1651" s="22" t="str">
        <f t="shared" si="548"/>
        <v/>
      </c>
      <c r="AJ1651" s="304" t="str">
        <f t="shared" si="549"/>
        <v/>
      </c>
      <c r="AK1651" s="140" t="str">
        <f t="shared" si="550"/>
        <v/>
      </c>
    </row>
    <row r="1652" spans="7:37" x14ac:dyDescent="0.25">
      <c r="G1652" s="235" t="str">
        <f t="shared" si="557"/>
        <v/>
      </c>
      <c r="H1652" s="4" t="str">
        <f t="shared" si="538"/>
        <v/>
      </c>
      <c r="I1652" s="11" t="str">
        <f t="shared" si="540"/>
        <v/>
      </c>
      <c r="K1652" s="21">
        <v>730</v>
      </c>
      <c r="L1652" s="20">
        <f t="shared" si="551"/>
        <v>11371.908376190921</v>
      </c>
      <c r="M1652" s="19" t="str">
        <f t="shared" si="541"/>
        <v/>
      </c>
      <c r="N1652" s="18" t="str">
        <f t="shared" si="552"/>
        <v/>
      </c>
      <c r="O1652" s="17" t="str">
        <f>IF(AND($Q1651=$O$38,IFERROR(LARGE($V$923:$V1651,1)&lt;$N$42,TRUE)),1,IF(AND(ISNUMBER($O1651),$O1651&lt;$N$32),$O1651+1,""))</f>
        <v/>
      </c>
      <c r="P1652" s="17" t="str">
        <f t="shared" si="553"/>
        <v/>
      </c>
      <c r="Q1652" s="17" t="str">
        <f t="shared" si="542"/>
        <v/>
      </c>
      <c r="R1652" s="15" t="str">
        <f t="shared" si="554"/>
        <v/>
      </c>
      <c r="S1652" s="182">
        <f t="shared" si="561"/>
        <v>8</v>
      </c>
      <c r="T1652" s="20">
        <f>SUM($AC$923:$AC1652)</f>
        <v>49500</v>
      </c>
      <c r="U1652" s="16" t="str">
        <f t="shared" si="543"/>
        <v/>
      </c>
      <c r="V1652" s="15" t="str">
        <f>IF(AND(ISNUMBER(R1651),ISNUMBER(R1652)),V1651,IF(AND(R1651="",ISNUMBER(R1652)),IFERROR(LARGE($V$923:$V1651,1)+1,0),""))</f>
        <v/>
      </c>
      <c r="W1652" s="14" t="str">
        <f t="shared" si="555"/>
        <v/>
      </c>
      <c r="X1652" s="13" t="str">
        <f t="shared" si="556"/>
        <v/>
      </c>
      <c r="Y1652" s="237"/>
      <c r="Z1652" s="13"/>
      <c r="AA1652" s="13"/>
      <c r="AB1652" s="13" t="str">
        <f t="shared" si="558"/>
        <v/>
      </c>
      <c r="AC1652" s="13" t="str">
        <f t="shared" si="559"/>
        <v/>
      </c>
      <c r="AD1652" s="13" t="str">
        <f t="shared" si="544"/>
        <v/>
      </c>
      <c r="AE1652" s="13" t="str">
        <f t="shared" si="560"/>
        <v/>
      </c>
      <c r="AF1652" s="13" t="str">
        <f t="shared" si="545"/>
        <v/>
      </c>
      <c r="AG1652" s="13" t="str">
        <f t="shared" si="546"/>
        <v/>
      </c>
      <c r="AH1652" s="13" t="str">
        <f t="shared" si="547"/>
        <v/>
      </c>
      <c r="AI1652" s="13" t="str">
        <f t="shared" si="548"/>
        <v/>
      </c>
      <c r="AJ1652" s="306" t="str">
        <f t="shared" si="549"/>
        <v/>
      </c>
      <c r="AK1652" s="141" t="str">
        <f t="shared" si="550"/>
        <v/>
      </c>
    </row>
  </sheetData>
  <mergeCells count="154">
    <mergeCell ref="P915:P922"/>
    <mergeCell ref="Q915:Q922"/>
    <mergeCell ref="R915:R922"/>
    <mergeCell ref="S915:S922"/>
    <mergeCell ref="T915:T922"/>
    <mergeCell ref="U915:U922"/>
    <mergeCell ref="K912:AK913"/>
    <mergeCell ref="N914:R914"/>
    <mergeCell ref="K915:K922"/>
    <mergeCell ref="L915:L922"/>
    <mergeCell ref="M915:M922"/>
    <mergeCell ref="N915:N922"/>
    <mergeCell ref="O915:O922"/>
    <mergeCell ref="AI915:AI922"/>
    <mergeCell ref="AJ915:AJ922"/>
    <mergeCell ref="V915:V922"/>
    <mergeCell ref="W915:W922"/>
    <mergeCell ref="X915:X922"/>
    <mergeCell ref="AB915:AB922"/>
    <mergeCell ref="AC915:AC922"/>
    <mergeCell ref="AD915:AD922"/>
    <mergeCell ref="S168:S175"/>
    <mergeCell ref="U168:U175"/>
    <mergeCell ref="V168:V175"/>
    <mergeCell ref="W168:W175"/>
    <mergeCell ref="X168:X175"/>
    <mergeCell ref="AB168:AB175"/>
    <mergeCell ref="AK915:AK922"/>
    <mergeCell ref="AE915:AE922"/>
    <mergeCell ref="AF915:AF922"/>
    <mergeCell ref="AG915:AG922"/>
    <mergeCell ref="AH915:AH922"/>
    <mergeCell ref="AI168:AI175"/>
    <mergeCell ref="AJ168:AJ175"/>
    <mergeCell ref="AK168:AK175"/>
    <mergeCell ref="AC168:AC175"/>
    <mergeCell ref="AD168:AD175"/>
    <mergeCell ref="AE168:AE175"/>
    <mergeCell ref="AF168:AF175"/>
    <mergeCell ref="AG168:AG175"/>
    <mergeCell ref="AH168:AH175"/>
    <mergeCell ref="N167:R167"/>
    <mergeCell ref="K168:K175"/>
    <mergeCell ref="L168:L175"/>
    <mergeCell ref="M168:M175"/>
    <mergeCell ref="N168:N175"/>
    <mergeCell ref="O168:O175"/>
    <mergeCell ref="P168:P175"/>
    <mergeCell ref="Q168:Q175"/>
    <mergeCell ref="R168:R175"/>
    <mergeCell ref="AG84:AG88"/>
    <mergeCell ref="AH84:AH88"/>
    <mergeCell ref="AI84:AI88"/>
    <mergeCell ref="AJ84:AJ88"/>
    <mergeCell ref="AK84:AK88"/>
    <mergeCell ref="K165:AK166"/>
    <mergeCell ref="W84:W88"/>
    <mergeCell ref="X84:X88"/>
    <mergeCell ref="AB84:AB88"/>
    <mergeCell ref="AC84:AC88"/>
    <mergeCell ref="AE84:AE88"/>
    <mergeCell ref="AF84:AF88"/>
    <mergeCell ref="L70:N70"/>
    <mergeCell ref="L71:N71"/>
    <mergeCell ref="Q71:R71"/>
    <mergeCell ref="L72:N72"/>
    <mergeCell ref="L73:N73"/>
    <mergeCell ref="V84:V88"/>
    <mergeCell ref="AB54:AB55"/>
    <mergeCell ref="AC54:AC55"/>
    <mergeCell ref="K66:O66"/>
    <mergeCell ref="L67:N67"/>
    <mergeCell ref="L68:N68"/>
    <mergeCell ref="L69:N69"/>
    <mergeCell ref="M50:P50"/>
    <mergeCell ref="V50:X50"/>
    <mergeCell ref="V51:X51"/>
    <mergeCell ref="V52:X52"/>
    <mergeCell ref="V54:V55"/>
    <mergeCell ref="W54:AA54"/>
    <mergeCell ref="L44:M44"/>
    <mergeCell ref="P44:R44"/>
    <mergeCell ref="AE45:AI45"/>
    <mergeCell ref="K47:O47"/>
    <mergeCell ref="L48:M48"/>
    <mergeCell ref="U49:AC49"/>
    <mergeCell ref="K41:O41"/>
    <mergeCell ref="U41:AB41"/>
    <mergeCell ref="L42:M42"/>
    <mergeCell ref="P42:R42"/>
    <mergeCell ref="W42:AB42"/>
    <mergeCell ref="L43:M43"/>
    <mergeCell ref="P43:R43"/>
    <mergeCell ref="V34:V38"/>
    <mergeCell ref="AH34:AK34"/>
    <mergeCell ref="K35:O35"/>
    <mergeCell ref="AH35:AK35"/>
    <mergeCell ref="AH36:AK36"/>
    <mergeCell ref="L37:M37"/>
    <mergeCell ref="P37:P38"/>
    <mergeCell ref="L38:M38"/>
    <mergeCell ref="K28:L28"/>
    <mergeCell ref="AH28:AK28"/>
    <mergeCell ref="AH29:AK29"/>
    <mergeCell ref="AH30:AK30"/>
    <mergeCell ref="AH31:AK31"/>
    <mergeCell ref="AH32:AK32"/>
    <mergeCell ref="V25:V33"/>
    <mergeCell ref="AH25:AK25"/>
    <mergeCell ref="X26:X31"/>
    <mergeCell ref="AB26:AB31"/>
    <mergeCell ref="AH26:AK26"/>
    <mergeCell ref="AH27:AK27"/>
    <mergeCell ref="AH33:AK33"/>
    <mergeCell ref="R31:T31"/>
    <mergeCell ref="R30:T30"/>
    <mergeCell ref="V20:V24"/>
    <mergeCell ref="X20:X21"/>
    <mergeCell ref="AB20:AB21"/>
    <mergeCell ref="AH20:AK20"/>
    <mergeCell ref="AH21:AK21"/>
    <mergeCell ref="X22:X23"/>
    <mergeCell ref="AB22:AB23"/>
    <mergeCell ref="AH22:AK22"/>
    <mergeCell ref="AH23:AK23"/>
    <mergeCell ref="AH24:AK24"/>
    <mergeCell ref="M17:N17"/>
    <mergeCell ref="AH17:AK17"/>
    <mergeCell ref="M18:N18"/>
    <mergeCell ref="AH18:AK18"/>
    <mergeCell ref="L19:M19"/>
    <mergeCell ref="AH19:AK19"/>
    <mergeCell ref="W13:AE13"/>
    <mergeCell ref="AF13:AG13"/>
    <mergeCell ref="L14:M14"/>
    <mergeCell ref="O14:P14"/>
    <mergeCell ref="AH15:AK16"/>
    <mergeCell ref="K16:O16"/>
    <mergeCell ref="U16:X16"/>
    <mergeCell ref="O13:P13"/>
    <mergeCell ref="O15:P15"/>
    <mergeCell ref="K11:M11"/>
    <mergeCell ref="O10:P10"/>
    <mergeCell ref="L12:M12"/>
    <mergeCell ref="O11:P11"/>
    <mergeCell ref="L13:M13"/>
    <mergeCell ref="O12:P12"/>
    <mergeCell ref="AI2:AK2"/>
    <mergeCell ref="D3:D8"/>
    <mergeCell ref="E3:E8"/>
    <mergeCell ref="F3:F8"/>
    <mergeCell ref="R8:AC9"/>
    <mergeCell ref="AF8:AG9"/>
    <mergeCell ref="AH8:AI9"/>
  </mergeCells>
  <conditionalFormatting sqref="N52:N63">
    <cfRule type="expression" dxfId="0" priority="1">
      <formula>$L52=""</formula>
    </cfRule>
  </conditionalFormatting>
  <dataValidations count="8">
    <dataValidation type="decimal" allowBlank="1" showInputMessage="1" showErrorMessage="1" sqref="O68:O73" xr:uid="{224DB3C3-FFFC-4C32-83A6-A01595C153AC}">
      <formula1>0</formula1>
      <formula2>0.2</formula2>
    </dataValidation>
    <dataValidation type="list" allowBlank="1" showInputMessage="1" showErrorMessage="1" sqref="AB50" xr:uid="{32888AA2-E8CD-4997-AFC2-6602C564F75C}">
      <formula1>"Y,N"</formula1>
    </dataValidation>
    <dataValidation type="decimal" allowBlank="1" showInputMessage="1" showErrorMessage="1" sqref="AB51" xr:uid="{80398111-CE45-43B5-BCC8-C74B93999391}">
      <formula1>0</formula1>
      <formula2>1</formula2>
    </dataValidation>
    <dataValidation type="whole" allowBlank="1" showInputMessage="1" showErrorMessage="1" sqref="N43" xr:uid="{50ACFEA7-E370-4449-BA42-826A35219C8C}">
      <formula1>1</formula1>
      <formula2>100</formula2>
    </dataValidation>
    <dataValidation type="whole" allowBlank="1" showInputMessage="1" showErrorMessage="1" sqref="N42" xr:uid="{F04FAFD7-6802-4610-A65E-264EA633A302}">
      <formula1>0</formula1>
      <formula2>100</formula2>
    </dataValidation>
    <dataValidation type="decimal" allowBlank="1" showInputMessage="1" showErrorMessage="1" sqref="N23:N24 N30:N31 N37:N38 N52:N63" xr:uid="{8FC38C1B-3CB5-40BB-BB91-616F9195E69C}">
      <formula1>0</formula1>
      <formula2>100000</formula2>
    </dataValidation>
    <dataValidation type="whole" allowBlank="1" showInputMessage="1" showErrorMessage="1" sqref="N25 O37:O38 N32 N44" xr:uid="{00003488-3AAD-41A9-A2DA-0F06DBE3AF0F}">
      <formula1>1</formula1>
      <formula2>10000</formula2>
    </dataValidation>
    <dataValidation type="list" allowBlank="1" showInputMessage="1" showErrorMessage="1" sqref="N19" xr:uid="{9B5BE156-860A-474F-9D2E-1A9E487B3B0A}">
      <formula1>CutterSetType</formula1>
    </dataValidation>
  </dataValidations>
  <pageMargins left="0" right="0" top="0.5" bottom="0.5" header="0.3" footer="0.3"/>
  <pageSetup scale="55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DAE11-D39F-4F0A-BDFC-81DC82EF2DD2}">
  <sheetPr codeName="Sheet3"/>
  <dimension ref="B2:T229"/>
  <sheetViews>
    <sheetView zoomScaleNormal="100" workbookViewId="0">
      <selection activeCell="C3" sqref="C3"/>
    </sheetView>
  </sheetViews>
  <sheetFormatPr defaultRowHeight="15" x14ac:dyDescent="0.25"/>
  <cols>
    <col min="1" max="1" width="2.7109375" customWidth="1"/>
    <col min="3" max="3" width="8.5703125" bestFit="1" customWidth="1"/>
    <col min="4" max="4" width="14.85546875" customWidth="1"/>
    <col min="5" max="10" width="10.7109375" customWidth="1"/>
    <col min="11" max="11" width="8.42578125" bestFit="1" customWidth="1"/>
    <col min="12" max="12" width="2" bestFit="1" customWidth="1"/>
    <col min="14" max="14" width="2" bestFit="1" customWidth="1"/>
    <col min="15" max="18" width="15.42578125" bestFit="1" customWidth="1"/>
    <col min="19" max="19" width="14.7109375" bestFit="1" customWidth="1"/>
    <col min="20" max="20" width="15.42578125" bestFit="1" customWidth="1"/>
  </cols>
  <sheetData>
    <row r="2" spans="2:20" x14ac:dyDescent="0.25">
      <c r="E2" t="s">
        <v>0</v>
      </c>
      <c r="F2" t="s">
        <v>135</v>
      </c>
      <c r="G2" s="3"/>
    </row>
    <row r="3" spans="2:20" x14ac:dyDescent="0.25">
      <c r="E3" t="s">
        <v>13</v>
      </c>
      <c r="F3" t="s">
        <v>136</v>
      </c>
    </row>
    <row r="4" spans="2:20" x14ac:dyDescent="0.25">
      <c r="E4" t="s">
        <v>18</v>
      </c>
      <c r="F4" t="s">
        <v>19</v>
      </c>
      <c r="J4" s="3"/>
    </row>
    <row r="6" spans="2:20" x14ac:dyDescent="0.25">
      <c r="E6" s="1"/>
      <c r="F6" s="1"/>
      <c r="G6" s="1"/>
      <c r="H6" s="1"/>
      <c r="I6" s="1"/>
      <c r="J6" s="1"/>
    </row>
    <row r="7" spans="2:20" ht="15" customHeight="1" x14ac:dyDescent="0.25">
      <c r="B7" s="9"/>
      <c r="C7" s="9"/>
      <c r="D7" s="9"/>
      <c r="E7" s="10" t="s">
        <v>137</v>
      </c>
      <c r="F7" s="10" t="s">
        <v>138</v>
      </c>
      <c r="G7" s="10" t="s">
        <v>139</v>
      </c>
      <c r="H7" s="10" t="s">
        <v>140</v>
      </c>
      <c r="I7" s="10" t="s">
        <v>141</v>
      </c>
      <c r="J7" s="10" t="s">
        <v>3</v>
      </c>
      <c r="K7" s="9"/>
      <c r="L7" s="9"/>
      <c r="M7" s="9"/>
      <c r="N7" s="9"/>
      <c r="O7" s="9"/>
      <c r="P7" s="9"/>
      <c r="Q7" s="9"/>
      <c r="R7" s="9"/>
      <c r="S7" s="9"/>
      <c r="T7" s="9"/>
    </row>
    <row r="8" spans="2:20" x14ac:dyDescent="0.25">
      <c r="B8" s="9"/>
      <c r="C8" s="111" t="s">
        <v>26</v>
      </c>
      <c r="D8" s="110" t="str">
        <f>IF('Profitability Projections'!$F$20=0,"",'Profitability Projections'!$F$20)</f>
        <v>10.625</v>
      </c>
      <c r="E8" s="283">
        <f>J39</f>
        <v>2150.1661851742952</v>
      </c>
      <c r="F8" s="283">
        <f>J70</f>
        <v>4957.9013378770696</v>
      </c>
      <c r="G8" s="283">
        <f>J101</f>
        <v>5402.0105589914801</v>
      </c>
      <c r="H8" s="283">
        <f>J132</f>
        <v>7413.310418133743</v>
      </c>
      <c r="I8" s="283">
        <f>J163</f>
        <v>7976.4021275644345</v>
      </c>
      <c r="J8" s="283">
        <f>J194</f>
        <v>8238.3027919479482</v>
      </c>
      <c r="K8" s="9"/>
      <c r="L8" s="105"/>
      <c r="M8" s="105"/>
      <c r="N8" s="9"/>
      <c r="O8" s="9"/>
      <c r="P8" s="9"/>
      <c r="Q8" s="9"/>
      <c r="R8" s="9"/>
      <c r="S8" s="9"/>
      <c r="T8" s="9"/>
    </row>
    <row r="9" spans="2:20" ht="15.75" thickBot="1" x14ac:dyDescent="0.3">
      <c r="B9" s="109"/>
      <c r="C9" s="108" t="s">
        <v>29</v>
      </c>
      <c r="D9" s="107" t="str">
        <f>'Profitability Projections'!$F$21</f>
        <v>616-SR9(K)</v>
      </c>
      <c r="E9" s="284"/>
      <c r="F9" s="284"/>
      <c r="G9" s="284"/>
      <c r="H9" s="284"/>
      <c r="I9" s="284"/>
      <c r="J9" s="284"/>
      <c r="K9" s="106" t="s">
        <v>142</v>
      </c>
      <c r="L9" s="105"/>
      <c r="M9" s="105"/>
      <c r="N9" s="9"/>
      <c r="O9" s="9"/>
      <c r="P9" s="9"/>
      <c r="Q9" s="9"/>
      <c r="R9" s="9"/>
      <c r="S9" s="9"/>
      <c r="T9" s="9"/>
    </row>
    <row r="10" spans="2:20" x14ac:dyDescent="0.25">
      <c r="B10" s="9"/>
      <c r="C10" s="98">
        <f>IFERROR(VALUE(LEFT(D9,1)),"")</f>
        <v>6</v>
      </c>
      <c r="D10" s="100" t="s">
        <v>143</v>
      </c>
      <c r="E10" s="100"/>
      <c r="F10" s="100"/>
      <c r="G10" s="100"/>
      <c r="H10" s="100"/>
      <c r="I10" s="100"/>
      <c r="J10" s="100"/>
      <c r="K10" s="100"/>
      <c r="L10" s="9"/>
      <c r="M10" s="9"/>
      <c r="N10" s="9"/>
      <c r="O10" s="100"/>
      <c r="P10" s="98"/>
      <c r="Q10" s="104"/>
      <c r="R10" s="844"/>
      <c r="S10" s="844"/>
      <c r="T10" s="844"/>
    </row>
    <row r="11" spans="2:20" x14ac:dyDescent="0.25">
      <c r="B11" s="9"/>
      <c r="C11" s="98">
        <f>IFERROR(VALUE(SUBSTITUTE(MID(D9,2,(FIND("-",D9)-2)),"M","")),"")</f>
        <v>16</v>
      </c>
      <c r="D11" s="100" t="s">
        <v>144</v>
      </c>
      <c r="E11" s="100"/>
      <c r="F11" s="100"/>
      <c r="G11" s="100"/>
      <c r="H11" s="100"/>
      <c r="I11" s="100"/>
      <c r="J11" s="100"/>
      <c r="K11" s="100"/>
      <c r="L11" s="9"/>
      <c r="M11" s="9"/>
      <c r="N11" s="9"/>
      <c r="O11" s="100"/>
      <c r="P11" s="98"/>
      <c r="Q11" s="104"/>
      <c r="R11" s="844"/>
      <c r="S11" s="844"/>
      <c r="T11" s="844"/>
    </row>
    <row r="12" spans="2:20" x14ac:dyDescent="0.25">
      <c r="B12" s="9"/>
      <c r="C12" s="98" t="str">
        <f>IFERROR(IF(RIGHT(LEFT(RIGHT(D9,(LEN(D9)-FIND("-",D9))),3),1)="+",LEFT(RIGHT(D9,(LEN(D9)-FIND("-",D9))),3),LEFT(RIGHT(D9,(LEN(D9)-FIND("-",D9))),2)),"")</f>
        <v>SR</v>
      </c>
      <c r="D12" s="100" t="s">
        <v>145</v>
      </c>
      <c r="E12" s="100"/>
      <c r="F12" s="100"/>
      <c r="G12" s="100"/>
      <c r="H12" s="100"/>
      <c r="I12" s="100"/>
      <c r="J12" s="100"/>
      <c r="K12" s="100"/>
      <c r="L12" s="9"/>
      <c r="M12" s="9"/>
      <c r="N12" s="9"/>
      <c r="O12" s="100"/>
      <c r="P12" s="98"/>
      <c r="Q12" s="104"/>
      <c r="R12" s="844"/>
      <c r="S12" s="844"/>
      <c r="T12" s="844"/>
    </row>
    <row r="13" spans="2:20" x14ac:dyDescent="0.25">
      <c r="B13" s="9"/>
      <c r="C13" s="98" t="str">
        <f>IF(ISNUMBER(FIND("(K)",RIGHT(D9,(LEN(D9)-FIND("-",D9))))),"(K)","")</f>
        <v>(K)</v>
      </c>
      <c r="D13" s="100" t="s">
        <v>146</v>
      </c>
      <c r="E13" s="100"/>
      <c r="F13" s="100"/>
      <c r="G13" s="100"/>
      <c r="H13" s="100"/>
      <c r="I13" s="100"/>
      <c r="J13" s="100"/>
      <c r="K13" s="100"/>
      <c r="L13" s="9"/>
      <c r="M13" s="9"/>
      <c r="N13" s="9"/>
      <c r="O13" s="100"/>
      <c r="P13" s="98"/>
      <c r="Q13" s="104"/>
      <c r="R13" s="844"/>
      <c r="S13" s="844"/>
      <c r="T13" s="844"/>
    </row>
    <row r="14" spans="2:20" x14ac:dyDescent="0.25">
      <c r="B14" s="9"/>
      <c r="C14" s="98" t="str">
        <f>IF(ISNUMBER(FIND("(BR)",RIGHT(D9,(LEN(D9)-FIND("-",D9))))),"(BR)","")</f>
        <v/>
      </c>
      <c r="D14" s="100" t="s">
        <v>147</v>
      </c>
      <c r="E14" s="100"/>
      <c r="F14" s="100"/>
      <c r="G14" s="100"/>
      <c r="H14" s="100"/>
      <c r="I14" s="100"/>
      <c r="J14" s="100"/>
      <c r="K14" s="100"/>
      <c r="L14" s="9"/>
      <c r="M14" s="9"/>
      <c r="N14" s="9"/>
      <c r="O14" s="100"/>
      <c r="P14" s="98"/>
      <c r="Q14" s="104"/>
      <c r="R14" s="844"/>
      <c r="S14" s="844"/>
      <c r="T14" s="844"/>
    </row>
    <row r="15" spans="2:20" x14ac:dyDescent="0.25">
      <c r="B15" s="9"/>
      <c r="C15" s="98">
        <f>IFERROR(VALUE(IF(ISNUMBER(VALUE(SUBSTITUTE(SUBSTITUTE(SUBSTITUTE(RIGHT(D9,(LEN(D9)-FIND("-",D9))),C14,""),C13,""),C12,""))),SUBSTITUTE(SUBSTITUTE(SUBSTITUTE(RIGHT(D9,(LEN(D9)-FIND("-",D9))),C14,""),C13,""),C12,""),C10)),"")</f>
        <v>9</v>
      </c>
      <c r="D15" s="100" t="s">
        <v>148</v>
      </c>
      <c r="E15" s="100"/>
      <c r="F15" s="100"/>
      <c r="G15" s="100"/>
      <c r="H15" s="100"/>
      <c r="I15" s="100"/>
      <c r="J15" s="100"/>
      <c r="K15" s="100"/>
      <c r="L15" s="9"/>
      <c r="M15" s="9"/>
      <c r="N15" s="9"/>
      <c r="O15" s="100"/>
      <c r="P15" s="98"/>
      <c r="Q15" s="104"/>
      <c r="R15" s="844"/>
      <c r="S15" s="844"/>
      <c r="T15" s="844"/>
    </row>
    <row r="16" spans="2:20" x14ac:dyDescent="0.25">
      <c r="B16" s="9"/>
      <c r="C16" s="98" t="str">
        <f>IF(ISNUMBER(FIND("M",MID(D9,2,(FIND("-",D9)-2)))),"M","")</f>
        <v/>
      </c>
      <c r="D16" s="100" t="s">
        <v>149</v>
      </c>
      <c r="E16" s="100"/>
      <c r="F16" s="100"/>
      <c r="G16" s="100"/>
      <c r="H16" s="100"/>
      <c r="I16" s="100"/>
      <c r="J16" s="100"/>
      <c r="K16" s="100"/>
      <c r="L16" s="9"/>
      <c r="M16" s="9"/>
      <c r="N16" s="9"/>
      <c r="O16" s="100"/>
      <c r="P16" s="98"/>
      <c r="Q16" s="104"/>
      <c r="R16" s="844"/>
      <c r="S16" s="844"/>
      <c r="T16" s="844"/>
    </row>
    <row r="17" spans="2:20" x14ac:dyDescent="0.25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100"/>
      <c r="P17" s="98"/>
      <c r="Q17" s="104"/>
      <c r="R17" s="844"/>
      <c r="S17" s="844"/>
      <c r="T17" s="844"/>
    </row>
    <row r="18" spans="2:20" ht="15" customHeight="1" x14ac:dyDescent="0.25">
      <c r="B18" s="839" t="s">
        <v>150</v>
      </c>
      <c r="C18" s="839"/>
      <c r="D18" s="839"/>
      <c r="E18" s="839"/>
      <c r="F18" s="839"/>
      <c r="G18" s="839"/>
      <c r="H18" s="839"/>
      <c r="I18" s="839"/>
      <c r="J18" s="282"/>
      <c r="K18" s="282"/>
      <c r="L18" s="9"/>
      <c r="M18" s="9"/>
      <c r="N18" s="9"/>
      <c r="O18" s="100"/>
      <c r="P18" s="98"/>
      <c r="Q18" s="98"/>
      <c r="R18" s="844"/>
      <c r="S18" s="844"/>
      <c r="T18" s="844"/>
    </row>
    <row r="19" spans="2:20" ht="15" customHeight="1" x14ac:dyDescent="0.25">
      <c r="B19" s="839"/>
      <c r="C19" s="839"/>
      <c r="D19" s="839"/>
      <c r="E19" s="839"/>
      <c r="F19" s="839"/>
      <c r="G19" s="839"/>
      <c r="H19" s="839"/>
      <c r="I19" s="839"/>
      <c r="J19" s="282"/>
      <c r="K19" s="282"/>
      <c r="L19" s="9"/>
      <c r="M19" s="9"/>
      <c r="N19" s="9"/>
      <c r="O19" s="100"/>
      <c r="P19" s="98"/>
      <c r="Q19" s="104"/>
      <c r="R19" s="844"/>
      <c r="S19" s="844"/>
      <c r="T19" s="844"/>
    </row>
    <row r="20" spans="2:20" ht="15" customHeight="1" x14ac:dyDescent="0.25">
      <c r="B20" s="839"/>
      <c r="C20" s="839"/>
      <c r="D20" s="839"/>
      <c r="E20" s="839"/>
      <c r="F20" s="839"/>
      <c r="G20" s="839"/>
      <c r="H20" s="839"/>
      <c r="I20" s="839"/>
      <c r="J20" s="282"/>
      <c r="K20" s="282"/>
      <c r="L20" s="9"/>
      <c r="M20" s="9"/>
      <c r="N20" s="9"/>
      <c r="O20" s="100"/>
      <c r="P20" s="98"/>
      <c r="Q20" s="104"/>
      <c r="R20" s="844"/>
      <c r="S20" s="844"/>
      <c r="T20" s="844"/>
    </row>
    <row r="21" spans="2:20" ht="15" customHeight="1" x14ac:dyDescent="0.25">
      <c r="B21" s="839"/>
      <c r="C21" s="839"/>
      <c r="D21" s="839"/>
      <c r="E21" s="839"/>
      <c r="F21" s="839"/>
      <c r="G21" s="839"/>
      <c r="H21" s="839"/>
      <c r="I21" s="839"/>
      <c r="J21" s="282"/>
      <c r="K21" s="282"/>
      <c r="L21" s="9"/>
      <c r="M21" s="9"/>
      <c r="N21" s="9"/>
      <c r="O21" s="100"/>
      <c r="P21" s="98"/>
      <c r="Q21" s="104"/>
      <c r="R21" s="844"/>
      <c r="S21" s="844"/>
      <c r="T21" s="844"/>
    </row>
    <row r="22" spans="2:20" ht="15" customHeight="1" x14ac:dyDescent="0.25">
      <c r="B22" s="839"/>
      <c r="C22" s="839"/>
      <c r="D22" s="839"/>
      <c r="E22" s="839"/>
      <c r="F22" s="839"/>
      <c r="G22" s="839"/>
      <c r="H22" s="839"/>
      <c r="I22" s="839"/>
      <c r="J22" s="282"/>
      <c r="K22" s="282"/>
      <c r="L22" s="9"/>
      <c r="M22" s="9"/>
      <c r="N22" s="9"/>
      <c r="O22" s="100"/>
      <c r="P22" s="98"/>
      <c r="Q22" s="104"/>
      <c r="R22" s="844"/>
      <c r="S22" s="844"/>
      <c r="T22" s="844"/>
    </row>
    <row r="23" spans="2:20" ht="15" customHeight="1" x14ac:dyDescent="0.25">
      <c r="B23" s="839"/>
      <c r="C23" s="839"/>
      <c r="D23" s="839"/>
      <c r="E23" s="839"/>
      <c r="F23" s="839"/>
      <c r="G23" s="839"/>
      <c r="H23" s="839"/>
      <c r="I23" s="839"/>
      <c r="J23" s="282"/>
      <c r="K23" s="282"/>
      <c r="L23" s="9"/>
      <c r="M23" s="9"/>
      <c r="N23" s="9"/>
      <c r="O23" s="100"/>
      <c r="P23" s="98"/>
      <c r="Q23" s="98"/>
      <c r="R23" s="844"/>
      <c r="S23" s="844"/>
      <c r="T23" s="844"/>
    </row>
    <row r="24" spans="2:20" ht="15" customHeight="1" x14ac:dyDescent="0.25">
      <c r="B24" s="839"/>
      <c r="C24" s="839"/>
      <c r="D24" s="839"/>
      <c r="E24" s="839"/>
      <c r="F24" s="839"/>
      <c r="G24" s="839"/>
      <c r="H24" s="839"/>
      <c r="I24" s="839"/>
      <c r="J24" s="282"/>
      <c r="K24" s="282"/>
      <c r="L24" s="9"/>
      <c r="M24" s="9"/>
      <c r="N24" s="9"/>
      <c r="O24" s="100"/>
      <c r="P24" s="98"/>
      <c r="Q24" s="103"/>
      <c r="R24" s="844"/>
      <c r="S24" s="844"/>
      <c r="T24" s="844"/>
    </row>
    <row r="25" spans="2:20" ht="15" customHeight="1" x14ac:dyDescent="0.25">
      <c r="B25" s="839"/>
      <c r="C25" s="839"/>
      <c r="D25" s="839"/>
      <c r="E25" s="839"/>
      <c r="F25" s="839"/>
      <c r="G25" s="839"/>
      <c r="H25" s="839"/>
      <c r="I25" s="839"/>
      <c r="J25" s="282"/>
      <c r="K25" s="282"/>
      <c r="L25" s="9"/>
      <c r="M25" s="9"/>
      <c r="N25" s="9"/>
      <c r="O25" s="100"/>
      <c r="P25" s="98"/>
      <c r="Q25" s="102"/>
      <c r="R25" s="844"/>
      <c r="S25" s="844"/>
      <c r="T25" s="844"/>
    </row>
    <row r="26" spans="2:20" ht="15" customHeight="1" x14ac:dyDescent="0.25">
      <c r="B26" s="839"/>
      <c r="C26" s="839"/>
      <c r="D26" s="839"/>
      <c r="E26" s="839"/>
      <c r="F26" s="839"/>
      <c r="G26" s="839"/>
      <c r="H26" s="839"/>
      <c r="I26" s="839"/>
      <c r="J26" s="282"/>
      <c r="K26" s="282"/>
      <c r="L26" s="9"/>
      <c r="M26" s="9"/>
      <c r="N26" s="9"/>
      <c r="O26" s="100"/>
      <c r="P26" s="98"/>
      <c r="Q26" s="102"/>
      <c r="R26" s="100"/>
      <c r="S26" s="100"/>
      <c r="T26" s="100"/>
    </row>
    <row r="27" spans="2:20" ht="15" customHeight="1" x14ac:dyDescent="0.25">
      <c r="B27" s="839"/>
      <c r="C27" s="839"/>
      <c r="D27" s="839"/>
      <c r="E27" s="839"/>
      <c r="F27" s="839"/>
      <c r="G27" s="839"/>
      <c r="H27" s="839"/>
      <c r="I27" s="839"/>
      <c r="J27" s="282"/>
      <c r="K27" s="282"/>
      <c r="L27" s="100"/>
      <c r="M27" s="100"/>
      <c r="N27" s="100"/>
      <c r="O27" s="100"/>
      <c r="P27" s="100"/>
      <c r="Q27" s="100"/>
      <c r="R27" s="100"/>
      <c r="S27" s="100"/>
      <c r="T27" s="100"/>
    </row>
    <row r="28" spans="2:20" ht="15" customHeight="1" x14ac:dyDescent="0.25">
      <c r="B28" s="839"/>
      <c r="C28" s="839"/>
      <c r="D28" s="839"/>
      <c r="E28" s="839"/>
      <c r="F28" s="839"/>
      <c r="G28" s="839"/>
      <c r="H28" s="839"/>
      <c r="I28" s="839"/>
      <c r="J28" s="282"/>
      <c r="K28" s="282"/>
      <c r="L28" s="100"/>
      <c r="M28" s="100"/>
      <c r="N28" s="100"/>
      <c r="O28" s="100"/>
      <c r="P28" s="100"/>
      <c r="Q28" s="100"/>
      <c r="R28" s="100"/>
      <c r="S28" s="100"/>
      <c r="T28" s="100"/>
    </row>
    <row r="29" spans="2:20" ht="15" customHeight="1" x14ac:dyDescent="0.25">
      <c r="B29" s="839"/>
      <c r="C29" s="839"/>
      <c r="D29" s="839"/>
      <c r="E29" s="839"/>
      <c r="F29" s="839"/>
      <c r="G29" s="839"/>
      <c r="H29" s="839"/>
      <c r="I29" s="839"/>
      <c r="J29" s="282"/>
      <c r="K29" s="282"/>
      <c r="L29" s="840"/>
      <c r="M29" s="840"/>
      <c r="N29" s="840"/>
      <c r="O29" s="840"/>
      <c r="P29" s="840"/>
      <c r="Q29" s="840"/>
      <c r="R29" s="100"/>
      <c r="S29" s="100"/>
      <c r="T29" s="100"/>
    </row>
    <row r="30" spans="2:20" ht="17.25" customHeight="1" x14ac:dyDescent="0.25">
      <c r="B30" s="839"/>
      <c r="C30" s="839"/>
      <c r="D30" s="839"/>
      <c r="E30" s="839"/>
      <c r="F30" s="839"/>
      <c r="G30" s="839"/>
      <c r="H30" s="839"/>
      <c r="I30" s="839"/>
      <c r="J30" s="282"/>
      <c r="K30" s="282"/>
      <c r="L30" s="98"/>
      <c r="M30" s="98"/>
      <c r="N30" s="98"/>
      <c r="O30" s="102"/>
      <c r="P30" s="102"/>
      <c r="Q30" s="102"/>
      <c r="R30" s="100"/>
      <c r="S30" s="100"/>
      <c r="T30" s="100"/>
    </row>
    <row r="31" spans="2:20" ht="15" customHeight="1" x14ac:dyDescent="0.25">
      <c r="B31" s="839"/>
      <c r="C31" s="839"/>
      <c r="D31" s="839"/>
      <c r="E31" s="839"/>
      <c r="F31" s="839"/>
      <c r="G31" s="839"/>
      <c r="H31" s="839"/>
      <c r="I31" s="839"/>
      <c r="J31" s="282"/>
      <c r="K31" s="282"/>
      <c r="L31" s="101"/>
      <c r="M31" s="101"/>
      <c r="N31" s="101"/>
      <c r="O31" s="101"/>
      <c r="P31" s="101"/>
      <c r="Q31" s="101"/>
      <c r="R31" s="100"/>
      <c r="S31" s="100"/>
      <c r="T31" s="100"/>
    </row>
    <row r="32" spans="2:20" ht="15" customHeight="1" x14ac:dyDescent="0.25">
      <c r="B32" s="839"/>
      <c r="C32" s="839"/>
      <c r="D32" s="839"/>
      <c r="E32" s="839"/>
      <c r="F32" s="839"/>
      <c r="G32" s="839"/>
      <c r="H32" s="839"/>
      <c r="I32" s="839"/>
      <c r="J32" s="282"/>
      <c r="K32" s="282"/>
      <c r="L32" s="100"/>
      <c r="M32" s="100"/>
      <c r="N32" s="100"/>
      <c r="O32" s="100"/>
      <c r="P32" s="100"/>
      <c r="Q32" s="100"/>
      <c r="R32" s="100"/>
      <c r="S32" s="100"/>
      <c r="T32" s="100"/>
    </row>
    <row r="33" spans="2:20" ht="15" customHeight="1" x14ac:dyDescent="0.25">
      <c r="B33" s="839"/>
      <c r="C33" s="839"/>
      <c r="D33" s="839"/>
      <c r="E33" s="839"/>
      <c r="F33" s="839"/>
      <c r="G33" s="839"/>
      <c r="H33" s="839"/>
      <c r="I33" s="839"/>
      <c r="J33" s="282"/>
      <c r="K33" s="282"/>
      <c r="L33" s="100"/>
      <c r="M33" s="100"/>
      <c r="N33" s="100"/>
      <c r="O33" s="100"/>
      <c r="P33" s="100"/>
      <c r="Q33" s="100"/>
      <c r="R33" s="100"/>
      <c r="S33" s="100"/>
      <c r="T33" s="100"/>
    </row>
    <row r="34" spans="2:20" ht="15" customHeight="1" x14ac:dyDescent="0.25">
      <c r="B34" s="839"/>
      <c r="C34" s="839"/>
      <c r="D34" s="839"/>
      <c r="E34" s="839"/>
      <c r="F34" s="839"/>
      <c r="G34" s="839"/>
      <c r="H34" s="839"/>
      <c r="I34" s="839"/>
      <c r="J34" s="282"/>
      <c r="K34" s="282"/>
      <c r="L34" s="840"/>
      <c r="M34" s="840"/>
      <c r="N34" s="840"/>
      <c r="O34" s="840"/>
      <c r="P34" s="840"/>
      <c r="Q34" s="840"/>
      <c r="R34" s="840"/>
      <c r="S34" s="840"/>
      <c r="T34" s="840"/>
    </row>
    <row r="35" spans="2:20" ht="17.25" customHeight="1" x14ac:dyDescent="0.25">
      <c r="B35" s="839"/>
      <c r="C35" s="839"/>
      <c r="D35" s="839"/>
      <c r="E35" s="839"/>
      <c r="F35" s="839"/>
      <c r="G35" s="839"/>
      <c r="H35" s="839"/>
      <c r="I35" s="839"/>
      <c r="J35" s="282"/>
      <c r="K35" s="282"/>
      <c r="L35" s="98"/>
      <c r="M35" s="98"/>
      <c r="N35" s="98"/>
      <c r="O35" s="99"/>
      <c r="P35" s="98"/>
      <c r="Q35" s="98"/>
      <c r="R35" s="98"/>
      <c r="S35" s="98"/>
      <c r="T35" s="98"/>
    </row>
    <row r="36" spans="2:20" ht="15" customHeight="1" x14ac:dyDescent="0.25">
      <c r="B36" s="839"/>
      <c r="C36" s="839"/>
      <c r="D36" s="839"/>
      <c r="E36" s="839"/>
      <c r="F36" s="839"/>
      <c r="G36" s="839"/>
      <c r="H36" s="839"/>
      <c r="I36" s="839"/>
      <c r="J36" s="282"/>
      <c r="K36" s="282"/>
      <c r="L36" s="98"/>
      <c r="M36" s="98"/>
      <c r="N36" s="98"/>
      <c r="O36" s="97"/>
      <c r="P36" s="97"/>
      <c r="Q36" s="97"/>
      <c r="R36" s="97"/>
      <c r="S36" s="97"/>
      <c r="T36" s="97"/>
    </row>
    <row r="37" spans="2:20" x14ac:dyDescent="0.25">
      <c r="B37" s="839"/>
      <c r="C37" s="839"/>
      <c r="D37" s="839"/>
      <c r="E37" s="839"/>
      <c r="F37" s="839"/>
      <c r="G37" s="839"/>
      <c r="H37" s="839"/>
      <c r="I37" s="83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</row>
    <row r="39" spans="2:20" ht="15" customHeight="1" x14ac:dyDescent="0.25">
      <c r="J39" s="842">
        <f>IFERROR(IF($C$16="M","No Matrix Calc",(IF($C$12="SR",($D$8*O62+P62)*Q50,IF($C$12="SR+",($D$8*O62+P62)*Q51,IF(OR($C$12="XR",$C$12="YR"),($D$8*O62+P62)*Q52,IF($C$12="DR",($D$8*O62+P62)*Q53,""))))+IF($C$13="(K)",$C$10*Q56,0)+IF($C$14="(BR)",$C$10*Q55,0))*(1/(O67*$D$8^5+P67*$D$8^4+Q67*$D$8^3+R67*$D$8^2+S67*$D$8+T67))*IF($C$11=P45,Q45,IF($C$11=P43,Q43,IF($C$11=P48,Q48,IF($C$11=P44,Q44,IF($C$11=P46,Q46,IF($C$11=P41,Q41,IF($C$11=P47,Q47,IF($C$11=P42,Q42,1))))))))),"")</f>
        <v>2150.1661851742952</v>
      </c>
      <c r="K39" s="9"/>
      <c r="L39" s="105"/>
      <c r="M39" s="105"/>
      <c r="N39" s="9"/>
      <c r="O39" s="9"/>
      <c r="P39" s="9"/>
      <c r="Q39" s="9"/>
      <c r="R39" s="9"/>
      <c r="S39" s="9"/>
      <c r="T39" s="9"/>
    </row>
    <row r="40" spans="2:20" ht="15" customHeight="1" thickBot="1" x14ac:dyDescent="0.3">
      <c r="J40" s="843"/>
      <c r="K40" s="106" t="s">
        <v>142</v>
      </c>
      <c r="L40" s="105"/>
      <c r="M40" s="105"/>
      <c r="N40" s="9"/>
      <c r="O40" s="9"/>
      <c r="P40" s="9"/>
      <c r="Q40" s="9"/>
      <c r="R40" s="9"/>
      <c r="S40" s="9"/>
      <c r="T40" s="9"/>
    </row>
    <row r="41" spans="2:20" ht="15" customHeight="1" x14ac:dyDescent="0.25">
      <c r="J41" s="100"/>
      <c r="K41" s="100"/>
      <c r="L41" s="9"/>
      <c r="M41" s="9"/>
      <c r="N41" s="9"/>
      <c r="O41" s="100"/>
      <c r="P41" s="98">
        <v>11</v>
      </c>
      <c r="Q41" s="104">
        <v>1.3213530655391119</v>
      </c>
      <c r="R41" s="841" t="s">
        <v>137</v>
      </c>
      <c r="S41" s="841"/>
      <c r="T41" s="841"/>
    </row>
    <row r="42" spans="2:20" ht="15" customHeight="1" x14ac:dyDescent="0.25">
      <c r="J42" s="100"/>
      <c r="K42" s="100"/>
      <c r="L42" s="9"/>
      <c r="M42" s="9"/>
      <c r="N42" s="9"/>
      <c r="O42" s="100"/>
      <c r="P42" s="98">
        <v>12</v>
      </c>
      <c r="Q42" s="104">
        <v>1.2259709690074538</v>
      </c>
      <c r="R42" s="841"/>
      <c r="S42" s="841"/>
      <c r="T42" s="841"/>
    </row>
    <row r="43" spans="2:20" ht="15" customHeight="1" x14ac:dyDescent="0.25">
      <c r="J43" s="100"/>
      <c r="K43" s="100"/>
      <c r="L43" s="9"/>
      <c r="M43" s="9"/>
      <c r="N43" s="9"/>
      <c r="O43" s="100"/>
      <c r="P43" s="98">
        <v>13</v>
      </c>
      <c r="Q43" s="104">
        <v>1.1400948558920101</v>
      </c>
      <c r="R43" s="841"/>
      <c r="S43" s="841"/>
      <c r="T43" s="841"/>
    </row>
    <row r="44" spans="2:20" ht="15" customHeight="1" x14ac:dyDescent="0.25">
      <c r="J44" s="100"/>
      <c r="K44" s="100"/>
      <c r="L44" s="9"/>
      <c r="M44" s="9"/>
      <c r="N44" s="9"/>
      <c r="O44" s="100"/>
      <c r="P44" s="98">
        <v>15</v>
      </c>
      <c r="Q44" s="104">
        <v>1.0654619843163997</v>
      </c>
      <c r="R44" s="841"/>
      <c r="S44" s="841"/>
      <c r="T44" s="841"/>
    </row>
    <row r="45" spans="2:20" ht="15" customHeight="1" x14ac:dyDescent="0.25">
      <c r="J45" s="100"/>
      <c r="K45" s="100"/>
      <c r="L45" s="9"/>
      <c r="M45" s="9"/>
      <c r="N45" s="9"/>
      <c r="O45" s="100"/>
      <c r="P45" s="98">
        <v>16</v>
      </c>
      <c r="Q45" s="104">
        <v>1</v>
      </c>
      <c r="R45" s="841"/>
      <c r="S45" s="841"/>
      <c r="T45" s="841"/>
    </row>
    <row r="46" spans="2:20" ht="15" customHeight="1" x14ac:dyDescent="0.25">
      <c r="J46" s="100"/>
      <c r="K46" s="100"/>
      <c r="L46" s="9"/>
      <c r="M46" s="9"/>
      <c r="N46" s="9"/>
      <c r="O46" s="100"/>
      <c r="P46" s="98">
        <v>17</v>
      </c>
      <c r="Q46" s="104">
        <v>0.9512937595129376</v>
      </c>
      <c r="R46" s="841"/>
      <c r="S46" s="841"/>
      <c r="T46" s="841"/>
    </row>
    <row r="47" spans="2:20" ht="15" customHeight="1" x14ac:dyDescent="0.25">
      <c r="J47" s="100"/>
      <c r="K47" s="100"/>
      <c r="L47" s="9"/>
      <c r="M47" s="9"/>
      <c r="N47" s="9"/>
      <c r="O47" s="100"/>
      <c r="P47" s="98">
        <v>18</v>
      </c>
      <c r="Q47" s="104">
        <v>0.90396297367659828</v>
      </c>
      <c r="R47" s="841"/>
      <c r="S47" s="841"/>
      <c r="T47" s="841"/>
    </row>
    <row r="48" spans="2:20" ht="15" customHeight="1" x14ac:dyDescent="0.25">
      <c r="J48" s="9"/>
      <c r="K48" s="9"/>
      <c r="L48" s="9"/>
      <c r="M48" s="9"/>
      <c r="N48" s="9"/>
      <c r="O48" s="100"/>
      <c r="P48" s="98">
        <v>19</v>
      </c>
      <c r="Q48" s="104">
        <v>0.86206896551724133</v>
      </c>
      <c r="R48" s="841"/>
      <c r="S48" s="841"/>
      <c r="T48" s="841"/>
    </row>
    <row r="49" spans="10:20" ht="15" customHeight="1" x14ac:dyDescent="0.25">
      <c r="J49" s="282"/>
      <c r="K49" s="282"/>
      <c r="L49" s="9"/>
      <c r="M49" s="9"/>
      <c r="N49" s="9"/>
      <c r="O49" s="100"/>
      <c r="P49" s="98"/>
      <c r="Q49" s="98"/>
      <c r="R49" s="841"/>
      <c r="S49" s="841"/>
      <c r="T49" s="841"/>
    </row>
    <row r="50" spans="10:20" ht="15" customHeight="1" x14ac:dyDescent="0.25">
      <c r="J50" s="282"/>
      <c r="K50" s="282"/>
      <c r="L50" s="9"/>
      <c r="M50" s="9"/>
      <c r="N50" s="9"/>
      <c r="O50" s="100"/>
      <c r="P50" s="98" t="s">
        <v>151</v>
      </c>
      <c r="Q50" s="104">
        <v>0.777348534385782</v>
      </c>
      <c r="R50" s="841"/>
      <c r="S50" s="841"/>
      <c r="T50" s="841"/>
    </row>
    <row r="51" spans="10:20" ht="15" customHeight="1" x14ac:dyDescent="0.25">
      <c r="J51" s="282"/>
      <c r="K51" s="282"/>
      <c r="L51" s="9"/>
      <c r="M51" s="9"/>
      <c r="N51" s="9"/>
      <c r="O51" s="100"/>
      <c r="P51" s="98" t="s">
        <v>152</v>
      </c>
      <c r="Q51" s="104">
        <v>0.90398417453606106</v>
      </c>
      <c r="R51" s="841"/>
      <c r="S51" s="841"/>
      <c r="T51" s="841"/>
    </row>
    <row r="52" spans="10:20" ht="15" customHeight="1" x14ac:dyDescent="0.25">
      <c r="J52" s="282"/>
      <c r="K52" s="282"/>
      <c r="L52" s="9"/>
      <c r="M52" s="9"/>
      <c r="N52" s="9"/>
      <c r="O52" s="100"/>
      <c r="P52" s="98" t="s">
        <v>153</v>
      </c>
      <c r="Q52" s="104">
        <v>1.0335969046731517</v>
      </c>
      <c r="R52" s="841"/>
      <c r="S52" s="841"/>
      <c r="T52" s="841"/>
    </row>
    <row r="53" spans="10:20" ht="15" customHeight="1" x14ac:dyDescent="0.25">
      <c r="J53" s="282"/>
      <c r="K53" s="282"/>
      <c r="L53" s="9"/>
      <c r="M53" s="9"/>
      <c r="N53" s="9"/>
      <c r="O53" s="100"/>
      <c r="P53" s="98" t="s">
        <v>154</v>
      </c>
      <c r="Q53" s="104">
        <v>1.3016015401459795</v>
      </c>
      <c r="R53" s="841"/>
      <c r="S53" s="841"/>
      <c r="T53" s="841"/>
    </row>
    <row r="54" spans="10:20" ht="15" customHeight="1" x14ac:dyDescent="0.25">
      <c r="J54" s="282"/>
      <c r="K54" s="282"/>
      <c r="L54" s="9"/>
      <c r="M54" s="9"/>
      <c r="N54" s="9"/>
      <c r="O54" s="100"/>
      <c r="P54" s="98"/>
      <c r="Q54" s="98"/>
      <c r="R54" s="841"/>
      <c r="S54" s="841"/>
      <c r="T54" s="841"/>
    </row>
    <row r="55" spans="10:20" ht="15" customHeight="1" x14ac:dyDescent="0.25">
      <c r="J55" s="282"/>
      <c r="K55" s="282"/>
      <c r="L55" s="9"/>
      <c r="M55" s="9"/>
      <c r="N55" s="9"/>
      <c r="O55" s="100"/>
      <c r="P55" s="98" t="s">
        <v>155</v>
      </c>
      <c r="Q55" s="103">
        <v>30.251475921112156</v>
      </c>
      <c r="R55" s="841"/>
      <c r="S55" s="841"/>
      <c r="T55" s="841"/>
    </row>
    <row r="56" spans="10:20" ht="15" customHeight="1" x14ac:dyDescent="0.25">
      <c r="J56" s="282"/>
      <c r="K56" s="282"/>
      <c r="L56" s="9"/>
      <c r="M56" s="9"/>
      <c r="N56" s="9"/>
      <c r="O56" s="100"/>
      <c r="P56" s="98" t="s">
        <v>156</v>
      </c>
      <c r="Q56" s="102">
        <v>36.386227502526303</v>
      </c>
      <c r="R56" s="841"/>
      <c r="S56" s="841"/>
      <c r="T56" s="841"/>
    </row>
    <row r="57" spans="10:20" ht="15" customHeight="1" x14ac:dyDescent="0.25">
      <c r="J57" s="282"/>
      <c r="K57" s="282"/>
      <c r="L57" s="9"/>
      <c r="M57" s="9"/>
      <c r="N57" s="9"/>
      <c r="O57" s="100"/>
      <c r="P57" s="98"/>
      <c r="Q57" s="102"/>
      <c r="R57" s="100"/>
      <c r="S57" s="100"/>
      <c r="T57" s="100"/>
    </row>
    <row r="58" spans="10:20" ht="15" customHeight="1" x14ac:dyDescent="0.25">
      <c r="J58" s="282"/>
      <c r="K58" s="282"/>
      <c r="L58" s="100"/>
      <c r="M58" s="100"/>
      <c r="N58" s="100"/>
      <c r="O58" s="100"/>
      <c r="P58" s="100"/>
      <c r="Q58" s="100"/>
      <c r="R58" s="100"/>
      <c r="S58" s="100"/>
      <c r="T58" s="100"/>
    </row>
    <row r="59" spans="10:20" ht="15" customHeight="1" x14ac:dyDescent="0.25">
      <c r="J59" s="282"/>
      <c r="K59" s="282"/>
      <c r="L59" s="100"/>
      <c r="M59" s="100"/>
      <c r="N59" s="100"/>
      <c r="O59" s="100"/>
      <c r="P59" s="100"/>
      <c r="Q59" s="100"/>
      <c r="R59" s="100"/>
      <c r="S59" s="100"/>
      <c r="T59" s="100"/>
    </row>
    <row r="60" spans="10:20" ht="15" customHeight="1" x14ac:dyDescent="0.25">
      <c r="J60" s="282"/>
      <c r="K60" s="282"/>
      <c r="L60" s="840" t="s">
        <v>157</v>
      </c>
      <c r="M60" s="840"/>
      <c r="N60" s="840"/>
      <c r="O60" s="840"/>
      <c r="P60" s="840"/>
      <c r="Q60" s="840"/>
      <c r="R60" s="100"/>
      <c r="S60" s="100"/>
      <c r="T60" s="100"/>
    </row>
    <row r="61" spans="10:20" ht="15" customHeight="1" x14ac:dyDescent="0.25">
      <c r="J61" s="282"/>
      <c r="K61" s="282"/>
      <c r="L61" s="98" t="s">
        <v>94</v>
      </c>
      <c r="M61" s="98"/>
      <c r="N61" s="98" t="s">
        <v>158</v>
      </c>
      <c r="O61" s="102" t="s">
        <v>159</v>
      </c>
      <c r="P61" s="102" t="s">
        <v>160</v>
      </c>
      <c r="Q61" s="102"/>
      <c r="R61" s="100"/>
      <c r="S61" s="100"/>
      <c r="T61" s="100"/>
    </row>
    <row r="62" spans="10:20" ht="15" customHeight="1" x14ac:dyDescent="0.25">
      <c r="J62" s="282"/>
      <c r="K62" s="282"/>
      <c r="L62" s="101"/>
      <c r="M62" s="101"/>
      <c r="N62" s="101"/>
      <c r="O62" s="101">
        <v>281.47000000000003</v>
      </c>
      <c r="P62" s="101">
        <v>-640.15</v>
      </c>
      <c r="Q62" s="101"/>
      <c r="R62" s="100"/>
      <c r="S62" s="100"/>
      <c r="T62" s="100"/>
    </row>
    <row r="63" spans="10:20" ht="15" customHeight="1" x14ac:dyDescent="0.25">
      <c r="J63" s="282"/>
      <c r="K63" s="282"/>
      <c r="L63" s="100"/>
      <c r="M63" s="100"/>
      <c r="N63" s="100"/>
      <c r="O63" s="100"/>
      <c r="P63" s="100"/>
      <c r="Q63" s="100"/>
      <c r="R63" s="100"/>
      <c r="S63" s="100"/>
      <c r="T63" s="100"/>
    </row>
    <row r="64" spans="10:20" ht="15" customHeight="1" x14ac:dyDescent="0.25">
      <c r="J64" s="282"/>
      <c r="K64" s="282"/>
      <c r="L64" s="100"/>
      <c r="M64" s="100"/>
      <c r="N64" s="100"/>
      <c r="O64" s="100"/>
      <c r="P64" s="100"/>
      <c r="Q64" s="100"/>
      <c r="R64" s="100"/>
      <c r="S64" s="100"/>
      <c r="T64" s="100"/>
    </row>
    <row r="65" spans="10:20" ht="15" customHeight="1" x14ac:dyDescent="0.25">
      <c r="J65" s="282"/>
      <c r="K65" s="282"/>
      <c r="L65" s="840" t="s">
        <v>161</v>
      </c>
      <c r="M65" s="840"/>
      <c r="N65" s="840"/>
      <c r="O65" s="840"/>
      <c r="P65" s="840"/>
      <c r="Q65" s="840"/>
      <c r="R65" s="840"/>
      <c r="S65" s="840"/>
      <c r="T65" s="840"/>
    </row>
    <row r="66" spans="10:20" ht="15" customHeight="1" x14ac:dyDescent="0.25">
      <c r="J66" s="282"/>
      <c r="K66" s="282"/>
      <c r="L66" s="98" t="s">
        <v>94</v>
      </c>
      <c r="M66" s="98"/>
      <c r="N66" s="98" t="s">
        <v>158</v>
      </c>
      <c r="O66" s="99" t="s">
        <v>162</v>
      </c>
      <c r="P66" s="98" t="s">
        <v>163</v>
      </c>
      <c r="Q66" s="98" t="s">
        <v>164</v>
      </c>
      <c r="R66" s="98" t="s">
        <v>165</v>
      </c>
      <c r="S66" s="98" t="s">
        <v>166</v>
      </c>
      <c r="T66" s="98" t="s">
        <v>167</v>
      </c>
    </row>
    <row r="67" spans="10:20" ht="15" customHeight="1" x14ac:dyDescent="0.25">
      <c r="J67" s="282"/>
      <c r="K67" s="282"/>
      <c r="L67" s="98"/>
      <c r="M67" s="98"/>
      <c r="N67" s="98"/>
      <c r="O67" s="97">
        <v>6.4872327257608003E-6</v>
      </c>
      <c r="P67" s="97">
        <v>-5.2416528243658675E-4</v>
      </c>
      <c r="Q67" s="97">
        <v>1.5982906855747041E-2</v>
      </c>
      <c r="R67" s="97">
        <v>-0.22532191481086697</v>
      </c>
      <c r="S67" s="97">
        <v>1.4325391154784923</v>
      </c>
      <c r="T67" s="97">
        <v>-2.2019089412034303</v>
      </c>
    </row>
    <row r="68" spans="10:20" ht="15" customHeight="1" x14ac:dyDescent="0.25"/>
    <row r="69" spans="10:20" ht="15" customHeight="1" x14ac:dyDescent="0.25"/>
    <row r="70" spans="10:20" ht="15" customHeight="1" x14ac:dyDescent="0.25">
      <c r="J70" s="842">
        <f>IFERROR(IF($C$16="M","No Matrix Calc",(IF($C$12="SR",($D$8*O93+P93)*Q81,IF($C$12="SR+",($D$8*O93+P93)*Q82,IF(OR($C$12="XR",$C$12="YR"),($D$8*O93+P93)*Q83,IF($C$12="DR",($D$8*O93+P93)*Q84,""))))+IF($C$13="(K)",$C$10*Q87,0)+IF($C$14="(BR)",$C$10*Q86,0))*(1/(O98*$D$8^5+P98*$D$8^4+Q98*$D$8^3+R98*$D$8^2+S98*$D$8+T98))*IF($C$11=P76,Q76,IF($C$11=P74,Q74,IF($C$11=P79,Q79,IF($C$11=P75,Q75,IF($C$11=P77,Q77,IF($C$11=P72,Q72,IF($C$11=P78,Q78,IF($C$11=P73,Q73,1))))))))),"")</f>
        <v>4957.9013378770696</v>
      </c>
      <c r="K70" s="9"/>
      <c r="L70" s="105"/>
      <c r="M70" s="105"/>
      <c r="N70" s="9"/>
      <c r="O70" s="9"/>
      <c r="P70" s="9"/>
      <c r="Q70" s="9"/>
      <c r="R70" s="9"/>
      <c r="S70" s="9"/>
      <c r="T70" s="9"/>
    </row>
    <row r="71" spans="10:20" ht="15" customHeight="1" thickBot="1" x14ac:dyDescent="0.3">
      <c r="J71" s="843"/>
      <c r="K71" s="106" t="s">
        <v>142</v>
      </c>
      <c r="L71" s="105"/>
      <c r="M71" s="105"/>
      <c r="N71" s="9"/>
      <c r="O71" s="9"/>
      <c r="P71" s="9"/>
      <c r="Q71" s="9"/>
      <c r="R71" s="9"/>
      <c r="S71" s="9"/>
      <c r="T71" s="9"/>
    </row>
    <row r="72" spans="10:20" ht="15" customHeight="1" x14ac:dyDescent="0.25">
      <c r="J72" s="100"/>
      <c r="K72" s="100"/>
      <c r="L72" s="9"/>
      <c r="M72" s="9"/>
      <c r="N72" s="9"/>
      <c r="O72" s="100"/>
      <c r="P72" s="98">
        <v>11</v>
      </c>
      <c r="Q72" s="104">
        <v>1.3213530655391119</v>
      </c>
      <c r="R72" s="841" t="s">
        <v>138</v>
      </c>
      <c r="S72" s="841"/>
      <c r="T72" s="841"/>
    </row>
    <row r="73" spans="10:20" ht="15" customHeight="1" x14ac:dyDescent="0.25">
      <c r="J73" s="100"/>
      <c r="K73" s="100"/>
      <c r="L73" s="9"/>
      <c r="M73" s="9"/>
      <c r="N73" s="9"/>
      <c r="O73" s="100"/>
      <c r="P73" s="98">
        <v>12</v>
      </c>
      <c r="Q73" s="104">
        <v>1.2259709690074538</v>
      </c>
      <c r="R73" s="841"/>
      <c r="S73" s="841"/>
      <c r="T73" s="841"/>
    </row>
    <row r="74" spans="10:20" ht="15" customHeight="1" x14ac:dyDescent="0.25">
      <c r="J74" s="100"/>
      <c r="K74" s="100"/>
      <c r="L74" s="9"/>
      <c r="M74" s="9"/>
      <c r="N74" s="9"/>
      <c r="O74" s="100"/>
      <c r="P74" s="98">
        <v>13</v>
      </c>
      <c r="Q74" s="104">
        <v>1.1400948558920101</v>
      </c>
      <c r="R74" s="841"/>
      <c r="S74" s="841"/>
      <c r="T74" s="841"/>
    </row>
    <row r="75" spans="10:20" ht="15" customHeight="1" x14ac:dyDescent="0.25">
      <c r="J75" s="100"/>
      <c r="K75" s="100"/>
      <c r="L75" s="9"/>
      <c r="M75" s="9"/>
      <c r="N75" s="9"/>
      <c r="O75" s="100"/>
      <c r="P75" s="98">
        <v>15</v>
      </c>
      <c r="Q75" s="104">
        <v>1.0654619843163997</v>
      </c>
      <c r="R75" s="841"/>
      <c r="S75" s="841"/>
      <c r="T75" s="841"/>
    </row>
    <row r="76" spans="10:20" ht="15" customHeight="1" x14ac:dyDescent="0.25">
      <c r="J76" s="100"/>
      <c r="K76" s="100"/>
      <c r="L76" s="9"/>
      <c r="M76" s="9"/>
      <c r="N76" s="9"/>
      <c r="O76" s="100"/>
      <c r="P76" s="98">
        <v>16</v>
      </c>
      <c r="Q76" s="104">
        <v>1</v>
      </c>
      <c r="R76" s="841"/>
      <c r="S76" s="841"/>
      <c r="T76" s="841"/>
    </row>
    <row r="77" spans="10:20" ht="15" customHeight="1" x14ac:dyDescent="0.25">
      <c r="J77" s="100"/>
      <c r="K77" s="100"/>
      <c r="L77" s="9"/>
      <c r="M77" s="9"/>
      <c r="N77" s="9"/>
      <c r="O77" s="100"/>
      <c r="P77" s="98">
        <v>17</v>
      </c>
      <c r="Q77" s="104">
        <v>0.9512937595129376</v>
      </c>
      <c r="R77" s="841"/>
      <c r="S77" s="841"/>
      <c r="T77" s="841"/>
    </row>
    <row r="78" spans="10:20" ht="15" customHeight="1" x14ac:dyDescent="0.25">
      <c r="J78" s="100"/>
      <c r="K78" s="100"/>
      <c r="L78" s="9"/>
      <c r="M78" s="9"/>
      <c r="N78" s="9"/>
      <c r="O78" s="100"/>
      <c r="P78" s="98">
        <v>18</v>
      </c>
      <c r="Q78" s="104">
        <v>0.90396297367659828</v>
      </c>
      <c r="R78" s="841"/>
      <c r="S78" s="841"/>
      <c r="T78" s="841"/>
    </row>
    <row r="79" spans="10:20" ht="15" customHeight="1" x14ac:dyDescent="0.25">
      <c r="J79" s="9"/>
      <c r="K79" s="9"/>
      <c r="L79" s="9"/>
      <c r="M79" s="9"/>
      <c r="N79" s="9"/>
      <c r="O79" s="100"/>
      <c r="P79" s="98">
        <v>19</v>
      </c>
      <c r="Q79" s="104">
        <v>0.86206896551724133</v>
      </c>
      <c r="R79" s="841"/>
      <c r="S79" s="841"/>
      <c r="T79" s="841"/>
    </row>
    <row r="80" spans="10:20" ht="15" customHeight="1" x14ac:dyDescent="0.25">
      <c r="J80" s="282"/>
      <c r="K80" s="282"/>
      <c r="L80" s="9"/>
      <c r="M80" s="9"/>
      <c r="N80" s="9"/>
      <c r="O80" s="100"/>
      <c r="P80" s="98"/>
      <c r="Q80" s="98"/>
      <c r="R80" s="841"/>
      <c r="S80" s="841"/>
      <c r="T80" s="841"/>
    </row>
    <row r="81" spans="10:20" ht="15" customHeight="1" x14ac:dyDescent="0.25">
      <c r="J81" s="282"/>
      <c r="K81" s="282"/>
      <c r="L81" s="9"/>
      <c r="M81" s="9"/>
      <c r="N81" s="9"/>
      <c r="O81" s="100"/>
      <c r="P81" s="98" t="s">
        <v>151</v>
      </c>
      <c r="Q81" s="104">
        <v>0.87991789234259565</v>
      </c>
      <c r="R81" s="841"/>
      <c r="S81" s="841"/>
      <c r="T81" s="841"/>
    </row>
    <row r="82" spans="10:20" ht="15" customHeight="1" x14ac:dyDescent="0.25">
      <c r="J82" s="282"/>
      <c r="K82" s="282"/>
      <c r="L82" s="9"/>
      <c r="M82" s="9"/>
      <c r="N82" s="9"/>
      <c r="O82" s="100"/>
      <c r="P82" s="98" t="s">
        <v>152</v>
      </c>
      <c r="Q82" s="104">
        <v>0.93258702190251874</v>
      </c>
      <c r="R82" s="841"/>
      <c r="S82" s="841"/>
      <c r="T82" s="841"/>
    </row>
    <row r="83" spans="10:20" ht="15" customHeight="1" x14ac:dyDescent="0.25">
      <c r="J83" s="282"/>
      <c r="K83" s="282"/>
      <c r="L83" s="9"/>
      <c r="M83" s="9"/>
      <c r="N83" s="9"/>
      <c r="O83" s="100"/>
      <c r="P83" s="98" t="s">
        <v>153</v>
      </c>
      <c r="Q83" s="104">
        <v>0.98579393417380456</v>
      </c>
      <c r="R83" s="841"/>
      <c r="S83" s="841"/>
      <c r="T83" s="841"/>
    </row>
    <row r="84" spans="10:20" ht="15" customHeight="1" x14ac:dyDescent="0.25">
      <c r="J84" s="282"/>
      <c r="K84" s="282"/>
      <c r="L84" s="9"/>
      <c r="M84" s="9"/>
      <c r="N84" s="9"/>
      <c r="O84" s="100"/>
      <c r="P84" s="98" t="s">
        <v>154</v>
      </c>
      <c r="Q84" s="104">
        <v>1.3931425230414587</v>
      </c>
      <c r="R84" s="841"/>
      <c r="S84" s="841"/>
      <c r="T84" s="841"/>
    </row>
    <row r="85" spans="10:20" ht="15" customHeight="1" x14ac:dyDescent="0.25">
      <c r="J85" s="282"/>
      <c r="K85" s="282"/>
      <c r="L85" s="9"/>
      <c r="M85" s="9"/>
      <c r="N85" s="9"/>
      <c r="O85" s="100"/>
      <c r="P85" s="98"/>
      <c r="Q85" s="98"/>
      <c r="R85" s="841"/>
      <c r="S85" s="841"/>
      <c r="T85" s="841"/>
    </row>
    <row r="86" spans="10:20" ht="15" customHeight="1" x14ac:dyDescent="0.25">
      <c r="J86" s="282"/>
      <c r="K86" s="282"/>
      <c r="L86" s="9"/>
      <c r="M86" s="9"/>
      <c r="N86" s="9"/>
      <c r="O86" s="100"/>
      <c r="P86" s="98" t="s">
        <v>155</v>
      </c>
      <c r="Q86" s="103">
        <v>68.787107532772396</v>
      </c>
      <c r="R86" s="841"/>
      <c r="S86" s="841"/>
      <c r="T86" s="841"/>
    </row>
    <row r="87" spans="10:20" ht="15" customHeight="1" x14ac:dyDescent="0.25">
      <c r="J87" s="282"/>
      <c r="K87" s="282"/>
      <c r="L87" s="9"/>
      <c r="M87" s="9"/>
      <c r="N87" s="9"/>
      <c r="O87" s="100"/>
      <c r="P87" s="98" t="s">
        <v>156</v>
      </c>
      <c r="Q87" s="102">
        <v>75.72946585022072</v>
      </c>
      <c r="R87" s="841"/>
      <c r="S87" s="841"/>
      <c r="T87" s="841"/>
    </row>
    <row r="88" spans="10:20" ht="15" customHeight="1" x14ac:dyDescent="0.25">
      <c r="J88" s="282"/>
      <c r="K88" s="282"/>
      <c r="L88" s="9"/>
      <c r="M88" s="9"/>
      <c r="N88" s="9"/>
      <c r="O88" s="100"/>
      <c r="P88" s="98"/>
      <c r="Q88" s="102"/>
      <c r="R88" s="100"/>
      <c r="S88" s="100"/>
      <c r="T88" s="100"/>
    </row>
    <row r="89" spans="10:20" ht="15" customHeight="1" x14ac:dyDescent="0.25">
      <c r="J89" s="282"/>
      <c r="K89" s="282"/>
      <c r="L89" s="100"/>
      <c r="M89" s="100"/>
      <c r="N89" s="100"/>
      <c r="O89" s="100"/>
      <c r="P89" s="100"/>
      <c r="Q89" s="100"/>
      <c r="R89" s="100"/>
      <c r="S89" s="100"/>
      <c r="T89" s="100"/>
    </row>
    <row r="90" spans="10:20" ht="15" customHeight="1" x14ac:dyDescent="0.25">
      <c r="J90" s="282"/>
      <c r="K90" s="282"/>
      <c r="L90" s="100"/>
      <c r="M90" s="100"/>
      <c r="N90" s="100"/>
      <c r="O90" s="100"/>
      <c r="P90" s="100"/>
      <c r="Q90" s="100"/>
      <c r="R90" s="100"/>
      <c r="S90" s="100"/>
      <c r="T90" s="100"/>
    </row>
    <row r="91" spans="10:20" ht="15" customHeight="1" x14ac:dyDescent="0.25">
      <c r="J91" s="282"/>
      <c r="K91" s="282"/>
      <c r="L91" s="840" t="s">
        <v>157</v>
      </c>
      <c r="M91" s="840"/>
      <c r="N91" s="840"/>
      <c r="O91" s="840"/>
      <c r="P91" s="840"/>
      <c r="Q91" s="840"/>
      <c r="R91" s="100"/>
      <c r="S91" s="100"/>
      <c r="T91" s="100"/>
    </row>
    <row r="92" spans="10:20" ht="15" customHeight="1" x14ac:dyDescent="0.25">
      <c r="J92" s="282"/>
      <c r="K92" s="282"/>
      <c r="L92" s="98" t="s">
        <v>94</v>
      </c>
      <c r="M92" s="98"/>
      <c r="N92" s="98" t="s">
        <v>158</v>
      </c>
      <c r="O92" s="102" t="s">
        <v>159</v>
      </c>
      <c r="P92" s="102" t="s">
        <v>160</v>
      </c>
      <c r="Q92" s="102"/>
      <c r="R92" s="100"/>
      <c r="S92" s="100"/>
      <c r="T92" s="100"/>
    </row>
    <row r="93" spans="10:20" ht="15" customHeight="1" x14ac:dyDescent="0.25">
      <c r="J93" s="282"/>
      <c r="K93" s="282"/>
      <c r="L93" s="101"/>
      <c r="M93" s="101"/>
      <c r="N93" s="101"/>
      <c r="O93" s="101">
        <v>633.82000000000005</v>
      </c>
      <c r="P93" s="101">
        <v>-1483.5</v>
      </c>
      <c r="Q93" s="101"/>
      <c r="R93" s="100"/>
      <c r="S93" s="100"/>
      <c r="T93" s="100"/>
    </row>
    <row r="94" spans="10:20" ht="15" customHeight="1" x14ac:dyDescent="0.25">
      <c r="J94" s="282"/>
      <c r="K94" s="282"/>
      <c r="L94" s="100"/>
      <c r="M94" s="100"/>
      <c r="N94" s="100"/>
      <c r="O94" s="100"/>
      <c r="P94" s="100"/>
      <c r="Q94" s="100"/>
      <c r="R94" s="100"/>
      <c r="S94" s="100"/>
      <c r="T94" s="100"/>
    </row>
    <row r="95" spans="10:20" ht="15" customHeight="1" x14ac:dyDescent="0.25">
      <c r="J95" s="282"/>
      <c r="K95" s="282"/>
      <c r="L95" s="100"/>
      <c r="M95" s="100"/>
      <c r="N95" s="100"/>
      <c r="O95" s="100"/>
      <c r="P95" s="100"/>
      <c r="Q95" s="100"/>
      <c r="R95" s="100"/>
      <c r="S95" s="100"/>
      <c r="T95" s="100"/>
    </row>
    <row r="96" spans="10:20" ht="15" customHeight="1" x14ac:dyDescent="0.25">
      <c r="J96" s="282"/>
      <c r="K96" s="282"/>
      <c r="L96" s="840" t="s">
        <v>161</v>
      </c>
      <c r="M96" s="840"/>
      <c r="N96" s="840"/>
      <c r="O96" s="840"/>
      <c r="P96" s="840"/>
      <c r="Q96" s="840"/>
      <c r="R96" s="840"/>
      <c r="S96" s="840"/>
      <c r="T96" s="840"/>
    </row>
    <row r="97" spans="10:20" ht="15" customHeight="1" x14ac:dyDescent="0.25">
      <c r="J97" s="282"/>
      <c r="K97" s="282"/>
      <c r="L97" s="98" t="s">
        <v>94</v>
      </c>
      <c r="M97" s="98"/>
      <c r="N97" s="98" t="s">
        <v>158</v>
      </c>
      <c r="O97" s="99" t="s">
        <v>162</v>
      </c>
      <c r="P97" s="98" t="s">
        <v>163</v>
      </c>
      <c r="Q97" s="98" t="s">
        <v>164</v>
      </c>
      <c r="R97" s="98" t="s">
        <v>165</v>
      </c>
      <c r="S97" s="98" t="s">
        <v>166</v>
      </c>
      <c r="T97" s="98" t="s">
        <v>167</v>
      </c>
    </row>
    <row r="98" spans="10:20" ht="15" customHeight="1" x14ac:dyDescent="0.25">
      <c r="J98" s="282"/>
      <c r="K98" s="282"/>
      <c r="L98" s="98"/>
      <c r="M98" s="98"/>
      <c r="N98" s="98"/>
      <c r="O98" s="97">
        <v>8.4389541407884179E-7</v>
      </c>
      <c r="P98" s="97">
        <v>-1.5483988075623282E-4</v>
      </c>
      <c r="Q98" s="97">
        <v>7.2041232366951216E-3</v>
      </c>
      <c r="R98" s="97">
        <v>-0.13526489820955273</v>
      </c>
      <c r="S98" s="97">
        <v>1.0849199198839554</v>
      </c>
      <c r="T98" s="97">
        <v>-2.0156045894522596</v>
      </c>
    </row>
    <row r="99" spans="10:20" ht="15" customHeight="1" x14ac:dyDescent="0.25"/>
    <row r="100" spans="10:20" ht="15" customHeight="1" x14ac:dyDescent="0.25"/>
    <row r="101" spans="10:20" ht="15" customHeight="1" x14ac:dyDescent="0.25">
      <c r="J101" s="842">
        <f>IFERROR(IF($C$16="M","No Matrix Calc",(IF($C$12="SR",($D$8*O124+P124)*Q112,IF($C$12="SR+",($D$8*O124+P124)*Q113,IF(OR($C$12="XR",$C$12="YR"),($D$8*O124+P124)*Q114,IF($C$12="DR",($D$8*O124+P124)*Q115,""))))+IF($C$13="(K)",$C$10*Q118,0)+IF($C$14="(BR)",$C$10*Q117,0))*(1/(O129*$D$8^5+P129*$D$8^4+Q129*$D$8^3+R129*$D$8^2+S129*$D$8+T129))*IF($C$11=P107,Q107,IF($C$11=P105,Q105,IF($C$11=P110,Q110,IF($C$11=P106,Q106,IF($C$11=P108,Q108,IF($C$11=P103,Q103,IF($C$11=P109,Q109,IF($C$11=P104,Q104,1))))))))),"")</f>
        <v>5402.0105589914801</v>
      </c>
      <c r="K101" s="9"/>
      <c r="L101" s="105"/>
      <c r="M101" s="105"/>
      <c r="N101" s="9"/>
      <c r="O101" s="9"/>
      <c r="P101" s="9"/>
      <c r="Q101" s="9"/>
      <c r="R101" s="9"/>
      <c r="S101" s="9"/>
      <c r="T101" s="9"/>
    </row>
    <row r="102" spans="10:20" ht="15" customHeight="1" thickBot="1" x14ac:dyDescent="0.3">
      <c r="J102" s="843"/>
      <c r="K102" s="106" t="s">
        <v>142</v>
      </c>
      <c r="L102" s="105"/>
      <c r="M102" s="105"/>
      <c r="N102" s="9"/>
      <c r="O102" s="9"/>
      <c r="P102" s="9"/>
      <c r="Q102" s="9"/>
      <c r="R102" s="9"/>
      <c r="S102" s="9"/>
      <c r="T102" s="9"/>
    </row>
    <row r="103" spans="10:20" ht="15" customHeight="1" x14ac:dyDescent="0.25">
      <c r="J103" s="100"/>
      <c r="K103" s="100"/>
      <c r="L103" s="9"/>
      <c r="M103" s="9"/>
      <c r="N103" s="9"/>
      <c r="O103" s="100"/>
      <c r="P103" s="98">
        <v>11</v>
      </c>
      <c r="Q103" s="104">
        <v>1.3213530655391119</v>
      </c>
      <c r="R103" s="841" t="s">
        <v>139</v>
      </c>
      <c r="S103" s="841"/>
      <c r="T103" s="841"/>
    </row>
    <row r="104" spans="10:20" ht="15" customHeight="1" x14ac:dyDescent="0.25">
      <c r="J104" s="100"/>
      <c r="K104" s="100"/>
      <c r="L104" s="9"/>
      <c r="M104" s="9"/>
      <c r="N104" s="9"/>
      <c r="O104" s="100"/>
      <c r="P104" s="98">
        <v>12</v>
      </c>
      <c r="Q104" s="104">
        <v>1.2259709690074538</v>
      </c>
      <c r="R104" s="841"/>
      <c r="S104" s="841"/>
      <c r="T104" s="841"/>
    </row>
    <row r="105" spans="10:20" ht="15" customHeight="1" x14ac:dyDescent="0.25">
      <c r="J105" s="100"/>
      <c r="K105" s="100"/>
      <c r="L105" s="9"/>
      <c r="M105" s="9"/>
      <c r="N105" s="9"/>
      <c r="O105" s="100"/>
      <c r="P105" s="98">
        <v>13</v>
      </c>
      <c r="Q105" s="104">
        <v>1.1400948558920101</v>
      </c>
      <c r="R105" s="841"/>
      <c r="S105" s="841"/>
      <c r="T105" s="841"/>
    </row>
    <row r="106" spans="10:20" ht="15" customHeight="1" x14ac:dyDescent="0.25">
      <c r="J106" s="100"/>
      <c r="K106" s="100"/>
      <c r="L106" s="9"/>
      <c r="M106" s="9"/>
      <c r="N106" s="9"/>
      <c r="O106" s="100"/>
      <c r="P106" s="98">
        <v>15</v>
      </c>
      <c r="Q106" s="104">
        <v>1.0654619843163997</v>
      </c>
      <c r="R106" s="841"/>
      <c r="S106" s="841"/>
      <c r="T106" s="841"/>
    </row>
    <row r="107" spans="10:20" ht="15" customHeight="1" x14ac:dyDescent="0.25">
      <c r="J107" s="100"/>
      <c r="K107" s="100"/>
      <c r="L107" s="9"/>
      <c r="M107" s="9"/>
      <c r="N107" s="9"/>
      <c r="O107" s="100"/>
      <c r="P107" s="98">
        <v>16</v>
      </c>
      <c r="Q107" s="104">
        <v>1</v>
      </c>
      <c r="R107" s="841"/>
      <c r="S107" s="841"/>
      <c r="T107" s="841"/>
    </row>
    <row r="108" spans="10:20" ht="15" customHeight="1" x14ac:dyDescent="0.25">
      <c r="J108" s="100"/>
      <c r="K108" s="100"/>
      <c r="L108" s="9"/>
      <c r="M108" s="9"/>
      <c r="N108" s="9"/>
      <c r="O108" s="100"/>
      <c r="P108" s="98">
        <v>17</v>
      </c>
      <c r="Q108" s="104">
        <v>0.9512937595129376</v>
      </c>
      <c r="R108" s="841"/>
      <c r="S108" s="841"/>
      <c r="T108" s="841"/>
    </row>
    <row r="109" spans="10:20" ht="15" customHeight="1" x14ac:dyDescent="0.25">
      <c r="J109" s="100"/>
      <c r="K109" s="100"/>
      <c r="L109" s="9"/>
      <c r="M109" s="9"/>
      <c r="N109" s="9"/>
      <c r="O109" s="100"/>
      <c r="P109" s="98">
        <v>18</v>
      </c>
      <c r="Q109" s="104">
        <v>0.90396297367659828</v>
      </c>
      <c r="R109" s="841"/>
      <c r="S109" s="841"/>
      <c r="T109" s="841"/>
    </row>
    <row r="110" spans="10:20" ht="15" customHeight="1" x14ac:dyDescent="0.25">
      <c r="J110" s="9"/>
      <c r="K110" s="9"/>
      <c r="L110" s="9"/>
      <c r="M110" s="9"/>
      <c r="N110" s="9"/>
      <c r="O110" s="100"/>
      <c r="P110" s="98">
        <v>19</v>
      </c>
      <c r="Q110" s="104">
        <v>0.86206896551724133</v>
      </c>
      <c r="R110" s="841"/>
      <c r="S110" s="841"/>
      <c r="T110" s="841"/>
    </row>
    <row r="111" spans="10:20" ht="15" customHeight="1" x14ac:dyDescent="0.25">
      <c r="J111" s="282"/>
      <c r="K111" s="282"/>
      <c r="L111" s="9"/>
      <c r="M111" s="9"/>
      <c r="N111" s="9"/>
      <c r="O111" s="100"/>
      <c r="P111" s="98"/>
      <c r="Q111" s="98"/>
      <c r="R111" s="841"/>
      <c r="S111" s="841"/>
      <c r="T111" s="841"/>
    </row>
    <row r="112" spans="10:20" ht="15" customHeight="1" x14ac:dyDescent="0.25">
      <c r="J112" s="282"/>
      <c r="K112" s="282"/>
      <c r="L112" s="9"/>
      <c r="M112" s="9"/>
      <c r="N112" s="9"/>
      <c r="O112" s="100"/>
      <c r="P112" s="98" t="s">
        <v>151</v>
      </c>
      <c r="Q112" s="104">
        <v>0.79580010257102329</v>
      </c>
      <c r="R112" s="841"/>
      <c r="S112" s="841"/>
      <c r="T112" s="841"/>
    </row>
    <row r="113" spans="10:20" ht="15" customHeight="1" x14ac:dyDescent="0.25">
      <c r="J113" s="282"/>
      <c r="K113" s="282"/>
      <c r="L113" s="9"/>
      <c r="M113" s="9"/>
      <c r="N113" s="9"/>
      <c r="O113" s="100"/>
      <c r="P113" s="98" t="s">
        <v>152</v>
      </c>
      <c r="Q113" s="104">
        <v>0.98979673731144469</v>
      </c>
      <c r="R113" s="841"/>
      <c r="S113" s="841"/>
      <c r="T113" s="841"/>
    </row>
    <row r="114" spans="10:20" ht="15" customHeight="1" x14ac:dyDescent="0.25">
      <c r="J114" s="282"/>
      <c r="K114" s="282"/>
      <c r="L114" s="9"/>
      <c r="M114" s="9"/>
      <c r="N114" s="9"/>
      <c r="O114" s="100"/>
      <c r="P114" s="98" t="s">
        <v>153</v>
      </c>
      <c r="Q114" s="104">
        <v>1.1162116398181805</v>
      </c>
      <c r="R114" s="841"/>
      <c r="S114" s="841"/>
      <c r="T114" s="841"/>
    </row>
    <row r="115" spans="10:20" ht="15" customHeight="1" x14ac:dyDescent="0.25">
      <c r="J115" s="282"/>
      <c r="K115" s="282"/>
      <c r="L115" s="9"/>
      <c r="M115" s="9"/>
      <c r="N115" s="9"/>
      <c r="O115" s="100"/>
      <c r="P115" s="98" t="s">
        <v>154</v>
      </c>
      <c r="Q115" s="104">
        <v>1.3850228683744459</v>
      </c>
      <c r="R115" s="841"/>
      <c r="S115" s="841"/>
      <c r="T115" s="841"/>
    </row>
    <row r="116" spans="10:20" ht="15" customHeight="1" x14ac:dyDescent="0.25">
      <c r="J116" s="282"/>
      <c r="K116" s="282"/>
      <c r="L116" s="9"/>
      <c r="M116" s="9"/>
      <c r="N116" s="9"/>
      <c r="O116" s="100"/>
      <c r="P116" s="98"/>
      <c r="Q116" s="98"/>
      <c r="R116" s="841"/>
      <c r="S116" s="841"/>
      <c r="T116" s="841"/>
    </row>
    <row r="117" spans="10:20" ht="15" customHeight="1" x14ac:dyDescent="0.25">
      <c r="J117" s="282"/>
      <c r="K117" s="282"/>
      <c r="L117" s="9"/>
      <c r="M117" s="9"/>
      <c r="N117" s="9"/>
      <c r="O117" s="100"/>
      <c r="P117" s="98" t="s">
        <v>155</v>
      </c>
      <c r="Q117" s="103">
        <v>92.349503236160174</v>
      </c>
      <c r="R117" s="841"/>
      <c r="S117" s="841"/>
      <c r="T117" s="841"/>
    </row>
    <row r="118" spans="10:20" ht="15" customHeight="1" x14ac:dyDescent="0.25">
      <c r="J118" s="282"/>
      <c r="K118" s="282"/>
      <c r="L118" s="9"/>
      <c r="M118" s="9"/>
      <c r="N118" s="9"/>
      <c r="O118" s="100"/>
      <c r="P118" s="98" t="s">
        <v>156</v>
      </c>
      <c r="Q118" s="102">
        <v>46.461766700471316</v>
      </c>
      <c r="R118" s="841"/>
      <c r="S118" s="841"/>
      <c r="T118" s="841"/>
    </row>
    <row r="119" spans="10:20" ht="15" customHeight="1" x14ac:dyDescent="0.25">
      <c r="J119" s="282"/>
      <c r="K119" s="282"/>
      <c r="L119" s="9"/>
      <c r="M119" s="9"/>
      <c r="N119" s="9"/>
      <c r="O119" s="100"/>
      <c r="P119" s="98"/>
      <c r="Q119" s="102"/>
      <c r="R119" s="100"/>
      <c r="S119" s="100"/>
      <c r="T119" s="100"/>
    </row>
    <row r="120" spans="10:20" ht="15" customHeight="1" x14ac:dyDescent="0.25">
      <c r="J120" s="282"/>
      <c r="K120" s="282"/>
      <c r="L120" s="100"/>
      <c r="M120" s="100"/>
      <c r="N120" s="100"/>
      <c r="O120" s="100"/>
      <c r="P120" s="100"/>
      <c r="Q120" s="100"/>
      <c r="R120" s="100"/>
      <c r="S120" s="100"/>
      <c r="T120" s="100"/>
    </row>
    <row r="121" spans="10:20" ht="15" customHeight="1" x14ac:dyDescent="0.25">
      <c r="J121" s="282"/>
      <c r="K121" s="282"/>
      <c r="L121" s="100"/>
      <c r="M121" s="100"/>
      <c r="N121" s="100"/>
      <c r="O121" s="100"/>
      <c r="P121" s="100"/>
      <c r="Q121" s="100"/>
      <c r="R121" s="100"/>
      <c r="S121" s="100"/>
      <c r="T121" s="100"/>
    </row>
    <row r="122" spans="10:20" ht="15" customHeight="1" x14ac:dyDescent="0.25">
      <c r="J122" s="282"/>
      <c r="K122" s="282"/>
      <c r="L122" s="840" t="s">
        <v>157</v>
      </c>
      <c r="M122" s="840"/>
      <c r="N122" s="840"/>
      <c r="O122" s="840"/>
      <c r="P122" s="840"/>
      <c r="Q122" s="840"/>
      <c r="R122" s="100"/>
      <c r="S122" s="100"/>
      <c r="T122" s="100"/>
    </row>
    <row r="123" spans="10:20" ht="15" customHeight="1" x14ac:dyDescent="0.25">
      <c r="J123" s="282"/>
      <c r="K123" s="282"/>
      <c r="L123" s="98" t="s">
        <v>94</v>
      </c>
      <c r="M123" s="98"/>
      <c r="N123" s="98" t="s">
        <v>158</v>
      </c>
      <c r="O123" s="102" t="s">
        <v>159</v>
      </c>
      <c r="P123" s="102" t="s">
        <v>160</v>
      </c>
      <c r="Q123" s="102"/>
      <c r="R123" s="100"/>
      <c r="S123" s="100"/>
      <c r="T123" s="100"/>
    </row>
    <row r="124" spans="10:20" ht="15" customHeight="1" x14ac:dyDescent="0.25">
      <c r="J124" s="282"/>
      <c r="K124" s="282"/>
      <c r="L124" s="101"/>
      <c r="M124" s="101"/>
      <c r="N124" s="101"/>
      <c r="O124" s="101">
        <v>713.77</v>
      </c>
      <c r="P124" s="101">
        <v>-1277.0999999999999</v>
      </c>
      <c r="Q124" s="101"/>
      <c r="R124" s="100"/>
      <c r="S124" s="100"/>
      <c r="T124" s="100"/>
    </row>
    <row r="125" spans="10:20" ht="15" customHeight="1" x14ac:dyDescent="0.25">
      <c r="J125" s="282"/>
      <c r="K125" s="282"/>
      <c r="L125" s="100"/>
      <c r="M125" s="100"/>
      <c r="N125" s="100"/>
      <c r="O125" s="100"/>
      <c r="P125" s="100"/>
      <c r="Q125" s="100"/>
      <c r="R125" s="100"/>
      <c r="S125" s="100"/>
      <c r="T125" s="100"/>
    </row>
    <row r="126" spans="10:20" ht="15" customHeight="1" x14ac:dyDescent="0.25">
      <c r="J126" s="282"/>
      <c r="K126" s="282"/>
      <c r="L126" s="100"/>
      <c r="M126" s="100"/>
      <c r="N126" s="100"/>
      <c r="O126" s="100"/>
      <c r="P126" s="100"/>
      <c r="Q126" s="100"/>
      <c r="R126" s="100"/>
      <c r="S126" s="100"/>
      <c r="T126" s="100"/>
    </row>
    <row r="127" spans="10:20" ht="15" customHeight="1" x14ac:dyDescent="0.25">
      <c r="J127" s="282"/>
      <c r="K127" s="282"/>
      <c r="L127" s="840" t="s">
        <v>161</v>
      </c>
      <c r="M127" s="840"/>
      <c r="N127" s="840"/>
      <c r="O127" s="840"/>
      <c r="P127" s="840"/>
      <c r="Q127" s="840"/>
      <c r="R127" s="840"/>
      <c r="S127" s="840"/>
      <c r="T127" s="840"/>
    </row>
    <row r="128" spans="10:20" ht="15" customHeight="1" x14ac:dyDescent="0.25">
      <c r="J128" s="282"/>
      <c r="K128" s="282"/>
      <c r="L128" s="98" t="s">
        <v>94</v>
      </c>
      <c r="M128" s="98"/>
      <c r="N128" s="98" t="s">
        <v>158</v>
      </c>
      <c r="O128" s="99" t="s">
        <v>162</v>
      </c>
      <c r="P128" s="98" t="s">
        <v>163</v>
      </c>
      <c r="Q128" s="98" t="s">
        <v>164</v>
      </c>
      <c r="R128" s="98" t="s">
        <v>165</v>
      </c>
      <c r="S128" s="98" t="s">
        <v>166</v>
      </c>
      <c r="T128" s="98" t="s">
        <v>167</v>
      </c>
    </row>
    <row r="129" spans="10:20" ht="15" customHeight="1" x14ac:dyDescent="0.25">
      <c r="J129" s="282"/>
      <c r="K129" s="282"/>
      <c r="L129" s="98"/>
      <c r="M129" s="98"/>
      <c r="N129" s="98"/>
      <c r="O129" s="97">
        <v>3.1573398847862512E-7</v>
      </c>
      <c r="P129" s="97">
        <v>-7.2312768458459377E-5</v>
      </c>
      <c r="Q129" s="97">
        <v>3.4272896250557489E-3</v>
      </c>
      <c r="R129" s="97">
        <v>-6.1490512005910665E-2</v>
      </c>
      <c r="S129" s="97">
        <v>0.44271587593448819</v>
      </c>
      <c r="T129" s="97">
        <v>-1.3557582448984529E-2</v>
      </c>
    </row>
    <row r="130" spans="10:20" ht="15" customHeight="1" x14ac:dyDescent="0.25"/>
    <row r="131" spans="10:20" ht="15" customHeight="1" x14ac:dyDescent="0.25"/>
    <row r="132" spans="10:20" ht="15" customHeight="1" x14ac:dyDescent="0.25">
      <c r="J132" s="842">
        <f>IFERROR(IF($C$16="M","No Matrix Calc",(IF($C$12="SR",($D$8*O155+P155)*Q143,IF($C$12="SR+",($D$8*O155+P155)*Q144,IF(OR($C$12="XR",$C$12="YR"),($D$8*O155+P155)*Q145,IF($C$12="DR",($D$8*O155+P155)*Q146,""))))+IF($C$13="(K)",$C$10*Q149,0)+IF($C$14="(BR)",$C$10*Q148,0))*(1/(O160*$D$8^5+P160*$D$8^4+Q160*$D$8^3+R160*$D$8^2+S160*$D$8+T160))*IF($C$11=P138,Q138,IF($C$11=P136,Q136,IF($C$11=P141,Q141,IF($C$11=P137,Q137,IF($C$11=P139,Q139,IF($C$11=P134,Q134,IF($C$11=P140,Q140,IF($C$11=P135,Q135,1))))))))),"")</f>
        <v>7413.310418133743</v>
      </c>
      <c r="K132" s="9"/>
      <c r="L132" s="105"/>
      <c r="M132" s="105"/>
      <c r="N132" s="9"/>
      <c r="O132" s="9"/>
      <c r="P132" s="9"/>
      <c r="Q132" s="9"/>
      <c r="R132" s="9"/>
      <c r="S132" s="9"/>
      <c r="T132" s="9"/>
    </row>
    <row r="133" spans="10:20" ht="15" customHeight="1" thickBot="1" x14ac:dyDescent="0.3">
      <c r="J133" s="843"/>
      <c r="K133" s="106" t="s">
        <v>142</v>
      </c>
      <c r="L133" s="105"/>
      <c r="M133" s="105"/>
      <c r="N133" s="9"/>
      <c r="O133" s="9"/>
      <c r="P133" s="9"/>
      <c r="Q133" s="9"/>
      <c r="R133" s="9"/>
      <c r="S133" s="9"/>
      <c r="T133" s="9"/>
    </row>
    <row r="134" spans="10:20" ht="15" customHeight="1" x14ac:dyDescent="0.25">
      <c r="J134" s="100"/>
      <c r="K134" s="100"/>
      <c r="L134" s="9"/>
      <c r="M134" s="9"/>
      <c r="N134" s="9"/>
      <c r="O134" s="100"/>
      <c r="P134" s="98">
        <v>11</v>
      </c>
      <c r="Q134" s="104">
        <v>1.3213530655391119</v>
      </c>
      <c r="R134" s="841" t="s">
        <v>140</v>
      </c>
      <c r="S134" s="841"/>
      <c r="T134" s="841"/>
    </row>
    <row r="135" spans="10:20" ht="15" customHeight="1" x14ac:dyDescent="0.25">
      <c r="J135" s="100"/>
      <c r="K135" s="100"/>
      <c r="L135" s="9"/>
      <c r="M135" s="9"/>
      <c r="N135" s="9"/>
      <c r="O135" s="100"/>
      <c r="P135" s="98">
        <v>12</v>
      </c>
      <c r="Q135" s="104">
        <v>1.2259709690074538</v>
      </c>
      <c r="R135" s="841"/>
      <c r="S135" s="841"/>
      <c r="T135" s="841"/>
    </row>
    <row r="136" spans="10:20" ht="15" customHeight="1" x14ac:dyDescent="0.25">
      <c r="J136" s="100"/>
      <c r="K136" s="100"/>
      <c r="L136" s="9"/>
      <c r="M136" s="9"/>
      <c r="N136" s="9"/>
      <c r="O136" s="100"/>
      <c r="P136" s="98">
        <v>13</v>
      </c>
      <c r="Q136" s="104">
        <v>1.1400948558920101</v>
      </c>
      <c r="R136" s="841"/>
      <c r="S136" s="841"/>
      <c r="T136" s="841"/>
    </row>
    <row r="137" spans="10:20" ht="15" customHeight="1" x14ac:dyDescent="0.25">
      <c r="J137" s="100"/>
      <c r="K137" s="100"/>
      <c r="L137" s="9"/>
      <c r="M137" s="9"/>
      <c r="N137" s="9"/>
      <c r="O137" s="100"/>
      <c r="P137" s="98">
        <v>15</v>
      </c>
      <c r="Q137" s="104">
        <v>1.0654619843163997</v>
      </c>
      <c r="R137" s="841"/>
      <c r="S137" s="841"/>
      <c r="T137" s="841"/>
    </row>
    <row r="138" spans="10:20" ht="15" customHeight="1" x14ac:dyDescent="0.25">
      <c r="J138" s="100"/>
      <c r="K138" s="100"/>
      <c r="L138" s="9"/>
      <c r="M138" s="9"/>
      <c r="N138" s="9"/>
      <c r="O138" s="100"/>
      <c r="P138" s="98">
        <v>16</v>
      </c>
      <c r="Q138" s="104">
        <v>1</v>
      </c>
      <c r="R138" s="841"/>
      <c r="S138" s="841"/>
      <c r="T138" s="841"/>
    </row>
    <row r="139" spans="10:20" ht="15" customHeight="1" x14ac:dyDescent="0.25">
      <c r="J139" s="100"/>
      <c r="K139" s="100"/>
      <c r="L139" s="9"/>
      <c r="M139" s="9"/>
      <c r="N139" s="9"/>
      <c r="O139" s="100"/>
      <c r="P139" s="98">
        <v>17</v>
      </c>
      <c r="Q139" s="104">
        <v>0.9512937595129376</v>
      </c>
      <c r="R139" s="841"/>
      <c r="S139" s="841"/>
      <c r="T139" s="841"/>
    </row>
    <row r="140" spans="10:20" ht="15" customHeight="1" x14ac:dyDescent="0.25">
      <c r="J140" s="100"/>
      <c r="K140" s="100"/>
      <c r="L140" s="9"/>
      <c r="M140" s="9"/>
      <c r="N140" s="9"/>
      <c r="O140" s="100"/>
      <c r="P140" s="98">
        <v>18</v>
      </c>
      <c r="Q140" s="104">
        <v>0.90396297367659828</v>
      </c>
      <c r="R140" s="841"/>
      <c r="S140" s="841"/>
      <c r="T140" s="841"/>
    </row>
    <row r="141" spans="10:20" ht="15" customHeight="1" x14ac:dyDescent="0.25">
      <c r="J141" s="9"/>
      <c r="K141" s="9"/>
      <c r="L141" s="9"/>
      <c r="M141" s="9"/>
      <c r="N141" s="9"/>
      <c r="O141" s="100"/>
      <c r="P141" s="98">
        <v>19</v>
      </c>
      <c r="Q141" s="104">
        <v>0.86206896551724133</v>
      </c>
      <c r="R141" s="841"/>
      <c r="S141" s="841"/>
      <c r="T141" s="841"/>
    </row>
    <row r="142" spans="10:20" ht="15" customHeight="1" x14ac:dyDescent="0.25">
      <c r="J142" s="282"/>
      <c r="K142" s="282"/>
      <c r="L142" s="9"/>
      <c r="M142" s="9"/>
      <c r="N142" s="9"/>
      <c r="O142" s="100"/>
      <c r="P142" s="98"/>
      <c r="Q142" s="98"/>
      <c r="R142" s="841"/>
      <c r="S142" s="841"/>
      <c r="T142" s="841"/>
    </row>
    <row r="143" spans="10:20" ht="15" customHeight="1" x14ac:dyDescent="0.25">
      <c r="J143" s="282"/>
      <c r="K143" s="282"/>
      <c r="L143" s="9"/>
      <c r="M143" s="9"/>
      <c r="N143" s="9"/>
      <c r="O143" s="100"/>
      <c r="P143" s="98" t="s">
        <v>151</v>
      </c>
      <c r="Q143" s="104">
        <v>0.9145296961123226</v>
      </c>
      <c r="R143" s="841"/>
      <c r="S143" s="841"/>
      <c r="T143" s="841"/>
    </row>
    <row r="144" spans="10:20" ht="15" customHeight="1" x14ac:dyDescent="0.25">
      <c r="J144" s="282"/>
      <c r="K144" s="282"/>
      <c r="L144" s="9"/>
      <c r="M144" s="9"/>
      <c r="N144" s="9"/>
      <c r="O144" s="100"/>
      <c r="P144" s="98" t="s">
        <v>152</v>
      </c>
      <c r="Q144" s="104">
        <v>0.93755366806120788</v>
      </c>
      <c r="R144" s="841"/>
      <c r="S144" s="841"/>
      <c r="T144" s="841"/>
    </row>
    <row r="145" spans="10:20" ht="15" customHeight="1" x14ac:dyDescent="0.25">
      <c r="J145" s="282"/>
      <c r="K145" s="282"/>
      <c r="L145" s="9"/>
      <c r="M145" s="9"/>
      <c r="N145" s="9"/>
      <c r="O145" s="100"/>
      <c r="P145" s="98" t="s">
        <v>153</v>
      </c>
      <c r="Q145" s="104">
        <v>1.0172161351932572</v>
      </c>
      <c r="R145" s="841"/>
      <c r="S145" s="841"/>
      <c r="T145" s="841"/>
    </row>
    <row r="146" spans="10:20" ht="15" customHeight="1" x14ac:dyDescent="0.25">
      <c r="J146" s="282"/>
      <c r="K146" s="282"/>
      <c r="L146" s="9"/>
      <c r="M146" s="9"/>
      <c r="N146" s="9"/>
      <c r="O146" s="100"/>
      <c r="P146" s="98" t="s">
        <v>154</v>
      </c>
      <c r="Q146" s="104">
        <v>1.511019377782469</v>
      </c>
      <c r="R146" s="841"/>
      <c r="S146" s="841"/>
      <c r="T146" s="841"/>
    </row>
    <row r="147" spans="10:20" ht="15" customHeight="1" x14ac:dyDescent="0.25">
      <c r="J147" s="282"/>
      <c r="K147" s="282"/>
      <c r="L147" s="9"/>
      <c r="M147" s="9"/>
      <c r="N147" s="9"/>
      <c r="O147" s="100"/>
      <c r="P147" s="98"/>
      <c r="Q147" s="98"/>
      <c r="R147" s="841"/>
      <c r="S147" s="841"/>
      <c r="T147" s="841"/>
    </row>
    <row r="148" spans="10:20" ht="15" customHeight="1" x14ac:dyDescent="0.25">
      <c r="J148" s="282"/>
      <c r="K148" s="282"/>
      <c r="L148" s="9"/>
      <c r="M148" s="9"/>
      <c r="N148" s="9"/>
      <c r="O148" s="100"/>
      <c r="P148" s="98" t="s">
        <v>155</v>
      </c>
      <c r="Q148" s="103">
        <v>12.674046596850753</v>
      </c>
      <c r="R148" s="841"/>
      <c r="S148" s="841"/>
      <c r="T148" s="841"/>
    </row>
    <row r="149" spans="10:20" ht="15" customHeight="1" x14ac:dyDescent="0.25">
      <c r="J149" s="282"/>
      <c r="K149" s="282"/>
      <c r="L149" s="9"/>
      <c r="M149" s="9"/>
      <c r="N149" s="9"/>
      <c r="O149" s="100"/>
      <c r="P149" s="98" t="s">
        <v>156</v>
      </c>
      <c r="Q149" s="102">
        <v>86.954164078528308</v>
      </c>
      <c r="R149" s="841"/>
      <c r="S149" s="841"/>
      <c r="T149" s="841"/>
    </row>
    <row r="150" spans="10:20" ht="15" customHeight="1" x14ac:dyDescent="0.25">
      <c r="J150" s="282"/>
      <c r="K150" s="282"/>
      <c r="L150" s="9"/>
      <c r="M150" s="9"/>
      <c r="N150" s="9"/>
      <c r="O150" s="100"/>
      <c r="P150" s="98"/>
      <c r="Q150" s="102"/>
      <c r="R150" s="100"/>
      <c r="S150" s="100"/>
      <c r="T150" s="100"/>
    </row>
    <row r="151" spans="10:20" ht="15" customHeight="1" x14ac:dyDescent="0.25">
      <c r="J151" s="282"/>
      <c r="K151" s="282"/>
      <c r="L151" s="100"/>
      <c r="M151" s="100"/>
      <c r="N151" s="100"/>
      <c r="O151" s="100"/>
      <c r="P151" s="100"/>
      <c r="Q151" s="100"/>
      <c r="R151" s="100"/>
      <c r="S151" s="100"/>
      <c r="T151" s="100"/>
    </row>
    <row r="152" spans="10:20" ht="15" customHeight="1" x14ac:dyDescent="0.25">
      <c r="J152" s="282"/>
      <c r="K152" s="282"/>
      <c r="L152" s="100"/>
      <c r="M152" s="100"/>
      <c r="N152" s="100"/>
      <c r="O152" s="100"/>
      <c r="P152" s="100"/>
      <c r="Q152" s="100"/>
      <c r="R152" s="100"/>
      <c r="S152" s="100"/>
      <c r="T152" s="100"/>
    </row>
    <row r="153" spans="10:20" ht="15" customHeight="1" x14ac:dyDescent="0.25">
      <c r="J153" s="282"/>
      <c r="K153" s="282"/>
      <c r="L153" s="840" t="s">
        <v>157</v>
      </c>
      <c r="M153" s="840"/>
      <c r="N153" s="840"/>
      <c r="O153" s="840"/>
      <c r="P153" s="840"/>
      <c r="Q153" s="840"/>
      <c r="R153" s="100"/>
      <c r="S153" s="100"/>
      <c r="T153" s="100"/>
    </row>
    <row r="154" spans="10:20" ht="15" customHeight="1" x14ac:dyDescent="0.25">
      <c r="J154" s="282"/>
      <c r="K154" s="282"/>
      <c r="L154" s="98" t="s">
        <v>94</v>
      </c>
      <c r="M154" s="98"/>
      <c r="N154" s="98" t="s">
        <v>158</v>
      </c>
      <c r="O154" s="102" t="s">
        <v>159</v>
      </c>
      <c r="P154" s="102" t="s">
        <v>160</v>
      </c>
      <c r="Q154" s="102"/>
      <c r="R154" s="100"/>
      <c r="S154" s="100"/>
      <c r="T154" s="100"/>
    </row>
    <row r="155" spans="10:20" ht="15" customHeight="1" x14ac:dyDescent="0.25">
      <c r="J155" s="282"/>
      <c r="K155" s="282"/>
      <c r="L155" s="101"/>
      <c r="M155" s="101"/>
      <c r="N155" s="101"/>
      <c r="O155" s="101">
        <v>980.13</v>
      </c>
      <c r="P155" s="101">
        <v>-2605.6999999999998</v>
      </c>
      <c r="Q155" s="101"/>
      <c r="R155" s="100"/>
      <c r="S155" s="100"/>
      <c r="T155" s="100"/>
    </row>
    <row r="156" spans="10:20" ht="15" customHeight="1" x14ac:dyDescent="0.25">
      <c r="J156" s="282"/>
      <c r="K156" s="282"/>
      <c r="L156" s="100"/>
      <c r="M156" s="100"/>
      <c r="N156" s="100"/>
      <c r="O156" s="100"/>
      <c r="P156" s="100"/>
      <c r="Q156" s="100"/>
      <c r="R156" s="100"/>
      <c r="S156" s="100"/>
      <c r="T156" s="100"/>
    </row>
    <row r="157" spans="10:20" ht="15" customHeight="1" x14ac:dyDescent="0.25">
      <c r="J157" s="282"/>
      <c r="K157" s="282"/>
      <c r="L157" s="100"/>
      <c r="M157" s="100"/>
      <c r="N157" s="100"/>
      <c r="O157" s="100"/>
      <c r="P157" s="100"/>
      <c r="Q157" s="100"/>
      <c r="R157" s="100"/>
      <c r="S157" s="100"/>
      <c r="T157" s="100"/>
    </row>
    <row r="158" spans="10:20" ht="15" customHeight="1" x14ac:dyDescent="0.25">
      <c r="J158" s="282"/>
      <c r="K158" s="282"/>
      <c r="L158" s="840" t="s">
        <v>161</v>
      </c>
      <c r="M158" s="840"/>
      <c r="N158" s="840"/>
      <c r="O158" s="840"/>
      <c r="P158" s="840"/>
      <c r="Q158" s="840"/>
      <c r="R158" s="840"/>
      <c r="S158" s="840"/>
      <c r="T158" s="840"/>
    </row>
    <row r="159" spans="10:20" ht="15" customHeight="1" x14ac:dyDescent="0.25">
      <c r="J159" s="282"/>
      <c r="K159" s="282"/>
      <c r="L159" s="98" t="s">
        <v>94</v>
      </c>
      <c r="M159" s="98"/>
      <c r="N159" s="98" t="s">
        <v>158</v>
      </c>
      <c r="O159" s="99" t="s">
        <v>162</v>
      </c>
      <c r="P159" s="98" t="s">
        <v>163</v>
      </c>
      <c r="Q159" s="98" t="s">
        <v>164</v>
      </c>
      <c r="R159" s="98" t="s">
        <v>165</v>
      </c>
      <c r="S159" s="98" t="s">
        <v>166</v>
      </c>
      <c r="T159" s="98" t="s">
        <v>167</v>
      </c>
    </row>
    <row r="160" spans="10:20" ht="15" customHeight="1" x14ac:dyDescent="0.25">
      <c r="J160" s="282"/>
      <c r="K160" s="282"/>
      <c r="L160" s="98"/>
      <c r="M160" s="98"/>
      <c r="N160" s="98"/>
      <c r="O160" s="97">
        <v>2.234810060334508E-6</v>
      </c>
      <c r="P160" s="97">
        <v>-2.5409626369224956E-4</v>
      </c>
      <c r="Q160" s="97">
        <v>9.9364877508403785E-3</v>
      </c>
      <c r="R160" s="97">
        <v>-0.17174431887111644</v>
      </c>
      <c r="S160" s="97">
        <v>1.3230850839206261</v>
      </c>
      <c r="T160" s="97">
        <v>-2.6186189543811249</v>
      </c>
    </row>
    <row r="161" spans="10:20" ht="15" customHeight="1" x14ac:dyDescent="0.25"/>
    <row r="162" spans="10:20" ht="15" customHeight="1" x14ac:dyDescent="0.25"/>
    <row r="163" spans="10:20" ht="15" customHeight="1" x14ac:dyDescent="0.25">
      <c r="J163" s="842">
        <f>IFERROR(IF($C$16="M","No Matrix Calc",(IF($C$12="SR",($D$8*O186+P186)*Q174,IF($C$12="SR+",($D$8*O186+P186)*Q175,IF(OR($C$12="XR",$C$12="YR"),($D$8*O186+P186)*Q176,IF($C$12="DR",($D$8*O186+P186)*Q177,""))))+IF($C$13="(K)",$C$10*Q180,0)+IF($C$14="(BR)",$C$10*Q179,0))*(1/(O191*$D$8^5+P191*$D$8^4+Q191*$D$8^3+R191*$D$8^2+S191*$D$8+T191))*IF($C$11=P169,Q169,IF($C$11=P167,Q167,IF($C$11=P172,Q172,IF($C$11=P168,Q168,IF($C$11=P170,Q170,IF($C$11=P165,Q165,IF($C$11=P171,Q171,IF($C$11=P166,Q166,1))))))))),"")</f>
        <v>7976.4021275644345</v>
      </c>
      <c r="K163" s="9"/>
      <c r="L163" s="105"/>
      <c r="M163" s="105"/>
      <c r="N163" s="9"/>
      <c r="O163" s="9"/>
      <c r="P163" s="9"/>
      <c r="Q163" s="9"/>
      <c r="R163" s="9"/>
      <c r="S163" s="9"/>
      <c r="T163" s="9"/>
    </row>
    <row r="164" spans="10:20" ht="15" customHeight="1" thickBot="1" x14ac:dyDescent="0.3">
      <c r="J164" s="843"/>
      <c r="K164" s="106" t="s">
        <v>142</v>
      </c>
      <c r="L164" s="105"/>
      <c r="M164" s="105"/>
      <c r="N164" s="9"/>
      <c r="O164" s="9"/>
      <c r="P164" s="9"/>
      <c r="Q164" s="9"/>
      <c r="R164" s="9"/>
      <c r="S164" s="9"/>
      <c r="T164" s="9"/>
    </row>
    <row r="165" spans="10:20" ht="15" customHeight="1" x14ac:dyDescent="0.25">
      <c r="J165" s="100"/>
      <c r="K165" s="100"/>
      <c r="L165" s="9"/>
      <c r="M165" s="9"/>
      <c r="N165" s="9"/>
      <c r="O165" s="100"/>
      <c r="P165" s="98">
        <v>11</v>
      </c>
      <c r="Q165" s="104">
        <v>1.3213530655391119</v>
      </c>
      <c r="R165" s="841" t="s">
        <v>141</v>
      </c>
      <c r="S165" s="841"/>
      <c r="T165" s="841"/>
    </row>
    <row r="166" spans="10:20" ht="15" customHeight="1" x14ac:dyDescent="0.25">
      <c r="J166" s="100"/>
      <c r="K166" s="100"/>
      <c r="L166" s="9"/>
      <c r="M166" s="9"/>
      <c r="N166" s="9"/>
      <c r="O166" s="100"/>
      <c r="P166" s="98">
        <v>12</v>
      </c>
      <c r="Q166" s="104">
        <v>1.2259709690074538</v>
      </c>
      <c r="R166" s="841"/>
      <c r="S166" s="841"/>
      <c r="T166" s="841"/>
    </row>
    <row r="167" spans="10:20" ht="15" customHeight="1" x14ac:dyDescent="0.25">
      <c r="J167" s="100"/>
      <c r="K167" s="100"/>
      <c r="L167" s="9"/>
      <c r="M167" s="9"/>
      <c r="N167" s="9"/>
      <c r="O167" s="100"/>
      <c r="P167" s="98">
        <v>13</v>
      </c>
      <c r="Q167" s="104">
        <v>1.1400948558920101</v>
      </c>
      <c r="R167" s="841"/>
      <c r="S167" s="841"/>
      <c r="T167" s="841"/>
    </row>
    <row r="168" spans="10:20" ht="15" customHeight="1" x14ac:dyDescent="0.25">
      <c r="J168" s="100"/>
      <c r="K168" s="100"/>
      <c r="L168" s="9"/>
      <c r="M168" s="9"/>
      <c r="N168" s="9"/>
      <c r="O168" s="100"/>
      <c r="P168" s="98">
        <v>15</v>
      </c>
      <c r="Q168" s="104">
        <v>1.0654619843163997</v>
      </c>
      <c r="R168" s="841"/>
      <c r="S168" s="841"/>
      <c r="T168" s="841"/>
    </row>
    <row r="169" spans="10:20" ht="15" customHeight="1" x14ac:dyDescent="0.25">
      <c r="J169" s="100"/>
      <c r="K169" s="100"/>
      <c r="L169" s="9"/>
      <c r="M169" s="9"/>
      <c r="N169" s="9"/>
      <c r="O169" s="100"/>
      <c r="P169" s="98">
        <v>16</v>
      </c>
      <c r="Q169" s="104">
        <v>1</v>
      </c>
      <c r="R169" s="841"/>
      <c r="S169" s="841"/>
      <c r="T169" s="841"/>
    </row>
    <row r="170" spans="10:20" ht="15" customHeight="1" x14ac:dyDescent="0.25">
      <c r="J170" s="100"/>
      <c r="K170" s="100"/>
      <c r="L170" s="9"/>
      <c r="M170" s="9"/>
      <c r="N170" s="9"/>
      <c r="O170" s="100"/>
      <c r="P170" s="98">
        <v>17</v>
      </c>
      <c r="Q170" s="104">
        <v>0.9512937595129376</v>
      </c>
      <c r="R170" s="841"/>
      <c r="S170" s="841"/>
      <c r="T170" s="841"/>
    </row>
    <row r="171" spans="10:20" ht="15" customHeight="1" x14ac:dyDescent="0.25">
      <c r="J171" s="100"/>
      <c r="K171" s="100"/>
      <c r="L171" s="9"/>
      <c r="M171" s="9"/>
      <c r="N171" s="9"/>
      <c r="O171" s="100"/>
      <c r="P171" s="98">
        <v>18</v>
      </c>
      <c r="Q171" s="104">
        <v>0.90396297367659828</v>
      </c>
      <c r="R171" s="841"/>
      <c r="S171" s="841"/>
      <c r="T171" s="841"/>
    </row>
    <row r="172" spans="10:20" ht="15" customHeight="1" x14ac:dyDescent="0.25">
      <c r="J172" s="9"/>
      <c r="K172" s="9"/>
      <c r="L172" s="9"/>
      <c r="M172" s="9"/>
      <c r="N172" s="9"/>
      <c r="O172" s="100"/>
      <c r="P172" s="98">
        <v>19</v>
      </c>
      <c r="Q172" s="104">
        <v>0.86206896551724133</v>
      </c>
      <c r="R172" s="841"/>
      <c r="S172" s="841"/>
      <c r="T172" s="841"/>
    </row>
    <row r="173" spans="10:20" ht="15" customHeight="1" x14ac:dyDescent="0.25">
      <c r="J173" s="282"/>
      <c r="K173" s="282"/>
      <c r="L173" s="9"/>
      <c r="M173" s="9"/>
      <c r="N173" s="9"/>
      <c r="O173" s="100"/>
      <c r="P173" s="98"/>
      <c r="Q173" s="98"/>
      <c r="R173" s="841"/>
      <c r="S173" s="841"/>
      <c r="T173" s="841"/>
    </row>
    <row r="174" spans="10:20" ht="15" customHeight="1" x14ac:dyDescent="0.25">
      <c r="J174" s="282"/>
      <c r="K174" s="282"/>
      <c r="L174" s="9"/>
      <c r="M174" s="9"/>
      <c r="N174" s="9"/>
      <c r="O174" s="100"/>
      <c r="P174" s="98" t="s">
        <v>151</v>
      </c>
      <c r="Q174" s="104">
        <v>0.84850983425626991</v>
      </c>
      <c r="R174" s="841"/>
      <c r="S174" s="841"/>
      <c r="T174" s="841"/>
    </row>
    <row r="175" spans="10:20" ht="15" customHeight="1" x14ac:dyDescent="0.25">
      <c r="J175" s="282"/>
      <c r="K175" s="282"/>
      <c r="L175" s="9"/>
      <c r="M175" s="9"/>
      <c r="N175" s="9"/>
      <c r="O175" s="100"/>
      <c r="P175" s="98" t="s">
        <v>152</v>
      </c>
      <c r="Q175" s="104">
        <v>0.95644970514280891</v>
      </c>
      <c r="R175" s="841"/>
      <c r="S175" s="841"/>
      <c r="T175" s="841"/>
    </row>
    <row r="176" spans="10:20" ht="15" customHeight="1" x14ac:dyDescent="0.25">
      <c r="J176" s="282"/>
      <c r="K176" s="282"/>
      <c r="L176" s="9"/>
      <c r="M176" s="9"/>
      <c r="N176" s="9"/>
      <c r="O176" s="100"/>
      <c r="P176" s="98" t="s">
        <v>153</v>
      </c>
      <c r="Q176" s="104">
        <v>1.0724815775944274</v>
      </c>
      <c r="R176" s="841"/>
      <c r="S176" s="841"/>
      <c r="T176" s="841"/>
    </row>
    <row r="177" spans="10:20" ht="15" customHeight="1" x14ac:dyDescent="0.25">
      <c r="J177" s="282"/>
      <c r="K177" s="282"/>
      <c r="L177" s="9"/>
      <c r="M177" s="9"/>
      <c r="N177" s="9"/>
      <c r="O177" s="100"/>
      <c r="P177" s="98" t="s">
        <v>154</v>
      </c>
      <c r="Q177" s="104">
        <v>1.4605498335146292</v>
      </c>
      <c r="R177" s="841"/>
      <c r="S177" s="841"/>
      <c r="T177" s="841"/>
    </row>
    <row r="178" spans="10:20" ht="15" customHeight="1" x14ac:dyDescent="0.25">
      <c r="J178" s="282"/>
      <c r="K178" s="282"/>
      <c r="L178" s="9"/>
      <c r="M178" s="9"/>
      <c r="N178" s="9"/>
      <c r="O178" s="100"/>
      <c r="P178" s="98"/>
      <c r="Q178" s="98"/>
      <c r="R178" s="841"/>
      <c r="S178" s="841"/>
      <c r="T178" s="841"/>
    </row>
    <row r="179" spans="10:20" ht="15" customHeight="1" x14ac:dyDescent="0.25">
      <c r="J179" s="282"/>
      <c r="K179" s="282"/>
      <c r="L179" s="9"/>
      <c r="M179" s="9"/>
      <c r="N179" s="9"/>
      <c r="O179" s="100"/>
      <c r="P179" s="98" t="s">
        <v>155</v>
      </c>
      <c r="Q179" s="103">
        <v>79.979222006614009</v>
      </c>
      <c r="R179" s="841"/>
      <c r="S179" s="841"/>
      <c r="T179" s="841"/>
    </row>
    <row r="180" spans="10:20" ht="15" customHeight="1" x14ac:dyDescent="0.25">
      <c r="J180" s="282"/>
      <c r="K180" s="282"/>
      <c r="L180" s="9"/>
      <c r="M180" s="9"/>
      <c r="N180" s="9"/>
      <c r="O180" s="100"/>
      <c r="P180" s="98" t="s">
        <v>156</v>
      </c>
      <c r="Q180" s="102">
        <v>62.99882880042162</v>
      </c>
      <c r="R180" s="841"/>
      <c r="S180" s="841"/>
      <c r="T180" s="841"/>
    </row>
    <row r="181" spans="10:20" ht="15" customHeight="1" x14ac:dyDescent="0.25">
      <c r="J181" s="282"/>
      <c r="K181" s="282"/>
      <c r="L181" s="9"/>
      <c r="M181" s="9"/>
      <c r="N181" s="9"/>
      <c r="O181" s="100"/>
      <c r="P181" s="98"/>
      <c r="Q181" s="102"/>
      <c r="R181" s="100"/>
      <c r="S181" s="100"/>
      <c r="T181" s="100"/>
    </row>
    <row r="182" spans="10:20" ht="15" customHeight="1" x14ac:dyDescent="0.25">
      <c r="J182" s="282"/>
      <c r="K182" s="282"/>
      <c r="L182" s="100"/>
      <c r="M182" s="100"/>
      <c r="N182" s="100"/>
      <c r="O182" s="100"/>
      <c r="P182" s="100"/>
      <c r="Q182" s="100"/>
      <c r="R182" s="100"/>
      <c r="S182" s="100"/>
      <c r="T182" s="100"/>
    </row>
    <row r="183" spans="10:20" ht="15" customHeight="1" x14ac:dyDescent="0.25">
      <c r="J183" s="282"/>
      <c r="K183" s="282"/>
      <c r="L183" s="100"/>
      <c r="M183" s="100"/>
      <c r="N183" s="100"/>
      <c r="O183" s="100"/>
      <c r="P183" s="100"/>
      <c r="Q183" s="100"/>
      <c r="R183" s="100"/>
      <c r="S183" s="100"/>
      <c r="T183" s="100"/>
    </row>
    <row r="184" spans="10:20" ht="15" customHeight="1" x14ac:dyDescent="0.25">
      <c r="J184" s="282"/>
      <c r="K184" s="282"/>
      <c r="L184" s="840" t="s">
        <v>157</v>
      </c>
      <c r="M184" s="840"/>
      <c r="N184" s="840"/>
      <c r="O184" s="840"/>
      <c r="P184" s="840"/>
      <c r="Q184" s="840"/>
      <c r="R184" s="100"/>
      <c r="S184" s="100"/>
      <c r="T184" s="100"/>
    </row>
    <row r="185" spans="10:20" ht="15" customHeight="1" x14ac:dyDescent="0.25">
      <c r="J185" s="282"/>
      <c r="K185" s="282"/>
      <c r="L185" s="98" t="s">
        <v>94</v>
      </c>
      <c r="M185" s="98"/>
      <c r="N185" s="98" t="s">
        <v>158</v>
      </c>
      <c r="O185" s="102" t="s">
        <v>159</v>
      </c>
      <c r="P185" s="102" t="s">
        <v>160</v>
      </c>
      <c r="Q185" s="102"/>
      <c r="R185" s="100"/>
      <c r="S185" s="100"/>
      <c r="T185" s="100"/>
    </row>
    <row r="186" spans="10:20" ht="15" customHeight="1" x14ac:dyDescent="0.25">
      <c r="J186" s="282"/>
      <c r="K186" s="282"/>
      <c r="L186" s="101"/>
      <c r="M186" s="101"/>
      <c r="N186" s="101"/>
      <c r="O186" s="101">
        <v>1060.0999999999999</v>
      </c>
      <c r="P186" s="101">
        <v>-2399.3000000000002</v>
      </c>
      <c r="Q186" s="101"/>
      <c r="R186" s="100"/>
      <c r="S186" s="100"/>
      <c r="T186" s="100"/>
    </row>
    <row r="187" spans="10:20" ht="15" customHeight="1" x14ac:dyDescent="0.25">
      <c r="J187" s="282"/>
      <c r="K187" s="282"/>
      <c r="L187" s="100"/>
      <c r="M187" s="100"/>
      <c r="N187" s="100"/>
      <c r="O187" s="100"/>
      <c r="P187" s="100"/>
      <c r="Q187" s="100"/>
      <c r="R187" s="100"/>
      <c r="S187" s="100"/>
      <c r="T187" s="100"/>
    </row>
    <row r="188" spans="10:20" ht="15" customHeight="1" x14ac:dyDescent="0.25">
      <c r="J188" s="282"/>
      <c r="K188" s="282"/>
      <c r="L188" s="100"/>
      <c r="M188" s="100"/>
      <c r="N188" s="100"/>
      <c r="O188" s="100"/>
      <c r="P188" s="100"/>
      <c r="Q188" s="100"/>
      <c r="R188" s="100"/>
      <c r="S188" s="100"/>
      <c r="T188" s="100"/>
    </row>
    <row r="189" spans="10:20" ht="15" customHeight="1" x14ac:dyDescent="0.25">
      <c r="J189" s="282"/>
      <c r="K189" s="282"/>
      <c r="L189" s="840" t="s">
        <v>161</v>
      </c>
      <c r="M189" s="840"/>
      <c r="N189" s="840"/>
      <c r="O189" s="840"/>
      <c r="P189" s="840"/>
      <c r="Q189" s="840"/>
      <c r="R189" s="840"/>
      <c r="S189" s="840"/>
      <c r="T189" s="840"/>
    </row>
    <row r="190" spans="10:20" ht="15" customHeight="1" x14ac:dyDescent="0.25">
      <c r="J190" s="282"/>
      <c r="K190" s="282"/>
      <c r="L190" s="98" t="s">
        <v>94</v>
      </c>
      <c r="M190" s="98"/>
      <c r="N190" s="98" t="s">
        <v>158</v>
      </c>
      <c r="O190" s="99" t="s">
        <v>162</v>
      </c>
      <c r="P190" s="98" t="s">
        <v>163</v>
      </c>
      <c r="Q190" s="98" t="s">
        <v>164</v>
      </c>
      <c r="R190" s="98" t="s">
        <v>165</v>
      </c>
      <c r="S190" s="98" t="s">
        <v>166</v>
      </c>
      <c r="T190" s="98" t="s">
        <v>167</v>
      </c>
    </row>
    <row r="191" spans="10:20" ht="15" customHeight="1" x14ac:dyDescent="0.25">
      <c r="J191" s="282"/>
      <c r="K191" s="282"/>
      <c r="L191" s="98"/>
      <c r="M191" s="98"/>
      <c r="N191" s="98"/>
      <c r="O191" s="97">
        <v>7.4888348272605901E-8</v>
      </c>
      <c r="P191" s="97">
        <v>-7.0438233088272254E-5</v>
      </c>
      <c r="Q191" s="97">
        <v>3.9044417901091346E-3</v>
      </c>
      <c r="R191" s="97">
        <v>-7.6330776277602305E-2</v>
      </c>
      <c r="S191" s="97">
        <v>0.60108755068631614</v>
      </c>
      <c r="T191" s="97">
        <v>-0.57486709508721856</v>
      </c>
    </row>
    <row r="192" spans="10:20" ht="15" customHeight="1" x14ac:dyDescent="0.25"/>
    <row r="193" spans="10:20" ht="15" customHeight="1" x14ac:dyDescent="0.25"/>
    <row r="194" spans="10:20" ht="15" customHeight="1" x14ac:dyDescent="0.25">
      <c r="J194" s="842">
        <f>IFERROR(IF($C$16="M","No Matrix Calc",(IF($C$12="SR",($D$8*O217+P217)*Q205,IF($C$12="SR+",($D$8*O217+P217)*Q206,IF(OR($C$12="XR",$C$12="YR"),($D$8*O217+P217)*Q207,IF($C$12="DR",($D$8*O217+P217)*Q208,""))))+IF($C$13="(K)",$C$10*Q211,0)+IF($C$14="(BR)",$C$10*Q210,0))*(1/(O222*$D$8^5+P222*$D$8^4+Q222*$D$8^3+R222*$D$8^2+S222*$D$8+T222))*IF($C$11=P200,Q200,IF($C$11=P198,Q198,IF($C$11=P203,Q203,IF($C$11=P199,Q199,IF($C$11=P201,Q201,IF($C$11=P196,Q196,IF($C$11=P202,Q202,IF($C$11=P197,Q197,1))))))))),"")</f>
        <v>8238.3027919479482</v>
      </c>
      <c r="K194" s="9"/>
      <c r="L194" s="105"/>
      <c r="M194" s="105"/>
      <c r="N194" s="9"/>
      <c r="O194" s="9"/>
      <c r="P194" s="9"/>
      <c r="Q194" s="9"/>
      <c r="R194" s="9"/>
      <c r="S194" s="9"/>
      <c r="T194" s="9"/>
    </row>
    <row r="195" spans="10:20" ht="15" customHeight="1" thickBot="1" x14ac:dyDescent="0.3">
      <c r="J195" s="843"/>
      <c r="K195" s="106" t="s">
        <v>142</v>
      </c>
      <c r="L195" s="105"/>
      <c r="M195" s="105"/>
      <c r="N195" s="9"/>
      <c r="O195" s="9"/>
      <c r="P195" s="9"/>
      <c r="Q195" s="9"/>
      <c r="R195" s="9"/>
      <c r="S195" s="9"/>
      <c r="T195" s="9"/>
    </row>
    <row r="196" spans="10:20" ht="15" customHeight="1" x14ac:dyDescent="0.25">
      <c r="J196" s="100"/>
      <c r="K196" s="100"/>
      <c r="L196" s="9"/>
      <c r="M196" s="9"/>
      <c r="N196" s="9"/>
      <c r="O196" s="100"/>
      <c r="P196" s="98">
        <v>11</v>
      </c>
      <c r="Q196" s="104">
        <v>1.3213530655391119</v>
      </c>
      <c r="R196" s="841" t="s">
        <v>3</v>
      </c>
      <c r="S196" s="841"/>
      <c r="T196" s="841"/>
    </row>
    <row r="197" spans="10:20" ht="15" customHeight="1" x14ac:dyDescent="0.25">
      <c r="J197" s="100"/>
      <c r="K197" s="100"/>
      <c r="L197" s="9"/>
      <c r="M197" s="9"/>
      <c r="N197" s="9"/>
      <c r="O197" s="100"/>
      <c r="P197" s="98">
        <v>12</v>
      </c>
      <c r="Q197" s="104">
        <v>1.2259709690074538</v>
      </c>
      <c r="R197" s="841"/>
      <c r="S197" s="841"/>
      <c r="T197" s="841"/>
    </row>
    <row r="198" spans="10:20" ht="15" customHeight="1" x14ac:dyDescent="0.25">
      <c r="J198" s="100"/>
      <c r="K198" s="100"/>
      <c r="L198" s="9"/>
      <c r="M198" s="9"/>
      <c r="N198" s="9"/>
      <c r="O198" s="100"/>
      <c r="P198" s="98">
        <v>13</v>
      </c>
      <c r="Q198" s="104">
        <v>1.1400948558920101</v>
      </c>
      <c r="R198" s="841"/>
      <c r="S198" s="841"/>
      <c r="T198" s="841"/>
    </row>
    <row r="199" spans="10:20" ht="15" customHeight="1" x14ac:dyDescent="0.25">
      <c r="J199" s="100"/>
      <c r="K199" s="100"/>
      <c r="L199" s="9"/>
      <c r="M199" s="9"/>
      <c r="N199" s="9"/>
      <c r="O199" s="100"/>
      <c r="P199" s="98">
        <v>15</v>
      </c>
      <c r="Q199" s="104">
        <v>1.0654619843163997</v>
      </c>
      <c r="R199" s="841"/>
      <c r="S199" s="841"/>
      <c r="T199" s="841"/>
    </row>
    <row r="200" spans="10:20" ht="15" customHeight="1" x14ac:dyDescent="0.25">
      <c r="J200" s="100"/>
      <c r="K200" s="100"/>
      <c r="L200" s="9"/>
      <c r="M200" s="9"/>
      <c r="N200" s="9"/>
      <c r="O200" s="100"/>
      <c r="P200" s="98">
        <v>16</v>
      </c>
      <c r="Q200" s="104">
        <v>1</v>
      </c>
      <c r="R200" s="841"/>
      <c r="S200" s="841"/>
      <c r="T200" s="841"/>
    </row>
    <row r="201" spans="10:20" ht="15" customHeight="1" x14ac:dyDescent="0.25">
      <c r="J201" s="100"/>
      <c r="K201" s="100"/>
      <c r="L201" s="9"/>
      <c r="M201" s="9"/>
      <c r="N201" s="9"/>
      <c r="O201" s="100"/>
      <c r="P201" s="98">
        <v>17</v>
      </c>
      <c r="Q201" s="104">
        <v>0.9512937595129376</v>
      </c>
      <c r="R201" s="841"/>
      <c r="S201" s="841"/>
      <c r="T201" s="841"/>
    </row>
    <row r="202" spans="10:20" ht="15" customHeight="1" x14ac:dyDescent="0.25">
      <c r="J202" s="100"/>
      <c r="K202" s="100"/>
      <c r="L202" s="9"/>
      <c r="M202" s="9"/>
      <c r="N202" s="9"/>
      <c r="O202" s="100"/>
      <c r="P202" s="98">
        <v>18</v>
      </c>
      <c r="Q202" s="104">
        <v>0.90396297367659828</v>
      </c>
      <c r="R202" s="841"/>
      <c r="S202" s="841"/>
      <c r="T202" s="841"/>
    </row>
    <row r="203" spans="10:20" ht="15" customHeight="1" x14ac:dyDescent="0.25">
      <c r="J203" s="9"/>
      <c r="K203" s="9"/>
      <c r="L203" s="9"/>
      <c r="M203" s="9"/>
      <c r="N203" s="9"/>
      <c r="O203" s="100"/>
      <c r="P203" s="98">
        <v>19</v>
      </c>
      <c r="Q203" s="104">
        <v>0.86206896551724133</v>
      </c>
      <c r="R203" s="841"/>
      <c r="S203" s="841"/>
      <c r="T203" s="841"/>
    </row>
    <row r="204" spans="10:20" ht="15" customHeight="1" x14ac:dyDescent="0.25">
      <c r="J204" s="282"/>
      <c r="K204" s="282"/>
      <c r="L204" s="9"/>
      <c r="M204" s="9"/>
      <c r="N204" s="9"/>
      <c r="O204" s="100"/>
      <c r="P204" s="98"/>
      <c r="Q204" s="98"/>
      <c r="R204" s="841"/>
      <c r="S204" s="841"/>
      <c r="T204" s="841"/>
    </row>
    <row r="205" spans="10:20" ht="15" customHeight="1" x14ac:dyDescent="0.25">
      <c r="J205" s="282"/>
      <c r="K205" s="282"/>
      <c r="L205" s="9"/>
      <c r="M205" s="9"/>
      <c r="N205" s="9"/>
      <c r="O205" s="100"/>
      <c r="P205" s="98" t="s">
        <v>151</v>
      </c>
      <c r="Q205" s="104">
        <v>0.8272640847772329</v>
      </c>
      <c r="R205" s="841"/>
      <c r="S205" s="841"/>
      <c r="T205" s="841"/>
    </row>
    <row r="206" spans="10:20" ht="15" customHeight="1" x14ac:dyDescent="0.25">
      <c r="J206" s="282"/>
      <c r="K206" s="282"/>
      <c r="L206" s="9"/>
      <c r="M206" s="9"/>
      <c r="N206" s="9"/>
      <c r="O206" s="100"/>
      <c r="P206" s="98" t="s">
        <v>152</v>
      </c>
      <c r="Q206" s="104">
        <v>0.98627751644086914</v>
      </c>
      <c r="R206" s="841"/>
      <c r="S206" s="841"/>
      <c r="T206" s="841"/>
    </row>
    <row r="207" spans="10:20" ht="15" customHeight="1" x14ac:dyDescent="0.25">
      <c r="J207" s="282"/>
      <c r="K207" s="282"/>
      <c r="L207" s="9"/>
      <c r="M207" s="9"/>
      <c r="N207" s="9"/>
      <c r="O207" s="100"/>
      <c r="P207" s="98" t="s">
        <v>153</v>
      </c>
      <c r="Q207" s="104">
        <v>1.1284409654338301</v>
      </c>
      <c r="R207" s="841"/>
      <c r="S207" s="841"/>
      <c r="T207" s="841"/>
    </row>
    <row r="208" spans="10:20" ht="15" customHeight="1" x14ac:dyDescent="0.25">
      <c r="J208" s="282"/>
      <c r="K208" s="282"/>
      <c r="L208" s="9"/>
      <c r="M208" s="9"/>
      <c r="N208" s="9"/>
      <c r="O208" s="100"/>
      <c r="P208" s="98" t="s">
        <v>154</v>
      </c>
      <c r="Q208" s="104">
        <v>1.4478101800119376</v>
      </c>
      <c r="R208" s="841"/>
      <c r="S208" s="841"/>
      <c r="T208" s="841"/>
    </row>
    <row r="209" spans="10:20" ht="15" customHeight="1" x14ac:dyDescent="0.25">
      <c r="J209" s="282"/>
      <c r="K209" s="282"/>
      <c r="L209" s="9"/>
      <c r="M209" s="9"/>
      <c r="N209" s="9"/>
      <c r="O209" s="100"/>
      <c r="P209" s="98"/>
      <c r="Q209" s="98"/>
      <c r="R209" s="841"/>
      <c r="S209" s="841"/>
      <c r="T209" s="841"/>
    </row>
    <row r="210" spans="10:20" ht="15" customHeight="1" x14ac:dyDescent="0.25">
      <c r="J210" s="282"/>
      <c r="K210" s="282"/>
      <c r="L210" s="9"/>
      <c r="M210" s="9"/>
      <c r="N210" s="9"/>
      <c r="O210" s="100"/>
      <c r="P210" s="98" t="s">
        <v>155</v>
      </c>
      <c r="Q210" s="103">
        <v>103.41389237382899</v>
      </c>
      <c r="R210" s="841"/>
      <c r="S210" s="841"/>
      <c r="T210" s="841"/>
    </row>
    <row r="211" spans="10:20" ht="15" customHeight="1" x14ac:dyDescent="0.25">
      <c r="J211" s="282"/>
      <c r="K211" s="282"/>
      <c r="L211" s="9"/>
      <c r="M211" s="9"/>
      <c r="N211" s="9"/>
      <c r="O211" s="100"/>
      <c r="P211" s="98" t="s">
        <v>156</v>
      </c>
      <c r="Q211" s="102">
        <v>33.689591755087861</v>
      </c>
      <c r="R211" s="841"/>
      <c r="S211" s="841"/>
      <c r="T211" s="841"/>
    </row>
    <row r="212" spans="10:20" ht="15" customHeight="1" x14ac:dyDescent="0.25">
      <c r="J212" s="282"/>
      <c r="K212" s="282"/>
      <c r="L212" s="9"/>
      <c r="M212" s="9"/>
      <c r="N212" s="9"/>
      <c r="O212" s="100"/>
      <c r="P212" s="98"/>
      <c r="Q212" s="102"/>
      <c r="R212" s="100"/>
      <c r="S212" s="100"/>
      <c r="T212" s="100"/>
    </row>
    <row r="213" spans="10:20" ht="15" customHeight="1" x14ac:dyDescent="0.25">
      <c r="J213" s="282"/>
      <c r="K213" s="282"/>
      <c r="L213" s="100"/>
      <c r="M213" s="100"/>
      <c r="N213" s="100"/>
      <c r="O213" s="100"/>
      <c r="P213" s="100"/>
      <c r="Q213" s="100"/>
      <c r="R213" s="100"/>
      <c r="S213" s="100"/>
      <c r="T213" s="100"/>
    </row>
    <row r="214" spans="10:20" ht="15" customHeight="1" x14ac:dyDescent="0.25">
      <c r="J214" s="282"/>
      <c r="K214" s="282"/>
      <c r="L214" s="100"/>
      <c r="M214" s="100"/>
      <c r="N214" s="100"/>
      <c r="O214" s="100"/>
      <c r="P214" s="100"/>
      <c r="Q214" s="100"/>
      <c r="R214" s="100"/>
      <c r="S214" s="100"/>
      <c r="T214" s="100"/>
    </row>
    <row r="215" spans="10:20" ht="15" customHeight="1" x14ac:dyDescent="0.25">
      <c r="J215" s="282"/>
      <c r="K215" s="282"/>
      <c r="L215" s="840" t="s">
        <v>157</v>
      </c>
      <c r="M215" s="840"/>
      <c r="N215" s="840"/>
      <c r="O215" s="840"/>
      <c r="P215" s="840"/>
      <c r="Q215" s="840"/>
      <c r="R215" s="100"/>
      <c r="S215" s="100"/>
      <c r="T215" s="100"/>
    </row>
    <row r="216" spans="10:20" ht="15" customHeight="1" x14ac:dyDescent="0.25">
      <c r="J216" s="282"/>
      <c r="K216" s="282"/>
      <c r="L216" s="98" t="s">
        <v>94</v>
      </c>
      <c r="M216" s="98"/>
      <c r="N216" s="98" t="s">
        <v>158</v>
      </c>
      <c r="O216" s="102" t="s">
        <v>159</v>
      </c>
      <c r="P216" s="102" t="s">
        <v>160</v>
      </c>
      <c r="Q216" s="102"/>
      <c r="R216" s="100"/>
      <c r="S216" s="100"/>
      <c r="T216" s="100"/>
    </row>
    <row r="217" spans="10:20" ht="15" customHeight="1" x14ac:dyDescent="0.25">
      <c r="J217" s="282"/>
      <c r="K217" s="282"/>
      <c r="L217" s="101"/>
      <c r="M217" s="101"/>
      <c r="N217" s="101"/>
      <c r="O217" s="101">
        <v>1108.9000000000001</v>
      </c>
      <c r="P217" s="101">
        <v>-2228.1999999999998</v>
      </c>
      <c r="Q217" s="101"/>
      <c r="R217" s="100"/>
      <c r="S217" s="100"/>
      <c r="T217" s="100"/>
    </row>
    <row r="218" spans="10:20" ht="15" customHeight="1" x14ac:dyDescent="0.25">
      <c r="J218" s="282"/>
      <c r="K218" s="282"/>
      <c r="L218" s="100"/>
      <c r="M218" s="100"/>
      <c r="N218" s="100"/>
      <c r="O218" s="100"/>
      <c r="P218" s="100"/>
      <c r="Q218" s="100"/>
      <c r="R218" s="100"/>
      <c r="S218" s="100"/>
      <c r="T218" s="100"/>
    </row>
    <row r="219" spans="10:20" ht="15" customHeight="1" x14ac:dyDescent="0.25">
      <c r="J219" s="282"/>
      <c r="K219" s="282"/>
      <c r="L219" s="100"/>
      <c r="M219" s="100"/>
      <c r="N219" s="100"/>
      <c r="O219" s="100"/>
      <c r="P219" s="100"/>
      <c r="Q219" s="100"/>
      <c r="R219" s="100"/>
      <c r="S219" s="100"/>
      <c r="T219" s="100"/>
    </row>
    <row r="220" spans="10:20" ht="15" customHeight="1" x14ac:dyDescent="0.25">
      <c r="J220" s="282"/>
      <c r="K220" s="282"/>
      <c r="L220" s="840" t="s">
        <v>161</v>
      </c>
      <c r="M220" s="840"/>
      <c r="N220" s="840"/>
      <c r="O220" s="840"/>
      <c r="P220" s="840"/>
      <c r="Q220" s="840"/>
      <c r="R220" s="840"/>
      <c r="S220" s="840"/>
      <c r="T220" s="840"/>
    </row>
    <row r="221" spans="10:20" ht="15" customHeight="1" x14ac:dyDescent="0.25">
      <c r="J221" s="282"/>
      <c r="K221" s="282"/>
      <c r="L221" s="98" t="s">
        <v>94</v>
      </c>
      <c r="M221" s="98"/>
      <c r="N221" s="98" t="s">
        <v>158</v>
      </c>
      <c r="O221" s="99" t="s">
        <v>162</v>
      </c>
      <c r="P221" s="98" t="s">
        <v>163</v>
      </c>
      <c r="Q221" s="98" t="s">
        <v>164</v>
      </c>
      <c r="R221" s="98" t="s">
        <v>165</v>
      </c>
      <c r="S221" s="98" t="s">
        <v>166</v>
      </c>
      <c r="T221" s="98" t="s">
        <v>167</v>
      </c>
    </row>
    <row r="222" spans="10:20" ht="15" customHeight="1" x14ac:dyDescent="0.25">
      <c r="J222" s="282"/>
      <c r="K222" s="282"/>
      <c r="L222" s="98"/>
      <c r="M222" s="98"/>
      <c r="N222" s="98"/>
      <c r="O222" s="97">
        <v>-3.9157037724386216E-7</v>
      </c>
      <c r="P222" s="97">
        <v>-2.0622821590737368E-5</v>
      </c>
      <c r="Q222" s="97">
        <v>1.9675047160821221E-3</v>
      </c>
      <c r="R222" s="97">
        <v>-4.1384934364199238E-2</v>
      </c>
      <c r="S222" s="97">
        <v>0.30713824302801485</v>
      </c>
      <c r="T222" s="97">
        <v>0.34842817549065375</v>
      </c>
    </row>
    <row r="223" spans="10:20" ht="15" customHeight="1" x14ac:dyDescent="0.25"/>
    <row r="224" spans="10:20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</sheetData>
  <mergeCells count="28">
    <mergeCell ref="L153:Q153"/>
    <mergeCell ref="L158:T158"/>
    <mergeCell ref="L29:Q29"/>
    <mergeCell ref="L34:T34"/>
    <mergeCell ref="R134:T149"/>
    <mergeCell ref="R10:T25"/>
    <mergeCell ref="R103:T118"/>
    <mergeCell ref="L122:Q122"/>
    <mergeCell ref="L127:T127"/>
    <mergeCell ref="J132:J133"/>
    <mergeCell ref="J39:J40"/>
    <mergeCell ref="R41:T56"/>
    <mergeCell ref="B18:I37"/>
    <mergeCell ref="L220:T220"/>
    <mergeCell ref="R165:T180"/>
    <mergeCell ref="L184:Q184"/>
    <mergeCell ref="L189:T189"/>
    <mergeCell ref="J194:J195"/>
    <mergeCell ref="R196:T211"/>
    <mergeCell ref="L215:Q215"/>
    <mergeCell ref="L60:Q60"/>
    <mergeCell ref="L65:T65"/>
    <mergeCell ref="J70:J71"/>
    <mergeCell ref="J163:J164"/>
    <mergeCell ref="R72:T87"/>
    <mergeCell ref="L91:Q91"/>
    <mergeCell ref="L96:T96"/>
    <mergeCell ref="J101:J102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750E4-9652-4217-B9A7-EEA015E36A33}">
  <sheetPr codeName="Sheet12"/>
  <dimension ref="B4:Q37"/>
  <sheetViews>
    <sheetView workbookViewId="0">
      <selection activeCell="K4" sqref="K4"/>
    </sheetView>
  </sheetViews>
  <sheetFormatPr defaultRowHeight="15" x14ac:dyDescent="0.25"/>
  <cols>
    <col min="1" max="1" width="2.7109375" customWidth="1"/>
    <col min="3" max="3" width="8.5703125" bestFit="1" customWidth="1"/>
    <col min="4" max="4" width="14.28515625" bestFit="1" customWidth="1"/>
    <col min="5" max="5" width="10.140625" bestFit="1" customWidth="1"/>
    <col min="6" max="6" width="8.42578125" bestFit="1" customWidth="1"/>
    <col min="7" max="7" width="2" bestFit="1" customWidth="1"/>
    <col min="9" max="9" width="2" bestFit="1" customWidth="1"/>
    <col min="10" max="10" width="14.7109375" bestFit="1" customWidth="1"/>
    <col min="11" max="11" width="15.42578125" bestFit="1" customWidth="1"/>
    <col min="12" max="12" width="14.7109375" bestFit="1" customWidth="1"/>
    <col min="13" max="13" width="15.42578125" bestFit="1" customWidth="1"/>
    <col min="14" max="14" width="14.7109375" bestFit="1" customWidth="1"/>
    <col min="15" max="15" width="15.42578125" bestFit="1" customWidth="1"/>
  </cols>
  <sheetData>
    <row r="4" spans="2:17" x14ac:dyDescent="0.25">
      <c r="E4" s="3"/>
    </row>
    <row r="7" spans="2:17" x14ac:dyDescent="0.25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17" x14ac:dyDescent="0.25">
      <c r="B8" s="9"/>
      <c r="C8" s="111" t="s">
        <v>26</v>
      </c>
      <c r="D8" s="110" t="str">
        <f>IF('Profitability Projections'!$F$20=0,"",'Profitability Projections'!$F$20)</f>
        <v>10.625</v>
      </c>
      <c r="E8" s="842">
        <f>IFERROR(IF($C$16="M","No Matrix Calc",(IF($C$12="SR",($D$8*$J$31+$K$31)*$L$19,IF($C$12="SR+",($D$8*$J$31+$K$31)*$L$20,IF(OR($C$12="XR",$C$12="YR"),($D$8*$J$31+$K$31)*$L$21,IF($C$12="DR",($D$8*$J$31+$K$31)*$L$22,""))))+($C$15*$L$26)+IF($C$13="(K)",$C$10*$L$25,0)+IF($C$14="(BR)",$C$10*$L$24,0))*(1/($J$36*$D$8^5+$K$36*$D$8^4+$L$36*$D$8^3+$M$36*$D$8^2+$N$36*$D$8+$O$36))*IF($C$11=$K$14,$L$14,IF($C$11=$K$12,$L$12,IF($C$11=$K$17,$L$17,IF($C$11=$K$13,$L$13,IF($C$11=$K$15,$L$15,IF($C$11=$K$10,$L$10,IF($C$11=$K$16,$L$16,IF($C$11=$K$11,$L$11,1))))))))),"")</f>
        <v>4427.6218634271663</v>
      </c>
      <c r="F8" s="9"/>
      <c r="G8" s="105"/>
      <c r="H8" s="105"/>
      <c r="I8" s="9"/>
      <c r="J8" s="9"/>
      <c r="K8" s="9"/>
      <c r="L8" s="9"/>
      <c r="M8" s="9"/>
      <c r="N8" s="9"/>
      <c r="O8" s="9"/>
      <c r="P8" s="9"/>
      <c r="Q8" s="9"/>
    </row>
    <row r="9" spans="2:17" ht="15.75" thickBot="1" x14ac:dyDescent="0.3">
      <c r="B9" s="109"/>
      <c r="C9" s="108" t="s">
        <v>29</v>
      </c>
      <c r="D9" s="107" t="str">
        <f>'Profitability Projections'!$F$21</f>
        <v>616-SR9(K)</v>
      </c>
      <c r="E9" s="843"/>
      <c r="F9" s="106" t="s">
        <v>142</v>
      </c>
      <c r="G9" s="105"/>
      <c r="H9" s="105"/>
      <c r="I9" s="9"/>
      <c r="J9" s="9"/>
      <c r="K9" s="9"/>
      <c r="L9" s="9"/>
      <c r="M9" s="9"/>
      <c r="N9" s="9"/>
      <c r="O9" s="9"/>
      <c r="P9" s="9"/>
      <c r="Q9" s="9"/>
    </row>
    <row r="10" spans="2:17" x14ac:dyDescent="0.25">
      <c r="B10" s="9"/>
      <c r="C10" s="98">
        <f>IFERROR(VALUE(LEFT(D9,1)),"")</f>
        <v>6</v>
      </c>
      <c r="D10" s="840" t="s">
        <v>143</v>
      </c>
      <c r="E10" s="840"/>
      <c r="F10" s="840"/>
      <c r="G10" s="9"/>
      <c r="H10" s="9"/>
      <c r="I10" s="9"/>
      <c r="J10" s="100"/>
      <c r="K10" s="98">
        <v>11</v>
      </c>
      <c r="L10" s="104">
        <v>0.97316813427208859</v>
      </c>
      <c r="M10" s="100"/>
      <c r="N10" s="100"/>
      <c r="O10" s="100"/>
      <c r="P10" s="100"/>
      <c r="Q10" s="100"/>
    </row>
    <row r="11" spans="2:17" x14ac:dyDescent="0.25">
      <c r="B11" s="9"/>
      <c r="C11" s="98">
        <f>IFERROR(VALUE(SUBSTITUTE(MID(D9,2,(FIND("-",D9)-2)),"M","")),"")</f>
        <v>16</v>
      </c>
      <c r="D11" s="840" t="s">
        <v>144</v>
      </c>
      <c r="E11" s="840"/>
      <c r="F11" s="840"/>
      <c r="G11" s="9"/>
      <c r="H11" s="9"/>
      <c r="I11" s="9"/>
      <c r="J11" s="100"/>
      <c r="K11" s="98">
        <v>12</v>
      </c>
      <c r="L11" s="104">
        <v>0.9728</v>
      </c>
      <c r="M11" s="100"/>
      <c r="N11" s="100"/>
      <c r="O11" s="100"/>
      <c r="P11" s="100"/>
      <c r="Q11" s="100"/>
    </row>
    <row r="12" spans="2:17" x14ac:dyDescent="0.25">
      <c r="B12" s="9"/>
      <c r="C12" s="98" t="str">
        <f>IFERROR(IF(RIGHT(LEFT(RIGHT(D9,(LEN(D9)-FIND("-",D9))),3),1)="+",LEFT(RIGHT(D9,(LEN(D9)-FIND("-",D9))),3),LEFT(RIGHT(D9,(LEN(D9)-FIND("-",D9))),2)),"")</f>
        <v>SR</v>
      </c>
      <c r="D12" s="840" t="s">
        <v>145</v>
      </c>
      <c r="E12" s="840"/>
      <c r="F12" s="840"/>
      <c r="G12" s="9"/>
      <c r="H12" s="9"/>
      <c r="I12" s="9"/>
      <c r="J12" s="100"/>
      <c r="K12" s="98">
        <v>13</v>
      </c>
      <c r="L12" s="104">
        <v>0.97245410263229193</v>
      </c>
      <c r="M12" s="100"/>
      <c r="N12" s="100"/>
      <c r="O12" s="100"/>
      <c r="P12" s="100"/>
      <c r="Q12" s="100"/>
    </row>
    <row r="13" spans="2:17" x14ac:dyDescent="0.25">
      <c r="B13" s="9"/>
      <c r="C13" s="98" t="str">
        <f>IF(ISNUMBER(FIND("(K)",RIGHT(D9,(LEN(D9)-FIND("-",D9))))),"(K)","")</f>
        <v>(K)</v>
      </c>
      <c r="D13" s="840" t="s">
        <v>146</v>
      </c>
      <c r="E13" s="840"/>
      <c r="F13" s="840"/>
      <c r="G13" s="9"/>
      <c r="H13" s="9"/>
      <c r="I13" s="9"/>
      <c r="J13" s="100"/>
      <c r="K13" s="98">
        <v>14.5</v>
      </c>
      <c r="L13" s="104">
        <v>0.89320658044571688</v>
      </c>
      <c r="M13" s="100"/>
      <c r="N13" s="100"/>
      <c r="O13" s="100"/>
      <c r="P13" s="100"/>
      <c r="Q13" s="100"/>
    </row>
    <row r="14" spans="2:17" x14ac:dyDescent="0.25">
      <c r="B14" s="9"/>
      <c r="C14" s="98" t="str">
        <f>IF(ISNUMBER(FIND("(BR)",RIGHT(D9,(LEN(D9)-FIND("-",D9))))),"(BR)","")</f>
        <v/>
      </c>
      <c r="D14" s="840" t="s">
        <v>147</v>
      </c>
      <c r="E14" s="840"/>
      <c r="F14" s="840"/>
      <c r="G14" s="9"/>
      <c r="H14" s="9"/>
      <c r="I14" s="9"/>
      <c r="J14" s="100"/>
      <c r="K14" s="98">
        <v>16</v>
      </c>
      <c r="L14" s="104">
        <v>1.0217219520490497</v>
      </c>
      <c r="M14" s="100"/>
      <c r="N14" s="100"/>
      <c r="O14" s="100"/>
      <c r="P14" s="100"/>
      <c r="Q14" s="100"/>
    </row>
    <row r="15" spans="2:17" x14ac:dyDescent="0.25">
      <c r="B15" s="9"/>
      <c r="C15" s="98">
        <f>IFERROR(VALUE(IF(ISNUMBER(VALUE(SUBSTITUTE(SUBSTITUTE(SUBSTITUTE(RIGHT(D9,(LEN(D9)-FIND("-",D9))),C14,""),C13,""),C12,""))),SUBSTITUTE(SUBSTITUTE(SUBSTITUTE(RIGHT(D9,(LEN(D9)-FIND("-",D9))),C14,""),C13,""),C12,""),C10)),"")</f>
        <v>9</v>
      </c>
      <c r="D15" s="840" t="s">
        <v>148</v>
      </c>
      <c r="E15" s="840"/>
      <c r="F15" s="840"/>
      <c r="G15" s="9"/>
      <c r="H15" s="9"/>
      <c r="I15" s="9"/>
      <c r="J15" s="100"/>
      <c r="K15" s="98">
        <v>17</v>
      </c>
      <c r="L15" s="104">
        <v>0.9512937595129376</v>
      </c>
      <c r="M15" s="100"/>
      <c r="N15" s="100"/>
      <c r="O15" s="100"/>
      <c r="P15" s="100"/>
      <c r="Q15" s="100"/>
    </row>
    <row r="16" spans="2:17" x14ac:dyDescent="0.25">
      <c r="B16" s="9"/>
      <c r="C16" s="98" t="str">
        <f>IF(ISNUMBER(FIND("M",MID(D9,2,(FIND("-",D9)-2)))),"M","")</f>
        <v/>
      </c>
      <c r="D16" s="840" t="s">
        <v>149</v>
      </c>
      <c r="E16" s="840"/>
      <c r="F16" s="840"/>
      <c r="G16" s="9"/>
      <c r="H16" s="9"/>
      <c r="I16" s="9"/>
      <c r="J16" s="100"/>
      <c r="K16" s="98">
        <v>18</v>
      </c>
      <c r="L16" s="104">
        <v>0.90396297367659828</v>
      </c>
      <c r="M16" s="100"/>
      <c r="N16" s="100"/>
      <c r="O16" s="100"/>
      <c r="P16" s="100"/>
      <c r="Q16" s="100"/>
    </row>
    <row r="17" spans="2:17" x14ac:dyDescent="0.25">
      <c r="B17" s="9"/>
      <c r="C17" s="9"/>
      <c r="D17" s="9"/>
      <c r="E17" s="9"/>
      <c r="F17" s="9"/>
      <c r="G17" s="9"/>
      <c r="H17" s="9"/>
      <c r="I17" s="9"/>
      <c r="J17" s="100"/>
      <c r="K17" s="98">
        <v>19</v>
      </c>
      <c r="L17" s="104">
        <v>0.91817429305939968</v>
      </c>
      <c r="M17" s="100"/>
      <c r="N17" s="100"/>
      <c r="O17" s="100"/>
      <c r="P17" s="100"/>
      <c r="Q17" s="100"/>
    </row>
    <row r="18" spans="2:17" x14ac:dyDescent="0.25">
      <c r="B18" s="839" t="s">
        <v>150</v>
      </c>
      <c r="C18" s="839"/>
      <c r="D18" s="839"/>
      <c r="E18" s="839"/>
      <c r="F18" s="839"/>
      <c r="G18" s="9"/>
      <c r="H18" s="9"/>
      <c r="I18" s="9"/>
      <c r="J18" s="100"/>
      <c r="K18" s="98"/>
      <c r="L18" s="98"/>
      <c r="M18" s="100"/>
      <c r="N18" s="100"/>
      <c r="O18" s="100"/>
      <c r="P18" s="100"/>
      <c r="Q18" s="100"/>
    </row>
    <row r="19" spans="2:17" x14ac:dyDescent="0.25">
      <c r="B19" s="839"/>
      <c r="C19" s="839"/>
      <c r="D19" s="839"/>
      <c r="E19" s="839"/>
      <c r="F19" s="839"/>
      <c r="G19" s="9"/>
      <c r="H19" s="9"/>
      <c r="I19" s="9"/>
      <c r="J19" s="100"/>
      <c r="K19" s="98" t="s">
        <v>151</v>
      </c>
      <c r="L19" s="104">
        <v>0.79028916688477202</v>
      </c>
      <c r="M19" s="100"/>
      <c r="N19" s="100"/>
      <c r="O19" s="100"/>
      <c r="P19" s="100"/>
      <c r="Q19" s="100"/>
    </row>
    <row r="20" spans="2:17" x14ac:dyDescent="0.25">
      <c r="B20" s="839"/>
      <c r="C20" s="839"/>
      <c r="D20" s="839"/>
      <c r="E20" s="839"/>
      <c r="F20" s="839"/>
      <c r="G20" s="9"/>
      <c r="H20" s="9"/>
      <c r="I20" s="9"/>
      <c r="J20" s="100"/>
      <c r="K20" s="98" t="s">
        <v>152</v>
      </c>
      <c r="L20" s="104">
        <v>0.96391136320061999</v>
      </c>
      <c r="M20" s="100"/>
      <c r="N20" s="100"/>
      <c r="O20" s="100"/>
      <c r="P20" s="100"/>
      <c r="Q20" s="100"/>
    </row>
    <row r="21" spans="2:17" x14ac:dyDescent="0.25">
      <c r="B21" s="839"/>
      <c r="C21" s="839"/>
      <c r="D21" s="839"/>
      <c r="E21" s="839"/>
      <c r="F21" s="839"/>
      <c r="G21" s="9"/>
      <c r="H21" s="9"/>
      <c r="I21" s="9"/>
      <c r="J21" s="100"/>
      <c r="K21" s="98" t="s">
        <v>153</v>
      </c>
      <c r="L21" s="104">
        <v>0.9367174431245745</v>
      </c>
      <c r="M21" s="100"/>
      <c r="N21" s="100"/>
      <c r="O21" s="100"/>
      <c r="P21" s="100"/>
      <c r="Q21" s="100"/>
    </row>
    <row r="22" spans="2:17" x14ac:dyDescent="0.25">
      <c r="B22" s="839"/>
      <c r="C22" s="839"/>
      <c r="D22" s="839"/>
      <c r="E22" s="839"/>
      <c r="F22" s="839"/>
      <c r="G22" s="9"/>
      <c r="H22" s="9"/>
      <c r="I22" s="9"/>
      <c r="J22" s="100"/>
      <c r="K22" s="98" t="s">
        <v>154</v>
      </c>
      <c r="L22" s="104">
        <v>0.98331389485431175</v>
      </c>
      <c r="M22" s="100"/>
      <c r="N22" s="100"/>
      <c r="O22" s="100"/>
      <c r="P22" s="100"/>
      <c r="Q22" s="100"/>
    </row>
    <row r="23" spans="2:17" x14ac:dyDescent="0.25">
      <c r="B23" s="839"/>
      <c r="C23" s="839"/>
      <c r="D23" s="839"/>
      <c r="E23" s="839"/>
      <c r="F23" s="839"/>
      <c r="G23" s="9"/>
      <c r="H23" s="9"/>
      <c r="I23" s="9"/>
      <c r="J23" s="100"/>
      <c r="K23" s="98"/>
      <c r="L23" s="98"/>
      <c r="M23" s="100"/>
      <c r="N23" s="100"/>
      <c r="O23" s="100"/>
      <c r="P23" s="100"/>
      <c r="Q23" s="100"/>
    </row>
    <row r="24" spans="2:17" x14ac:dyDescent="0.25">
      <c r="B24" s="839"/>
      <c r="C24" s="839"/>
      <c r="D24" s="839"/>
      <c r="E24" s="839"/>
      <c r="F24" s="839"/>
      <c r="G24" s="9"/>
      <c r="H24" s="9"/>
      <c r="I24" s="9"/>
      <c r="J24" s="100"/>
      <c r="K24" s="98" t="s">
        <v>155</v>
      </c>
      <c r="L24" s="103">
        <v>24.3048593664255</v>
      </c>
      <c r="M24" s="100"/>
      <c r="N24" s="100"/>
      <c r="O24" s="100"/>
      <c r="P24" s="100"/>
      <c r="Q24" s="100"/>
    </row>
    <row r="25" spans="2:17" x14ac:dyDescent="0.25">
      <c r="B25" s="839"/>
      <c r="C25" s="839"/>
      <c r="D25" s="839"/>
      <c r="E25" s="839"/>
      <c r="F25" s="839"/>
      <c r="G25" s="9"/>
      <c r="H25" s="9"/>
      <c r="I25" s="9"/>
      <c r="J25" s="100"/>
      <c r="K25" s="98" t="s">
        <v>156</v>
      </c>
      <c r="L25" s="102">
        <v>46.121224278105601</v>
      </c>
      <c r="M25" s="100"/>
      <c r="N25" s="100"/>
      <c r="O25" s="100"/>
      <c r="P25" s="100"/>
      <c r="Q25" s="100"/>
    </row>
    <row r="26" spans="2:17" x14ac:dyDescent="0.25">
      <c r="B26" s="839"/>
      <c r="C26" s="839"/>
      <c r="D26" s="839"/>
      <c r="E26" s="839"/>
      <c r="F26" s="839"/>
      <c r="G26" s="9"/>
      <c r="H26" s="9"/>
      <c r="I26" s="9"/>
      <c r="J26" s="100"/>
      <c r="K26" s="98" t="s">
        <v>148</v>
      </c>
      <c r="L26" s="102">
        <v>32.24202226122744</v>
      </c>
      <c r="M26" s="100"/>
      <c r="N26" s="100"/>
      <c r="O26" s="100"/>
      <c r="P26" s="100"/>
      <c r="Q26" s="100"/>
    </row>
    <row r="27" spans="2:17" x14ac:dyDescent="0.25">
      <c r="B27" s="839"/>
      <c r="C27" s="839"/>
      <c r="D27" s="839"/>
      <c r="E27" s="839"/>
      <c r="F27" s="839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</row>
    <row r="28" spans="2:17" x14ac:dyDescent="0.25">
      <c r="B28" s="839"/>
      <c r="C28" s="839"/>
      <c r="D28" s="839"/>
      <c r="E28" s="839"/>
      <c r="F28" s="839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</row>
    <row r="29" spans="2:17" x14ac:dyDescent="0.25">
      <c r="B29" s="839"/>
      <c r="C29" s="839"/>
      <c r="D29" s="839"/>
      <c r="E29" s="839"/>
      <c r="F29" s="839"/>
      <c r="G29" s="840" t="s">
        <v>157</v>
      </c>
      <c r="H29" s="840"/>
      <c r="I29" s="840"/>
      <c r="J29" s="840"/>
      <c r="K29" s="840"/>
      <c r="L29" s="840"/>
      <c r="M29" s="100"/>
      <c r="N29" s="100"/>
      <c r="O29" s="100"/>
      <c r="P29" s="100"/>
      <c r="Q29" s="100"/>
    </row>
    <row r="30" spans="2:17" ht="17.25" x14ac:dyDescent="0.25">
      <c r="B30" s="839"/>
      <c r="C30" s="839"/>
      <c r="D30" s="839"/>
      <c r="E30" s="839"/>
      <c r="F30" s="839"/>
      <c r="G30" s="98" t="s">
        <v>94</v>
      </c>
      <c r="H30" s="98"/>
      <c r="I30" s="98" t="s">
        <v>158</v>
      </c>
      <c r="J30" s="102" t="s">
        <v>159</v>
      </c>
      <c r="K30" s="102" t="s">
        <v>160</v>
      </c>
      <c r="L30" s="102"/>
      <c r="M30" s="100"/>
      <c r="N30" s="100"/>
      <c r="O30" s="100"/>
      <c r="P30" s="100"/>
      <c r="Q30" s="100"/>
    </row>
    <row r="31" spans="2:17" x14ac:dyDescent="0.25">
      <c r="B31" s="839"/>
      <c r="C31" s="839"/>
      <c r="D31" s="839"/>
      <c r="E31" s="839"/>
      <c r="F31" s="839"/>
      <c r="G31" s="101"/>
      <c r="H31" s="101"/>
      <c r="I31" s="101"/>
      <c r="J31" s="101">
        <v>590.95000000000005</v>
      </c>
      <c r="K31" s="101">
        <v>-1350.3</v>
      </c>
      <c r="L31" s="101"/>
      <c r="M31" s="100"/>
      <c r="N31" s="100"/>
      <c r="O31" s="100"/>
      <c r="P31" s="100"/>
      <c r="Q31" s="100"/>
    </row>
    <row r="32" spans="2:17" x14ac:dyDescent="0.25">
      <c r="B32" s="839"/>
      <c r="C32" s="839"/>
      <c r="D32" s="839"/>
      <c r="E32" s="839"/>
      <c r="F32" s="839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</row>
    <row r="33" spans="2:17" x14ac:dyDescent="0.25">
      <c r="B33" s="839"/>
      <c r="C33" s="839"/>
      <c r="D33" s="839"/>
      <c r="E33" s="839"/>
      <c r="F33" s="839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</row>
    <row r="34" spans="2:17" x14ac:dyDescent="0.25">
      <c r="B34" s="839"/>
      <c r="C34" s="839"/>
      <c r="D34" s="839"/>
      <c r="E34" s="839"/>
      <c r="F34" s="839"/>
      <c r="G34" s="840" t="s">
        <v>161</v>
      </c>
      <c r="H34" s="840"/>
      <c r="I34" s="840"/>
      <c r="J34" s="840"/>
      <c r="K34" s="840"/>
      <c r="L34" s="840"/>
      <c r="M34" s="840"/>
      <c r="N34" s="840"/>
      <c r="O34" s="840"/>
      <c r="P34" s="100"/>
      <c r="Q34" s="100"/>
    </row>
    <row r="35" spans="2:17" ht="17.25" x14ac:dyDescent="0.25">
      <c r="B35" s="839"/>
      <c r="C35" s="839"/>
      <c r="D35" s="839"/>
      <c r="E35" s="839"/>
      <c r="F35" s="839"/>
      <c r="G35" s="98" t="s">
        <v>94</v>
      </c>
      <c r="H35" s="98"/>
      <c r="I35" s="98" t="s">
        <v>158</v>
      </c>
      <c r="J35" s="99" t="s">
        <v>162</v>
      </c>
      <c r="K35" s="98" t="s">
        <v>163</v>
      </c>
      <c r="L35" s="98" t="s">
        <v>164</v>
      </c>
      <c r="M35" s="98" t="s">
        <v>165</v>
      </c>
      <c r="N35" s="98" t="s">
        <v>166</v>
      </c>
      <c r="O35" s="98" t="s">
        <v>167</v>
      </c>
      <c r="P35" s="9"/>
      <c r="Q35" s="98"/>
    </row>
    <row r="36" spans="2:17" x14ac:dyDescent="0.25">
      <c r="B36" s="839"/>
      <c r="C36" s="839"/>
      <c r="D36" s="839"/>
      <c r="E36" s="839"/>
      <c r="F36" s="839"/>
      <c r="G36" s="98"/>
      <c r="H36" s="98"/>
      <c r="I36" s="98"/>
      <c r="J36" s="97">
        <v>1.1953378541379856E-6</v>
      </c>
      <c r="K36" s="97">
        <v>-1.8560727268983533E-4</v>
      </c>
      <c r="L36" s="97">
        <v>8.27690466220494E-3</v>
      </c>
      <c r="M36" s="97">
        <v>-0.15575262170592416</v>
      </c>
      <c r="N36" s="97">
        <v>1.2894101161719977</v>
      </c>
      <c r="O36" s="97">
        <v>-2.8116091518788298</v>
      </c>
      <c r="P36" s="9"/>
      <c r="Q36" s="97"/>
    </row>
    <row r="37" spans="2:17" x14ac:dyDescent="0.25"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</sheetData>
  <mergeCells count="11">
    <mergeCell ref="E8:E9"/>
    <mergeCell ref="G34:O34"/>
    <mergeCell ref="D10:F10"/>
    <mergeCell ref="D11:F11"/>
    <mergeCell ref="D12:F12"/>
    <mergeCell ref="D13:F13"/>
    <mergeCell ref="D14:F14"/>
    <mergeCell ref="G29:L29"/>
    <mergeCell ref="D15:F15"/>
    <mergeCell ref="D16:F16"/>
    <mergeCell ref="B18:F36"/>
  </mergeCells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5BDB9D12A030468AAEE1B89BB3BC00" ma:contentTypeVersion="16" ma:contentTypeDescription="Create a new document." ma:contentTypeScope="" ma:versionID="d0ec305abdd86e2124f54fac3a43e3a2">
  <xsd:schema xmlns:xsd="http://www.w3.org/2001/XMLSchema" xmlns:xs="http://www.w3.org/2001/XMLSchema" xmlns:p="http://schemas.microsoft.com/office/2006/metadata/properties" xmlns:ns2="506815ab-9272-45dd-b884-df10f0cea9f1" xmlns:ns3="887a94c9-3e1f-4d11-8cc4-52dfc0b292c8" targetNamespace="http://schemas.microsoft.com/office/2006/metadata/properties" ma:root="true" ma:fieldsID="9b111ad0454169f42bfee94868c662bb" ns2:_="" ns3:_="">
    <xsd:import namespace="506815ab-9272-45dd-b884-df10f0cea9f1"/>
    <xsd:import namespace="887a94c9-3e1f-4d11-8cc4-52dfc0b292c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6815ab-9272-45dd-b884-df10f0cea9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559d86a-9445-4b98-a14f-a41e9359da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7a94c9-3e1f-4d11-8cc4-52dfc0b292c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cda22395-41f5-4ea6-8adf-30e9203c466e}" ma:internalName="TaxCatchAll" ma:showField="CatchAllData" ma:web="887a94c9-3e1f-4d11-8cc4-52dfc0b292c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87a94c9-3e1f-4d11-8cc4-52dfc0b292c8">
      <UserInfo>
        <DisplayName/>
        <AccountId xsi:nil="true"/>
        <AccountType/>
      </UserInfo>
    </SharedWithUsers>
    <lcf76f155ced4ddcb4097134ff3c332f xmlns="506815ab-9272-45dd-b884-df10f0cea9f1">
      <Terms xmlns="http://schemas.microsoft.com/office/infopath/2007/PartnerControls"/>
    </lcf76f155ced4ddcb4097134ff3c332f>
    <TaxCatchAll xmlns="887a94c9-3e1f-4d11-8cc4-52dfc0b292c8" xsi:nil="true"/>
  </documentManagement>
</p:properties>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0C4B9D3D-B0C4-435C-A69C-FAC98C77EA11}">
  <ds:schemaRefs>
    <ds:schemaRef ds:uri="http://gemini/pivotcustomization/TableWidget"/>
  </ds:schemaRefs>
</ds:datastoreItem>
</file>

<file path=customXml/itemProps2.xml><?xml version="1.0" encoding="utf-8"?>
<ds:datastoreItem xmlns:ds="http://schemas.openxmlformats.org/officeDocument/2006/customXml" ds:itemID="{74E9C611-8C76-4A5C-A681-336A18E663F8}">
  <ds:schemaRefs>
    <ds:schemaRef ds:uri="http://gemini/pivotcustomization/RelationshipAutoDetectionEnabled"/>
  </ds:schemaRefs>
</ds:datastoreItem>
</file>

<file path=customXml/itemProps3.xml><?xml version="1.0" encoding="utf-8"?>
<ds:datastoreItem xmlns:ds="http://schemas.openxmlformats.org/officeDocument/2006/customXml" ds:itemID="{0170FC1F-1EAA-4F71-A474-5C292AA2F385}">
  <ds:schemaRefs>
    <ds:schemaRef ds:uri="http://gemini/pivotcustomization/SandboxNonEmpty"/>
  </ds:schemaRefs>
</ds:datastoreItem>
</file>

<file path=customXml/itemProps4.xml><?xml version="1.0" encoding="utf-8"?>
<ds:datastoreItem xmlns:ds="http://schemas.openxmlformats.org/officeDocument/2006/customXml" ds:itemID="{839161F7-68AF-4E4F-ACF1-2C6E947F1F98}">
  <ds:schemaRefs>
    <ds:schemaRef ds:uri="http://gemini/pivotcustomization/TableOrder"/>
  </ds:schemaRefs>
</ds:datastoreItem>
</file>

<file path=customXml/itemProps5.xml><?xml version="1.0" encoding="utf-8"?>
<ds:datastoreItem xmlns:ds="http://schemas.openxmlformats.org/officeDocument/2006/customXml" ds:itemID="{A8FA0655-57FF-459D-A8BE-B1E4C00AC85A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A529118F-3B8A-4F38-B0F2-9BBD1ADBC977}">
  <ds:schemaRefs>
    <ds:schemaRef ds:uri="http://gemini/pivotcustomization/ErrorCache"/>
  </ds:schemaRefs>
</ds:datastoreItem>
</file>

<file path=customXml/itemProps7.xml><?xml version="1.0" encoding="utf-8"?>
<ds:datastoreItem xmlns:ds="http://schemas.openxmlformats.org/officeDocument/2006/customXml" ds:itemID="{C11F451E-0A35-4D3E-8D66-DDE950D143D4}">
  <ds:schemaRefs>
    <ds:schemaRef ds:uri="http://gemini/pivotcustomization/TableXML_Parts_394cc509-d3ef-4ada-889e-a5e856a71699"/>
  </ds:schemaRefs>
</ds:datastoreItem>
</file>

<file path=customXml/itemProps8.xml><?xml version="1.0" encoding="utf-8"?>
<ds:datastoreItem xmlns:ds="http://schemas.openxmlformats.org/officeDocument/2006/customXml" ds:itemID="{D41F03BA-D868-4ADE-9CBE-D3C1CE1C6080}">
  <ds:schemaRefs>
    <ds:schemaRef ds:uri="http://gemini/pivotcustomization/ShowImplicitMeasures"/>
  </ds:schemaRefs>
</ds:datastoreItem>
</file>

<file path=customXml/itemProps9.xml><?xml version="1.0" encoding="utf-8"?>
<ds:datastoreItem xmlns:ds="http://schemas.openxmlformats.org/officeDocument/2006/customXml" ds:itemID="{50F4B170-A91C-46D8-993A-7892FCCF70B0}">
  <ds:schemaRefs>
    <ds:schemaRef ds:uri="http://gemini/pivotcustomization/ClientWindowXML"/>
  </ds:schemaRefs>
</ds:datastoreItem>
</file>

<file path=customXml/itemProps10.xml><?xml version="1.0" encoding="utf-8"?>
<ds:datastoreItem xmlns:ds="http://schemas.openxmlformats.org/officeDocument/2006/customXml" ds:itemID="{277BFCE9-5819-4D37-A62A-11B47F43F7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6815ab-9272-45dd-b884-df10f0cea9f1"/>
    <ds:schemaRef ds:uri="887a94c9-3e1f-4d11-8cc4-52dfc0b292c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1.xml><?xml version="1.0" encoding="utf-8"?>
<ds:datastoreItem xmlns:ds="http://schemas.openxmlformats.org/officeDocument/2006/customXml" ds:itemID="{468E95FF-4F79-4D29-8A27-2CB8ACAFC2E1}">
  <ds:schemaRefs>
    <ds:schemaRef ds:uri="http://gemini/pivotcustomization/IsSandboxEmbedded"/>
  </ds:schemaRefs>
</ds:datastoreItem>
</file>

<file path=customXml/itemProps12.xml><?xml version="1.0" encoding="utf-8"?>
<ds:datastoreItem xmlns:ds="http://schemas.openxmlformats.org/officeDocument/2006/customXml" ds:itemID="{E5159ADB-B9AE-4410-B753-1769977CFB1D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B018D467-B12D-49D4-83F0-37D7994CF9E3}">
  <ds:schemaRefs>
    <ds:schemaRef ds:uri="http://gemini/pivotcustomization/Diagrams"/>
  </ds:schemaRefs>
</ds:datastoreItem>
</file>

<file path=customXml/itemProps14.xml><?xml version="1.0" encoding="utf-8"?>
<ds:datastoreItem xmlns:ds="http://schemas.openxmlformats.org/officeDocument/2006/customXml" ds:itemID="{BBDED24B-DA40-4E70-9578-8D4FBDEA8300}">
  <ds:schemaRefs>
    <ds:schemaRef ds:uri="http://gemini/pivotcustomization/ManualCalcMode"/>
  </ds:schemaRefs>
</ds:datastoreItem>
</file>

<file path=customXml/itemProps15.xml><?xml version="1.0" encoding="utf-8"?>
<ds:datastoreItem xmlns:ds="http://schemas.openxmlformats.org/officeDocument/2006/customXml" ds:itemID="{710E2EB7-4352-4832-A6BF-E5044527F6C3}">
  <ds:schemaRefs>
    <ds:schemaRef ds:uri="http://gemini/pivotcustomization/TableXML_CPS Parts_904b0de0-073e-497b-a5de-9afaaccc39df"/>
  </ds:schemaRefs>
</ds:datastoreItem>
</file>

<file path=customXml/itemProps16.xml><?xml version="1.0" encoding="utf-8"?>
<ds:datastoreItem xmlns:ds="http://schemas.openxmlformats.org/officeDocument/2006/customXml" ds:itemID="{1EA62096-259F-42C8-965A-E2F63280434F}">
  <ds:schemaRefs>
    <ds:schemaRef ds:uri="http://gemini/pivotcustomization/PowerPivotVersion"/>
  </ds:schemaRefs>
</ds:datastoreItem>
</file>

<file path=customXml/itemProps17.xml><?xml version="1.0" encoding="utf-8"?>
<ds:datastoreItem xmlns:ds="http://schemas.openxmlformats.org/officeDocument/2006/customXml" ds:itemID="{B28C3D14-09EE-411F-86CE-C220709FEF19}">
  <ds:schemaRefs>
    <ds:schemaRef ds:uri="http://gemini/pivotcustomization/LinkedTableUpdateMode"/>
  </ds:schemaRefs>
</ds:datastoreItem>
</file>

<file path=customXml/itemProps18.xml><?xml version="1.0" encoding="utf-8"?>
<ds:datastoreItem xmlns:ds="http://schemas.openxmlformats.org/officeDocument/2006/customXml" ds:itemID="{21A655A3-EB69-4EA9-8504-500FC2FE4539}">
  <ds:schemaRefs>
    <ds:schemaRef ds:uri="http://gemini/pivotcustomization/FormulaBarState"/>
  </ds:schemaRefs>
</ds:datastoreItem>
</file>

<file path=customXml/itemProps19.xml><?xml version="1.0" encoding="utf-8"?>
<ds:datastoreItem xmlns:ds="http://schemas.openxmlformats.org/officeDocument/2006/customXml" ds:itemID="{DB428600-E3AF-4DD6-A8B5-ACAB69688E0C}">
  <ds:schemaRefs>
    <ds:schemaRef ds:uri="http://gemini/pivotcustomization/MeasureGridState"/>
  </ds:schemaRefs>
</ds:datastoreItem>
</file>

<file path=customXml/itemProps20.xml><?xml version="1.0" encoding="utf-8"?>
<ds:datastoreItem xmlns:ds="http://schemas.openxmlformats.org/officeDocument/2006/customXml" ds:itemID="{F6E52A53-1ED9-4110-9647-9895EC3F11E6}">
  <ds:schemaRefs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887a94c9-3e1f-4d11-8cc4-52dfc0b292c8"/>
    <ds:schemaRef ds:uri="http://purl.org/dc/elements/1.1/"/>
    <ds:schemaRef ds:uri="http://schemas.openxmlformats.org/package/2006/metadata/core-properties"/>
    <ds:schemaRef ds:uri="506815ab-9272-45dd-b884-df10f0cea9f1"/>
    <ds:schemaRef ds:uri="http://purl.org/dc/dcmitype/"/>
  </ds:schemaRefs>
</ds:datastoreItem>
</file>

<file path=customXml/itemProps21.xml><?xml version="1.0" encoding="utf-8"?>
<ds:datastoreItem xmlns:ds="http://schemas.openxmlformats.org/officeDocument/2006/customXml" ds:itemID="{BC59608E-AD2B-4739-924C-E11B438C7BA2}">
  <ds:schemaRefs>
    <ds:schemaRef ds:uri="http://gemini/pivotcustomization/TableXML_Cutter Set Part Revisions_3cc2d590-0aaf-48dd-be2f-338c216872f6"/>
  </ds:schemaRefs>
</ds:datastoreItem>
</file>

<file path=customXml/itemProps22.xml><?xml version="1.0" encoding="utf-8"?>
<ds:datastoreItem xmlns:ds="http://schemas.openxmlformats.org/officeDocument/2006/customXml" ds:itemID="{E5F8A5FE-0797-445F-9D4D-65E12B469302}">
  <ds:schemaRefs>
    <ds:schemaRef ds:uri="http://gemini/pivotcustomization/ShowHidde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Profitability Projections</vt:lpstr>
      <vt:lpstr>'Profitability Projections'!Print_Area</vt:lpstr>
      <vt:lpstr>s!Print_Area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Curtis B. Stephens</dc:creator>
  <cp:keywords/>
  <dc:description/>
  <cp:lastModifiedBy>Curtis B. Stephens</cp:lastModifiedBy>
  <cp:revision/>
  <cp:lastPrinted>2026-01-07T20:41:02Z</cp:lastPrinted>
  <dcterms:created xsi:type="dcterms:W3CDTF">2019-01-28T13:55:37Z</dcterms:created>
  <dcterms:modified xsi:type="dcterms:W3CDTF">2026-02-02T15:01:50Z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0x010100A55BDB9D12A030468AAEE1B89BB3BC00</vt:lpwstr>
  </property>
  <property fmtid="{D5CDD505-2E9C-101B-9397-08002B2CF9AE}" pid="3" name="xd_ProgID">
    <vt:lpwstr/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xd_Signature">
    <vt:bool>false</vt:bool>
  </property>
  <property fmtid="{D5CDD505-2E9C-101B-9397-08002B2CF9AE}" pid="9" name="MediaServiceImageTags">
    <vt:lpwstr/>
  </property>
</Properties>
</file>