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5481\"/>
    </mc:Choice>
  </mc:AlternateContent>
  <xr:revisionPtr revIDLastSave="0" documentId="13_ncr:1_{2AD161B6-4903-48DD-B3BC-786E411D12C8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31" i="4" l="1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AU31" i="4" l="1"/>
  <c r="AW31" i="4" s="1"/>
  <c r="AI31" i="4"/>
  <c r="AX33" i="4"/>
  <c r="AI33" i="4"/>
  <c r="AU33" i="4"/>
  <c r="AW33" i="4" s="1"/>
  <c r="AT34" i="4" l="1"/>
  <c r="AS34" i="4"/>
  <c r="AP34" i="4"/>
  <c r="AV34" i="4" s="1"/>
  <c r="AX34" i="4" s="1"/>
  <c r="AO34" i="4"/>
  <c r="AR34" i="4" s="1"/>
  <c r="AJ34" i="4"/>
  <c r="AQ34" i="4" l="1"/>
  <c r="AI34" i="4"/>
  <c r="AU34" i="4"/>
  <c r="AW34" i="4" s="1"/>
  <c r="AJ29" i="4" l="1"/>
  <c r="AQ29" i="4"/>
  <c r="AT29" i="4"/>
  <c r="AS29" i="4"/>
  <c r="AP29" i="4"/>
  <c r="AV29" i="4" s="1"/>
  <c r="AX29" i="4" s="1"/>
  <c r="AO29" i="4"/>
  <c r="AR29" i="4" s="1"/>
  <c r="AU29" i="4" l="1"/>
  <c r="AW29" i="4" s="1"/>
  <c r="AI29" i="4"/>
  <c r="AJ36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V23" i="4" s="1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D24" i="7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V24" i="4"/>
  <c r="AX24" i="4" s="1"/>
  <c r="AV27" i="4"/>
  <c r="AX27" i="4" s="1"/>
  <c r="AV30" i="4"/>
  <c r="AV26" i="4"/>
  <c r="AX26" i="4" s="1"/>
  <c r="AV18" i="4"/>
  <c r="AX18" i="4" s="1"/>
  <c r="AV32" i="4"/>
  <c r="AV19" i="4"/>
  <c r="AX19" i="4" s="1"/>
  <c r="AV35" i="4"/>
  <c r="AU19" i="4"/>
  <c r="AW19" i="4" s="1"/>
  <c r="AU27" i="4"/>
  <c r="AW27" i="4" s="1"/>
  <c r="AV16" i="4"/>
  <c r="AX16" i="4" s="1"/>
  <c r="AV20" i="4"/>
  <c r="AX20" i="4" s="1"/>
  <c r="AV36" i="4"/>
  <c r="AU20" i="4"/>
  <c r="AW20" i="4" s="1"/>
  <c r="AU28" i="4"/>
  <c r="AV17" i="4"/>
  <c r="AX17" i="4" s="1"/>
  <c r="AV22" i="4"/>
  <c r="AX22" i="4" s="1"/>
  <c r="AW36" i="4"/>
  <c r="AX14" i="4"/>
  <c r="AW14" i="4"/>
  <c r="AX23" i="4"/>
  <c r="AX15" i="4"/>
  <c r="AX25" i="4"/>
  <c r="AX21" i="4"/>
  <c r="AW15" i="4"/>
  <c r="AW18" i="4"/>
  <c r="AW22" i="4"/>
  <c r="K9" i="1" l="1"/>
  <c r="K112" i="1"/>
  <c r="K27" i="1"/>
  <c r="K99" i="1"/>
  <c r="K61" i="1"/>
  <c r="K98" i="1"/>
  <c r="K97" i="1"/>
  <c r="K96" i="1"/>
  <c r="K38" i="1"/>
  <c r="K92" i="1"/>
  <c r="K78" i="1"/>
  <c r="K77" i="1"/>
  <c r="K115" i="1"/>
  <c r="K114" i="1"/>
  <c r="K74" i="1"/>
  <c r="K110" i="1"/>
  <c r="K57" i="1"/>
  <c r="K76" i="1"/>
  <c r="K113" i="1"/>
  <c r="K64" i="1"/>
  <c r="K63" i="1"/>
  <c r="K62" i="1"/>
  <c r="K24" i="1"/>
  <c r="K40" i="1"/>
  <c r="K102" i="1"/>
  <c r="K90" i="1"/>
  <c r="K107" i="1"/>
  <c r="K118" i="1"/>
  <c r="K45" i="1"/>
  <c r="K79" i="1"/>
  <c r="K33" i="1"/>
  <c r="K82" i="1"/>
  <c r="K66" i="1"/>
  <c r="K15" i="1"/>
  <c r="K49" i="1"/>
  <c r="K106" i="1"/>
  <c r="K67" i="1"/>
  <c r="K116" i="1"/>
  <c r="K70" i="1"/>
  <c r="K83" i="1"/>
  <c r="K12" i="1"/>
  <c r="K28" i="1"/>
  <c r="K51" i="1"/>
  <c r="K47" i="1"/>
  <c r="K14" i="1"/>
  <c r="K71" i="1"/>
  <c r="K89" i="1"/>
  <c r="K11" i="1"/>
  <c r="K56" i="1"/>
  <c r="K30" i="1"/>
  <c r="K72" i="1"/>
  <c r="K65" i="1"/>
  <c r="K108" i="1"/>
  <c r="K117" i="1"/>
  <c r="K44" i="1"/>
  <c r="K10" i="1"/>
  <c r="K32" i="1"/>
  <c r="K13" i="1"/>
  <c r="K104" i="1"/>
  <c r="K29" i="1"/>
  <c r="K50" i="1"/>
  <c r="K84" i="1"/>
  <c r="K16" i="1"/>
  <c r="K46" i="1"/>
  <c r="K31" i="1"/>
  <c r="K109" i="1"/>
  <c r="K48" i="1"/>
  <c r="K81" i="1"/>
  <c r="K103" i="1"/>
  <c r="K88" i="1"/>
  <c r="K80" i="1"/>
  <c r="AS5" i="1"/>
  <c r="AS6" i="1" s="1"/>
  <c r="AS5" i="7"/>
  <c r="AS6" i="7" s="1"/>
  <c r="C1" i="7"/>
  <c r="C1" i="1" l="1"/>
  <c r="AO36" i="4" l="1"/>
  <c r="AQ36" i="4" s="1"/>
  <c r="AO35" i="4"/>
  <c r="AO32" i="4"/>
  <c r="AO30" i="4"/>
  <c r="AO28" i="4"/>
  <c r="L151" i="1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K41" i="1" l="1"/>
  <c r="K20" i="1"/>
  <c r="K37" i="1"/>
  <c r="K101" i="1"/>
  <c r="K100" i="1"/>
  <c r="K55" i="1"/>
  <c r="K85" i="1"/>
  <c r="K68" i="1"/>
  <c r="K105" i="1"/>
  <c r="K69" i="1"/>
  <c r="K91" i="1"/>
  <c r="K73" i="1"/>
  <c r="K86" i="1"/>
  <c r="K87" i="1"/>
  <c r="K52" i="1"/>
  <c r="K54" i="1"/>
  <c r="K42" i="1"/>
  <c r="K25" i="1"/>
  <c r="K36" i="1"/>
  <c r="K35" i="1"/>
  <c r="K34" i="1"/>
  <c r="K43" i="1"/>
  <c r="K26" i="1"/>
  <c r="K17" i="1"/>
  <c r="K53" i="1"/>
  <c r="K19" i="1"/>
  <c r="K18" i="1"/>
  <c r="K60" i="1"/>
  <c r="K22" i="1"/>
  <c r="K23" i="1"/>
  <c r="K59" i="1"/>
  <c r="K39" i="1"/>
  <c r="K95" i="1"/>
  <c r="K111" i="1"/>
  <c r="K94" i="1"/>
  <c r="K58" i="1"/>
  <c r="K93" i="1"/>
  <c r="K21" i="1"/>
  <c r="K75" i="1"/>
  <c r="L5" i="1" l="1" a="1"/>
  <c r="L5" i="1" s="1"/>
  <c r="L2" i="1" a="1"/>
  <c r="L2" i="1" s="1"/>
  <c r="L6" i="1" a="1"/>
  <c r="L6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IG83" i="1" s="1"/>
  <c r="M82" i="1"/>
  <c r="IG82" i="1" s="1"/>
  <c r="M81" i="1"/>
  <c r="IG81" i="1" s="1"/>
  <c r="M80" i="1"/>
  <c r="IG80" i="1" s="1"/>
  <c r="M79" i="1"/>
  <c r="IG79" i="1" s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4" i="1" l="1" a="1"/>
  <c r="IG4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83" i="1" a="1"/>
  <c r="IH83" i="1" s="1"/>
  <c r="II83" i="1" s="1" a="1"/>
  <c r="II83" i="1" s="1"/>
  <c r="IJ83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II10" i="1" s="1" a="1"/>
  <c r="II10" i="1" s="1"/>
  <c r="IJ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I11" i="1" s="1" a="1"/>
  <c r="II11" i="1" s="1"/>
  <c r="IJ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J9" i="1" l="1"/>
  <c r="JA9" i="1" a="1"/>
  <c r="IK21" i="1"/>
  <c r="IJ21" i="1"/>
  <c r="IK59" i="1"/>
  <c r="IJ59" i="1"/>
  <c r="IR16" i="1"/>
  <c r="IK16" i="1"/>
  <c r="IW16" i="1"/>
  <c r="IN16" i="1"/>
  <c r="Q16" i="1"/>
  <c r="IR47" i="1"/>
  <c r="IW47" i="1"/>
  <c r="IN47" i="1"/>
  <c r="IK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K68" i="1"/>
  <c r="IN68" i="1"/>
  <c r="IR68" i="1"/>
  <c r="IW68" i="1"/>
  <c r="IW80" i="1"/>
  <c r="IK80" i="1"/>
  <c r="IN80" i="1"/>
  <c r="IR80" i="1"/>
  <c r="IN87" i="1"/>
  <c r="IW87" i="1"/>
  <c r="IK87" i="1"/>
  <c r="IR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N69" i="1"/>
  <c r="IR69" i="1"/>
  <c r="IW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N57" i="1"/>
  <c r="IR113" i="1"/>
  <c r="IW113" i="1"/>
  <c r="IN113" i="1"/>
  <c r="IK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X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R73" i="1"/>
  <c r="IW73" i="1"/>
  <c r="IK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S83" i="1"/>
  <c r="IX83" i="1"/>
  <c r="IR83" i="1"/>
  <c r="IL83" i="1"/>
  <c r="IK83" i="1"/>
  <c r="IT83" i="1"/>
  <c r="IW83" i="1"/>
  <c r="IU83" i="1"/>
  <c r="IE83" i="1" s="1"/>
  <c r="IY83" i="1"/>
  <c r="IV83" i="1"/>
  <c r="IP83" i="1"/>
  <c r="IW118" i="1"/>
  <c r="IR118" i="1"/>
  <c r="IK118" i="1"/>
  <c r="IN118" i="1"/>
  <c r="IR38" i="1"/>
  <c r="IN38" i="1"/>
  <c r="IW38" i="1"/>
  <c r="IK38" i="1"/>
  <c r="IK91" i="1"/>
  <c r="IW91" i="1"/>
  <c r="IR91" i="1"/>
  <c r="IN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N105" i="1"/>
  <c r="IW105" i="1"/>
  <c r="IK105" i="1"/>
  <c r="IR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N70" i="1"/>
  <c r="IW70" i="1"/>
  <c r="IK70" i="1"/>
  <c r="IR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K90" i="1"/>
  <c r="IR90" i="1"/>
  <c r="IW90" i="1"/>
  <c r="IN90" i="1"/>
  <c r="IK93" i="1"/>
  <c r="IN93" i="1"/>
  <c r="IW93" i="1"/>
  <c r="IR93" i="1"/>
  <c r="IK58" i="1"/>
  <c r="IW58" i="1"/>
  <c r="IN58" i="1"/>
  <c r="IR58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N71" i="1"/>
  <c r="IW71" i="1"/>
  <c r="IK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K85" i="1"/>
  <c r="IR85" i="1"/>
  <c r="IW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N50" i="1"/>
  <c r="IR50" i="1"/>
  <c r="IK48" i="1"/>
  <c r="IW48" i="1"/>
  <c r="IR48" i="1"/>
  <c r="IN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K104" i="1"/>
  <c r="IN104" i="1"/>
  <c r="IR104" i="1"/>
  <c r="IW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N32" i="1"/>
  <c r="IR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W49" i="1"/>
  <c r="IN49" i="1"/>
  <c r="IW72" i="1"/>
  <c r="IK72" i="1"/>
  <c r="IR72" i="1"/>
  <c r="IN72" i="1"/>
  <c r="IR31" i="1"/>
  <c r="IK31" i="1"/>
  <c r="IN31" i="1"/>
  <c r="IW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Y74" i="1"/>
  <c r="IV74" i="1"/>
  <c r="IU74" i="1"/>
  <c r="IE74" i="1" s="1"/>
  <c r="IS74" i="1"/>
  <c r="IQ74" i="1"/>
  <c r="IN74" i="1"/>
  <c r="IX74" i="1"/>
  <c r="IT74" i="1"/>
  <c r="IP74" i="1"/>
  <c r="IL74" i="1"/>
  <c r="IW74" i="1"/>
  <c r="IK74" i="1"/>
  <c r="IR74" i="1"/>
  <c r="IW89" i="1"/>
  <c r="IR89" i="1"/>
  <c r="IK89" i="1"/>
  <c r="IN89" i="1"/>
  <c r="IK103" i="1"/>
  <c r="IN103" i="1"/>
  <c r="IW103" i="1"/>
  <c r="IR103" i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R88" i="1"/>
  <c r="IW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K86" i="1"/>
  <c r="IN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DQ143" i="1" l="1"/>
  <c r="JA9" i="1"/>
  <c r="JB11" i="1" a="1"/>
  <c r="JB11" i="1" s="1"/>
  <c r="JB10" i="1" a="1"/>
  <c r="JB10" i="1" s="1"/>
  <c r="JA23" i="1" a="1"/>
  <c r="JA23" i="1" s="1"/>
  <c r="IF129" i="1"/>
  <c r="IF74" i="1"/>
  <c r="IF138" i="1"/>
  <c r="IF10" i="1"/>
  <c r="IF150" i="1"/>
  <c r="IF148" i="1"/>
  <c r="IF127" i="1"/>
  <c r="IF15" i="1"/>
  <c r="IF128" i="1"/>
  <c r="IF9" i="1"/>
  <c r="IF122" i="1"/>
  <c r="IF147" i="1"/>
  <c r="IF142" i="1"/>
  <c r="IF143" i="1"/>
  <c r="IF137" i="1"/>
  <c r="IF135" i="1"/>
  <c r="IF109" i="1"/>
  <c r="IF145" i="1"/>
  <c r="IF106" i="1"/>
  <c r="IF13" i="1"/>
  <c r="IF108" i="1"/>
  <c r="IF92" i="1"/>
  <c r="IF131" i="1"/>
  <c r="IF123" i="1"/>
  <c r="IF141" i="1"/>
  <c r="IF124" i="1"/>
  <c r="IF107" i="1"/>
  <c r="IF146" i="1"/>
  <c r="IF11" i="1"/>
  <c r="IF134" i="1"/>
  <c r="IF82" i="1"/>
  <c r="IF84" i="1"/>
  <c r="IF12" i="1"/>
  <c r="IF83" i="1"/>
  <c r="IF133" i="1"/>
  <c r="IF149" i="1"/>
  <c r="IF130" i="1"/>
  <c r="IF132" i="1"/>
  <c r="IF119" i="1"/>
  <c r="IF110" i="1"/>
  <c r="IF125" i="1"/>
  <c r="IF144" i="1"/>
  <c r="IF120" i="1"/>
  <c r="IF139" i="1"/>
  <c r="IF126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IV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90" i="1" l="1"/>
  <c r="IV81" i="1"/>
  <c r="IV62" i="1"/>
  <c r="IQ69" i="1"/>
  <c r="IQ75" i="1"/>
  <c r="IV71" i="1"/>
  <c r="IV36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IP104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Y66" i="1" s="1"/>
  <c r="IQ73" i="1" s="1"/>
  <c r="AA86" i="1"/>
  <c r="Z94" i="1"/>
  <c r="Z86" i="1"/>
  <c r="AF86" i="1" s="1"/>
  <c r="AM86" i="1" s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89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IQ31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7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N86" i="1"/>
  <c r="O84" i="1"/>
  <c r="N84" i="1"/>
  <c r="O83" i="1"/>
  <c r="Z63" i="1"/>
  <c r="Y63" i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6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V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IQ37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V56" i="1" s="1"/>
  <c r="P30" i="1"/>
  <c r="S30" i="1" s="1"/>
  <c r="Y30" i="1" s="1"/>
  <c r="IQ38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Q91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61" i="1" l="1"/>
  <c r="IQ88" i="1"/>
  <c r="IQ99" i="1"/>
  <c r="Y14" i="4"/>
  <c r="AQ91" i="1"/>
  <c r="IU91" i="1"/>
  <c r="IE91" i="1" s="1"/>
  <c r="AD86" i="1"/>
  <c r="AH86" i="1" s="1"/>
  <c r="IV47" i="1"/>
  <c r="IQ55" i="1"/>
  <c r="IQ95" i="1"/>
  <c r="IV86" i="1"/>
  <c r="IQ112" i="1"/>
  <c r="IV105" i="1"/>
  <c r="IQ111" i="1"/>
  <c r="IV104" i="1"/>
  <c r="IQ98" i="1"/>
  <c r="IV89" i="1"/>
  <c r="IQ97" i="1"/>
  <c r="IV88" i="1"/>
  <c r="IQ102" i="1"/>
  <c r="IQ90" i="1"/>
  <c r="IU57" i="1"/>
  <c r="IE57" i="1" s="1"/>
  <c r="IQ94" i="1"/>
  <c r="IV85" i="1"/>
  <c r="IV98" i="1"/>
  <c r="IQ105" i="1"/>
  <c r="IV96" i="1"/>
  <c r="IQ103" i="1"/>
  <c r="Q78" i="1"/>
  <c r="IV63" i="1"/>
  <c r="IQ70" i="1"/>
  <c r="IV97" i="1"/>
  <c r="IQ104" i="1"/>
  <c r="IQ72" i="1"/>
  <c r="IV57" i="1"/>
  <c r="IV78" i="1"/>
  <c r="IQ86" i="1"/>
  <c r="IQ76" i="1"/>
  <c r="IV70" i="1"/>
  <c r="IQ68" i="1"/>
  <c r="IQ57" i="1"/>
  <c r="IV77" i="1"/>
  <c r="IQ85" i="1"/>
  <c r="IQ96" i="1"/>
  <c r="IV87" i="1"/>
  <c r="Q98" i="1"/>
  <c r="R90" i="1"/>
  <c r="X90" i="1" s="1"/>
  <c r="IU90" i="1" s="1"/>
  <c r="IE90" i="1" s="1"/>
  <c r="IQ20" i="1"/>
  <c r="IQ77" i="1"/>
  <c r="IQ78" i="1"/>
  <c r="IV72" i="1"/>
  <c r="IV35" i="1"/>
  <c r="IQ49" i="1"/>
  <c r="IQ59" i="1"/>
  <c r="IQ71" i="1"/>
  <c r="IQ47" i="1"/>
  <c r="IV19" i="1"/>
  <c r="IQ32" i="1"/>
  <c r="IV49" i="1"/>
  <c r="IQ50" i="1"/>
  <c r="IQ48" i="1"/>
  <c r="IV37" i="1"/>
  <c r="IU36" i="1"/>
  <c r="IE36" i="1" s="1"/>
  <c r="IQ54" i="1"/>
  <c r="IV50" i="1"/>
  <c r="IQ64" i="1"/>
  <c r="IV55" i="1"/>
  <c r="IQ52" i="1"/>
  <c r="IV48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IQ25" i="1" s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IP69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IP99" i="1" s="1"/>
  <c r="AE47" i="1"/>
  <c r="R85" i="1"/>
  <c r="X85" i="1" s="1"/>
  <c r="IU85" i="1" s="1"/>
  <c r="IE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J62" i="1" s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U104" i="1" s="1"/>
  <c r="IE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IU70" i="1" s="1"/>
  <c r="IE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IP72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IP105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8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IU105" i="1" s="1"/>
  <c r="IE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IU37" i="1" s="1"/>
  <c r="IE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6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IP87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U87" i="1" s="1"/>
  <c r="IE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IU88" i="1" s="1"/>
  <c r="IE88" i="1" s="1"/>
  <c r="Q86" i="1"/>
  <c r="R86" i="1"/>
  <c r="X86" i="1" s="1"/>
  <c r="IU86" i="1" s="1"/>
  <c r="IE86" i="1" s="1"/>
  <c r="R84" i="1"/>
  <c r="X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IP86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IP103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IP88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IP85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IU71" i="1" s="1"/>
  <c r="IE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IP70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73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U56" i="1" s="1"/>
  <c r="IE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IP37" i="1" s="1"/>
  <c r="Q28" i="1"/>
  <c r="AE49" i="1"/>
  <c r="AD49" i="1"/>
  <c r="AH49" i="1" s="1"/>
  <c r="Q35" i="1"/>
  <c r="R35" i="1"/>
  <c r="X35" i="1" s="1"/>
  <c r="AF50" i="1"/>
  <c r="AF28" i="1"/>
  <c r="R29" i="1"/>
  <c r="X29" i="1" s="1"/>
  <c r="IP31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Q90" i="1" l="1"/>
  <c r="IP90" i="1"/>
  <c r="AG97" i="1"/>
  <c r="IU47" i="1"/>
  <c r="IE47" i="1" s="1"/>
  <c r="IP55" i="1"/>
  <c r="IP102" i="1"/>
  <c r="IP89" i="1"/>
  <c r="AQ83" i="1"/>
  <c r="IP91" i="1"/>
  <c r="AQ103" i="1"/>
  <c r="IU103" i="1"/>
  <c r="IE103" i="1" s="1"/>
  <c r="IP68" i="1"/>
  <c r="IP57" i="1"/>
  <c r="AQ68" i="1"/>
  <c r="IU68" i="1"/>
  <c r="IE68" i="1" s="1"/>
  <c r="AQ73" i="1"/>
  <c r="IU73" i="1"/>
  <c r="IE73" i="1" s="1"/>
  <c r="IP19" i="1"/>
  <c r="IU35" i="1"/>
  <c r="IE35" i="1" s="1"/>
  <c r="IP49" i="1"/>
  <c r="IP59" i="1"/>
  <c r="IP71" i="1"/>
  <c r="AQ11" i="1"/>
  <c r="IP20" i="1"/>
  <c r="AQ20" i="1"/>
  <c r="IU20" i="1"/>
  <c r="IE20" i="1" s="1"/>
  <c r="IQ19" i="1"/>
  <c r="IP47" i="1"/>
  <c r="IU19" i="1"/>
  <c r="IE19" i="1" s="1"/>
  <c r="IP32" i="1"/>
  <c r="IU49" i="1"/>
  <c r="IE49" i="1" s="1"/>
  <c r="IP50" i="1"/>
  <c r="IP28" i="1"/>
  <c r="AQ37" i="1"/>
  <c r="IP48" i="1"/>
  <c r="IP54" i="1"/>
  <c r="IU50" i="1"/>
  <c r="IE50" i="1" s="1"/>
  <c r="IP52" i="1"/>
  <c r="IU48" i="1"/>
  <c r="IE48" i="1" s="1"/>
  <c r="IP35" i="1"/>
  <c r="IU31" i="1"/>
  <c r="IE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 l="1"/>
  <c r="JH22" i="1" a="1"/>
  <c r="JH22" i="1" s="1"/>
  <c r="JF22" i="1" a="1"/>
  <c r="JF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IL105" i="1" s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IL104" i="1" s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IL91" i="1" s="1"/>
  <c r="W84" i="1"/>
  <c r="W81" i="1"/>
  <c r="IL89" i="1" s="1"/>
  <c r="W82" i="1"/>
  <c r="IL90" i="1" s="1"/>
  <c r="W79" i="1"/>
  <c r="IL87" i="1" s="1"/>
  <c r="W80" i="1"/>
  <c r="W77" i="1"/>
  <c r="IL85" i="1" s="1"/>
  <c r="W78" i="1"/>
  <c r="IL86" i="1" s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IL70" i="1" s="1"/>
  <c r="W64" i="1"/>
  <c r="W61" i="1"/>
  <c r="W62" i="1"/>
  <c r="W59" i="1"/>
  <c r="W60" i="1"/>
  <c r="W57" i="1"/>
  <c r="IL72" i="1" s="1"/>
  <c r="W58" i="1"/>
  <c r="W55" i="1"/>
  <c r="W56" i="1"/>
  <c r="IL71" i="1" s="1"/>
  <c r="W53" i="1"/>
  <c r="W54" i="1"/>
  <c r="W51" i="1"/>
  <c r="W52" i="1"/>
  <c r="W49" i="1"/>
  <c r="W50" i="1"/>
  <c r="W47" i="1"/>
  <c r="W48" i="1"/>
  <c r="IL56" i="1" s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IL38" i="1" s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88" i="1" l="1"/>
  <c r="IL69" i="1"/>
  <c r="IL21" i="1"/>
  <c r="IL103" i="1"/>
  <c r="IL68" i="1"/>
  <c r="IL57" i="1"/>
  <c r="IL73" i="1"/>
  <c r="IL20" i="1"/>
  <c r="IL37" i="1"/>
  <c r="IL49" i="1"/>
  <c r="IL50" i="1"/>
  <c r="IL16" i="1"/>
  <c r="IL55" i="1"/>
  <c r="IL48" i="1"/>
  <c r="IL46" i="1"/>
  <c r="IL47" i="1"/>
  <c r="IL45" i="1"/>
  <c r="IL32" i="1"/>
  <c r="IL31" i="1"/>
  <c r="IL23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8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IY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T90" i="1" s="1"/>
  <c r="T82" i="1"/>
  <c r="U82" i="1"/>
  <c r="AK82" i="1"/>
  <c r="U81" i="1"/>
  <c r="AL81" i="1"/>
  <c r="AN81" i="1" s="1"/>
  <c r="AK81" i="1"/>
  <c r="T81" i="1"/>
  <c r="AL79" i="1"/>
  <c r="AN79" i="1" s="1"/>
  <c r="IT87" i="1" s="1"/>
  <c r="U80" i="1"/>
  <c r="AL80" i="1"/>
  <c r="AN80" i="1" s="1"/>
  <c r="IT88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AL73" i="1"/>
  <c r="AN73" i="1" s="1"/>
  <c r="IY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IY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IT73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T57" i="1" s="1"/>
  <c r="AK50" i="1"/>
  <c r="AL50" i="1"/>
  <c r="AN50" i="1" s="1"/>
  <c r="IY50" i="1" s="1"/>
  <c r="U50" i="1"/>
  <c r="T50" i="1"/>
  <c r="T49" i="1"/>
  <c r="AK49" i="1"/>
  <c r="AO49" i="1" s="1"/>
  <c r="IS57" i="1" s="1"/>
  <c r="AK48" i="1"/>
  <c r="U48" i="1"/>
  <c r="AL48" i="1"/>
  <c r="AN48" i="1" s="1"/>
  <c r="IT56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Y32" i="1" s="1"/>
  <c r="T32" i="1"/>
  <c r="U32" i="1"/>
  <c r="AK32" i="1"/>
  <c r="U31" i="1"/>
  <c r="T31" i="1"/>
  <c r="AK31" i="1"/>
  <c r="AL31" i="1"/>
  <c r="AN31" i="1" s="1"/>
  <c r="AL30" i="1"/>
  <c r="AN30" i="1" s="1"/>
  <c r="IT38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91" i="1" l="1"/>
  <c r="IY62" i="1"/>
  <c r="IT69" i="1"/>
  <c r="IT99" i="1"/>
  <c r="IY90" i="1"/>
  <c r="IY63" i="1"/>
  <c r="IT70" i="1"/>
  <c r="IS98" i="1"/>
  <c r="IX89" i="1"/>
  <c r="IY77" i="1"/>
  <c r="IT85" i="1"/>
  <c r="IY81" i="1"/>
  <c r="IT89" i="1"/>
  <c r="IT97" i="1"/>
  <c r="IY88" i="1"/>
  <c r="IT95" i="1"/>
  <c r="IY86" i="1"/>
  <c r="IY96" i="1"/>
  <c r="IT103" i="1"/>
  <c r="IT49" i="1"/>
  <c r="IY38" i="1"/>
  <c r="IY78" i="1"/>
  <c r="IT86" i="1"/>
  <c r="IY98" i="1"/>
  <c r="IT105" i="1"/>
  <c r="IT71" i="1"/>
  <c r="IY56" i="1"/>
  <c r="IX57" i="1"/>
  <c r="IT96" i="1"/>
  <c r="IY87" i="1"/>
  <c r="IT98" i="1"/>
  <c r="IY89" i="1"/>
  <c r="IT111" i="1"/>
  <c r="IY104" i="1"/>
  <c r="IT20" i="1"/>
  <c r="IT94" i="1"/>
  <c r="IY85" i="1"/>
  <c r="IS94" i="1"/>
  <c r="IX85" i="1"/>
  <c r="IY97" i="1"/>
  <c r="IT104" i="1"/>
  <c r="IT112" i="1"/>
  <c r="IY105" i="1"/>
  <c r="IY49" i="1"/>
  <c r="IT68" i="1"/>
  <c r="IT76" i="1"/>
  <c r="IT75" i="1"/>
  <c r="IX49" i="1"/>
  <c r="IT78" i="1"/>
  <c r="IY72" i="1"/>
  <c r="IT77" i="1"/>
  <c r="IY71" i="1"/>
  <c r="IX71" i="1"/>
  <c r="IT32" i="1"/>
  <c r="IY36" i="1"/>
  <c r="IT37" i="1"/>
  <c r="IT31" i="1"/>
  <c r="IT47" i="1"/>
  <c r="IT48" i="1"/>
  <c r="IT50" i="1"/>
  <c r="IY41" i="1"/>
  <c r="IY55" i="1"/>
  <c r="IX41" i="1"/>
  <c r="IS55" i="1"/>
  <c r="IX55" i="1"/>
  <c r="IT54" i="1"/>
  <c r="IY48" i="1"/>
  <c r="IT35" i="1"/>
  <c r="IY31" i="1"/>
  <c r="IF25" i="1"/>
  <c r="IF43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Y53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Y22" i="1"/>
  <c r="IY33" i="1"/>
  <c r="IT40" i="1"/>
  <c r="IT53" i="1"/>
  <c r="IT58" i="1"/>
  <c r="IY54" i="1"/>
  <c r="IT63" i="1"/>
  <c r="IT26" i="1"/>
  <c r="IY23" i="1"/>
  <c r="IY66" i="1"/>
  <c r="IT80" i="1"/>
  <c r="IT116" i="1"/>
  <c r="IY100" i="1"/>
  <c r="AT27" i="7"/>
  <c r="IX30" i="1"/>
  <c r="IT24" i="1"/>
  <c r="IY21" i="1"/>
  <c r="IY40" i="1"/>
  <c r="IT67" i="1"/>
  <c r="IY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IX103" i="1" s="1"/>
  <c r="IF103" i="1" s="1"/>
  <c r="AP103" i="1"/>
  <c r="AP91" i="1"/>
  <c r="AO91" i="1"/>
  <c r="IX91" i="1" s="1"/>
  <c r="IF91" i="1" s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IS93" i="1" s="1"/>
  <c r="AP83" i="1"/>
  <c r="AO83" i="1"/>
  <c r="IS91" i="1" s="1"/>
  <c r="AO81" i="1"/>
  <c r="AP81" i="1"/>
  <c r="AO82" i="1"/>
  <c r="IS90" i="1" s="1"/>
  <c r="AP82" i="1"/>
  <c r="AO79" i="1"/>
  <c r="IS87" i="1" s="1"/>
  <c r="AP79" i="1"/>
  <c r="AP80" i="1"/>
  <c r="AO80" i="1"/>
  <c r="IS88" i="1" s="1"/>
  <c r="AO77" i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IX73" i="1" s="1"/>
  <c r="IF73" i="1" s="1"/>
  <c r="AP74" i="1"/>
  <c r="AO74" i="1"/>
  <c r="AP71" i="1"/>
  <c r="AO72" i="1"/>
  <c r="AP72" i="1"/>
  <c r="AO69" i="1"/>
  <c r="IX69" i="1" s="1"/>
  <c r="IF69" i="1" s="1"/>
  <c r="AP69" i="1"/>
  <c r="AP70" i="1"/>
  <c r="AO70" i="1"/>
  <c r="IX70" i="1" s="1"/>
  <c r="IF70" i="1" s="1"/>
  <c r="AO67" i="1"/>
  <c r="AP67" i="1"/>
  <c r="AO68" i="1"/>
  <c r="IX68" i="1" s="1"/>
  <c r="IF68" i="1" s="1"/>
  <c r="AP68" i="1"/>
  <c r="AO65" i="1"/>
  <c r="IS72" i="1" s="1"/>
  <c r="AP65" i="1"/>
  <c r="AP66" i="1"/>
  <c r="AO66" i="1"/>
  <c r="AO63" i="1"/>
  <c r="AP63" i="1"/>
  <c r="AO64" i="1"/>
  <c r="IX64" i="1" s="1"/>
  <c r="IF64" i="1" s="1"/>
  <c r="AP64" i="1"/>
  <c r="AP62" i="1"/>
  <c r="AO62" i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IT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X50" i="1" s="1"/>
  <c r="IF50" i="1" s="1"/>
  <c r="AN47" i="1"/>
  <c r="IT52" i="1" s="1"/>
  <c r="AP47" i="1"/>
  <c r="AO48" i="1"/>
  <c r="IS56" i="1" s="1"/>
  <c r="AP48" i="1"/>
  <c r="AP45" i="1"/>
  <c r="AO45" i="1"/>
  <c r="IX45" i="1" s="1"/>
  <c r="IF45" i="1" s="1"/>
  <c r="AP46" i="1"/>
  <c r="AO46" i="1"/>
  <c r="IS64" i="1" s="1"/>
  <c r="AP43" i="1"/>
  <c r="AO44" i="1"/>
  <c r="AP44" i="1"/>
  <c r="AO42" i="1"/>
  <c r="IX42" i="1" s="1"/>
  <c r="IF42" i="1" s="1"/>
  <c r="AP42" i="1"/>
  <c r="AP41" i="1"/>
  <c r="AO40" i="1"/>
  <c r="AP40" i="1"/>
  <c r="AO39" i="1"/>
  <c r="IS50" i="1" s="1"/>
  <c r="AP39" i="1"/>
  <c r="AP37" i="1"/>
  <c r="AO37" i="1"/>
  <c r="IX37" i="1" s="1"/>
  <c r="IF37" i="1" s="1"/>
  <c r="AO38" i="1"/>
  <c r="IX38" i="1" s="1"/>
  <c r="AP38" i="1"/>
  <c r="AP35" i="1"/>
  <c r="AO35" i="1"/>
  <c r="IX35" i="1" s="1"/>
  <c r="IF35" i="1" s="1"/>
  <c r="AP36" i="1"/>
  <c r="AO36" i="1"/>
  <c r="AO33" i="1"/>
  <c r="AP33" i="1"/>
  <c r="AO34" i="1"/>
  <c r="IX34" i="1" s="1"/>
  <c r="IF34" i="1" s="1"/>
  <c r="AP34" i="1"/>
  <c r="AO31" i="1"/>
  <c r="AP31" i="1"/>
  <c r="AO32" i="1"/>
  <c r="IX32" i="1" s="1"/>
  <c r="IF32" i="1" s="1"/>
  <c r="AP32" i="1"/>
  <c r="AO29" i="1"/>
  <c r="IS34" i="1" s="1"/>
  <c r="AP29" i="1"/>
  <c r="AP30" i="1"/>
  <c r="AO27" i="1"/>
  <c r="IX27" i="1" s="1"/>
  <c r="IF27" i="1" s="1"/>
  <c r="AP27" i="1"/>
  <c r="AP28" i="1"/>
  <c r="AO28" i="1"/>
  <c r="AP25" i="1"/>
  <c r="AO26" i="1"/>
  <c r="IX26" i="1" s="1"/>
  <c r="IF26" i="1" s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IT43" i="1" s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F89" i="1" l="1"/>
  <c r="IF85" i="1"/>
  <c r="IF49" i="1"/>
  <c r="IX63" i="1"/>
  <c r="IF63" i="1" s="1"/>
  <c r="IS70" i="1"/>
  <c r="IF38" i="1"/>
  <c r="IS95" i="1"/>
  <c r="IX86" i="1"/>
  <c r="IF86" i="1" s="1"/>
  <c r="IS73" i="1"/>
  <c r="IS111" i="1"/>
  <c r="IX104" i="1"/>
  <c r="IF104" i="1" s="1"/>
  <c r="IX62" i="1"/>
  <c r="IF62" i="1" s="1"/>
  <c r="IS69" i="1"/>
  <c r="IX77" i="1"/>
  <c r="IF77" i="1" s="1"/>
  <c r="IS85" i="1"/>
  <c r="IX81" i="1"/>
  <c r="IF81" i="1" s="1"/>
  <c r="IS89" i="1"/>
  <c r="IX96" i="1"/>
  <c r="IF96" i="1" s="1"/>
  <c r="IS103" i="1"/>
  <c r="IS68" i="1"/>
  <c r="IT22" i="1"/>
  <c r="IY57" i="1"/>
  <c r="IF57" i="1" s="1"/>
  <c r="IS97" i="1"/>
  <c r="IX88" i="1"/>
  <c r="IF88" i="1" s="1"/>
  <c r="IX97" i="1"/>
  <c r="IF97" i="1" s="1"/>
  <c r="IS104" i="1"/>
  <c r="IX98" i="1"/>
  <c r="IF98" i="1" s="1"/>
  <c r="IS105" i="1"/>
  <c r="IS112" i="1"/>
  <c r="IX105" i="1"/>
  <c r="IF105" i="1" s="1"/>
  <c r="IS99" i="1"/>
  <c r="IX90" i="1"/>
  <c r="IF90" i="1" s="1"/>
  <c r="IT55" i="1"/>
  <c r="IX78" i="1"/>
  <c r="IF78" i="1" s="1"/>
  <c r="IS86" i="1"/>
  <c r="IS96" i="1"/>
  <c r="IX87" i="1"/>
  <c r="IF87" i="1" s="1"/>
  <c r="IS58" i="1"/>
  <c r="IS71" i="1"/>
  <c r="IX56" i="1"/>
  <c r="IF56" i="1" s="1"/>
  <c r="IS76" i="1"/>
  <c r="IS51" i="1"/>
  <c r="IS75" i="1"/>
  <c r="IS77" i="1"/>
  <c r="IS20" i="1"/>
  <c r="IT65" i="1"/>
  <c r="IS49" i="1"/>
  <c r="IS78" i="1"/>
  <c r="IX72" i="1"/>
  <c r="IF72" i="1" s="1"/>
  <c r="IF71" i="1"/>
  <c r="IT60" i="1"/>
  <c r="IT72" i="1"/>
  <c r="IT64" i="1"/>
  <c r="IT19" i="1"/>
  <c r="IS32" i="1"/>
  <c r="IS46" i="1"/>
  <c r="IX36" i="1"/>
  <c r="IF36" i="1" s="1"/>
  <c r="IS37" i="1"/>
  <c r="IS31" i="1"/>
  <c r="IS47" i="1"/>
  <c r="IF41" i="1"/>
  <c r="IS19" i="1"/>
  <c r="IS54" i="1"/>
  <c r="IT17" i="1"/>
  <c r="IF55" i="1"/>
  <c r="IS53" i="1"/>
  <c r="IS48" i="1"/>
  <c r="IS52" i="1"/>
  <c r="IX48" i="1"/>
  <c r="IF48" i="1" s="1"/>
  <c r="IT29" i="1"/>
  <c r="IY47" i="1"/>
  <c r="IF47" i="1" s="1"/>
  <c r="IS35" i="1"/>
  <c r="IX31" i="1"/>
  <c r="IF31" i="1" s="1"/>
  <c r="IT25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JI30" i="1" a="1"/>
  <c r="JI30" i="1" s="1"/>
  <c r="JF23" i="1" a="1"/>
  <c r="JF23" i="1" s="1"/>
  <c r="JH23" i="1" s="1" a="1"/>
  <c r="JH23" i="1" s="1"/>
  <c r="JH30" i="1" a="1"/>
  <c r="JH30" i="1" s="1"/>
  <c r="JH29" i="1" a="1"/>
  <c r="JH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15" i="1" l="1"/>
  <c r="L13" i="1"/>
  <c r="L22" i="1"/>
  <c r="L20" i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<sst xmlns="http://schemas.openxmlformats.org/spreadsheetml/2006/main" count="742" uniqueCount="394">
  <si>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</si>
  <si>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</si>
  <si>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</si>
  <si>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</si>
  <si>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</si>
  <si>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</si>
  <si>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</si>
  <si>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</si>
  <si>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</si>
  <si>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</si>
  <si>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</si>
  <si>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</si>
  <si>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</si>
  <si>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</si>
  <si>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</si>
  <si>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</si>
  <si>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</si>
  <si>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</si>
  <si>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</si>
  <si>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</si>
  <si>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</si>
  <si>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</si>
  <si>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</si>
  <si>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</si>
  <si>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</si>
  <si>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</si>
  <si>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</si>
  <si>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</si>
  <si>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</si>
  <si>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</si>
  <si>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</si>
  <si>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</si>
  <si>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</si>
  <si>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</si>
  <si>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</si>
  <si>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</si>
  <si>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</si>
  <si>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</si>
  <si>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</si>
  <si>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</si>
  <si>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</si>
  <si>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</si>
  <si>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</si>
  <si>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</si>
  <si>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</si>
  <si>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</si>
  <si>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</si>
  <si>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</si>
  <si>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</si>
  <si>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</si>
  <si>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</si>
  <si>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</si>
  <si>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</si>
  <si>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</si>
  <si>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</si>
  <si>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</si>
  <si>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</si>
  <si>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</si>
  <si>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</si>
  <si>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</si>
  <si>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</si>
  <si>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</si>
  <si>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</si>
  <si>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</si>
  <si>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</si>
  <si>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</si>
  <si>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</si>
  <si>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</si>
  <si>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</si>
  <si>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</si>
  <si>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</si>
  <si>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</si>
  <si>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</si>
  <si>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</si>
  <si>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</si>
  <si>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</si>
  <si>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</si>
  <si>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</si>
  <si>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</si>
  <si>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</si>
  <si>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</si>
  <si>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</si>
  <si>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</si>
  <si>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</si>
  <si>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</si>
  <si>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</si>
  <si>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</si>
  <si>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</si>
  <si>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</si>
  <si>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</si>
  <si>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</si>
  <si>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</si>
  <si>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</si>
  <si>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</si>
  <si>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</si>
  <si>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</si>
  <si>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</si>
  <si>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</si>
  <si>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</si>
  <si>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</si>
  <si>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</si>
  <si>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</si>
  <si>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</si>
  <si>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</si>
  <si>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</si>
  <si>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</si>
  <si>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</si>
  <si>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</si>
  <si>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</si>
  <si>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</si>
  <si>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</si>
  <si>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</si>
  <si>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</si>
  <si>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</si>
  <si>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</si>
  <si>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</si>
  <si>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</si>
  <si>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</si>
  <si>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</si>
  <si>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</si>
  <si>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</si>
  <si>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</si>
  <si>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</si>
  <si>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</si>
  <si>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</si>
  <si>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</si>
  <si>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</si>
  <si>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</si>
  <si>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</si>
  <si>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</si>
  <si>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</si>
  <si>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</si>
  <si>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</si>
  <si>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</si>
  <si>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</si>
  <si>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</si>
  <si>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</si>
  <si>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</si>
  <si>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</si>
  <si>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</si>
  <si>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</si>
  <si>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</si>
  <si>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</si>
  <si>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</si>
  <si>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</si>
  <si>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</si>
  <si>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</si>
  <si>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</si>
  <si>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</si>
  <si>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</si>
  <si>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</si>
  <si>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</si>
  <si>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</si>
  <si>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</si>
  <si>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</si>
  <si>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</si>
  <si>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</si>
  <si>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</si>
  <si>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</si>
  <si>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</si>
  <si>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</si>
  <si>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</si>
  <si>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</si>
  <si>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</si>
  <si>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</si>
  <si>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</si>
  <si>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</si>
  <si>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</si>
  <si>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</si>
  <si>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</si>
  <si>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</si>
  <si>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</si>
  <si>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</si>
  <si>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</si>
  <si>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</si>
  <si>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</si>
  <si>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</si>
  <si>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</si>
  <si>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</si>
  <si>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</si>
  <si>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</si>
  <si>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</si>
  <si>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</si>
  <si>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</si>
  <si>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</si>
  <si>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</si>
  <si>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</si>
  <si>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</si>
  <si>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</si>
  <si>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</si>
  <si>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</si>
  <si>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</si>
  <si>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</si>
  <si>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</si>
  <si>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</si>
  <si>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</si>
  <si>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</si>
  <si>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</si>
  <si>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</si>
  <si>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</si>
  <si>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</si>
  <si>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</si>
  <si>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</si>
  <si>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</si>
  <si>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</si>
  <si>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</si>
  <si>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</si>
  <si>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</si>
  <si>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</si>
  <si>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</si>
  <si>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</si>
  <si>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</si>
  <si>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</si>
  <si>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</si>
  <si>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</si>
  <si>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</si>
  <si>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</si>
  <si>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</si>
  <si>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</si>
  <si>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</si>
  <si>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</si>
  <si>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</si>
  <si>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</si>
  <si>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</si>
  <si>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</si>
  <si>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</si>
  <si>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</si>
  <si>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</si>
  <si>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</si>
  <si>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</si>
  <si>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</si>
  <si>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</si>
  <si>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</si>
  <si>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</si>
  <si>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</si>
  <si>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</si>
  <si>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</si>
  <si>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</si>
  <si>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</si>
  <si>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</si>
  <si>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</si>
  <si>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</si>
  <si>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</si>
  <si>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</si>
  <si>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</si>
  <si>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</si>
  <si>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</si>
  <si>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</si>
  <si>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</si>
  <si>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</si>
  <si>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</si>
  <si>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</si>
  <si>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</si>
  <si>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</si>
  <si>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</si>
  <si>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</si>
  <si>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</si>
  <si>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</si>
  <si>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</si>
  <si>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</si>
  <si>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</si>
  <si>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</si>
  <si>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</si>
  <si>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</si>
  <si>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</si>
  <si>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</si>
  <si>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</si>
  <si>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</si>
  <si>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</si>
  <si>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</si>
  <si>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</si>
  <si>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</si>
  <si>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</si>
  <si>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</si>
  <si>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</si>
  <si>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</si>
  <si>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</si>
  <si>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</si>
  <si>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</si>
  <si>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</si>
  <si>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</si>
  <si>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</si>
  <si>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</si>
  <si>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</si>
  <si>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</si>
  <si>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</si>
  <si>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</si>
  <si>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</si>
  <si>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</si>
  <si>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</si>
  <si>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</si>
  <si>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</si>
  <si>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</si>
  <si>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</si>
  <si>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</si>
  <si>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</si>
  <si>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</si>
  <si>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</si>
  <si>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</si>
  <si>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</si>
  <si>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</si>
  <si>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</si>
  <si>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</si>
  <si>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</si>
  <si>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</si>
  <si>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</si>
  <si>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</si>
  <si>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</si>
  <si>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</si>
  <si>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</si>
  <si>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</si>
  <si>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</si>
  <si>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</si>
  <si>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</si>
  <si>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</si>
  <si>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</si>
  <si>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</si>
  <si>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</si>
  <si>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</si>
  <si>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</si>
  <si>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</si>
  <si>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</si>
  <si>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</si>
  <si>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</si>
  <si>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</si>
  <si>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</si>
  <si>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</si>
  <si>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</si>
  <si>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</si>
  <si>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</si>
  <si>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</si>
  <si>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</si>
  <si>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</si>
  <si>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</si>
  <si>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</si>
  <si>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</si>
  <si>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</si>
  <si>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</si>
  <si>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</si>
  <si>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</si>
  <si>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</si>
  <si>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</si>
  <si>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</si>
  <si>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</si>
  <si>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</si>
  <si>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</si>
  <si>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</si>
  <si>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</si>
  <si>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</si>
  <si>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</si>
  <si>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</si>
  <si>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</si>
  <si>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</si>
  <si>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</si>
  <si>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</si>
  <si>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</si>
  <si>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</si>
  <si>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</si>
  <si>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</si>
  <si>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</si>
  <si>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</si>
  <si>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</si>
  <si>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</si>
  <si>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</si>
  <si>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</si>
  <si>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</si>
  <si>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</si>
  <si>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</si>
  <si>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</si>
  <si>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</si>
  <si>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</si>
  <si>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</si>
  <si>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</si>
  <si>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</si>
  <si>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</si>
  <si>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</si>
  <si>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</si>
  <si>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</si>
  <si>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</si>
  <si>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</si>
  <si>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</si>
  <si>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</si>
  <si>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</si>
  <si>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</si>
  <si>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</si>
  <si>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</si>
  <si>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</si>
  <si>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</si>
  <si>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</si>
  <si>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</si>
  <si>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</si>
  <si>
    <t>&lt;&gt;CS CPS-31783r1</t>
  </si>
  <si>
    <t>&lt;&gt;CS CPS-32193r1</t>
  </si>
  <si>
    <t>&lt;&gt;CS CPS-31837r1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</si>
</sst>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5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3" fontId="26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1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4" t="s">
        <v>77</v>
      </c>
      <c r="D1" s="914"/>
      <c r="E1" s="914"/>
      <c r="F1" s="914"/>
      <c r="G1" s="914"/>
      <c r="H1" s="914"/>
      <c r="I1" s="914"/>
      <c r="J1" s="914"/>
      <c r="K1" s="914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901" t="s">
        <v>80</v>
      </c>
      <c r="B6" s="901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900" t="s">
        <v>379</v>
      </c>
      <c r="AQ7" s="900"/>
      <c r="AR7" s="900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6">
        <v>9</v>
      </c>
      <c r="D9" s="876"/>
      <c r="E9" s="876"/>
      <c r="F9" s="876"/>
      <c r="G9" s="876"/>
      <c r="H9" s="876"/>
      <c r="I9" s="876"/>
      <c r="J9" s="876"/>
      <c r="K9" s="907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5"/>
      <c r="C10" s="896"/>
      <c r="D10" s="896"/>
      <c r="E10" s="896"/>
      <c r="F10" s="896"/>
      <c r="G10" s="896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2"/>
      <c r="B11" s="902" t="s">
        <v>33</v>
      </c>
      <c r="C11" s="911" t="s">
        <v>34</v>
      </c>
      <c r="D11" s="911"/>
      <c r="E11" s="908" t="s">
        <v>39</v>
      </c>
      <c r="F11" s="902" t="s">
        <v>35</v>
      </c>
      <c r="G11" s="902" t="s">
        <v>36</v>
      </c>
      <c r="H11" s="902" t="s">
        <v>43</v>
      </c>
      <c r="I11" s="909" t="s">
        <v>67</v>
      </c>
      <c r="J11" s="911" t="s">
        <v>56</v>
      </c>
      <c r="K11" s="911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5" t="s">
        <v>347</v>
      </c>
      <c r="AN11" s="876"/>
      <c r="AO11" s="876"/>
      <c r="AP11" s="876"/>
      <c r="AQ11" s="876"/>
      <c r="AR11" s="877"/>
      <c r="AS11" s="886" t="s">
        <v>354</v>
      </c>
      <c r="AT11" s="887"/>
      <c r="AU11" s="887"/>
      <c r="AV11" s="888"/>
      <c r="BC11" s="470"/>
    </row>
    <row r="12" spans="1:55" ht="15.75" thickBot="1" x14ac:dyDescent="0.3">
      <c r="A12" s="913"/>
      <c r="B12" s="903"/>
      <c r="C12" s="48" t="s">
        <v>8</v>
      </c>
      <c r="D12" s="49" t="s">
        <v>10</v>
      </c>
      <c r="E12" s="903"/>
      <c r="F12" s="903"/>
      <c r="G12" s="903"/>
      <c r="H12" s="903"/>
      <c r="I12" s="910"/>
      <c r="J12" s="53" t="s">
        <v>8</v>
      </c>
      <c r="K12" s="54" t="s">
        <v>10</v>
      </c>
      <c r="M12" s="31"/>
      <c r="N12" s="31"/>
      <c r="O12" s="923" t="s">
        <v>46</v>
      </c>
      <c r="P12" s="924"/>
      <c r="Q12" s="904" t="s">
        <v>45</v>
      </c>
      <c r="R12" s="905"/>
      <c r="S12" s="905"/>
      <c r="T12" s="905"/>
      <c r="U12" s="905"/>
      <c r="V12" s="905"/>
      <c r="W12" s="905"/>
      <c r="X12" s="905"/>
      <c r="Y12" s="905"/>
      <c r="Z12" s="905"/>
      <c r="AA12" s="905"/>
      <c r="AB12" s="905"/>
      <c r="AC12" s="905"/>
      <c r="AD12" s="905"/>
      <c r="AE12" s="906"/>
      <c r="AF12" s="917" t="s">
        <v>56</v>
      </c>
      <c r="AG12" s="918"/>
      <c r="AH12" s="31"/>
      <c r="AK12" s="881" t="s">
        <v>355</v>
      </c>
      <c r="AL12" s="897"/>
      <c r="AM12" s="878" t="s">
        <v>352</v>
      </c>
      <c r="AN12" s="879"/>
      <c r="AO12" s="880"/>
      <c r="AP12" s="881" t="s">
        <v>380</v>
      </c>
      <c r="AQ12" s="880"/>
      <c r="AR12" s="802" t="s">
        <v>378</v>
      </c>
      <c r="AS12" s="883" t="s">
        <v>352</v>
      </c>
      <c r="AT12" s="880"/>
      <c r="AU12" s="884" t="s">
        <v>353</v>
      </c>
      <c r="AV12" s="885"/>
      <c r="AW12" s="889" t="s">
        <v>351</v>
      </c>
      <c r="AX12" s="890"/>
      <c r="AZ12" s="881" t="s">
        <v>60</v>
      </c>
      <c r="BA12" s="880"/>
      <c r="BC12" s="882" t="s">
        <v>383</v>
      </c>
    </row>
    <row r="13" spans="1:55" ht="15.75" thickBot="1" x14ac:dyDescent="0.3">
      <c r="A13" s="64" t="s">
        <v>57</v>
      </c>
      <c r="B13" s="891" t="s">
        <v>97</v>
      </c>
      <c r="C13" s="893" t="str">
        <f>SUBSTITUTE(ADDRESS(1,COLUMN(Assy.Model!X9),4),"1","")</f>
        <v>X</v>
      </c>
      <c r="D13" s="101" t="str">
        <f>SUBSTITUTE(ADDRESS(1,COLUMN(Assy.Model!Y9),4),"1","")</f>
        <v>Y</v>
      </c>
      <c r="E13" s="898" t="str">
        <f>SUBSTITUTE(ADDRESS(1,COLUMN(Assy.Model!H9),4),"1","")</f>
        <v>H</v>
      </c>
      <c r="F13" s="898" t="str">
        <f>SUBSTITUTE(ADDRESS(1,COLUMN(Assy.Model!AN9),4),"1","")</f>
        <v>AN</v>
      </c>
      <c r="G13" s="898" t="str">
        <f>SUBSTITUTE(ADDRESS(1,COLUMN(Assy.Model!AO9),4),"1","")</f>
        <v>AO</v>
      </c>
      <c r="H13" s="898" t="str">
        <f>SUBSTITUTE(ADDRESS(1,COLUMN(Assy.Model!AO9),4),"1","")</f>
        <v>AO</v>
      </c>
      <c r="I13" s="898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5"/>
      <c r="P13" s="926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2"/>
    </row>
    <row r="14" spans="1:55" x14ac:dyDescent="0.25">
      <c r="A14" s="62" t="s">
        <v>58</v>
      </c>
      <c r="B14" s="892"/>
      <c r="C14" s="894"/>
      <c r="D14" s="102" t="str">
        <f>SUBSTITUTE(ADDRESS(1,COLUMN(Assy.Model!AT9),4),"1","")</f>
        <v>AT</v>
      </c>
      <c r="E14" s="899"/>
      <c r="F14" s="899"/>
      <c r="G14" s="899"/>
      <c r="H14" s="899"/>
      <c r="I14" s="899"/>
      <c r="J14" s="91">
        <v>0</v>
      </c>
      <c r="K14" s="92">
        <v>0</v>
      </c>
      <c r="L14" s="31"/>
      <c r="M14" s="190">
        <v>6.25E-2</v>
      </c>
      <c r="N14" s="31">
        <v>32</v>
      </c>
      <c r="O14" s="921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29" si="10">($AU14-$AT14)/2</f>
        <v>2.5000000000000022E-3</v>
      </c>
      <c r="AX14" s="755">
        <f t="shared" ref="AX14:AX29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31">_xlfn._xlws.FILTER(IF(AJ14:AJ36,AK14:AK36,""),IF(AJ14:AJ36,AK14:AK36,"")&lt;&gt;"")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21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28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21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21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21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7.875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21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2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29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6" t="s">
        <v>64</v>
      </c>
      <c r="C21" s="876"/>
      <c r="D21" s="876"/>
      <c r="E21" s="876"/>
      <c r="F21" s="907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2"/>
      <c r="C22" s="906" t="s">
        <v>63</v>
      </c>
      <c r="D22" s="907"/>
      <c r="E22" s="909" t="s">
        <v>60</v>
      </c>
      <c r="F22" s="909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7"/>
      <c r="C23" s="57" t="s">
        <v>8</v>
      </c>
      <c r="D23" s="57" t="s">
        <v>9</v>
      </c>
      <c r="E23" s="910"/>
      <c r="F23" s="910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9">
        <v>0</v>
      </c>
      <c r="E24" s="919">
        <v>2</v>
      </c>
      <c r="F24" s="919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3.9375</v>
      </c>
      <c r="D25" s="920"/>
      <c r="E25" s="920"/>
      <c r="F25" s="920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5" t="s">
        <v>311</v>
      </c>
      <c r="C27" s="915"/>
      <c r="D27" s="915"/>
      <c r="E27" s="915"/>
      <c r="F27" s="915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6" t="s">
        <v>390</v>
      </c>
      <c r="C28" s="916"/>
      <c r="D28" s="916"/>
      <c r="E28" s="916"/>
      <c r="F28" s="916"/>
      <c r="G28" s="31"/>
      <c r="H28" s="31"/>
      <c r="I28" s="31"/>
      <c r="AI28" s="842">
        <f t="shared" si="13"/>
        <v>390000.212</v>
      </c>
      <c r="AJ28" s="839" t="b">
        <v>1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 t="shared" ref="AP28:AP33" si="19"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CPS-31783r1</v>
      </c>
    </row>
    <row r="29" spans="2:55" x14ac:dyDescent="0.25">
      <c r="B29" s="100"/>
      <c r="D29" s="100"/>
      <c r="AI29" s="842">
        <f t="shared" ref="AI29" si="20">ROUND(((ROUND(AP29,6)*1000000)+AQ29),6)</f>
        <v>390000.43800000002</v>
      </c>
      <c r="AJ29" s="839" t="b">
        <f>TRUE</f>
        <v>1</v>
      </c>
      <c r="AK29" s="874" t="s">
        <v>391</v>
      </c>
      <c r="AL29" s="744" t="s">
        <v>341</v>
      </c>
      <c r="AM29" s="746">
        <v>0.38</v>
      </c>
      <c r="AN29" s="741">
        <v>0.438</v>
      </c>
      <c r="AO29" s="748">
        <f>0.225*2</f>
        <v>0.45</v>
      </c>
      <c r="AP29" s="829">
        <f t="shared" si="19"/>
        <v>0.39</v>
      </c>
      <c r="AQ29" s="833">
        <f>AN29</f>
        <v>0.438</v>
      </c>
      <c r="AR29" s="181">
        <f t="shared" si="18"/>
        <v>0.19</v>
      </c>
      <c r="AS29" s="4">
        <f t="shared" si="14"/>
        <v>0.379</v>
      </c>
      <c r="AT29" s="8">
        <f t="shared" si="14"/>
        <v>0.38100000000000001</v>
      </c>
      <c r="AU29" s="821">
        <f>($AP29+AU$9)-0.002</f>
        <v>0.38900000000000001</v>
      </c>
      <c r="AV29" s="822">
        <f>($AP29+AV$9)-0.002</f>
        <v>0.39200000000000002</v>
      </c>
      <c r="AW29" s="177">
        <f t="shared" si="10"/>
        <v>4.0000000000000036E-3</v>
      </c>
      <c r="AX29" s="8">
        <f t="shared" si="11"/>
        <v>6.5000000000000058E-3</v>
      </c>
      <c r="BC29" s="86" t="str">
        <v>&lt;&gt;CS CPS-31783r1</v>
      </c>
    </row>
    <row r="30" spans="2:55" x14ac:dyDescent="0.25">
      <c r="AF30" s="100"/>
      <c r="AI30" s="842">
        <f t="shared" ref="AI30:AI36" si="21">ROUND(((ROUND(AP30,6)*1000000)+AQ30),6)</f>
        <v>514000.45500000002</v>
      </c>
      <c r="AJ30" s="839" t="b">
        <v>0</v>
      </c>
      <c r="AK30" s="740" t="s">
        <v>336</v>
      </c>
      <c r="AL30" s="744" t="s">
        <v>342</v>
      </c>
      <c r="AM30" s="746">
        <v>0.504</v>
      </c>
      <c r="AN30" s="741">
        <v>0.71</v>
      </c>
      <c r="AO30" s="748">
        <f>0.255*2</f>
        <v>0.51</v>
      </c>
      <c r="AP30" s="829">
        <f t="shared" si="19"/>
        <v>0.51400000000000001</v>
      </c>
      <c r="AQ30" s="8">
        <f>($AN30-($AO30/2))</f>
        <v>0.45499999999999996</v>
      </c>
      <c r="AR30" s="181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ref="AW30:AW36" si="24">($AU30-$AT30)/2</f>
        <v>3.5000000000000031E-3</v>
      </c>
      <c r="AX30" s="8">
        <f t="shared" ref="AX30:AX36" si="25">($AV30-$AS30)/2</f>
        <v>5.5000000000000049E-3</v>
      </c>
      <c r="BC30" s="86" t="str">
        <v>CPS-32193r1</v>
      </c>
    </row>
    <row r="31" spans="2:55" x14ac:dyDescent="0.25">
      <c r="AF31" s="100"/>
      <c r="AI31" s="842">
        <f t="shared" si="21"/>
        <v>514000.71</v>
      </c>
      <c r="AJ31" s="839" t="b">
        <v>0</v>
      </c>
      <c r="AK31" s="874" t="s">
        <v>393</v>
      </c>
      <c r="AL31" s="744" t="s">
        <v>342</v>
      </c>
      <c r="AM31" s="746">
        <v>0.504</v>
      </c>
      <c r="AN31" s="741">
        <v>0.71</v>
      </c>
      <c r="AO31" s="748">
        <f>0.255*2</f>
        <v>0.51</v>
      </c>
      <c r="AP31" s="829">
        <f t="shared" si="19"/>
        <v>0.51400000000000001</v>
      </c>
      <c r="AQ31" s="833">
        <f>AN31</f>
        <v>0.71</v>
      </c>
      <c r="AR31" s="181">
        <f t="shared" si="22"/>
        <v>0.252</v>
      </c>
      <c r="AS31" s="4">
        <f t="shared" si="23"/>
        <v>0.503</v>
      </c>
      <c r="AT31" s="8">
        <f t="shared" si="23"/>
        <v>0.505</v>
      </c>
      <c r="AU31" s="821">
        <f>($AP31+AU$9)-0.003</f>
        <v>0.51200000000000001</v>
      </c>
      <c r="AV31" s="822">
        <f>($AP31+AV$9)-0.004</f>
        <v>0.51400000000000001</v>
      </c>
      <c r="AW31" s="177">
        <f t="shared" si="24"/>
        <v>3.5000000000000031E-3</v>
      </c>
      <c r="AX31" s="8">
        <f t="shared" si="25"/>
        <v>5.5000000000000049E-3</v>
      </c>
      <c r="BC31" s="86" t="str">
        <v>&lt;&gt;CS CPS-32193r1</v>
      </c>
    </row>
    <row r="32" spans="2:55" x14ac:dyDescent="0.25">
      <c r="AI32" s="842">
        <f t="shared" si="21"/>
        <v>514000.41499999998</v>
      </c>
      <c r="AJ32" s="839" t="b">
        <f>TRUE</f>
        <v>1</v>
      </c>
      <c r="AK32" s="740" t="s">
        <v>334</v>
      </c>
      <c r="AL32" s="744" t="s">
        <v>342</v>
      </c>
      <c r="AM32" s="746">
        <v>0.504</v>
      </c>
      <c r="AN32" s="741">
        <v>0.67</v>
      </c>
      <c r="AO32" s="748">
        <f>0.255*2</f>
        <v>0.51</v>
      </c>
      <c r="AP32" s="829">
        <f t="shared" si="19"/>
        <v>0.51400000000000001</v>
      </c>
      <c r="AQ32" s="8">
        <f>($AN32-($AO32/2))</f>
        <v>0.41500000000000004</v>
      </c>
      <c r="AR32" s="181">
        <f t="shared" si="22"/>
        <v>0.252</v>
      </c>
      <c r="AS32" s="4">
        <f t="shared" si="23"/>
        <v>0.503</v>
      </c>
      <c r="AT32" s="8">
        <f t="shared" si="23"/>
        <v>0.505</v>
      </c>
      <c r="AU32" s="821">
        <f>($AP32+AU$9)-0.003</f>
        <v>0.51200000000000001</v>
      </c>
      <c r="AV32" s="822">
        <f>($AP32+AV$9)-0.004</f>
        <v>0.51400000000000001</v>
      </c>
      <c r="AW32" s="177">
        <f t="shared" si="24"/>
        <v>3.5000000000000031E-3</v>
      </c>
      <c r="AX32" s="8">
        <f t="shared" si="25"/>
        <v>5.5000000000000049E-3</v>
      </c>
    </row>
    <row r="33" spans="35:50" x14ac:dyDescent="0.25">
      <c r="AI33" s="842">
        <f t="shared" si="21"/>
        <v>514000.67</v>
      </c>
      <c r="AJ33" s="839" t="b">
        <f>TRUE</f>
        <v>1</v>
      </c>
      <c r="AK33" s="874" t="s">
        <v>392</v>
      </c>
      <c r="AL33" s="744" t="s">
        <v>342</v>
      </c>
      <c r="AM33" s="746">
        <v>0.504</v>
      </c>
      <c r="AN33" s="741">
        <v>0.67</v>
      </c>
      <c r="AO33" s="748">
        <f>0.255*2</f>
        <v>0.51</v>
      </c>
      <c r="AP33" s="829">
        <f t="shared" si="19"/>
        <v>0.51400000000000001</v>
      </c>
      <c r="AQ33" s="833">
        <f>AN33</f>
        <v>0.67</v>
      </c>
      <c r="AR33" s="181">
        <f t="shared" si="22"/>
        <v>0.252</v>
      </c>
      <c r="AS33" s="4">
        <f t="shared" si="23"/>
        <v>0.503</v>
      </c>
      <c r="AT33" s="8">
        <f t="shared" si="23"/>
        <v>0.505</v>
      </c>
      <c r="AU33" s="821">
        <f>($AP33+AU$9)-0.003</f>
        <v>0.51200000000000001</v>
      </c>
      <c r="AV33" s="822">
        <f>($AP33+AV$9)-0.004</f>
        <v>0.51400000000000001</v>
      </c>
      <c r="AW33" s="177">
        <f t="shared" si="24"/>
        <v>3.5000000000000031E-3</v>
      </c>
      <c r="AX33" s="8">
        <f t="shared" si="25"/>
        <v>5.5000000000000049E-3</v>
      </c>
    </row>
    <row r="34" spans="35:50" x14ac:dyDescent="0.25">
      <c r="AI34" s="842">
        <f t="shared" si="21"/>
        <v>450000.33189999999</v>
      </c>
      <c r="AJ34" s="839" t="b">
        <f>FALSE</f>
        <v>0</v>
      </c>
      <c r="AK34" s="740" t="s">
        <v>340</v>
      </c>
      <c r="AL34" s="744" t="s">
        <v>343</v>
      </c>
      <c r="AM34" s="746">
        <v>0.4415</v>
      </c>
      <c r="AN34" s="741">
        <v>0.55000000000000004</v>
      </c>
      <c r="AO34" s="748">
        <f>0.2181*2</f>
        <v>0.43619999999999998</v>
      </c>
      <c r="AP34" s="829">
        <f>($AM34+AP$9)+0.0055</f>
        <v>0.45</v>
      </c>
      <c r="AQ34" s="8">
        <f>($AN34-($AO34/2))</f>
        <v>0.33190000000000008</v>
      </c>
      <c r="AR34" s="181">
        <f t="shared" si="22"/>
        <v>0.22075</v>
      </c>
      <c r="AS34" s="834">
        <f>($AM34+AS$9)+0.0008</f>
        <v>0.44130000000000003</v>
      </c>
      <c r="AT34" s="833">
        <f>($AM34+AT$9)-0.0008</f>
        <v>0.44169999999999998</v>
      </c>
      <c r="AU34" s="821">
        <f>($AP34+AU$9)-0.005</f>
        <v>0.44600000000000001</v>
      </c>
      <c r="AV34" s="822">
        <f>($AP34+AV$9)-0.002</f>
        <v>0.45200000000000001</v>
      </c>
      <c r="AW34" s="177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842">
        <f t="shared" si="21"/>
        <v>450000.33199999999</v>
      </c>
      <c r="AJ35" s="839" t="b">
        <f>FALSE</f>
        <v>0</v>
      </c>
      <c r="AK35" s="740" t="s">
        <v>340</v>
      </c>
      <c r="AL35" s="744" t="s">
        <v>343</v>
      </c>
      <c r="AM35" s="746">
        <v>0.4415</v>
      </c>
      <c r="AN35" s="741">
        <v>0.55000000000000004</v>
      </c>
      <c r="AO35" s="748">
        <f>0.2181*2</f>
        <v>0.43619999999999998</v>
      </c>
      <c r="AP35" s="829">
        <f>($AM35+AP$9)+0.0055</f>
        <v>0.45</v>
      </c>
      <c r="AQ35" s="833">
        <f>($AN35-($AO35/2))+0.0001</f>
        <v>0.33200000000000007</v>
      </c>
      <c r="AR35" s="181">
        <f t="shared" si="22"/>
        <v>0.22075</v>
      </c>
      <c r="AS35" s="834">
        <f>($AM35+AS$9)+0.0008</f>
        <v>0.44130000000000003</v>
      </c>
      <c r="AT35" s="833">
        <f>($AM35+AT$9)-0.0008</f>
        <v>0.44169999999999998</v>
      </c>
      <c r="AU35" s="821">
        <f>($AP35+AU$9)-0.005</f>
        <v>0.44600000000000001</v>
      </c>
      <c r="AV35" s="822">
        <f>($AP35+AV$9)-0.002</f>
        <v>0.45200000000000001</v>
      </c>
      <c r="AW35" s="177">
        <f t="shared" si="24"/>
        <v>2.150000000000013E-3</v>
      </c>
      <c r="AX35" s="8">
        <f t="shared" si="25"/>
        <v>5.3499999999999936E-3</v>
      </c>
    </row>
    <row r="36" spans="35:50" x14ac:dyDescent="0.25">
      <c r="AI36" s="842">
        <f t="shared" si="21"/>
        <v>525000.40700000001</v>
      </c>
      <c r="AJ36" s="839" t="b">
        <f>FALSE</f>
        <v>0</v>
      </c>
      <c r="AK36" s="742" t="s">
        <v>335</v>
      </c>
      <c r="AL36" s="745" t="s">
        <v>344</v>
      </c>
      <c r="AM36" s="747">
        <v>0.51459999999999995</v>
      </c>
      <c r="AN36" s="743">
        <v>0.67</v>
      </c>
      <c r="AO36" s="749">
        <f>0.263*2</f>
        <v>0.52600000000000002</v>
      </c>
      <c r="AP36" s="832">
        <f>($AM36+AP$9)+0.0074</f>
        <v>0.52499999999999991</v>
      </c>
      <c r="AQ36" s="722">
        <f>($AN36-($AO36/2))</f>
        <v>0.40700000000000003</v>
      </c>
      <c r="AR36" s="827">
        <f t="shared" si="22"/>
        <v>0.25729999999999997</v>
      </c>
      <c r="AS36" s="835">
        <f>($AM36+AS$9)+0.0008</f>
        <v>0.51439999999999997</v>
      </c>
      <c r="AT36" s="836">
        <f>($AM36+AT$9)-0.0008</f>
        <v>0.51479999999999992</v>
      </c>
      <c r="AU36" s="823">
        <f>($AP36+AU$9)-0.005</f>
        <v>0.52099999999999991</v>
      </c>
      <c r="AV36" s="824">
        <f>($AP36+AV$9)-0.002</f>
        <v>0.52699999999999991</v>
      </c>
      <c r="AW36" s="180">
        <f t="shared" si="24"/>
        <v>3.0999999999999917E-3</v>
      </c>
      <c r="AX36" s="722">
        <f t="shared" si="25"/>
        <v>6.2999999999999723E-3</v>
      </c>
    </row>
    <row r="37" spans="35:50" x14ac:dyDescent="0.25">
      <c r="AI37" s="468"/>
      <c r="AJ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K39" s="468"/>
      <c r="AL39" s="468"/>
    </row>
    <row r="40" spans="35:50" x14ac:dyDescent="0.25">
      <c r="AI40" s="468"/>
      <c r="AJ40" s="468"/>
      <c r="AK40" s="468"/>
      <c r="AL40" s="468"/>
    </row>
    <row r="41" spans="35:50" x14ac:dyDescent="0.25">
      <c r="AI41" s="468"/>
      <c r="AJ41" s="468"/>
      <c r="AK41" s="468"/>
      <c r="AL41" s="468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68"/>
      <c r="AJ46" s="468"/>
      <c r="AK46" s="468"/>
      <c r="AL46" s="468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68"/>
      <c r="AJ47" s="468"/>
      <c r="AK47" s="468"/>
      <c r="AL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I51" s="468"/>
      <c r="AJ51" s="468"/>
      <c r="AK51" s="468"/>
      <c r="AL51" s="468"/>
      <c r="AM51" s="468"/>
      <c r="AN51" s="468"/>
      <c r="AO51" s="468"/>
      <c r="AP51" s="468"/>
      <c r="AQ51" s="468"/>
      <c r="AR51" s="468"/>
    </row>
    <row r="52" spans="2:44" x14ac:dyDescent="0.25">
      <c r="AI52" s="468"/>
      <c r="AJ52" s="468"/>
      <c r="AK52" s="468"/>
      <c r="AL52" s="468"/>
      <c r="AM52" s="468"/>
      <c r="AN52" s="468"/>
      <c r="AO52" s="468"/>
      <c r="AP52" s="468"/>
      <c r="AQ52" s="468"/>
      <c r="AR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57" spans="2:44" x14ac:dyDescent="0.25">
      <c r="AJ57" s="468"/>
      <c r="AK57" s="468"/>
      <c r="AL57" s="468"/>
    </row>
    <row r="58" spans="2:44" x14ac:dyDescent="0.25">
      <c r="AJ58" s="468"/>
      <c r="AK58" s="468"/>
      <c r="AL58" s="468"/>
    </row>
    <row r="62" spans="2:44" x14ac:dyDescent="0.25">
      <c r="B62" s="31"/>
    </row>
    <row r="63" spans="2:44" x14ac:dyDescent="0.25">
      <c r="B63" s="31"/>
    </row>
    <row r="65" spans="2:11" x14ac:dyDescent="0.25">
      <c r="I65" s="508"/>
      <c r="K65" s="508"/>
    </row>
    <row r="66" spans="2:11" x14ac:dyDescent="0.25">
      <c r="I66" s="508"/>
      <c r="K66" s="508"/>
    </row>
    <row r="67" spans="2:11" x14ac:dyDescent="0.25">
      <c r="I67" s="508"/>
      <c r="K67" s="508"/>
    </row>
    <row r="68" spans="2:11" x14ac:dyDescent="0.25">
      <c r="I68" s="508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6" t="s">
        <v>95</v>
      </c>
      <c r="D3" s="876"/>
      <c r="E3" s="876"/>
      <c r="F3" s="876"/>
      <c r="G3" s="876"/>
      <c r="H3" s="876"/>
      <c r="I3" s="876"/>
      <c r="J3" s="876"/>
      <c r="K3" s="877"/>
      <c r="L3" s="933"/>
      <c r="M3" s="876"/>
      <c r="N3" s="876"/>
      <c r="O3" s="876"/>
      <c r="P3" s="876"/>
      <c r="Q3" s="876"/>
      <c r="R3" s="907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5" t="s">
        <v>86</v>
      </c>
      <c r="C4" s="972" t="s">
        <v>82</v>
      </c>
      <c r="D4" s="876" t="s">
        <v>83</v>
      </c>
      <c r="E4" s="876"/>
      <c r="F4" s="876"/>
      <c r="G4" s="876"/>
      <c r="H4" s="876"/>
      <c r="I4" s="876"/>
      <c r="J4" s="876"/>
      <c r="K4" s="876"/>
      <c r="L4" s="150" t="s">
        <v>91</v>
      </c>
      <c r="M4" s="906" t="s">
        <v>94</v>
      </c>
      <c r="N4" s="876"/>
      <c r="O4" s="876"/>
      <c r="P4" s="877"/>
      <c r="Q4" s="876" t="s">
        <v>52</v>
      </c>
      <c r="R4" s="907"/>
      <c r="S4" s="107"/>
      <c r="T4" s="906">
        <v>350</v>
      </c>
      <c r="U4" s="876"/>
      <c r="V4" s="876" t="s">
        <v>76</v>
      </c>
      <c r="W4" s="876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6"/>
      <c r="C5" s="973"/>
      <c r="D5" s="961" t="s">
        <v>85</v>
      </c>
      <c r="E5" s="975" t="s">
        <v>89</v>
      </c>
      <c r="F5" s="911" t="s">
        <v>34</v>
      </c>
      <c r="G5" s="911"/>
      <c r="H5" s="908" t="s">
        <v>39</v>
      </c>
      <c r="I5" s="902" t="s">
        <v>35</v>
      </c>
      <c r="J5" s="902" t="s">
        <v>36</v>
      </c>
      <c r="K5" s="945" t="s">
        <v>67</v>
      </c>
      <c r="L5" s="151" t="s">
        <v>92</v>
      </c>
      <c r="M5" s="909" t="s">
        <v>90</v>
      </c>
      <c r="N5" s="909" t="s">
        <v>47</v>
      </c>
      <c r="O5" s="928" t="s">
        <v>84</v>
      </c>
      <c r="P5" s="929"/>
      <c r="Q5" s="930" t="s">
        <v>84</v>
      </c>
      <c r="R5" s="931"/>
      <c r="S5" s="107"/>
      <c r="T5" s="923" t="s">
        <v>46</v>
      </c>
      <c r="U5" s="934"/>
      <c r="V5" s="890" t="s">
        <v>45</v>
      </c>
      <c r="W5" s="918"/>
      <c r="X5" s="918"/>
      <c r="Y5" s="918"/>
      <c r="Z5" s="918"/>
      <c r="AA5" s="918"/>
      <c r="AB5" s="918"/>
      <c r="AC5" s="918"/>
      <c r="AD5" s="918"/>
      <c r="AE5" s="918"/>
      <c r="AF5" s="918"/>
      <c r="AG5" s="918"/>
      <c r="AH5" s="918"/>
      <c r="AI5" s="918"/>
      <c r="AJ5" s="918"/>
      <c r="AK5" s="31"/>
      <c r="AL5" s="31"/>
    </row>
    <row r="6" spans="2:38" ht="15" customHeight="1" thickBot="1" x14ac:dyDescent="0.3">
      <c r="B6" s="957"/>
      <c r="C6" s="974"/>
      <c r="D6" s="962"/>
      <c r="E6" s="976"/>
      <c r="F6" s="108" t="s">
        <v>8</v>
      </c>
      <c r="G6" s="109" t="s">
        <v>10</v>
      </c>
      <c r="H6" s="946"/>
      <c r="I6" s="946"/>
      <c r="J6" s="946"/>
      <c r="K6" s="935"/>
      <c r="L6" s="152" t="s">
        <v>93</v>
      </c>
      <c r="M6" s="932"/>
      <c r="N6" s="932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5"/>
      <c r="U6" s="936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3">
        <f>ROW(Assy.Model!B9)</f>
        <v>9</v>
      </c>
      <c r="D7" s="952" t="str">
        <f>SUBSTITUTE(ADDRESS(1,COLUMN(Assy.Model!B9),4),"1","")</f>
        <v>B</v>
      </c>
      <c r="E7" s="966" t="str">
        <f>SUBSTITUTE(ADDRESS(1,COLUMN(Assy.Model!M9),4),"1","")</f>
        <v>M</v>
      </c>
      <c r="F7" s="969" t="str">
        <f>SUBSTITUTE(ADDRESS(1,COLUMN(Assy.Model!X9),4),"1","")</f>
        <v>X</v>
      </c>
      <c r="G7" s="958" t="str">
        <f>SUBSTITUTE(ADDRESS(1,COLUMN(Assy.Model!AT9),4),"1","")</f>
        <v>AT</v>
      </c>
      <c r="H7" s="937" t="str">
        <f>SUBSTITUTE(ADDRESS(1,COLUMN(Assy.Model!H9),4),"1","")</f>
        <v>H</v>
      </c>
      <c r="I7" s="937" t="str">
        <f>SUBSTITUTE(ADDRESS(1,COLUMN(Assy.Model!AN9),4),"1","")</f>
        <v>AN</v>
      </c>
      <c r="J7" s="937" t="str">
        <f>SUBSTITUTE(ADDRESS(1,COLUMN(Assy.Model!AO9),4),"1","")</f>
        <v>AO</v>
      </c>
      <c r="K7" s="94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9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7" t="s">
        <v>81</v>
      </c>
      <c r="C8" s="964"/>
      <c r="D8" s="953"/>
      <c r="E8" s="967"/>
      <c r="F8" s="970"/>
      <c r="G8" s="959"/>
      <c r="H8" s="938"/>
      <c r="I8" s="938"/>
      <c r="J8" s="938"/>
      <c r="K8" s="941"/>
      <c r="L8" s="153" t="s">
        <v>93</v>
      </c>
      <c r="M8" s="94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50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7"/>
      <c r="C9" s="964"/>
      <c r="D9" s="953"/>
      <c r="E9" s="967"/>
      <c r="F9" s="970"/>
      <c r="G9" s="959"/>
      <c r="H9" s="938"/>
      <c r="I9" s="938"/>
      <c r="J9" s="938"/>
      <c r="K9" s="941"/>
      <c r="L9" s="153" t="s">
        <v>92</v>
      </c>
      <c r="M9" s="94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50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7"/>
      <c r="C10" s="964"/>
      <c r="D10" s="953"/>
      <c r="E10" s="967"/>
      <c r="F10" s="970"/>
      <c r="G10" s="959"/>
      <c r="H10" s="938"/>
      <c r="I10" s="938"/>
      <c r="J10" s="938"/>
      <c r="K10" s="941"/>
      <c r="L10" s="153" t="s">
        <v>92</v>
      </c>
      <c r="M10" s="94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50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7"/>
      <c r="C11" s="964"/>
      <c r="D11" s="953"/>
      <c r="E11" s="967"/>
      <c r="F11" s="970"/>
      <c r="G11" s="959"/>
      <c r="H11" s="938"/>
      <c r="I11" s="938"/>
      <c r="J11" s="938"/>
      <c r="K11" s="941"/>
      <c r="L11" s="153" t="s">
        <v>92</v>
      </c>
      <c r="M11" s="94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50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7"/>
      <c r="C12" s="964"/>
      <c r="D12" s="953"/>
      <c r="E12" s="967"/>
      <c r="F12" s="970"/>
      <c r="G12" s="959"/>
      <c r="H12" s="938"/>
      <c r="I12" s="938"/>
      <c r="J12" s="938"/>
      <c r="K12" s="941"/>
      <c r="L12" s="153" t="s">
        <v>92</v>
      </c>
      <c r="M12" s="94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50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7"/>
      <c r="C13" s="964"/>
      <c r="D13" s="953"/>
      <c r="E13" s="967"/>
      <c r="F13" s="970"/>
      <c r="G13" s="959"/>
      <c r="H13" s="938"/>
      <c r="I13" s="938"/>
      <c r="J13" s="938"/>
      <c r="K13" s="941"/>
      <c r="L13" s="153" t="s">
        <v>92</v>
      </c>
      <c r="M13" s="94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50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8"/>
      <c r="C14" s="965"/>
      <c r="D14" s="954"/>
      <c r="E14" s="968"/>
      <c r="F14" s="971"/>
      <c r="G14" s="960"/>
      <c r="H14" s="939"/>
      <c r="I14" s="939"/>
      <c r="J14" s="939"/>
      <c r="K14" s="942"/>
      <c r="L14" s="154" t="s">
        <v>93</v>
      </c>
      <c r="M14" s="94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51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28515625" bestFit="1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30" t="str">
        <f>CONCATENATE(Settings!$C$19," ",Settings!$B$28)</f>
        <v>7.875  Job# --- Assy# --- Post Braze --- yy.mm.dd</v>
      </c>
      <c r="D1" s="1230"/>
      <c r="E1" s="1230"/>
      <c r="F1" s="1230"/>
      <c r="G1" s="1230"/>
      <c r="H1" s="1230"/>
      <c r="I1" s="1230"/>
      <c r="J1" s="1230"/>
      <c r="K1" s="1230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41" t="s">
        <v>315</v>
      </c>
      <c r="C2" s="1242"/>
      <c r="D2" s="1242"/>
      <c r="E2" s="1242"/>
      <c r="F2" s="1242"/>
      <c r="G2" s="1242"/>
      <c r="H2" s="1242"/>
      <c r="I2" s="1242"/>
      <c r="J2" s="1242"/>
      <c r="K2" s="1243"/>
      <c r="L2" s="985" t="str" cm="1">
        <f t="array" ref="L2">IF(OR($K$9:$K$150="Undefined"),"Undefined Element","")</f>
        <v/>
      </c>
      <c r="M2" s="1249" t="s">
        <v>0</v>
      </c>
      <c r="N2" s="1143" t="s">
        <v>1</v>
      </c>
      <c r="O2" s="1144"/>
      <c r="P2" s="1144"/>
      <c r="Q2" s="1144"/>
      <c r="R2" s="1144"/>
      <c r="S2" s="1144"/>
      <c r="T2" s="1144"/>
      <c r="U2" s="1144"/>
      <c r="V2" s="1144"/>
      <c r="W2" s="1144"/>
      <c r="X2" s="1144"/>
      <c r="Y2" s="1156"/>
      <c r="Z2" s="1143" t="s">
        <v>2</v>
      </c>
      <c r="AA2" s="1144"/>
      <c r="AB2" s="1144"/>
      <c r="AC2" s="1144"/>
      <c r="AD2" s="1144"/>
      <c r="AE2" s="1144"/>
      <c r="AF2" s="1144"/>
      <c r="AG2" s="1144"/>
      <c r="AH2" s="1144"/>
      <c r="AI2" s="1144"/>
      <c r="AJ2" s="1144"/>
      <c r="AK2" s="1144"/>
      <c r="AL2" s="1144"/>
      <c r="AM2" s="1144"/>
      <c r="AN2" s="1144"/>
      <c r="AO2" s="1144"/>
      <c r="AP2" s="1144"/>
      <c r="AQ2" s="1145"/>
      <c r="AS2" s="1206" t="s">
        <v>44</v>
      </c>
      <c r="AT2" s="1207"/>
      <c r="AV2" s="1201" t="s">
        <v>0</v>
      </c>
      <c r="AW2" s="1143" t="s">
        <v>109</v>
      </c>
      <c r="AX2" s="1144"/>
      <c r="AY2" s="1144"/>
      <c r="AZ2" s="1144"/>
      <c r="BA2" s="1144"/>
      <c r="BB2" s="1144"/>
      <c r="BC2" s="1144"/>
      <c r="BD2" s="1144"/>
      <c r="BE2" s="1145"/>
      <c r="BF2" s="1155" t="s">
        <v>115</v>
      </c>
      <c r="BG2" s="1144"/>
      <c r="BH2" s="1144"/>
      <c r="BI2" s="1144"/>
      <c r="BJ2" s="1144"/>
      <c r="BK2" s="1144"/>
      <c r="BL2" s="1144"/>
      <c r="BM2" s="1144"/>
      <c r="BN2" s="1144"/>
      <c r="BO2" s="1144"/>
      <c r="BP2" s="1144"/>
      <c r="BQ2" s="1144"/>
      <c r="BR2" s="1144"/>
      <c r="BS2" s="1144"/>
      <c r="BT2" s="1144"/>
      <c r="BU2" s="1144"/>
      <c r="BV2" s="1144"/>
      <c r="BW2" s="1144"/>
      <c r="BX2" s="1144"/>
      <c r="BY2" s="1144"/>
      <c r="BZ2" s="1144"/>
      <c r="CA2" s="1144"/>
      <c r="CB2" s="1144"/>
      <c r="CC2" s="1144"/>
      <c r="CD2" s="1144"/>
      <c r="CE2" s="1144"/>
      <c r="CF2" s="1144"/>
      <c r="CG2" s="1144"/>
      <c r="CH2" s="1144"/>
      <c r="CI2" s="1144"/>
      <c r="CJ2" s="1144"/>
      <c r="CK2" s="1144"/>
      <c r="CL2" s="1144"/>
      <c r="CM2" s="1144"/>
      <c r="CN2" s="1144"/>
      <c r="CO2" s="1144"/>
      <c r="CP2" s="1144"/>
      <c r="CQ2" s="1144"/>
      <c r="CR2" s="1144"/>
      <c r="CS2" s="1144"/>
      <c r="CT2" s="1144"/>
      <c r="CU2" s="1144"/>
      <c r="CV2" s="1144"/>
      <c r="CW2" s="1144"/>
      <c r="CX2" s="1144"/>
      <c r="CY2" s="1144"/>
      <c r="CZ2" s="1144"/>
      <c r="DA2" s="1144"/>
      <c r="DB2" s="1144"/>
      <c r="DC2" s="1144"/>
      <c r="DD2" s="1144"/>
      <c r="DE2" s="1144"/>
      <c r="DF2" s="1144"/>
      <c r="DG2" s="1144"/>
      <c r="DH2" s="1144"/>
      <c r="DI2" s="1144"/>
      <c r="DJ2" s="1144"/>
      <c r="DK2" s="1144"/>
      <c r="DL2" s="1144"/>
      <c r="DM2" s="1144"/>
      <c r="DN2" s="1144"/>
      <c r="DO2" s="1144"/>
      <c r="DP2" s="1144"/>
      <c r="DQ2" s="1144"/>
      <c r="DR2" s="1144"/>
      <c r="DS2" s="1144"/>
      <c r="DT2" s="1144"/>
      <c r="DU2" s="1144"/>
      <c r="DV2" s="1144"/>
      <c r="DW2" s="1144"/>
      <c r="DX2" s="1144"/>
      <c r="DY2" s="1144"/>
      <c r="DZ2" s="1144"/>
      <c r="EA2" s="1144"/>
      <c r="EB2" s="1144"/>
      <c r="EC2" s="1144"/>
      <c r="ED2" s="1144"/>
      <c r="EE2" s="1144"/>
      <c r="EF2" s="1144"/>
      <c r="EG2" s="1144"/>
      <c r="EH2" s="1144"/>
      <c r="EI2" s="1144"/>
      <c r="EJ2" s="1144"/>
      <c r="EK2" s="1144"/>
      <c r="EL2" s="1144"/>
      <c r="EM2" s="1144"/>
      <c r="EN2" s="1144"/>
      <c r="EO2" s="1144"/>
      <c r="EP2" s="1144"/>
      <c r="EQ2" s="1144"/>
      <c r="ER2" s="1156"/>
      <c r="ES2" s="1046" t="s">
        <v>197</v>
      </c>
      <c r="ET2" s="1047"/>
      <c r="EU2" s="1047"/>
      <c r="EV2" s="1047"/>
      <c r="EW2" s="1047"/>
      <c r="EX2" s="1047"/>
      <c r="EY2" s="1047"/>
      <c r="EZ2" s="1047"/>
      <c r="FA2" s="1047"/>
      <c r="FB2" s="1047"/>
      <c r="FC2" s="1047"/>
      <c r="FD2" s="1047"/>
      <c r="FE2" s="1047"/>
      <c r="FF2" s="1048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3" t="s">
        <v>266</v>
      </c>
      <c r="HQ2" s="1074" t="str">
        <f>IFERROR(CONCATENATE("Sum of Lateral Forces = ",ROUND(HE3,0)," lbs @ ",ROUND(HF3,1),"° Relative to Blade 1"),"")</f>
        <v/>
      </c>
      <c r="HR2" s="1075"/>
      <c r="HS2" s="1075"/>
      <c r="HT2" s="1075"/>
      <c r="HU2" s="1075"/>
      <c r="HV2" s="1076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4"/>
      <c r="C3" s="1199"/>
      <c r="D3" s="1199"/>
      <c r="E3" s="1199"/>
      <c r="F3" s="1199"/>
      <c r="G3" s="1199"/>
      <c r="H3" s="1199"/>
      <c r="I3" s="1199"/>
      <c r="J3" s="1199"/>
      <c r="K3" s="1245"/>
      <c r="L3" s="985"/>
      <c r="M3" s="1244"/>
      <c r="N3" s="1146"/>
      <c r="O3" s="1147"/>
      <c r="P3" s="1147"/>
      <c r="Q3" s="1147"/>
      <c r="R3" s="1147"/>
      <c r="S3" s="1147"/>
      <c r="T3" s="1147"/>
      <c r="U3" s="1147"/>
      <c r="V3" s="1147"/>
      <c r="W3" s="1147"/>
      <c r="X3" s="1147"/>
      <c r="Y3" s="1203"/>
      <c r="Z3" s="1146"/>
      <c r="AA3" s="1147"/>
      <c r="AB3" s="1147"/>
      <c r="AC3" s="1147"/>
      <c r="AD3" s="1147"/>
      <c r="AE3" s="1147"/>
      <c r="AF3" s="1147"/>
      <c r="AG3" s="1147"/>
      <c r="AH3" s="1147"/>
      <c r="AI3" s="1147"/>
      <c r="AJ3" s="1147"/>
      <c r="AK3" s="1147"/>
      <c r="AL3" s="1147"/>
      <c r="AM3" s="1147"/>
      <c r="AN3" s="1147"/>
      <c r="AO3" s="1147"/>
      <c r="AP3" s="1147"/>
      <c r="AQ3" s="1148"/>
      <c r="AS3" s="466">
        <v>100</v>
      </c>
      <c r="AT3" s="463" t="s">
        <v>45</v>
      </c>
      <c r="AV3" s="1202"/>
      <c r="AW3" s="1049"/>
      <c r="AX3" s="1050"/>
      <c r="AY3" s="1050"/>
      <c r="AZ3" s="1050"/>
      <c r="BA3" s="1050"/>
      <c r="BB3" s="1050"/>
      <c r="BC3" s="1050"/>
      <c r="BD3" s="1050"/>
      <c r="BE3" s="1164"/>
      <c r="BF3" s="1157"/>
      <c r="BG3" s="1050"/>
      <c r="BH3" s="1050"/>
      <c r="BI3" s="1050"/>
      <c r="BJ3" s="1050"/>
      <c r="BK3" s="1050"/>
      <c r="BL3" s="1050"/>
      <c r="BM3" s="1050"/>
      <c r="BN3" s="1050"/>
      <c r="BO3" s="1050"/>
      <c r="BP3" s="1050"/>
      <c r="BQ3" s="1050"/>
      <c r="BR3" s="1050"/>
      <c r="BS3" s="1050"/>
      <c r="BT3" s="1050"/>
      <c r="BU3" s="1050"/>
      <c r="BV3" s="1050"/>
      <c r="BW3" s="1050"/>
      <c r="BX3" s="1050"/>
      <c r="BY3" s="1050"/>
      <c r="BZ3" s="1050"/>
      <c r="CA3" s="1050"/>
      <c r="CB3" s="1050"/>
      <c r="CC3" s="1050"/>
      <c r="CD3" s="1050"/>
      <c r="CE3" s="1050"/>
      <c r="CF3" s="1050"/>
      <c r="CG3" s="1050"/>
      <c r="CH3" s="1050"/>
      <c r="CI3" s="1050"/>
      <c r="CJ3" s="1050"/>
      <c r="CK3" s="1050"/>
      <c r="CL3" s="1050"/>
      <c r="CM3" s="1050"/>
      <c r="CN3" s="1050"/>
      <c r="CO3" s="1050"/>
      <c r="CP3" s="1050"/>
      <c r="CQ3" s="1050"/>
      <c r="CR3" s="1050"/>
      <c r="CS3" s="1050"/>
      <c r="CT3" s="1050"/>
      <c r="CU3" s="1050"/>
      <c r="CV3" s="1050"/>
      <c r="CW3" s="1050"/>
      <c r="CX3" s="1050"/>
      <c r="CY3" s="1050"/>
      <c r="CZ3" s="1050"/>
      <c r="DA3" s="1050"/>
      <c r="DB3" s="1050"/>
      <c r="DC3" s="1050"/>
      <c r="DD3" s="1050"/>
      <c r="DE3" s="1050"/>
      <c r="DF3" s="1050"/>
      <c r="DG3" s="1050"/>
      <c r="DH3" s="1050"/>
      <c r="DI3" s="1050"/>
      <c r="DJ3" s="1050"/>
      <c r="DK3" s="1050"/>
      <c r="DL3" s="1050"/>
      <c r="DM3" s="1050"/>
      <c r="DN3" s="1050"/>
      <c r="DO3" s="1050"/>
      <c r="DP3" s="1050"/>
      <c r="DQ3" s="1050"/>
      <c r="DR3" s="1050"/>
      <c r="DS3" s="1050"/>
      <c r="DT3" s="1050"/>
      <c r="DU3" s="1050"/>
      <c r="DV3" s="1050"/>
      <c r="DW3" s="1050"/>
      <c r="DX3" s="1050"/>
      <c r="DY3" s="1050"/>
      <c r="DZ3" s="1050"/>
      <c r="EA3" s="1050"/>
      <c r="EB3" s="1050"/>
      <c r="EC3" s="1050"/>
      <c r="ED3" s="1050"/>
      <c r="EE3" s="1050"/>
      <c r="EF3" s="1050"/>
      <c r="EG3" s="1050"/>
      <c r="EH3" s="1050"/>
      <c r="EI3" s="1050"/>
      <c r="EJ3" s="1050"/>
      <c r="EK3" s="1050"/>
      <c r="EL3" s="1050"/>
      <c r="EM3" s="1050"/>
      <c r="EN3" s="1050"/>
      <c r="EO3" s="1050"/>
      <c r="EP3" s="1050"/>
      <c r="EQ3" s="1050"/>
      <c r="ER3" s="1051"/>
      <c r="ES3" s="1049"/>
      <c r="ET3" s="1050"/>
      <c r="EU3" s="1050"/>
      <c r="EV3" s="1050"/>
      <c r="EW3" s="1050"/>
      <c r="EX3" s="1050"/>
      <c r="EY3" s="1050"/>
      <c r="EZ3" s="1050"/>
      <c r="FA3" s="1050"/>
      <c r="FB3" s="1050"/>
      <c r="FC3" s="1050"/>
      <c r="FD3" s="1050"/>
      <c r="FE3" s="1050"/>
      <c r="FF3" s="1051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4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6"/>
      <c r="C4" s="1247"/>
      <c r="D4" s="1247"/>
      <c r="E4" s="1247"/>
      <c r="F4" s="1247"/>
      <c r="G4" s="1247"/>
      <c r="H4" s="1247"/>
      <c r="I4" s="1247"/>
      <c r="J4" s="1247"/>
      <c r="K4" s="1248"/>
      <c r="L4" s="985"/>
      <c r="M4" s="1244"/>
      <c r="N4" s="1187" t="s">
        <v>3</v>
      </c>
      <c r="O4" s="1185"/>
      <c r="P4" s="1185"/>
      <c r="Q4" s="1184" t="s">
        <v>4</v>
      </c>
      <c r="R4" s="1185"/>
      <c r="S4" s="1186"/>
      <c r="T4" s="1259" t="str">
        <f>N4</f>
        <v>Cartesian Coordinates</v>
      </c>
      <c r="U4" s="1168"/>
      <c r="V4" s="1260"/>
      <c r="W4" s="1168" t="str">
        <f>$Q$4</f>
        <v>Polar XY; Cartesian Z</v>
      </c>
      <c r="X4" s="1168"/>
      <c r="Y4" s="1234"/>
      <c r="Z4" s="1187" t="s">
        <v>3</v>
      </c>
      <c r="AA4" s="1185"/>
      <c r="AB4" s="1185"/>
      <c r="AC4" s="1185"/>
      <c r="AD4" s="1185"/>
      <c r="AE4" s="1185"/>
      <c r="AF4" s="1185"/>
      <c r="AG4" s="1197" t="s">
        <v>31</v>
      </c>
      <c r="AH4" s="1185"/>
      <c r="AI4" s="1185"/>
      <c r="AJ4" s="1186"/>
      <c r="AK4" s="1149" t="s">
        <v>32</v>
      </c>
      <c r="AL4" s="1150"/>
      <c r="AM4" s="1150"/>
      <c r="AN4" s="1150"/>
      <c r="AO4" s="1150"/>
      <c r="AP4" s="1150"/>
      <c r="AQ4" s="1151"/>
      <c r="AS4" s="467">
        <v>125</v>
      </c>
      <c r="AT4" s="464" t="s">
        <v>46</v>
      </c>
      <c r="AV4" s="1202"/>
      <c r="AW4" s="1097" t="s">
        <v>112</v>
      </c>
      <c r="AX4" s="1001"/>
      <c r="AY4" s="924"/>
      <c r="AZ4" s="1162"/>
      <c r="BA4" s="1163"/>
      <c r="BB4" s="1165" t="s">
        <v>113</v>
      </c>
      <c r="BC4" s="1168" t="str">
        <f>$Q$4</f>
        <v>Polar XY; Cartesian Z</v>
      </c>
      <c r="BD4" s="1168"/>
      <c r="BE4" s="1169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158" t="s">
        <v>193</v>
      </c>
      <c r="CP4" s="1159"/>
      <c r="CQ4" s="1159"/>
      <c r="CR4" s="1159"/>
      <c r="CS4" s="1159"/>
      <c r="CT4" s="1159"/>
      <c r="CU4" s="1159"/>
      <c r="CV4" s="1159"/>
      <c r="CW4" s="1159"/>
      <c r="CX4" s="1159"/>
      <c r="CY4" s="1159"/>
      <c r="CZ4" s="1159"/>
      <c r="DA4" s="1160"/>
      <c r="DB4" s="1043" t="s">
        <v>162</v>
      </c>
      <c r="DC4" s="1044"/>
      <c r="DD4" s="1044"/>
      <c r="DE4" s="1044"/>
      <c r="DF4" s="1044"/>
      <c r="DG4" s="1044"/>
      <c r="DH4" s="1044"/>
      <c r="DI4" s="1044"/>
      <c r="DJ4" s="1044"/>
      <c r="DK4" s="1044"/>
      <c r="DL4" s="1044"/>
      <c r="DM4" s="1044"/>
      <c r="DN4" s="1044"/>
      <c r="DO4" s="1044"/>
      <c r="DP4" s="1044"/>
      <c r="DQ4" s="1044"/>
      <c r="DR4" s="1044"/>
      <c r="DS4" s="1044"/>
      <c r="DT4" s="1044"/>
      <c r="DU4" s="1044"/>
      <c r="DV4" s="1044"/>
      <c r="DW4" s="1044"/>
      <c r="DX4" s="1044"/>
      <c r="DY4" s="1044"/>
      <c r="DZ4" s="1044"/>
      <c r="EA4" s="1044"/>
      <c r="EB4" s="1044"/>
      <c r="EC4" s="1044"/>
      <c r="ED4" s="1044"/>
      <c r="EE4" s="1044"/>
      <c r="EF4" s="1044"/>
      <c r="EG4" s="1044"/>
      <c r="EH4" s="1044"/>
      <c r="EI4" s="1044"/>
      <c r="EJ4" s="1044"/>
      <c r="EK4" s="1044"/>
      <c r="EL4" s="1044"/>
      <c r="EM4" s="1044"/>
      <c r="EN4" s="1044"/>
      <c r="EO4" s="1044"/>
      <c r="EP4" s="1044"/>
      <c r="EQ4" s="1044"/>
      <c r="ER4" s="1045"/>
      <c r="ES4" s="1066" t="s">
        <v>196</v>
      </c>
      <c r="ET4" s="1067"/>
      <c r="EU4" s="1067"/>
      <c r="EV4" s="1067"/>
      <c r="EW4" s="1067"/>
      <c r="EX4" s="1067"/>
      <c r="EY4" s="1068"/>
      <c r="EZ4" s="1101" t="s">
        <v>201</v>
      </c>
      <c r="FA4" s="1102"/>
      <c r="FB4" s="1102"/>
      <c r="FC4" s="1102"/>
      <c r="FD4" s="1102"/>
      <c r="FE4" s="1102"/>
      <c r="FF4" s="1103"/>
      <c r="FG4" s="343"/>
      <c r="FP4" s="1033" t="s">
        <v>229</v>
      </c>
      <c r="FZ4" s="1033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4" t="s">
        <v>236</v>
      </c>
      <c r="GK4" s="905"/>
      <c r="GL4" s="905"/>
      <c r="GM4" s="905"/>
      <c r="GN4" s="991"/>
      <c r="GO4" s="993" t="s">
        <v>229</v>
      </c>
      <c r="GP4" s="997" t="s">
        <v>228</v>
      </c>
      <c r="GR4" s="1003" t="s">
        <v>261</v>
      </c>
      <c r="GS4" s="933" t="s">
        <v>259</v>
      </c>
      <c r="GT4" s="876"/>
      <c r="GU4" s="876"/>
      <c r="GV4" s="876"/>
      <c r="GW4" s="876"/>
      <c r="GX4" s="876"/>
      <c r="GY4" s="876"/>
      <c r="GZ4" s="876"/>
      <c r="HA4" s="1080" t="str">
        <f>IFERROR(CONCATENATE("Lateral Forces = ",ROUND(HE3,0)," lbs @ ",ROUND(HF3,1),"° Relative to Blade 1"),"")</f>
        <v/>
      </c>
      <c r="HB4" s="1081"/>
      <c r="HC4" s="1081"/>
      <c r="HD4" s="1081"/>
      <c r="HE4" s="1081"/>
      <c r="HF4" s="1081"/>
      <c r="HG4" s="1081"/>
      <c r="HH4" s="1082"/>
      <c r="HI4" s="1088" t="s">
        <v>0</v>
      </c>
      <c r="HO4" s="1035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901" t="s">
        <v>381</v>
      </c>
      <c r="IF4" s="901"/>
      <c r="IG4" s="767" cm="1">
        <f t="array" ref="IG4">MAX(MOD(IF($IG$9:$IG$150="",0,($IG$9:$IG$150*1000)),100))</f>
        <v>34</v>
      </c>
      <c r="IL4" s="31"/>
      <c r="IM4" s="767"/>
    </row>
    <row r="5" spans="1:283" ht="15" customHeight="1" x14ac:dyDescent="0.25">
      <c r="B5" s="1235" t="str">
        <f>CONCATENATE(B7," ; ",E7," ; ",H7)</f>
        <v>Absolute-Point ; Incremental-Vector Point ; Pocket Info.</v>
      </c>
      <c r="C5" s="1236"/>
      <c r="D5" s="1236"/>
      <c r="E5" s="1236"/>
      <c r="F5" s="1236"/>
      <c r="G5" s="1236"/>
      <c r="H5" s="1236"/>
      <c r="I5" s="1236"/>
      <c r="J5" s="1236"/>
      <c r="K5" s="1237"/>
      <c r="L5" s="872" t="str" cm="1">
        <f t="array" ref="L5">IF(OR(IF(LEFT($K$9:$K$150,4)="&lt;&gt;CS",TRUE,FALSE)),"Wrong CS","")</f>
        <v/>
      </c>
      <c r="M5" s="1244"/>
      <c r="N5" s="1192" t="s">
        <v>5</v>
      </c>
      <c r="O5" s="1153"/>
      <c r="P5" s="1153"/>
      <c r="Q5" s="1220" t="s">
        <v>6</v>
      </c>
      <c r="R5" s="1153"/>
      <c r="S5" s="1154"/>
      <c r="T5" s="1137" t="str">
        <f>CONCATENATE("Relative to ",M8,"'s θ about Z Axis")</f>
        <v>Relative to 1.113's θ about Z Axis</v>
      </c>
      <c r="U5" s="1138"/>
      <c r="V5" s="1139"/>
      <c r="W5" s="1138" t="str">
        <f>CONCATENATE("Relative to ",M8,"'s θ about Z Axis")</f>
        <v>Relative to 1.113's θ about Z Axis</v>
      </c>
      <c r="X5" s="1138"/>
      <c r="Y5" s="1261"/>
      <c r="Z5" s="1251" t="str">
        <f>N5</f>
        <v>Relative to World_CS</v>
      </c>
      <c r="AA5" s="1138"/>
      <c r="AB5" s="1138"/>
      <c r="AC5" s="1138"/>
      <c r="AD5" s="1138"/>
      <c r="AE5" s="1138"/>
      <c r="AF5" s="1138"/>
      <c r="AG5" s="1137" t="str">
        <f>N5</f>
        <v>Relative to World_CS</v>
      </c>
      <c r="AH5" s="1138"/>
      <c r="AI5" s="1138"/>
      <c r="AJ5" s="1175"/>
      <c r="AK5" s="1152" t="s">
        <v>7</v>
      </c>
      <c r="AL5" s="1153"/>
      <c r="AM5" s="1153"/>
      <c r="AN5" s="1153"/>
      <c r="AO5" s="1153"/>
      <c r="AP5" s="1153"/>
      <c r="AQ5" s="1154"/>
      <c r="AS5" s="171">
        <f>(((AS4*12)/60)/AS3)</f>
        <v>0.25</v>
      </c>
      <c r="AT5" s="464" t="s">
        <v>47</v>
      </c>
      <c r="AV5" s="1202"/>
      <c r="AW5" s="1178"/>
      <c r="AX5" s="1179"/>
      <c r="AY5" s="1180"/>
      <c r="AZ5" s="1009"/>
      <c r="BA5" s="914"/>
      <c r="BB5" s="1166"/>
      <c r="BC5" s="1174" t="str">
        <f>$W$5</f>
        <v>Relative to 1.113's θ about Z Axis</v>
      </c>
      <c r="BD5" s="1138"/>
      <c r="BE5" s="1175"/>
      <c r="BF5" s="933" t="s">
        <v>128</v>
      </c>
      <c r="BG5" s="876"/>
      <c r="BH5" s="876"/>
      <c r="BI5" s="876"/>
      <c r="BJ5" s="876"/>
      <c r="BK5" s="876"/>
      <c r="BL5" s="876"/>
      <c r="BM5" s="876"/>
      <c r="BN5" s="876"/>
      <c r="BO5" s="876"/>
      <c r="BP5" s="876"/>
      <c r="BQ5" s="876"/>
      <c r="BR5" s="877"/>
      <c r="BS5" s="933" t="s">
        <v>130</v>
      </c>
      <c r="BT5" s="876"/>
      <c r="BU5" s="876"/>
      <c r="BV5" s="876"/>
      <c r="BW5" s="876"/>
      <c r="BX5" s="876"/>
      <c r="BY5" s="876"/>
      <c r="BZ5" s="876"/>
      <c r="CA5" s="876"/>
      <c r="CB5" s="876"/>
      <c r="CC5" s="876"/>
      <c r="CD5" s="876"/>
      <c r="CE5" s="877"/>
      <c r="CF5" s="933" t="s">
        <v>138</v>
      </c>
      <c r="CG5" s="876"/>
      <c r="CH5" s="877"/>
      <c r="CI5" s="933" t="s">
        <v>139</v>
      </c>
      <c r="CJ5" s="876"/>
      <c r="CK5" s="876"/>
      <c r="CL5" s="876"/>
      <c r="CM5" s="876"/>
      <c r="CN5" s="877"/>
      <c r="CO5" s="1015" t="s">
        <v>275</v>
      </c>
      <c r="CP5" s="1015" t="s">
        <v>149</v>
      </c>
      <c r="CQ5" s="1001"/>
      <c r="CR5" s="1001"/>
      <c r="CS5" s="934"/>
      <c r="CT5" s="1001" t="s">
        <v>150</v>
      </c>
      <c r="CU5" s="924"/>
      <c r="CV5" s="933" t="s">
        <v>161</v>
      </c>
      <c r="CW5" s="876"/>
      <c r="CX5" s="876"/>
      <c r="CY5" s="876"/>
      <c r="CZ5" s="876"/>
      <c r="DA5" s="877"/>
      <c r="DB5" s="933" t="s">
        <v>163</v>
      </c>
      <c r="DC5" s="876"/>
      <c r="DD5" s="876"/>
      <c r="DE5" s="876"/>
      <c r="DF5" s="876"/>
      <c r="DG5" s="876"/>
      <c r="DH5" s="877"/>
      <c r="DI5" s="1022" t="s">
        <v>173</v>
      </c>
      <c r="DJ5" s="1022"/>
      <c r="DK5" s="1130"/>
      <c r="DL5" s="1021" t="s">
        <v>174</v>
      </c>
      <c r="DM5" s="1022"/>
      <c r="DN5" s="1023"/>
      <c r="DO5" s="1132" t="s">
        <v>175</v>
      </c>
      <c r="DP5" s="1133"/>
      <c r="DQ5" s="1133"/>
      <c r="DR5" s="1014" t="s">
        <v>187</v>
      </c>
      <c r="DS5" s="1014"/>
      <c r="DT5" s="1014"/>
      <c r="DU5" s="1014"/>
      <c r="DV5" s="1014"/>
      <c r="DW5" s="1014"/>
      <c r="DX5" s="1015" t="s">
        <v>190</v>
      </c>
      <c r="DY5" s="955" t="s">
        <v>149</v>
      </c>
      <c r="DZ5" s="1014"/>
      <c r="EA5" s="1014"/>
      <c r="EB5" s="1014"/>
      <c r="EC5" s="1014" t="s">
        <v>150</v>
      </c>
      <c r="ED5" s="1014"/>
      <c r="EE5" s="1003" t="s">
        <v>194</v>
      </c>
      <c r="EF5" s="1003"/>
      <c r="EG5" s="1011"/>
      <c r="EH5" s="1027" t="s">
        <v>195</v>
      </c>
      <c r="EI5" s="1028"/>
      <c r="EJ5" s="1029"/>
      <c r="EK5" s="1014" t="s">
        <v>188</v>
      </c>
      <c r="EL5" s="1015"/>
      <c r="EM5" s="933" t="s">
        <v>189</v>
      </c>
      <c r="EN5" s="876"/>
      <c r="EO5" s="876"/>
      <c r="EP5" s="876"/>
      <c r="EQ5" s="876"/>
      <c r="ER5" s="1123"/>
      <c r="ES5" s="1097" t="s">
        <v>202</v>
      </c>
      <c r="ET5" s="1001"/>
      <c r="EU5" s="934"/>
      <c r="EV5" s="1069" t="s">
        <v>222</v>
      </c>
      <c r="EW5" s="1070"/>
      <c r="EX5" s="1070"/>
      <c r="EY5" s="1071"/>
      <c r="EZ5" s="1058" t="s">
        <v>200</v>
      </c>
      <c r="FA5" s="928" t="s">
        <v>202</v>
      </c>
      <c r="FB5" s="1111"/>
      <c r="FC5" s="929"/>
      <c r="FD5" s="1115" t="s">
        <v>222</v>
      </c>
      <c r="FE5" s="1116"/>
      <c r="FF5" s="1117"/>
      <c r="FP5" s="1035"/>
      <c r="FQ5" s="31"/>
      <c r="FR5" s="31"/>
      <c r="FS5" s="31"/>
      <c r="FT5" s="31"/>
      <c r="FZ5" s="1035"/>
      <c r="GJ5" s="989" t="s">
        <v>269</v>
      </c>
      <c r="GK5" s="1037" t="s">
        <v>267</v>
      </c>
      <c r="GL5" s="1039" t="s">
        <v>110</v>
      </c>
      <c r="GM5" s="1039" t="s">
        <v>111</v>
      </c>
      <c r="GN5" s="1040"/>
      <c r="GO5" s="994"/>
      <c r="GP5" s="998"/>
      <c r="GQ5" s="31"/>
      <c r="GR5" s="985"/>
      <c r="GS5" s="1009" t="s">
        <v>248</v>
      </c>
      <c r="GT5" s="1010"/>
      <c r="GU5" s="1005" t="s">
        <v>249</v>
      </c>
      <c r="GV5" s="1006"/>
      <c r="GW5" s="1007"/>
      <c r="GX5" s="1008"/>
      <c r="GY5" s="992" t="s">
        <v>107</v>
      </c>
      <c r="GZ5" s="916"/>
      <c r="HA5" s="1077" t="s">
        <v>248</v>
      </c>
      <c r="HB5" s="1078"/>
      <c r="HC5" s="1078"/>
      <c r="HD5" s="1079"/>
      <c r="HE5" s="1094" t="s">
        <v>249</v>
      </c>
      <c r="HF5" s="1078"/>
      <c r="HG5" s="1078"/>
      <c r="HH5" s="1095"/>
      <c r="HI5" s="1089"/>
      <c r="HN5" s="386" t="s">
        <v>263</v>
      </c>
      <c r="HO5" s="58" t="s">
        <v>264</v>
      </c>
      <c r="HS5" s="1083" t="s">
        <v>274</v>
      </c>
      <c r="HZ5" s="383"/>
    </row>
    <row r="6" spans="1:283" ht="15" customHeight="1" thickBot="1" x14ac:dyDescent="0.4">
      <c r="B6" s="1238"/>
      <c r="C6" s="1239"/>
      <c r="D6" s="1239"/>
      <c r="E6" s="1239"/>
      <c r="F6" s="1239"/>
      <c r="G6" s="1239"/>
      <c r="H6" s="1239"/>
      <c r="I6" s="1239"/>
      <c r="J6" s="1239"/>
      <c r="K6" s="1240"/>
      <c r="L6" s="985" t="str" cm="1">
        <f t="array" ref="L6">IF(OR($K$9:$K$150="Inactive"),"Inactive Element","")</f>
        <v/>
      </c>
      <c r="M6" s="1244"/>
      <c r="N6" s="1188" t="s">
        <v>8</v>
      </c>
      <c r="O6" s="1190" t="s">
        <v>9</v>
      </c>
      <c r="P6" s="1218" t="s">
        <v>10</v>
      </c>
      <c r="Q6" s="1193" t="s">
        <v>11</v>
      </c>
      <c r="R6" s="1194"/>
      <c r="S6" s="1181" t="s">
        <v>10</v>
      </c>
      <c r="T6" s="1214" t="str">
        <f>N6</f>
        <v>X</v>
      </c>
      <c r="U6" s="1216" t="str">
        <f>O6</f>
        <v>Y</v>
      </c>
      <c r="V6" s="1257" t="str">
        <f>P6</f>
        <v>Z</v>
      </c>
      <c r="W6" s="1170" t="str">
        <f>$Q$6</f>
        <v>Projected XY</v>
      </c>
      <c r="X6" s="1171"/>
      <c r="Y6" s="1212" t="str">
        <f>$S$6</f>
        <v>Z</v>
      </c>
      <c r="Z6" s="1198" t="s">
        <v>12</v>
      </c>
      <c r="AA6" s="1199"/>
      <c r="AB6" s="1199"/>
      <c r="AC6" s="1200"/>
      <c r="AD6" s="1184" t="s">
        <v>13</v>
      </c>
      <c r="AE6" s="1185"/>
      <c r="AF6" s="1185"/>
      <c r="AG6" s="1197" t="s">
        <v>7</v>
      </c>
      <c r="AH6" s="1185"/>
      <c r="AI6" s="1184" t="s">
        <v>14</v>
      </c>
      <c r="AJ6" s="1186"/>
      <c r="AK6" s="1140" t="str">
        <f>AD6</f>
        <v>Unit Vector</v>
      </c>
      <c r="AL6" s="1141"/>
      <c r="AM6" s="1142"/>
      <c r="AN6" s="34" t="s">
        <v>15</v>
      </c>
      <c r="AO6" s="35" t="s">
        <v>16</v>
      </c>
      <c r="AP6" s="737" t="s">
        <v>17</v>
      </c>
      <c r="AQ6" s="1204" t="s">
        <v>108</v>
      </c>
      <c r="AS6" s="172">
        <f>(AS5/360)</f>
        <v>6.9444444444444447E-4</v>
      </c>
      <c r="AT6" s="465" t="s">
        <v>48</v>
      </c>
      <c r="AV6" s="1202"/>
      <c r="AW6" s="1195" t="s">
        <v>105</v>
      </c>
      <c r="AX6" s="1196"/>
      <c r="AY6" s="195" t="s">
        <v>110</v>
      </c>
      <c r="AZ6" s="1176" t="s">
        <v>111</v>
      </c>
      <c r="BA6" s="1177"/>
      <c r="BB6" s="1167"/>
      <c r="BC6" s="1170" t="str">
        <f>$Q$6</f>
        <v>Projected XY</v>
      </c>
      <c r="BD6" s="1171"/>
      <c r="BE6" s="1172" t="str">
        <f>$S$6</f>
        <v>Z</v>
      </c>
      <c r="BF6" s="883" t="s">
        <v>125</v>
      </c>
      <c r="BG6" s="879"/>
      <c r="BH6" s="988"/>
      <c r="BI6" s="881" t="s">
        <v>126</v>
      </c>
      <c r="BJ6" s="879"/>
      <c r="BK6" s="880"/>
      <c r="BL6" s="884" t="s">
        <v>127</v>
      </c>
      <c r="BM6" s="879"/>
      <c r="BN6" s="885"/>
      <c r="BO6" s="883" t="s">
        <v>135</v>
      </c>
      <c r="BP6" s="879"/>
      <c r="BQ6" s="879"/>
      <c r="BR6" s="885"/>
      <c r="BS6" s="883" t="s">
        <v>125</v>
      </c>
      <c r="BT6" s="879"/>
      <c r="BU6" s="988"/>
      <c r="BV6" s="881" t="s">
        <v>126</v>
      </c>
      <c r="BW6" s="879"/>
      <c r="BX6" s="880"/>
      <c r="BY6" s="884" t="s">
        <v>127</v>
      </c>
      <c r="BZ6" s="879"/>
      <c r="CA6" s="885"/>
      <c r="CB6" s="883" t="s">
        <v>135</v>
      </c>
      <c r="CC6" s="879"/>
      <c r="CD6" s="879"/>
      <c r="CE6" s="885"/>
      <c r="CF6" s="889" t="s">
        <v>136</v>
      </c>
      <c r="CG6" s="1125"/>
      <c r="CH6" s="1125"/>
      <c r="CI6" s="1127" t="s">
        <v>137</v>
      </c>
      <c r="CJ6" s="1125"/>
      <c r="CK6" s="890"/>
      <c r="CL6" s="1124" t="s">
        <v>140</v>
      </c>
      <c r="CM6" s="1125"/>
      <c r="CN6" s="1126"/>
      <c r="CO6" s="1017"/>
      <c r="CP6" s="1017"/>
      <c r="CQ6" s="1099"/>
      <c r="CR6" s="1099"/>
      <c r="CS6" s="1100"/>
      <c r="CT6" s="1099"/>
      <c r="CU6" s="1161"/>
      <c r="CV6" s="1183" t="s">
        <v>147</v>
      </c>
      <c r="CW6" s="879"/>
      <c r="CX6" s="880"/>
      <c r="CY6" s="1118" t="s">
        <v>148</v>
      </c>
      <c r="CZ6" s="1073"/>
      <c r="DA6" s="1119"/>
      <c r="DB6" s="1128" t="s">
        <v>176</v>
      </c>
      <c r="DC6" s="1064"/>
      <c r="DD6" s="1065"/>
      <c r="DE6" s="1129" t="s">
        <v>177</v>
      </c>
      <c r="DF6" s="1064"/>
      <c r="DG6" s="1065"/>
      <c r="DH6" s="253" t="s">
        <v>29</v>
      </c>
      <c r="DI6" s="1025"/>
      <c r="DJ6" s="1025"/>
      <c r="DK6" s="1131"/>
      <c r="DL6" s="1024"/>
      <c r="DM6" s="1025"/>
      <c r="DN6" s="1026"/>
      <c r="DO6" s="1134"/>
      <c r="DP6" s="1135"/>
      <c r="DQ6" s="1135"/>
      <c r="DR6" s="1016"/>
      <c r="DS6" s="1016"/>
      <c r="DT6" s="1016"/>
      <c r="DU6" s="1016"/>
      <c r="DV6" s="1016"/>
      <c r="DW6" s="1016"/>
      <c r="DX6" s="1017"/>
      <c r="DY6" s="1136"/>
      <c r="DZ6" s="1016"/>
      <c r="EA6" s="1016"/>
      <c r="EB6" s="1016"/>
      <c r="EC6" s="1016"/>
      <c r="ED6" s="1016"/>
      <c r="EE6" s="1012"/>
      <c r="EF6" s="1012"/>
      <c r="EG6" s="1013"/>
      <c r="EH6" s="1030"/>
      <c r="EI6" s="1031"/>
      <c r="EJ6" s="1032"/>
      <c r="EK6" s="1016"/>
      <c r="EL6" s="1017"/>
      <c r="EM6" s="1018" t="s">
        <v>199</v>
      </c>
      <c r="EN6" s="1019"/>
      <c r="EO6" s="1020"/>
      <c r="EP6" s="1104" t="s">
        <v>198</v>
      </c>
      <c r="EQ6" s="1019"/>
      <c r="ER6" s="1106"/>
      <c r="ES6" s="1098"/>
      <c r="ET6" s="1099"/>
      <c r="EU6" s="1100"/>
      <c r="EV6" s="274" t="s">
        <v>221</v>
      </c>
      <c r="EW6" s="1104" t="s">
        <v>202</v>
      </c>
      <c r="EX6" s="1019"/>
      <c r="EY6" s="1105"/>
      <c r="EZ6" s="1059"/>
      <c r="FA6" s="1112"/>
      <c r="FB6" s="1113"/>
      <c r="FC6" s="1114"/>
      <c r="FD6" s="1018" t="s">
        <v>202</v>
      </c>
      <c r="FE6" s="1019"/>
      <c r="FF6" s="1106"/>
      <c r="FG6" s="1108" t="s">
        <v>224</v>
      </c>
      <c r="FH6" s="1109"/>
      <c r="FI6" s="1110"/>
      <c r="FJ6" s="1014" t="s">
        <v>203</v>
      </c>
      <c r="FK6" s="1015" t="s">
        <v>214</v>
      </c>
      <c r="FL6" s="1001"/>
      <c r="FM6" s="934"/>
      <c r="FN6" s="1054" t="s">
        <v>204</v>
      </c>
      <c r="FO6" s="1061" t="s">
        <v>227</v>
      </c>
      <c r="FP6" s="1052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5" t="s">
        <v>218</v>
      </c>
      <c r="FV6" s="1001"/>
      <c r="FW6" s="934"/>
      <c r="FX6" s="1054" t="s">
        <v>219</v>
      </c>
      <c r="FY6" s="1061" t="s">
        <v>227</v>
      </c>
      <c r="FZ6" s="1052" t="s">
        <v>225</v>
      </c>
      <c r="GA6" s="1056" t="s">
        <v>239</v>
      </c>
      <c r="GB6" s="336" t="s">
        <v>207</v>
      </c>
      <c r="GC6" s="337" t="s">
        <v>240</v>
      </c>
      <c r="GD6" s="338" t="s">
        <v>226</v>
      </c>
      <c r="GE6" s="986"/>
      <c r="GF6" s="1011" t="s">
        <v>260</v>
      </c>
      <c r="GG6" s="336" t="s">
        <v>207</v>
      </c>
      <c r="GH6" s="337" t="s">
        <v>240</v>
      </c>
      <c r="GI6" s="338" t="s">
        <v>226</v>
      </c>
      <c r="GJ6" s="990"/>
      <c r="GK6" s="1038"/>
      <c r="GL6" s="1041"/>
      <c r="GM6" s="1041"/>
      <c r="GN6" s="1042"/>
      <c r="GO6" s="995" t="s">
        <v>238</v>
      </c>
      <c r="GP6" s="999" t="s">
        <v>225</v>
      </c>
      <c r="GQ6" s="1001" t="s">
        <v>203</v>
      </c>
      <c r="GR6" s="985"/>
      <c r="GS6" s="1086" t="s">
        <v>252</v>
      </c>
      <c r="GT6" s="1087"/>
      <c r="GU6" s="1072" t="s">
        <v>251</v>
      </c>
      <c r="GV6" s="1073"/>
      <c r="GW6" s="1073"/>
      <c r="GX6" s="361" t="s">
        <v>106</v>
      </c>
      <c r="GY6" s="881" t="s">
        <v>250</v>
      </c>
      <c r="GZ6" s="988"/>
      <c r="HA6" s="1063" t="s">
        <v>252</v>
      </c>
      <c r="HB6" s="1064"/>
      <c r="HC6" s="1064"/>
      <c r="HD6" s="1065"/>
      <c r="HE6" s="881" t="s">
        <v>251</v>
      </c>
      <c r="HF6" s="879"/>
      <c r="HG6" s="879"/>
      <c r="HH6" s="885"/>
      <c r="HI6" s="1089"/>
      <c r="HN6" s="972" t="s">
        <v>238</v>
      </c>
      <c r="HO6" s="975" t="s">
        <v>265</v>
      </c>
      <c r="HP6" s="955" t="s">
        <v>203</v>
      </c>
      <c r="HQ6" s="391"/>
      <c r="HS6" s="1084"/>
      <c r="HT6" s="907" t="s">
        <v>270</v>
      </c>
      <c r="HU6" s="905"/>
      <c r="HV6" s="991"/>
      <c r="HW6" s="933" t="s">
        <v>258</v>
      </c>
      <c r="HX6" s="876"/>
      <c r="HY6" s="877"/>
      <c r="HZ6" s="933" t="s">
        <v>249</v>
      </c>
      <c r="IA6" s="907"/>
      <c r="IE6" s="853"/>
      <c r="IF6" s="853"/>
    </row>
    <row r="7" spans="1:283" ht="15" customHeight="1" thickBot="1" x14ac:dyDescent="0.4">
      <c r="A7" s="143"/>
      <c r="B7" s="1252" t="s">
        <v>40</v>
      </c>
      <c r="C7" s="1253"/>
      <c r="D7" s="1254"/>
      <c r="E7" s="1255" t="s">
        <v>41</v>
      </c>
      <c r="F7" s="1253"/>
      <c r="G7" s="1256"/>
      <c r="H7" s="1231" t="s">
        <v>98</v>
      </c>
      <c r="I7" s="1232"/>
      <c r="J7" s="1233"/>
      <c r="K7" s="173"/>
      <c r="L7" s="985"/>
      <c r="M7" s="1250"/>
      <c r="N7" s="1189"/>
      <c r="O7" s="1191"/>
      <c r="P7" s="1219"/>
      <c r="Q7" s="36" t="s">
        <v>18</v>
      </c>
      <c r="R7" s="2" t="s">
        <v>19</v>
      </c>
      <c r="S7" s="1182"/>
      <c r="T7" s="1215"/>
      <c r="U7" s="1217"/>
      <c r="V7" s="1258"/>
      <c r="W7" s="37" t="str">
        <f>$Q$7</f>
        <v>&lt; θ°</v>
      </c>
      <c r="X7" s="27" t="str">
        <f>$R$7</f>
        <v>r</v>
      </c>
      <c r="Y7" s="1213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5"/>
      <c r="AS7" s="1210" t="s">
        <v>54</v>
      </c>
      <c r="AT7" s="1208" t="s">
        <v>53</v>
      </c>
      <c r="AV7" s="1202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7"/>
      <c r="BC7" s="37" t="str">
        <f>$Q$7</f>
        <v>&lt; θ°</v>
      </c>
      <c r="BD7" s="27" t="str">
        <f>$R$7</f>
        <v>r</v>
      </c>
      <c r="BE7" s="1173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60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7"/>
      <c r="FK7" s="350" t="s">
        <v>211</v>
      </c>
      <c r="FL7" s="351" t="s">
        <v>212</v>
      </c>
      <c r="FM7" s="352" t="s">
        <v>213</v>
      </c>
      <c r="FN7" s="1055"/>
      <c r="FO7" s="1062"/>
      <c r="FP7" s="1053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5"/>
      <c r="FY7" s="1062"/>
      <c r="FZ7" s="1053"/>
      <c r="GA7" s="1057"/>
      <c r="GB7" s="223" t="s">
        <v>232</v>
      </c>
      <c r="GC7" s="131" t="s">
        <v>233</v>
      </c>
      <c r="GD7" s="224" t="s">
        <v>234</v>
      </c>
      <c r="GE7" s="987"/>
      <c r="GF7" s="1036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6"/>
      <c r="GP7" s="1000"/>
      <c r="GQ7" s="1002"/>
      <c r="GR7" s="1004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90"/>
      <c r="HJ7" s="31"/>
      <c r="HK7" s="1033" t="s">
        <v>246</v>
      </c>
      <c r="HL7" s="1033" t="s">
        <v>237</v>
      </c>
      <c r="HM7" s="923" t="s">
        <v>245</v>
      </c>
      <c r="HN7" s="973"/>
      <c r="HO7" s="1096"/>
      <c r="HP7" s="1091"/>
      <c r="HQ7" s="392"/>
      <c r="HR7" s="412"/>
      <c r="HS7" s="1084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7" t="s">
        <v>33</v>
      </c>
      <c r="IH7" s="977" t="s">
        <v>385</v>
      </c>
      <c r="II7" s="883" t="s">
        <v>333</v>
      </c>
      <c r="IJ7" s="884"/>
      <c r="IK7" s="884"/>
      <c r="IL7" s="879"/>
      <c r="IM7" s="879"/>
      <c r="IN7" s="879"/>
      <c r="IO7" s="880"/>
      <c r="IP7" s="881" t="s">
        <v>329</v>
      </c>
      <c r="IQ7" s="879"/>
      <c r="IR7" s="879"/>
      <c r="IS7" s="879"/>
      <c r="IT7" s="879"/>
      <c r="IU7" s="881" t="s">
        <v>328</v>
      </c>
      <c r="IV7" s="879"/>
      <c r="IW7" s="879"/>
      <c r="IX7" s="879"/>
      <c r="IY7" s="880"/>
      <c r="JA7" s="784"/>
      <c r="JB7" s="1221" t="s">
        <v>364</v>
      </c>
      <c r="JC7" s="1221"/>
      <c r="JD7" s="1221"/>
      <c r="JE7" s="1222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5"/>
      <c r="M8" s="462" cm="1">
        <f t="array" ref="M8">IF(AND(ISNUMBER('SN#.Run#'!$P$1),COUNT($M$9:$M$150)&gt;='SN#.Run#'!$P$1),INDEX($M$9:$M$150,'SN#.Run#'!$P$1),"")</f>
        <v>1.113</v>
      </c>
      <c r="N8" s="608"/>
      <c r="O8" s="609"/>
      <c r="P8" s="619"/>
      <c r="Q8" s="611">
        <f>IFERROR(INDEX(Q$9:Q$150,MATCH($M$8,$M$9:$M$150,0)),"")</f>
        <v>89.205000114783786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-8.3100250630355893E-2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11"/>
      <c r="AT8" s="1209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93"/>
      <c r="HL8" s="1093"/>
      <c r="HM8" s="935"/>
      <c r="HN8" s="974"/>
      <c r="HO8" s="976"/>
      <c r="HP8" s="1092"/>
      <c r="HQ8" s="393" t="s">
        <v>49</v>
      </c>
      <c r="HR8" s="413" t="s">
        <v>51</v>
      </c>
      <c r="HS8" s="1085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9"/>
      <c r="IH8" s="978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0.34250103298311552</v>
      </c>
      <c r="D9" s="704">
        <v>-0.65160196523152702</v>
      </c>
      <c r="E9" s="705">
        <v>-0.92387955420894763</v>
      </c>
      <c r="F9" s="703">
        <v>-6.6452262060448325E-2</v>
      </c>
      <c r="G9" s="706">
        <v>0.37686956123004373</v>
      </c>
      <c r="H9" s="705">
        <v>0.314</v>
      </c>
      <c r="I9" s="703">
        <v>0.52</v>
      </c>
      <c r="J9" s="569">
        <v>1.101</v>
      </c>
      <c r="K9" s="864">
        <f>IF($J9="","",IF(IFERROR(INDEX(Settings!$AK$14:$AK$36,MATCH((((ROUND($H9,6)*2)*1000000)+ROUND($I9,6)),Settings!$AI$14:$AI$36,0)),"Undefined")="Undefined","Undefined",IFERROR(INDEX(_xlfn.ANCHORARRAY(Settings!$BC$14),MATCH(IFERROR(INDEX(Settings!$AK$14:$AK$36,MATCH((((ROUND($H9,6)*2)*1000000)+ROUND($I9,6)),Settings!$AI$14:$AI$36,0)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0.34250103298311552</v>
      </c>
      <c r="P9" s="625">
        <f t="shared" ref="P9:P40" si="4">IF(M9="","",D9)</f>
        <v>-0.65160196523152702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0.34250103298311552</v>
      </c>
      <c r="S9" s="626">
        <f>IF(M9="","",P9)</f>
        <v>-0.65160196523152702</v>
      </c>
      <c r="T9" s="627">
        <f>IF(M9="","",X9*COS(RADIANS(W9)))</f>
        <v>0.34246806337467467</v>
      </c>
      <c r="U9" s="624">
        <f>IF(M9="","",X9*SIN(RADIANS(W9)))</f>
        <v>4.7521745444583183E-3</v>
      </c>
      <c r="V9" s="628">
        <f>IF(M9="","",Y9)</f>
        <v>-0.65160196523152702</v>
      </c>
      <c r="W9" s="583">
        <f t="shared" ref="W9:W14" si="5">IF(M9="","",IF(Q9-$Q$8&lt;0,360+Q9-$Q$8,Q9-$Q$8))</f>
        <v>0.7949998852162139</v>
      </c>
      <c r="X9" s="629">
        <f>IF(M9="","",R9)</f>
        <v>0.34250103298311552</v>
      </c>
      <c r="Y9" s="630">
        <f>IF(M9="","",S9)</f>
        <v>-0.65160196523152702</v>
      </c>
      <c r="Z9" s="623">
        <f t="shared" ref="Z9:Z40" si="6">IF(M9="","",-E9)</f>
        <v>0.92387955420894763</v>
      </c>
      <c r="AA9" s="624">
        <f t="shared" ref="AA9:AA40" si="7">IF(M9="","",-F9)</f>
        <v>6.6452262060448325E-2</v>
      </c>
      <c r="AB9" s="624">
        <f t="shared" ref="AB9:AB40" si="8">IF(M9="","",-G9)</f>
        <v>-0.37686956123004373</v>
      </c>
      <c r="AC9" s="628">
        <f>IF(M9="","",SQRT(Z9^2+AA9^2+AB9^2))</f>
        <v>1</v>
      </c>
      <c r="AD9" s="631">
        <f>IF(M9="","",Z9*(1/SQRT(Z9^2+AA9^2+AB9^2)))</f>
        <v>0.92387955420894763</v>
      </c>
      <c r="AE9" s="624">
        <f>IF(M9="","",AA9*(1/SQRT(Z9^2+AA9^2+AB9^2)))</f>
        <v>6.6452262060448325E-2</v>
      </c>
      <c r="AF9" s="625">
        <f>IF(M9="","",AB9*(1/SQRT(Z9^2+AA9^2+AB9^2)))</f>
        <v>-0.37686956123004373</v>
      </c>
      <c r="AG9" s="599">
        <f>IF(M9="","",DEGREES(ATAN2(-AF9,AE9)))</f>
        <v>9.9999985561788414</v>
      </c>
      <c r="AH9" s="600">
        <f>IF(M9="","",DEGREES(ACOS(AD9)))</f>
        <v>22.499996751402403</v>
      </c>
      <c r="AI9" s="583">
        <f>IF(M9="","",DEGREES(-ACOS(-AF9)))</f>
        <v>-67.860089641652664</v>
      </c>
      <c r="AJ9" s="601">
        <f>IF(M9="","",DEGREES(ATAN2(-AE9,AD9)))</f>
        <v>94.114051943464929</v>
      </c>
      <c r="AK9" s="627">
        <f>IF(M9="","",(COS(RADIANS((90-$Q$8)-W9))*AD9)+(-SIN(RADIANS((90-$Q$8)-W9))*AE9))</f>
        <v>0.92387955420894763</v>
      </c>
      <c r="AL9" s="624">
        <f>IF(M9="","",(SIN(RADIANS((90-$Q$8)-W9))*AD9)+(COS(RADIANS((90-$Q$8)-W9))*AE9))</f>
        <v>6.6452262060448325E-2</v>
      </c>
      <c r="AM9" s="626">
        <f>IF(M9="","",AF9)</f>
        <v>-0.37686956123004373</v>
      </c>
      <c r="AN9" s="581">
        <f>IF(M9="","",DEGREES(ATAN2(-AM9,AL9)))</f>
        <v>9.9999985561788414</v>
      </c>
      <c r="AO9" s="582">
        <f>IF(ROUND(IF(M9="",0,DEGREES(ACOS(AK9))),4)=90,0,IF(M9="","",DEGREES(ACOS(AK9))))</f>
        <v>22.499996751402403</v>
      </c>
      <c r="AP9" s="781">
        <f>IF(M9="","",DEGREES(ATAN2(AK9,AL9)))</f>
        <v>4.1140519434649372</v>
      </c>
      <c r="AQ9" s="584">
        <f t="shared" ref="AQ9:AQ40" si="9">IF(M9="","",DEGREES(ATAN(($AS$5*SIN(RADIANS(90)))/(($X9*2*PI())-($AS$5*COS(RADIANS(90)))))))</f>
        <v>6.6264131685611538</v>
      </c>
      <c r="AS9" s="51">
        <f>IF(M9="","",W9)</f>
        <v>0.7949998852162139</v>
      </c>
      <c r="AT9" s="71">
        <f t="shared" ref="AT9:AT40" si="10">IF(M9="","",Y9+(((AS9-$AS$9)*$AS$6)*-1))</f>
        <v>-0.65160196523152702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33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1.050103167111152</v>
      </c>
      <c r="D10" s="709">
        <v>-0.39410118860918486</v>
      </c>
      <c r="E10" s="710">
        <v>-0.96592583607220739</v>
      </c>
      <c r="F10" s="708">
        <v>-4.4943442764441767E-2</v>
      </c>
      <c r="G10" s="711">
        <v>0.2548869674202402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$36,MATCH((((ROUND($H10,6)*2)*1000000)+ROUND($I10,6)),Settings!$AI$14:$AI$36,0)),"Undefined")="Undefined","Undefined",IFERROR(INDEX(_xlfn.ANCHORARRAY(Settings!$BC$14),MATCH(IFERROR(INDEX(Settings!$AK$14:$AK$36,MATCH((((ROUND($H10,6)*2)*1000000)+ROUND($I10,6)),Settings!$AI$14:$AI$36,0)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1.050103167111152</v>
      </c>
      <c r="P10" s="633">
        <f t="shared" si="4"/>
        <v>-0.39410118860918486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1.050103167111152</v>
      </c>
      <c r="S10" s="634">
        <f t="shared" ref="S10:S105" si="80">IF(M10="","",P10)</f>
        <v>-0.39410118860918486</v>
      </c>
      <c r="T10" s="635">
        <f t="shared" ref="T10:T105" si="81">IF(M10="","",X10*COS(RADIANS(W10)))</f>
        <v>1.0500020827729806</v>
      </c>
      <c r="U10" s="629">
        <f t="shared" ref="U10:U105" si="82">IF(M10="","",X10*SIN(RADIANS(W10)))</f>
        <v>1.4570097778498334E-2</v>
      </c>
      <c r="V10" s="636">
        <f>IF(M10="","",Y10)</f>
        <v>-0.39410118860918486</v>
      </c>
      <c r="W10" s="585">
        <f t="shared" si="5"/>
        <v>0.7949998852162139</v>
      </c>
      <c r="X10" s="629">
        <f t="shared" ref="X10:X105" si="83">IF(M10="","",R10)</f>
        <v>1.050103167111152</v>
      </c>
      <c r="Y10" s="630">
        <f>IF(M10="","",S10)</f>
        <v>-0.39410118860918486</v>
      </c>
      <c r="Z10" s="632">
        <f t="shared" si="6"/>
        <v>0.96592583607220739</v>
      </c>
      <c r="AA10" s="629">
        <f t="shared" si="7"/>
        <v>4.4943442764441767E-2</v>
      </c>
      <c r="AB10" s="629">
        <f t="shared" si="8"/>
        <v>-0.2548869674202402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4.4943442764441767E-2</v>
      </c>
      <c r="AF10" s="633">
        <f t="shared" ref="AF10:AF105" si="86">IF(M10="","",AB10*(1/SQRT(Z10^2+AA10^2+AB10^2)))</f>
        <v>-0.2548869674202402</v>
      </c>
      <c r="AG10" s="602">
        <f t="shared" ref="AG10:AG105" si="87">IF(M10="","",DEGREES(ATAN2(-AF10,AE10)))</f>
        <v>9.9999985561788396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-75.233112454846449</v>
      </c>
      <c r="AJ10" s="586">
        <f t="shared" ref="AJ10:AJ105" si="90">IF(M10="","",DEGREES(ATAN2(-AE10,AD10)))</f>
        <v>92.663986834246515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4.4943442764441767E-2</v>
      </c>
      <c r="AM10" s="634">
        <f t="shared" ref="AM10:AM105" si="92">IF(M10="","",AF10)</f>
        <v>-0.2548869674202402</v>
      </c>
      <c r="AN10" s="581">
        <f t="shared" ref="AN10:AN105" si="93">IF(M10="","",DEGREES(ATAN2(-AM10,AL10)))</f>
        <v>9.9999985561788396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2.6639868342465149</v>
      </c>
      <c r="AQ10" s="586">
        <f t="shared" si="9"/>
        <v>2.1699168800163888</v>
      </c>
      <c r="AS10" s="52">
        <f>IF($M10="","",IF(AND($W10&lt;($AS$9+180),$W10&gt;($AS$9-180)),$W10,IF($W10&gt;($AS$9+180),$W10-360,IF($W10&lt;($AS$9-180),$W10+360,"Error"))))</f>
        <v>0.7949998852162139</v>
      </c>
      <c r="AT10" s="72">
        <f t="shared" si="10"/>
        <v>-0.39410118860918486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1.6689637708541486E-3</v>
      </c>
      <c r="C11" s="708">
        <v>1.7578045092344139</v>
      </c>
      <c r="D11" s="709">
        <v>-0.13670041228844346</v>
      </c>
      <c r="E11" s="710">
        <v>-0.96582383476263411</v>
      </c>
      <c r="F11" s="708">
        <v>-1.3908185620839595E-2</v>
      </c>
      <c r="G11" s="711">
        <v>0.2588259696729372</v>
      </c>
      <c r="H11" s="710">
        <v>0.314</v>
      </c>
      <c r="I11" s="708">
        <v>0.52</v>
      </c>
      <c r="J11" s="570">
        <v>1.107</v>
      </c>
      <c r="K11" s="865">
        <f>IF($J11="","",IF(IFERROR(INDEX(Settings!$AK$14:$AK$36,MATCH((((ROUND($H11,6)*2)*1000000)+ROUND($I11,6)),Settings!$AI$14:$AI$36,0)),"Undefined")="Undefined","Undefined",IFERROR(INDEX(_xlfn.ANCHORARRAY(Settings!$BC$14),MATCH(IFERROR(INDEX(Settings!$AK$14:$AK$36,MATCH((((ROUND($H11,6)*2)*1000000)+ROUND($I11,6)),Settings!$AI$14:$AI$36,0)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1.6689637708541486E-3</v>
      </c>
      <c r="O11" s="629">
        <f t="shared" si="3"/>
        <v>1.7578045092344139</v>
      </c>
      <c r="P11" s="633">
        <f t="shared" si="4"/>
        <v>-0.13670041228844346</v>
      </c>
      <c r="Q11" s="585">
        <f t="shared" ref="Q11:Q73" si="113">IF(M11="","",IF(DEGREES(ATAN2(N11,O11))&lt;0,DEGREES(ATAN2(N11,O11))+360,IF(DEGREES(ATAN2(N11,O11))&gt;360,DEGREES(ATAN2(N11,O11))-360,DEGREES(ATAN2(N11,O11)))))</f>
        <v>89.945600007854395</v>
      </c>
      <c r="R11" s="629">
        <f t="shared" si="79"/>
        <v>1.7578053015407897</v>
      </c>
      <c r="S11" s="634">
        <f t="shared" si="80"/>
        <v>-0.13670041228844346</v>
      </c>
      <c r="T11" s="635">
        <f t="shared" si="81"/>
        <v>1.7576584573559659</v>
      </c>
      <c r="U11" s="629">
        <f t="shared" si="82"/>
        <v>2.272059440140323E-2</v>
      </c>
      <c r="V11" s="636">
        <f t="shared" ref="V11:V105" si="114">IF(M11="","",Y11)</f>
        <v>-0.13670041228844346</v>
      </c>
      <c r="W11" s="585">
        <f t="shared" si="5"/>
        <v>0.74059989307060903</v>
      </c>
      <c r="X11" s="629">
        <f>IF(M11="","",R11)</f>
        <v>1.7578053015407897</v>
      </c>
      <c r="Y11" s="630">
        <f>IF(M11="","",S11)</f>
        <v>-0.13670041228844346</v>
      </c>
      <c r="Z11" s="632">
        <f t="shared" si="6"/>
        <v>0.96582383476263411</v>
      </c>
      <c r="AA11" s="629">
        <f t="shared" si="7"/>
        <v>1.3908185620839595E-2</v>
      </c>
      <c r="AB11" s="629">
        <f t="shared" si="8"/>
        <v>-0.2588259696729372</v>
      </c>
      <c r="AC11" s="636">
        <f t="shared" si="84"/>
        <v>1</v>
      </c>
      <c r="AD11" s="637">
        <f t="shared" ref="AD11:AD105" si="115">IF(M11="","",Z11*(1/SQRT(Z11^2+AA11^2+AB11^2)))</f>
        <v>0.96582383476263411</v>
      </c>
      <c r="AE11" s="629">
        <f t="shared" si="85"/>
        <v>1.3908185620839595E-2</v>
      </c>
      <c r="AF11" s="633">
        <f t="shared" si="86"/>
        <v>-0.2588259696729372</v>
      </c>
      <c r="AG11" s="602">
        <f>IF(M11="","",DEGREES(ATAN2(-AF11,AE11)))</f>
        <v>3.0758685489874233</v>
      </c>
      <c r="AH11" s="603">
        <f t="shared" si="88"/>
        <v>15.022561683588876</v>
      </c>
      <c r="AI11" s="585">
        <f t="shared" si="89"/>
        <v>-74.999589255168388</v>
      </c>
      <c r="AJ11" s="586">
        <f t="shared" si="90"/>
        <v>90.825021325845015</v>
      </c>
      <c r="AK11" s="635">
        <f>IF(M11="","",(COS(RADIANS((90-$Q$8)-W11))*AD11)+(-SIN(RADIANS((90-$Q$8)-W11))*AE11))</f>
        <v>0.96581019418123371</v>
      </c>
      <c r="AL11" s="629">
        <f t="shared" si="91"/>
        <v>1.482518932329115E-2</v>
      </c>
      <c r="AM11" s="634">
        <f t="shared" si="92"/>
        <v>-0.2588259696729372</v>
      </c>
      <c r="AN11" s="581">
        <f>IF(M11="","",DEGREES(ATAN2(-AM11,AL11)))</f>
        <v>3.2782400729550667</v>
      </c>
      <c r="AO11" s="582">
        <f>IF(ROUND(IF(M11="",0,DEGREES(ACOS(AK11))),4)=90,0,IF(M11="","",DEGREES(ACOS(AK11))))</f>
        <v>15.025576625685568</v>
      </c>
      <c r="AP11" s="585">
        <f t="shared" si="95"/>
        <v>0.87942131799062295</v>
      </c>
      <c r="AQ11" s="586">
        <f t="shared" si="9"/>
        <v>1.2966950318859982</v>
      </c>
      <c r="AS11" s="52">
        <f t="shared" ref="AS11:AS42" si="116">IF(G11="","",IF(AND(W11&lt;(AS10+180),W11&gt;(AS10-180)),W11,IF(W11&gt;(AS10+180),W11-360,IF(W11&lt;(AS10-180),W11+360,"Error"))))</f>
        <v>0.74059989307060903</v>
      </c>
      <c r="AT11" s="72">
        <f t="shared" si="10"/>
        <v>-0.13666263451612012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3.5118916757601502E-2</v>
      </c>
      <c r="C12" s="708">
        <v>2.5308639860077053</v>
      </c>
      <c r="D12" s="709">
        <v>-8.3100250630355893E-2</v>
      </c>
      <c r="E12" s="710">
        <v>-0.96159942571892187</v>
      </c>
      <c r="F12" s="708">
        <v>0.1402789546787839</v>
      </c>
      <c r="G12" s="711">
        <v>0.23589904478667875</v>
      </c>
      <c r="H12" s="710">
        <v>0.314</v>
      </c>
      <c r="I12" s="708">
        <v>0.52</v>
      </c>
      <c r="J12" s="570">
        <v>1.113</v>
      </c>
      <c r="K12" s="865">
        <f>IF($J12="","",IF(IFERROR(INDEX(Settings!$AK$14:$AK$36,MATCH((((ROUND($H12,6)*2)*1000000)+ROUND($I12,6)),Settings!$AI$14:$AI$36,0)),"Undefined")="Undefined","Undefined",IFERROR(INDEX(_xlfn.ANCHORARRAY(Settings!$BC$14),MATCH(IFERROR(INDEX(Settings!$AK$14:$AK$36,MATCH((((ROUND($H12,6)*2)*1000000)+ROUND($I12,6)),Settings!$AI$14:$AI$36,0)),"Undefined"),_xlfn.ANCHORARRAY(Settings!$BC$14),0)),"Inactive")))</f>
        <v>1613</v>
      </c>
      <c r="L12" s="773" t="s">
        <v>366</v>
      </c>
      <c r="M12" s="168">
        <f t="shared" si="1"/>
        <v>1.113</v>
      </c>
      <c r="N12" s="632">
        <f t="shared" si="2"/>
        <v>3.5118916757601502E-2</v>
      </c>
      <c r="O12" s="629">
        <f t="shared" si="3"/>
        <v>2.5308639860077053</v>
      </c>
      <c r="P12" s="633">
        <f t="shared" si="4"/>
        <v>-8.3100250630355893E-2</v>
      </c>
      <c r="Q12" s="585">
        <f>IF(M12="","",IF(DEGREES(ATAN2(N12,O12))&lt;0,DEGREES(ATAN2(N12,O12))+360,IF(DEGREES(ATAN2(N12,O12))&gt;360,DEGREES(ATAN2(N12,O12))-360,DEGREES(ATAN2(N12,O12)))))</f>
        <v>89.205000114783786</v>
      </c>
      <c r="R12" s="629">
        <f t="shared" si="79"/>
        <v>2.531107633820624</v>
      </c>
      <c r="S12" s="634">
        <f t="shared" si="80"/>
        <v>-8.3100250630355893E-2</v>
      </c>
      <c r="T12" s="635">
        <f>IF(M12="","",X12*COS(RADIANS(W12)))</f>
        <v>2.531107633820624</v>
      </c>
      <c r="U12" s="629">
        <f t="shared" si="82"/>
        <v>0</v>
      </c>
      <c r="V12" s="636">
        <f t="shared" si="114"/>
        <v>-8.3100250630355893E-2</v>
      </c>
      <c r="W12" s="585">
        <f>IF(M12="","",IF(Q12-$Q$8&lt;0,360+Q12-$Q$8,Q12-$Q$8))</f>
        <v>0</v>
      </c>
      <c r="X12" s="629">
        <f t="shared" si="83"/>
        <v>2.531107633820624</v>
      </c>
      <c r="Y12" s="630">
        <f>IF(M12="","",S12)</f>
        <v>-8.3100250630355893E-2</v>
      </c>
      <c r="Z12" s="632">
        <f t="shared" si="6"/>
        <v>0.96159942571892187</v>
      </c>
      <c r="AA12" s="629">
        <f t="shared" si="7"/>
        <v>-0.1402789546787839</v>
      </c>
      <c r="AB12" s="629">
        <f t="shared" si="8"/>
        <v>-0.23589904478667875</v>
      </c>
      <c r="AC12" s="636">
        <f t="shared" si="84"/>
        <v>1</v>
      </c>
      <c r="AD12" s="637">
        <f t="shared" si="115"/>
        <v>0.96159942571892187</v>
      </c>
      <c r="AE12" s="629">
        <f t="shared" si="85"/>
        <v>-0.1402789546787839</v>
      </c>
      <c r="AF12" s="633">
        <f t="shared" si="86"/>
        <v>-0.23589904478667875</v>
      </c>
      <c r="AG12" s="602">
        <f t="shared" si="87"/>
        <v>-30.738117853521956</v>
      </c>
      <c r="AH12" s="603">
        <f t="shared" si="88"/>
        <v>15.929646633010991</v>
      </c>
      <c r="AI12" s="585">
        <f t="shared" si="89"/>
        <v>-76.35537569774219</v>
      </c>
      <c r="AJ12" s="586">
        <f t="shared" si="90"/>
        <v>81.700188474519706</v>
      </c>
      <c r="AK12" s="635">
        <f t="shared" ref="AK12:AK105" si="211">IF(M12="","",(COS(RADIANS((90-$Q$8)-W12))*AD12)+(-SIN(RADIANS((90-$Q$8)-W12))*AE12))</f>
        <v>0.96345322018918889</v>
      </c>
      <c r="AL12" s="629">
        <f>IF(M12="","",(SIN(RADIANS((90-$Q$8)-W12))*AD12)+(COS(RADIANS((90-$Q$8)-W12))*AE12))</f>
        <v>-0.12692333582054544</v>
      </c>
      <c r="AM12" s="634">
        <f t="shared" si="92"/>
        <v>-0.23589904478667875</v>
      </c>
      <c r="AN12" s="581">
        <f>IF(M12="","",DEGREES(ATAN2(-AM12,AL12)))</f>
        <v>-28.282069105083302</v>
      </c>
      <c r="AO12" s="582">
        <f t="shared" si="94"/>
        <v>15.537953349801498</v>
      </c>
      <c r="AP12" s="585">
        <f t="shared" si="95"/>
        <v>-7.5048116402640721</v>
      </c>
      <c r="AQ12" s="586">
        <f t="shared" si="9"/>
        <v>0.90060922122499198</v>
      </c>
      <c r="AS12" s="52">
        <f t="shared" si="116"/>
        <v>0</v>
      </c>
      <c r="AT12" s="72">
        <f>IF(M12="","",Y12+(((AS12-$AS$9)*$AS$6)*-1))</f>
        <v>-8.2548167376733525E-2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1.113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0.10214316288250241</v>
      </c>
      <c r="C13" s="708">
        <v>3.2263932847537666</v>
      </c>
      <c r="D13" s="709">
        <v>-0.45440137047453344</v>
      </c>
      <c r="E13" s="710">
        <v>-0.92322399488996687</v>
      </c>
      <c r="F13" s="708">
        <v>0.31408181444569527</v>
      </c>
      <c r="G13" s="711">
        <v>0.22138217880830044</v>
      </c>
      <c r="H13" s="710">
        <v>0.314</v>
      </c>
      <c r="I13" s="708">
        <v>0.52</v>
      </c>
      <c r="J13" s="570">
        <v>1.119</v>
      </c>
      <c r="K13" s="865">
        <f>IF($J13="","",IF(IFERROR(INDEX(Settings!$AK$14:$AK$36,MATCH((((ROUND($H13,6)*2)*1000000)+ROUND($I13,6)),Settings!$AI$14:$AI$36,0)),"Undefined")="Undefined","Undefined",IFERROR(INDEX(_xlfn.ANCHORARRAY(Settings!$BC$14),MATCH(IFERROR(INDEX(Settings!$AK$14:$AK$36,MATCH((((ROUND($H13,6)*2)*1000000)+ROUND($I13,6)),Settings!$AI$14:$AI$36,0)),"Undefined"),_xlfn.ANCHORARRAY(Settings!$BC$14),0)),"Inactive")))</f>
        <v>1613</v>
      </c>
      <c r="L13" s="774" t="str">
        <f>IF($L12=$JH$22,$JH$29,IF($L12=$JI$22,$JI$29,""))</f>
        <v/>
      </c>
      <c r="M13" s="168">
        <f t="shared" si="1"/>
        <v>1.119</v>
      </c>
      <c r="N13" s="632">
        <f t="shared" si="2"/>
        <v>0.10214316288250241</v>
      </c>
      <c r="O13" s="629">
        <f t="shared" si="3"/>
        <v>3.2263932847537666</v>
      </c>
      <c r="P13" s="633">
        <f t="shared" si="4"/>
        <v>-0.45440137047453344</v>
      </c>
      <c r="Q13" s="585">
        <f t="shared" si="113"/>
        <v>88.186700261808085</v>
      </c>
      <c r="R13" s="629">
        <f t="shared" si="79"/>
        <v>3.2280097356773636</v>
      </c>
      <c r="S13" s="634">
        <f t="shared" si="80"/>
        <v>-0.45440137047453344</v>
      </c>
      <c r="T13" s="635">
        <f>IF(M13="","",X13*COS(RADIANS(W13)))</f>
        <v>3.2274999360592092</v>
      </c>
      <c r="U13" s="629">
        <f t="shared" si="82"/>
        <v>-5.7367380676150125E-2</v>
      </c>
      <c r="V13" s="636">
        <f t="shared" si="114"/>
        <v>-0.45440137047453344</v>
      </c>
      <c r="W13" s="585">
        <f t="shared" si="5"/>
        <v>358.9817001470243</v>
      </c>
      <c r="X13" s="629">
        <f t="shared" si="83"/>
        <v>3.2280097356773636</v>
      </c>
      <c r="Y13" s="630">
        <f>IF(M13="","",S13)</f>
        <v>-0.45440137047453344</v>
      </c>
      <c r="Z13" s="632">
        <f t="shared" si="6"/>
        <v>0.92322399488996687</v>
      </c>
      <c r="AA13" s="629">
        <f t="shared" si="7"/>
        <v>-0.31408181444569527</v>
      </c>
      <c r="AB13" s="629">
        <f t="shared" si="8"/>
        <v>-0.22138217880830044</v>
      </c>
      <c r="AC13" s="636">
        <f t="shared" si="84"/>
        <v>1</v>
      </c>
      <c r="AD13" s="637">
        <f>IF(M13="","",Z13*(1/SQRT(Z13^2+AA13^2+AB13^2)))</f>
        <v>0.92322399488996687</v>
      </c>
      <c r="AE13" s="629">
        <f t="shared" si="85"/>
        <v>-0.31408181444569527</v>
      </c>
      <c r="AF13" s="633">
        <f t="shared" si="86"/>
        <v>-0.22138217880830044</v>
      </c>
      <c r="AG13" s="602">
        <f>IF(M13="","",DEGREES(ATAN2(-AF13,AE13)))</f>
        <v>-54.821708300245767</v>
      </c>
      <c r="AH13" s="603">
        <f t="shared" si="88"/>
        <v>22.597945740100364</v>
      </c>
      <c r="AI13" s="585">
        <f t="shared" si="89"/>
        <v>-77.209772022423977</v>
      </c>
      <c r="AJ13" s="586">
        <f t="shared" si="90"/>
        <v>71.211639405095781</v>
      </c>
      <c r="AK13" s="635">
        <f t="shared" si="211"/>
        <v>0.93270010127033165</v>
      </c>
      <c r="AL13" s="629">
        <f t="shared" si="91"/>
        <v>-0.28471117293917808</v>
      </c>
      <c r="AM13" s="634">
        <f t="shared" si="92"/>
        <v>-0.22138217880830044</v>
      </c>
      <c r="AN13" s="581">
        <f t="shared" si="93"/>
        <v>-52.132520972495243</v>
      </c>
      <c r="AO13" s="582">
        <f t="shared" si="94"/>
        <v>21.140298836300076</v>
      </c>
      <c r="AP13" s="585">
        <f t="shared" si="95"/>
        <v>-16.975060856712293</v>
      </c>
      <c r="AQ13" s="586">
        <f t="shared" si="9"/>
        <v>0.70619712277986701</v>
      </c>
      <c r="AS13" s="52">
        <f t="shared" si="116"/>
        <v>-1.0182998529757015</v>
      </c>
      <c r="AT13" s="72">
        <f t="shared" si="10"/>
        <v>-0.4531421345452335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1.119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0.15709210863782899</v>
      </c>
      <c r="C14" s="708">
        <v>3.6288122697649765</v>
      </c>
      <c r="D14" s="709">
        <v>-1.1342034207575171</v>
      </c>
      <c r="E14" s="710">
        <v>-0.86903452048506646</v>
      </c>
      <c r="F14" s="708">
        <v>0.47188740627802106</v>
      </c>
      <c r="G14" s="711">
        <v>0.14866498579521864</v>
      </c>
      <c r="H14" s="710">
        <v>0.314</v>
      </c>
      <c r="I14" s="708">
        <v>0.52</v>
      </c>
      <c r="J14" s="570">
        <v>1.125</v>
      </c>
      <c r="K14" s="865">
        <f>IF($J14="","",IF(IFERROR(INDEX(Settings!$AK$14:$AK$36,MATCH((((ROUND($H14,6)*2)*1000000)+ROUND($I14,6)),Settings!$AI$14:$AI$36,0)),"Undefined")="Undefined","Undefined",IFERROR(INDEX(_xlfn.ANCHORARRAY(Settings!$BC$14),MATCH(IFERROR(INDEX(Settings!$AK$14:$AK$36,MATCH((((ROUND($H14,6)*2)*1000000)+ROUND($I14,6)),Settings!$AI$14:$AI$36,0)),"Undefined"),_xlfn.ANCHORARRAY(Settings!$BC$14),0)),"Inactive")))</f>
        <v>1613</v>
      </c>
      <c r="L14" s="776" t="s">
        <v>367</v>
      </c>
      <c r="M14" s="168">
        <f t="shared" si="1"/>
        <v>1.125</v>
      </c>
      <c r="N14" s="632">
        <f t="shared" si="2"/>
        <v>0.15709210863782899</v>
      </c>
      <c r="O14" s="629">
        <f t="shared" si="3"/>
        <v>3.6288122697649765</v>
      </c>
      <c r="P14" s="633">
        <f t="shared" si="4"/>
        <v>-1.1342034207575171</v>
      </c>
      <c r="Q14" s="585">
        <f t="shared" si="113"/>
        <v>87.521200357894401</v>
      </c>
      <c r="R14" s="629">
        <f t="shared" si="79"/>
        <v>3.6322109547482397</v>
      </c>
      <c r="S14" s="634">
        <f t="shared" si="80"/>
        <v>-1.1342034207575171</v>
      </c>
      <c r="T14" s="635">
        <f t="shared" si="81"/>
        <v>3.6306425959240083</v>
      </c>
      <c r="U14" s="629">
        <f t="shared" si="82"/>
        <v>-0.10672750561732931</v>
      </c>
      <c r="V14" s="636">
        <f t="shared" si="114"/>
        <v>-1.1342034207575171</v>
      </c>
      <c r="W14" s="585">
        <f t="shared" si="5"/>
        <v>358.31620024311059</v>
      </c>
      <c r="X14" s="629">
        <f t="shared" si="83"/>
        <v>3.6322109547482397</v>
      </c>
      <c r="Y14" s="630">
        <f t="shared" ref="Y14:Y75" si="223">IF(M14="","",S14)</f>
        <v>-1.1342034207575171</v>
      </c>
      <c r="Z14" s="632">
        <f t="shared" si="6"/>
        <v>0.86903452048506646</v>
      </c>
      <c r="AA14" s="629">
        <f t="shared" si="7"/>
        <v>-0.47188740627802106</v>
      </c>
      <c r="AB14" s="629">
        <f t="shared" si="8"/>
        <v>-0.14866498579521864</v>
      </c>
      <c r="AC14" s="636">
        <f t="shared" si="84"/>
        <v>1</v>
      </c>
      <c r="AD14" s="637">
        <f>IF(M14="","",Z14*(1/SQRT(Z14^2+AA14^2+AB14^2)))</f>
        <v>0.86903452048506646</v>
      </c>
      <c r="AE14" s="629">
        <f t="shared" si="85"/>
        <v>-0.47188740627802106</v>
      </c>
      <c r="AF14" s="633">
        <f t="shared" si="86"/>
        <v>-0.14866498579521864</v>
      </c>
      <c r="AG14" s="602">
        <f t="shared" si="87"/>
        <v>-72.513313525049639</v>
      </c>
      <c r="AH14" s="603">
        <f t="shared" si="88"/>
        <v>29.653362334350405</v>
      </c>
      <c r="AI14" s="585">
        <f t="shared" si="89"/>
        <v>-81.450431540477069</v>
      </c>
      <c r="AJ14" s="586">
        <f t="shared" si="90"/>
        <v>61.497955109559484</v>
      </c>
      <c r="AK14" s="635">
        <f>IF(M14="","",(COS(RADIANS((90-$Q$8)-W14))*AD14)+(-SIN(RADIANS((90-$Q$8)-W14))*AE14))</f>
        <v>0.88863035729187267</v>
      </c>
      <c r="AL14" s="629">
        <f t="shared" si="91"/>
        <v>-0.43386035783167171</v>
      </c>
      <c r="AM14" s="634">
        <f t="shared" si="92"/>
        <v>-0.14866498579521864</v>
      </c>
      <c r="AN14" s="581">
        <f t="shared" si="93"/>
        <v>-71.085653138798463</v>
      </c>
      <c r="AO14" s="582">
        <f t="shared" si="94"/>
        <v>27.298360388355</v>
      </c>
      <c r="AP14" s="585">
        <f>IF(M14="","",DEGREES(ATAN2(AK14,AL14)))</f>
        <v>-26.023245248334906</v>
      </c>
      <c r="AQ14" s="586">
        <f t="shared" si="9"/>
        <v>0.62761647891670391</v>
      </c>
      <c r="AS14" s="52">
        <f t="shared" si="116"/>
        <v>-1.6837997568894139</v>
      </c>
      <c r="AT14" s="72">
        <f t="shared" si="10"/>
        <v>-1.132482032117166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1.125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0.16615137849718806</v>
      </c>
      <c r="C15" s="708">
        <v>3.6877700808074203</v>
      </c>
      <c r="D15" s="709">
        <v>-1.902105736750902</v>
      </c>
      <c r="E15" s="710">
        <v>-0.83171226077467086</v>
      </c>
      <c r="F15" s="708">
        <v>0.55090120514502061</v>
      </c>
      <c r="G15" s="711">
        <v>6.9011429827601584E-2</v>
      </c>
      <c r="H15" s="710">
        <v>0.314</v>
      </c>
      <c r="I15" s="708">
        <v>0.52</v>
      </c>
      <c r="J15" s="570">
        <v>1.131</v>
      </c>
      <c r="K15" s="865">
        <f>IF($J15="","",IF(IFERROR(INDEX(Settings!$AK$14:$AK$36,MATCH((((ROUND($H15,6)*2)*1000000)+ROUND($I15,6)),Settings!$AI$14:$AI$36,0)),"Undefined")="Undefined","Undefined",IFERROR(INDEX(_xlfn.ANCHORARRAY(Settings!$BC$14),MATCH(IFERROR(INDEX(Settings!$AK$14:$AK$36,MATCH((((ROUND($H15,6)*2)*1000000)+ROUND($I15,6)),Settings!$AI$14:$AI$36,0)),"Undefined"),_xlfn.ANCHORARRAY(Settings!$BC$14),0)),"Inactive")))</f>
        <v>1613</v>
      </c>
      <c r="L15" s="873" t="str">
        <f>IF($L14=$JH$22,$JH$29,IF($L14=$JI$22,$JI$29,""))</f>
        <v/>
      </c>
      <c r="M15" s="168">
        <f t="shared" si="1"/>
        <v>1.131</v>
      </c>
      <c r="N15" s="632">
        <f t="shared" si="2"/>
        <v>0.16615137849718806</v>
      </c>
      <c r="O15" s="629">
        <f t="shared" si="3"/>
        <v>3.6877700808074203</v>
      </c>
      <c r="P15" s="633">
        <f t="shared" si="4"/>
        <v>-1.902105736750902</v>
      </c>
      <c r="Q15" s="585">
        <f t="shared" si="113"/>
        <v>87.420300372462549</v>
      </c>
      <c r="R15" s="629">
        <f t="shared" si="79"/>
        <v>3.691511133597579</v>
      </c>
      <c r="S15" s="634">
        <f t="shared" si="80"/>
        <v>-1.902105736750902</v>
      </c>
      <c r="T15" s="635">
        <f t="shared" si="81"/>
        <v>3.6897204282560652</v>
      </c>
      <c r="U15" s="629">
        <f t="shared" si="82"/>
        <v>-0.11496786848838167</v>
      </c>
      <c r="V15" s="636">
        <f t="shared" si="114"/>
        <v>-1.902105736750902</v>
      </c>
      <c r="W15" s="585">
        <f t="shared" ref="W15:W78" si="224">IF(M15="","",IF(Q15-$Q$8&lt;0,360+Q15-$Q$8,Q15-$Q$8))</f>
        <v>358.21530025767873</v>
      </c>
      <c r="X15" s="629">
        <f>IF(M15="","",R15)</f>
        <v>3.691511133597579</v>
      </c>
      <c r="Y15" s="630">
        <f>IF(M15="","",S15)</f>
        <v>-1.902105736750902</v>
      </c>
      <c r="Z15" s="632">
        <f t="shared" si="6"/>
        <v>0.83171226077467086</v>
      </c>
      <c r="AA15" s="629">
        <f t="shared" si="7"/>
        <v>-0.55090120514502061</v>
      </c>
      <c r="AB15" s="629">
        <f t="shared" si="8"/>
        <v>-6.9011429827601584E-2</v>
      </c>
      <c r="AC15" s="636">
        <f t="shared" si="84"/>
        <v>1</v>
      </c>
      <c r="AD15" s="637">
        <f t="shared" si="115"/>
        <v>0.83171226077467086</v>
      </c>
      <c r="AE15" s="629">
        <f t="shared" si="85"/>
        <v>-0.55090120514502061</v>
      </c>
      <c r="AF15" s="633">
        <f t="shared" si="86"/>
        <v>-6.9011429827601584E-2</v>
      </c>
      <c r="AG15" s="602">
        <f t="shared" si="87"/>
        <v>-82.85974862313391</v>
      </c>
      <c r="AH15" s="603">
        <f t="shared" si="88"/>
        <v>33.724967556367794</v>
      </c>
      <c r="AI15" s="585">
        <f t="shared" si="89"/>
        <v>-86.042790998012137</v>
      </c>
      <c r="AJ15" s="586">
        <f t="shared" si="90"/>
        <v>56.480705684528736</v>
      </c>
      <c r="AK15" s="635">
        <f t="shared" si="211"/>
        <v>0.85566492188737264</v>
      </c>
      <c r="AL15" s="629">
        <f t="shared" si="91"/>
        <v>-0.51290833879420084</v>
      </c>
      <c r="AM15" s="634">
        <f t="shared" si="92"/>
        <v>-6.9011429827601584E-2</v>
      </c>
      <c r="AN15" s="581">
        <f>IF(M15="","",DEGREES(ATAN2(-AM15,AL15)))</f>
        <v>-82.336917833034406</v>
      </c>
      <c r="AO15" s="582">
        <f t="shared" si="94"/>
        <v>31.166729704874758</v>
      </c>
      <c r="AP15" s="585">
        <f t="shared" si="95"/>
        <v>-30.93959468793377</v>
      </c>
      <c r="AQ15" s="586">
        <f t="shared" si="9"/>
        <v>0.61753527846629852</v>
      </c>
      <c r="AS15" s="52">
        <f t="shared" si="116"/>
        <v>-1.7846997423212656</v>
      </c>
      <c r="AT15" s="72">
        <f t="shared" si="10"/>
        <v>-1.9003142786762233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1.131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33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1.9502291885718379</v>
      </c>
      <c r="C16" s="708">
        <v>1.2880772112007339</v>
      </c>
      <c r="D16" s="709">
        <v>-5.6900171610917587E-2</v>
      </c>
      <c r="E16" s="710">
        <v>-0.44858161997896806</v>
      </c>
      <c r="F16" s="708">
        <v>0.85942962218173646</v>
      </c>
      <c r="G16" s="711">
        <v>0.24526568193206871</v>
      </c>
      <c r="H16" s="710">
        <v>0.314</v>
      </c>
      <c r="I16" s="708">
        <v>0.52</v>
      </c>
      <c r="J16" s="570">
        <v>2.1120000000000001</v>
      </c>
      <c r="K16" s="865">
        <f>IF($J16="","",IF(IFERROR(INDEX(Settings!$AK$14:$AK$36,MATCH((((ROUND($H16,6)*2)*1000000)+ROUND($I16,6)),Settings!$AI$14:$AI$36,0)),"Undefined")="Undefined","Undefined",IFERROR(INDEX(_xlfn.ANCHORARRAY(Settings!$BC$14),MATCH(IFERROR(INDEX(Settings!$AK$14:$AK$36,MATCH((((ROUND($H16,6)*2)*1000000)+ROUND($I16,6)),Settings!$AI$14:$AI$36,0)),"Undefined"),_xlfn.ANCHORARRAY(Settings!$BC$14),0)),"Inactive")))</f>
        <v>1613</v>
      </c>
      <c r="L16" s="320"/>
      <c r="M16" s="168">
        <f t="shared" si="1"/>
        <v>2.1120000000000001</v>
      </c>
      <c r="N16" s="632">
        <f t="shared" si="2"/>
        <v>1.9502291885718379</v>
      </c>
      <c r="O16" s="629">
        <f t="shared" si="3"/>
        <v>1.2880772112007339</v>
      </c>
      <c r="P16" s="633">
        <f t="shared" si="4"/>
        <v>-5.6900171610917587E-2</v>
      </c>
      <c r="Q16" s="585">
        <f>IF(M16="","",IF(DEGREES(ATAN2(N16,O16))&lt;0,DEGREES(ATAN2(N16,O16))+360,IF(DEGREES(ATAN2(N16,O16))&gt;360,DEGREES(ATAN2(N16,O16))-360,DEGREES(ATAN2(N16,O16)))))</f>
        <v>33.44375618814221</v>
      </c>
      <c r="R16" s="629">
        <f t="shared" si="79"/>
        <v>2.33720704901646</v>
      </c>
      <c r="S16" s="634">
        <f t="shared" si="80"/>
        <v>-5.6900171610917587E-2</v>
      </c>
      <c r="T16" s="635">
        <f t="shared" si="81"/>
        <v>1.315012493772425</v>
      </c>
      <c r="U16" s="629">
        <f t="shared" si="82"/>
        <v>-1.9321694882164602</v>
      </c>
      <c r="V16" s="636">
        <f t="shared" si="114"/>
        <v>-5.6900171610917587E-2</v>
      </c>
      <c r="W16" s="585">
        <f>IF(M16="","",IF(Q16-$Q$8&lt;0,360+Q16-$Q$8,Q16-$Q$8))</f>
        <v>304.23875607335845</v>
      </c>
      <c r="X16" s="629">
        <f t="shared" si="83"/>
        <v>2.33720704901646</v>
      </c>
      <c r="Y16" s="630">
        <f t="shared" si="223"/>
        <v>-5.6900171610917587E-2</v>
      </c>
      <c r="Z16" s="632">
        <f t="shared" si="6"/>
        <v>0.44858161997896806</v>
      </c>
      <c r="AA16" s="629">
        <f t="shared" si="7"/>
        <v>-0.85942962218173646</v>
      </c>
      <c r="AB16" s="629">
        <f t="shared" si="8"/>
        <v>-0.24526568193206871</v>
      </c>
      <c r="AC16" s="636">
        <f t="shared" si="84"/>
        <v>1</v>
      </c>
      <c r="AD16" s="637">
        <f t="shared" si="115"/>
        <v>0.44858161997896806</v>
      </c>
      <c r="AE16" s="629">
        <f t="shared" si="85"/>
        <v>-0.85942962218173646</v>
      </c>
      <c r="AF16" s="633">
        <f t="shared" si="86"/>
        <v>-0.24526568193206871</v>
      </c>
      <c r="AG16" s="602">
        <f t="shared" si="87"/>
        <v>-74.072211192752093</v>
      </c>
      <c r="AH16" s="603">
        <f t="shared" si="88"/>
        <v>63.34728148169048</v>
      </c>
      <c r="AI16" s="585">
        <f t="shared" si="89"/>
        <v>-75.802464756917971</v>
      </c>
      <c r="AJ16" s="586">
        <f t="shared" si="90"/>
        <v>27.562429559903851</v>
      </c>
      <c r="AK16" s="635">
        <f t="shared" si="211"/>
        <v>0.96435294327431775</v>
      </c>
      <c r="AL16" s="629">
        <f t="shared" si="91"/>
        <v>-9.9338542693952481E-2</v>
      </c>
      <c r="AM16" s="634">
        <f t="shared" si="92"/>
        <v>-0.24526568193206871</v>
      </c>
      <c r="AN16" s="581">
        <f t="shared" si="93"/>
        <v>-22.049139849423508</v>
      </c>
      <c r="AO16" s="582">
        <f t="shared" si="94"/>
        <v>15.344335791499967</v>
      </c>
      <c r="AP16" s="585">
        <f t="shared" si="95"/>
        <v>-5.8813266282383623</v>
      </c>
      <c r="AQ16" s="586">
        <f t="shared" si="9"/>
        <v>0.97531215116380421</v>
      </c>
      <c r="AS16" s="52">
        <f t="shared" si="116"/>
        <v>-55.761243926641555</v>
      </c>
      <c r="AT16" s="72">
        <f t="shared" si="10"/>
        <v>-1.7625002297127469E-2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2.1120000000000001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2.5985719146891566</v>
      </c>
      <c r="C17" s="708">
        <v>1.6504628826411651</v>
      </c>
      <c r="D17" s="709">
        <v>-0.32810098955258449</v>
      </c>
      <c r="E17" s="710">
        <v>-0.28969845278603568</v>
      </c>
      <c r="F17" s="708">
        <v>0.92928698908875074</v>
      </c>
      <c r="G17" s="711">
        <v>0.22912987226405257</v>
      </c>
      <c r="H17" s="710">
        <v>0.314</v>
      </c>
      <c r="I17" s="708">
        <v>0.52</v>
      </c>
      <c r="J17" s="570">
        <v>2.1179999999999999</v>
      </c>
      <c r="K17" s="865">
        <f>IF($J17="","",IF(IFERROR(INDEX(Settings!$AK$14:$AK$36,MATCH((((ROUND($H17,6)*2)*1000000)+ROUND($I17,6)),Settings!$AI$14:$AI$36,0)),"Undefined")="Undefined","Undefined",IFERROR(INDEX(_xlfn.ANCHORARRAY(Settings!$BC$14),MATCH(IFERROR(INDEX(Settings!$AK$14:$AK$36,MATCH((((ROUND($H17,6)*2)*1000000)+ROUND($I17,6)),Settings!$AI$14:$AI$36,0)),"Undefined"),_xlfn.ANCHORARRAY(Settings!$BC$14),0)),"Inactive")))</f>
        <v>1613</v>
      </c>
      <c r="M17" s="168">
        <f t="shared" si="1"/>
        <v>2.1179999999999999</v>
      </c>
      <c r="N17" s="632">
        <f t="shared" si="2"/>
        <v>2.5985719146891566</v>
      </c>
      <c r="O17" s="629">
        <f t="shared" si="3"/>
        <v>1.6504628826411651</v>
      </c>
      <c r="P17" s="633">
        <f t="shared" si="4"/>
        <v>-0.32810098955258449</v>
      </c>
      <c r="Q17" s="585">
        <f>IF(M17="","",IF(DEGREES(ATAN2(N17,O17))&lt;0,DEGREES(ATAN2(N17,O17))+360,IF(DEGREES(ATAN2(N17,O17))&gt;360,DEGREES(ATAN2(N17,O17))-360,DEGREES(ATAN2(N17,O17)))))</f>
        <v>32.421356335758482</v>
      </c>
      <c r="R17" s="629">
        <f>IF(M17="","",SQRT(N17^2+O17^2))</f>
        <v>3.0784092844824018</v>
      </c>
      <c r="S17" s="634">
        <f>IF(M17="","",P17)</f>
        <v>-0.32810098955258449</v>
      </c>
      <c r="T17" s="635">
        <f>IF(M17="","",X17*COS(RADIANS(W17)))</f>
        <v>1.6863589851517513</v>
      </c>
      <c r="U17" s="629">
        <f>IF(M17="","",X17*SIN(RADIANS(W17)))</f>
        <v>-2.5754217316753016</v>
      </c>
      <c r="V17" s="636">
        <f>IF(M17="","",Y17)</f>
        <v>-0.32810098955258449</v>
      </c>
      <c r="W17" s="585">
        <f t="shared" si="224"/>
        <v>303.21635622097472</v>
      </c>
      <c r="X17" s="629">
        <f>IF(M17="","",R17)</f>
        <v>3.0784092844824018</v>
      </c>
      <c r="Y17" s="630">
        <f t="shared" si="223"/>
        <v>-0.32810098955258449</v>
      </c>
      <c r="Z17" s="632">
        <f t="shared" si="6"/>
        <v>0.28969845278603568</v>
      </c>
      <c r="AA17" s="629">
        <f t="shared" si="7"/>
        <v>-0.92928698908875074</v>
      </c>
      <c r="AB17" s="629">
        <f t="shared" si="8"/>
        <v>-0.22912987226405257</v>
      </c>
      <c r="AC17" s="636">
        <f>IF(M17="","",SQRT(Z17^2+AA17^2+AB17^2))</f>
        <v>1</v>
      </c>
      <c r="AD17" s="637">
        <f>IF(M17="","",Z17*(1/SQRT(Z17^2+AA17^2+AB17^2)))</f>
        <v>0.28969845278603568</v>
      </c>
      <c r="AE17" s="629">
        <f>IF(M17="","",AA17*(1/SQRT(Z17^2+AA17^2+AB17^2)))</f>
        <v>-0.92928698908875074</v>
      </c>
      <c r="AF17" s="633">
        <f>IF(M17="","",AB17*(1/SQRT(Z17^2+AA17^2+AB17^2)))</f>
        <v>-0.22912987226405257</v>
      </c>
      <c r="AG17" s="602">
        <f>IF(M17="","",DEGREES(ATAN2(-AF17,AE17)))</f>
        <v>-76.149126479708329</v>
      </c>
      <c r="AH17" s="603">
        <f>IF(M17="","",DEGREES(ACOS(AD17)))</f>
        <v>73.160096304805407</v>
      </c>
      <c r="AI17" s="585">
        <f>IF(M17="","",DEGREES(-ACOS(-AF17)))</f>
        <v>-76.754150886724929</v>
      </c>
      <c r="AJ17" s="586">
        <f>IF(M17="","",DEGREES(ATAN2(-AE17,AD17)))</f>
        <v>17.314487349308735</v>
      </c>
      <c r="AK17" s="635">
        <f>IF(M17="","",(COS(RADIANS((90-$Q$8)-W17))*AD17)+(-SIN(RADIANS((90-$Q$8)-W17))*AE17))</f>
        <v>0.93975665568472921</v>
      </c>
      <c r="AL17" s="629">
        <f>IF(M17="","",(SIN(RADIANS((90-$Q$8)-W17))*AD17)+(COS(RADIANS((90-$Q$8)-W17))*AE17))</f>
        <v>-0.25368667630073205</v>
      </c>
      <c r="AM17" s="634">
        <f>IF(M17="","",AF17)</f>
        <v>-0.22912987226405257</v>
      </c>
      <c r="AN17" s="581">
        <f>IF(M17="","",DEGREES(ATAN2(-AM17,AL17)))</f>
        <v>-47.91164388836178</v>
      </c>
      <c r="AO17" s="582">
        <f t="shared" si="94"/>
        <v>19.989270007432161</v>
      </c>
      <c r="AP17" s="585">
        <f>IF(M17="","",DEGREES(ATAN2(AK17,AL17)))</f>
        <v>-15.106868986449777</v>
      </c>
      <c r="AQ17" s="586">
        <f t="shared" si="9"/>
        <v>0.74051222078460055</v>
      </c>
      <c r="AS17" s="52">
        <f t="shared" si="116"/>
        <v>-56.783643779025283</v>
      </c>
      <c r="AT17" s="72">
        <f t="shared" si="10"/>
        <v>-0.28811582034130567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2.1179999999999999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3.0372824081592915</v>
      </c>
      <c r="C18" s="708">
        <v>1.8708041506597357</v>
      </c>
      <c r="D18" s="709">
        <v>-0.94960286400223792</v>
      </c>
      <c r="E18" s="710">
        <v>-0.12115157362239415</v>
      </c>
      <c r="F18" s="708">
        <v>0.97851702316546407</v>
      </c>
      <c r="G18" s="711">
        <v>0.16681346343810641</v>
      </c>
      <c r="H18" s="710">
        <v>0.314</v>
      </c>
      <c r="I18" s="708">
        <v>0.52</v>
      </c>
      <c r="J18" s="570">
        <v>2.1240000000000001</v>
      </c>
      <c r="K18" s="865">
        <f>IF($J18="","",IF(IFERROR(INDEX(Settings!$AK$14:$AK$36,MATCH((((ROUND($H18,6)*2)*1000000)+ROUND($I18,6)),Settings!$AI$14:$AI$36,0)),"Undefined")="Undefined","Undefined",IFERROR(INDEX(_xlfn.ANCHORARRAY(Settings!$BC$14),MATCH(IFERROR(INDEX(Settings!$AK$14:$AK$36,MATCH((((ROUND($H18,6)*2)*1000000)+ROUND($I18,6)),Settings!$AI$14:$AI$36,0)),"Undefined"),_xlfn.ANCHORARRAY(Settings!$BC$14),0)),"Inactive")))</f>
        <v>1613</v>
      </c>
      <c r="L18" s="779" t="s">
        <v>331</v>
      </c>
      <c r="M18" s="168">
        <f t="shared" si="1"/>
        <v>2.1240000000000001</v>
      </c>
      <c r="N18" s="632">
        <f t="shared" si="2"/>
        <v>3.0372824081592915</v>
      </c>
      <c r="O18" s="629">
        <f t="shared" si="3"/>
        <v>1.8708041506597357</v>
      </c>
      <c r="P18" s="633">
        <f t="shared" si="4"/>
        <v>-0.94960286400223792</v>
      </c>
      <c r="Q18" s="585">
        <f t="shared" si="113"/>
        <v>31.630856449892537</v>
      </c>
      <c r="R18" s="629">
        <f>IF(M18="","",SQRT(N18^2+O18^2))</f>
        <v>3.5672107587076494</v>
      </c>
      <c r="S18" s="634">
        <f>IF(M18="","",P18)</f>
        <v>-0.94960286400223792</v>
      </c>
      <c r="T18" s="635">
        <f>IF(M18="","",X18*COS(RADIANS(W18)))</f>
        <v>1.9127661159679612</v>
      </c>
      <c r="U18" s="629">
        <f>IF(M18="","",X18*SIN(RADIANS(W18)))</f>
        <v>-3.0110327767469491</v>
      </c>
      <c r="V18" s="636">
        <f>IF(M18="","",Y18)</f>
        <v>-0.94960286400223792</v>
      </c>
      <c r="W18" s="585">
        <f t="shared" si="224"/>
        <v>302.42585633510873</v>
      </c>
      <c r="X18" s="629">
        <f>IF(M18="","",R18)</f>
        <v>3.5672107587076494</v>
      </c>
      <c r="Y18" s="630">
        <f t="shared" si="223"/>
        <v>-0.94960286400223792</v>
      </c>
      <c r="Z18" s="632">
        <f t="shared" si="6"/>
        <v>0.12115157362239415</v>
      </c>
      <c r="AA18" s="629">
        <f t="shared" si="7"/>
        <v>-0.97851702316546407</v>
      </c>
      <c r="AB18" s="629">
        <f t="shared" si="8"/>
        <v>-0.16681346343810641</v>
      </c>
      <c r="AC18" s="636">
        <f>IF(M18="","",SQRT(Z18^2+AA18^2+AB18^2))</f>
        <v>1</v>
      </c>
      <c r="AD18" s="637">
        <f>IF(M18="","",Z18*(1/SQRT(Z18^2+AA18^2+AB18^2)))</f>
        <v>0.12115157362239415</v>
      </c>
      <c r="AE18" s="629">
        <f>IF(M18="","",AA18*(1/SQRT(Z18^2+AA18^2+AB18^2)))</f>
        <v>-0.97851702316546407</v>
      </c>
      <c r="AF18" s="633">
        <f>IF(M18="","",AB18*(1/SQRT(Z18^2+AA18^2+AB18^2)))</f>
        <v>-0.16681346343810641</v>
      </c>
      <c r="AG18" s="602">
        <f>IF(M18="","",DEGREES(ATAN2(-AF18,AE18)))</f>
        <v>-80.325461666145785</v>
      </c>
      <c r="AH18" s="603">
        <f>IF(M18="","",DEGREES(ACOS(AD18)))</f>
        <v>83.041432186382224</v>
      </c>
      <c r="AI18" s="585">
        <f>IF(M18="","",DEGREES(-ACOS(-AF18)))</f>
        <v>-80.397401521734793</v>
      </c>
      <c r="AJ18" s="586">
        <f>IF(M18="","",DEGREES(ATAN2(-AE18,AD18)))</f>
        <v>7.057953162570386</v>
      </c>
      <c r="AK18" s="635">
        <f>IF(M18="","",(COS(RADIANS((90-$Q$8)-W18))*AD18)+(-SIN(RADIANS((90-$Q$8)-W18))*AE18))</f>
        <v>0.89669033418575894</v>
      </c>
      <c r="AL18" s="629">
        <f>IF(M18="","",(SIN(RADIANS((90-$Q$8)-W18))*AD18)+(COS(RADIANS((90-$Q$8)-W18))*AE18))</f>
        <v>-0.41002403953136163</v>
      </c>
      <c r="AM18" s="634">
        <f>IF(M18="","",AF18)</f>
        <v>-0.16681346343810641</v>
      </c>
      <c r="AN18" s="581">
        <f>IF(M18="","",DEGREES(ATAN2(-AM18,AL18)))</f>
        <v>-67.861627793183729</v>
      </c>
      <c r="AO18" s="582">
        <f t="shared" si="94"/>
        <v>26.273619878052212</v>
      </c>
      <c r="AP18" s="585">
        <f>IF(M18="","",DEGREES(ATAN2(AK18,AL18)))</f>
        <v>-24.572903287322106</v>
      </c>
      <c r="AQ18" s="586">
        <f t="shared" si="9"/>
        <v>0.63905169930286365</v>
      </c>
      <c r="AS18" s="52">
        <f t="shared" si="116"/>
        <v>-57.574143664891267</v>
      </c>
      <c r="AT18" s="72">
        <f t="shared" si="10"/>
        <v>-0.90906873653688547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2.1240000000000001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3.1502121019237701</v>
      </c>
      <c r="C19" s="708">
        <v>1.9244267100536492</v>
      </c>
      <c r="D19" s="709">
        <v>-1.7063051462163212</v>
      </c>
      <c r="E19" s="710">
        <v>-8.3690319142585515E-3</v>
      </c>
      <c r="F19" s="708">
        <v>0.99758076457897282</v>
      </c>
      <c r="G19" s="711">
        <v>6.9011429827602083E-2</v>
      </c>
      <c r="H19" s="710">
        <v>0.314</v>
      </c>
      <c r="I19" s="708">
        <v>0.52</v>
      </c>
      <c r="J19" s="570">
        <v>2.13</v>
      </c>
      <c r="K19" s="865">
        <f>IF($J19="","",IF(IFERROR(INDEX(Settings!$AK$14:$AK$36,MATCH((((ROUND($H19,6)*2)*1000000)+ROUND($I19,6)),Settings!$AI$14:$AI$36,0)),"Undefined")="Undefined","Undefined",IFERROR(INDEX(_xlfn.ANCHORARRAY(Settings!$BC$14),MATCH(IFERROR(INDEX(Settings!$AK$14:$AK$36,MATCH((((ROUND($H19,6)*2)*1000000)+ROUND($I19,6)),Settings!$AI$14:$AI$36,0)),"Undefined"),_xlfn.ANCHORARRAY(Settings!$BC$14),0)),"Inactive")))</f>
        <v>1613</v>
      </c>
      <c r="L19" s="775" t="s">
        <v>366</v>
      </c>
      <c r="M19" s="168">
        <f t="shared" si="1"/>
        <v>2.13</v>
      </c>
      <c r="N19" s="632">
        <f t="shared" si="2"/>
        <v>3.1502121019237701</v>
      </c>
      <c r="O19" s="629">
        <f t="shared" si="3"/>
        <v>1.9244267100536492</v>
      </c>
      <c r="P19" s="633">
        <f t="shared" si="4"/>
        <v>-1.7063051462163212</v>
      </c>
      <c r="Q19" s="585">
        <f t="shared" si="113"/>
        <v>31.420256480299411</v>
      </c>
      <c r="R19" s="629">
        <f>IF(M19="","",SQRT(N19^2+O19^2))</f>
        <v>3.6915111335975799</v>
      </c>
      <c r="S19" s="634">
        <f>IF(M19="","",P19)</f>
        <v>-1.7063051462163212</v>
      </c>
      <c r="T19" s="635">
        <f>IF(M19="","",X19*COS(RADIANS(W19)))</f>
        <v>1.9679504040859479</v>
      </c>
      <c r="U19" s="629">
        <f>IF(M19="","",X19*SIN(RADIANS(W19)))</f>
        <v>-3.1232075910084558</v>
      </c>
      <c r="V19" s="636">
        <f>IF(M19="","",Y19)</f>
        <v>-1.7063051462163212</v>
      </c>
      <c r="W19" s="585">
        <f t="shared" si="224"/>
        <v>302.21525636551564</v>
      </c>
      <c r="X19" s="629">
        <f>IF(M19="","",R19)</f>
        <v>3.6915111335975799</v>
      </c>
      <c r="Y19" s="630">
        <f t="shared" si="223"/>
        <v>-1.7063051462163212</v>
      </c>
      <c r="Z19" s="632">
        <f t="shared" si="6"/>
        <v>8.3690319142585515E-3</v>
      </c>
      <c r="AA19" s="629">
        <f t="shared" si="7"/>
        <v>-0.99758076457897282</v>
      </c>
      <c r="AB19" s="629">
        <f t="shared" si="8"/>
        <v>-6.9011429827602083E-2</v>
      </c>
      <c r="AC19" s="636">
        <f>IF(M19="","",SQRT(Z19^2+AA19^2+AB19^2))</f>
        <v>1</v>
      </c>
      <c r="AD19" s="637">
        <f>IF(M19="","",Z19*(1/SQRT(Z19^2+AA19^2+AB19^2)))</f>
        <v>8.3690319142585515E-3</v>
      </c>
      <c r="AE19" s="629">
        <f>IF(M19="","",AA19*(1/SQRT(Z19^2+AA19^2+AB19^2)))</f>
        <v>-0.99758076457897282</v>
      </c>
      <c r="AF19" s="633">
        <f>IF(M19="","",AB19*(1/SQRT(Z19^2+AA19^2+AB19^2)))</f>
        <v>-6.9011429827602083E-2</v>
      </c>
      <c r="AG19" s="602">
        <f>IF(M19="","",DEGREES(ATAN2(-AF19,AE19)))</f>
        <v>-86.042652187098639</v>
      </c>
      <c r="AH19" s="603">
        <f>IF(M19="","",DEGREES(ACOS(AD19)))</f>
        <v>89.520484194988214</v>
      </c>
      <c r="AI19" s="585">
        <f>IF(M19="","",DEGREES(-ACOS(-AF19)))</f>
        <v>-86.042790998012109</v>
      </c>
      <c r="AJ19" s="586">
        <f>IF(M19="","",DEGREES(ATAN2(-AE19,AD19)))</f>
        <v>0.48066179236561746</v>
      </c>
      <c r="AK19" s="635">
        <f>IF(M19="","",(COS(RADIANS((90-$Q$8)-W19))*AD19)+(-SIN(RADIANS((90-$Q$8)-W19))*AE19))</f>
        <v>0.85566492188737198</v>
      </c>
      <c r="AL19" s="629">
        <f>IF(M19="","",(SIN(RADIANS((90-$Q$8)-W19))*AD19)+(COS(RADIANS((90-$Q$8)-W19))*AE19))</f>
        <v>-0.51290833879420161</v>
      </c>
      <c r="AM19" s="634">
        <f>IF(M19="","",AF19)</f>
        <v>-6.9011429827602083E-2</v>
      </c>
      <c r="AN19" s="581">
        <f>IF(M19="","",DEGREES(ATAN2(-AM19,AL19)))</f>
        <v>-82.336917833034377</v>
      </c>
      <c r="AO19" s="582">
        <f t="shared" si="94"/>
        <v>31.166729704874832</v>
      </c>
      <c r="AP19" s="585">
        <f>IF(M19="","",DEGREES(ATAN2(AK19,AL19)))</f>
        <v>-30.93959468793382</v>
      </c>
      <c r="AQ19" s="586">
        <f t="shared" si="9"/>
        <v>0.61753527846629841</v>
      </c>
      <c r="AS19" s="52">
        <f t="shared" si="116"/>
        <v>-57.784743634484357</v>
      </c>
      <c r="AT19" s="72">
        <f t="shared" si="10"/>
        <v>-1.6656247687720847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2.13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223" t="s">
        <v>365</v>
      </c>
      <c r="JC19" s="1224"/>
      <c r="JD19" s="1224"/>
      <c r="JE19" s="1224"/>
      <c r="JF19" s="1224"/>
      <c r="JG19" s="1224"/>
      <c r="JH19" s="1224"/>
      <c r="JI19" s="1225"/>
    </row>
    <row r="20" spans="1:269" ht="15" customHeight="1" x14ac:dyDescent="0.25">
      <c r="A20" s="79"/>
      <c r="B20" s="707">
        <v>0.50091042939045849</v>
      </c>
      <c r="C20" s="708">
        <v>-0.28920117517369448</v>
      </c>
      <c r="D20" s="709">
        <v>-0.5658017064579467</v>
      </c>
      <c r="E20" s="710">
        <v>0.41841257764134132</v>
      </c>
      <c r="F20" s="708">
        <v>0.84349302217845856</v>
      </c>
      <c r="G20" s="711">
        <v>0.33682404369014224</v>
      </c>
      <c r="H20" s="710">
        <v>0.314</v>
      </c>
      <c r="I20" s="708">
        <v>0.52</v>
      </c>
      <c r="J20" s="570">
        <v>3.1019999999999999</v>
      </c>
      <c r="K20" s="865">
        <f>IF($J20="","",IF(IFERROR(INDEX(Settings!$AK$14:$AK$36,MATCH((((ROUND($H20,6)*2)*1000000)+ROUND($I20,6)),Settings!$AI$14:$AI$36,0)),"Undefined")="Undefined","Undefined",IFERROR(INDEX(_xlfn.ANCHORARRAY(Settings!$BC$14),MATCH(IFERROR(INDEX(Settings!$AK$14:$AK$36,MATCH((((ROUND($H20,6)*2)*1000000)+ROUND($I20,6)),Settings!$AI$14:$AI$36,0)),"Undefined"),_xlfn.ANCHORARRAY(Settings!$BC$14),0)),"Inactive")))</f>
        <v>1613</v>
      </c>
      <c r="L20" s="774" t="str">
        <f>IF($L19=$JH$22,$JH$30,IF($L19=$JI$22,$JI$30,""))</f>
        <v/>
      </c>
      <c r="M20" s="168">
        <f t="shared" si="1"/>
        <v>3.1019999999999999</v>
      </c>
      <c r="N20" s="632">
        <f t="shared" si="2"/>
        <v>0.50091042939045849</v>
      </c>
      <c r="O20" s="629">
        <f t="shared" si="3"/>
        <v>-0.28920117517369448</v>
      </c>
      <c r="P20" s="633">
        <f t="shared" si="4"/>
        <v>-0.5658017064579467</v>
      </c>
      <c r="Q20" s="585">
        <f t="shared" si="113"/>
        <v>329.99996534829228</v>
      </c>
      <c r="R20" s="629">
        <f>IF(M20="","",SQRT(N20^2+O20^2))</f>
        <v>0.57840174445966142</v>
      </c>
      <c r="S20" s="634">
        <f>IF(M20="","",P20)</f>
        <v>-0.5658017064579467</v>
      </c>
      <c r="T20" s="635">
        <f>IF(M20="","",X20*COS(RADIANS(W20)))</f>
        <v>-0.28222324398238358</v>
      </c>
      <c r="U20" s="629">
        <f>IF(M20="","",X20*SIN(RADIANS(W20)))</f>
        <v>-0.504874854345153</v>
      </c>
      <c r="V20" s="636">
        <f>IF(M20="","",Y20)</f>
        <v>-0.5658017064579467</v>
      </c>
      <c r="W20" s="585">
        <f t="shared" si="224"/>
        <v>240.79496523350849</v>
      </c>
      <c r="X20" s="629">
        <f>IF(M20="","",R20)</f>
        <v>0.57840174445966142</v>
      </c>
      <c r="Y20" s="630">
        <f t="shared" si="223"/>
        <v>-0.5658017064579467</v>
      </c>
      <c r="Z20" s="632">
        <f t="shared" si="6"/>
        <v>-0.41841257764134132</v>
      </c>
      <c r="AA20" s="629">
        <f t="shared" si="7"/>
        <v>-0.84349302217845856</v>
      </c>
      <c r="AB20" s="629">
        <f t="shared" si="8"/>
        <v>-0.33682404369014224</v>
      </c>
      <c r="AC20" s="636">
        <f>IF(M20="","",SQRT(Z20^2+AA20^2+AB20^2))</f>
        <v>1</v>
      </c>
      <c r="AD20" s="637">
        <f>IF(M20="","",Z20*(1/SQRT(Z20^2+AA20^2+AB20^2)))</f>
        <v>-0.41841257764134132</v>
      </c>
      <c r="AE20" s="629">
        <f>IF(M20="","",AA20*(1/SQRT(Z20^2+AA20^2+AB20^2)))</f>
        <v>-0.84349302217845856</v>
      </c>
      <c r="AF20" s="633">
        <f>IF(M20="","",AB20*(1/SQRT(Z20^2+AA20^2+AB20^2)))</f>
        <v>-0.33682404369014224</v>
      </c>
      <c r="AG20" s="602">
        <f>IF(M20="","",DEGREES(ATAN2(-AF20,AE20)))</f>
        <v>-68.23216154416788</v>
      </c>
      <c r="AH20" s="603">
        <f>IF(M20="","",DEGREES(ACOS(AD20)))</f>
        <v>114.73440738066414</v>
      </c>
      <c r="AI20" s="585">
        <f>IF(M20="","",DEGREES(-ACOS(-AF20)))</f>
        <v>-70.316504667624201</v>
      </c>
      <c r="AJ20" s="586">
        <f>IF(M20="","",DEGREES(ATAN2(-AE20,AD20)))</f>
        <v>-26.383594159771505</v>
      </c>
      <c r="AK20" s="635">
        <f>IF(M20="","",(COS(RADIANS((90-$Q$8)-W20))*AD20)+(-SIN(RADIANS((90-$Q$8)-W20))*AE20))</f>
        <v>0.93969263802333458</v>
      </c>
      <c r="AL20" s="629">
        <f>IF(M20="","",(SIN(RADIANS((90-$Q$8)-W20))*AD20)+(COS(RADIANS((90-$Q$8)-W20))*AE20))</f>
        <v>5.9391157902229152E-2</v>
      </c>
      <c r="AM20" s="634">
        <f>IF(M20="","",AF20)</f>
        <v>-0.33682404369014224</v>
      </c>
      <c r="AN20" s="581">
        <f>IF(M20="","",DEGREES(ATAN2(-AM20,AL20)))</f>
        <v>9.9999985561788929</v>
      </c>
      <c r="AO20" s="582">
        <f t="shared" si="94"/>
        <v>19.999997112357679</v>
      </c>
      <c r="AP20" s="585">
        <f>IF(M20="","",DEGREES(ATAN2(AK20,AL20)))</f>
        <v>3.616440491936221</v>
      </c>
      <c r="AQ20" s="586">
        <f t="shared" si="9"/>
        <v>3.9352246174007637</v>
      </c>
      <c r="AS20" s="52">
        <f t="shared" si="116"/>
        <v>-119.20503476649151</v>
      </c>
      <c r="AT20" s="72">
        <f t="shared" si="10"/>
        <v>-0.48246834906092745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3.1019999999999999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1226" t="s">
        <v>369</v>
      </c>
      <c r="JC20" s="1227"/>
      <c r="JD20" s="1227"/>
      <c r="JE20" s="1227"/>
      <c r="JF20" s="980" t="s">
        <v>370</v>
      </c>
      <c r="JG20" s="981"/>
      <c r="JH20" s="981"/>
      <c r="JI20" s="982"/>
    </row>
    <row r="21" spans="1:269" ht="15" customHeight="1" x14ac:dyDescent="0.25">
      <c r="A21" s="79"/>
      <c r="B21" s="707">
        <v>1.1137116393432394</v>
      </c>
      <c r="C21" s="708">
        <v>-0.64300261285160987</v>
      </c>
      <c r="D21" s="709">
        <v>-0.30820092953400341</v>
      </c>
      <c r="E21" s="710">
        <v>0.44404127437275692</v>
      </c>
      <c r="F21" s="708">
        <v>0.85898776504251295</v>
      </c>
      <c r="G21" s="711">
        <v>0.25488696742024031</v>
      </c>
      <c r="H21" s="710">
        <v>0.314</v>
      </c>
      <c r="I21" s="708">
        <v>0.52</v>
      </c>
      <c r="J21" s="570">
        <v>3.105</v>
      </c>
      <c r="K21" s="865">
        <f>IF($J21="","",IF(IFERROR(INDEX(Settings!$AK$14:$AK$36,MATCH((((ROUND($H21,6)*2)*1000000)+ROUND($I21,6)),Settings!$AI$14:$AI$36,0)),"Undefined")="Undefined","Undefined",IFERROR(INDEX(_xlfn.ANCHORARRAY(Settings!$BC$14),MATCH(IFERROR(INDEX(Settings!$AK$14:$AK$36,MATCH((((ROUND($H21,6)*2)*1000000)+ROUND($I21,6)),Settings!$AI$14:$AI$36,0)),"Undefined"),_xlfn.ANCHORARRAY(Settings!$BC$14),0)),"Inactive")))</f>
        <v>1613</v>
      </c>
      <c r="L21" s="776" t="s">
        <v>367</v>
      </c>
      <c r="M21" s="168">
        <f t="shared" si="1"/>
        <v>3.105</v>
      </c>
      <c r="N21" s="632">
        <f t="shared" si="2"/>
        <v>1.1137116393432394</v>
      </c>
      <c r="O21" s="629">
        <f t="shared" si="3"/>
        <v>-0.64300261285160987</v>
      </c>
      <c r="P21" s="633">
        <f t="shared" si="4"/>
        <v>-0.30820092953400341</v>
      </c>
      <c r="Q21" s="585">
        <f t="shared" si="113"/>
        <v>329.99996534829228</v>
      </c>
      <c r="R21" s="629">
        <f>IF(M21="","",SQRT(N21^2+O21^2))</f>
        <v>1.2860038785876982</v>
      </c>
      <c r="S21" s="634">
        <f>IF(M21="","",P21)</f>
        <v>-0.30820092953400341</v>
      </c>
      <c r="T21" s="635">
        <f>IF(M21="","",X21*COS(RADIANS(W21)))</f>
        <v>-0.6274880562955486</v>
      </c>
      <c r="U21" s="629">
        <f>IF(M21="","",X21*SIN(RADIANS(W21)))</f>
        <v>-1.1225260419914709</v>
      </c>
      <c r="V21" s="636">
        <f>IF(M21="","",Y21)</f>
        <v>-0.30820092953400341</v>
      </c>
      <c r="W21" s="585">
        <f t="shared" si="224"/>
        <v>240.79496523350849</v>
      </c>
      <c r="X21" s="629">
        <f>IF(M21="","",R21)</f>
        <v>1.2860038785876982</v>
      </c>
      <c r="Y21" s="630">
        <f t="shared" si="223"/>
        <v>-0.30820092953400341</v>
      </c>
      <c r="Z21" s="632">
        <f t="shared" si="6"/>
        <v>-0.44404127437275692</v>
      </c>
      <c r="AA21" s="629">
        <f t="shared" si="7"/>
        <v>-0.85898776504251295</v>
      </c>
      <c r="AB21" s="629">
        <f t="shared" si="8"/>
        <v>-0.25488696742024031</v>
      </c>
      <c r="AC21" s="636">
        <f>IF(M21="","",SQRT(Z21^2+AA21^2+AB21^2))</f>
        <v>1</v>
      </c>
      <c r="AD21" s="637">
        <f>IF(M21="","",Z21*(1/SQRT(Z21^2+AA21^2+AB21^2)))</f>
        <v>-0.44404127437275692</v>
      </c>
      <c r="AE21" s="629">
        <f>IF(M21="","",AA21*(1/SQRT(Z21^2+AA21^2+AB21^2)))</f>
        <v>-0.85898776504251295</v>
      </c>
      <c r="AF21" s="633">
        <f>IF(M21="","",AB21*(1/SQRT(Z21^2+AA21^2+AB21^2)))</f>
        <v>-0.25488696742024031</v>
      </c>
      <c r="AG21" s="602">
        <f>IF(M21="","",DEGREES(ATAN2(-AF21,AE21)))</f>
        <v>-73.472826367024467</v>
      </c>
      <c r="AH21" s="603">
        <f>IF(M21="","",DEGREES(ACOS(AD21)))</f>
        <v>116.36201608045987</v>
      </c>
      <c r="AI21" s="585">
        <f>IF(M21="","",DEGREES(-ACOS(-AF21)))</f>
        <v>-75.233112454846435</v>
      </c>
      <c r="AJ21" s="586">
        <f>IF(M21="","",DEGREES(ATAN2(-AE21,AD21)))</f>
        <v>-27.33604781746121</v>
      </c>
      <c r="AK21" s="635">
        <f>IF(M21="","",(COS(RADIANS((90-$Q$8)-W21))*AD21)+(-SIN(RADIANS((90-$Q$8)-W21))*AE21))</f>
        <v>0.96592583607220739</v>
      </c>
      <c r="AL21" s="629">
        <f>IF(M21="","",(SIN(RADIANS((90-$Q$8)-W21))*AD21)+(COS(RADIANS((90-$Q$8)-W21))*AE21))</f>
        <v>4.4943442764441788E-2</v>
      </c>
      <c r="AM21" s="634">
        <f>IF(M21="","",AF21)</f>
        <v>-0.25488696742024031</v>
      </c>
      <c r="AN21" s="581">
        <f>IF(M21="","",DEGREES(ATAN2(-AM21,AL21)))</f>
        <v>9.9999985561788396</v>
      </c>
      <c r="AO21" s="582">
        <f>IF(ROUND(IF(M21="",0,DEGREES(ACOS(AK21))),4)=90,0,IF(M21="","",DEGREES(ACOS(AK21))))</f>
        <v>14.999997834268255</v>
      </c>
      <c r="AP21" s="585">
        <f>IF(M21="","",DEGREES(ATAN2(AK21,AL21)))</f>
        <v>2.6639868342465158</v>
      </c>
      <c r="AQ21" s="586">
        <f t="shared" si="9"/>
        <v>1.7721560932447697</v>
      </c>
      <c r="AS21" s="52">
        <f t="shared" si="116"/>
        <v>-119.20503476649151</v>
      </c>
      <c r="AT21" s="72">
        <f t="shared" si="10"/>
        <v>-0.22486757213698416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3.105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1098"/>
      <c r="JC21" s="1099"/>
      <c r="JD21" s="1099"/>
      <c r="JE21" s="1099"/>
      <c r="JF21" s="983" t="s">
        <v>358</v>
      </c>
      <c r="JG21" s="984"/>
      <c r="JH21" s="1228" t="s">
        <v>371</v>
      </c>
      <c r="JI21" s="1229"/>
    </row>
    <row r="22" spans="1:269" ht="15" customHeight="1" thickBot="1" x14ac:dyDescent="0.3">
      <c r="A22" s="79"/>
      <c r="B22" s="707">
        <v>1.7289609958892269</v>
      </c>
      <c r="C22" s="708">
        <v>-1.0069352819865018</v>
      </c>
      <c r="D22" s="709">
        <v>-7.490022589908131E-2</v>
      </c>
      <c r="E22" s="710">
        <v>0.51351212784143319</v>
      </c>
      <c r="F22" s="708">
        <v>0.81812709249770832</v>
      </c>
      <c r="G22" s="711">
        <v>0.25879210784142931</v>
      </c>
      <c r="H22" s="710">
        <v>0.314</v>
      </c>
      <c r="I22" s="708">
        <v>0.52</v>
      </c>
      <c r="J22" s="570">
        <v>3.109</v>
      </c>
      <c r="K22" s="865">
        <f>IF($J22="","",IF(IFERROR(INDEX(Settings!$AK$14:$AK$36,MATCH((((ROUND($H22,6)*2)*1000000)+ROUND($I22,6)),Settings!$AI$14:$AI$36,0)),"Undefined")="Undefined","Undefined",IFERROR(INDEX(_xlfn.ANCHORARRAY(Settings!$BC$14),MATCH(IFERROR(INDEX(Settings!$AK$14:$AK$36,MATCH((((ROUND($H22,6)*2)*1000000)+ROUND($I22,6)),Settings!$AI$14:$AI$36,0)),"Undefined"),_xlfn.ANCHORARRAY(Settings!$BC$14),0)),"Inactive")))</f>
        <v>1613</v>
      </c>
      <c r="L22" s="873" t="str">
        <f>IF($L21=$JH$22,$JH$30,IF($L21=$JI$22,$JI$30,""))</f>
        <v/>
      </c>
      <c r="M22" s="168">
        <f t="shared" si="1"/>
        <v>3.109</v>
      </c>
      <c r="N22" s="632">
        <f t="shared" si="2"/>
        <v>1.7289609958892269</v>
      </c>
      <c r="O22" s="629">
        <f t="shared" si="3"/>
        <v>-1.0069352819865018</v>
      </c>
      <c r="P22" s="633">
        <f t="shared" si="4"/>
        <v>-7.490022589908131E-2</v>
      </c>
      <c r="Q22" s="585">
        <f t="shared" si="113"/>
        <v>329.78376537950771</v>
      </c>
      <c r="R22" s="629">
        <f t="shared" si="79"/>
        <v>2.0008060344309997</v>
      </c>
      <c r="S22" s="634">
        <f t="shared" si="80"/>
        <v>-7.490022589908131E-2</v>
      </c>
      <c r="T22" s="635">
        <f t="shared" si="81"/>
        <v>-0.9828491569808423</v>
      </c>
      <c r="U22" s="629">
        <f t="shared" si="82"/>
        <v>-1.7427657105984014</v>
      </c>
      <c r="V22" s="636">
        <f t="shared" si="114"/>
        <v>-7.490022589908131E-2</v>
      </c>
      <c r="W22" s="585">
        <f t="shared" si="224"/>
        <v>240.57876526472393</v>
      </c>
      <c r="X22" s="629">
        <f t="shared" si="83"/>
        <v>2.0008060344309997</v>
      </c>
      <c r="Y22" s="630">
        <f t="shared" si="223"/>
        <v>-7.490022589908131E-2</v>
      </c>
      <c r="Z22" s="632">
        <f t="shared" si="6"/>
        <v>-0.51351212784143319</v>
      </c>
      <c r="AA22" s="629">
        <f t="shared" si="7"/>
        <v>-0.81812709249770832</v>
      </c>
      <c r="AB22" s="629">
        <f t="shared" si="8"/>
        <v>-0.25879210784142931</v>
      </c>
      <c r="AC22" s="636">
        <f t="shared" si="84"/>
        <v>1</v>
      </c>
      <c r="AD22" s="637">
        <f t="shared" si="115"/>
        <v>-0.51351212784143319</v>
      </c>
      <c r="AE22" s="629">
        <f t="shared" si="85"/>
        <v>-0.81812709249770832</v>
      </c>
      <c r="AF22" s="633">
        <f t="shared" si="86"/>
        <v>-0.25879210784142931</v>
      </c>
      <c r="AG22" s="602">
        <f t="shared" si="87"/>
        <v>-72.446658698717386</v>
      </c>
      <c r="AH22" s="603">
        <f t="shared" si="88"/>
        <v>120.89805530124644</v>
      </c>
      <c r="AI22" s="585">
        <f t="shared" si="89"/>
        <v>-75.001597830355067</v>
      </c>
      <c r="AJ22" s="586">
        <f t="shared" si="90"/>
        <v>-32.11517349457197</v>
      </c>
      <c r="AK22" s="635">
        <f t="shared" si="211"/>
        <v>0.96540258206968654</v>
      </c>
      <c r="AL22" s="629">
        <f t="shared" si="91"/>
        <v>-3.2007802988836875E-2</v>
      </c>
      <c r="AM22" s="634">
        <f t="shared" si="92"/>
        <v>-0.25879210784142931</v>
      </c>
      <c r="AN22" s="581">
        <f t="shared" si="93"/>
        <v>-7.0506235610312844</v>
      </c>
      <c r="AO22" s="582">
        <f t="shared" si="94"/>
        <v>15.115398978419149</v>
      </c>
      <c r="AP22" s="585">
        <f t="shared" si="95"/>
        <v>-1.8989388740796609</v>
      </c>
      <c r="AQ22" s="586">
        <f t="shared" si="9"/>
        <v>1.1392539532031347</v>
      </c>
      <c r="AS22" s="52">
        <f t="shared" si="116"/>
        <v>-119.42123473527607</v>
      </c>
      <c r="AT22" s="72">
        <f t="shared" si="10"/>
        <v>8.5832703651494424E-3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3.109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>
        <f t="shared" si="112"/>
        <v>1613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707">
        <v>2.3839948454184978</v>
      </c>
      <c r="C23" s="708">
        <v>-1.4405098181613389</v>
      </c>
      <c r="D23" s="709">
        <v>-0.16210048889507453</v>
      </c>
      <c r="E23" s="710">
        <v>0.64487080740388414</v>
      </c>
      <c r="F23" s="708">
        <v>0.7289815727310146</v>
      </c>
      <c r="G23" s="711">
        <v>0.22962471203439561</v>
      </c>
      <c r="H23" s="710">
        <v>0.314</v>
      </c>
      <c r="I23" s="708">
        <v>0.52</v>
      </c>
      <c r="J23" s="570">
        <v>3.1150000000000002</v>
      </c>
      <c r="K23" s="865">
        <f>IF($J23="","",IF(IFERROR(INDEX(Settings!$AK$14:$AK$36,MATCH((((ROUND($H23,6)*2)*1000000)+ROUND($I23,6)),Settings!$AI$14:$AI$36,0)),"Undefined")="Undefined","Undefined",IFERROR(INDEX(_xlfn.ANCHORARRAY(Settings!$BC$14),MATCH(IFERROR(INDEX(Settings!$AK$14:$AK$36,MATCH((((ROUND($H23,6)*2)*1000000)+ROUND($I23,6)),Settings!$AI$14:$AI$36,0)),"Undefined"),_xlfn.ANCHORARRAY(Settings!$BC$14),0)),"Inactive")))</f>
        <v>1613</v>
      </c>
      <c r="M23" s="168">
        <f t="shared" si="1"/>
        <v>3.1150000000000002</v>
      </c>
      <c r="N23" s="632">
        <f t="shared" si="2"/>
        <v>2.3839948454184978</v>
      </c>
      <c r="O23" s="629">
        <f t="shared" si="3"/>
        <v>-1.4405098181613389</v>
      </c>
      <c r="P23" s="633">
        <f t="shared" si="4"/>
        <v>-0.16210048889507453</v>
      </c>
      <c r="Q23" s="585">
        <f t="shared" si="113"/>
        <v>328.85786551319109</v>
      </c>
      <c r="R23" s="629">
        <f t="shared" si="79"/>
        <v>2.785408400791737</v>
      </c>
      <c r="S23" s="634">
        <f t="shared" si="80"/>
        <v>-0.16210048889507453</v>
      </c>
      <c r="T23" s="635">
        <f t="shared" si="81"/>
        <v>-1.4072934142162505</v>
      </c>
      <c r="U23" s="629">
        <f t="shared" si="82"/>
        <v>-2.4037523178365841</v>
      </c>
      <c r="V23" s="636">
        <f t="shared" si="114"/>
        <v>-0.16210048889507453</v>
      </c>
      <c r="W23" s="585">
        <f t="shared" si="224"/>
        <v>239.6528653984073</v>
      </c>
      <c r="X23" s="629">
        <f t="shared" si="83"/>
        <v>2.785408400791737</v>
      </c>
      <c r="Y23" s="630">
        <f t="shared" si="223"/>
        <v>-0.16210048889507453</v>
      </c>
      <c r="Z23" s="632">
        <f t="shared" si="6"/>
        <v>-0.64487080740388414</v>
      </c>
      <c r="AA23" s="629">
        <f t="shared" si="7"/>
        <v>-0.7289815727310146</v>
      </c>
      <c r="AB23" s="629">
        <f t="shared" si="8"/>
        <v>-0.22962471203439561</v>
      </c>
      <c r="AC23" s="636">
        <f t="shared" si="84"/>
        <v>1</v>
      </c>
      <c r="AD23" s="637">
        <f t="shared" si="115"/>
        <v>-0.64487080740388414</v>
      </c>
      <c r="AE23" s="629">
        <f t="shared" si="85"/>
        <v>-0.7289815727310146</v>
      </c>
      <c r="AF23" s="633">
        <f t="shared" si="86"/>
        <v>-0.22962471203439561</v>
      </c>
      <c r="AG23" s="602">
        <f t="shared" si="87"/>
        <v>-72.515893248642101</v>
      </c>
      <c r="AH23" s="603">
        <f t="shared" si="88"/>
        <v>130.15598974397557</v>
      </c>
      <c r="AI23" s="585">
        <f t="shared" si="89"/>
        <v>-76.725022009840842</v>
      </c>
      <c r="AJ23" s="586">
        <f t="shared" si="90"/>
        <v>-41.49657828074853</v>
      </c>
      <c r="AK23" s="635">
        <f t="shared" si="211"/>
        <v>0.95742909389829578</v>
      </c>
      <c r="AL23" s="629">
        <f t="shared" si="91"/>
        <v>-0.17493433562399724</v>
      </c>
      <c r="AM23" s="634">
        <f t="shared" si="92"/>
        <v>-0.22962471203439561</v>
      </c>
      <c r="AN23" s="581">
        <f t="shared" si="93"/>
        <v>-37.301133927562113</v>
      </c>
      <c r="AO23" s="582">
        <f t="shared" si="94"/>
        <v>16.778260670179947</v>
      </c>
      <c r="AP23" s="585">
        <f t="shared" si="95"/>
        <v>-10.3544437939396</v>
      </c>
      <c r="AQ23" s="586">
        <f t="shared" si="9"/>
        <v>0.81839761406853784</v>
      </c>
      <c r="AS23" s="52">
        <f t="shared" si="116"/>
        <v>-120.3471346015927</v>
      </c>
      <c r="AT23" s="72">
        <f t="shared" si="10"/>
        <v>-7.7974006612568342E-2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3.1150000000000002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IF($JA23="","",COUNT(IF(IF($II$9:$II$150&lt;&gt;"",$IK$9:$IK$150,"")=$JA23,$IG$9:$IG$150,"")))</f>
        <v/>
      </c>
      <c r="JC23" s="199"/>
      <c r="JD23" s="199"/>
      <c r="JE23" s="871"/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707">
        <v>2.8821620080853574</v>
      </c>
      <c r="C24" s="708">
        <v>-1.8076217484719501</v>
      </c>
      <c r="D24" s="709">
        <v>-0.65590197820036633</v>
      </c>
      <c r="E24" s="710">
        <v>0.77371907434834086</v>
      </c>
      <c r="F24" s="708">
        <v>0.59940234723020214</v>
      </c>
      <c r="G24" s="711">
        <v>0.2051234265618411</v>
      </c>
      <c r="H24" s="710">
        <v>0.314</v>
      </c>
      <c r="I24" s="708">
        <v>0.52</v>
      </c>
      <c r="J24" s="570">
        <v>3.121</v>
      </c>
      <c r="K24" s="865">
        <f>IF($J24="","",IF(IFERROR(INDEX(Settings!$AK$14:$AK$36,MATCH((((ROUND($H24,6)*2)*1000000)+ROUND($I24,6)),Settings!$AI$14:$AI$36,0)),"Undefined")="Undefined","Undefined",IFERROR(INDEX(_xlfn.ANCHORARRAY(Settings!$BC$14),MATCH(IFERROR(INDEX(Settings!$AK$14:$AK$36,MATCH((((ROUND($H24,6)*2)*1000000)+ROUND($I24,6)),Settings!$AI$14:$AI$36,0)),"Undefined"),_xlfn.ANCHORARRAY(Settings!$BC$14),0)),"Inactive")))</f>
        <v>1613</v>
      </c>
      <c r="L24" s="86"/>
      <c r="M24" s="168">
        <f t="shared" si="1"/>
        <v>3.121</v>
      </c>
      <c r="N24" s="632">
        <f t="shared" si="2"/>
        <v>2.8821620080853574</v>
      </c>
      <c r="O24" s="629">
        <f t="shared" si="3"/>
        <v>-1.8076217484719501</v>
      </c>
      <c r="P24" s="633">
        <f t="shared" si="4"/>
        <v>-0.65590197820036633</v>
      </c>
      <c r="Q24" s="585">
        <f t="shared" si="113"/>
        <v>327.90506565075839</v>
      </c>
      <c r="R24" s="629">
        <f t="shared" si="79"/>
        <v>3.4021102607645464</v>
      </c>
      <c r="S24" s="634">
        <f t="shared" si="80"/>
        <v>-0.65590197820036633</v>
      </c>
      <c r="T24" s="635">
        <f t="shared" si="81"/>
        <v>-1.7674579761490714</v>
      </c>
      <c r="U24" s="629">
        <f t="shared" si="82"/>
        <v>-2.9069651750487893</v>
      </c>
      <c r="V24" s="636">
        <f t="shared" si="114"/>
        <v>-0.65590197820036633</v>
      </c>
      <c r="W24" s="585">
        <f t="shared" si="224"/>
        <v>238.7000655359746</v>
      </c>
      <c r="X24" s="629">
        <f t="shared" si="83"/>
        <v>3.4021102607645464</v>
      </c>
      <c r="Y24" s="630">
        <f t="shared" si="223"/>
        <v>-0.65590197820036633</v>
      </c>
      <c r="Z24" s="632">
        <f t="shared" si="6"/>
        <v>-0.77371907434834086</v>
      </c>
      <c r="AA24" s="629">
        <f t="shared" si="7"/>
        <v>-0.59940234723020214</v>
      </c>
      <c r="AB24" s="629">
        <f t="shared" si="8"/>
        <v>-0.2051234265618411</v>
      </c>
      <c r="AC24" s="636">
        <f t="shared" si="84"/>
        <v>1</v>
      </c>
      <c r="AD24" s="637">
        <f t="shared" si="115"/>
        <v>-0.77371907434834086</v>
      </c>
      <c r="AE24" s="629">
        <f t="shared" si="85"/>
        <v>-0.59940234723020214</v>
      </c>
      <c r="AF24" s="633">
        <f t="shared" si="86"/>
        <v>-0.2051234265618411</v>
      </c>
      <c r="AG24" s="602">
        <f t="shared" si="87"/>
        <v>-71.108373770402991</v>
      </c>
      <c r="AH24" s="603">
        <f t="shared" si="88"/>
        <v>140.68904334568467</v>
      </c>
      <c r="AI24" s="585">
        <f t="shared" si="89"/>
        <v>-78.163275584294894</v>
      </c>
      <c r="AJ24" s="586">
        <f t="shared" si="90"/>
        <v>-52.234955116245793</v>
      </c>
      <c r="AK24" s="635">
        <f>IF(M24="","",(COS(RADIANS((90-$Q$8)-W24))*AD24)+(-SIN(RADIANS((90-$Q$8)-W24))*AE24))</f>
        <v>0.91889029429668978</v>
      </c>
      <c r="AL24" s="629">
        <f t="shared" si="91"/>
        <v>-0.33699407550114585</v>
      </c>
      <c r="AM24" s="634">
        <f t="shared" si="92"/>
        <v>-0.2051234265618411</v>
      </c>
      <c r="AN24" s="581">
        <f t="shared" si="93"/>
        <v>-58.671729173356333</v>
      </c>
      <c r="AO24" s="582">
        <f t="shared" si="94"/>
        <v>23.235614056269487</v>
      </c>
      <c r="AP24" s="585">
        <f t="shared" si="95"/>
        <v>-20.140020767004181</v>
      </c>
      <c r="AQ24" s="586">
        <f t="shared" si="9"/>
        <v>0.67006138108388469</v>
      </c>
      <c r="AS24" s="52">
        <f t="shared" si="116"/>
        <v>-121.2999344640254</v>
      </c>
      <c r="AT24" s="72">
        <f t="shared" si="10"/>
        <v>-0.57111382934672628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3.121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3.1037294540417548</v>
      </c>
      <c r="C25" s="708">
        <v>-1.9822271752128835</v>
      </c>
      <c r="D25" s="709">
        <v>-1.3958042097454963</v>
      </c>
      <c r="E25" s="710">
        <v>0.87059683582764058</v>
      </c>
      <c r="F25" s="708">
        <v>0.47921103150239136</v>
      </c>
      <c r="G25" s="711">
        <v>0.11143579646287097</v>
      </c>
      <c r="H25" s="710">
        <v>0.314</v>
      </c>
      <c r="I25" s="708">
        <v>0.52</v>
      </c>
      <c r="J25" s="570">
        <v>3.1269999999999998</v>
      </c>
      <c r="K25" s="865">
        <f>IF($J25="","",IF(IFERROR(INDEX(Settings!$AK$14:$AK$36,MATCH((((ROUND($H25,6)*2)*1000000)+ROUND($I25,6)),Settings!$AI$14:$AI$36,0)),"Undefined")="Undefined","Undefined",IFERROR(INDEX(_xlfn.ANCHORARRAY(Settings!$BC$14),MATCH(IFERROR(INDEX(Settings!$AK$14:$AK$36,MATCH((((ROUND($H25,6)*2)*1000000)+ROUND($I25,6)),Settings!$AI$14:$AI$36,0)),"Undefined"),_xlfn.ANCHORARRAY(Settings!$BC$14),0)),"Inactive")))</f>
        <v>1613</v>
      </c>
      <c r="L25" s="86"/>
      <c r="M25" s="168">
        <f t="shared" si="1"/>
        <v>3.1269999999999998</v>
      </c>
      <c r="N25" s="632">
        <f t="shared" si="2"/>
        <v>3.1037294540417548</v>
      </c>
      <c r="O25" s="629">
        <f t="shared" si="3"/>
        <v>-1.9822271752128835</v>
      </c>
      <c r="P25" s="633">
        <f t="shared" si="4"/>
        <v>-1.3958042097454963</v>
      </c>
      <c r="Q25" s="585">
        <f t="shared" si="113"/>
        <v>327.43526571858911</v>
      </c>
      <c r="R25" s="629">
        <f>IF(M25="","",SQRT(N25^2+O25^2))</f>
        <v>3.6827111070566989</v>
      </c>
      <c r="S25" s="634">
        <f>IF(M25="","",P25)</f>
        <v>-1.3958042097454963</v>
      </c>
      <c r="T25" s="635">
        <f>IF(M25="","",X25*COS(RADIANS(W25)))</f>
        <v>-1.9389723644779875</v>
      </c>
      <c r="U25" s="629">
        <f>IF(M25="","",X25*SIN(RADIANS(W25)))</f>
        <v>-3.1309339290105465</v>
      </c>
      <c r="V25" s="636">
        <f>IF(M25="","",Y25)</f>
        <v>-1.3958042097454963</v>
      </c>
      <c r="W25" s="585">
        <f t="shared" si="224"/>
        <v>238.23026560380532</v>
      </c>
      <c r="X25" s="629">
        <f>IF(M25="","",R25)</f>
        <v>3.6827111070566989</v>
      </c>
      <c r="Y25" s="630">
        <f t="shared" si="223"/>
        <v>-1.3958042097454963</v>
      </c>
      <c r="Z25" s="632">
        <f t="shared" si="6"/>
        <v>-0.87059683582764058</v>
      </c>
      <c r="AA25" s="629">
        <f t="shared" si="7"/>
        <v>-0.47921103150239136</v>
      </c>
      <c r="AB25" s="629">
        <f t="shared" si="8"/>
        <v>-0.11143579646287097</v>
      </c>
      <c r="AC25" s="636">
        <f>IF(M25="","",SQRT(Z25^2+AA25^2+AB25^2))</f>
        <v>1</v>
      </c>
      <c r="AD25" s="637">
        <f>IF(M25="","",Z25*(1/SQRT(Z25^2+AA25^2+AB25^2)))</f>
        <v>-0.87059683582764058</v>
      </c>
      <c r="AE25" s="629">
        <f>IF(M25="","",AA25*(1/SQRT(Z25^2+AA25^2+AB25^2)))</f>
        <v>-0.47921103150239136</v>
      </c>
      <c r="AF25" s="633">
        <f>IF(M25="","",AB25*(1/SQRT(Z25^2+AA25^2+AB25^2)))</f>
        <v>-0.11143579646287097</v>
      </c>
      <c r="AG25" s="602">
        <f>IF(M25="","",DEGREES(ATAN2(-AF25,AE25)))</f>
        <v>-76.909085764232813</v>
      </c>
      <c r="AH25" s="603">
        <f>IF(M25="","",DEGREES(ACOS(AD25)))</f>
        <v>150.5280699056411</v>
      </c>
      <c r="AI25" s="585">
        <f>IF(M25="","",DEGREES(-ACOS(-AF25)))</f>
        <v>-83.601910440722023</v>
      </c>
      <c r="AJ25" s="586">
        <f>IF(M25="","",DEGREES(ATAN2(-AE25,AD25)))</f>
        <v>-61.169869345546317</v>
      </c>
      <c r="AK25" s="635">
        <f>IF(M25="","",(COS(RADIANS((90-$Q$8)-W25))*AD25)+(-SIN(RADIANS((90-$Q$8)-W25))*AE25))</f>
        <v>0.87247193885255614</v>
      </c>
      <c r="AL25" s="629">
        <f>IF(M25="","",(SIN(RADIANS((90-$Q$8)-W25))*AD25)+(COS(RADIANS((90-$Q$8)-W25))*AE25))</f>
        <v>-0.47578858664489537</v>
      </c>
      <c r="AM25" s="634">
        <f>IF(M25="","",AF25)</f>
        <v>-0.11143579646287097</v>
      </c>
      <c r="AN25" s="581">
        <f>IF(M25="","",DEGREES(ATAN2(-AM25,AL25)))</f>
        <v>-76.818196850622613</v>
      </c>
      <c r="AO25" s="582">
        <f>IF(ROUND(IF(M25="",0,DEGREES(ACOS(AK25))),4)=90,0,IF(M25="","",DEGREES(ACOS(AK25))))</f>
        <v>29.25282211799933</v>
      </c>
      <c r="AP25" s="585">
        <f>IF(M25="","",DEGREES(ATAN2(AK25,AL25)))</f>
        <v>-28.605135064135396</v>
      </c>
      <c r="AQ25" s="586">
        <f t="shared" si="9"/>
        <v>0.61901079591186015</v>
      </c>
      <c r="AS25" s="52">
        <f t="shared" si="116"/>
        <v>-121.76973439619468</v>
      </c>
      <c r="AT25" s="72">
        <f t="shared" si="10"/>
        <v>-1.3106898109389611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3.1269999999999998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3.1106256818661673</v>
      </c>
      <c r="C26" s="708">
        <v>-1.9877782363205234</v>
      </c>
      <c r="D26" s="709">
        <v>-2.142106460593086</v>
      </c>
      <c r="E26" s="710">
        <v>0.8929508380473743</v>
      </c>
      <c r="F26" s="708">
        <v>0.44483280385290996</v>
      </c>
      <c r="G26" s="711">
        <v>6.9011429827605247E-2</v>
      </c>
      <c r="H26" s="710">
        <v>0.314</v>
      </c>
      <c r="I26" s="708">
        <v>0.52</v>
      </c>
      <c r="J26" s="570">
        <v>3.133</v>
      </c>
      <c r="K26" s="865">
        <f>IF($J26="","",IF(IFERROR(INDEX(Settings!$AK$14:$AK$36,MATCH((((ROUND($H26,6)*2)*1000000)+ROUND($I26,6)),Settings!$AI$14:$AI$36,0)),"Undefined")="Undefined","Undefined",IFERROR(INDEX(_xlfn.ANCHORARRAY(Settings!$BC$14),MATCH(IFERROR(INDEX(Settings!$AK$14:$AK$36,MATCH((((ROUND($H26,6)*2)*1000000)+ROUND($I26,6)),Settings!$AI$14:$AI$36,0)),"Undefined"),_xlfn.ANCHORARRAY(Settings!$BC$14),0)),"Inactive")))</f>
        <v>1613</v>
      </c>
      <c r="L26" s="320"/>
      <c r="M26" s="168">
        <f t="shared" si="1"/>
        <v>3.133</v>
      </c>
      <c r="N26" s="632">
        <f t="shared" si="2"/>
        <v>3.1106256818661673</v>
      </c>
      <c r="O26" s="629">
        <f t="shared" si="3"/>
        <v>-1.9877782363205234</v>
      </c>
      <c r="P26" s="633">
        <f t="shared" si="4"/>
        <v>-2.142106460593086</v>
      </c>
      <c r="Q26" s="585">
        <f t="shared" si="113"/>
        <v>327.4202657207548</v>
      </c>
      <c r="R26" s="629">
        <f>IF(M26="","",SQRT(N26^2+O26^2))</f>
        <v>3.6915111335975799</v>
      </c>
      <c r="S26" s="634">
        <f>IF(M26="","",P26)</f>
        <v>-2.142106460593086</v>
      </c>
      <c r="T26" s="635">
        <f>IF(M26="","",X26*COS(RADIANS(W26)))</f>
        <v>-1.944427206621431</v>
      </c>
      <c r="U26" s="629">
        <f>IF(M26="","",X26*SIN(RADIANS(W26)))</f>
        <v>-3.1379065135254218</v>
      </c>
      <c r="V26" s="636">
        <f>IF(M26="","",Y26)</f>
        <v>-2.142106460593086</v>
      </c>
      <c r="W26" s="585">
        <f t="shared" si="224"/>
        <v>238.21526560597101</v>
      </c>
      <c r="X26" s="629">
        <f>IF(M26="","",R26)</f>
        <v>3.6915111335975799</v>
      </c>
      <c r="Y26" s="630">
        <f t="shared" si="223"/>
        <v>-2.142106460593086</v>
      </c>
      <c r="Z26" s="632">
        <f t="shared" si="6"/>
        <v>-0.8929508380473743</v>
      </c>
      <c r="AA26" s="629">
        <f t="shared" si="7"/>
        <v>-0.44483280385290996</v>
      </c>
      <c r="AB26" s="629">
        <f t="shared" si="8"/>
        <v>-6.9011429827605247E-2</v>
      </c>
      <c r="AC26" s="636">
        <f>IF(M26="","",SQRT(Z26^2+AA26^2+AB26^2))</f>
        <v>1</v>
      </c>
      <c r="AD26" s="637">
        <f>IF(M26="","",Z26*(1/SQRT(Z26^2+AA26^2+AB26^2)))</f>
        <v>-0.8929508380473743</v>
      </c>
      <c r="AE26" s="629">
        <f>IF(M26="","",AA26*(1/SQRT(Z26^2+AA26^2+AB26^2)))</f>
        <v>-0.44483280385290996</v>
      </c>
      <c r="AF26" s="633">
        <f>IF(M26="","",AB26*(1/SQRT(Z26^2+AA26^2+AB26^2)))</f>
        <v>-6.9011429827605247E-2</v>
      </c>
      <c r="AG26" s="602">
        <f>IF(M26="","",DEGREES(ATAN2(-AF26,AE26)))</f>
        <v>-81.181425330961048</v>
      </c>
      <c r="AH26" s="603">
        <f>IF(M26="","",DEGREES(ACOS(AD26)))</f>
        <v>153.246422518175</v>
      </c>
      <c r="AI26" s="585">
        <f>IF(M26="","",DEGREES(-ACOS(-AF26)))</f>
        <v>-86.042790998011924</v>
      </c>
      <c r="AJ26" s="586">
        <f>IF(M26="","",DEGREES(ATAN2(-AE26,AD26)))</f>
        <v>-63.5193289671789</v>
      </c>
      <c r="AK26" s="635">
        <f>IF(M26="","",(COS(RADIANS((90-$Q$8)-W26))*AD26)+(-SIN(RADIANS((90-$Q$8)-W26))*AE26))</f>
        <v>0.85566492188737286</v>
      </c>
      <c r="AL26" s="629">
        <f>IF(M26="","",(SIN(RADIANS((90-$Q$8)-W26))*AD26)+(COS(RADIANS((90-$Q$8)-W26))*AE26))</f>
        <v>-0.51290833879419961</v>
      </c>
      <c r="AM26" s="634">
        <f>IF(M26="","",AF26)</f>
        <v>-6.9011429827605247E-2</v>
      </c>
      <c r="AN26" s="581">
        <f>IF(M26="","",DEGREES(ATAN2(-AM26,AL26)))</f>
        <v>-82.336917833033993</v>
      </c>
      <c r="AO26" s="582">
        <f t="shared" si="94"/>
        <v>31.166729704874733</v>
      </c>
      <c r="AP26" s="585">
        <f>IF(M26="","",DEGREES(ATAN2(AK26,AL26)))</f>
        <v>-30.939594687933699</v>
      </c>
      <c r="AQ26" s="586">
        <f t="shared" si="9"/>
        <v>0.61753527846629841</v>
      </c>
      <c r="AS26" s="52">
        <f t="shared" si="116"/>
        <v>-121.78473439402899</v>
      </c>
      <c r="AT26" s="72">
        <f t="shared" si="10"/>
        <v>-2.0569816451213878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3.133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0.14125873784989526</v>
      </c>
      <c r="C27" s="708">
        <v>-2.5962678518639497</v>
      </c>
      <c r="D27" s="709">
        <v>-9.930029948970337E-2</v>
      </c>
      <c r="E27" s="710">
        <v>0.9695668444743436</v>
      </c>
      <c r="F27" s="708">
        <v>-9.1959253461283821E-2</v>
      </c>
      <c r="G27" s="711">
        <v>0.22690004362914393</v>
      </c>
      <c r="H27" s="710">
        <v>0.314</v>
      </c>
      <c r="I27" s="708">
        <v>0.52</v>
      </c>
      <c r="J27" s="570">
        <v>4.1139999999999999</v>
      </c>
      <c r="K27" s="865">
        <f>IF($J27="","",IF(IFERROR(INDEX(Settings!$AK$14:$AK$36,MATCH((((ROUND($H27,6)*2)*1000000)+ROUND($I27,6)),Settings!$AI$14:$AI$36,0)),"Undefined")="Undefined","Undefined",IFERROR(INDEX(_xlfn.ANCHORARRAY(Settings!$BC$14),MATCH(IFERROR(INDEX(Settings!$AK$14:$AK$36,MATCH((((ROUND($H27,6)*2)*1000000)+ROUND($I27,6)),Settings!$AI$14:$AI$36,0)),"Undefined"),_xlfn.ANCHORARRAY(Settings!$BC$14),0)),"Inactive")))</f>
        <v>1613</v>
      </c>
      <c r="L27" s="320"/>
      <c r="M27" s="168">
        <f t="shared" si="1"/>
        <v>4.1139999999999999</v>
      </c>
      <c r="N27" s="632">
        <f t="shared" si="2"/>
        <v>0.14125873784989526</v>
      </c>
      <c r="O27" s="629">
        <f t="shared" si="3"/>
        <v>-2.5962678518639497</v>
      </c>
      <c r="P27" s="633">
        <f t="shared" si="4"/>
        <v>-9.930029948970337E-2</v>
      </c>
      <c r="Q27" s="585">
        <f t="shared" si="113"/>
        <v>273.11430012787923</v>
      </c>
      <c r="R27" s="629">
        <f t="shared" si="79"/>
        <v>2.6001078419252526</v>
      </c>
      <c r="S27" s="634">
        <f t="shared" si="80"/>
        <v>-9.930029948970337E-2</v>
      </c>
      <c r="T27" s="635">
        <f t="shared" si="81"/>
        <v>-2.594057977907998</v>
      </c>
      <c r="U27" s="629">
        <f t="shared" si="82"/>
        <v>-0.17726814968590435</v>
      </c>
      <c r="V27" s="636">
        <f t="shared" si="114"/>
        <v>-9.930029948970337E-2</v>
      </c>
      <c r="W27" s="585">
        <f t="shared" si="224"/>
        <v>183.90930001309545</v>
      </c>
      <c r="X27" s="629">
        <f t="shared" si="83"/>
        <v>2.6001078419252526</v>
      </c>
      <c r="Y27" s="630">
        <f t="shared" si="223"/>
        <v>-9.930029948970337E-2</v>
      </c>
      <c r="Z27" s="632">
        <f t="shared" si="6"/>
        <v>-0.9695668444743436</v>
      </c>
      <c r="AA27" s="629">
        <f t="shared" si="7"/>
        <v>9.1959253461283821E-2</v>
      </c>
      <c r="AB27" s="629">
        <f t="shared" si="8"/>
        <v>-0.22690004362914393</v>
      </c>
      <c r="AC27" s="636">
        <f t="shared" si="84"/>
        <v>1</v>
      </c>
      <c r="AD27" s="637">
        <f t="shared" si="115"/>
        <v>-0.9695668444743436</v>
      </c>
      <c r="AE27" s="629">
        <f t="shared" si="85"/>
        <v>9.1959253461283821E-2</v>
      </c>
      <c r="AF27" s="633">
        <f t="shared" si="86"/>
        <v>-0.22690004362914393</v>
      </c>
      <c r="AG27" s="602">
        <f t="shared" si="87"/>
        <v>22.061989402814419</v>
      </c>
      <c r="AH27" s="603">
        <f t="shared" si="88"/>
        <v>165.82840498577511</v>
      </c>
      <c r="AI27" s="585">
        <f t="shared" si="89"/>
        <v>-76.885367238855309</v>
      </c>
      <c r="AJ27" s="586">
        <f t="shared" si="90"/>
        <v>-95.418051140018008</v>
      </c>
      <c r="AK27" s="635">
        <f t="shared" si="211"/>
        <v>0.96313896680918709</v>
      </c>
      <c r="AL27" s="629">
        <f t="shared" si="91"/>
        <v>-0.14449809969277863</v>
      </c>
      <c r="AM27" s="634">
        <f t="shared" si="92"/>
        <v>-0.22690004362914393</v>
      </c>
      <c r="AN27" s="581">
        <f t="shared" si="93"/>
        <v>-32.490448721823924</v>
      </c>
      <c r="AO27" s="582">
        <f t="shared" si="94"/>
        <v>15.605027399229446</v>
      </c>
      <c r="AP27" s="585">
        <f t="shared" si="95"/>
        <v>-8.5323512678972318</v>
      </c>
      <c r="AQ27" s="586">
        <f t="shared" si="9"/>
        <v>0.8767131384900918</v>
      </c>
      <c r="AS27" s="52">
        <f t="shared" si="116"/>
        <v>-176.09069998690455</v>
      </c>
      <c r="AT27" s="72">
        <f t="shared" si="10"/>
        <v>2.3536992088158279E-2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4.1139999999999999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0.12051335667609236</v>
      </c>
      <c r="C28" s="708">
        <v>-3.2754936459785311</v>
      </c>
      <c r="D28" s="709">
        <v>-0.50480152248139132</v>
      </c>
      <c r="E28" s="710">
        <v>0.93703096407968522</v>
      </c>
      <c r="F28" s="708">
        <v>-0.27438626003949884</v>
      </c>
      <c r="G28" s="711">
        <v>0.21606747246504382</v>
      </c>
      <c r="H28" s="710">
        <v>0.314</v>
      </c>
      <c r="I28" s="708">
        <v>0.52</v>
      </c>
      <c r="J28" s="570">
        <v>4.12</v>
      </c>
      <c r="K28" s="865">
        <f>IF($J28="","",IF(IFERROR(INDEX(Settings!$AK$14:$AK$36,MATCH((((ROUND($H28,6)*2)*1000000)+ROUND($I28,6)),Settings!$AI$14:$AI$36,0)),"Undefined")="Undefined","Undefined",IFERROR(INDEX(_xlfn.ANCHORARRAY(Settings!$BC$14),MATCH(IFERROR(INDEX(Settings!$AK$14:$AK$36,MATCH((((ROUND($H28,6)*2)*1000000)+ROUND($I28,6)),Settings!$AI$14:$AI$36,0)),"Undefined"),_xlfn.ANCHORARRAY(Settings!$BC$14),0)),"Inactive")))</f>
        <v>1613</v>
      </c>
      <c r="L28" s="320"/>
      <c r="M28" s="168">
        <f t="shared" si="1"/>
        <v>4.12</v>
      </c>
      <c r="N28" s="632">
        <f t="shared" si="2"/>
        <v>0.12051335667609236</v>
      </c>
      <c r="O28" s="629">
        <f t="shared" si="3"/>
        <v>-3.2754936459785311</v>
      </c>
      <c r="P28" s="633">
        <f t="shared" si="4"/>
        <v>-0.50480152248139132</v>
      </c>
      <c r="Q28" s="585">
        <f t="shared" si="113"/>
        <v>272.10710027330094</v>
      </c>
      <c r="R28" s="629">
        <f t="shared" si="79"/>
        <v>3.2777098855730156</v>
      </c>
      <c r="S28" s="634">
        <f t="shared" si="80"/>
        <v>-0.50480152248139132</v>
      </c>
      <c r="T28" s="635">
        <f t="shared" si="81"/>
        <v>-3.2735062293483006</v>
      </c>
      <c r="U28" s="629">
        <f t="shared" si="82"/>
        <v>-0.16594896926748764</v>
      </c>
      <c r="V28" s="636">
        <f t="shared" si="114"/>
        <v>-0.50480152248139132</v>
      </c>
      <c r="W28" s="585">
        <f t="shared" si="224"/>
        <v>182.90210015851716</v>
      </c>
      <c r="X28" s="629">
        <f t="shared" si="83"/>
        <v>3.2777098855730156</v>
      </c>
      <c r="Y28" s="630">
        <f t="shared" si="223"/>
        <v>-0.50480152248139132</v>
      </c>
      <c r="Z28" s="632">
        <f t="shared" si="6"/>
        <v>-0.93703096407968522</v>
      </c>
      <c r="AA28" s="629">
        <f t="shared" si="7"/>
        <v>0.27438626003949884</v>
      </c>
      <c r="AB28" s="629">
        <f t="shared" si="8"/>
        <v>-0.21606747246504382</v>
      </c>
      <c r="AC28" s="636">
        <f t="shared" si="84"/>
        <v>1</v>
      </c>
      <c r="AD28" s="637">
        <f t="shared" si="115"/>
        <v>-0.93703096407968522</v>
      </c>
      <c r="AE28" s="629">
        <f t="shared" si="85"/>
        <v>0.27438626003949884</v>
      </c>
      <c r="AF28" s="633">
        <f t="shared" si="86"/>
        <v>-0.21606747246504382</v>
      </c>
      <c r="AG28" s="602">
        <f t="shared" si="87"/>
        <v>51.781076877334002</v>
      </c>
      <c r="AH28" s="603">
        <f t="shared" si="88"/>
        <v>159.55877810816187</v>
      </c>
      <c r="AI28" s="585">
        <f t="shared" si="89"/>
        <v>-77.521838904709895</v>
      </c>
      <c r="AJ28" s="586">
        <f t="shared" si="90"/>
        <v>-106.32135949773512</v>
      </c>
      <c r="AK28" s="635">
        <f t="shared" si="211"/>
        <v>0.92630887592243305</v>
      </c>
      <c r="AL28" s="629">
        <f t="shared" si="91"/>
        <v>-0.30865306369755419</v>
      </c>
      <c r="AM28" s="634">
        <f t="shared" si="92"/>
        <v>-0.21606747246504382</v>
      </c>
      <c r="AN28" s="581">
        <f t="shared" si="93"/>
        <v>-55.006693123097101</v>
      </c>
      <c r="AO28" s="582">
        <f t="shared" si="94"/>
        <v>22.133442789588305</v>
      </c>
      <c r="AP28" s="585">
        <f t="shared" si="95"/>
        <v>-18.428459771036053</v>
      </c>
      <c r="AQ28" s="586">
        <f t="shared" si="9"/>
        <v>0.69549006512301681</v>
      </c>
      <c r="AS28" s="52">
        <f t="shared" si="116"/>
        <v>-177.09789984148284</v>
      </c>
      <c r="AT28" s="72">
        <f t="shared" si="10"/>
        <v>-0.38126478656007251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4.12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9.4976791603542748E-2</v>
      </c>
      <c r="C29" s="708">
        <v>-3.6486750713563056</v>
      </c>
      <c r="D29" s="709">
        <v>-1.202803627655741</v>
      </c>
      <c r="E29" s="710">
        <v>0.89231613063322202</v>
      </c>
      <c r="F29" s="708">
        <v>-0.43165574049842925</v>
      </c>
      <c r="G29" s="711">
        <v>0.13208044785852127</v>
      </c>
      <c r="H29" s="710">
        <v>0.314</v>
      </c>
      <c r="I29" s="708">
        <v>0.52</v>
      </c>
      <c r="J29" s="570">
        <v>4.1260000000000003</v>
      </c>
      <c r="K29" s="865">
        <f>IF($J29="","",IF(IFERROR(INDEX(Settings!$AK$14:$AK$36,MATCH((((ROUND($H29,6)*2)*1000000)+ROUND($I29,6)),Settings!$AI$14:$AI$36,0)),"Undefined")="Undefined","Undefined",IFERROR(INDEX(_xlfn.ANCHORARRAY(Settings!$BC$14),MATCH(IFERROR(INDEX(Settings!$AK$14:$AK$36,MATCH((((ROUND($H29,6)*2)*1000000)+ROUND($I29,6)),Settings!$AI$14:$AI$36,0)),"Undefined"),_xlfn.ANCHORARRAY(Settings!$BC$14),0)),"Inactive")))</f>
        <v>1613</v>
      </c>
      <c r="L29" s="86"/>
      <c r="M29" s="168">
        <f t="shared" si="1"/>
        <v>4.1260000000000003</v>
      </c>
      <c r="N29" s="632">
        <f t="shared" si="2"/>
        <v>9.4976791603542748E-2</v>
      </c>
      <c r="O29" s="629">
        <f t="shared" si="3"/>
        <v>-3.6486750713563056</v>
      </c>
      <c r="P29" s="633">
        <f t="shared" si="4"/>
        <v>-1.202803627655741</v>
      </c>
      <c r="Q29" s="585">
        <f t="shared" si="113"/>
        <v>271.49110036224027</v>
      </c>
      <c r="R29" s="629">
        <f>IF(M29="","",SQRT(N29^2+O29^2))</f>
        <v>3.6499110081316015</v>
      </c>
      <c r="S29" s="634">
        <f>IF(M29="","",P29)</f>
        <v>-1.202803627655741</v>
      </c>
      <c r="T29" s="635">
        <f>IF(M29="","",X29*COS(RADIANS(W29)))</f>
        <v>-3.6470060495877452</v>
      </c>
      <c r="U29" s="629">
        <f>IF(M29="","",X29*SIN(RADIANS(W29)))</f>
        <v>-0.14559272492343878</v>
      </c>
      <c r="V29" s="636">
        <f>IF(M29="","",Y29)</f>
        <v>-1.202803627655741</v>
      </c>
      <c r="W29" s="585">
        <f t="shared" si="224"/>
        <v>182.28610024745649</v>
      </c>
      <c r="X29" s="629">
        <f>IF(M29="","",R29)</f>
        <v>3.6499110081316015</v>
      </c>
      <c r="Y29" s="630">
        <f t="shared" si="223"/>
        <v>-1.202803627655741</v>
      </c>
      <c r="Z29" s="632">
        <f t="shared" si="6"/>
        <v>-0.89231613063322202</v>
      </c>
      <c r="AA29" s="629">
        <f t="shared" si="7"/>
        <v>0.43165574049842925</v>
      </c>
      <c r="AB29" s="629">
        <f t="shared" si="8"/>
        <v>-0.13208044785852127</v>
      </c>
      <c r="AC29" s="636">
        <f>IF(M29="","",SQRT(Z29^2+AA29^2+AB29^2))</f>
        <v>1</v>
      </c>
      <c r="AD29" s="637">
        <f>IF(M29="","",Z29*(1/SQRT(Z29^2+AA29^2+AB29^2)))</f>
        <v>-0.89231613063322202</v>
      </c>
      <c r="AE29" s="629">
        <f>IF(M29="","",AA29*(1/SQRT(Z29^2+AA29^2+AB29^2)))</f>
        <v>0.43165574049842925</v>
      </c>
      <c r="AF29" s="633">
        <f>IF(M29="","",AB29*(1/SQRT(Z29^2+AA29^2+AB29^2)))</f>
        <v>-0.13208044785852127</v>
      </c>
      <c r="AG29" s="602">
        <f>IF(M29="","",DEGREES(ATAN2(-AF29,AE29)))</f>
        <v>72.986642850672482</v>
      </c>
      <c r="AH29" s="603">
        <f>IF(M29="","",DEGREES(ACOS(AD29)))</f>
        <v>153.16574937607299</v>
      </c>
      <c r="AI29" s="585">
        <f>IF(M29="","",DEGREES(-ACOS(-AF29)))</f>
        <v>-82.410169975296455</v>
      </c>
      <c r="AJ29" s="586">
        <f>IF(M29="","",DEGREES(ATAN2(-AE29,AD29)))</f>
        <v>-115.8152618248687</v>
      </c>
      <c r="AK29" s="635">
        <f>IF(M29="","",(COS(RADIANS((90-$Q$8)-W29))*AD29)+(-SIN(RADIANS((90-$Q$8)-W29))*AE29))</f>
        <v>0.88078156895842041</v>
      </c>
      <c r="AL29" s="629">
        <f>IF(M29="","",(SIN(RADIANS((90-$Q$8)-W29))*AD29)+(COS(RADIANS((90-$Q$8)-W29))*AE29))</f>
        <v>-0.4547291315460622</v>
      </c>
      <c r="AM29" s="634">
        <f>IF(M29="","",AF29)</f>
        <v>-0.13208044785852127</v>
      </c>
      <c r="AN29" s="581">
        <f>IF(M29="","",DEGREES(ATAN2(-AM29,AL29)))</f>
        <v>-73.803552927078329</v>
      </c>
      <c r="AO29" s="582">
        <f t="shared" si="94"/>
        <v>28.263212202436605</v>
      </c>
      <c r="AP29" s="585">
        <f>IF(M29="","",DEGREES(ATAN2(AK29,AL29)))</f>
        <v>-27.306362187108956</v>
      </c>
      <c r="AQ29" s="586">
        <f t="shared" si="9"/>
        <v>0.62457312717461599</v>
      </c>
      <c r="AS29" s="52">
        <f t="shared" si="116"/>
        <v>-177.71389975254351</v>
      </c>
      <c r="AT29" s="72">
        <f t="shared" si="10"/>
        <v>-1.0788391140184079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4.1260000000000003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707">
        <v>9.1499194726305869E-2</v>
      </c>
      <c r="C30" s="708">
        <v>-3.6903769925089382</v>
      </c>
      <c r="D30" s="709">
        <v>-1.9463058700585041</v>
      </c>
      <c r="E30" s="710">
        <v>0.86811517696144147</v>
      </c>
      <c r="F30" s="708">
        <v>-0.49154192301608957</v>
      </c>
      <c r="G30" s="711">
        <v>6.9011429827601611E-2</v>
      </c>
      <c r="H30" s="710">
        <v>0.314</v>
      </c>
      <c r="I30" s="708">
        <v>0.52</v>
      </c>
      <c r="J30" s="570">
        <v>4.1319999999999997</v>
      </c>
      <c r="K30" s="865">
        <f>IF($J30="","",IF(IFERROR(INDEX(Settings!$AK$14:$AK$36,MATCH((((ROUND($H30,6)*2)*1000000)+ROUND($I30,6)),Settings!$AI$14:$AI$36,0)),"Undefined")="Undefined","Undefined",IFERROR(INDEX(_xlfn.ANCHORARRAY(Settings!$BC$14),MATCH(IFERROR(INDEX(Settings!$AK$14:$AK$36,MATCH((((ROUND($H30,6)*2)*1000000)+ROUND($I30,6)),Settings!$AI$14:$AI$36,0)),"Undefined"),_xlfn.ANCHORARRAY(Settings!$BC$14),0)),"Inactive")))</f>
        <v>1613</v>
      </c>
      <c r="L30" s="86"/>
      <c r="M30" s="168">
        <f t="shared" si="1"/>
        <v>4.1319999999999997</v>
      </c>
      <c r="N30" s="632">
        <f t="shared" si="2"/>
        <v>9.1499194726305869E-2</v>
      </c>
      <c r="O30" s="629">
        <f t="shared" si="3"/>
        <v>-3.6903769925089382</v>
      </c>
      <c r="P30" s="633">
        <f t="shared" si="4"/>
        <v>-1.9463058700585041</v>
      </c>
      <c r="Q30" s="585">
        <f t="shared" si="113"/>
        <v>271.42030037246252</v>
      </c>
      <c r="R30" s="629">
        <f>IF(M30="","",SQRT(N30^2+O30^2))</f>
        <v>3.6915111335975781</v>
      </c>
      <c r="S30" s="634">
        <f>IF(M30="","",P30)</f>
        <v>-1.9463058700585041</v>
      </c>
      <c r="T30" s="635">
        <f>IF(M30="","",X30*COS(RADIANS(W30)))</f>
        <v>-3.6887522078371604</v>
      </c>
      <c r="U30" s="629">
        <f>IF(M30="","",X30*SIN(RADIANS(W30)))</f>
        <v>-0.14269407363780054</v>
      </c>
      <c r="V30" s="636">
        <f>IF(M30="","",Y30)</f>
        <v>-1.9463058700585041</v>
      </c>
      <c r="W30" s="585">
        <f t="shared" si="224"/>
        <v>182.21530025767873</v>
      </c>
      <c r="X30" s="629">
        <f>IF(M30="","",R30)</f>
        <v>3.6915111335975781</v>
      </c>
      <c r="Y30" s="630">
        <f t="shared" si="223"/>
        <v>-1.9463058700585041</v>
      </c>
      <c r="Z30" s="632">
        <f t="shared" si="6"/>
        <v>-0.86811517696144147</v>
      </c>
      <c r="AA30" s="629">
        <f t="shared" si="7"/>
        <v>0.49154192301608957</v>
      </c>
      <c r="AB30" s="629">
        <f t="shared" si="8"/>
        <v>-6.9011429827601611E-2</v>
      </c>
      <c r="AC30" s="636">
        <f>IF(M30="","",SQRT(Z30^2+AA30^2+AB30^2))</f>
        <v>1</v>
      </c>
      <c r="AD30" s="637">
        <f>IF(M30="","",Z30*(1/SQRT(Z30^2+AA30^2+AB30^2)))</f>
        <v>-0.86811517696144147</v>
      </c>
      <c r="AE30" s="629">
        <f>IF(M30="","",AA30*(1/SQRT(Z30^2+AA30^2+AB30^2)))</f>
        <v>0.49154192301608957</v>
      </c>
      <c r="AF30" s="633">
        <f>IF(M30="","",AB30*(1/SQRT(Z30^2+AA30^2+AB30^2)))</f>
        <v>-6.9011429827601611E-2</v>
      </c>
      <c r="AG30" s="602">
        <f>IF(M30="","",DEGREES(ATAN2(-AF30,AE30)))</f>
        <v>82.008033823569306</v>
      </c>
      <c r="AH30" s="603">
        <f>IF(M30="","",DEGREES(ACOS(AD30)))</f>
        <v>150.24034419261622</v>
      </c>
      <c r="AI30" s="585">
        <f>IF(M30="","",DEGREES(-ACOS(-AF30)))</f>
        <v>-86.042790998012137</v>
      </c>
      <c r="AJ30" s="586">
        <f>IF(M30="","",DEGREES(ATAN2(-AE30,AD30)))</f>
        <v>-119.51929431547126</v>
      </c>
      <c r="AK30" s="635">
        <f>IF(M30="","",(COS(RADIANS((90-$Q$8)-W30))*AD30)+(-SIN(RADIANS((90-$Q$8)-W30))*AE30))</f>
        <v>0.85566492188737253</v>
      </c>
      <c r="AL30" s="629">
        <f>IF(M30="","",(SIN(RADIANS((90-$Q$8)-W30))*AD30)+(COS(RADIANS((90-$Q$8)-W30))*AE30))</f>
        <v>-0.51290833879420095</v>
      </c>
      <c r="AM30" s="634">
        <f>IF(M30="","",AF30)</f>
        <v>-6.9011429827601611E-2</v>
      </c>
      <c r="AN30" s="581">
        <f>IF(M30="","",DEGREES(ATAN2(-AM30,AL30)))</f>
        <v>-82.336917833034406</v>
      </c>
      <c r="AO30" s="582">
        <f>IF(ROUND(IF(M30="",0,DEGREES(ACOS(AK30))),4)=90,0,IF(M30="","",DEGREES(ACOS(AK30))))</f>
        <v>31.166729704874768</v>
      </c>
      <c r="AP30" s="585">
        <f>IF(M30="","",DEGREES(ATAN2(AK30,AL30)))</f>
        <v>-30.939594687933774</v>
      </c>
      <c r="AQ30" s="586">
        <f t="shared" si="9"/>
        <v>0.61753527846629874</v>
      </c>
      <c r="AS30" s="52">
        <f t="shared" si="116"/>
        <v>-177.78469974232127</v>
      </c>
      <c r="AT30" s="72">
        <f t="shared" si="10"/>
        <v>-1.8222921897616031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4.1319999999999997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-0.67500442738766819</v>
      </c>
      <c r="C31" s="708">
        <v>-0.45529623517932749</v>
      </c>
      <c r="D31" s="709">
        <v>-0.47990144738276536</v>
      </c>
      <c r="E31" s="710">
        <v>0.57660161256584674</v>
      </c>
      <c r="F31" s="708">
        <v>-0.76146782127963253</v>
      </c>
      <c r="G31" s="711">
        <v>0.2961373626243653</v>
      </c>
      <c r="H31" s="710">
        <v>0.314</v>
      </c>
      <c r="I31" s="708">
        <v>0.52</v>
      </c>
      <c r="J31" s="570">
        <v>5.1029999999999998</v>
      </c>
      <c r="K31" s="865">
        <f>IF($J31="","",IF(IFERROR(INDEX(Settings!$AK$14:$AK$36,MATCH((((ROUND($H31,6)*2)*1000000)+ROUND($I31,6)),Settings!$AI$14:$AI$36,0)),"Undefined")="Undefined","Undefined",IFERROR(INDEX(_xlfn.ANCHORARRAY(Settings!$BC$14),MATCH(IFERROR(INDEX(Settings!$AK$14:$AK$36,MATCH((((ROUND($H31,6)*2)*1000000)+ROUND($I31,6)),Settings!$AI$14:$AI$36,0)),"Undefined"),_xlfn.ANCHORARRAY(Settings!$BC$14),0)),"Inactive")))</f>
        <v>1613</v>
      </c>
      <c r="L31" s="320"/>
      <c r="M31" s="168">
        <f t="shared" si="1"/>
        <v>5.1029999999999998</v>
      </c>
      <c r="N31" s="632">
        <f t="shared" si="2"/>
        <v>-0.67500442738766819</v>
      </c>
      <c r="O31" s="629">
        <f t="shared" si="3"/>
        <v>-0.45529623517932749</v>
      </c>
      <c r="P31" s="633">
        <f t="shared" si="4"/>
        <v>-0.47990144738276536</v>
      </c>
      <c r="Q31" s="585">
        <f t="shared" si="113"/>
        <v>214</v>
      </c>
      <c r="R31" s="629">
        <f>IF(M31="","",SQRT(N31^2+O31^2))</f>
        <v>0.81420245563460647</v>
      </c>
      <c r="S31" s="634">
        <f>IF(M31="","",P31)</f>
        <v>-0.47990144738276536</v>
      </c>
      <c r="T31" s="635">
        <f>IF(M31="","",X31*COS(RADIANS(W31)))</f>
        <v>-0.4646180404037436</v>
      </c>
      <c r="U31" s="629">
        <f>IF(M31="","",X31*SIN(RADIANS(W31)))</f>
        <v>0.66862225156870791</v>
      </c>
      <c r="V31" s="636">
        <f>IF(M31="","",Y31)</f>
        <v>-0.47990144738276536</v>
      </c>
      <c r="W31" s="585">
        <f t="shared" si="224"/>
        <v>124.79499988521621</v>
      </c>
      <c r="X31" s="629">
        <f>IF(M31="","",R31)</f>
        <v>0.81420245563460647</v>
      </c>
      <c r="Y31" s="630">
        <f t="shared" si="223"/>
        <v>-0.47990144738276536</v>
      </c>
      <c r="Z31" s="632">
        <f t="shared" si="6"/>
        <v>-0.57660161256584674</v>
      </c>
      <c r="AA31" s="629">
        <f t="shared" si="7"/>
        <v>0.76146782127963253</v>
      </c>
      <c r="AB31" s="629">
        <f t="shared" si="8"/>
        <v>-0.2961373626243653</v>
      </c>
      <c r="AC31" s="636">
        <f>IF(M31="","",SQRT(Z31^2+AA31^2+AB31^2))</f>
        <v>1</v>
      </c>
      <c r="AD31" s="637">
        <f>IF(M31="","",Z31*(1/SQRT(Z31^2+AA31^2+AB31^2)))</f>
        <v>-0.57660161256584674</v>
      </c>
      <c r="AE31" s="629">
        <f>IF(M31="","",AA31*(1/SQRT(Z31^2+AA31^2+AB31^2)))</f>
        <v>0.76146782127963253</v>
      </c>
      <c r="AF31" s="633">
        <f>IF(M31="","",AB31*(1/SQRT(Z31^2+AA31^2+AB31^2)))</f>
        <v>-0.2961373626243653</v>
      </c>
      <c r="AG31" s="602">
        <f>IF(M31="","",DEGREES(ATAN2(-AF31,AE31)))</f>
        <v>68.748776349370544</v>
      </c>
      <c r="AH31" s="603">
        <f>IF(M31="","",DEGREES(ACOS(AD31)))</f>
        <v>125.21187142940884</v>
      </c>
      <c r="AI31" s="585">
        <f>IF(M31="","",DEGREES(-ACOS(-AF31)))</f>
        <v>-72.774248855664737</v>
      </c>
      <c r="AJ31" s="586">
        <f>IF(M31="","",DEGREES(ATAN2(-AE31,AD31)))</f>
        <v>-142.86612521117982</v>
      </c>
      <c r="AK31" s="635">
        <f>IF(M31="","",(COS(RADIANS((90-$Q$8)-W31))*AD31)+(-SIN(RADIANS((90-$Q$8)-W31))*AE31))</f>
        <v>0.95371696400905326</v>
      </c>
      <c r="AL31" s="629">
        <f>IF(M31="","",(SIN(RADIANS((90-$Q$8)-W31))*AD31)+(COS(RADIANS((90-$Q$8)-W31))*AE31))</f>
        <v>5.2216999332010905E-2</v>
      </c>
      <c r="AM31" s="634">
        <f>IF(M31="","",AF31)</f>
        <v>-0.2961373626243653</v>
      </c>
      <c r="AN31" s="581">
        <f>IF(M31="","",DEGREES(ATAN2(-AM31,AL31)))</f>
        <v>9.9999985561788911</v>
      </c>
      <c r="AO31" s="582">
        <f t="shared" si="94"/>
        <v>17.499997473312991</v>
      </c>
      <c r="AP31" s="585">
        <f>IF(M31="","",DEGREES(ATAN2(AK31,AL31)))</f>
        <v>3.1338747888202056</v>
      </c>
      <c r="AQ31" s="586">
        <f t="shared" si="9"/>
        <v>2.7977248917878406</v>
      </c>
      <c r="AS31" s="52">
        <f t="shared" si="116"/>
        <v>-235.20500011478379</v>
      </c>
      <c r="AT31" s="72">
        <f t="shared" si="10"/>
        <v>-0.31601255849387644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5.1029999999999998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-1.261633182999943</v>
      </c>
      <c r="C32" s="708">
        <v>-0.85098232706448151</v>
      </c>
      <c r="D32" s="709">
        <v>-0.22240067076042291</v>
      </c>
      <c r="E32" s="710">
        <v>0.57739867550232549</v>
      </c>
      <c r="F32" s="708">
        <v>-0.77565675615408247</v>
      </c>
      <c r="G32" s="711">
        <v>0.2548869674202402</v>
      </c>
      <c r="H32" s="710">
        <v>0.314</v>
      </c>
      <c r="I32" s="708">
        <v>0.52</v>
      </c>
      <c r="J32" s="570">
        <v>5.1059999999999999</v>
      </c>
      <c r="K32" s="865">
        <f>IF($J32="","",IF(IFERROR(INDEX(Settings!$AK$14:$AK$36,MATCH((((ROUND($H32,6)*2)*1000000)+ROUND($I32,6)),Settings!$AI$14:$AI$36,0)),"Undefined")="Undefined","Undefined",IFERROR(INDEX(_xlfn.ANCHORARRAY(Settings!$BC$14),MATCH(IFERROR(INDEX(Settings!$AK$14:$AK$36,MATCH((((ROUND($H32,6)*2)*1000000)+ROUND($I32,6)),Settings!$AI$14:$AI$36,0)),"Undefined"),_xlfn.ANCHORARRAY(Settings!$BC$14),0)),"Inactive")))</f>
        <v>1613</v>
      </c>
      <c r="L32" s="320"/>
      <c r="M32" s="168">
        <f t="shared" si="1"/>
        <v>5.1059999999999999</v>
      </c>
      <c r="N32" s="632">
        <f t="shared" si="2"/>
        <v>-1.261633182999943</v>
      </c>
      <c r="O32" s="629">
        <f t="shared" si="3"/>
        <v>-0.85098232706448151</v>
      </c>
      <c r="P32" s="633">
        <f t="shared" si="4"/>
        <v>-0.22240067076042291</v>
      </c>
      <c r="Q32" s="585">
        <f t="shared" si="113"/>
        <v>214</v>
      </c>
      <c r="R32" s="629">
        <f t="shared" si="79"/>
        <v>1.5218045897626435</v>
      </c>
      <c r="S32" s="634">
        <f t="shared" si="80"/>
        <v>-0.22240067076042291</v>
      </c>
      <c r="T32" s="635">
        <f t="shared" si="81"/>
        <v>-0.86840547026089066</v>
      </c>
      <c r="U32" s="629">
        <f t="shared" si="82"/>
        <v>1.2497044245114959</v>
      </c>
      <c r="V32" s="636">
        <f t="shared" si="114"/>
        <v>-0.22240067076042291</v>
      </c>
      <c r="W32" s="585">
        <f t="shared" si="224"/>
        <v>124.79499988521621</v>
      </c>
      <c r="X32" s="629">
        <f t="shared" si="83"/>
        <v>1.5218045897626435</v>
      </c>
      <c r="Y32" s="630">
        <f t="shared" si="223"/>
        <v>-0.22240067076042291</v>
      </c>
      <c r="Z32" s="632">
        <f t="shared" si="6"/>
        <v>-0.57739867550232549</v>
      </c>
      <c r="AA32" s="629">
        <f t="shared" si="7"/>
        <v>0.77565675615408247</v>
      </c>
      <c r="AB32" s="629">
        <f t="shared" si="8"/>
        <v>-0.2548869674202402</v>
      </c>
      <c r="AC32" s="636">
        <f t="shared" si="84"/>
        <v>1</v>
      </c>
      <c r="AD32" s="637">
        <f t="shared" si="115"/>
        <v>-0.57739867550232549</v>
      </c>
      <c r="AE32" s="629">
        <f t="shared" si="85"/>
        <v>0.77565675615408247</v>
      </c>
      <c r="AF32" s="633">
        <f t="shared" si="86"/>
        <v>-0.2548869674202402</v>
      </c>
      <c r="AG32" s="602">
        <f t="shared" si="87"/>
        <v>71.809066300147194</v>
      </c>
      <c r="AH32" s="603">
        <f t="shared" si="88"/>
        <v>125.26778655620389</v>
      </c>
      <c r="AI32" s="585">
        <f t="shared" si="89"/>
        <v>-75.233112454846449</v>
      </c>
      <c r="AJ32" s="586">
        <f t="shared" si="90"/>
        <v>-143.33601316575349</v>
      </c>
      <c r="AK32" s="635">
        <f t="shared" si="211"/>
        <v>0.96592583607220739</v>
      </c>
      <c r="AL32" s="629">
        <f t="shared" si="91"/>
        <v>4.4943442764441843E-2</v>
      </c>
      <c r="AM32" s="634">
        <f t="shared" si="92"/>
        <v>-0.2548869674202402</v>
      </c>
      <c r="AN32" s="581">
        <f t="shared" si="93"/>
        <v>9.9999985561788574</v>
      </c>
      <c r="AO32" s="582">
        <f t="shared" si="94"/>
        <v>14.999997834268255</v>
      </c>
      <c r="AP32" s="585">
        <f t="shared" si="95"/>
        <v>2.6639868342465194</v>
      </c>
      <c r="AQ32" s="586">
        <f t="shared" si="9"/>
        <v>1.4977004183094356</v>
      </c>
      <c r="AS32" s="52">
        <f t="shared" si="116"/>
        <v>-235.20500011478379</v>
      </c>
      <c r="AT32" s="72">
        <f t="shared" si="10"/>
        <v>-5.8511781871534024E-2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5.1059999999999999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-1.8894003783276563</v>
      </c>
      <c r="C33" s="708">
        <v>-1.2517052985025856</v>
      </c>
      <c r="D33" s="709">
        <v>-5.430016376929394E-2</v>
      </c>
      <c r="E33" s="710">
        <v>0.4660428923165299</v>
      </c>
      <c r="F33" s="708">
        <v>-0.84835105606234074</v>
      </c>
      <c r="G33" s="711">
        <v>0.25120610701006962</v>
      </c>
      <c r="H33" s="710">
        <v>0.314</v>
      </c>
      <c r="I33" s="708">
        <v>0.52</v>
      </c>
      <c r="J33" s="570">
        <v>5.1109999999999998</v>
      </c>
      <c r="K33" s="865">
        <f>IF($J33="","",IF(IFERROR(INDEX(Settings!$AK$14:$AK$36,MATCH((((ROUND($H33,6)*2)*1000000)+ROUND($I33,6)),Settings!$AI$14:$AI$36,0)),"Undefined")="Undefined","Undefined",IFERROR(INDEX(_xlfn.ANCHORARRAY(Settings!$BC$14),MATCH(IFERROR(INDEX(Settings!$AK$14:$AK$36,MATCH((((ROUND($H33,6)*2)*1000000)+ROUND($I33,6)),Settings!$AI$14:$AI$36,0)),"Undefined"),_xlfn.ANCHORARRAY(Settings!$BC$14),0)),"Inactive")))</f>
        <v>1613</v>
      </c>
      <c r="L33" s="320"/>
      <c r="M33" s="168">
        <f t="shared" si="1"/>
        <v>5.1109999999999998</v>
      </c>
      <c r="N33" s="632">
        <f t="shared" si="2"/>
        <v>-1.8894003783276563</v>
      </c>
      <c r="O33" s="629">
        <f t="shared" si="3"/>
        <v>-1.2517052985025856</v>
      </c>
      <c r="P33" s="633">
        <f t="shared" si="4"/>
        <v>-5.430016376929394E-2</v>
      </c>
      <c r="Q33" s="585">
        <f t="shared" si="113"/>
        <v>213.52400006872588</v>
      </c>
      <c r="R33" s="629">
        <f t="shared" si="79"/>
        <v>2.2664068354830156</v>
      </c>
      <c r="S33" s="634">
        <f t="shared" si="80"/>
        <v>-5.430016376929394E-2</v>
      </c>
      <c r="T33" s="635">
        <f t="shared" si="81"/>
        <v>-1.2778000873876287</v>
      </c>
      <c r="U33" s="629">
        <f t="shared" si="82"/>
        <v>1.8718511908258908</v>
      </c>
      <c r="V33" s="636">
        <f t="shared" si="114"/>
        <v>-5.430016376929394E-2</v>
      </c>
      <c r="W33" s="585">
        <f t="shared" si="224"/>
        <v>124.3189999539421</v>
      </c>
      <c r="X33" s="629">
        <f t="shared" si="83"/>
        <v>2.2664068354830156</v>
      </c>
      <c r="Y33" s="630">
        <f t="shared" si="223"/>
        <v>-5.430016376929394E-2</v>
      </c>
      <c r="Z33" s="632">
        <f t="shared" si="6"/>
        <v>-0.4660428923165299</v>
      </c>
      <c r="AA33" s="629">
        <f t="shared" si="7"/>
        <v>0.84835105606234074</v>
      </c>
      <c r="AB33" s="629">
        <f t="shared" si="8"/>
        <v>-0.25120610701006962</v>
      </c>
      <c r="AC33" s="636">
        <f t="shared" si="84"/>
        <v>1</v>
      </c>
      <c r="AD33" s="637">
        <f t="shared" si="115"/>
        <v>-0.4660428923165299</v>
      </c>
      <c r="AE33" s="629">
        <f t="shared" si="85"/>
        <v>0.84835105606234074</v>
      </c>
      <c r="AF33" s="633">
        <f t="shared" si="86"/>
        <v>-0.25120610701006962</v>
      </c>
      <c r="AG33" s="602">
        <f t="shared" si="87"/>
        <v>73.505397269198383</v>
      </c>
      <c r="AH33" s="603">
        <f t="shared" si="88"/>
        <v>117.77773714925624</v>
      </c>
      <c r="AI33" s="585">
        <f t="shared" si="89"/>
        <v>-75.451105141185295</v>
      </c>
      <c r="AJ33" s="586">
        <f t="shared" si="90"/>
        <v>-151.21774269306067</v>
      </c>
      <c r="AK33" s="635">
        <f t="shared" si="211"/>
        <v>0.96462079521349353</v>
      </c>
      <c r="AL33" s="629">
        <f t="shared" si="91"/>
        <v>-8.0013831570129701E-2</v>
      </c>
      <c r="AM33" s="634">
        <f t="shared" si="92"/>
        <v>-0.25120610701006962</v>
      </c>
      <c r="AN33" s="581">
        <f t="shared" si="93"/>
        <v>-17.667647656547583</v>
      </c>
      <c r="AO33" s="582">
        <f t="shared" si="94"/>
        <v>15.286232712792712</v>
      </c>
      <c r="AP33" s="585">
        <f t="shared" si="95"/>
        <v>-4.7417427617865195</v>
      </c>
      <c r="AQ33" s="586">
        <f t="shared" si="9"/>
        <v>1.0057737336612234</v>
      </c>
      <c r="AS33" s="52">
        <f t="shared" si="116"/>
        <v>-235.6810000460579</v>
      </c>
      <c r="AT33" s="72">
        <f t="shared" si="10"/>
        <v>0.1099192806274242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5.1109999999999998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-2.5470025888005758</v>
      </c>
      <c r="C34" s="708">
        <v>-1.6232821467863894</v>
      </c>
      <c r="D34" s="709">
        <v>-0.28760086740421587</v>
      </c>
      <c r="E34" s="710">
        <v>0.31462460192165365</v>
      </c>
      <c r="F34" s="708">
        <v>-0.92090906738552158</v>
      </c>
      <c r="G34" s="711">
        <v>0.23008226674989549</v>
      </c>
      <c r="H34" s="710">
        <v>0.314</v>
      </c>
      <c r="I34" s="708">
        <v>0.52</v>
      </c>
      <c r="J34" s="570">
        <v>5.117</v>
      </c>
      <c r="K34" s="865">
        <f>IF($J34="","",IF(IFERROR(INDEX(Settings!$AK$14:$AK$36,MATCH((((ROUND($H34,6)*2)*1000000)+ROUND($I34,6)),Settings!$AI$14:$AI$36,0)),"Undefined")="Undefined","Undefined",IFERROR(INDEX(_xlfn.ANCHORARRAY(Settings!$BC$14),MATCH(IFERROR(INDEX(Settings!$AK$14:$AK$36,MATCH((((ROUND($H34,6)*2)*1000000)+ROUND($I34,6)),Settings!$AI$14:$AI$36,0)),"Undefined"),_xlfn.ANCHORARRAY(Settings!$BC$14),0)),"Inactive")))</f>
        <v>1613</v>
      </c>
      <c r="L34" s="320"/>
      <c r="M34" s="168">
        <f t="shared" si="1"/>
        <v>5.117</v>
      </c>
      <c r="N34" s="632">
        <f t="shared" si="2"/>
        <v>-2.5470025888005758</v>
      </c>
      <c r="O34" s="629">
        <f t="shared" si="3"/>
        <v>-1.6232821467863894</v>
      </c>
      <c r="P34" s="633">
        <f t="shared" si="4"/>
        <v>-0.28760086740421587</v>
      </c>
      <c r="Q34" s="585">
        <f t="shared" si="113"/>
        <v>212.51060021504273</v>
      </c>
      <c r="R34" s="629">
        <f>IF(M34="","",SQRT(N34^2+O34^2))</f>
        <v>3.020309109252274</v>
      </c>
      <c r="S34" s="634">
        <f>IF(M34="","",P34)</f>
        <v>-0.28760086740421587</v>
      </c>
      <c r="T34" s="635">
        <f>IF(M34="","",X34*COS(RADIANS(W34)))</f>
        <v>-1.6584653454630283</v>
      </c>
      <c r="U34" s="629">
        <f>IF(M34="","",X34*SIN(RADIANS(W34)))</f>
        <v>2.5242345004635491</v>
      </c>
      <c r="V34" s="636">
        <f>IF(M34="","",Y34)</f>
        <v>-0.28760086740421587</v>
      </c>
      <c r="W34" s="585">
        <f t="shared" si="224"/>
        <v>123.30560010025894</v>
      </c>
      <c r="X34" s="629">
        <f>IF(M34="","",R34)</f>
        <v>3.020309109252274</v>
      </c>
      <c r="Y34" s="630">
        <f t="shared" si="223"/>
        <v>-0.28760086740421587</v>
      </c>
      <c r="Z34" s="632">
        <f t="shared" si="6"/>
        <v>-0.31462460192165365</v>
      </c>
      <c r="AA34" s="629">
        <f t="shared" si="7"/>
        <v>0.92090906738552158</v>
      </c>
      <c r="AB34" s="629">
        <f t="shared" si="8"/>
        <v>-0.23008226674989549</v>
      </c>
      <c r="AC34" s="636">
        <f>IF(M34="","",SQRT(Z34^2+AA34^2+AB34^2))</f>
        <v>1</v>
      </c>
      <c r="AD34" s="637">
        <f>IF(M34="","",Z34*(1/SQRT(Z34^2+AA34^2+AB34^2)))</f>
        <v>-0.31462460192165365</v>
      </c>
      <c r="AE34" s="629">
        <f>IF(M34="","",AA34*(1/SQRT(Z34^2+AA34^2+AB34^2)))</f>
        <v>0.92090906738552158</v>
      </c>
      <c r="AF34" s="633">
        <f>IF(M34="","",AB34*(1/SQRT(Z34^2+AA34^2+AB34^2)))</f>
        <v>-0.23008226674989549</v>
      </c>
      <c r="AG34" s="602">
        <f>IF(M34="","",DEGREES(ATAN2(-AF34,AE34)))</f>
        <v>75.972247580593972</v>
      </c>
      <c r="AH34" s="603">
        <f>IF(M34="","",DEGREES(ACOS(AD34)))</f>
        <v>108.33815284858572</v>
      </c>
      <c r="AI34" s="585">
        <f>IF(M34="","",DEGREES(-ACOS(-AF34)))</f>
        <v>-76.698084818715131</v>
      </c>
      <c r="AJ34" s="586">
        <f>IF(M34="","",DEGREES(ATAN2(-AE34,AD34)))</f>
        <v>-161.13748934907892</v>
      </c>
      <c r="AK34" s="635">
        <f>IF(M34="","",(COS(RADIANS((90-$Q$8)-W34))*AD34)+(-SIN(RADIANS((90-$Q$8)-W34))*AE34))</f>
        <v>0.9456920383315206</v>
      </c>
      <c r="AL34" s="629">
        <f>IF(M34="","",(SIN(RADIANS((90-$Q$8)-W34))*AD34)+(COS(RADIANS((90-$Q$8)-W34))*AE34))</f>
        <v>-0.22962734846617</v>
      </c>
      <c r="AM34" s="634">
        <f>IF(M34="","",AF34)</f>
        <v>-0.23008226674989549</v>
      </c>
      <c r="AN34" s="581">
        <f>IF(M34="","",DEGREES(ATAN2(-AM34,AL34)))</f>
        <v>-44.943301405256825</v>
      </c>
      <c r="AO34" s="582">
        <f t="shared" si="94"/>
        <v>18.969449148838752</v>
      </c>
      <c r="AP34" s="585">
        <f>IF(M34="","",DEGREES(ATAN2(AK34,AL34)))</f>
        <v>-13.648089564121673</v>
      </c>
      <c r="AQ34" s="586">
        <f t="shared" si="9"/>
        <v>0.75475545157854951</v>
      </c>
      <c r="AS34" s="52">
        <f t="shared" si="116"/>
        <v>-236.69439989974106</v>
      </c>
      <c r="AT34" s="72">
        <f t="shared" si="10"/>
        <v>-0.12267767310910666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5.117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-3.010830789327648</v>
      </c>
      <c r="C35" s="708">
        <v>-1.8580682074672188</v>
      </c>
      <c r="D35" s="709">
        <v>-0.88510266946965055</v>
      </c>
      <c r="E35" s="710">
        <v>0.14534412507854874</v>
      </c>
      <c r="F35" s="708">
        <v>-0.97274245538574478</v>
      </c>
      <c r="G35" s="711">
        <v>0.18068536408703298</v>
      </c>
      <c r="H35" s="710">
        <v>0.314</v>
      </c>
      <c r="I35" s="708">
        <v>0.52</v>
      </c>
      <c r="J35" s="570">
        <v>5.1230000000000002</v>
      </c>
      <c r="K35" s="865">
        <f>IF($J35="","",IF(IFERROR(INDEX(Settings!$AK$14:$AK$36,MATCH((((ROUND($H35,6)*2)*1000000)+ROUND($I35,6)),Settings!$AI$14:$AI$36,0)),"Undefined")="Undefined","Undefined",IFERROR(INDEX(_xlfn.ANCHORARRAY(Settings!$BC$14),MATCH(IFERROR(INDEX(Settings!$AK$14:$AK$36,MATCH((((ROUND($H35,6)*2)*1000000)+ROUND($I35,6)),Settings!$AI$14:$AI$36,0)),"Undefined"),_xlfn.ANCHORARRAY(Settings!$BC$14),0)),"Inactive")))</f>
        <v>1613</v>
      </c>
      <c r="L35" s="320"/>
      <c r="M35" s="168">
        <f t="shared" si="1"/>
        <v>5.1230000000000002</v>
      </c>
      <c r="N35" s="632">
        <f t="shared" si="2"/>
        <v>-3.010830789327648</v>
      </c>
      <c r="O35" s="629">
        <f t="shared" si="3"/>
        <v>-1.8580682074672188</v>
      </c>
      <c r="P35" s="633">
        <f t="shared" si="4"/>
        <v>-0.88510266946965055</v>
      </c>
      <c r="Q35" s="585">
        <f t="shared" si="113"/>
        <v>211.67990033498094</v>
      </c>
      <c r="R35" s="629">
        <f>IF(M35="","",SQRT(N35^2+O35^2))</f>
        <v>3.5380106706401824</v>
      </c>
      <c r="S35" s="634">
        <f>IF(M35="","",P35)</f>
        <v>-0.88510266946965055</v>
      </c>
      <c r="T35" s="635">
        <f>IF(M35="","",X35*COS(RADIANS(W35)))</f>
        <v>-1.8996643846506018</v>
      </c>
      <c r="U35" s="629">
        <f>IF(M35="","",X35*SIN(RADIANS(W35)))</f>
        <v>2.9847604143806654</v>
      </c>
      <c r="V35" s="636">
        <f>IF(M35="","",Y35)</f>
        <v>-0.88510266946965055</v>
      </c>
      <c r="W35" s="585">
        <f t="shared" si="224"/>
        <v>122.47490022019716</v>
      </c>
      <c r="X35" s="629">
        <f>IF(M35="","",R35)</f>
        <v>3.5380106706401824</v>
      </c>
      <c r="Y35" s="630">
        <f t="shared" si="223"/>
        <v>-0.88510266946965055</v>
      </c>
      <c r="Z35" s="632">
        <f t="shared" si="6"/>
        <v>-0.14534412507854874</v>
      </c>
      <c r="AA35" s="629">
        <f t="shared" si="7"/>
        <v>0.97274245538574478</v>
      </c>
      <c r="AB35" s="629">
        <f t="shared" si="8"/>
        <v>-0.18068536408703298</v>
      </c>
      <c r="AC35" s="636">
        <f>IF(M35="","",SQRT(Z35^2+AA35^2+AB35^2))</f>
        <v>1</v>
      </c>
      <c r="AD35" s="637">
        <f>IF(M35="","",Z35*(1/SQRT(Z35^2+AA35^2+AB35^2)))</f>
        <v>-0.14534412507854874</v>
      </c>
      <c r="AE35" s="629">
        <f>IF(M35="","",AA35*(1/SQRT(Z35^2+AA35^2+AB35^2)))</f>
        <v>0.97274245538574478</v>
      </c>
      <c r="AF35" s="633">
        <f>IF(M35="","",AB35*(1/SQRT(Z35^2+AA35^2+AB35^2)))</f>
        <v>-0.18068536408703298</v>
      </c>
      <c r="AG35" s="602">
        <f>IF(M35="","",DEGREES(ATAN2(-AF35,AE35)))</f>
        <v>79.477325724975586</v>
      </c>
      <c r="AH35" s="603">
        <f>IF(M35="","",DEGREES(ACOS(AD35)))</f>
        <v>98.357207212667106</v>
      </c>
      <c r="AI35" s="585">
        <f>IF(M35="","",DEGREES(-ACOS(-AF35)))</f>
        <v>-79.590317139290249</v>
      </c>
      <c r="AJ35" s="586">
        <f>IF(M35="","",DEGREES(ATAN2(-AE35,AD35)))</f>
        <v>-171.50191332336175</v>
      </c>
      <c r="AK35" s="635">
        <f>IF(M35="","",(COS(RADIANS((90-$Q$8)-W35))*AD35)+(-SIN(RADIANS((90-$Q$8)-W35))*AE35))</f>
        <v>0.90413018232456555</v>
      </c>
      <c r="AL35" s="629">
        <f>IF(M35="","",(SIN(RADIANS((90-$Q$8)-W35))*AD35)+(COS(RADIANS((90-$Q$8)-W35))*AE35))</f>
        <v>-0.38717103793347485</v>
      </c>
      <c r="AM35" s="634">
        <f>IF(M35="","",AF35)</f>
        <v>-0.18068536408703298</v>
      </c>
      <c r="AN35" s="581">
        <f>IF(M35="","",DEGREES(ATAN2(-AM35,AL35)))</f>
        <v>-64.98243252277382</v>
      </c>
      <c r="AO35" s="582">
        <f t="shared" si="94"/>
        <v>25.293613145624182</v>
      </c>
      <c r="AP35" s="585">
        <f>IF(M35="","",DEGREES(ATAN2(AK35,AL35)))</f>
        <v>-23.181813658342698</v>
      </c>
      <c r="AQ35" s="586">
        <f t="shared" si="9"/>
        <v>0.64432551017473372</v>
      </c>
      <c r="AS35" s="52">
        <f t="shared" si="116"/>
        <v>-237.52509977980284</v>
      </c>
      <c r="AT35" s="72">
        <f t="shared" si="10"/>
        <v>-0.71960260025783174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5.1230000000000002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-3.1502106276912025</v>
      </c>
      <c r="C36" s="708">
        <v>-1.9244291233132693</v>
      </c>
      <c r="D36" s="709">
        <v>-1.6621050129087187</v>
      </c>
      <c r="E36" s="710">
        <v>8.3697961237322663E-3</v>
      </c>
      <c r="F36" s="708">
        <v>-0.99758075816747649</v>
      </c>
      <c r="G36" s="711">
        <v>6.9011429827601695E-2</v>
      </c>
      <c r="H36" s="710">
        <v>0.314</v>
      </c>
      <c r="I36" s="708">
        <v>0.52</v>
      </c>
      <c r="J36" s="570">
        <v>5.1289999999999996</v>
      </c>
      <c r="K36" s="865">
        <f>IF($J36="","",IF(IFERROR(INDEX(Settings!$AK$14:$AK$36,MATCH((((ROUND($H36,6)*2)*1000000)+ROUND($I36,6)),Settings!$AI$14:$AI$36,0)),"Undefined")="Undefined","Undefined",IFERROR(INDEX(_xlfn.ANCHORARRAY(Settings!$BC$14),MATCH(IFERROR(INDEX(Settings!$AK$14:$AK$36,MATCH((((ROUND($H36,6)*2)*1000000)+ROUND($I36,6)),Settings!$AI$14:$AI$36,0)),"Undefined"),_xlfn.ANCHORARRAY(Settings!$BC$14),0)),"Inactive")))</f>
        <v>1613</v>
      </c>
      <c r="L36" s="320"/>
      <c r="M36" s="168">
        <f t="shared" si="1"/>
        <v>5.1289999999999996</v>
      </c>
      <c r="N36" s="632">
        <f t="shared" si="2"/>
        <v>-3.1502106276912025</v>
      </c>
      <c r="O36" s="629">
        <f t="shared" si="3"/>
        <v>-1.9244291233132693</v>
      </c>
      <c r="P36" s="633">
        <f t="shared" si="4"/>
        <v>-1.6621050129087187</v>
      </c>
      <c r="Q36" s="585">
        <f t="shared" si="113"/>
        <v>211.42030037246255</v>
      </c>
      <c r="R36" s="629">
        <f>IF(M36="","",SQRT(N36^2+O36^2))</f>
        <v>3.6915111335975781</v>
      </c>
      <c r="S36" s="634">
        <f>IF(M36="","",P36)</f>
        <v>-1.6621050129087187</v>
      </c>
      <c r="T36" s="635">
        <f>IF(M36="","",X36*COS(RADIANS(W36)))</f>
        <v>-1.9679527966584038</v>
      </c>
      <c r="U36" s="629">
        <f>IF(M36="","",X36*SIN(RADIANS(W36)))</f>
        <v>3.1232060834340154</v>
      </c>
      <c r="V36" s="636">
        <f>IF(M36="","",Y36)</f>
        <v>-1.6621050129087187</v>
      </c>
      <c r="W36" s="585">
        <f t="shared" si="224"/>
        <v>122.21530025767876</v>
      </c>
      <c r="X36" s="629">
        <f>IF(M36="","",R36)</f>
        <v>3.6915111335975781</v>
      </c>
      <c r="Y36" s="630">
        <f t="shared" si="223"/>
        <v>-1.6621050129087187</v>
      </c>
      <c r="Z36" s="632">
        <f t="shared" si="6"/>
        <v>-8.3697961237322663E-3</v>
      </c>
      <c r="AA36" s="629">
        <f t="shared" si="7"/>
        <v>0.99758075816747649</v>
      </c>
      <c r="AB36" s="629">
        <f t="shared" si="8"/>
        <v>-6.9011429827601695E-2</v>
      </c>
      <c r="AC36" s="636">
        <f>IF(M36="","",SQRT(Z36^2+AA36^2+AB36^2))</f>
        <v>1</v>
      </c>
      <c r="AD36" s="637">
        <f>IF(M36="","",Z36*(1/SQRT(Z36^2+AA36^2+AB36^2)))</f>
        <v>-8.3697961237322663E-3</v>
      </c>
      <c r="AE36" s="629">
        <f>IF(M36="","",AA36*(1/SQRT(Z36^2+AA36^2+AB36^2)))</f>
        <v>0.99758075816747649</v>
      </c>
      <c r="AF36" s="633">
        <f>IF(M36="","",AB36*(1/SQRT(Z36^2+AA36^2+AB36^2)))</f>
        <v>-6.9011429827601695E-2</v>
      </c>
      <c r="AG36" s="602">
        <f>IF(M36="","",DEGREES(ATAN2(-AF36,AE36)))</f>
        <v>86.042652161745423</v>
      </c>
      <c r="AH36" s="603">
        <f>IF(M36="","",DEGREES(ACOS(AD36)))</f>
        <v>90.479559592522918</v>
      </c>
      <c r="AI36" s="585">
        <f>IF(M36="","",DEGREES(-ACOS(-AF36)))</f>
        <v>-86.042790998012123</v>
      </c>
      <c r="AJ36" s="586">
        <f>IF(M36="","",DEGREES(ATAN2(-AE36,AD36)))</f>
        <v>-179.51929431547126</v>
      </c>
      <c r="AK36" s="635">
        <f>IF(M36="","",(COS(RADIANS((90-$Q$8)-W36))*AD36)+(-SIN(RADIANS((90-$Q$8)-W36))*AE36))</f>
        <v>0.85566492188737231</v>
      </c>
      <c r="AL36" s="629">
        <f>IF(M36="","",(SIN(RADIANS((90-$Q$8)-W36))*AD36)+(COS(RADIANS((90-$Q$8)-W36))*AE36))</f>
        <v>-0.51290833879420117</v>
      </c>
      <c r="AM36" s="634">
        <f>IF(M36="","",AF36)</f>
        <v>-6.9011429827601695E-2</v>
      </c>
      <c r="AN36" s="581">
        <f>IF(M36="","",DEGREES(ATAN2(-AM36,AL36)))</f>
        <v>-82.336917833034406</v>
      </c>
      <c r="AO36" s="582">
        <f t="shared" si="94"/>
        <v>31.166729704874797</v>
      </c>
      <c r="AP36" s="585">
        <f>IF(M36="","",DEGREES(ATAN2(AK36,AL36)))</f>
        <v>-30.939594687933795</v>
      </c>
      <c r="AQ36" s="586">
        <f t="shared" si="9"/>
        <v>0.61753527846629874</v>
      </c>
      <c r="AS36" s="52">
        <f t="shared" si="116"/>
        <v>-237.78469974232124</v>
      </c>
      <c r="AT36" s="72">
        <f t="shared" si="10"/>
        <v>-1.496424665945151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5.1289999999999996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-1.8568979298483879</v>
      </c>
      <c r="C37" s="708">
        <v>0.91683300400821177</v>
      </c>
      <c r="D37" s="709">
        <v>-6.4800195437389463E-2</v>
      </c>
      <c r="E37" s="710">
        <v>-0.47343977673611964</v>
      </c>
      <c r="F37" s="708">
        <v>-0.84271524454594338</v>
      </c>
      <c r="G37" s="711">
        <v>0.25629240022662442</v>
      </c>
      <c r="H37" s="710">
        <v>0.314</v>
      </c>
      <c r="I37" s="708">
        <v>0.52</v>
      </c>
      <c r="J37" s="570">
        <v>6.11</v>
      </c>
      <c r="K37" s="865">
        <f>IF($J37="","",IF(IFERROR(INDEX(Settings!$AK$14:$AK$36,MATCH((((ROUND($H37,6)*2)*1000000)+ROUND($I37,6)),Settings!$AI$14:$AI$36,0)),"Undefined")="Undefined","Undefined",IFERROR(INDEX(_xlfn.ANCHORARRAY(Settings!$BC$14),MATCH(IFERROR(INDEX(Settings!$AK$14:$AK$36,MATCH((((ROUND($H37,6)*2)*1000000)+ROUND($I37,6)),Settings!$AI$14:$AI$36,0)),"Undefined"),_xlfn.ANCHORARRAY(Settings!$BC$14),0)),"Inactive")))</f>
        <v>1613</v>
      </c>
      <c r="L37" s="320"/>
      <c r="M37" s="168">
        <f t="shared" si="1"/>
        <v>6.11</v>
      </c>
      <c r="N37" s="632">
        <f t="shared" si="2"/>
        <v>-1.8568979298483879</v>
      </c>
      <c r="O37" s="629">
        <f t="shared" si="3"/>
        <v>0.91683300400821177</v>
      </c>
      <c r="P37" s="633">
        <f t="shared" si="4"/>
        <v>-6.4800195437389463E-2</v>
      </c>
      <c r="Q37" s="585">
        <f t="shared" si="113"/>
        <v>153.72240004008046</v>
      </c>
      <c r="R37" s="629">
        <f t="shared" si="79"/>
        <v>2.0709062458532377</v>
      </c>
      <c r="S37" s="634">
        <f t="shared" si="80"/>
        <v>-6.4800195437389463E-2</v>
      </c>
      <c r="T37" s="635">
        <f t="shared" si="81"/>
        <v>0.89098043760305579</v>
      </c>
      <c r="U37" s="629">
        <f t="shared" si="82"/>
        <v>1.8694401672486385</v>
      </c>
      <c r="V37" s="636">
        <f t="shared" si="114"/>
        <v>-6.4800195437389463E-2</v>
      </c>
      <c r="W37" s="585">
        <f t="shared" si="224"/>
        <v>64.517399925296672</v>
      </c>
      <c r="X37" s="629">
        <f t="shared" si="83"/>
        <v>2.0709062458532377</v>
      </c>
      <c r="Y37" s="630">
        <f t="shared" si="223"/>
        <v>-6.4800195437389463E-2</v>
      </c>
      <c r="Z37" s="632">
        <f t="shared" si="6"/>
        <v>0.47343977673611964</v>
      </c>
      <c r="AA37" s="629">
        <f t="shared" si="7"/>
        <v>0.84271524454594338</v>
      </c>
      <c r="AB37" s="629">
        <f t="shared" si="8"/>
        <v>-0.25629240022662442</v>
      </c>
      <c r="AC37" s="636">
        <f t="shared" si="84"/>
        <v>1</v>
      </c>
      <c r="AD37" s="637">
        <f t="shared" si="115"/>
        <v>0.47343977673611964</v>
      </c>
      <c r="AE37" s="629">
        <f t="shared" si="85"/>
        <v>0.84271524454594338</v>
      </c>
      <c r="AF37" s="633">
        <f t="shared" si="86"/>
        <v>-0.25629240022662442</v>
      </c>
      <c r="AG37" s="602">
        <f t="shared" si="87"/>
        <v>73.084071111006566</v>
      </c>
      <c r="AH37" s="603">
        <f t="shared" si="88"/>
        <v>61.742187427793091</v>
      </c>
      <c r="AI37" s="585">
        <f t="shared" si="89"/>
        <v>-75.149820567201772</v>
      </c>
      <c r="AJ37" s="586">
        <f t="shared" si="90"/>
        <v>150.67260107706963</v>
      </c>
      <c r="AK37" s="635">
        <f t="shared" si="211"/>
        <v>0.96523027528338112</v>
      </c>
      <c r="AL37" s="629">
        <f t="shared" si="91"/>
        <v>-5.1426853514912108E-2</v>
      </c>
      <c r="AM37" s="634">
        <f t="shared" si="92"/>
        <v>-0.25629240022662442</v>
      </c>
      <c r="AN37" s="581">
        <f t="shared" si="93"/>
        <v>-11.346121117480001</v>
      </c>
      <c r="AO37" s="582">
        <f t="shared" si="94"/>
        <v>15.153212506410069</v>
      </c>
      <c r="AP37" s="585">
        <f t="shared" si="95"/>
        <v>-3.0497989630108302</v>
      </c>
      <c r="AQ37" s="586">
        <f t="shared" si="9"/>
        <v>1.1006998411975539</v>
      </c>
      <c r="AS37" s="52">
        <f t="shared" si="116"/>
        <v>-295.48260007470333</v>
      </c>
      <c r="AT37" s="72">
        <f t="shared" si="10"/>
        <v>0.14094813786811022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6.11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-2.5341278538012739</v>
      </c>
      <c r="C38" s="708">
        <v>1.3043446742209348</v>
      </c>
      <c r="D38" s="709">
        <v>-0.19110057635933828</v>
      </c>
      <c r="E38" s="710">
        <v>-0.61221390365842376</v>
      </c>
      <c r="F38" s="708">
        <v>-0.755686169582658</v>
      </c>
      <c r="G38" s="711">
        <v>0.23266402658942509</v>
      </c>
      <c r="H38" s="710">
        <v>0.314</v>
      </c>
      <c r="I38" s="708">
        <v>0.52</v>
      </c>
      <c r="J38" s="570">
        <v>6.1159999999999997</v>
      </c>
      <c r="K38" s="865">
        <f>IF($J38="","",IF(IFERROR(INDEX(Settings!$AK$14:$AK$36,MATCH((((ROUND($H38,6)*2)*1000000)+ROUND($I38,6)),Settings!$AI$14:$AI$36,0)),"Undefined")="Undefined","Undefined",IFERROR(INDEX(_xlfn.ANCHORARRAY(Settings!$BC$14),MATCH(IFERROR(INDEX(Settings!$AK$14:$AK$36,MATCH((((ROUND($H38,6)*2)*1000000)+ROUND($I38,6)),Settings!$AI$14:$AI$36,0)),"Undefined"),_xlfn.ANCHORARRAY(Settings!$BC$14),0)),"Inactive")))</f>
        <v>1613</v>
      </c>
      <c r="L38" s="320"/>
      <c r="M38" s="168">
        <f t="shared" si="1"/>
        <v>6.1159999999999997</v>
      </c>
      <c r="N38" s="632">
        <f t="shared" si="2"/>
        <v>-2.5341278538012739</v>
      </c>
      <c r="O38" s="629">
        <f t="shared" si="3"/>
        <v>1.3043446742209348</v>
      </c>
      <c r="P38" s="633">
        <f t="shared" si="4"/>
        <v>-0.19110057635933828</v>
      </c>
      <c r="Q38" s="585">
        <f t="shared" si="113"/>
        <v>152.76460017836968</v>
      </c>
      <c r="R38" s="629">
        <f t="shared" si="79"/>
        <v>2.8501085959275247</v>
      </c>
      <c r="S38" s="634">
        <f t="shared" si="80"/>
        <v>-0.19110057635933828</v>
      </c>
      <c r="T38" s="635">
        <f t="shared" si="81"/>
        <v>1.2690582941853621</v>
      </c>
      <c r="U38" s="629">
        <f t="shared" si="82"/>
        <v>2.5519815936913233</v>
      </c>
      <c r="V38" s="636">
        <f t="shared" si="114"/>
        <v>-0.19110057635933828</v>
      </c>
      <c r="W38" s="585">
        <f t="shared" si="224"/>
        <v>63.55960006358589</v>
      </c>
      <c r="X38" s="629">
        <f t="shared" si="83"/>
        <v>2.8501085959275247</v>
      </c>
      <c r="Y38" s="630">
        <f t="shared" si="223"/>
        <v>-0.19110057635933828</v>
      </c>
      <c r="Z38" s="632">
        <f t="shared" si="6"/>
        <v>0.61221390365842376</v>
      </c>
      <c r="AA38" s="629">
        <f t="shared" si="7"/>
        <v>0.755686169582658</v>
      </c>
      <c r="AB38" s="629">
        <f t="shared" si="8"/>
        <v>-0.23266402658942509</v>
      </c>
      <c r="AC38" s="636">
        <f t="shared" si="84"/>
        <v>1</v>
      </c>
      <c r="AD38" s="637">
        <f t="shared" si="115"/>
        <v>0.61221390365842376</v>
      </c>
      <c r="AE38" s="629">
        <f t="shared" si="85"/>
        <v>0.755686169582658</v>
      </c>
      <c r="AF38" s="633">
        <f t="shared" si="86"/>
        <v>-0.23266402658942509</v>
      </c>
      <c r="AG38" s="602">
        <f t="shared" si="87"/>
        <v>72.887214347448008</v>
      </c>
      <c r="AH38" s="603">
        <f t="shared" si="88"/>
        <v>52.250244662106255</v>
      </c>
      <c r="AI38" s="585">
        <f t="shared" si="89"/>
        <v>-76.546034965050239</v>
      </c>
      <c r="AJ38" s="586">
        <f t="shared" si="90"/>
        <v>140.987578473523</v>
      </c>
      <c r="AK38" s="635">
        <f t="shared" si="211"/>
        <v>0.95208418362374647</v>
      </c>
      <c r="AL38" s="629">
        <f t="shared" si="91"/>
        <v>-0.19850228720269092</v>
      </c>
      <c r="AM38" s="634">
        <f t="shared" si="92"/>
        <v>-0.23266402658942509</v>
      </c>
      <c r="AN38" s="581">
        <f t="shared" si="93"/>
        <v>-40.469861513099694</v>
      </c>
      <c r="AO38" s="582">
        <f t="shared" si="94"/>
        <v>17.80847149219834</v>
      </c>
      <c r="AP38" s="585">
        <f t="shared" si="95"/>
        <v>-11.777021704846669</v>
      </c>
      <c r="AQ38" s="586">
        <f t="shared" si="9"/>
        <v>0.79982164580944293</v>
      </c>
      <c r="AS38" s="52">
        <f t="shared" si="116"/>
        <v>-296.44039993641411</v>
      </c>
      <c r="AT38" s="72">
        <f t="shared" si="10"/>
        <v>1.5312895739016119E-2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6.1159999999999997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-3.0346587457478171</v>
      </c>
      <c r="C39" s="708">
        <v>1.624490743165913</v>
      </c>
      <c r="D39" s="709">
        <v>-0.71440215463689849</v>
      </c>
      <c r="E39" s="710">
        <v>-0.74864077981447441</v>
      </c>
      <c r="F39" s="708">
        <v>-0.63359350994681451</v>
      </c>
      <c r="G39" s="711">
        <v>0.19518259899912072</v>
      </c>
      <c r="H39" s="710">
        <v>0.314</v>
      </c>
      <c r="I39" s="708">
        <v>0.52</v>
      </c>
      <c r="J39" s="570">
        <v>6.1219999999999999</v>
      </c>
      <c r="K39" s="865">
        <f>IF($J39="","",IF(IFERROR(INDEX(Settings!$AK$14:$AK$36,MATCH((((ROUND($H39,6)*2)*1000000)+ROUND($I39,6)),Settings!$AI$14:$AI$36,0)),"Undefined")="Undefined","Undefined",IFERROR(INDEX(_xlfn.ANCHORARRAY(Settings!$BC$14),MATCH(IFERROR(INDEX(Settings!$AK$14:$AK$36,MATCH((((ROUND($H39,6)*2)*1000000)+ROUND($I39,6)),Settings!$AI$14:$AI$36,0)),"Undefined"),_xlfn.ANCHORARRAY(Settings!$BC$14),0)),"Inactive")))</f>
        <v>1613</v>
      </c>
      <c r="L39" s="320"/>
      <c r="M39" s="168">
        <f t="shared" si="1"/>
        <v>6.1219999999999999</v>
      </c>
      <c r="N39" s="632">
        <f t="shared" si="2"/>
        <v>-3.0346587457478171</v>
      </c>
      <c r="O39" s="629">
        <f t="shared" si="3"/>
        <v>1.624490743165913</v>
      </c>
      <c r="P39" s="633">
        <f t="shared" si="4"/>
        <v>-0.71440215463689849</v>
      </c>
      <c r="Q39" s="585">
        <f t="shared" si="113"/>
        <v>151.83930031196644</v>
      </c>
      <c r="R39" s="629">
        <f t="shared" si="79"/>
        <v>3.4421103814049099</v>
      </c>
      <c r="S39" s="634">
        <f t="shared" si="80"/>
        <v>-0.71440215463689849</v>
      </c>
      <c r="T39" s="635">
        <f t="shared" si="81"/>
        <v>1.58222871919388</v>
      </c>
      <c r="U39" s="629">
        <f t="shared" si="82"/>
        <v>3.0569063050629386</v>
      </c>
      <c r="V39" s="636">
        <f t="shared" si="114"/>
        <v>-0.71440215463689849</v>
      </c>
      <c r="W39" s="585">
        <f t="shared" si="224"/>
        <v>62.634300197182654</v>
      </c>
      <c r="X39" s="629">
        <f t="shared" si="83"/>
        <v>3.4421103814049099</v>
      </c>
      <c r="Y39" s="630">
        <f t="shared" si="223"/>
        <v>-0.71440215463689849</v>
      </c>
      <c r="Z39" s="632">
        <f t="shared" si="6"/>
        <v>0.74864077981447441</v>
      </c>
      <c r="AA39" s="629">
        <f t="shared" si="7"/>
        <v>0.63359350994681451</v>
      </c>
      <c r="AB39" s="629">
        <f t="shared" si="8"/>
        <v>-0.19518259899912072</v>
      </c>
      <c r="AC39" s="636">
        <f t="shared" si="84"/>
        <v>1</v>
      </c>
      <c r="AD39" s="637">
        <f t="shared" si="115"/>
        <v>0.74864077981447441</v>
      </c>
      <c r="AE39" s="629">
        <f t="shared" si="85"/>
        <v>0.63359350994681451</v>
      </c>
      <c r="AF39" s="633">
        <f t="shared" si="86"/>
        <v>-0.19518259899912072</v>
      </c>
      <c r="AG39" s="602">
        <f t="shared" si="87"/>
        <v>72.878210994722394</v>
      </c>
      <c r="AH39" s="603">
        <f t="shared" si="88"/>
        <v>41.527225172118328</v>
      </c>
      <c r="AI39" s="585">
        <f t="shared" si="89"/>
        <v>-78.744609287823835</v>
      </c>
      <c r="AJ39" s="586">
        <f t="shared" si="90"/>
        <v>130.24207713420702</v>
      </c>
      <c r="AK39" s="635">
        <f t="shared" si="211"/>
        <v>0.91191151798366432</v>
      </c>
      <c r="AL39" s="629">
        <f t="shared" si="91"/>
        <v>-0.36100018894271707</v>
      </c>
      <c r="AM39" s="634">
        <f t="shared" si="92"/>
        <v>-0.19518259899912072</v>
      </c>
      <c r="AN39" s="581">
        <f t="shared" si="93"/>
        <v>-61.601163638858658</v>
      </c>
      <c r="AO39" s="582">
        <f t="shared" si="94"/>
        <v>24.22913970806016</v>
      </c>
      <c r="AP39" s="585">
        <f t="shared" si="95"/>
        <v>-21.597223177759403</v>
      </c>
      <c r="AQ39" s="586">
        <f t="shared" si="9"/>
        <v>0.66227542078952883</v>
      </c>
      <c r="AS39" s="52">
        <f t="shared" si="116"/>
        <v>-297.36569980281735</v>
      </c>
      <c r="AT39" s="72">
        <f t="shared" si="10"/>
        <v>-0.50734611318687517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6.1219999999999999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-3.2393171470167403</v>
      </c>
      <c r="C40" s="708">
        <v>1.7642778838434199</v>
      </c>
      <c r="D40" s="709">
        <v>-1.4664044226757389</v>
      </c>
      <c r="E40" s="710">
        <v>-0.8478604320089882</v>
      </c>
      <c r="F40" s="708">
        <v>-0.52226482211701586</v>
      </c>
      <c r="G40" s="711">
        <v>9.1499417553412704E-2</v>
      </c>
      <c r="H40" s="710">
        <v>0.314</v>
      </c>
      <c r="I40" s="708">
        <v>0.52</v>
      </c>
      <c r="J40" s="570">
        <v>6.1280000000000001</v>
      </c>
      <c r="K40" s="865">
        <f>IF($J40="","",IF(IFERROR(INDEX(Settings!$AK$14:$AK$36,MATCH((((ROUND($H40,6)*2)*1000000)+ROUND($I40,6)),Settings!$AI$14:$AI$36,0)),"Undefined")="Undefined","Undefined",IFERROR(INDEX(_xlfn.ANCHORARRAY(Settings!$BC$14),MATCH(IFERROR(INDEX(Settings!$AK$14:$AK$36,MATCH((((ROUND($H40,6)*2)*1000000)+ROUND($I40,6)),Settings!$AI$14:$AI$36,0)),"Undefined"),_xlfn.ANCHORARRAY(Settings!$BC$14),0)),"Inactive")))</f>
        <v>1613</v>
      </c>
      <c r="L40" s="320"/>
      <c r="M40" s="168">
        <f t="shared" si="1"/>
        <v>6.1280000000000001</v>
      </c>
      <c r="N40" s="632">
        <f t="shared" si="2"/>
        <v>-3.2393171470167403</v>
      </c>
      <c r="O40" s="629">
        <f t="shared" si="3"/>
        <v>1.7642778838434199</v>
      </c>
      <c r="P40" s="633">
        <f t="shared" si="4"/>
        <v>-1.4664044226757389</v>
      </c>
      <c r="Q40" s="585">
        <f t="shared" si="113"/>
        <v>151.42530037174063</v>
      </c>
      <c r="R40" s="629">
        <f t="shared" si="79"/>
        <v>3.6886111248511533</v>
      </c>
      <c r="S40" s="634">
        <f t="shared" si="80"/>
        <v>-1.4664044226757389</v>
      </c>
      <c r="T40" s="635">
        <f t="shared" si="81"/>
        <v>1.7191627847620887</v>
      </c>
      <c r="U40" s="629">
        <f t="shared" si="82"/>
        <v>3.2634845410794813</v>
      </c>
      <c r="V40" s="636">
        <f t="shared" si="114"/>
        <v>-1.4664044226757389</v>
      </c>
      <c r="W40" s="585">
        <f t="shared" si="224"/>
        <v>62.220300256956847</v>
      </c>
      <c r="X40" s="629">
        <f t="shared" si="83"/>
        <v>3.6886111248511533</v>
      </c>
      <c r="Y40" s="630">
        <f t="shared" si="223"/>
        <v>-1.4664044226757389</v>
      </c>
      <c r="Z40" s="632">
        <f t="shared" si="6"/>
        <v>0.8478604320089882</v>
      </c>
      <c r="AA40" s="629">
        <f t="shared" si="7"/>
        <v>0.52226482211701586</v>
      </c>
      <c r="AB40" s="629">
        <f t="shared" si="8"/>
        <v>-9.1499417553412704E-2</v>
      </c>
      <c r="AC40" s="636">
        <f t="shared" si="84"/>
        <v>1</v>
      </c>
      <c r="AD40" s="637">
        <f t="shared" si="115"/>
        <v>0.8478604320089882</v>
      </c>
      <c r="AE40" s="629">
        <f t="shared" si="85"/>
        <v>0.52226482211701586</v>
      </c>
      <c r="AF40" s="633">
        <f t="shared" si="86"/>
        <v>-9.1499417553412704E-2</v>
      </c>
      <c r="AG40" s="602">
        <f t="shared" si="87"/>
        <v>80.062783033443708</v>
      </c>
      <c r="AH40" s="603">
        <f t="shared" si="88"/>
        <v>32.0202848233737</v>
      </c>
      <c r="AI40" s="585">
        <f t="shared" si="89"/>
        <v>-84.750126645587258</v>
      </c>
      <c r="AJ40" s="586">
        <f t="shared" si="90"/>
        <v>121.63222650510548</v>
      </c>
      <c r="AK40" s="635">
        <f t="shared" si="211"/>
        <v>0.86418510774168789</v>
      </c>
      <c r="AL40" s="629">
        <f t="shared" si="91"/>
        <v>-0.49478475738938599</v>
      </c>
      <c r="AM40" s="634">
        <f t="shared" si="92"/>
        <v>-9.1499417553412704E-2</v>
      </c>
      <c r="AN40" s="581">
        <f t="shared" si="93"/>
        <v>-79.522786146090311</v>
      </c>
      <c r="AO40" s="582">
        <f t="shared" si="94"/>
        <v>30.210214928584296</v>
      </c>
      <c r="AP40" s="585">
        <f t="shared" si="95"/>
        <v>-29.793073866635165</v>
      </c>
      <c r="AQ40" s="586">
        <f t="shared" si="9"/>
        <v>0.6180207508560035</v>
      </c>
      <c r="AS40" s="52">
        <f t="shared" si="116"/>
        <v>-297.77969974304312</v>
      </c>
      <c r="AT40" s="72">
        <f t="shared" si="10"/>
        <v>-1.2590608812672255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6.1280000000000001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-3.2417098224175094</v>
      </c>
      <c r="C41" s="708">
        <v>1.7659478691956696</v>
      </c>
      <c r="D41" s="709">
        <v>-2.1863065939006874</v>
      </c>
      <c r="E41" s="710">
        <v>-0.85974538083770913</v>
      </c>
      <c r="F41" s="708">
        <v>-0.50603883515138715</v>
      </c>
      <c r="G41" s="711">
        <v>6.9011429827601611E-2</v>
      </c>
      <c r="H41" s="710">
        <v>0.314</v>
      </c>
      <c r="I41" s="708">
        <v>0.52</v>
      </c>
      <c r="J41" s="570">
        <v>6.1340000000000003</v>
      </c>
      <c r="K41" s="865">
        <f>IF($J41="","",IF(IFERROR(INDEX(Settings!$AK$14:$AK$36,MATCH((((ROUND($H41,6)*2)*1000000)+ROUND($I41,6)),Settings!$AI$14:$AI$36,0)),"Undefined")="Undefined","Undefined",IFERROR(INDEX(_xlfn.ANCHORARRAY(Settings!$BC$14),MATCH(IFERROR(INDEX(Settings!$AK$14:$AK$36,MATCH((((ROUND($H41,6)*2)*1000000)+ROUND($I41,6)),Settings!$AI$14:$AI$36,0)),"Undefined"),_xlfn.ANCHORARRAY(Settings!$BC$14),0)),"Inactive")))</f>
        <v>1613</v>
      </c>
      <c r="L41" s="320"/>
      <c r="M41" s="168">
        <f t="shared" ref="M41:M72" si="239">IF(J41="","",VALUE(J41))</f>
        <v>6.1340000000000003</v>
      </c>
      <c r="N41" s="632">
        <f t="shared" ref="N41:N72" si="240">IF(M41="","",B41)</f>
        <v>-3.2417098224175094</v>
      </c>
      <c r="O41" s="629">
        <f t="shared" ref="O41:O72" si="241">IF(M41="","",C41)</f>
        <v>1.7659478691956696</v>
      </c>
      <c r="P41" s="633">
        <f t="shared" ref="P41:P72" si="242">IF(M41="","",D41)</f>
        <v>-2.1863065939006874</v>
      </c>
      <c r="Q41" s="585">
        <f t="shared" si="113"/>
        <v>151.42030037246255</v>
      </c>
      <c r="R41" s="629">
        <f t="shared" si="79"/>
        <v>3.6915111335975794</v>
      </c>
      <c r="S41" s="634">
        <f t="shared" si="80"/>
        <v>-2.1863065939006874</v>
      </c>
      <c r="T41" s="635">
        <f t="shared" si="81"/>
        <v>1.7207994111787575</v>
      </c>
      <c r="U41" s="629">
        <f t="shared" si="82"/>
        <v>3.2659001570718185</v>
      </c>
      <c r="V41" s="636">
        <f t="shared" si="114"/>
        <v>-2.1863065939006874</v>
      </c>
      <c r="W41" s="585">
        <f t="shared" si="224"/>
        <v>62.215300257678763</v>
      </c>
      <c r="X41" s="629">
        <f t="shared" si="83"/>
        <v>3.6915111335975794</v>
      </c>
      <c r="Y41" s="630">
        <f t="shared" si="223"/>
        <v>-2.1863065939006874</v>
      </c>
      <c r="Z41" s="632">
        <f t="shared" ref="Z41:Z72" si="243">IF(M41="","",-E41)</f>
        <v>0.85974538083770913</v>
      </c>
      <c r="AA41" s="629">
        <f t="shared" ref="AA41:AA72" si="244">IF(M41="","",-F41)</f>
        <v>0.50603883515138715</v>
      </c>
      <c r="AB41" s="629">
        <f t="shared" ref="AB41:AB72" si="245">IF(M41="","",-G41)</f>
        <v>-6.9011429827601611E-2</v>
      </c>
      <c r="AC41" s="636">
        <f t="shared" si="84"/>
        <v>1</v>
      </c>
      <c r="AD41" s="637">
        <f t="shared" si="115"/>
        <v>0.85974538083770913</v>
      </c>
      <c r="AE41" s="629">
        <f t="shared" si="85"/>
        <v>0.50603883515138715</v>
      </c>
      <c r="AF41" s="633">
        <f t="shared" si="86"/>
        <v>-6.9011429827601611E-2</v>
      </c>
      <c r="AG41" s="602">
        <f t="shared" si="87"/>
        <v>82.234152131088933</v>
      </c>
      <c r="AH41" s="603">
        <f t="shared" si="88"/>
        <v>30.711993722382495</v>
      </c>
      <c r="AI41" s="585">
        <f t="shared" si="89"/>
        <v>-86.042790998012137</v>
      </c>
      <c r="AJ41" s="586">
        <f t="shared" si="90"/>
        <v>120.48070568452874</v>
      </c>
      <c r="AK41" s="635">
        <f t="shared" si="211"/>
        <v>0.85566492188737242</v>
      </c>
      <c r="AL41" s="629">
        <f t="shared" si="91"/>
        <v>-0.51290833879420117</v>
      </c>
      <c r="AM41" s="634">
        <f t="shared" si="92"/>
        <v>-6.9011429827601611E-2</v>
      </c>
      <c r="AN41" s="581">
        <f t="shared" si="93"/>
        <v>-82.336917833034406</v>
      </c>
      <c r="AO41" s="582">
        <f t="shared" si="94"/>
        <v>31.166729704874783</v>
      </c>
      <c r="AP41" s="585">
        <f t="shared" si="95"/>
        <v>-30.939594687933788</v>
      </c>
      <c r="AQ41" s="586">
        <f t="shared" ref="AQ41:AQ72" si="246">IF(M41="","",DEGREES(ATAN(($AS$5*SIN(RADIANS(90)))/(($X41*2*PI())-($AS$5*COS(RADIANS(90)))))))</f>
        <v>0.61753527846629841</v>
      </c>
      <c r="AS41" s="52">
        <f t="shared" si="116"/>
        <v>-297.78469974232121</v>
      </c>
      <c r="AT41" s="72">
        <f t="shared" ref="AT41:AT72" si="247">IF(M41="","",Y41+(((AS41-$AS$9)*$AS$6)*-1))</f>
        <v>-1.9789595802704532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6.1340000000000003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/>
      <c r="C42" s="708"/>
      <c r="D42" s="709"/>
      <c r="E42" s="710"/>
      <c r="F42" s="708"/>
      <c r="G42" s="711"/>
      <c r="H42" s="710"/>
      <c r="I42" s="708"/>
      <c r="J42" s="570"/>
      <c r="K42" s="865" t="str">
        <f>IF($J42="","",IF(IFERROR(INDEX(Settings!$AK$14:$AK$36,MATCH((((ROUND($H42,6)*2)*1000000)+ROUND($I42,6)),Settings!$AI$14:$AI$36,0)),"Undefined")="Undefined","Undefined",IFERROR(INDEX(_xlfn.ANCHORARRAY(Settings!$BC$14),MATCH(IFERROR(INDEX(Settings!$AK$14:$AK$36,MATCH((((ROUND($H42,6)*2)*1000000)+ROUND($I42,6)),Settings!$AI$14:$AI$36,0)),"Undefined"),_xlfn.ANCHORARRAY(Settings!$BC$14),0)),"Inactive")))</f>
        <v/>
      </c>
      <c r="L42" s="320"/>
      <c r="M42" s="168" t="str">
        <f t="shared" si="239"/>
        <v/>
      </c>
      <c r="N42" s="632" t="str">
        <f t="shared" si="240"/>
        <v/>
      </c>
      <c r="O42" s="629" t="str">
        <f t="shared" si="241"/>
        <v/>
      </c>
      <c r="P42" s="633" t="str">
        <f t="shared" si="242"/>
        <v/>
      </c>
      <c r="Q42" s="585" t="str">
        <f t="shared" si="113"/>
        <v/>
      </c>
      <c r="R42" s="629" t="str">
        <f t="shared" ref="R42:R47" si="385">IF(M42="","",SQRT(N42^2+O42^2))</f>
        <v/>
      </c>
      <c r="S42" s="634" t="str">
        <f t="shared" ref="S42:S47" si="386">IF(M42="","",P42)</f>
        <v/>
      </c>
      <c r="T42" s="635" t="str">
        <f t="shared" ref="T42:T47" si="387">IF(M42="","",X42*COS(RADIANS(W42)))</f>
        <v/>
      </c>
      <c r="U42" s="629" t="str">
        <f t="shared" ref="U42:U47" si="388">IF(M42="","",X42*SIN(RADIANS(W42)))</f>
        <v/>
      </c>
      <c r="V42" s="636" t="str">
        <f t="shared" ref="V42:V47" si="389">IF(M42="","",Y42)</f>
        <v/>
      </c>
      <c r="W42" s="585" t="str">
        <f t="shared" si="224"/>
        <v/>
      </c>
      <c r="X42" s="629" t="str">
        <f t="shared" ref="X42:X47" si="390">IF(M42="","",R42)</f>
        <v/>
      </c>
      <c r="Y42" s="630" t="str">
        <f t="shared" si="223"/>
        <v/>
      </c>
      <c r="Z42" s="632" t="str">
        <f t="shared" si="243"/>
        <v/>
      </c>
      <c r="AA42" s="629" t="str">
        <f t="shared" si="244"/>
        <v/>
      </c>
      <c r="AB42" s="629" t="str">
        <f t="shared" si="245"/>
        <v/>
      </c>
      <c r="AC42" s="636" t="str">
        <f t="shared" ref="AC42:AC47" si="391">IF(M42="","",SQRT(Z42^2+AA42^2+AB42^2))</f>
        <v/>
      </c>
      <c r="AD42" s="637" t="str">
        <f t="shared" ref="AD42:AD47" si="392">IF(M42="","",Z42*(1/SQRT(Z42^2+AA42^2+AB42^2)))</f>
        <v/>
      </c>
      <c r="AE42" s="629" t="str">
        <f t="shared" ref="AE42:AE47" si="393">IF(M42="","",AA42*(1/SQRT(Z42^2+AA42^2+AB42^2)))</f>
        <v/>
      </c>
      <c r="AF42" s="633" t="str">
        <f t="shared" ref="AF42:AF47" si="394">IF(M42="","",AB42*(1/SQRT(Z42^2+AA42^2+AB42^2)))</f>
        <v/>
      </c>
      <c r="AG42" s="602" t="str">
        <f t="shared" ref="AG42:AG47" si="395">IF(M42="","",DEGREES(ATAN2(-AF42,AE42)))</f>
        <v/>
      </c>
      <c r="AH42" s="603" t="str">
        <f t="shared" ref="AH42:AH47" si="396">IF(M42="","",DEGREES(ACOS(AD42)))</f>
        <v/>
      </c>
      <c r="AI42" s="585" t="str">
        <f t="shared" ref="AI42:AI47" si="397">IF(M42="","",DEGREES(-ACOS(-AF42)))</f>
        <v/>
      </c>
      <c r="AJ42" s="586" t="str">
        <f t="shared" ref="AJ42:AJ47" si="398">IF(M42="","",DEGREES(ATAN2(-AE42,AD42)))</f>
        <v/>
      </c>
      <c r="AK42" s="635" t="str">
        <f t="shared" ref="AK42:AK47" si="399">IF(M42="","",(COS(RADIANS((90-$Q$8)-W42))*AD42)+(-SIN(RADIANS((90-$Q$8)-W42))*AE42))</f>
        <v/>
      </c>
      <c r="AL42" s="629" t="str">
        <f t="shared" ref="AL42:AL47" si="400">IF(M42="","",(SIN(RADIANS((90-$Q$8)-W42))*AD42)+(COS(RADIANS((90-$Q$8)-W42))*AE42))</f>
        <v/>
      </c>
      <c r="AM42" s="634" t="str">
        <f t="shared" ref="AM42:AM47" si="401">IF(M42="","",AF42)</f>
        <v/>
      </c>
      <c r="AN42" s="581" t="str">
        <f t="shared" ref="AN42:AN47" si="402">IF(M42="","",DEGREES(ATAN2(-AM42,AL42)))</f>
        <v/>
      </c>
      <c r="AO42" s="582" t="str">
        <f t="shared" si="94"/>
        <v/>
      </c>
      <c r="AP42" s="585" t="str">
        <f t="shared" ref="AP42:AP47" si="403">IF(M42="","",DEGREES(ATAN2(AK42,AL42)))</f>
        <v/>
      </c>
      <c r="AQ42" s="586" t="str">
        <f t="shared" si="246"/>
        <v/>
      </c>
      <c r="AS42" s="52" t="str">
        <f t="shared" si="116"/>
        <v/>
      </c>
      <c r="AT42" s="72" t="str">
        <f t="shared" si="247"/>
        <v/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210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112"/>
        <v/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/>
      <c r="C43" s="708"/>
      <c r="D43" s="709"/>
      <c r="E43" s="710"/>
      <c r="F43" s="708"/>
      <c r="G43" s="711"/>
      <c r="H43" s="710"/>
      <c r="I43" s="708"/>
      <c r="J43" s="570"/>
      <c r="K43" s="865" t="str">
        <f>IF($J43="","",IF(IFERROR(INDEX(Settings!$AK$14:$AK$36,MATCH((((ROUND($H43,6)*2)*1000000)+ROUND($I43,6)),Settings!$AI$14:$AI$36,0)),"Undefined")="Undefined","Undefined",IFERROR(INDEX(_xlfn.ANCHORARRAY(Settings!$BC$14),MATCH(IFERROR(INDEX(Settings!$AK$14:$AK$36,MATCH((((ROUND($H43,6)*2)*1000000)+ROUND($I43,6)),Settings!$AI$14:$AI$36,0)),"Undefined"),_xlfn.ANCHORARRAY(Settings!$BC$14),0)),"Inactive")))</f>
        <v/>
      </c>
      <c r="L43" s="320"/>
      <c r="M43" s="168" t="str">
        <f t="shared" si="239"/>
        <v/>
      </c>
      <c r="N43" s="632" t="str">
        <f t="shared" si="240"/>
        <v/>
      </c>
      <c r="O43" s="629" t="str">
        <f t="shared" si="241"/>
        <v/>
      </c>
      <c r="P43" s="633" t="str">
        <f t="shared" si="242"/>
        <v/>
      </c>
      <c r="Q43" s="585" t="str">
        <f t="shared" si="113"/>
        <v/>
      </c>
      <c r="R43" s="629" t="str">
        <f t="shared" si="385"/>
        <v/>
      </c>
      <c r="S43" s="634" t="str">
        <f t="shared" si="386"/>
        <v/>
      </c>
      <c r="T43" s="635" t="str">
        <f t="shared" si="387"/>
        <v/>
      </c>
      <c r="U43" s="629" t="str">
        <f t="shared" si="388"/>
        <v/>
      </c>
      <c r="V43" s="636" t="str">
        <f t="shared" si="389"/>
        <v/>
      </c>
      <c r="W43" s="585" t="str">
        <f t="shared" si="224"/>
        <v/>
      </c>
      <c r="X43" s="629" t="str">
        <f t="shared" si="390"/>
        <v/>
      </c>
      <c r="Y43" s="630" t="str">
        <f t="shared" si="223"/>
        <v/>
      </c>
      <c r="Z43" s="632" t="str">
        <f t="shared" si="243"/>
        <v/>
      </c>
      <c r="AA43" s="629" t="str">
        <f t="shared" si="244"/>
        <v/>
      </c>
      <c r="AB43" s="629" t="str">
        <f t="shared" si="245"/>
        <v/>
      </c>
      <c r="AC43" s="636" t="str">
        <f t="shared" si="391"/>
        <v/>
      </c>
      <c r="AD43" s="637" t="str">
        <f t="shared" si="392"/>
        <v/>
      </c>
      <c r="AE43" s="629" t="str">
        <f t="shared" si="393"/>
        <v/>
      </c>
      <c r="AF43" s="633" t="str">
        <f t="shared" si="394"/>
        <v/>
      </c>
      <c r="AG43" s="602" t="str">
        <f t="shared" si="395"/>
        <v/>
      </c>
      <c r="AH43" s="603" t="str">
        <f t="shared" si="396"/>
        <v/>
      </c>
      <c r="AI43" s="585" t="str">
        <f t="shared" si="397"/>
        <v/>
      </c>
      <c r="AJ43" s="586" t="str">
        <f t="shared" si="398"/>
        <v/>
      </c>
      <c r="AK43" s="635" t="str">
        <f t="shared" si="399"/>
        <v/>
      </c>
      <c r="AL43" s="629" t="str">
        <f t="shared" si="400"/>
        <v/>
      </c>
      <c r="AM43" s="634" t="str">
        <f t="shared" si="401"/>
        <v/>
      </c>
      <c r="AN43" s="581" t="str">
        <f t="shared" si="402"/>
        <v/>
      </c>
      <c r="AO43" s="582" t="str">
        <f t="shared" si="94"/>
        <v/>
      </c>
      <c r="AP43" s="585" t="str">
        <f t="shared" si="403"/>
        <v/>
      </c>
      <c r="AQ43" s="586" t="str">
        <f t="shared" si="246"/>
        <v/>
      </c>
      <c r="AS43" s="52" t="str">
        <f t="shared" ref="AS43:AS74" si="406">IF(G43="","",IF(AND(W43&lt;(AS42+180),W43&gt;(AS42-180)),W43,IF(W43&gt;(AS42+180),W43-360,IF(W43&lt;(AS42-180),W43+360,"Error"))))</f>
        <v/>
      </c>
      <c r="AT43" s="72" t="str">
        <f t="shared" si="247"/>
        <v/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210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112"/>
        <v/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/>
      <c r="C44" s="708"/>
      <c r="D44" s="709"/>
      <c r="E44" s="710"/>
      <c r="F44" s="708"/>
      <c r="G44" s="711"/>
      <c r="H44" s="710"/>
      <c r="I44" s="708"/>
      <c r="J44" s="570"/>
      <c r="K44" s="865" t="str">
        <f>IF($J44="","",IF(IFERROR(INDEX(Settings!$AK$14:$AK$36,MATCH((((ROUND($H44,6)*2)*1000000)+ROUND($I44,6)),Settings!$AI$14:$AI$36,0)),"Undefined")="Undefined","Undefined",IFERROR(INDEX(_xlfn.ANCHORARRAY(Settings!$BC$14),MATCH(IFERROR(INDEX(Settings!$AK$14:$AK$36,MATCH((((ROUND($H44,6)*2)*1000000)+ROUND($I44,6)),Settings!$AI$14:$AI$36,0)),"Undefined"),_xlfn.ANCHORARRAY(Settings!$BC$14),0)),"Inactive")))</f>
        <v/>
      </c>
      <c r="L44" s="320"/>
      <c r="M44" s="168" t="str">
        <f t="shared" si="239"/>
        <v/>
      </c>
      <c r="N44" s="632" t="str">
        <f t="shared" si="240"/>
        <v/>
      </c>
      <c r="O44" s="629" t="str">
        <f t="shared" si="241"/>
        <v/>
      </c>
      <c r="P44" s="633" t="str">
        <f t="shared" si="242"/>
        <v/>
      </c>
      <c r="Q44" s="585" t="str">
        <f t="shared" si="113"/>
        <v/>
      </c>
      <c r="R44" s="629" t="str">
        <f t="shared" si="385"/>
        <v/>
      </c>
      <c r="S44" s="634" t="str">
        <f t="shared" si="386"/>
        <v/>
      </c>
      <c r="T44" s="635" t="str">
        <f t="shared" si="387"/>
        <v/>
      </c>
      <c r="U44" s="629" t="str">
        <f t="shared" si="388"/>
        <v/>
      </c>
      <c r="V44" s="636" t="str">
        <f t="shared" si="389"/>
        <v/>
      </c>
      <c r="W44" s="585" t="str">
        <f t="shared" si="224"/>
        <v/>
      </c>
      <c r="X44" s="629" t="str">
        <f t="shared" si="390"/>
        <v/>
      </c>
      <c r="Y44" s="630" t="str">
        <f t="shared" si="223"/>
        <v/>
      </c>
      <c r="Z44" s="632" t="str">
        <f t="shared" si="243"/>
        <v/>
      </c>
      <c r="AA44" s="629" t="str">
        <f t="shared" si="244"/>
        <v/>
      </c>
      <c r="AB44" s="629" t="str">
        <f t="shared" si="245"/>
        <v/>
      </c>
      <c r="AC44" s="636" t="str">
        <f t="shared" si="391"/>
        <v/>
      </c>
      <c r="AD44" s="637" t="str">
        <f t="shared" si="392"/>
        <v/>
      </c>
      <c r="AE44" s="629" t="str">
        <f t="shared" si="393"/>
        <v/>
      </c>
      <c r="AF44" s="633" t="str">
        <f t="shared" si="394"/>
        <v/>
      </c>
      <c r="AG44" s="602" t="str">
        <f t="shared" si="395"/>
        <v/>
      </c>
      <c r="AH44" s="603" t="str">
        <f t="shared" si="396"/>
        <v/>
      </c>
      <c r="AI44" s="585" t="str">
        <f t="shared" si="397"/>
        <v/>
      </c>
      <c r="AJ44" s="586" t="str">
        <f t="shared" si="398"/>
        <v/>
      </c>
      <c r="AK44" s="635" t="str">
        <f t="shared" si="399"/>
        <v/>
      </c>
      <c r="AL44" s="629" t="str">
        <f t="shared" si="400"/>
        <v/>
      </c>
      <c r="AM44" s="634" t="str">
        <f t="shared" si="401"/>
        <v/>
      </c>
      <c r="AN44" s="581" t="str">
        <f t="shared" si="402"/>
        <v/>
      </c>
      <c r="AO44" s="582" t="str">
        <f t="shared" si="94"/>
        <v/>
      </c>
      <c r="AP44" s="585" t="str">
        <f t="shared" si="403"/>
        <v/>
      </c>
      <c r="AQ44" s="586" t="str">
        <f t="shared" si="246"/>
        <v/>
      </c>
      <c r="AS44" s="52" t="str">
        <f t="shared" si="406"/>
        <v/>
      </c>
      <c r="AT44" s="72" t="str">
        <f t="shared" si="247"/>
        <v/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210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112"/>
        <v/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/>
      <c r="C45" s="708"/>
      <c r="D45" s="709"/>
      <c r="E45" s="710"/>
      <c r="F45" s="708"/>
      <c r="G45" s="711"/>
      <c r="H45" s="710"/>
      <c r="I45" s="708"/>
      <c r="J45" s="570"/>
      <c r="K45" s="865" t="str">
        <f>IF($J45="","",IF(IFERROR(INDEX(Settings!$AK$14:$AK$36,MATCH((((ROUND($H45,6)*2)*1000000)+ROUND($I45,6)),Settings!$AI$14:$AI$36,0)),"Undefined")="Undefined","Undefined",IFERROR(INDEX(_xlfn.ANCHORARRAY(Settings!$BC$14),MATCH(IFERROR(INDEX(Settings!$AK$14:$AK$36,MATCH((((ROUND($H45,6)*2)*1000000)+ROUND($I45,6)),Settings!$AI$14:$AI$36,0)),"Undefined"),_xlfn.ANCHORARRAY(Settings!$BC$14),0)),"Inactive")))</f>
        <v/>
      </c>
      <c r="L45" s="320"/>
      <c r="M45" s="168" t="str">
        <f t="shared" si="239"/>
        <v/>
      </c>
      <c r="N45" s="632" t="str">
        <f t="shared" si="240"/>
        <v/>
      </c>
      <c r="O45" s="629" t="str">
        <f t="shared" si="241"/>
        <v/>
      </c>
      <c r="P45" s="633" t="str">
        <f t="shared" si="242"/>
        <v/>
      </c>
      <c r="Q45" s="585" t="str">
        <f t="shared" si="113"/>
        <v/>
      </c>
      <c r="R45" s="629" t="str">
        <f t="shared" si="385"/>
        <v/>
      </c>
      <c r="S45" s="634" t="str">
        <f t="shared" si="386"/>
        <v/>
      </c>
      <c r="T45" s="635" t="str">
        <f t="shared" si="387"/>
        <v/>
      </c>
      <c r="U45" s="629" t="str">
        <f t="shared" si="388"/>
        <v/>
      </c>
      <c r="V45" s="636" t="str">
        <f t="shared" si="389"/>
        <v/>
      </c>
      <c r="W45" s="585" t="str">
        <f t="shared" si="224"/>
        <v/>
      </c>
      <c r="X45" s="629" t="str">
        <f t="shared" si="390"/>
        <v/>
      </c>
      <c r="Y45" s="630" t="str">
        <f t="shared" si="223"/>
        <v/>
      </c>
      <c r="Z45" s="632" t="str">
        <f t="shared" si="243"/>
        <v/>
      </c>
      <c r="AA45" s="629" t="str">
        <f t="shared" si="244"/>
        <v/>
      </c>
      <c r="AB45" s="629" t="str">
        <f t="shared" si="245"/>
        <v/>
      </c>
      <c r="AC45" s="636" t="str">
        <f t="shared" si="391"/>
        <v/>
      </c>
      <c r="AD45" s="637" t="str">
        <f t="shared" si="392"/>
        <v/>
      </c>
      <c r="AE45" s="629" t="str">
        <f t="shared" si="393"/>
        <v/>
      </c>
      <c r="AF45" s="633" t="str">
        <f t="shared" si="394"/>
        <v/>
      </c>
      <c r="AG45" s="602" t="str">
        <f t="shared" si="395"/>
        <v/>
      </c>
      <c r="AH45" s="603" t="str">
        <f t="shared" si="396"/>
        <v/>
      </c>
      <c r="AI45" s="585" t="str">
        <f t="shared" si="397"/>
        <v/>
      </c>
      <c r="AJ45" s="586" t="str">
        <f t="shared" si="398"/>
        <v/>
      </c>
      <c r="AK45" s="635" t="str">
        <f t="shared" si="399"/>
        <v/>
      </c>
      <c r="AL45" s="629" t="str">
        <f t="shared" si="400"/>
        <v/>
      </c>
      <c r="AM45" s="634" t="str">
        <f t="shared" si="401"/>
        <v/>
      </c>
      <c r="AN45" s="581" t="str">
        <f t="shared" si="402"/>
        <v/>
      </c>
      <c r="AO45" s="582" t="str">
        <f t="shared" si="94"/>
        <v/>
      </c>
      <c r="AP45" s="585" t="str">
        <f t="shared" si="403"/>
        <v/>
      </c>
      <c r="AQ45" s="586" t="str">
        <f t="shared" si="246"/>
        <v/>
      </c>
      <c r="AS45" s="52" t="str">
        <f t="shared" si="406"/>
        <v/>
      </c>
      <c r="AT45" s="72" t="str">
        <f t="shared" si="247"/>
        <v/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210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112"/>
        <v/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/>
      <c r="C46" s="708"/>
      <c r="D46" s="709"/>
      <c r="E46" s="710"/>
      <c r="F46" s="708"/>
      <c r="G46" s="711"/>
      <c r="H46" s="710"/>
      <c r="I46" s="708"/>
      <c r="J46" s="570"/>
      <c r="K46" s="865" t="str">
        <f>IF($J46="","",IF(IFERROR(INDEX(Settings!$AK$14:$AK$36,MATCH((((ROUND($H46,6)*2)*1000000)+ROUND($I46,6)),Settings!$AI$14:$AI$36,0)),"Undefined")="Undefined","Undefined",IFERROR(INDEX(_xlfn.ANCHORARRAY(Settings!$BC$14),MATCH(IFERROR(INDEX(Settings!$AK$14:$AK$36,MATCH((((ROUND($H46,6)*2)*1000000)+ROUND($I46,6)),Settings!$AI$14:$AI$36,0)),"Undefined"),_xlfn.ANCHORARRAY(Settings!$BC$14),0)),"Inactive")))</f>
        <v/>
      </c>
      <c r="L46" s="320"/>
      <c r="M46" s="168" t="str">
        <f t="shared" si="239"/>
        <v/>
      </c>
      <c r="N46" s="632" t="str">
        <f t="shared" si="240"/>
        <v/>
      </c>
      <c r="O46" s="629" t="str">
        <f t="shared" si="241"/>
        <v/>
      </c>
      <c r="P46" s="633" t="str">
        <f t="shared" si="242"/>
        <v/>
      </c>
      <c r="Q46" s="585" t="str">
        <f t="shared" si="113"/>
        <v/>
      </c>
      <c r="R46" s="629" t="str">
        <f t="shared" si="385"/>
        <v/>
      </c>
      <c r="S46" s="634" t="str">
        <f t="shared" si="386"/>
        <v/>
      </c>
      <c r="T46" s="635" t="str">
        <f t="shared" si="387"/>
        <v/>
      </c>
      <c r="U46" s="629" t="str">
        <f t="shared" si="388"/>
        <v/>
      </c>
      <c r="V46" s="636" t="str">
        <f t="shared" si="389"/>
        <v/>
      </c>
      <c r="W46" s="585" t="str">
        <f t="shared" si="224"/>
        <v/>
      </c>
      <c r="X46" s="629" t="str">
        <f t="shared" si="390"/>
        <v/>
      </c>
      <c r="Y46" s="630" t="str">
        <f t="shared" si="223"/>
        <v/>
      </c>
      <c r="Z46" s="632" t="str">
        <f t="shared" si="243"/>
        <v/>
      </c>
      <c r="AA46" s="629" t="str">
        <f t="shared" si="244"/>
        <v/>
      </c>
      <c r="AB46" s="629" t="str">
        <f t="shared" si="245"/>
        <v/>
      </c>
      <c r="AC46" s="636" t="str">
        <f t="shared" si="391"/>
        <v/>
      </c>
      <c r="AD46" s="637" t="str">
        <f t="shared" si="392"/>
        <v/>
      </c>
      <c r="AE46" s="629" t="str">
        <f t="shared" si="393"/>
        <v/>
      </c>
      <c r="AF46" s="633" t="str">
        <f t="shared" si="394"/>
        <v/>
      </c>
      <c r="AG46" s="602" t="str">
        <f t="shared" si="395"/>
        <v/>
      </c>
      <c r="AH46" s="603" t="str">
        <f t="shared" si="396"/>
        <v/>
      </c>
      <c r="AI46" s="585" t="str">
        <f t="shared" si="397"/>
        <v/>
      </c>
      <c r="AJ46" s="586" t="str">
        <f t="shared" si="398"/>
        <v/>
      </c>
      <c r="AK46" s="635" t="str">
        <f t="shared" si="399"/>
        <v/>
      </c>
      <c r="AL46" s="629" t="str">
        <f t="shared" si="400"/>
        <v/>
      </c>
      <c r="AM46" s="634" t="str">
        <f t="shared" si="401"/>
        <v/>
      </c>
      <c r="AN46" s="581" t="str">
        <f t="shared" si="402"/>
        <v/>
      </c>
      <c r="AO46" s="582" t="str">
        <f t="shared" si="94"/>
        <v/>
      </c>
      <c r="AP46" s="585" t="str">
        <f t="shared" si="403"/>
        <v/>
      </c>
      <c r="AQ46" s="586" t="str">
        <f t="shared" si="246"/>
        <v/>
      </c>
      <c r="AS46" s="52" t="str">
        <f t="shared" si="406"/>
        <v/>
      </c>
      <c r="AT46" s="72" t="str">
        <f t="shared" si="247"/>
        <v/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210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112"/>
        <v/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/>
      <c r="C47" s="708"/>
      <c r="D47" s="709"/>
      <c r="E47" s="710"/>
      <c r="F47" s="708"/>
      <c r="G47" s="711"/>
      <c r="H47" s="710"/>
      <c r="I47" s="708"/>
      <c r="J47" s="570"/>
      <c r="K47" s="865" t="str">
        <f>IF($J47="","",IF(IFERROR(INDEX(Settings!$AK$14:$AK$36,MATCH((((ROUND($H47,6)*2)*1000000)+ROUND($I47,6)),Settings!$AI$14:$AI$36,0)),"Undefined")="Undefined","Undefined",IFERROR(INDEX(_xlfn.ANCHORARRAY(Settings!$BC$14),MATCH(IFERROR(INDEX(Settings!$AK$14:$AK$36,MATCH((((ROUND($H47,6)*2)*1000000)+ROUND($I47,6)),Settings!$AI$14:$AI$36,0)),"Undefined"),_xlfn.ANCHORARRAY(Settings!$BC$14),0)),"Inactive")))</f>
        <v/>
      </c>
      <c r="L47" s="320"/>
      <c r="M47" s="168" t="str">
        <f t="shared" si="239"/>
        <v/>
      </c>
      <c r="N47" s="632" t="str">
        <f t="shared" si="240"/>
        <v/>
      </c>
      <c r="O47" s="629" t="str">
        <f t="shared" si="241"/>
        <v/>
      </c>
      <c r="P47" s="633" t="str">
        <f t="shared" si="242"/>
        <v/>
      </c>
      <c r="Q47" s="585" t="str">
        <f t="shared" si="113"/>
        <v/>
      </c>
      <c r="R47" s="629" t="str">
        <f t="shared" si="385"/>
        <v/>
      </c>
      <c r="S47" s="634" t="str">
        <f t="shared" si="386"/>
        <v/>
      </c>
      <c r="T47" s="635" t="str">
        <f t="shared" si="387"/>
        <v/>
      </c>
      <c r="U47" s="629" t="str">
        <f t="shared" si="388"/>
        <v/>
      </c>
      <c r="V47" s="636" t="str">
        <f t="shared" si="389"/>
        <v/>
      </c>
      <c r="W47" s="585" t="str">
        <f t="shared" si="224"/>
        <v/>
      </c>
      <c r="X47" s="629" t="str">
        <f t="shared" si="390"/>
        <v/>
      </c>
      <c r="Y47" s="630" t="str">
        <f t="shared" si="223"/>
        <v/>
      </c>
      <c r="Z47" s="632" t="str">
        <f t="shared" si="243"/>
        <v/>
      </c>
      <c r="AA47" s="629" t="str">
        <f t="shared" si="244"/>
        <v/>
      </c>
      <c r="AB47" s="629" t="str">
        <f t="shared" si="245"/>
        <v/>
      </c>
      <c r="AC47" s="636" t="str">
        <f t="shared" si="391"/>
        <v/>
      </c>
      <c r="AD47" s="637" t="str">
        <f t="shared" si="392"/>
        <v/>
      </c>
      <c r="AE47" s="629" t="str">
        <f t="shared" si="393"/>
        <v/>
      </c>
      <c r="AF47" s="633" t="str">
        <f t="shared" si="394"/>
        <v/>
      </c>
      <c r="AG47" s="602" t="str">
        <f t="shared" si="395"/>
        <v/>
      </c>
      <c r="AH47" s="603" t="str">
        <f t="shared" si="396"/>
        <v/>
      </c>
      <c r="AI47" s="585" t="str">
        <f t="shared" si="397"/>
        <v/>
      </c>
      <c r="AJ47" s="586" t="str">
        <f t="shared" si="398"/>
        <v/>
      </c>
      <c r="AK47" s="635" t="str">
        <f t="shared" si="399"/>
        <v/>
      </c>
      <c r="AL47" s="629" t="str">
        <f t="shared" si="400"/>
        <v/>
      </c>
      <c r="AM47" s="634" t="str">
        <f t="shared" si="401"/>
        <v/>
      </c>
      <c r="AN47" s="581" t="str">
        <f t="shared" si="402"/>
        <v/>
      </c>
      <c r="AO47" s="582" t="str">
        <f t="shared" si="94"/>
        <v/>
      </c>
      <c r="AP47" s="585" t="str">
        <f t="shared" si="403"/>
        <v/>
      </c>
      <c r="AQ47" s="586" t="str">
        <f t="shared" si="246"/>
        <v/>
      </c>
      <c r="AS47" s="52" t="str">
        <f t="shared" si="406"/>
        <v/>
      </c>
      <c r="AT47" s="72" t="str">
        <f t="shared" si="247"/>
        <v/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210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112"/>
        <v/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/>
      <c r="C48" s="708"/>
      <c r="D48" s="709"/>
      <c r="E48" s="710"/>
      <c r="F48" s="708"/>
      <c r="G48" s="711"/>
      <c r="H48" s="710"/>
      <c r="I48" s="708"/>
      <c r="J48" s="570"/>
      <c r="K48" s="865" t="str">
        <f>IF($J48="","",IF(IFERROR(INDEX(Settings!$AK$14:$AK$36,MATCH((((ROUND($H48,6)*2)*1000000)+ROUND($I48,6)),Settings!$AI$14:$AI$36,0)),"Undefined")="Undefined","Undefined",IFERROR(INDEX(_xlfn.ANCHORARRAY(Settings!$BC$14),MATCH(IFERROR(INDEX(Settings!$AK$14:$AK$36,MATCH((((ROUND($H48,6)*2)*1000000)+ROUND($I48,6)),Settings!$AI$14:$AI$36,0)),"Undefined"),_xlfn.ANCHORARRAY(Settings!$BC$14),0)),"Inactive")))</f>
        <v/>
      </c>
      <c r="L48" s="320"/>
      <c r="M48" s="168" t="str">
        <f t="shared" si="239"/>
        <v/>
      </c>
      <c r="N48" s="632" t="str">
        <f t="shared" si="240"/>
        <v/>
      </c>
      <c r="O48" s="629" t="str">
        <f t="shared" si="241"/>
        <v/>
      </c>
      <c r="P48" s="633" t="str">
        <f t="shared" si="242"/>
        <v/>
      </c>
      <c r="Q48" s="585" t="str">
        <f t="shared" si="113"/>
        <v/>
      </c>
      <c r="R48" s="629" t="str">
        <f t="shared" si="79"/>
        <v/>
      </c>
      <c r="S48" s="634" t="str">
        <f t="shared" si="80"/>
        <v/>
      </c>
      <c r="T48" s="635" t="str">
        <f t="shared" si="81"/>
        <v/>
      </c>
      <c r="U48" s="629" t="str">
        <f t="shared" si="82"/>
        <v/>
      </c>
      <c r="V48" s="636" t="str">
        <f t="shared" si="114"/>
        <v/>
      </c>
      <c r="W48" s="585" t="str">
        <f t="shared" si="224"/>
        <v/>
      </c>
      <c r="X48" s="629" t="str">
        <f t="shared" si="83"/>
        <v/>
      </c>
      <c r="Y48" s="630" t="str">
        <f t="shared" si="223"/>
        <v/>
      </c>
      <c r="Z48" s="632" t="str">
        <f t="shared" si="243"/>
        <v/>
      </c>
      <c r="AA48" s="629" t="str">
        <f t="shared" si="244"/>
        <v/>
      </c>
      <c r="AB48" s="629" t="str">
        <f t="shared" si="245"/>
        <v/>
      </c>
      <c r="AC48" s="636" t="str">
        <f t="shared" si="84"/>
        <v/>
      </c>
      <c r="AD48" s="637" t="str">
        <f t="shared" si="115"/>
        <v/>
      </c>
      <c r="AE48" s="629" t="str">
        <f t="shared" si="85"/>
        <v/>
      </c>
      <c r="AF48" s="633" t="str">
        <f t="shared" si="86"/>
        <v/>
      </c>
      <c r="AG48" s="602" t="str">
        <f t="shared" si="87"/>
        <v/>
      </c>
      <c r="AH48" s="603" t="str">
        <f t="shared" si="88"/>
        <v/>
      </c>
      <c r="AI48" s="585" t="str">
        <f t="shared" si="89"/>
        <v/>
      </c>
      <c r="AJ48" s="586" t="str">
        <f t="shared" si="90"/>
        <v/>
      </c>
      <c r="AK48" s="635" t="str">
        <f t="shared" si="211"/>
        <v/>
      </c>
      <c r="AL48" s="629" t="str">
        <f t="shared" si="91"/>
        <v/>
      </c>
      <c r="AM48" s="634" t="str">
        <f t="shared" si="92"/>
        <v/>
      </c>
      <c r="AN48" s="581" t="str">
        <f t="shared" si="93"/>
        <v/>
      </c>
      <c r="AO48" s="582" t="str">
        <f t="shared" si="94"/>
        <v/>
      </c>
      <c r="AP48" s="585" t="str">
        <f t="shared" si="95"/>
        <v/>
      </c>
      <c r="AQ48" s="586" t="str">
        <f t="shared" si="246"/>
        <v/>
      </c>
      <c r="AS48" s="52" t="str">
        <f t="shared" si="406"/>
        <v/>
      </c>
      <c r="AT48" s="72" t="str">
        <f t="shared" si="247"/>
        <v/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210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112"/>
        <v/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/>
      <c r="C49" s="708"/>
      <c r="D49" s="709"/>
      <c r="E49" s="710"/>
      <c r="F49" s="708"/>
      <c r="G49" s="711"/>
      <c r="H49" s="710"/>
      <c r="I49" s="708"/>
      <c r="J49" s="570"/>
      <c r="K49" s="865" t="str">
        <f>IF($J49="","",IF(IFERROR(INDEX(Settings!$AK$14:$AK$36,MATCH((((ROUND($H49,6)*2)*1000000)+ROUND($I49,6)),Settings!$AI$14:$AI$36,0)),"Undefined")="Undefined","Undefined",IFERROR(INDEX(_xlfn.ANCHORARRAY(Settings!$BC$14),MATCH(IFERROR(INDEX(Settings!$AK$14:$AK$36,MATCH((((ROUND($H49,6)*2)*1000000)+ROUND($I49,6)),Settings!$AI$14:$AI$36,0)),"Undefined"),_xlfn.ANCHORARRAY(Settings!$BC$14),0)),"Inactive")))</f>
        <v/>
      </c>
      <c r="L49" s="320"/>
      <c r="M49" s="168" t="str">
        <f t="shared" si="239"/>
        <v/>
      </c>
      <c r="N49" s="632" t="str">
        <f t="shared" si="240"/>
        <v/>
      </c>
      <c r="O49" s="629" t="str">
        <f t="shared" si="241"/>
        <v/>
      </c>
      <c r="P49" s="633" t="str">
        <f t="shared" si="242"/>
        <v/>
      </c>
      <c r="Q49" s="585" t="str">
        <f t="shared" si="113"/>
        <v/>
      </c>
      <c r="R49" s="629" t="str">
        <f t="shared" si="79"/>
        <v/>
      </c>
      <c r="S49" s="634" t="str">
        <f t="shared" si="80"/>
        <v/>
      </c>
      <c r="T49" s="635" t="str">
        <f t="shared" si="81"/>
        <v/>
      </c>
      <c r="U49" s="629" t="str">
        <f t="shared" si="82"/>
        <v/>
      </c>
      <c r="V49" s="636" t="str">
        <f t="shared" si="114"/>
        <v/>
      </c>
      <c r="W49" s="585" t="str">
        <f t="shared" si="224"/>
        <v/>
      </c>
      <c r="X49" s="629" t="str">
        <f t="shared" si="83"/>
        <v/>
      </c>
      <c r="Y49" s="630" t="str">
        <f t="shared" si="223"/>
        <v/>
      </c>
      <c r="Z49" s="632" t="str">
        <f t="shared" si="243"/>
        <v/>
      </c>
      <c r="AA49" s="629" t="str">
        <f t="shared" si="244"/>
        <v/>
      </c>
      <c r="AB49" s="629" t="str">
        <f t="shared" si="245"/>
        <v/>
      </c>
      <c r="AC49" s="636" t="str">
        <f t="shared" si="84"/>
        <v/>
      </c>
      <c r="AD49" s="637" t="str">
        <f t="shared" si="115"/>
        <v/>
      </c>
      <c r="AE49" s="629" t="str">
        <f t="shared" si="85"/>
        <v/>
      </c>
      <c r="AF49" s="633" t="str">
        <f t="shared" si="86"/>
        <v/>
      </c>
      <c r="AG49" s="602" t="str">
        <f t="shared" si="87"/>
        <v/>
      </c>
      <c r="AH49" s="603" t="str">
        <f t="shared" si="88"/>
        <v/>
      </c>
      <c r="AI49" s="585" t="str">
        <f t="shared" si="89"/>
        <v/>
      </c>
      <c r="AJ49" s="586" t="str">
        <f t="shared" si="90"/>
        <v/>
      </c>
      <c r="AK49" s="635" t="str">
        <f t="shared" si="211"/>
        <v/>
      </c>
      <c r="AL49" s="629" t="str">
        <f t="shared" si="91"/>
        <v/>
      </c>
      <c r="AM49" s="634" t="str">
        <f t="shared" si="92"/>
        <v/>
      </c>
      <c r="AN49" s="581" t="str">
        <f t="shared" si="93"/>
        <v/>
      </c>
      <c r="AO49" s="582" t="str">
        <f t="shared" si="94"/>
        <v/>
      </c>
      <c r="AP49" s="585" t="str">
        <f t="shared" si="95"/>
        <v/>
      </c>
      <c r="AQ49" s="586" t="str">
        <f t="shared" si="246"/>
        <v/>
      </c>
      <c r="AS49" s="52" t="str">
        <f t="shared" si="406"/>
        <v/>
      </c>
      <c r="AT49" s="72" t="str">
        <f t="shared" si="247"/>
        <v/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210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112"/>
        <v/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/>
      <c r="C50" s="708"/>
      <c r="D50" s="709"/>
      <c r="E50" s="710"/>
      <c r="F50" s="708"/>
      <c r="G50" s="711"/>
      <c r="H50" s="710"/>
      <c r="I50" s="708"/>
      <c r="J50" s="570"/>
      <c r="K50" s="865" t="str">
        <f>IF($J50="","",IF(IFERROR(INDEX(Settings!$AK$14:$AK$36,MATCH((((ROUND($H50,6)*2)*1000000)+ROUND($I50,6)),Settings!$AI$14:$AI$36,0)),"Undefined")="Undefined","Undefined",IFERROR(INDEX(_xlfn.ANCHORARRAY(Settings!$BC$14),MATCH(IFERROR(INDEX(Settings!$AK$14:$AK$36,MATCH((((ROUND($H50,6)*2)*1000000)+ROUND($I50,6)),Settings!$AI$14:$AI$36,0)),"Undefined"),_xlfn.ANCHORARRAY(Settings!$BC$14),0)),"Inactive")))</f>
        <v/>
      </c>
      <c r="L50" s="320"/>
      <c r="M50" s="168" t="str">
        <f t="shared" si="239"/>
        <v/>
      </c>
      <c r="N50" s="632" t="str">
        <f t="shared" si="240"/>
        <v/>
      </c>
      <c r="O50" s="629" t="str">
        <f t="shared" si="241"/>
        <v/>
      </c>
      <c r="P50" s="633" t="str">
        <f t="shared" si="242"/>
        <v/>
      </c>
      <c r="Q50" s="585" t="str">
        <f t="shared" si="113"/>
        <v/>
      </c>
      <c r="R50" s="629" t="str">
        <f t="shared" si="79"/>
        <v/>
      </c>
      <c r="S50" s="634" t="str">
        <f t="shared" si="80"/>
        <v/>
      </c>
      <c r="T50" s="635" t="str">
        <f t="shared" si="81"/>
        <v/>
      </c>
      <c r="U50" s="629" t="str">
        <f t="shared" si="82"/>
        <v/>
      </c>
      <c r="V50" s="636" t="str">
        <f t="shared" si="114"/>
        <v/>
      </c>
      <c r="W50" s="585" t="str">
        <f t="shared" si="224"/>
        <v/>
      </c>
      <c r="X50" s="629" t="str">
        <f t="shared" si="83"/>
        <v/>
      </c>
      <c r="Y50" s="630" t="str">
        <f t="shared" si="223"/>
        <v/>
      </c>
      <c r="Z50" s="632" t="str">
        <f t="shared" si="243"/>
        <v/>
      </c>
      <c r="AA50" s="629" t="str">
        <f t="shared" si="244"/>
        <v/>
      </c>
      <c r="AB50" s="629" t="str">
        <f t="shared" si="245"/>
        <v/>
      </c>
      <c r="AC50" s="636" t="str">
        <f t="shared" si="84"/>
        <v/>
      </c>
      <c r="AD50" s="637" t="str">
        <f t="shared" si="115"/>
        <v/>
      </c>
      <c r="AE50" s="629" t="str">
        <f t="shared" si="85"/>
        <v/>
      </c>
      <c r="AF50" s="633" t="str">
        <f t="shared" si="86"/>
        <v/>
      </c>
      <c r="AG50" s="602" t="str">
        <f t="shared" si="87"/>
        <v/>
      </c>
      <c r="AH50" s="603" t="str">
        <f t="shared" si="88"/>
        <v/>
      </c>
      <c r="AI50" s="585" t="str">
        <f t="shared" si="89"/>
        <v/>
      </c>
      <c r="AJ50" s="586" t="str">
        <f t="shared" si="90"/>
        <v/>
      </c>
      <c r="AK50" s="635" t="str">
        <f t="shared" si="211"/>
        <v/>
      </c>
      <c r="AL50" s="629" t="str">
        <f t="shared" si="91"/>
        <v/>
      </c>
      <c r="AM50" s="634" t="str">
        <f t="shared" si="92"/>
        <v/>
      </c>
      <c r="AN50" s="581" t="str">
        <f t="shared" si="93"/>
        <v/>
      </c>
      <c r="AO50" s="582" t="str">
        <f t="shared" si="94"/>
        <v/>
      </c>
      <c r="AP50" s="585" t="str">
        <f t="shared" si="95"/>
        <v/>
      </c>
      <c r="AQ50" s="586" t="str">
        <f t="shared" si="246"/>
        <v/>
      </c>
      <c r="AS50" s="52" t="str">
        <f t="shared" si="406"/>
        <v/>
      </c>
      <c r="AT50" s="72" t="str">
        <f t="shared" si="247"/>
        <v/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210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112"/>
        <v/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/>
      <c r="C51" s="708"/>
      <c r="D51" s="709"/>
      <c r="E51" s="710"/>
      <c r="F51" s="708"/>
      <c r="G51" s="711"/>
      <c r="H51" s="710"/>
      <c r="I51" s="708"/>
      <c r="J51" s="570"/>
      <c r="K51" s="865" t="str">
        <f>IF($J51="","",IF(IFERROR(INDEX(Settings!$AK$14:$AK$36,MATCH((((ROUND($H51,6)*2)*1000000)+ROUND($I51,6)),Settings!$AI$14:$AI$36,0)),"Undefined")="Undefined","Undefined",IFERROR(INDEX(_xlfn.ANCHORARRAY(Settings!$BC$14),MATCH(IFERROR(INDEX(Settings!$AK$14:$AK$36,MATCH((((ROUND($H51,6)*2)*1000000)+ROUND($I51,6)),Settings!$AI$14:$AI$36,0)),"Undefined"),_xlfn.ANCHORARRAY(Settings!$BC$14),0)),"Inactive")))</f>
        <v/>
      </c>
      <c r="L51" s="320"/>
      <c r="M51" s="168" t="str">
        <f t="shared" si="239"/>
        <v/>
      </c>
      <c r="N51" s="632" t="str">
        <f t="shared" si="240"/>
        <v/>
      </c>
      <c r="O51" s="629" t="str">
        <f t="shared" si="241"/>
        <v/>
      </c>
      <c r="P51" s="633" t="str">
        <f t="shared" si="242"/>
        <v/>
      </c>
      <c r="Q51" s="585" t="str">
        <f t="shared" si="113"/>
        <v/>
      </c>
      <c r="R51" s="629" t="str">
        <f t="shared" si="79"/>
        <v/>
      </c>
      <c r="S51" s="634" t="str">
        <f t="shared" si="80"/>
        <v/>
      </c>
      <c r="T51" s="635" t="str">
        <f t="shared" si="81"/>
        <v/>
      </c>
      <c r="U51" s="629" t="str">
        <f t="shared" si="82"/>
        <v/>
      </c>
      <c r="V51" s="636" t="str">
        <f t="shared" si="114"/>
        <v/>
      </c>
      <c r="W51" s="585" t="str">
        <f t="shared" si="224"/>
        <v/>
      </c>
      <c r="X51" s="629" t="str">
        <f t="shared" si="83"/>
        <v/>
      </c>
      <c r="Y51" s="630" t="str">
        <f t="shared" si="223"/>
        <v/>
      </c>
      <c r="Z51" s="632" t="str">
        <f t="shared" si="243"/>
        <v/>
      </c>
      <c r="AA51" s="629" t="str">
        <f t="shared" si="244"/>
        <v/>
      </c>
      <c r="AB51" s="629" t="str">
        <f t="shared" si="245"/>
        <v/>
      </c>
      <c r="AC51" s="636" t="str">
        <f t="shared" si="84"/>
        <v/>
      </c>
      <c r="AD51" s="637" t="str">
        <f t="shared" si="115"/>
        <v/>
      </c>
      <c r="AE51" s="629" t="str">
        <f t="shared" si="85"/>
        <v/>
      </c>
      <c r="AF51" s="633" t="str">
        <f t="shared" si="86"/>
        <v/>
      </c>
      <c r="AG51" s="602" t="str">
        <f t="shared" si="87"/>
        <v/>
      </c>
      <c r="AH51" s="603" t="str">
        <f t="shared" si="88"/>
        <v/>
      </c>
      <c r="AI51" s="585" t="str">
        <f t="shared" si="89"/>
        <v/>
      </c>
      <c r="AJ51" s="586" t="str">
        <f t="shared" si="90"/>
        <v/>
      </c>
      <c r="AK51" s="635" t="str">
        <f t="shared" si="211"/>
        <v/>
      </c>
      <c r="AL51" s="629" t="str">
        <f t="shared" si="91"/>
        <v/>
      </c>
      <c r="AM51" s="634" t="str">
        <f t="shared" si="92"/>
        <v/>
      </c>
      <c r="AN51" s="581" t="str">
        <f t="shared" si="93"/>
        <v/>
      </c>
      <c r="AO51" s="582" t="str">
        <f t="shared" si="94"/>
        <v/>
      </c>
      <c r="AP51" s="585" t="str">
        <f t="shared" si="95"/>
        <v/>
      </c>
      <c r="AQ51" s="586" t="str">
        <f t="shared" si="246"/>
        <v/>
      </c>
      <c r="AS51" s="52" t="str">
        <f t="shared" si="406"/>
        <v/>
      </c>
      <c r="AT51" s="72" t="str">
        <f t="shared" si="247"/>
        <v/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210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112"/>
        <v/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/>
      <c r="C52" s="708"/>
      <c r="D52" s="709"/>
      <c r="E52" s="710"/>
      <c r="F52" s="708"/>
      <c r="G52" s="711"/>
      <c r="H52" s="710"/>
      <c r="I52" s="708"/>
      <c r="J52" s="570"/>
      <c r="K52" s="865" t="str">
        <f>IF($J52="","",IF(IFERROR(INDEX(Settings!$AK$14:$AK$36,MATCH((((ROUND($H52,6)*2)*1000000)+ROUND($I52,6)),Settings!$AI$14:$AI$36,0)),"Undefined")="Undefined","Undefined",IFERROR(INDEX(_xlfn.ANCHORARRAY(Settings!$BC$14),MATCH(IFERROR(INDEX(Settings!$AK$14:$AK$36,MATCH((((ROUND($H52,6)*2)*1000000)+ROUND($I52,6)),Settings!$AI$14:$AI$36,0)),"Undefined"),_xlfn.ANCHORARRAY(Settings!$BC$14),0)),"Inactive")))</f>
        <v/>
      </c>
      <c r="L52" s="320"/>
      <c r="M52" s="168" t="str">
        <f t="shared" si="239"/>
        <v/>
      </c>
      <c r="N52" s="632" t="str">
        <f t="shared" si="240"/>
        <v/>
      </c>
      <c r="O52" s="629" t="str">
        <f t="shared" si="241"/>
        <v/>
      </c>
      <c r="P52" s="633" t="str">
        <f t="shared" si="242"/>
        <v/>
      </c>
      <c r="Q52" s="585" t="str">
        <f t="shared" si="113"/>
        <v/>
      </c>
      <c r="R52" s="629" t="str">
        <f t="shared" si="79"/>
        <v/>
      </c>
      <c r="S52" s="634" t="str">
        <f t="shared" si="80"/>
        <v/>
      </c>
      <c r="T52" s="635" t="str">
        <f t="shared" si="81"/>
        <v/>
      </c>
      <c r="U52" s="629" t="str">
        <f t="shared" si="82"/>
        <v/>
      </c>
      <c r="V52" s="636" t="str">
        <f t="shared" si="114"/>
        <v/>
      </c>
      <c r="W52" s="585" t="str">
        <f t="shared" si="224"/>
        <v/>
      </c>
      <c r="X52" s="629" t="str">
        <f t="shared" si="83"/>
        <v/>
      </c>
      <c r="Y52" s="630" t="str">
        <f t="shared" si="223"/>
        <v/>
      </c>
      <c r="Z52" s="632" t="str">
        <f t="shared" si="243"/>
        <v/>
      </c>
      <c r="AA52" s="629" t="str">
        <f t="shared" si="244"/>
        <v/>
      </c>
      <c r="AB52" s="629" t="str">
        <f t="shared" si="245"/>
        <v/>
      </c>
      <c r="AC52" s="636" t="str">
        <f t="shared" si="84"/>
        <v/>
      </c>
      <c r="AD52" s="637" t="str">
        <f t="shared" si="115"/>
        <v/>
      </c>
      <c r="AE52" s="629" t="str">
        <f t="shared" si="85"/>
        <v/>
      </c>
      <c r="AF52" s="633" t="str">
        <f t="shared" si="86"/>
        <v/>
      </c>
      <c r="AG52" s="602" t="str">
        <f t="shared" si="87"/>
        <v/>
      </c>
      <c r="AH52" s="603" t="str">
        <f t="shared" si="88"/>
        <v/>
      </c>
      <c r="AI52" s="585" t="str">
        <f t="shared" si="89"/>
        <v/>
      </c>
      <c r="AJ52" s="586" t="str">
        <f t="shared" si="90"/>
        <v/>
      </c>
      <c r="AK52" s="635" t="str">
        <f t="shared" si="211"/>
        <v/>
      </c>
      <c r="AL52" s="629" t="str">
        <f t="shared" si="91"/>
        <v/>
      </c>
      <c r="AM52" s="634" t="str">
        <f t="shared" si="92"/>
        <v/>
      </c>
      <c r="AN52" s="581" t="str">
        <f t="shared" si="93"/>
        <v/>
      </c>
      <c r="AO52" s="582" t="str">
        <f t="shared" si="94"/>
        <v/>
      </c>
      <c r="AP52" s="585" t="str">
        <f t="shared" si="95"/>
        <v/>
      </c>
      <c r="AQ52" s="586" t="str">
        <f t="shared" si="246"/>
        <v/>
      </c>
      <c r="AS52" s="52" t="str">
        <f t="shared" si="406"/>
        <v/>
      </c>
      <c r="AT52" s="72" t="str">
        <f t="shared" si="247"/>
        <v/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210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112"/>
        <v/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/>
      <c r="C53" s="708"/>
      <c r="D53" s="709"/>
      <c r="E53" s="710"/>
      <c r="F53" s="708"/>
      <c r="G53" s="711"/>
      <c r="H53" s="710"/>
      <c r="I53" s="708"/>
      <c r="J53" s="570"/>
      <c r="K53" s="865" t="str">
        <f>IF($J53="","",IF(IFERROR(INDEX(Settings!$AK$14:$AK$36,MATCH((((ROUND($H53,6)*2)*1000000)+ROUND($I53,6)),Settings!$AI$14:$AI$36,0)),"Undefined")="Undefined","Undefined",IFERROR(INDEX(_xlfn.ANCHORARRAY(Settings!$BC$14),MATCH(IFERROR(INDEX(Settings!$AK$14:$AK$36,MATCH((((ROUND($H53,6)*2)*1000000)+ROUND($I53,6)),Settings!$AI$14:$AI$36,0)),"Undefined"),_xlfn.ANCHORARRAY(Settings!$BC$14),0)),"Inactive")))</f>
        <v/>
      </c>
      <c r="L53" s="320"/>
      <c r="M53" s="168" t="str">
        <f t="shared" si="239"/>
        <v/>
      </c>
      <c r="N53" s="632" t="str">
        <f t="shared" si="240"/>
        <v/>
      </c>
      <c r="O53" s="629" t="str">
        <f t="shared" si="241"/>
        <v/>
      </c>
      <c r="P53" s="633" t="str">
        <f t="shared" si="242"/>
        <v/>
      </c>
      <c r="Q53" s="585" t="str">
        <f t="shared" si="113"/>
        <v/>
      </c>
      <c r="R53" s="629" t="str">
        <f t="shared" ref="R53:R58" si="410">IF(M53="","",SQRT(N53^2+O53^2))</f>
        <v/>
      </c>
      <c r="S53" s="634" t="str">
        <f t="shared" ref="S53:S58" si="411">IF(M53="","",P53)</f>
        <v/>
      </c>
      <c r="T53" s="635" t="str">
        <f t="shared" ref="T53:T58" si="412">IF(M53="","",X53*COS(RADIANS(W53)))</f>
        <v/>
      </c>
      <c r="U53" s="629" t="str">
        <f t="shared" ref="U53:U58" si="413">IF(M53="","",X53*SIN(RADIANS(W53)))</f>
        <v/>
      </c>
      <c r="V53" s="636" t="str">
        <f t="shared" ref="V53:V58" si="414">IF(M53="","",Y53)</f>
        <v/>
      </c>
      <c r="W53" s="585" t="str">
        <f t="shared" si="224"/>
        <v/>
      </c>
      <c r="X53" s="629" t="str">
        <f t="shared" ref="X53:X58" si="415">IF(M53="","",R53)</f>
        <v/>
      </c>
      <c r="Y53" s="630" t="str">
        <f t="shared" si="223"/>
        <v/>
      </c>
      <c r="Z53" s="632" t="str">
        <f t="shared" si="243"/>
        <v/>
      </c>
      <c r="AA53" s="629" t="str">
        <f t="shared" si="244"/>
        <v/>
      </c>
      <c r="AB53" s="629" t="str">
        <f t="shared" si="245"/>
        <v/>
      </c>
      <c r="AC53" s="636" t="str">
        <f t="shared" ref="AC53:AC58" si="416">IF(M53="","",SQRT(Z53^2+AA53^2+AB53^2))</f>
        <v/>
      </c>
      <c r="AD53" s="637" t="str">
        <f t="shared" ref="AD53:AD58" si="417">IF(M53="","",Z53*(1/SQRT(Z53^2+AA53^2+AB53^2)))</f>
        <v/>
      </c>
      <c r="AE53" s="629" t="str">
        <f t="shared" ref="AE53:AE58" si="418">IF(M53="","",AA53*(1/SQRT(Z53^2+AA53^2+AB53^2)))</f>
        <v/>
      </c>
      <c r="AF53" s="633" t="str">
        <f t="shared" ref="AF53:AF58" si="419">IF(M53="","",AB53*(1/SQRT(Z53^2+AA53^2+AB53^2)))</f>
        <v/>
      </c>
      <c r="AG53" s="602" t="str">
        <f t="shared" ref="AG53:AG58" si="420">IF(M53="","",DEGREES(ATAN2(-AF53,AE53)))</f>
        <v/>
      </c>
      <c r="AH53" s="603" t="str">
        <f t="shared" ref="AH53:AH58" si="421">IF(M53="","",DEGREES(ACOS(AD53)))</f>
        <v/>
      </c>
      <c r="AI53" s="585" t="str">
        <f t="shared" ref="AI53:AI58" si="422">IF(M53="","",DEGREES(-ACOS(-AF53)))</f>
        <v/>
      </c>
      <c r="AJ53" s="586" t="str">
        <f t="shared" ref="AJ53:AJ58" si="423">IF(M53="","",DEGREES(ATAN2(-AE53,AD53)))</f>
        <v/>
      </c>
      <c r="AK53" s="635" t="str">
        <f t="shared" ref="AK53:AK58" si="424">IF(M53="","",(COS(RADIANS((90-$Q$8)-W53))*AD53)+(-SIN(RADIANS((90-$Q$8)-W53))*AE53))</f>
        <v/>
      </c>
      <c r="AL53" s="629" t="str">
        <f t="shared" ref="AL53:AL58" si="425">IF(M53="","",(SIN(RADIANS((90-$Q$8)-W53))*AD53)+(COS(RADIANS((90-$Q$8)-W53))*AE53))</f>
        <v/>
      </c>
      <c r="AM53" s="634" t="str">
        <f t="shared" ref="AM53:AM58" si="426">IF(M53="","",AF53)</f>
        <v/>
      </c>
      <c r="AN53" s="581" t="str">
        <f t="shared" ref="AN53:AN58" si="427">IF(M53="","",DEGREES(ATAN2(-AM53,AL53)))</f>
        <v/>
      </c>
      <c r="AO53" s="582" t="str">
        <f t="shared" si="94"/>
        <v/>
      </c>
      <c r="AP53" s="585" t="str">
        <f t="shared" ref="AP53:AP58" si="428">IF(M53="","",DEGREES(ATAN2(AK53,AL53)))</f>
        <v/>
      </c>
      <c r="AQ53" s="586" t="str">
        <f t="shared" si="246"/>
        <v/>
      </c>
      <c r="AS53" s="52" t="str">
        <f t="shared" si="406"/>
        <v/>
      </c>
      <c r="AT53" s="72" t="str">
        <f t="shared" si="247"/>
        <v/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210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112"/>
        <v/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/>
      <c r="C54" s="708"/>
      <c r="D54" s="709"/>
      <c r="E54" s="710"/>
      <c r="F54" s="708"/>
      <c r="G54" s="711"/>
      <c r="H54" s="710"/>
      <c r="I54" s="708"/>
      <c r="J54" s="570"/>
      <c r="K54" s="865" t="str">
        <f>IF($J54="","",IF(IFERROR(INDEX(Settings!$AK$14:$AK$36,MATCH((((ROUND($H54,6)*2)*1000000)+ROUND($I54,6)),Settings!$AI$14:$AI$36,0)),"Undefined")="Undefined","Undefined",IFERROR(INDEX(_xlfn.ANCHORARRAY(Settings!$BC$14),MATCH(IFERROR(INDEX(Settings!$AK$14:$AK$36,MATCH((((ROUND($H54,6)*2)*1000000)+ROUND($I54,6)),Settings!$AI$14:$AI$36,0)),"Undefined"),_xlfn.ANCHORARRAY(Settings!$BC$14),0)),"Inactive")))</f>
        <v/>
      </c>
      <c r="L54" s="320"/>
      <c r="M54" s="168" t="str">
        <f t="shared" si="239"/>
        <v/>
      </c>
      <c r="N54" s="632" t="str">
        <f t="shared" si="240"/>
        <v/>
      </c>
      <c r="O54" s="629" t="str">
        <f t="shared" si="241"/>
        <v/>
      </c>
      <c r="P54" s="633" t="str">
        <f t="shared" si="242"/>
        <v/>
      </c>
      <c r="Q54" s="585" t="str">
        <f t="shared" si="113"/>
        <v/>
      </c>
      <c r="R54" s="629" t="str">
        <f t="shared" si="410"/>
        <v/>
      </c>
      <c r="S54" s="634" t="str">
        <f t="shared" si="411"/>
        <v/>
      </c>
      <c r="T54" s="635" t="str">
        <f t="shared" si="412"/>
        <v/>
      </c>
      <c r="U54" s="629" t="str">
        <f t="shared" si="413"/>
        <v/>
      </c>
      <c r="V54" s="636" t="str">
        <f t="shared" si="414"/>
        <v/>
      </c>
      <c r="W54" s="585" t="str">
        <f t="shared" si="224"/>
        <v/>
      </c>
      <c r="X54" s="629" t="str">
        <f t="shared" si="415"/>
        <v/>
      </c>
      <c r="Y54" s="630" t="str">
        <f t="shared" si="223"/>
        <v/>
      </c>
      <c r="Z54" s="632" t="str">
        <f t="shared" si="243"/>
        <v/>
      </c>
      <c r="AA54" s="629" t="str">
        <f t="shared" si="244"/>
        <v/>
      </c>
      <c r="AB54" s="629" t="str">
        <f t="shared" si="245"/>
        <v/>
      </c>
      <c r="AC54" s="636" t="str">
        <f t="shared" si="416"/>
        <v/>
      </c>
      <c r="AD54" s="637" t="str">
        <f t="shared" si="417"/>
        <v/>
      </c>
      <c r="AE54" s="629" t="str">
        <f t="shared" si="418"/>
        <v/>
      </c>
      <c r="AF54" s="633" t="str">
        <f t="shared" si="419"/>
        <v/>
      </c>
      <c r="AG54" s="602" t="str">
        <f t="shared" si="420"/>
        <v/>
      </c>
      <c r="AH54" s="603" t="str">
        <f t="shared" si="421"/>
        <v/>
      </c>
      <c r="AI54" s="585" t="str">
        <f t="shared" si="422"/>
        <v/>
      </c>
      <c r="AJ54" s="586" t="str">
        <f t="shared" si="423"/>
        <v/>
      </c>
      <c r="AK54" s="635" t="str">
        <f t="shared" si="424"/>
        <v/>
      </c>
      <c r="AL54" s="629" t="str">
        <f t="shared" si="425"/>
        <v/>
      </c>
      <c r="AM54" s="634" t="str">
        <f t="shared" si="426"/>
        <v/>
      </c>
      <c r="AN54" s="581" t="str">
        <f t="shared" si="427"/>
        <v/>
      </c>
      <c r="AO54" s="582" t="str">
        <f t="shared" si="94"/>
        <v/>
      </c>
      <c r="AP54" s="585" t="str">
        <f t="shared" si="428"/>
        <v/>
      </c>
      <c r="AQ54" s="586" t="str">
        <f t="shared" si="246"/>
        <v/>
      </c>
      <c r="AS54" s="52" t="str">
        <f t="shared" si="406"/>
        <v/>
      </c>
      <c r="AT54" s="72" t="str">
        <f t="shared" si="247"/>
        <v/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210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112"/>
        <v/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/>
      <c r="C55" s="708"/>
      <c r="D55" s="709"/>
      <c r="E55" s="710"/>
      <c r="F55" s="708"/>
      <c r="G55" s="711"/>
      <c r="H55" s="710"/>
      <c r="I55" s="708"/>
      <c r="J55" s="570"/>
      <c r="K55" s="865" t="str">
        <f>IF($J55="","",IF(IFERROR(INDEX(Settings!$AK$14:$AK$36,MATCH((((ROUND($H55,6)*2)*1000000)+ROUND($I55,6)),Settings!$AI$14:$AI$36,0)),"Undefined")="Undefined","Undefined",IFERROR(INDEX(_xlfn.ANCHORARRAY(Settings!$BC$14),MATCH(IFERROR(INDEX(Settings!$AK$14:$AK$36,MATCH((((ROUND($H55,6)*2)*1000000)+ROUND($I55,6)),Settings!$AI$14:$AI$36,0)),"Undefined"),_xlfn.ANCHORARRAY(Settings!$BC$14),0)),"Inactive")))</f>
        <v/>
      </c>
      <c r="L55" s="320"/>
      <c r="M55" s="168" t="str">
        <f t="shared" si="239"/>
        <v/>
      </c>
      <c r="N55" s="632" t="str">
        <f t="shared" si="240"/>
        <v/>
      </c>
      <c r="O55" s="629" t="str">
        <f t="shared" si="241"/>
        <v/>
      </c>
      <c r="P55" s="633" t="str">
        <f t="shared" si="242"/>
        <v/>
      </c>
      <c r="Q55" s="585" t="str">
        <f t="shared" si="113"/>
        <v/>
      </c>
      <c r="R55" s="629" t="str">
        <f t="shared" si="410"/>
        <v/>
      </c>
      <c r="S55" s="634" t="str">
        <f t="shared" si="411"/>
        <v/>
      </c>
      <c r="T55" s="635" t="str">
        <f t="shared" si="412"/>
        <v/>
      </c>
      <c r="U55" s="629" t="str">
        <f t="shared" si="413"/>
        <v/>
      </c>
      <c r="V55" s="636" t="str">
        <f t="shared" si="414"/>
        <v/>
      </c>
      <c r="W55" s="585" t="str">
        <f t="shared" si="224"/>
        <v/>
      </c>
      <c r="X55" s="629" t="str">
        <f t="shared" si="415"/>
        <v/>
      </c>
      <c r="Y55" s="630" t="str">
        <f t="shared" si="223"/>
        <v/>
      </c>
      <c r="Z55" s="632" t="str">
        <f t="shared" si="243"/>
        <v/>
      </c>
      <c r="AA55" s="629" t="str">
        <f t="shared" si="244"/>
        <v/>
      </c>
      <c r="AB55" s="629" t="str">
        <f t="shared" si="245"/>
        <v/>
      </c>
      <c r="AC55" s="636" t="str">
        <f t="shared" si="416"/>
        <v/>
      </c>
      <c r="AD55" s="637" t="str">
        <f t="shared" si="417"/>
        <v/>
      </c>
      <c r="AE55" s="629" t="str">
        <f t="shared" si="418"/>
        <v/>
      </c>
      <c r="AF55" s="633" t="str">
        <f t="shared" si="419"/>
        <v/>
      </c>
      <c r="AG55" s="602" t="str">
        <f t="shared" si="420"/>
        <v/>
      </c>
      <c r="AH55" s="603" t="str">
        <f t="shared" si="421"/>
        <v/>
      </c>
      <c r="AI55" s="585" t="str">
        <f t="shared" si="422"/>
        <v/>
      </c>
      <c r="AJ55" s="586" t="str">
        <f t="shared" si="423"/>
        <v/>
      </c>
      <c r="AK55" s="635" t="str">
        <f t="shared" si="424"/>
        <v/>
      </c>
      <c r="AL55" s="629" t="str">
        <f t="shared" si="425"/>
        <v/>
      </c>
      <c r="AM55" s="634" t="str">
        <f t="shared" si="426"/>
        <v/>
      </c>
      <c r="AN55" s="581" t="str">
        <f t="shared" si="427"/>
        <v/>
      </c>
      <c r="AO55" s="582" t="str">
        <f>IF(ROUND(IF(M55="",0,DEGREES(ACOS(AK55))),4)=90,0,IF(M55="","",DEGREES(ACOS(AK55))))</f>
        <v/>
      </c>
      <c r="AP55" s="585" t="str">
        <f t="shared" si="428"/>
        <v/>
      </c>
      <c r="AQ55" s="586" t="str">
        <f t="shared" si="246"/>
        <v/>
      </c>
      <c r="AS55" s="52" t="str">
        <f t="shared" si="406"/>
        <v/>
      </c>
      <c r="AT55" s="72" t="str">
        <f t="shared" si="247"/>
        <v/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210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112"/>
        <v/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/>
      <c r="C56" s="708"/>
      <c r="D56" s="709"/>
      <c r="E56" s="710"/>
      <c r="F56" s="708"/>
      <c r="G56" s="711"/>
      <c r="H56" s="710"/>
      <c r="I56" s="708"/>
      <c r="J56" s="570"/>
      <c r="K56" s="865" t="str">
        <f>IF($J56="","",IF(IFERROR(INDEX(Settings!$AK$14:$AK$36,MATCH((((ROUND($H56,6)*2)*1000000)+ROUND($I56,6)),Settings!$AI$14:$AI$36,0)),"Undefined")="Undefined","Undefined",IFERROR(INDEX(_xlfn.ANCHORARRAY(Settings!$BC$14),MATCH(IFERROR(INDEX(Settings!$AK$14:$AK$36,MATCH((((ROUND($H56,6)*2)*1000000)+ROUND($I56,6)),Settings!$AI$14:$AI$36,0)),"Undefined"),_xlfn.ANCHORARRAY(Settings!$BC$14),0)),"Inactive")))</f>
        <v/>
      </c>
      <c r="L56" s="320"/>
      <c r="M56" s="168" t="str">
        <f t="shared" si="239"/>
        <v/>
      </c>
      <c r="N56" s="632" t="str">
        <f t="shared" si="240"/>
        <v/>
      </c>
      <c r="O56" s="629" t="str">
        <f t="shared" si="241"/>
        <v/>
      </c>
      <c r="P56" s="633" t="str">
        <f t="shared" si="242"/>
        <v/>
      </c>
      <c r="Q56" s="585" t="str">
        <f t="shared" si="113"/>
        <v/>
      </c>
      <c r="R56" s="629" t="str">
        <f t="shared" si="410"/>
        <v/>
      </c>
      <c r="S56" s="634" t="str">
        <f t="shared" si="411"/>
        <v/>
      </c>
      <c r="T56" s="635" t="str">
        <f t="shared" si="412"/>
        <v/>
      </c>
      <c r="U56" s="629" t="str">
        <f t="shared" si="413"/>
        <v/>
      </c>
      <c r="V56" s="636" t="str">
        <f t="shared" si="414"/>
        <v/>
      </c>
      <c r="W56" s="585" t="str">
        <f t="shared" si="224"/>
        <v/>
      </c>
      <c r="X56" s="629" t="str">
        <f t="shared" si="415"/>
        <v/>
      </c>
      <c r="Y56" s="630" t="str">
        <f t="shared" si="223"/>
        <v/>
      </c>
      <c r="Z56" s="632" t="str">
        <f t="shared" si="243"/>
        <v/>
      </c>
      <c r="AA56" s="629" t="str">
        <f t="shared" si="244"/>
        <v/>
      </c>
      <c r="AB56" s="629" t="str">
        <f t="shared" si="245"/>
        <v/>
      </c>
      <c r="AC56" s="636" t="str">
        <f t="shared" si="416"/>
        <v/>
      </c>
      <c r="AD56" s="637" t="str">
        <f t="shared" si="417"/>
        <v/>
      </c>
      <c r="AE56" s="629" t="str">
        <f t="shared" si="418"/>
        <v/>
      </c>
      <c r="AF56" s="633" t="str">
        <f t="shared" si="419"/>
        <v/>
      </c>
      <c r="AG56" s="602" t="str">
        <f t="shared" si="420"/>
        <v/>
      </c>
      <c r="AH56" s="603" t="str">
        <f t="shared" si="421"/>
        <v/>
      </c>
      <c r="AI56" s="585" t="str">
        <f t="shared" si="422"/>
        <v/>
      </c>
      <c r="AJ56" s="586" t="str">
        <f t="shared" si="423"/>
        <v/>
      </c>
      <c r="AK56" s="635" t="str">
        <f t="shared" si="424"/>
        <v/>
      </c>
      <c r="AL56" s="629" t="str">
        <f t="shared" si="425"/>
        <v/>
      </c>
      <c r="AM56" s="634" t="str">
        <f t="shared" si="426"/>
        <v/>
      </c>
      <c r="AN56" s="581" t="str">
        <f t="shared" si="427"/>
        <v/>
      </c>
      <c r="AO56" s="582" t="str">
        <f t="shared" ref="AO56:AO119" si="461">IF(ROUND(IF(M56="",0,DEGREES(ACOS(AK56))),4)=90,0,IF(M56="","",DEGREES(ACOS(AK56))))</f>
        <v/>
      </c>
      <c r="AP56" s="585" t="str">
        <f t="shared" si="428"/>
        <v/>
      </c>
      <c r="AQ56" s="586" t="str">
        <f t="shared" si="246"/>
        <v/>
      </c>
      <c r="AS56" s="52" t="str">
        <f t="shared" si="406"/>
        <v/>
      </c>
      <c r="AT56" s="72" t="str">
        <f t="shared" si="247"/>
        <v/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210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112"/>
        <v/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/>
      <c r="C57" s="708"/>
      <c r="D57" s="709"/>
      <c r="E57" s="710"/>
      <c r="F57" s="708"/>
      <c r="G57" s="711"/>
      <c r="H57" s="710"/>
      <c r="I57" s="708"/>
      <c r="J57" s="570"/>
      <c r="K57" s="865" t="str">
        <f>IF($J57="","",IF(IFERROR(INDEX(Settings!$AK$14:$AK$36,MATCH((((ROUND($H57,6)*2)*1000000)+ROUND($I57,6)),Settings!$AI$14:$AI$36,0)),"Undefined")="Undefined","Undefined",IFERROR(INDEX(_xlfn.ANCHORARRAY(Settings!$BC$14),MATCH(IFERROR(INDEX(Settings!$AK$14:$AK$36,MATCH((((ROUND($H57,6)*2)*1000000)+ROUND($I57,6)),Settings!$AI$14:$AI$36,0)),"Undefined"),_xlfn.ANCHORARRAY(Settings!$BC$14),0)),"Inactive")))</f>
        <v/>
      </c>
      <c r="L57" s="320"/>
      <c r="M57" s="168" t="str">
        <f t="shared" si="239"/>
        <v/>
      </c>
      <c r="N57" s="632" t="str">
        <f t="shared" si="240"/>
        <v/>
      </c>
      <c r="O57" s="629" t="str">
        <f t="shared" si="241"/>
        <v/>
      </c>
      <c r="P57" s="633" t="str">
        <f t="shared" si="242"/>
        <v/>
      </c>
      <c r="Q57" s="585" t="str">
        <f t="shared" si="113"/>
        <v/>
      </c>
      <c r="R57" s="629" t="str">
        <f t="shared" si="410"/>
        <v/>
      </c>
      <c r="S57" s="634" t="str">
        <f t="shared" si="411"/>
        <v/>
      </c>
      <c r="T57" s="635" t="str">
        <f t="shared" si="412"/>
        <v/>
      </c>
      <c r="U57" s="629" t="str">
        <f t="shared" si="413"/>
        <v/>
      </c>
      <c r="V57" s="636" t="str">
        <f t="shared" si="414"/>
        <v/>
      </c>
      <c r="W57" s="585" t="str">
        <f t="shared" si="224"/>
        <v/>
      </c>
      <c r="X57" s="629" t="str">
        <f t="shared" si="415"/>
        <v/>
      </c>
      <c r="Y57" s="630" t="str">
        <f t="shared" si="223"/>
        <v/>
      </c>
      <c r="Z57" s="632" t="str">
        <f t="shared" si="243"/>
        <v/>
      </c>
      <c r="AA57" s="629" t="str">
        <f t="shared" si="244"/>
        <v/>
      </c>
      <c r="AB57" s="629" t="str">
        <f t="shared" si="245"/>
        <v/>
      </c>
      <c r="AC57" s="636" t="str">
        <f t="shared" si="416"/>
        <v/>
      </c>
      <c r="AD57" s="637" t="str">
        <f t="shared" si="417"/>
        <v/>
      </c>
      <c r="AE57" s="629" t="str">
        <f t="shared" si="418"/>
        <v/>
      </c>
      <c r="AF57" s="633" t="str">
        <f t="shared" si="419"/>
        <v/>
      </c>
      <c r="AG57" s="602" t="str">
        <f t="shared" si="420"/>
        <v/>
      </c>
      <c r="AH57" s="603" t="str">
        <f t="shared" si="421"/>
        <v/>
      </c>
      <c r="AI57" s="585" t="str">
        <f t="shared" si="422"/>
        <v/>
      </c>
      <c r="AJ57" s="586" t="str">
        <f t="shared" si="423"/>
        <v/>
      </c>
      <c r="AK57" s="635" t="str">
        <f t="shared" si="424"/>
        <v/>
      </c>
      <c r="AL57" s="629" t="str">
        <f t="shared" si="425"/>
        <v/>
      </c>
      <c r="AM57" s="634" t="str">
        <f t="shared" si="426"/>
        <v/>
      </c>
      <c r="AN57" s="581" t="str">
        <f t="shared" si="427"/>
        <v/>
      </c>
      <c r="AO57" s="582" t="str">
        <f t="shared" si="461"/>
        <v/>
      </c>
      <c r="AP57" s="585" t="str">
        <f t="shared" si="428"/>
        <v/>
      </c>
      <c r="AQ57" s="586" t="str">
        <f t="shared" si="246"/>
        <v/>
      </c>
      <c r="AS57" s="52" t="str">
        <f t="shared" si="406"/>
        <v/>
      </c>
      <c r="AT57" s="72" t="str">
        <f t="shared" si="247"/>
        <v/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210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112"/>
        <v/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/>
      <c r="C58" s="708"/>
      <c r="D58" s="709"/>
      <c r="E58" s="710"/>
      <c r="F58" s="708"/>
      <c r="G58" s="711"/>
      <c r="H58" s="710"/>
      <c r="I58" s="708"/>
      <c r="J58" s="570"/>
      <c r="K58" s="865" t="str">
        <f>IF($J58="","",IF(IFERROR(INDEX(Settings!$AK$14:$AK$36,MATCH((((ROUND($H58,6)*2)*1000000)+ROUND($I58,6)),Settings!$AI$14:$AI$36,0)),"Undefined")="Undefined","Undefined",IFERROR(INDEX(_xlfn.ANCHORARRAY(Settings!$BC$14),MATCH(IFERROR(INDEX(Settings!$AK$14:$AK$36,MATCH((((ROUND($H58,6)*2)*1000000)+ROUND($I58,6)),Settings!$AI$14:$AI$36,0)),"Undefined"),_xlfn.ANCHORARRAY(Settings!$BC$14),0)),"Inactive")))</f>
        <v/>
      </c>
      <c r="L58" s="320"/>
      <c r="M58" s="168" t="str">
        <f t="shared" si="239"/>
        <v/>
      </c>
      <c r="N58" s="632" t="str">
        <f t="shared" si="240"/>
        <v/>
      </c>
      <c r="O58" s="629" t="str">
        <f t="shared" si="241"/>
        <v/>
      </c>
      <c r="P58" s="633" t="str">
        <f t="shared" si="242"/>
        <v/>
      </c>
      <c r="Q58" s="585" t="str">
        <f t="shared" si="113"/>
        <v/>
      </c>
      <c r="R58" s="629" t="str">
        <f t="shared" si="410"/>
        <v/>
      </c>
      <c r="S58" s="634" t="str">
        <f t="shared" si="411"/>
        <v/>
      </c>
      <c r="T58" s="635" t="str">
        <f t="shared" si="412"/>
        <v/>
      </c>
      <c r="U58" s="629" t="str">
        <f t="shared" si="413"/>
        <v/>
      </c>
      <c r="V58" s="636" t="str">
        <f t="shared" si="414"/>
        <v/>
      </c>
      <c r="W58" s="585" t="str">
        <f t="shared" si="224"/>
        <v/>
      </c>
      <c r="X58" s="629" t="str">
        <f t="shared" si="415"/>
        <v/>
      </c>
      <c r="Y58" s="630" t="str">
        <f t="shared" si="223"/>
        <v/>
      </c>
      <c r="Z58" s="632" t="str">
        <f t="shared" si="243"/>
        <v/>
      </c>
      <c r="AA58" s="629" t="str">
        <f t="shared" si="244"/>
        <v/>
      </c>
      <c r="AB58" s="629" t="str">
        <f t="shared" si="245"/>
        <v/>
      </c>
      <c r="AC58" s="636" t="str">
        <f t="shared" si="416"/>
        <v/>
      </c>
      <c r="AD58" s="637" t="str">
        <f t="shared" si="417"/>
        <v/>
      </c>
      <c r="AE58" s="629" t="str">
        <f t="shared" si="418"/>
        <v/>
      </c>
      <c r="AF58" s="633" t="str">
        <f t="shared" si="419"/>
        <v/>
      </c>
      <c r="AG58" s="602" t="str">
        <f t="shared" si="420"/>
        <v/>
      </c>
      <c r="AH58" s="603" t="str">
        <f t="shared" si="421"/>
        <v/>
      </c>
      <c r="AI58" s="585" t="str">
        <f t="shared" si="422"/>
        <v/>
      </c>
      <c r="AJ58" s="586" t="str">
        <f t="shared" si="423"/>
        <v/>
      </c>
      <c r="AK58" s="635" t="str">
        <f t="shared" si="424"/>
        <v/>
      </c>
      <c r="AL58" s="629" t="str">
        <f t="shared" si="425"/>
        <v/>
      </c>
      <c r="AM58" s="634" t="str">
        <f t="shared" si="426"/>
        <v/>
      </c>
      <c r="AN58" s="581" t="str">
        <f t="shared" si="427"/>
        <v/>
      </c>
      <c r="AO58" s="582" t="str">
        <f t="shared" si="461"/>
        <v/>
      </c>
      <c r="AP58" s="585" t="str">
        <f t="shared" si="428"/>
        <v/>
      </c>
      <c r="AQ58" s="586" t="str">
        <f t="shared" si="246"/>
        <v/>
      </c>
      <c r="AS58" s="52" t="str">
        <f t="shared" si="406"/>
        <v/>
      </c>
      <c r="AT58" s="72" t="str">
        <f t="shared" si="247"/>
        <v/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210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112"/>
        <v/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$36,MATCH((((ROUND($H59,6)*2)*1000000)+ROUND($I59,6)),Settings!$AI$14:$AI$36,0)),"Undefined")="Undefined","Undefined",IFERROR(INDEX(_xlfn.ANCHORARRAY(Settings!$BC$14),MATCH(IFERROR(INDEX(Settings!$AK$14:$AK$36,MATCH((((ROUND($H59,6)*2)*1000000)+ROUND($I59,6)),Settings!$AI$14:$AI$36,0)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$36,MATCH((((ROUND($H60,6)*2)*1000000)+ROUND($I60,6)),Settings!$AI$14:$AI$36,0)),"Undefined")="Undefined","Undefined",IFERROR(INDEX(_xlfn.ANCHORARRAY(Settings!$BC$14),MATCH(IFERROR(INDEX(Settings!$AK$14:$AK$36,MATCH((((ROUND($H60,6)*2)*1000000)+ROUND($I60,6)),Settings!$AI$14:$AI$36,0)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$36,MATCH((((ROUND($H61,6)*2)*1000000)+ROUND($I61,6)),Settings!$AI$14:$AI$36,0)),"Undefined")="Undefined","Undefined",IFERROR(INDEX(_xlfn.ANCHORARRAY(Settings!$BC$14),MATCH(IFERROR(INDEX(Settings!$AK$14:$AK$36,MATCH((((ROUND($H61,6)*2)*1000000)+ROUND($I61,6)),Settings!$AI$14:$AI$36,0)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$36,MATCH((((ROUND($H62,6)*2)*1000000)+ROUND($I62,6)),Settings!$AI$14:$AI$36,0)),"Undefined")="Undefined","Undefined",IFERROR(INDEX(_xlfn.ANCHORARRAY(Settings!$BC$14),MATCH(IFERROR(INDEX(Settings!$AK$14:$AK$36,MATCH((((ROUND($H62,6)*2)*1000000)+ROUND($I62,6)),Settings!$AI$14:$AI$36,0)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$36,MATCH((((ROUND($H63,6)*2)*1000000)+ROUND($I63,6)),Settings!$AI$14:$AI$36,0)),"Undefined")="Undefined","Undefined",IFERROR(INDEX(_xlfn.ANCHORARRAY(Settings!$BC$14),MATCH(IFERROR(INDEX(Settings!$AK$14:$AK$36,MATCH((((ROUND($H63,6)*2)*1000000)+ROUND($I63,6)),Settings!$AI$14:$AI$36,0)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$36,MATCH((((ROUND($H64,6)*2)*1000000)+ROUND($I64,6)),Settings!$AI$14:$AI$36,0)),"Undefined")="Undefined","Undefined",IFERROR(INDEX(_xlfn.ANCHORARRAY(Settings!$BC$14),MATCH(IFERROR(INDEX(Settings!$AK$14:$AK$36,MATCH((((ROUND($H64,6)*2)*1000000)+ROUND($I64,6)),Settings!$AI$14:$AI$36,0)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$36,MATCH((((ROUND($H65,6)*2)*1000000)+ROUND($I65,6)),Settings!$AI$14:$AI$36,0)),"Undefined")="Undefined","Undefined",IFERROR(INDEX(_xlfn.ANCHORARRAY(Settings!$BC$14),MATCH(IFERROR(INDEX(Settings!$AK$14:$AK$36,MATCH((((ROUND($H65,6)*2)*1000000)+ROUND($I65,6)),Settings!$AI$14:$AI$36,0)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$36,MATCH((((ROUND($H66,6)*2)*1000000)+ROUND($I66,6)),Settings!$AI$14:$AI$36,0)),"Undefined")="Undefined","Undefined",IFERROR(INDEX(_xlfn.ANCHORARRAY(Settings!$BC$14),MATCH(IFERROR(INDEX(Settings!$AK$14:$AK$36,MATCH((((ROUND($H66,6)*2)*1000000)+ROUND($I66,6)),Settings!$AI$14:$AI$36,0)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$36,MATCH((((ROUND($H67,6)*2)*1000000)+ROUND($I67,6)),Settings!$AI$14:$AI$36,0)),"Undefined")="Undefined","Undefined",IFERROR(INDEX(_xlfn.ANCHORARRAY(Settings!$BC$14),MATCH(IFERROR(INDEX(Settings!$AK$14:$AK$36,MATCH((((ROUND($H67,6)*2)*1000000)+ROUND($I67,6)),Settings!$AI$14:$AI$36,0)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$36,MATCH((((ROUND($H68,6)*2)*1000000)+ROUND($I68,6)),Settings!$AI$14:$AI$36,0)),"Undefined")="Undefined","Undefined",IFERROR(INDEX(_xlfn.ANCHORARRAY(Settings!$BC$14),MATCH(IFERROR(INDEX(Settings!$AK$14:$AK$36,MATCH((((ROUND($H68,6)*2)*1000000)+ROUND($I68,6)),Settings!$AI$14:$AI$36,0)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$36,MATCH((((ROUND($H69,6)*2)*1000000)+ROUND($I69,6)),Settings!$AI$14:$AI$36,0)),"Undefined")="Undefined","Undefined",IFERROR(INDEX(_xlfn.ANCHORARRAY(Settings!$BC$14),MATCH(IFERROR(INDEX(Settings!$AK$14:$AK$36,MATCH((((ROUND($H69,6)*2)*1000000)+ROUND($I69,6)),Settings!$AI$14:$AI$36,0)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$36,MATCH((((ROUND($H70,6)*2)*1000000)+ROUND($I70,6)),Settings!$AI$14:$AI$36,0)),"Undefined")="Undefined","Undefined",IFERROR(INDEX(_xlfn.ANCHORARRAY(Settings!$BC$14),MATCH(IFERROR(INDEX(Settings!$AK$14:$AK$36,MATCH((((ROUND($H70,6)*2)*1000000)+ROUND($I70,6)),Settings!$AI$14:$AI$36,0)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$36,MATCH((((ROUND($H71,6)*2)*1000000)+ROUND($I71,6)),Settings!$AI$14:$AI$36,0)),"Undefined")="Undefined","Undefined",IFERROR(INDEX(_xlfn.ANCHORARRAY(Settings!$BC$14),MATCH(IFERROR(INDEX(Settings!$AK$14:$AK$36,MATCH((((ROUND($H71,6)*2)*1000000)+ROUND($I71,6)),Settings!$AI$14:$AI$36,0)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$36,MATCH((((ROUND($H72,6)*2)*1000000)+ROUND($I72,6)),Settings!$AI$14:$AI$36,0)),"Undefined")="Undefined","Undefined",IFERROR(INDEX(_xlfn.ANCHORARRAY(Settings!$BC$14),MATCH(IFERROR(INDEX(Settings!$AK$14:$AK$36,MATCH((((ROUND($H72,6)*2)*1000000)+ROUND($I72,6)),Settings!$AI$14:$AI$36,0)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$36,MATCH((((ROUND($H73,6)*2)*1000000)+ROUND($I73,6)),Settings!$AI$14:$AI$36,0)),"Undefined")="Undefined","Undefined",IFERROR(INDEX(_xlfn.ANCHORARRAY(Settings!$BC$14),MATCH(IFERROR(INDEX(Settings!$AK$14:$AK$36,MATCH((((ROUND($H73,6)*2)*1000000)+ROUND($I73,6)),Settings!$AI$14:$AI$36,0)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$36,MATCH((((ROUND($H74,6)*2)*1000000)+ROUND($I74,6)),Settings!$AI$14:$AI$36,0)),"Undefined")="Undefined","Undefined",IFERROR(INDEX(_xlfn.ANCHORARRAY(Settings!$BC$14),MATCH(IFERROR(INDEX(Settings!$AK$14:$AK$36,MATCH((((ROUND($H74,6)*2)*1000000)+ROUND($I74,6)),Settings!$AI$14:$AI$36,0)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$36,MATCH((((ROUND($H75,6)*2)*1000000)+ROUND($I75,6)),Settings!$AI$14:$AI$36,0)),"Undefined")="Undefined","Undefined",IFERROR(INDEX(_xlfn.ANCHORARRAY(Settings!$BC$14),MATCH(IFERROR(INDEX(Settings!$AK$14:$AK$36,MATCH((((ROUND($H75,6)*2)*1000000)+ROUND($I75,6)),Settings!$AI$14:$AI$36,0)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$36,MATCH((((ROUND($H76,6)*2)*1000000)+ROUND($I76,6)),Settings!$AI$14:$AI$36,0)),"Undefined")="Undefined","Undefined",IFERROR(INDEX(_xlfn.ANCHORARRAY(Settings!$BC$14),MATCH(IFERROR(INDEX(Settings!$AK$14:$AK$36,MATCH((((ROUND($H76,6)*2)*1000000)+ROUND($I76,6)),Settings!$AI$14:$AI$36,0)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$36,MATCH((((ROUND($H77,6)*2)*1000000)+ROUND($I77,6)),Settings!$AI$14:$AI$36,0)),"Undefined")="Undefined","Undefined",IFERROR(INDEX(_xlfn.ANCHORARRAY(Settings!$BC$14),MATCH(IFERROR(INDEX(Settings!$AK$14:$AK$36,MATCH((((ROUND($H77,6)*2)*1000000)+ROUND($I77,6)),Settings!$AI$14:$AI$36,0)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$36,MATCH((((ROUND($H78,6)*2)*1000000)+ROUND($I78,6)),Settings!$AI$14:$AI$36,0)),"Undefined")="Undefined","Undefined",IFERROR(INDEX(_xlfn.ANCHORARRAY(Settings!$BC$14),MATCH(IFERROR(INDEX(Settings!$AK$14:$AK$36,MATCH((((ROUND($H78,6)*2)*1000000)+ROUND($I78,6)),Settings!$AI$14:$AI$36,0)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$36,MATCH((((ROUND($H79,6)*2)*1000000)+ROUND($I79,6)),Settings!$AI$14:$AI$36,0)),"Undefined")="Undefined","Undefined",IFERROR(INDEX(_xlfn.ANCHORARRAY(Settings!$BC$14),MATCH(IFERROR(INDEX(Settings!$AK$14:$AK$36,MATCH((((ROUND($H79,6)*2)*1000000)+ROUND($I79,6)),Settings!$AI$14:$AI$36,0)),"Undefined"),_xlfn.ANCHORARRAY(Settings!$BC$14),0)),"Inactive")))</f>
        <v/>
      </c>
      <c r="L79" s="320"/>
      <c r="M79" s="168" t="str">
        <f t="shared" si="464"/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$36,MATCH((((ROUND($H80,6)*2)*1000000)+ROUND($I80,6)),Settings!$AI$14:$AI$36,0)),"Undefined")="Undefined","Undefined",IFERROR(INDEX(_xlfn.ANCHORARRAY(Settings!$BC$14),MATCH(IFERROR(INDEX(Settings!$AK$14:$AK$36,MATCH((((ROUND($H80,6)*2)*1000000)+ROUND($I80,6)),Settings!$AI$14:$AI$36,0)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$36,MATCH((((ROUND($H81,6)*2)*1000000)+ROUND($I81,6)),Settings!$AI$14:$AI$36,0)),"Undefined")="Undefined","Undefined",IFERROR(INDEX(_xlfn.ANCHORARRAY(Settings!$BC$14),MATCH(IFERROR(INDEX(Settings!$AK$14:$AK$36,MATCH((((ROUND($H81,6)*2)*1000000)+ROUND($I81,6)),Settings!$AI$14:$AI$36,0)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$36,MATCH((((ROUND($H82,6)*2)*1000000)+ROUND($I82,6)),Settings!$AI$14:$AI$36,0)),"Undefined")="Undefined","Undefined",IFERROR(INDEX(_xlfn.ANCHORARRAY(Settings!$BC$14),MATCH(IFERROR(INDEX(Settings!$AK$14:$AK$36,MATCH((((ROUND($H82,6)*2)*1000000)+ROUND($I82,6)),Settings!$AI$14:$AI$36,0)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$36,MATCH((((ROUND($H83,6)*2)*1000000)+ROUND($I83,6)),Settings!$AI$14:$AI$36,0)),"Undefined")="Undefined","Undefined",IFERROR(INDEX(_xlfn.ANCHORARRAY(Settings!$BC$14),MATCH(IFERROR(INDEX(Settings!$AK$14:$AK$36,MATCH((((ROUND($H83,6)*2)*1000000)+ROUND($I83,6)),Settings!$AI$14:$AI$36,0)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542"/>
        <v/>
      </c>
      <c r="IK83" s="533" t="str">
        <f t="shared" si="517"/>
        <v/>
      </c>
      <c r="IL83" s="727" t="str">
        <f t="shared" si="647"/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$36,MATCH((((ROUND($H84,6)*2)*1000000)+ROUND($I84,6)),Settings!$AI$14:$AI$36,0)),"Undefined")="Undefined","Undefined",IFERROR(INDEX(_xlfn.ANCHORARRAY(Settings!$BC$14),MATCH(IFERROR(INDEX(Settings!$AK$14:$AK$36,MATCH((((ROUND($H84,6)*2)*1000000)+ROUND($I84,6)),Settings!$AI$14:$AI$36,0)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$36,MATCH((((ROUND($H85,6)*2)*1000000)+ROUND($I85,6)),Settings!$AI$14:$AI$36,0)),"Undefined")="Undefined","Undefined",IFERROR(INDEX(_xlfn.ANCHORARRAY(Settings!$BC$14),MATCH(IFERROR(INDEX(Settings!$AK$14:$AK$36,MATCH((((ROUND($H85,6)*2)*1000000)+ROUND($I85,6)),Settings!$AI$14:$AI$36,0)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$36,MATCH((((ROUND($H86,6)*2)*1000000)+ROUND($I86,6)),Settings!$AI$14:$AI$36,0)),"Undefined")="Undefined","Undefined",IFERROR(INDEX(_xlfn.ANCHORARRAY(Settings!$BC$14),MATCH(IFERROR(INDEX(Settings!$AK$14:$AK$36,MATCH((((ROUND($H86,6)*2)*1000000)+ROUND($I86,6)),Settings!$AI$14:$AI$36,0)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$36,MATCH((((ROUND($H87,6)*2)*1000000)+ROUND($I87,6)),Settings!$AI$14:$AI$36,0)),"Undefined")="Undefined","Undefined",IFERROR(INDEX(_xlfn.ANCHORARRAY(Settings!$BC$14),MATCH(IFERROR(INDEX(Settings!$AK$14:$AK$36,MATCH((((ROUND($H87,6)*2)*1000000)+ROUND($I87,6)),Settings!$AI$14:$AI$36,0)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$36,MATCH((((ROUND($H88,6)*2)*1000000)+ROUND($I88,6)),Settings!$AI$14:$AI$36,0)),"Undefined")="Undefined","Undefined",IFERROR(INDEX(_xlfn.ANCHORARRAY(Settings!$BC$14),MATCH(IFERROR(INDEX(Settings!$AK$14:$AK$36,MATCH((((ROUND($H88,6)*2)*1000000)+ROUND($I88,6)),Settings!$AI$14:$AI$36,0)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$36,MATCH((((ROUND($H89,6)*2)*1000000)+ROUND($I89,6)),Settings!$AI$14:$AI$36,0)),"Undefined")="Undefined","Undefined",IFERROR(INDEX(_xlfn.ANCHORARRAY(Settings!$BC$14),MATCH(IFERROR(INDEX(Settings!$AK$14:$AK$36,MATCH((((ROUND($H89,6)*2)*1000000)+ROUND($I89,6)),Settings!$AI$14:$AI$36,0)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$36,MATCH((((ROUND($H90,6)*2)*1000000)+ROUND($I90,6)),Settings!$AI$14:$AI$36,0)),"Undefined")="Undefined","Undefined",IFERROR(INDEX(_xlfn.ANCHORARRAY(Settings!$BC$14),MATCH(IFERROR(INDEX(Settings!$AK$14:$AK$36,MATCH((((ROUND($H90,6)*2)*1000000)+ROUND($I90,6)),Settings!$AI$14:$AI$36,0)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$36,MATCH((((ROUND($H91,6)*2)*1000000)+ROUND($I91,6)),Settings!$AI$14:$AI$36,0)),"Undefined")="Undefined","Undefined",IFERROR(INDEX(_xlfn.ANCHORARRAY(Settings!$BC$14),MATCH(IFERROR(INDEX(Settings!$AK$14:$AK$36,MATCH((((ROUND($H91,6)*2)*1000000)+ROUND($I91,6)),Settings!$AI$14:$AI$36,0)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$36,MATCH((((ROUND($H92,6)*2)*1000000)+ROUND($I92,6)),Settings!$AI$14:$AI$36,0)),"Undefined")="Undefined","Undefined",IFERROR(INDEX(_xlfn.ANCHORARRAY(Settings!$BC$14),MATCH(IFERROR(INDEX(Settings!$AK$14:$AK$36,MATCH((((ROUND($H92,6)*2)*1000000)+ROUND($I92,6)),Settings!$AI$14:$AI$36,0)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$36,MATCH((((ROUND($H93,6)*2)*1000000)+ROUND($I93,6)),Settings!$AI$14:$AI$36,0)),"Undefined")="Undefined","Undefined",IFERROR(INDEX(_xlfn.ANCHORARRAY(Settings!$BC$14),MATCH(IFERROR(INDEX(Settings!$AK$14:$AK$36,MATCH((((ROUND($H93,6)*2)*1000000)+ROUND($I93,6)),Settings!$AI$14:$AI$36,0)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$36,MATCH((((ROUND($H94,6)*2)*1000000)+ROUND($I94,6)),Settings!$AI$14:$AI$36,0)),"Undefined")="Undefined","Undefined",IFERROR(INDEX(_xlfn.ANCHORARRAY(Settings!$BC$14),MATCH(IFERROR(INDEX(Settings!$AK$14:$AK$36,MATCH((((ROUND($H94,6)*2)*1000000)+ROUND($I94,6)),Settings!$AI$14:$AI$36,0)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$36,MATCH((((ROUND($H95,6)*2)*1000000)+ROUND($I95,6)),Settings!$AI$14:$AI$36,0)),"Undefined")="Undefined","Undefined",IFERROR(INDEX(_xlfn.ANCHORARRAY(Settings!$BC$14),MATCH(IFERROR(INDEX(Settings!$AK$14:$AK$36,MATCH((((ROUND($H95,6)*2)*1000000)+ROUND($I95,6)),Settings!$AI$14:$AI$36,0)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$36,MATCH((((ROUND($H96,6)*2)*1000000)+ROUND($I96,6)),Settings!$AI$14:$AI$36,0)),"Undefined")="Undefined","Undefined",IFERROR(INDEX(_xlfn.ANCHORARRAY(Settings!$BC$14),MATCH(IFERROR(INDEX(Settings!$AK$14:$AK$36,MATCH((((ROUND($H96,6)*2)*1000000)+ROUND($I96,6)),Settings!$AI$14:$AI$36,0)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$36,MATCH((((ROUND($H97,6)*2)*1000000)+ROUND($I97,6)),Settings!$AI$14:$AI$36,0)),"Undefined")="Undefined","Undefined",IFERROR(INDEX(_xlfn.ANCHORARRAY(Settings!$BC$14),MATCH(IFERROR(INDEX(Settings!$AK$14:$AK$36,MATCH((((ROUND($H97,6)*2)*1000000)+ROUND($I97,6)),Settings!$AI$14:$AI$36,0)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$36,MATCH((((ROUND($H98,6)*2)*1000000)+ROUND($I98,6)),Settings!$AI$14:$AI$36,0)),"Undefined")="Undefined","Undefined",IFERROR(INDEX(_xlfn.ANCHORARRAY(Settings!$BC$14),MATCH(IFERROR(INDEX(Settings!$AK$14:$AK$36,MATCH((((ROUND($H98,6)*2)*1000000)+ROUND($I98,6)),Settings!$AI$14:$AI$36,0)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$36,MATCH((((ROUND($H99,6)*2)*1000000)+ROUND($I99,6)),Settings!$AI$14:$AI$36,0)),"Undefined")="Undefined","Undefined",IFERROR(INDEX(_xlfn.ANCHORARRAY(Settings!$BC$14),MATCH(IFERROR(INDEX(Settings!$AK$14:$AK$36,MATCH((((ROUND($H99,6)*2)*1000000)+ROUND($I99,6)),Settings!$AI$14:$AI$36,0)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$36,MATCH((((ROUND($H100,6)*2)*1000000)+ROUND($I100,6)),Settings!$AI$14:$AI$36,0)),"Undefined")="Undefined","Undefined",IFERROR(INDEX(_xlfn.ANCHORARRAY(Settings!$BC$14),MATCH(IFERROR(INDEX(Settings!$AK$14:$AK$36,MATCH((((ROUND($H100,6)*2)*1000000)+ROUND($I100,6)),Settings!$AI$14:$AI$36,0)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$36,MATCH((((ROUND($H101,6)*2)*1000000)+ROUND($I101,6)),Settings!$AI$14:$AI$36,0)),"Undefined")="Undefined","Undefined",IFERROR(INDEX(_xlfn.ANCHORARRAY(Settings!$BC$14),MATCH(IFERROR(INDEX(Settings!$AK$14:$AK$36,MATCH((((ROUND($H101,6)*2)*1000000)+ROUND($I101,6)),Settings!$AI$14:$AI$36,0)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$36,MATCH((((ROUND($H102,6)*2)*1000000)+ROUND($I102,6)),Settings!$AI$14:$AI$36,0)),"Undefined")="Undefined","Undefined",IFERROR(INDEX(_xlfn.ANCHORARRAY(Settings!$BC$14),MATCH(IFERROR(INDEX(Settings!$AK$14:$AK$36,MATCH((((ROUND($H102,6)*2)*1000000)+ROUND($I102,6)),Settings!$AI$14:$AI$36,0)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$36,MATCH((((ROUND($H103,6)*2)*1000000)+ROUND($I103,6)),Settings!$AI$14:$AI$36,0)),"Undefined")="Undefined","Undefined",IFERROR(INDEX(_xlfn.ANCHORARRAY(Settings!$BC$14),MATCH(IFERROR(INDEX(Settings!$AK$14:$AK$36,MATCH((((ROUND($H103,6)*2)*1000000)+ROUND($I103,6)),Settings!$AI$14:$AI$36,0)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$36,MATCH((((ROUND($H104,6)*2)*1000000)+ROUND($I104,6)),Settings!$AI$14:$AI$36,0)),"Undefined")="Undefined","Undefined",IFERROR(INDEX(_xlfn.ANCHORARRAY(Settings!$BC$14),MATCH(IFERROR(INDEX(Settings!$AK$14:$AK$36,MATCH((((ROUND($H104,6)*2)*1000000)+ROUND($I104,6)),Settings!$AI$14:$AI$36,0)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$36,MATCH((((ROUND($H105,6)*2)*1000000)+ROUND($I105,6)),Settings!$AI$14:$AI$36,0)),"Undefined")="Undefined","Undefined",IFERROR(INDEX(_xlfn.ANCHORARRAY(Settings!$BC$14),MATCH(IFERROR(INDEX(Settings!$AK$14:$AK$36,MATCH((((ROUND($H105,6)*2)*1000000)+ROUND($I105,6)),Settings!$AI$14:$AI$36,0)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$36,MATCH((((ROUND($H106,6)*2)*1000000)+ROUND($I106,6)),Settings!$AI$14:$AI$36,0)),"Undefined")="Undefined","Undefined",IFERROR(INDEX(_xlfn.ANCHORARRAY(Settings!$BC$14),MATCH(IFERROR(INDEX(Settings!$AK$14:$AK$36,MATCH((((ROUND($H106,6)*2)*1000000)+ROUND($I106,6)),Settings!$AI$14:$AI$36,0)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$36,MATCH((((ROUND($H107,6)*2)*1000000)+ROUND($I107,6)),Settings!$AI$14:$AI$36,0)),"Undefined")="Undefined","Undefined",IFERROR(INDEX(_xlfn.ANCHORARRAY(Settings!$BC$14),MATCH(IFERROR(INDEX(Settings!$AK$14:$AK$36,MATCH((((ROUND($H107,6)*2)*1000000)+ROUND($I107,6)),Settings!$AI$14:$AI$36,0)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$36,MATCH((((ROUND($H108,6)*2)*1000000)+ROUND($I108,6)),Settings!$AI$14:$AI$36,0)),"Undefined")="Undefined","Undefined",IFERROR(INDEX(_xlfn.ANCHORARRAY(Settings!$BC$14),MATCH(IFERROR(INDEX(Settings!$AK$14:$AK$36,MATCH((((ROUND($H108,6)*2)*1000000)+ROUND($I108,6)),Settings!$AI$14:$AI$36,0)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$36,MATCH((((ROUND($H109,6)*2)*1000000)+ROUND($I109,6)),Settings!$AI$14:$AI$36,0)),"Undefined")="Undefined","Undefined",IFERROR(INDEX(_xlfn.ANCHORARRAY(Settings!$BC$14),MATCH(IFERROR(INDEX(Settings!$AK$14:$AK$36,MATCH((((ROUND($H109,6)*2)*1000000)+ROUND($I109,6)),Settings!$AI$14:$AI$36,0)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$36,MATCH((((ROUND($H110,6)*2)*1000000)+ROUND($I110,6)),Settings!$AI$14:$AI$36,0)),"Undefined")="Undefined","Undefined",IFERROR(INDEX(_xlfn.ANCHORARRAY(Settings!$BC$14),MATCH(IFERROR(INDEX(Settings!$AK$14:$AK$36,MATCH((((ROUND($H110,6)*2)*1000000)+ROUND($I110,6)),Settings!$AI$14:$AI$36,0)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$36,MATCH((((ROUND($H111,6)*2)*1000000)+ROUND($I111,6)),Settings!$AI$14:$AI$36,0)),"Undefined")="Undefined","Undefined",IFERROR(INDEX(_xlfn.ANCHORARRAY(Settings!$BC$14),MATCH(IFERROR(INDEX(Settings!$AK$14:$AK$36,MATCH((((ROUND($H111,6)*2)*1000000)+ROUND($I111,6)),Settings!$AI$14:$AI$36,0)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$36,MATCH((((ROUND($H112,6)*2)*1000000)+ROUND($I112,6)),Settings!$AI$14:$AI$36,0)),"Undefined")="Undefined","Undefined",IFERROR(INDEX(_xlfn.ANCHORARRAY(Settings!$BC$14),MATCH(IFERROR(INDEX(Settings!$AK$14:$AK$36,MATCH((((ROUND($H112,6)*2)*1000000)+ROUND($I112,6)),Settings!$AI$14:$AI$36,0)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$36,MATCH((((ROUND($H113,6)*2)*1000000)+ROUND($I113,6)),Settings!$AI$14:$AI$36,0)),"Undefined")="Undefined","Undefined",IFERROR(INDEX(_xlfn.ANCHORARRAY(Settings!$BC$14),MATCH(IFERROR(INDEX(Settings!$AK$14:$AK$36,MATCH((((ROUND($H113,6)*2)*1000000)+ROUND($I113,6)),Settings!$AI$14:$AI$36,0)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$36,MATCH((((ROUND($H114,6)*2)*1000000)+ROUND($I114,6)),Settings!$AI$14:$AI$36,0)),"Undefined")="Undefined","Undefined",IFERROR(INDEX(_xlfn.ANCHORARRAY(Settings!$BC$14),MATCH(IFERROR(INDEX(Settings!$AK$14:$AK$36,MATCH((((ROUND($H114,6)*2)*1000000)+ROUND($I114,6)),Settings!$AI$14:$AI$36,0)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$36,MATCH((((ROUND($H115,6)*2)*1000000)+ROUND($I115,6)),Settings!$AI$14:$AI$36,0)),"Undefined")="Undefined","Undefined",IFERROR(INDEX(_xlfn.ANCHORARRAY(Settings!$BC$14),MATCH(IFERROR(INDEX(Settings!$AK$14:$AK$36,MATCH((((ROUND($H115,6)*2)*1000000)+ROUND($I115,6)),Settings!$AI$14:$AI$36,0)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$36,MATCH((((ROUND($H116,6)*2)*1000000)+ROUND($I116,6)),Settings!$AI$14:$AI$36,0)),"Undefined")="Undefined","Undefined",IFERROR(INDEX(_xlfn.ANCHORARRAY(Settings!$BC$14),MATCH(IFERROR(INDEX(Settings!$AK$14:$AK$36,MATCH((((ROUND($H116,6)*2)*1000000)+ROUND($I116,6)),Settings!$AI$14:$AI$36,0)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$36,MATCH((((ROUND($H117,6)*2)*1000000)+ROUND($I117,6)),Settings!$AI$14:$AI$36,0)),"Undefined")="Undefined","Undefined",IFERROR(INDEX(_xlfn.ANCHORARRAY(Settings!$BC$14),MATCH(IFERROR(INDEX(Settings!$AK$14:$AK$36,MATCH((((ROUND($H117,6)*2)*1000000)+ROUND($I117,6)),Settings!$AI$14:$AI$36,0)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$36,MATCH((((ROUND($H118,6)*2)*1000000)+ROUND($I118,6)),Settings!$AI$14:$AI$36,0)),"Undefined")="Undefined","Undefined",IFERROR(INDEX(_xlfn.ANCHORARRAY(Settings!$BC$14),MATCH(IFERROR(INDEX(Settings!$AK$14:$AK$36,MATCH((((ROUND($H118,6)*2)*1000000)+ROUND($I118,6)),Settings!$AI$14:$AI$36,0)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$36,MATCH((((ROUND($H119,6)*2)*1000000)+ROUND($I119,6)),Settings!$AI$14:$AI$36,0)),"Undefined")="Undefined","Undefined",IFERROR(INDEX(_xlfn.ANCHORARRAY(Settings!$BC$14),MATCH(IFERROR(INDEX(Settings!$AK$14:$AK$36,MATCH((((ROUND($H119,6)*2)*1000000)+ROUND($I119,6)),Settings!$AI$14:$AI$36,0)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$36,MATCH((((ROUND($H120,6)*2)*1000000)+ROUND($I120,6)),Settings!$AI$14:$AI$36,0)),"Undefined")="Undefined","Undefined",IFERROR(INDEX(_xlfn.ANCHORARRAY(Settings!$BC$14),MATCH(IFERROR(INDEX(Settings!$AK$14:$AK$36,MATCH((((ROUND($H120,6)*2)*1000000)+ROUND($I120,6)),Settings!$AI$14:$AI$36,0)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$36,MATCH((((ROUND($H121,6)*2)*1000000)+ROUND($I121,6)),Settings!$AI$14:$AI$36,0)),"Undefined")="Undefined","Undefined",IFERROR(INDEX(_xlfn.ANCHORARRAY(Settings!$BC$14),MATCH(IFERROR(INDEX(Settings!$AK$14:$AK$36,MATCH((((ROUND($H121,6)*2)*1000000)+ROUND($I121,6)),Settings!$AI$14:$AI$36,0)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$36,MATCH((((ROUND($H122,6)*2)*1000000)+ROUND($I122,6)),Settings!$AI$14:$AI$36,0)),"Undefined")="Undefined","Undefined",IFERROR(INDEX(_xlfn.ANCHORARRAY(Settings!$BC$14),MATCH(IFERROR(INDEX(Settings!$AK$14:$AK$36,MATCH((((ROUND($H122,6)*2)*1000000)+ROUND($I122,6)),Settings!$AI$14:$AI$36,0)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$36,MATCH((((ROUND($H123,6)*2)*1000000)+ROUND($I123,6)),Settings!$AI$14:$AI$36,0)),"Undefined")="Undefined","Undefined",IFERROR(INDEX(_xlfn.ANCHORARRAY(Settings!$BC$14),MATCH(IFERROR(INDEX(Settings!$AK$14:$AK$36,MATCH((((ROUND($H123,6)*2)*1000000)+ROUND($I123,6)),Settings!$AI$14:$AI$36,0)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$36,MATCH((((ROUND($H124,6)*2)*1000000)+ROUND($I124,6)),Settings!$AI$14:$AI$36,0)),"Undefined")="Undefined","Undefined",IFERROR(INDEX(_xlfn.ANCHORARRAY(Settings!$BC$14),MATCH(IFERROR(INDEX(Settings!$AK$14:$AK$36,MATCH((((ROUND($H124,6)*2)*1000000)+ROUND($I124,6)),Settings!$AI$14:$AI$36,0)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$36,MATCH((((ROUND($H125,6)*2)*1000000)+ROUND($I125,6)),Settings!$AI$14:$AI$36,0)),"Undefined")="Undefined","Undefined",IFERROR(INDEX(_xlfn.ANCHORARRAY(Settings!$BC$14),MATCH(IFERROR(INDEX(Settings!$AK$14:$AK$36,MATCH((((ROUND($H125,6)*2)*1000000)+ROUND($I125,6)),Settings!$AI$14:$AI$36,0)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$36,MATCH((((ROUND($H126,6)*2)*1000000)+ROUND($I126,6)),Settings!$AI$14:$AI$36,0)),"Undefined")="Undefined","Undefined",IFERROR(INDEX(_xlfn.ANCHORARRAY(Settings!$BC$14),MATCH(IFERROR(INDEX(Settings!$AK$14:$AK$36,MATCH((((ROUND($H126,6)*2)*1000000)+ROUND($I126,6)),Settings!$AI$14:$AI$36,0)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$36,MATCH((((ROUND($H127,6)*2)*1000000)+ROUND($I127,6)),Settings!$AI$14:$AI$36,0)),"Undefined")="Undefined","Undefined",IFERROR(INDEX(_xlfn.ANCHORARRAY(Settings!$BC$14),MATCH(IFERROR(INDEX(Settings!$AK$14:$AK$36,MATCH((((ROUND($H127,6)*2)*1000000)+ROUND($I127,6)),Settings!$AI$14:$AI$36,0)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$36,MATCH((((ROUND($H128,6)*2)*1000000)+ROUND($I128,6)),Settings!$AI$14:$AI$36,0)),"Undefined")="Undefined","Undefined",IFERROR(INDEX(_xlfn.ANCHORARRAY(Settings!$BC$14),MATCH(IFERROR(INDEX(Settings!$AK$14:$AK$36,MATCH((((ROUND($H128,6)*2)*1000000)+ROUND($I128,6)),Settings!$AI$14:$AI$36,0)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$36,MATCH((((ROUND($H129,6)*2)*1000000)+ROUND($I129,6)),Settings!$AI$14:$AI$36,0)),"Undefined")="Undefined","Undefined",IFERROR(INDEX(_xlfn.ANCHORARRAY(Settings!$BC$14),MATCH(IFERROR(INDEX(Settings!$AK$14:$AK$36,MATCH((((ROUND($H129,6)*2)*1000000)+ROUND($I129,6)),Settings!$AI$14:$AI$36,0)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$36,MATCH((((ROUND($H130,6)*2)*1000000)+ROUND($I130,6)),Settings!$AI$14:$AI$36,0)),"Undefined")="Undefined","Undefined",IFERROR(INDEX(_xlfn.ANCHORARRAY(Settings!$BC$14),MATCH(IFERROR(INDEX(Settings!$AK$14:$AK$36,MATCH((((ROUND($H130,6)*2)*1000000)+ROUND($I130,6)),Settings!$AI$14:$AI$36,0)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$36,MATCH((((ROUND($H131,6)*2)*1000000)+ROUND($I131,6)),Settings!$AI$14:$AI$36,0)),"Undefined")="Undefined","Undefined",IFERROR(INDEX(_xlfn.ANCHORARRAY(Settings!$BC$14),MATCH(IFERROR(INDEX(Settings!$AK$14:$AK$36,MATCH((((ROUND($H131,6)*2)*1000000)+ROUND($I131,6)),Settings!$AI$14:$AI$36,0)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$36,MATCH((((ROUND($H132,6)*2)*1000000)+ROUND($I132,6)),Settings!$AI$14:$AI$36,0)),"Undefined")="Undefined","Undefined",IFERROR(INDEX(_xlfn.ANCHORARRAY(Settings!$BC$14),MATCH(IFERROR(INDEX(Settings!$AK$14:$AK$36,MATCH((((ROUND($H132,6)*2)*1000000)+ROUND($I132,6)),Settings!$AI$14:$AI$36,0)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$36,MATCH((((ROUND($H133,6)*2)*1000000)+ROUND($I133,6)),Settings!$AI$14:$AI$36,0)),"Undefined")="Undefined","Undefined",IFERROR(INDEX(_xlfn.ANCHORARRAY(Settings!$BC$14),MATCH(IFERROR(INDEX(Settings!$AK$14:$AK$36,MATCH((((ROUND($H133,6)*2)*1000000)+ROUND($I133,6)),Settings!$AI$14:$AI$36,0)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$36,MATCH((((ROUND($H134,6)*2)*1000000)+ROUND($I134,6)),Settings!$AI$14:$AI$36,0)),"Undefined")="Undefined","Undefined",IFERROR(INDEX(_xlfn.ANCHORARRAY(Settings!$BC$14),MATCH(IFERROR(INDEX(Settings!$AK$14:$AK$36,MATCH((((ROUND($H134,6)*2)*1000000)+ROUND($I134,6)),Settings!$AI$14:$AI$36,0)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$36,MATCH((((ROUND($H135,6)*2)*1000000)+ROUND($I135,6)),Settings!$AI$14:$AI$36,0)),"Undefined")="Undefined","Undefined",IFERROR(INDEX(_xlfn.ANCHORARRAY(Settings!$BC$14),MATCH(IFERROR(INDEX(Settings!$AK$14:$AK$36,MATCH((((ROUND($H135,6)*2)*1000000)+ROUND($I135,6)),Settings!$AI$14:$AI$36,0)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$36,MATCH((((ROUND($H136,6)*2)*1000000)+ROUND($I136,6)),Settings!$AI$14:$AI$36,0)),"Undefined")="Undefined","Undefined",IFERROR(INDEX(_xlfn.ANCHORARRAY(Settings!$BC$14),MATCH(IFERROR(INDEX(Settings!$AK$14:$AK$36,MATCH((((ROUND($H136,6)*2)*1000000)+ROUND($I136,6)),Settings!$AI$14:$AI$36,0)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$36,MATCH((((ROUND($H137,6)*2)*1000000)+ROUND($I137,6)),Settings!$AI$14:$AI$36,0)),"Undefined")="Undefined","Undefined",IFERROR(INDEX(_xlfn.ANCHORARRAY(Settings!$BC$14),MATCH(IFERROR(INDEX(Settings!$AK$14:$AK$36,MATCH((((ROUND($H137,6)*2)*1000000)+ROUND($I137,6)),Settings!$AI$14:$AI$36,0)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$36,MATCH((((ROUND($H138,6)*2)*1000000)+ROUND($I138,6)),Settings!$AI$14:$AI$36,0)),"Undefined")="Undefined","Undefined",IFERROR(INDEX(_xlfn.ANCHORARRAY(Settings!$BC$14),MATCH(IFERROR(INDEX(Settings!$AK$14:$AK$36,MATCH((((ROUND($H138,6)*2)*1000000)+ROUND($I138,6)),Settings!$AI$14:$AI$36,0)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$36,MATCH((((ROUND($H139,6)*2)*1000000)+ROUND($I139,6)),Settings!$AI$14:$AI$36,0)),"Undefined")="Undefined","Undefined",IFERROR(INDEX(_xlfn.ANCHORARRAY(Settings!$BC$14),MATCH(IFERROR(INDEX(Settings!$AK$14:$AK$36,MATCH((((ROUND($H139,6)*2)*1000000)+ROUND($I139,6)),Settings!$AI$14:$AI$36,0)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$36,MATCH((((ROUND($H140,6)*2)*1000000)+ROUND($I140,6)),Settings!$AI$14:$AI$36,0)),"Undefined")="Undefined","Undefined",IFERROR(INDEX(_xlfn.ANCHORARRAY(Settings!$BC$14),MATCH(IFERROR(INDEX(Settings!$AK$14:$AK$36,MATCH((((ROUND($H140,6)*2)*1000000)+ROUND($I140,6)),Settings!$AI$14:$AI$36,0)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$36,MATCH((((ROUND($H141,6)*2)*1000000)+ROUND($I141,6)),Settings!$AI$14:$AI$36,0)),"Undefined")="Undefined","Undefined",IFERROR(INDEX(_xlfn.ANCHORARRAY(Settings!$BC$14),MATCH(IFERROR(INDEX(Settings!$AK$14:$AK$36,MATCH((((ROUND($H141,6)*2)*1000000)+ROUND($I141,6)),Settings!$AI$14:$AI$36,0)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$36,MATCH((((ROUND($H142,6)*2)*1000000)+ROUND($I142,6)),Settings!$AI$14:$AI$36,0)),"Undefined")="Undefined","Undefined",IFERROR(INDEX(_xlfn.ANCHORARRAY(Settings!$BC$14),MATCH(IFERROR(INDEX(Settings!$AK$14:$AK$36,MATCH((((ROUND($H142,6)*2)*1000000)+ROUND($I142,6)),Settings!$AI$14:$AI$36,0)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$36,MATCH((((ROUND($H143,6)*2)*1000000)+ROUND($I143,6)),Settings!$AI$14:$AI$36,0)),"Undefined")="Undefined","Undefined",IFERROR(INDEX(_xlfn.ANCHORARRAY(Settings!$BC$14),MATCH(IFERROR(INDEX(Settings!$AK$14:$AK$36,MATCH((((ROUND($H143,6)*2)*1000000)+ROUND($I143,6)),Settings!$AI$14:$AI$36,0)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$36,MATCH((((ROUND($H144,6)*2)*1000000)+ROUND($I144,6)),Settings!$AI$14:$AI$36,0)),"Undefined")="Undefined","Undefined",IFERROR(INDEX(_xlfn.ANCHORARRAY(Settings!$BC$14),MATCH(IFERROR(INDEX(Settings!$AK$14:$AK$36,MATCH((((ROUND($H144,6)*2)*1000000)+ROUND($I144,6)),Settings!$AI$14:$AI$36,0)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$36,MATCH((((ROUND($H145,6)*2)*1000000)+ROUND($I145,6)),Settings!$AI$14:$AI$36,0)),"Undefined")="Undefined","Undefined",IFERROR(INDEX(_xlfn.ANCHORARRAY(Settings!$BC$14),MATCH(IFERROR(INDEX(Settings!$AK$14:$AK$36,MATCH((((ROUND($H145,6)*2)*1000000)+ROUND($I145,6)),Settings!$AI$14:$AI$36,0)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$36,MATCH((((ROUND($H146,6)*2)*1000000)+ROUND($I146,6)),Settings!$AI$14:$AI$36,0)),"Undefined")="Undefined","Undefined",IFERROR(INDEX(_xlfn.ANCHORARRAY(Settings!$BC$14),MATCH(IFERROR(INDEX(Settings!$AK$14:$AK$36,MATCH((((ROUND($H146,6)*2)*1000000)+ROUND($I146,6)),Settings!$AI$14:$AI$36,0)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$36,MATCH((((ROUND($H147,6)*2)*1000000)+ROUND($I147,6)),Settings!$AI$14:$AI$36,0)),"Undefined")="Undefined","Undefined",IFERROR(INDEX(_xlfn.ANCHORARRAY(Settings!$BC$14),MATCH(IFERROR(INDEX(Settings!$AK$14:$AK$36,MATCH((((ROUND($H147,6)*2)*1000000)+ROUND($I147,6)),Settings!$AI$14:$AI$36,0)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$36,MATCH((((ROUND($H148,6)*2)*1000000)+ROUND($I148,6)),Settings!$AI$14:$AI$36,0)),"Undefined")="Undefined","Undefined",IFERROR(INDEX(_xlfn.ANCHORARRAY(Settings!$BC$14),MATCH(IFERROR(INDEX(Settings!$AK$14:$AK$36,MATCH((((ROUND($H148,6)*2)*1000000)+ROUND($I148,6)),Settings!$AI$14:$AI$36,0)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$36,MATCH((((ROUND($H149,6)*2)*1000000)+ROUND($I149,6)),Settings!$AI$14:$AI$36,0)),"Undefined")="Undefined","Undefined",IFERROR(INDEX(_xlfn.ANCHORARRAY(Settings!$BC$14),MATCH(IFERROR(INDEX(Settings!$AK$14:$AK$36,MATCH((((ROUND($H149,6)*2)*1000000)+ROUND($I149,6)),Settings!$AI$14:$AI$36,0)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$36,MATCH((((ROUND($H150,6)*2)*1000000)+ROUND($I150,6)),Settings!$AI$14:$AI$36,0)),"Undefined")="Undefined","Undefined",IFERROR(INDEX(_xlfn.ANCHORARRAY(Settings!$BC$14),MATCH(IFERROR(INDEX(Settings!$AK$14:$AK$36,MATCH((((ROUND($H150,6)*2)*1000000)+ROUND($I150,6)),Settings!$AI$14:$AI$36,0)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0.92387955420894763</v>
      </c>
      <c r="F154" s="170">
        <f t="shared" si="929"/>
        <v>6.6452262060448325E-2</v>
      </c>
      <c r="G154" s="170">
        <f t="shared" si="929"/>
        <v>-0.37686956123004373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4.4943442764441767E-2</v>
      </c>
      <c r="G155" s="170">
        <f t="shared" si="929"/>
        <v>-0.2548869674202402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0.96582383476263411</v>
      </c>
      <c r="F156" s="170">
        <f t="shared" si="929"/>
        <v>1.3908185620839595E-2</v>
      </c>
      <c r="G156" s="170">
        <f t="shared" si="929"/>
        <v>-0.2588259696729372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0.96159942571892187</v>
      </c>
      <c r="F157" s="170">
        <f t="shared" si="929"/>
        <v>-0.1402789546787839</v>
      </c>
      <c r="G157" s="170">
        <f t="shared" si="929"/>
        <v>-0.23589904478667875</v>
      </c>
      <c r="H157" s="139"/>
      <c r="I157" s="86"/>
      <c r="J157" s="79">
        <f t="shared" si="930"/>
        <v>1.113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0.92322399488996687</v>
      </c>
      <c r="F158" s="170">
        <f t="shared" si="929"/>
        <v>-0.31408181444569527</v>
      </c>
      <c r="G158" s="170">
        <f t="shared" si="929"/>
        <v>-0.22138217880830044</v>
      </c>
      <c r="H158" s="139"/>
      <c r="I158" s="86"/>
      <c r="J158" s="79">
        <f t="shared" si="930"/>
        <v>1.119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0.86903452048506646</v>
      </c>
      <c r="F159" s="170">
        <f t="shared" si="929"/>
        <v>-0.47188740627802106</v>
      </c>
      <c r="G159" s="170">
        <f t="shared" si="929"/>
        <v>-0.14866498579521864</v>
      </c>
      <c r="H159" s="139"/>
      <c r="I159" s="86"/>
      <c r="J159" s="79">
        <f t="shared" si="930"/>
        <v>1.125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0.83171226077467086</v>
      </c>
      <c r="F160" s="170">
        <f t="shared" si="929"/>
        <v>-0.55090120514502061</v>
      </c>
      <c r="G160" s="170">
        <f t="shared" si="929"/>
        <v>-6.9011429827601584E-2</v>
      </c>
      <c r="H160" s="139"/>
      <c r="I160" s="86"/>
      <c r="J160" s="79">
        <f t="shared" si="930"/>
        <v>1.131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0.44858161997896806</v>
      </c>
      <c r="F161" s="170">
        <f t="shared" si="929"/>
        <v>-0.85942962218173646</v>
      </c>
      <c r="G161" s="170">
        <f t="shared" si="929"/>
        <v>-0.24526568193206871</v>
      </c>
      <c r="H161" s="139"/>
      <c r="I161" s="86"/>
      <c r="J161" s="79">
        <f t="shared" si="930"/>
        <v>2.1120000000000001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0.28969845278603568</v>
      </c>
      <c r="F162" s="170">
        <f t="shared" si="929"/>
        <v>-0.92928698908875074</v>
      </c>
      <c r="G162" s="170">
        <f t="shared" si="929"/>
        <v>-0.22912987226405257</v>
      </c>
      <c r="H162" s="139"/>
      <c r="I162" s="86"/>
      <c r="J162" s="79">
        <f t="shared" si="930"/>
        <v>2.1179999999999999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0.12115157362239415</v>
      </c>
      <c r="F163" s="170">
        <f t="shared" si="929"/>
        <v>-0.97851702316546407</v>
      </c>
      <c r="G163" s="170">
        <f t="shared" si="929"/>
        <v>-0.16681346343810641</v>
      </c>
      <c r="H163" s="139"/>
      <c r="I163" s="86"/>
      <c r="J163" s="79">
        <f t="shared" si="930"/>
        <v>2.1240000000000001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8.3690319142585515E-3</v>
      </c>
      <c r="F164" s="170">
        <f t="shared" si="929"/>
        <v>-0.99758076457897282</v>
      </c>
      <c r="G164" s="170">
        <f t="shared" si="929"/>
        <v>-6.9011429827602083E-2</v>
      </c>
      <c r="H164" s="139"/>
      <c r="I164" s="86"/>
      <c r="J164" s="79">
        <f t="shared" si="930"/>
        <v>2.13</v>
      </c>
    </row>
    <row r="165" spans="5:16" x14ac:dyDescent="0.25">
      <c r="E165" s="170">
        <f t="shared" si="929"/>
        <v>-0.41841257764134132</v>
      </c>
      <c r="F165" s="170">
        <f t="shared" si="929"/>
        <v>-0.84349302217845856</v>
      </c>
      <c r="G165" s="170">
        <f t="shared" si="929"/>
        <v>-0.33682404369014224</v>
      </c>
      <c r="H165" s="139"/>
      <c r="I165" s="86"/>
      <c r="J165" s="79">
        <f t="shared" si="930"/>
        <v>3.1019999999999999</v>
      </c>
    </row>
    <row r="166" spans="5:16" x14ac:dyDescent="0.25">
      <c r="E166" s="170">
        <f t="shared" si="929"/>
        <v>-0.44404127437275692</v>
      </c>
      <c r="F166" s="170">
        <f t="shared" si="929"/>
        <v>-0.85898776504251295</v>
      </c>
      <c r="G166" s="170">
        <f t="shared" si="929"/>
        <v>-0.25488696742024031</v>
      </c>
      <c r="H166" s="139"/>
      <c r="I166" s="86"/>
      <c r="J166" s="79">
        <f t="shared" si="930"/>
        <v>3.105</v>
      </c>
    </row>
    <row r="167" spans="5:16" x14ac:dyDescent="0.25">
      <c r="E167" s="170">
        <f t="shared" si="929"/>
        <v>-0.51351212784143319</v>
      </c>
      <c r="F167" s="170">
        <f t="shared" si="929"/>
        <v>-0.81812709249770832</v>
      </c>
      <c r="G167" s="170">
        <f t="shared" si="929"/>
        <v>-0.25879210784142931</v>
      </c>
      <c r="H167" s="139"/>
      <c r="I167" s="86"/>
      <c r="J167" s="79">
        <f t="shared" si="930"/>
        <v>3.109</v>
      </c>
    </row>
    <row r="168" spans="5:16" x14ac:dyDescent="0.25">
      <c r="E168" s="170">
        <f t="shared" si="929"/>
        <v>-0.64487080740388414</v>
      </c>
      <c r="F168" s="170">
        <f t="shared" si="929"/>
        <v>-0.7289815727310146</v>
      </c>
      <c r="G168" s="170">
        <f t="shared" si="929"/>
        <v>-0.22962471203439561</v>
      </c>
      <c r="H168" s="139"/>
      <c r="I168" s="86"/>
      <c r="J168" s="79">
        <f t="shared" si="930"/>
        <v>3.1150000000000002</v>
      </c>
    </row>
    <row r="169" spans="5:16" x14ac:dyDescent="0.25">
      <c r="E169" s="170">
        <f t="shared" si="929"/>
        <v>-0.77371907434834086</v>
      </c>
      <c r="F169" s="170">
        <f t="shared" si="929"/>
        <v>-0.59940234723020214</v>
      </c>
      <c r="G169" s="170">
        <f t="shared" si="929"/>
        <v>-0.2051234265618411</v>
      </c>
      <c r="H169" s="139"/>
      <c r="I169" s="86"/>
      <c r="J169" s="79">
        <f t="shared" si="930"/>
        <v>3.121</v>
      </c>
    </row>
    <row r="170" spans="5:16" x14ac:dyDescent="0.25">
      <c r="E170" s="170">
        <f t="shared" si="929"/>
        <v>-0.87059683582764058</v>
      </c>
      <c r="F170" s="170">
        <f t="shared" si="929"/>
        <v>-0.47921103150239136</v>
      </c>
      <c r="G170" s="170">
        <f t="shared" si="929"/>
        <v>-0.11143579646287097</v>
      </c>
      <c r="H170" s="139"/>
      <c r="I170" s="86"/>
      <c r="J170" s="79">
        <f t="shared" si="930"/>
        <v>3.1269999999999998</v>
      </c>
    </row>
    <row r="171" spans="5:16" x14ac:dyDescent="0.25">
      <c r="E171" s="170">
        <f t="shared" si="929"/>
        <v>-0.8929508380473743</v>
      </c>
      <c r="F171" s="170">
        <f t="shared" si="929"/>
        <v>-0.44483280385290996</v>
      </c>
      <c r="G171" s="170">
        <f t="shared" si="929"/>
        <v>-6.9011429827605247E-2</v>
      </c>
      <c r="H171" s="139"/>
      <c r="I171" s="86"/>
      <c r="J171" s="79">
        <f t="shared" si="930"/>
        <v>3.133</v>
      </c>
    </row>
    <row r="172" spans="5:16" x14ac:dyDescent="0.25">
      <c r="E172" s="170">
        <f t="shared" si="929"/>
        <v>-0.9695668444743436</v>
      </c>
      <c r="F172" s="170">
        <f t="shared" si="929"/>
        <v>9.1959253461283821E-2</v>
      </c>
      <c r="G172" s="170">
        <f t="shared" si="929"/>
        <v>-0.22690004362914393</v>
      </c>
      <c r="H172" s="139"/>
      <c r="I172" s="86"/>
      <c r="J172" s="79">
        <f t="shared" si="930"/>
        <v>4.1139999999999999</v>
      </c>
    </row>
    <row r="173" spans="5:16" x14ac:dyDescent="0.25">
      <c r="E173" s="170">
        <f t="shared" si="929"/>
        <v>-0.93703096407968522</v>
      </c>
      <c r="F173" s="170">
        <f t="shared" si="929"/>
        <v>0.27438626003949884</v>
      </c>
      <c r="G173" s="170">
        <f t="shared" si="929"/>
        <v>-0.21606747246504382</v>
      </c>
      <c r="H173" s="139"/>
      <c r="I173" s="86"/>
      <c r="J173" s="79">
        <f t="shared" si="930"/>
        <v>4.12</v>
      </c>
    </row>
    <row r="174" spans="5:16" x14ac:dyDescent="0.25">
      <c r="E174" s="170">
        <f t="shared" ref="E174:G193" si="933">E29*-1</f>
        <v>-0.89231613063322202</v>
      </c>
      <c r="F174" s="170">
        <f t="shared" si="933"/>
        <v>0.43165574049842925</v>
      </c>
      <c r="G174" s="170">
        <f t="shared" si="933"/>
        <v>-0.13208044785852127</v>
      </c>
      <c r="H174" s="139"/>
      <c r="I174" s="86"/>
      <c r="J174" s="79">
        <f t="shared" si="930"/>
        <v>4.1260000000000003</v>
      </c>
    </row>
    <row r="175" spans="5:16" x14ac:dyDescent="0.25">
      <c r="E175" s="170">
        <f t="shared" si="933"/>
        <v>-0.86811517696144147</v>
      </c>
      <c r="F175" s="170">
        <f t="shared" si="933"/>
        <v>0.49154192301608957</v>
      </c>
      <c r="G175" s="170">
        <f t="shared" si="933"/>
        <v>-6.9011429827601611E-2</v>
      </c>
      <c r="H175" s="139"/>
      <c r="I175" s="86"/>
      <c r="J175" s="79">
        <f t="shared" si="930"/>
        <v>4.1319999999999997</v>
      </c>
    </row>
    <row r="176" spans="5:16" x14ac:dyDescent="0.25">
      <c r="E176" s="170">
        <f t="shared" si="933"/>
        <v>-0.57660161256584674</v>
      </c>
      <c r="F176" s="170">
        <f t="shared" si="933"/>
        <v>0.76146782127963253</v>
      </c>
      <c r="G176" s="170">
        <f t="shared" si="933"/>
        <v>-0.2961373626243653</v>
      </c>
      <c r="H176" s="139"/>
      <c r="I176" s="86"/>
      <c r="J176" s="79">
        <f t="shared" si="930"/>
        <v>5.1029999999999998</v>
      </c>
    </row>
    <row r="177" spans="5:10" x14ac:dyDescent="0.25">
      <c r="E177" s="170">
        <f t="shared" si="933"/>
        <v>-0.57739867550232549</v>
      </c>
      <c r="F177" s="170">
        <f t="shared" si="933"/>
        <v>0.77565675615408247</v>
      </c>
      <c r="G177" s="170">
        <f t="shared" si="933"/>
        <v>-0.2548869674202402</v>
      </c>
      <c r="H177" s="139"/>
      <c r="I177" s="86"/>
      <c r="J177" s="79">
        <f t="shared" si="930"/>
        <v>5.1059999999999999</v>
      </c>
    </row>
    <row r="178" spans="5:10" x14ac:dyDescent="0.25">
      <c r="E178" s="170">
        <f t="shared" si="933"/>
        <v>-0.4660428923165299</v>
      </c>
      <c r="F178" s="170">
        <f t="shared" si="933"/>
        <v>0.84835105606234074</v>
      </c>
      <c r="G178" s="170">
        <f t="shared" si="933"/>
        <v>-0.25120610701006962</v>
      </c>
      <c r="H178" s="139"/>
      <c r="I178" s="86"/>
      <c r="J178" s="79">
        <f t="shared" si="930"/>
        <v>5.1109999999999998</v>
      </c>
    </row>
    <row r="179" spans="5:10" x14ac:dyDescent="0.25">
      <c r="E179" s="170">
        <f t="shared" si="933"/>
        <v>-0.31462460192165365</v>
      </c>
      <c r="F179" s="170">
        <f t="shared" si="933"/>
        <v>0.92090906738552158</v>
      </c>
      <c r="G179" s="170">
        <f t="shared" si="933"/>
        <v>-0.23008226674989549</v>
      </c>
      <c r="H179" s="139"/>
      <c r="I179" s="86"/>
      <c r="J179" s="79">
        <f t="shared" si="930"/>
        <v>5.117</v>
      </c>
    </row>
    <row r="180" spans="5:10" x14ac:dyDescent="0.25">
      <c r="E180" s="170">
        <f t="shared" si="933"/>
        <v>-0.14534412507854874</v>
      </c>
      <c r="F180" s="170">
        <f t="shared" si="933"/>
        <v>0.97274245538574478</v>
      </c>
      <c r="G180" s="170">
        <f t="shared" si="933"/>
        <v>-0.18068536408703298</v>
      </c>
      <c r="H180" s="139"/>
      <c r="I180" s="86"/>
      <c r="J180" s="79">
        <f t="shared" si="930"/>
        <v>5.1230000000000002</v>
      </c>
    </row>
    <row r="181" spans="5:10" x14ac:dyDescent="0.25">
      <c r="E181" s="170">
        <f t="shared" si="933"/>
        <v>-8.3697961237322663E-3</v>
      </c>
      <c r="F181" s="170">
        <f t="shared" si="933"/>
        <v>0.99758075816747649</v>
      </c>
      <c r="G181" s="170">
        <f t="shared" si="933"/>
        <v>-6.9011429827601695E-2</v>
      </c>
      <c r="H181" s="139"/>
      <c r="I181" s="86"/>
      <c r="J181" s="79">
        <f t="shared" si="930"/>
        <v>5.1289999999999996</v>
      </c>
    </row>
    <row r="182" spans="5:10" x14ac:dyDescent="0.25">
      <c r="E182" s="170">
        <f t="shared" si="933"/>
        <v>0.47343977673611964</v>
      </c>
      <c r="F182" s="170">
        <f t="shared" si="933"/>
        <v>0.84271524454594338</v>
      </c>
      <c r="G182" s="170">
        <f t="shared" si="933"/>
        <v>-0.25629240022662442</v>
      </c>
      <c r="H182" s="139"/>
      <c r="I182" s="86"/>
      <c r="J182" s="79">
        <f t="shared" si="930"/>
        <v>6.11</v>
      </c>
    </row>
    <row r="183" spans="5:10" x14ac:dyDescent="0.25">
      <c r="E183" s="170">
        <f t="shared" si="933"/>
        <v>0.61221390365842376</v>
      </c>
      <c r="F183" s="170">
        <f t="shared" si="933"/>
        <v>0.755686169582658</v>
      </c>
      <c r="G183" s="170">
        <f t="shared" si="933"/>
        <v>-0.23266402658942509</v>
      </c>
      <c r="H183" s="139"/>
      <c r="I183" s="86"/>
      <c r="J183" s="79">
        <f t="shared" si="930"/>
        <v>6.1159999999999997</v>
      </c>
    </row>
    <row r="184" spans="5:10" x14ac:dyDescent="0.25">
      <c r="E184" s="170">
        <f t="shared" si="933"/>
        <v>0.74864077981447441</v>
      </c>
      <c r="F184" s="170">
        <f t="shared" si="933"/>
        <v>0.63359350994681451</v>
      </c>
      <c r="G184" s="170">
        <f t="shared" si="933"/>
        <v>-0.19518259899912072</v>
      </c>
      <c r="H184" s="139"/>
      <c r="I184" s="86"/>
      <c r="J184" s="79">
        <f t="shared" si="930"/>
        <v>6.1219999999999999</v>
      </c>
    </row>
    <row r="185" spans="5:10" x14ac:dyDescent="0.25">
      <c r="E185" s="170">
        <f t="shared" si="933"/>
        <v>0.8478604320089882</v>
      </c>
      <c r="F185" s="170">
        <f t="shared" si="933"/>
        <v>0.52226482211701586</v>
      </c>
      <c r="G185" s="170">
        <f t="shared" si="933"/>
        <v>-9.1499417553412704E-2</v>
      </c>
      <c r="H185" s="139"/>
      <c r="I185" s="86"/>
      <c r="J185" s="79">
        <f t="shared" si="930"/>
        <v>6.1280000000000001</v>
      </c>
    </row>
    <row r="186" spans="5:10" x14ac:dyDescent="0.25">
      <c r="E186" s="170">
        <f t="shared" si="933"/>
        <v>0.85974538083770913</v>
      </c>
      <c r="F186" s="170">
        <f t="shared" si="933"/>
        <v>0.50603883515138715</v>
      </c>
      <c r="G186" s="170">
        <f t="shared" si="933"/>
        <v>-6.9011429827601611E-2</v>
      </c>
      <c r="H186" s="139"/>
      <c r="I186" s="86"/>
      <c r="J186" s="79">
        <f t="shared" si="930"/>
        <v>6.1340000000000003</v>
      </c>
    </row>
    <row r="187" spans="5:10" x14ac:dyDescent="0.25">
      <c r="E187" s="170">
        <f t="shared" si="933"/>
        <v>0</v>
      </c>
      <c r="F187" s="170">
        <f t="shared" si="933"/>
        <v>0</v>
      </c>
      <c r="G187" s="170">
        <f t="shared" si="933"/>
        <v>0</v>
      </c>
      <c r="H187" s="139"/>
      <c r="I187" s="86"/>
      <c r="J187" s="79">
        <f t="shared" si="930"/>
        <v>0</v>
      </c>
    </row>
    <row r="188" spans="5:10" x14ac:dyDescent="0.25">
      <c r="E188" s="170">
        <f t="shared" si="933"/>
        <v>0</v>
      </c>
      <c r="F188" s="170">
        <f t="shared" si="933"/>
        <v>0</v>
      </c>
      <c r="G188" s="170">
        <f t="shared" si="933"/>
        <v>0</v>
      </c>
      <c r="H188" s="139"/>
      <c r="I188" s="86"/>
      <c r="J188" s="79">
        <f t="shared" si="930"/>
        <v>0</v>
      </c>
    </row>
    <row r="189" spans="5:10" x14ac:dyDescent="0.25">
      <c r="E189" s="170">
        <f t="shared" si="933"/>
        <v>0</v>
      </c>
      <c r="F189" s="170">
        <f t="shared" si="933"/>
        <v>0</v>
      </c>
      <c r="G189" s="170">
        <f t="shared" si="933"/>
        <v>0</v>
      </c>
      <c r="H189" s="139"/>
      <c r="I189" s="86"/>
      <c r="J189" s="79">
        <f t="shared" si="930"/>
        <v>0</v>
      </c>
    </row>
    <row r="190" spans="5:10" x14ac:dyDescent="0.25">
      <c r="E190" s="170">
        <f t="shared" si="933"/>
        <v>0</v>
      </c>
      <c r="F190" s="170">
        <f t="shared" si="933"/>
        <v>0</v>
      </c>
      <c r="G190" s="170">
        <f t="shared" si="933"/>
        <v>0</v>
      </c>
      <c r="H190" s="139"/>
      <c r="I190" s="86"/>
      <c r="J190" s="79">
        <f t="shared" si="930"/>
        <v>0</v>
      </c>
    </row>
    <row r="191" spans="5:10" x14ac:dyDescent="0.25">
      <c r="E191" s="170">
        <f t="shared" si="933"/>
        <v>0</v>
      </c>
      <c r="F191" s="170">
        <f t="shared" si="933"/>
        <v>0</v>
      </c>
      <c r="G191" s="170">
        <f t="shared" si="933"/>
        <v>0</v>
      </c>
      <c r="H191" s="139"/>
      <c r="I191" s="86"/>
      <c r="J191" s="79">
        <f t="shared" si="930"/>
        <v>0</v>
      </c>
    </row>
    <row r="192" spans="5:10" x14ac:dyDescent="0.25">
      <c r="E192" s="170">
        <f t="shared" si="933"/>
        <v>0</v>
      </c>
      <c r="F192" s="170">
        <f t="shared" si="933"/>
        <v>0</v>
      </c>
      <c r="G192" s="170">
        <f t="shared" si="933"/>
        <v>0</v>
      </c>
      <c r="H192" s="139"/>
      <c r="I192" s="86"/>
      <c r="J192" s="79">
        <f t="shared" si="930"/>
        <v>0</v>
      </c>
    </row>
    <row r="193" spans="5:10" x14ac:dyDescent="0.25">
      <c r="E193" s="170">
        <f t="shared" si="933"/>
        <v>0</v>
      </c>
      <c r="F193" s="170">
        <f t="shared" si="933"/>
        <v>0</v>
      </c>
      <c r="G193" s="170">
        <f t="shared" si="933"/>
        <v>0</v>
      </c>
      <c r="H193" s="139"/>
      <c r="I193" s="86"/>
      <c r="J193" s="79">
        <f t="shared" si="930"/>
        <v>0</v>
      </c>
    </row>
    <row r="194" spans="5:10" x14ac:dyDescent="0.25">
      <c r="E194" s="170">
        <f t="shared" ref="E194:G213" si="934">E49*-1</f>
        <v>0</v>
      </c>
      <c r="F194" s="170">
        <f t="shared" si="934"/>
        <v>0</v>
      </c>
      <c r="G194" s="170">
        <f t="shared" si="934"/>
        <v>0</v>
      </c>
      <c r="H194" s="139"/>
      <c r="I194" s="86"/>
      <c r="J194" s="79">
        <f t="shared" si="930"/>
        <v>0</v>
      </c>
    </row>
    <row r="195" spans="5:10" x14ac:dyDescent="0.25">
      <c r="E195" s="170">
        <f t="shared" si="934"/>
        <v>0</v>
      </c>
      <c r="F195" s="170">
        <f t="shared" si="934"/>
        <v>0</v>
      </c>
      <c r="G195" s="170">
        <f t="shared" si="934"/>
        <v>0</v>
      </c>
      <c r="H195" s="139"/>
      <c r="I195" s="86"/>
      <c r="J195" s="79">
        <f t="shared" si="930"/>
        <v>0</v>
      </c>
    </row>
    <row r="196" spans="5:10" x14ac:dyDescent="0.25">
      <c r="E196" s="170">
        <f t="shared" si="934"/>
        <v>0</v>
      </c>
      <c r="F196" s="170">
        <f t="shared" si="934"/>
        <v>0</v>
      </c>
      <c r="G196" s="170">
        <f t="shared" si="934"/>
        <v>0</v>
      </c>
      <c r="H196" s="139"/>
      <c r="I196" s="86"/>
      <c r="J196" s="79">
        <f t="shared" si="930"/>
        <v>0</v>
      </c>
    </row>
    <row r="197" spans="5:10" x14ac:dyDescent="0.25">
      <c r="E197" s="170">
        <f t="shared" si="934"/>
        <v>0</v>
      </c>
      <c r="F197" s="170">
        <f t="shared" si="934"/>
        <v>0</v>
      </c>
      <c r="G197" s="170">
        <f t="shared" si="934"/>
        <v>0</v>
      </c>
      <c r="H197" s="139"/>
      <c r="I197" s="86"/>
      <c r="J197" s="79">
        <f t="shared" si="930"/>
        <v>0</v>
      </c>
    </row>
    <row r="198" spans="5:10" x14ac:dyDescent="0.25">
      <c r="E198" s="170">
        <f t="shared" si="934"/>
        <v>0</v>
      </c>
      <c r="F198" s="170">
        <f t="shared" si="934"/>
        <v>0</v>
      </c>
      <c r="G198" s="170">
        <f t="shared" si="934"/>
        <v>0</v>
      </c>
      <c r="H198" s="139"/>
      <c r="I198" s="86"/>
      <c r="J198" s="79">
        <f t="shared" si="930"/>
        <v>0</v>
      </c>
    </row>
    <row r="199" spans="5:10" x14ac:dyDescent="0.25">
      <c r="E199" s="170">
        <f t="shared" si="934"/>
        <v>0</v>
      </c>
      <c r="F199" s="170">
        <f t="shared" si="934"/>
        <v>0</v>
      </c>
      <c r="G199" s="170">
        <f t="shared" si="934"/>
        <v>0</v>
      </c>
      <c r="H199" s="139"/>
      <c r="I199" s="86"/>
      <c r="J199" s="79">
        <f t="shared" si="930"/>
        <v>0</v>
      </c>
    </row>
    <row r="200" spans="5:10" x14ac:dyDescent="0.25">
      <c r="E200" s="170">
        <f t="shared" si="934"/>
        <v>0</v>
      </c>
      <c r="F200" s="170">
        <f t="shared" si="934"/>
        <v>0</v>
      </c>
      <c r="G200" s="170">
        <f t="shared" si="934"/>
        <v>0</v>
      </c>
      <c r="H200" s="139"/>
      <c r="I200" s="86"/>
      <c r="J200" s="79">
        <f t="shared" si="930"/>
        <v>0</v>
      </c>
    </row>
    <row r="201" spans="5:10" x14ac:dyDescent="0.25">
      <c r="E201" s="170">
        <f t="shared" si="934"/>
        <v>0</v>
      </c>
      <c r="F201" s="170">
        <f t="shared" si="934"/>
        <v>0</v>
      </c>
      <c r="G201" s="170">
        <f t="shared" si="934"/>
        <v>0</v>
      </c>
      <c r="H201" s="139"/>
      <c r="I201" s="86"/>
      <c r="J201" s="79">
        <f t="shared" si="930"/>
        <v>0</v>
      </c>
    </row>
    <row r="202" spans="5:10" x14ac:dyDescent="0.25">
      <c r="E202" s="170">
        <f t="shared" si="934"/>
        <v>0</v>
      </c>
      <c r="F202" s="170">
        <f t="shared" si="934"/>
        <v>0</v>
      </c>
      <c r="G202" s="170">
        <f t="shared" si="934"/>
        <v>0</v>
      </c>
      <c r="H202" s="139"/>
      <c r="I202" s="86"/>
      <c r="J202" s="79">
        <f t="shared" si="930"/>
        <v>0</v>
      </c>
    </row>
    <row r="203" spans="5:10" x14ac:dyDescent="0.25">
      <c r="E203" s="170">
        <f t="shared" si="934"/>
        <v>0</v>
      </c>
      <c r="F203" s="170">
        <f t="shared" si="934"/>
        <v>0</v>
      </c>
      <c r="G203" s="170">
        <f t="shared" si="934"/>
        <v>0</v>
      </c>
      <c r="H203" s="139"/>
      <c r="I203" s="86"/>
      <c r="J203" s="79">
        <f t="shared" si="930"/>
        <v>0</v>
      </c>
    </row>
    <row r="204" spans="5:10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</row>
    <row r="205" spans="5:10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</row>
    <row r="206" spans="5:10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10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10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40" priority="135" stopIfTrue="1" operator="between">
      <formula>9</formula>
      <formula>9.99</formula>
    </cfRule>
    <cfRule type="cellIs" dxfId="39" priority="136" stopIfTrue="1" operator="between">
      <formula>8</formula>
      <formula>8.99</formula>
    </cfRule>
    <cfRule type="cellIs" dxfId="38" priority="137" stopIfTrue="1" operator="between">
      <formula>7</formula>
      <formula>7.99</formula>
    </cfRule>
    <cfRule type="cellIs" dxfId="37" priority="138" stopIfTrue="1" operator="between">
      <formula>6</formula>
      <formula>6.99</formula>
    </cfRule>
    <cfRule type="cellIs" dxfId="36" priority="139" stopIfTrue="1" operator="between">
      <formula>5</formula>
      <formula>5.99</formula>
    </cfRule>
    <cfRule type="cellIs" dxfId="35" priority="140" stopIfTrue="1" operator="between">
      <formula>4</formula>
      <formula>4.99</formula>
    </cfRule>
    <cfRule type="cellIs" dxfId="34" priority="141" stopIfTrue="1" operator="between">
      <formula>3</formula>
      <formula>3.99</formula>
    </cfRule>
    <cfRule type="cellIs" dxfId="33" priority="142" stopIfTrue="1" operator="between">
      <formula>2</formula>
      <formula>2.99</formula>
    </cfRule>
    <cfRule type="cellIs" dxfId="32" priority="143" stopIfTrue="1" operator="between">
      <formula>1</formula>
      <formula>1.99</formula>
    </cfRule>
  </conditionalFormatting>
  <conditionalFormatting sqref="HN9:HN40 HN54:HN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1" priority="21" stopIfTrue="1" operator="between">
      <formula>9</formula>
      <formula>9.99</formula>
    </cfRule>
    <cfRule type="cellIs" dxfId="30" priority="22" stopIfTrue="1" operator="between">
      <formula>8</formula>
      <formula>8.99</formula>
    </cfRule>
    <cfRule type="cellIs" dxfId="29" priority="23" stopIfTrue="1" operator="between">
      <formula>7</formula>
      <formula>7.99</formula>
    </cfRule>
    <cfRule type="cellIs" dxfId="28" priority="24" stopIfTrue="1" operator="between">
      <formula>6</formula>
      <formula>6.99</formula>
    </cfRule>
    <cfRule type="cellIs" dxfId="27" priority="25" stopIfTrue="1" operator="between">
      <formula>5</formula>
      <formula>5.99</formula>
    </cfRule>
    <cfRule type="cellIs" dxfId="26" priority="26" stopIfTrue="1" operator="between">
      <formula>4</formula>
      <formula>4.99</formula>
    </cfRule>
    <cfRule type="cellIs" dxfId="25" priority="27" stopIfTrue="1" operator="between">
      <formula>3</formula>
      <formula>3.99</formula>
    </cfRule>
    <cfRule type="cellIs" dxfId="24" priority="28" stopIfTrue="1" operator="between">
      <formula>2</formula>
      <formula>2.99</formula>
    </cfRule>
    <cfRule type="cellIs" dxfId="23" priority="29" stopIfTrue="1" operator="between">
      <formula>1</formula>
      <formula>1.99</formula>
    </cfRule>
  </conditionalFormatting>
  <conditionalFormatting sqref="HN41:HN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22" priority="1" operator="equal">
      <formula>"Wrong CS"</formula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2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30" t="str">
        <f>CONCATENATE(Settings!$C$19," ",Settings!$B$28)</f>
        <v>7.875  Job# --- Assy# --- Post Braze --- yy.mm.dd</v>
      </c>
      <c r="D1" s="1230"/>
      <c r="E1" s="1230"/>
      <c r="F1" s="1230"/>
      <c r="G1" s="1230"/>
      <c r="H1" s="1230"/>
      <c r="I1" s="1230"/>
      <c r="J1" s="1230"/>
      <c r="K1" s="1230"/>
      <c r="M1" s="107" t="s">
        <v>319</v>
      </c>
      <c r="N1" s="1262" t="s">
        <v>321</v>
      </c>
      <c r="O1" s="1262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71" t="str">
        <f>Settings!B28</f>
        <v xml:space="preserve"> Job# --- Assy# --- Post Braze --- yy.mm.dd</v>
      </c>
      <c r="C2" s="1272"/>
      <c r="D2" s="1272"/>
      <c r="E2" s="1272"/>
      <c r="F2" s="1272"/>
      <c r="G2" s="1272"/>
      <c r="H2" s="1272"/>
      <c r="I2" s="1272"/>
      <c r="J2" s="1272"/>
      <c r="K2" s="1273"/>
      <c r="L2" s="985" t="str" cm="1">
        <f t="array" ref="L2">IF(OR($K$9:$K$150="Undefined"),"Undefined Element","")</f>
        <v/>
      </c>
      <c r="M2" s="1268" t="s">
        <v>0</v>
      </c>
      <c r="N2" s="1143" t="s">
        <v>1</v>
      </c>
      <c r="O2" s="1144"/>
      <c r="P2" s="1144"/>
      <c r="Q2" s="1144"/>
      <c r="R2" s="1144"/>
      <c r="S2" s="1144"/>
      <c r="T2" s="1144"/>
      <c r="U2" s="1144"/>
      <c r="V2" s="1144"/>
      <c r="W2" s="1144"/>
      <c r="X2" s="1144"/>
      <c r="Y2" s="1156"/>
      <c r="Z2" s="1143" t="s">
        <v>2</v>
      </c>
      <c r="AA2" s="1144"/>
      <c r="AB2" s="1144"/>
      <c r="AC2" s="1144"/>
      <c r="AD2" s="1144"/>
      <c r="AE2" s="1144"/>
      <c r="AF2" s="1144"/>
      <c r="AG2" s="1144"/>
      <c r="AH2" s="1144"/>
      <c r="AI2" s="1144"/>
      <c r="AJ2" s="1144"/>
      <c r="AK2" s="1144"/>
      <c r="AL2" s="1144"/>
      <c r="AM2" s="1144"/>
      <c r="AN2" s="1144"/>
      <c r="AO2" s="1144"/>
      <c r="AP2" s="1144"/>
      <c r="AQ2" s="1145"/>
      <c r="AS2" s="1206" t="s">
        <v>44</v>
      </c>
      <c r="AT2" s="1207"/>
      <c r="AV2" s="1284" t="str">
        <f>M2</f>
        <v>CS-Name</v>
      </c>
      <c r="AW2" s="1298"/>
      <c r="AX2" s="1298"/>
      <c r="AY2" s="1298"/>
      <c r="AZ2" s="1298"/>
      <c r="BA2" s="1298"/>
      <c r="BB2" s="1298"/>
      <c r="BC2" s="1299"/>
      <c r="BF2" s="1291" t="s">
        <v>322</v>
      </c>
      <c r="BG2" s="1292"/>
      <c r="BH2" s="1292"/>
      <c r="BI2" s="1292"/>
      <c r="BJ2" s="1292"/>
      <c r="BK2" s="1293"/>
      <c r="BM2" s="1308" t="s">
        <v>279</v>
      </c>
      <c r="BN2" s="1224"/>
      <c r="BO2" s="1224"/>
      <c r="BP2" s="1225"/>
      <c r="BR2" s="1308" t="s">
        <v>279</v>
      </c>
      <c r="BS2" s="1224"/>
      <c r="BT2" s="1224"/>
      <c r="BU2" s="1225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5"/>
      <c r="C3" s="1236"/>
      <c r="D3" s="1236"/>
      <c r="E3" s="1236"/>
      <c r="F3" s="1236"/>
      <c r="G3" s="1236"/>
      <c r="H3" s="1236"/>
      <c r="I3" s="1236"/>
      <c r="J3" s="1236"/>
      <c r="K3" s="1237"/>
      <c r="L3" s="985"/>
      <c r="M3" s="1269"/>
      <c r="N3" s="1146"/>
      <c r="O3" s="1147"/>
      <c r="P3" s="1147"/>
      <c r="Q3" s="1147"/>
      <c r="R3" s="1147"/>
      <c r="S3" s="1147"/>
      <c r="T3" s="1147"/>
      <c r="U3" s="1147"/>
      <c r="V3" s="1147"/>
      <c r="W3" s="1147"/>
      <c r="X3" s="1147"/>
      <c r="Y3" s="1203"/>
      <c r="Z3" s="1049"/>
      <c r="AA3" s="1050"/>
      <c r="AB3" s="1050"/>
      <c r="AC3" s="1050"/>
      <c r="AD3" s="1050"/>
      <c r="AE3" s="1050"/>
      <c r="AF3" s="1050"/>
      <c r="AG3" s="1050"/>
      <c r="AH3" s="1050"/>
      <c r="AI3" s="1050"/>
      <c r="AJ3" s="1050"/>
      <c r="AK3" s="1050"/>
      <c r="AL3" s="1050"/>
      <c r="AM3" s="1050"/>
      <c r="AN3" s="1050"/>
      <c r="AO3" s="1050"/>
      <c r="AP3" s="1050"/>
      <c r="AQ3" s="1164"/>
      <c r="AS3" s="466">
        <v>100</v>
      </c>
      <c r="AT3" s="463" t="s">
        <v>45</v>
      </c>
      <c r="AV3" s="1285"/>
      <c r="AW3" s="1300"/>
      <c r="AX3" s="1300"/>
      <c r="AY3" s="1300"/>
      <c r="AZ3" s="1300"/>
      <c r="BA3" s="1300"/>
      <c r="BB3" s="1300"/>
      <c r="BC3" s="130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9" t="s">
        <v>316</v>
      </c>
      <c r="C4" s="914"/>
      <c r="D4" s="914"/>
      <c r="E4" s="914"/>
      <c r="F4" s="914"/>
      <c r="G4" s="914"/>
      <c r="H4" s="914"/>
      <c r="I4" s="914"/>
      <c r="J4" s="914"/>
      <c r="K4" s="1274"/>
      <c r="L4" s="985"/>
      <c r="M4" s="1269"/>
      <c r="N4" s="1187" t="s">
        <v>3</v>
      </c>
      <c r="O4" s="1185"/>
      <c r="P4" s="1185"/>
      <c r="Q4" s="1184" t="s">
        <v>4</v>
      </c>
      <c r="R4" s="1185"/>
      <c r="S4" s="1186"/>
      <c r="T4" s="1259" t="str">
        <f>N4</f>
        <v>Cartesian Coordinates</v>
      </c>
      <c r="U4" s="1168"/>
      <c r="V4" s="1260"/>
      <c r="W4" s="1168" t="str">
        <f>Q4</f>
        <v>Polar XY; Cartesian Z</v>
      </c>
      <c r="X4" s="1168"/>
      <c r="Y4" s="1234"/>
      <c r="Z4" s="1264" t="s">
        <v>3</v>
      </c>
      <c r="AA4" s="1265"/>
      <c r="AB4" s="1265"/>
      <c r="AC4" s="1265"/>
      <c r="AD4" s="1265"/>
      <c r="AE4" s="1265"/>
      <c r="AF4" s="1265"/>
      <c r="AG4" s="1304" t="s">
        <v>31</v>
      </c>
      <c r="AH4" s="1265"/>
      <c r="AI4" s="1265"/>
      <c r="AJ4" s="1305"/>
      <c r="AK4" s="1311" t="s">
        <v>32</v>
      </c>
      <c r="AL4" s="1312"/>
      <c r="AM4" s="1312"/>
      <c r="AN4" s="1312"/>
      <c r="AO4" s="1312"/>
      <c r="AP4" s="1312"/>
      <c r="AQ4" s="1313"/>
      <c r="AS4" s="467">
        <v>125</v>
      </c>
      <c r="AT4" s="464" t="s">
        <v>46</v>
      </c>
      <c r="AV4" s="1285"/>
      <c r="AW4" s="1302"/>
      <c r="AX4" s="1302"/>
      <c r="AY4" s="1302"/>
      <c r="AZ4" s="1303"/>
      <c r="BA4" s="1302" t="str">
        <f>Z2</f>
        <v>PDC Orientation</v>
      </c>
      <c r="BB4" s="1302"/>
      <c r="BC4" s="130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901" t="s">
        <v>381</v>
      </c>
      <c r="IF4" s="901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5" t="str">
        <f>CONCATENATE(B7," ; ",E7," ; ",H8)</f>
        <v>Absolute-Point ; Incremental-Vector Point ; Radius</v>
      </c>
      <c r="C5" s="1236"/>
      <c r="D5" s="1236"/>
      <c r="E5" s="1236"/>
      <c r="F5" s="1236"/>
      <c r="G5" s="1236"/>
      <c r="H5" s="1236"/>
      <c r="I5" s="1236"/>
      <c r="J5" s="1236"/>
      <c r="K5" s="1237"/>
      <c r="L5" s="843"/>
      <c r="M5" s="1269"/>
      <c r="N5" s="1192" t="s">
        <v>5</v>
      </c>
      <c r="O5" s="1153"/>
      <c r="P5" s="1153"/>
      <c r="Q5" s="1220" t="s">
        <v>6</v>
      </c>
      <c r="R5" s="1153"/>
      <c r="S5" s="1154"/>
      <c r="T5" s="1137" t="str">
        <f>CONCATENATE("Relative to ",M8,"'s θ &amp; Z; Z Axis")</f>
        <v>Relative to 's θ &amp; Z; Z Axis</v>
      </c>
      <c r="U5" s="1138"/>
      <c r="V5" s="1139"/>
      <c r="W5" s="1138" t="str">
        <f>CONCATENATE("Relative to ",M8,"'s θ &amp; Z; Z Axis")</f>
        <v>Relative to 's θ &amp; Z; Z Axis</v>
      </c>
      <c r="X5" s="1138"/>
      <c r="Y5" s="1261"/>
      <c r="Z5" s="1251" t="str">
        <f>N5</f>
        <v>Relative to World_CS</v>
      </c>
      <c r="AA5" s="1138"/>
      <c r="AB5" s="1138"/>
      <c r="AC5" s="1138"/>
      <c r="AD5" s="1138"/>
      <c r="AE5" s="1138"/>
      <c r="AF5" s="1138"/>
      <c r="AG5" s="1137" t="str">
        <f>N5</f>
        <v>Relative to World_CS</v>
      </c>
      <c r="AH5" s="1138"/>
      <c r="AI5" s="1138"/>
      <c r="AJ5" s="1175"/>
      <c r="AK5" s="1152" t="s">
        <v>7</v>
      </c>
      <c r="AL5" s="1153"/>
      <c r="AM5" s="1153"/>
      <c r="AN5" s="1153"/>
      <c r="AO5" s="1153"/>
      <c r="AP5" s="1153"/>
      <c r="AQ5" s="1154"/>
      <c r="AS5" s="171">
        <f>(((AS4*12)/60)/AS3)</f>
        <v>0.25</v>
      </c>
      <c r="AT5" s="464" t="s">
        <v>47</v>
      </c>
      <c r="AV5" s="1285"/>
      <c r="AW5" s="1259" t="str">
        <f>W4</f>
        <v>Polar XY; Cartesian Z</v>
      </c>
      <c r="AX5" s="1168"/>
      <c r="AY5" s="1168"/>
      <c r="AZ5" s="986" t="s">
        <v>104</v>
      </c>
      <c r="BA5" s="1168" t="str">
        <f>AK4</f>
        <v>Polar Z Projection → XZ Plane</v>
      </c>
      <c r="BB5" s="1168"/>
      <c r="BC5" s="1169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8"/>
      <c r="C6" s="1239"/>
      <c r="D6" s="1239"/>
      <c r="E6" s="1239"/>
      <c r="F6" s="1239"/>
      <c r="G6" s="1239"/>
      <c r="H6" s="1239"/>
      <c r="I6" s="1239"/>
      <c r="J6" s="1239"/>
      <c r="K6" s="1240"/>
      <c r="L6" s="985" t="str" cm="1">
        <f t="array" ref="L6">IF(OR($K$9:$K$150="Inactive"),"Inactive Element","")</f>
        <v/>
      </c>
      <c r="M6" s="1269"/>
      <c r="N6" s="1188" t="s">
        <v>8</v>
      </c>
      <c r="O6" s="1190" t="s">
        <v>9</v>
      </c>
      <c r="P6" s="1218" t="s">
        <v>10</v>
      </c>
      <c r="Q6" s="1193" t="s">
        <v>11</v>
      </c>
      <c r="R6" s="1194"/>
      <c r="S6" s="1181" t="s">
        <v>10</v>
      </c>
      <c r="T6" s="1214" t="str">
        <f>N6</f>
        <v>X</v>
      </c>
      <c r="U6" s="1216" t="str">
        <f>O6</f>
        <v>Y</v>
      </c>
      <c r="V6" s="1257" t="str">
        <f>P6</f>
        <v>Z</v>
      </c>
      <c r="W6" s="1170" t="str">
        <f>Q6</f>
        <v>Projected XY</v>
      </c>
      <c r="X6" s="1171"/>
      <c r="Y6" s="1212" t="str">
        <f>S6</f>
        <v>Z</v>
      </c>
      <c r="Z6" s="1198" t="s">
        <v>12</v>
      </c>
      <c r="AA6" s="1199"/>
      <c r="AB6" s="1199"/>
      <c r="AC6" s="1200"/>
      <c r="AD6" s="1184" t="s">
        <v>13</v>
      </c>
      <c r="AE6" s="1185"/>
      <c r="AF6" s="1185"/>
      <c r="AG6" s="1197" t="s">
        <v>7</v>
      </c>
      <c r="AH6" s="1185"/>
      <c r="AI6" s="1184" t="s">
        <v>14</v>
      </c>
      <c r="AJ6" s="1186"/>
      <c r="AK6" s="1259" t="str">
        <f>AD6</f>
        <v>Unit Vector</v>
      </c>
      <c r="AL6" s="1168"/>
      <c r="AM6" s="1169"/>
      <c r="AN6" s="34" t="s">
        <v>15</v>
      </c>
      <c r="AO6" s="35" t="s">
        <v>16</v>
      </c>
      <c r="AP6" s="737" t="s">
        <v>17</v>
      </c>
      <c r="AQ6" s="1266" t="s">
        <v>108</v>
      </c>
      <c r="AS6" s="172">
        <f>(AS5/360)</f>
        <v>6.9444444444444447E-4</v>
      </c>
      <c r="AT6" s="465" t="s">
        <v>48</v>
      </c>
      <c r="AV6" s="1285"/>
      <c r="AW6" s="1137" t="str">
        <f>W5</f>
        <v>Relative to 's θ &amp; Z; Z Axis</v>
      </c>
      <c r="AX6" s="1138"/>
      <c r="AY6" s="1138"/>
      <c r="AZ6" s="1281"/>
      <c r="BA6" s="1138" t="str">
        <f>AK5</f>
        <v>Vector Along X Axis</v>
      </c>
      <c r="BB6" s="1138"/>
      <c r="BC6" s="1175"/>
      <c r="BD6" s="468"/>
      <c r="BF6" s="461">
        <f>SUM(AZ9:AZ150)</f>
        <v>0</v>
      </c>
      <c r="BG6" s="1263" t="s">
        <v>318</v>
      </c>
      <c r="BH6" s="1263"/>
      <c r="BI6" s="1263"/>
      <c r="BJ6" s="1263"/>
      <c r="BK6" s="1263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2" t="s">
        <v>40</v>
      </c>
      <c r="C7" s="1253"/>
      <c r="D7" s="1254"/>
      <c r="E7" s="1255" t="s">
        <v>41</v>
      </c>
      <c r="F7" s="1253"/>
      <c r="G7" s="1256"/>
      <c r="H7" s="881" t="s">
        <v>314</v>
      </c>
      <c r="I7" s="879"/>
      <c r="J7" s="880"/>
      <c r="K7" s="539"/>
      <c r="L7" s="985"/>
      <c r="M7" s="1270"/>
      <c r="N7" s="1189"/>
      <c r="O7" s="1191"/>
      <c r="P7" s="1219"/>
      <c r="Q7" s="36" t="s">
        <v>18</v>
      </c>
      <c r="R7" s="2" t="s">
        <v>19</v>
      </c>
      <c r="S7" s="1182"/>
      <c r="T7" s="1215"/>
      <c r="U7" s="1217"/>
      <c r="V7" s="1258"/>
      <c r="W7" s="37" t="str">
        <f>Q7</f>
        <v>&lt; θ°</v>
      </c>
      <c r="X7" s="27" t="str">
        <f>R7</f>
        <v>r</v>
      </c>
      <c r="Y7" s="1213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7"/>
      <c r="AS7" s="1306" t="s">
        <v>54</v>
      </c>
      <c r="AT7" s="1309" t="s">
        <v>53</v>
      </c>
      <c r="AV7" s="1285"/>
      <c r="AW7" s="1280" t="str">
        <f>$W$6</f>
        <v>Projected XY</v>
      </c>
      <c r="AX7" s="1171"/>
      <c r="AY7" s="1282" t="str">
        <f>$Y$6</f>
        <v>Z</v>
      </c>
      <c r="AZ7" s="1281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3"/>
      <c r="BH7" s="1263"/>
      <c r="BI7" s="1263"/>
      <c r="BJ7" s="1263"/>
      <c r="BK7" s="1263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7" t="s">
        <v>33</v>
      </c>
      <c r="IH7" s="977" t="s">
        <v>385</v>
      </c>
      <c r="II7" s="883" t="s">
        <v>333</v>
      </c>
      <c r="IJ7" s="884"/>
      <c r="IK7" s="884"/>
      <c r="IL7" s="879"/>
      <c r="IM7" s="879"/>
      <c r="IN7" s="879"/>
      <c r="IO7" s="880"/>
      <c r="IP7" s="881" t="s">
        <v>329</v>
      </c>
      <c r="IQ7" s="879"/>
      <c r="IR7" s="879"/>
      <c r="IS7" s="879"/>
      <c r="IT7" s="879"/>
      <c r="IU7" s="881" t="s">
        <v>328</v>
      </c>
      <c r="IV7" s="879"/>
      <c r="IW7" s="879"/>
      <c r="IX7" s="879"/>
      <c r="IY7" s="880"/>
      <c r="JA7" s="784"/>
      <c r="JB7" s="1314" t="s">
        <v>364</v>
      </c>
      <c r="JC7" s="1221"/>
      <c r="JD7" s="1221"/>
      <c r="JE7" s="1222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5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7"/>
      <c r="AT8" s="1310"/>
      <c r="AV8" s="1286"/>
      <c r="AW8" s="46" t="str">
        <f>$W$7</f>
        <v>&lt; θ°</v>
      </c>
      <c r="AX8" s="27" t="str">
        <f>$X$7</f>
        <v>r</v>
      </c>
      <c r="AY8" s="1283"/>
      <c r="AZ8" s="987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9"/>
      <c r="IH8" s="978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3" t="s">
        <v>365</v>
      </c>
      <c r="JC19" s="1224"/>
      <c r="JD19" s="1224"/>
      <c r="JE19" s="1224"/>
      <c r="JF19" s="1224"/>
      <c r="JG19" s="1224"/>
      <c r="JH19" s="1224"/>
      <c r="JI19" s="1225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6" t="s">
        <v>369</v>
      </c>
      <c r="JC20" s="1227"/>
      <c r="JD20" s="1227"/>
      <c r="JE20" s="1227"/>
      <c r="JF20" s="980" t="s">
        <v>370</v>
      </c>
      <c r="JG20" s="981"/>
      <c r="JH20" s="981"/>
      <c r="JI20" s="982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8"/>
      <c r="JC21" s="1099"/>
      <c r="JD21" s="1099"/>
      <c r="JE21" s="1099"/>
      <c r="JF21" s="983" t="s">
        <v>358</v>
      </c>
      <c r="JG21" s="984"/>
      <c r="JH21" s="1228" t="s">
        <v>371</v>
      </c>
      <c r="JI21" s="1229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8" t="str">
        <f>$W$6</f>
        <v>Projected XY</v>
      </c>
      <c r="AX152" s="1279"/>
      <c r="AY152" s="1296" t="str">
        <f>$Y$6</f>
        <v>Z</v>
      </c>
      <c r="AZ152" s="129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7"/>
      <c r="AZ153" s="129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41" t="s">
        <v>42</v>
      </c>
      <c r="C157" s="1242"/>
      <c r="D157" s="1242"/>
      <c r="E157" s="1242"/>
      <c r="F157" s="1242"/>
      <c r="G157" s="1242"/>
      <c r="H157" s="1242"/>
      <c r="I157" s="1242"/>
      <c r="J157" s="1242"/>
      <c r="K157" s="1243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4"/>
      <c r="C158" s="1199"/>
      <c r="D158" s="1199"/>
      <c r="E158" s="1199"/>
      <c r="F158" s="1199"/>
      <c r="G158" s="1199"/>
      <c r="H158" s="1199"/>
      <c r="I158" s="1199"/>
      <c r="J158" s="1199"/>
      <c r="K158" s="1245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6"/>
      <c r="C159" s="1247"/>
      <c r="D159" s="1247"/>
      <c r="E159" s="1247"/>
      <c r="F159" s="1247"/>
      <c r="G159" s="1247"/>
      <c r="H159" s="1247"/>
      <c r="I159" s="1247"/>
      <c r="J159" s="1247"/>
      <c r="K159" s="1248"/>
      <c r="AQ159" s="166"/>
      <c r="BD159" s="468"/>
    </row>
    <row r="160" spans="1:259" ht="15" customHeight="1" x14ac:dyDescent="0.25">
      <c r="B160" s="1235" t="str">
        <f>CONCATENATE(B162," ; ",E162," ; ",H163)</f>
        <v>Absolute-Point ; Incremental-Vector Point ; Radius</v>
      </c>
      <c r="C160" s="1236"/>
      <c r="D160" s="1236"/>
      <c r="E160" s="1236"/>
      <c r="F160" s="1236"/>
      <c r="G160" s="1236"/>
      <c r="H160" s="1236"/>
      <c r="I160" s="1236"/>
      <c r="J160" s="1236"/>
      <c r="K160" s="1237"/>
      <c r="AQ160" s="166"/>
      <c r="BD160" s="468"/>
    </row>
    <row r="161" spans="2:56" ht="15" customHeight="1" x14ac:dyDescent="0.25">
      <c r="B161" s="1238"/>
      <c r="C161" s="1239"/>
      <c r="D161" s="1239"/>
      <c r="E161" s="1239"/>
      <c r="F161" s="1239"/>
      <c r="G161" s="1239"/>
      <c r="H161" s="1239"/>
      <c r="I161" s="1239"/>
      <c r="J161" s="1239"/>
      <c r="K161" s="1240"/>
      <c r="AQ161" s="166"/>
      <c r="BD161" s="468"/>
    </row>
    <row r="162" spans="2:56" ht="15" customHeight="1" x14ac:dyDescent="0.25">
      <c r="B162" s="1252" t="s">
        <v>40</v>
      </c>
      <c r="C162" s="1253"/>
      <c r="D162" s="1254"/>
      <c r="E162" s="1255" t="s">
        <v>41</v>
      </c>
      <c r="F162" s="1253"/>
      <c r="G162" s="1256"/>
      <c r="H162" s="881" t="s">
        <v>314</v>
      </c>
      <c r="I162" s="879"/>
      <c r="J162" s="880"/>
      <c r="K162" s="539"/>
      <c r="M162" s="1027" t="s">
        <v>313</v>
      </c>
      <c r="N162" s="1275"/>
      <c r="O162" s="1287" t="s">
        <v>292</v>
      </c>
      <c r="P162" s="1288"/>
      <c r="Q162" s="1289"/>
      <c r="R162" s="1290" t="s">
        <v>41</v>
      </c>
      <c r="S162" s="1288"/>
      <c r="T162" s="128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6"/>
      <c r="N163" s="1277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1.113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1.119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1.125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1.131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2.1120000000000001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2.1179999999999999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2.1240000000000001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2.13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3.1019999999999999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3.105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3.109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3.1150000000000002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3.121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3.1269999999999998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3.133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4.1139999999999999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4.12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4.1260000000000003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4.1319999999999997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5.1029999999999998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5.1059999999999999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5.1109999999999998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5.117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5.1230000000000002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5.1289999999999996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6.11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6.1159999999999997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6.1219999999999999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6.1280000000000001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6.1340000000000003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 t="str">
        <f>Assy.Model!$M42</f>
        <v/>
      </c>
      <c r="N197" s="869" t="str">
        <f>Assy.Model!K42</f>
        <v/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 t="str">
        <f>Assy.Model!$M43</f>
        <v/>
      </c>
      <c r="N198" s="869" t="str">
        <f>Assy.Model!K43</f>
        <v/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 t="str">
        <f>Assy.Model!$M44</f>
        <v/>
      </c>
      <c r="N199" s="869" t="str">
        <f>Assy.Model!K44</f>
        <v/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 t="str">
        <f>Assy.Model!$M45</f>
        <v/>
      </c>
      <c r="N200" s="869" t="str">
        <f>Assy.Model!K45</f>
        <v/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 t="str">
        <f>Assy.Model!$M46</f>
        <v/>
      </c>
      <c r="N201" s="869" t="str">
        <f>Assy.Model!K46</f>
        <v/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 t="str">
        <f>Assy.Model!$M47</f>
        <v/>
      </c>
      <c r="N202" s="869" t="str">
        <f>Assy.Model!K47</f>
        <v/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 t="str">
        <f>Assy.Model!$M48</f>
        <v/>
      </c>
      <c r="N203" s="869" t="str">
        <f>Assy.Model!K48</f>
        <v/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 t="str">
        <f>Assy.Model!$M49</f>
        <v/>
      </c>
      <c r="N204" s="869" t="str">
        <f>Assy.Model!K49</f>
        <v/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 t="str">
        <f>Assy.Model!$M50</f>
        <v/>
      </c>
      <c r="N205" s="869" t="str">
        <f>Assy.Model!K50</f>
        <v/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 t="str">
        <f>Assy.Model!$M51</f>
        <v/>
      </c>
      <c r="N206" s="869" t="str">
        <f>Assy.Model!K51</f>
        <v/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 t="str">
        <f>Assy.Model!$M52</f>
        <v/>
      </c>
      <c r="N207" s="869" t="str">
        <f>Assy.Model!K52</f>
        <v/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 t="str">
        <f>Assy.Model!$M53</f>
        <v/>
      </c>
      <c r="N208" s="869" t="str">
        <f>Assy.Model!K53</f>
        <v/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 t="str">
        <f>Assy.Model!$M54</f>
        <v/>
      </c>
      <c r="N209" s="869" t="str">
        <f>Assy.Model!K54</f>
        <v/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 t="str">
        <f>Assy.Model!$M55</f>
        <v/>
      </c>
      <c r="N210" s="869" t="str">
        <f>Assy.Model!K55</f>
        <v/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 t="str">
        <f>Assy.Model!$M56</f>
        <v/>
      </c>
      <c r="N211" s="869" t="str">
        <f>Assy.Model!K56</f>
        <v/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 t="str">
        <f>Assy.Model!$M57</f>
        <v/>
      </c>
      <c r="N212" s="869" t="str">
        <f>Assy.Model!K57</f>
        <v/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 t="str">
        <f>Assy.Model!$M58</f>
        <v/>
      </c>
      <c r="N213" s="869" t="str">
        <f>Assy.Model!K58</f>
        <v/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2023-03-30T17:16:50Z</dcterms:modified>
</cp:coreProperties>
</file>