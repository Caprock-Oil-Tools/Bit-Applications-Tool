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6\"/>
    </mc:Choice>
  </mc:AlternateContent>
  <xr:revisionPtr revIDLastSave="0" documentId="8_{FFD4E4FB-7677-42F4-AA7A-27A580C4AAC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30" i="1"/>
  <c r="IF137" i="1"/>
  <c r="IF150" i="1"/>
  <c r="IF56" i="1"/>
  <c r="IF58" i="1"/>
  <c r="IF114" i="1"/>
  <c r="IF139" i="1"/>
  <c r="IF112" i="1"/>
  <c r="IF21" i="1"/>
  <c r="IF82" i="1"/>
  <c r="IF113" i="1"/>
  <c r="IF117" i="1"/>
  <c r="IF132" i="1"/>
  <c r="IF78" i="1"/>
  <c r="IF136" i="1"/>
  <c r="IF11" i="1"/>
  <c r="IF44" i="1"/>
  <c r="IF76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115" i="1"/>
  <c r="IF131" i="1"/>
  <c r="IF12" i="1"/>
  <c r="IF126" i="1"/>
  <c r="IF149" i="1"/>
  <c r="IF27" i="1"/>
  <c r="IF102" i="1"/>
  <c r="IF147" i="1"/>
  <c r="IF84" i="1"/>
  <c r="IF109" i="1"/>
  <c r="IF103" i="1"/>
  <c r="IF145" i="1"/>
  <c r="IF94" i="1"/>
  <c r="IF9" i="1"/>
  <c r="IF79" i="1"/>
  <c r="IF134" i="1"/>
  <c r="IF57" i="1"/>
  <c r="IF69" i="1"/>
  <c r="IF125" i="1"/>
  <c r="IF87" i="1"/>
  <c r="IF143" i="1"/>
  <c r="IF95" i="1"/>
  <c r="IF107" i="1"/>
  <c r="IF10" i="1"/>
  <c r="IF146" i="1"/>
  <c r="IF28" i="1"/>
  <c r="IF121" i="1"/>
  <c r="IF122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14" i="1"/>
  <c r="IF70" i="1"/>
  <c r="IF101" i="1"/>
  <c r="IF73" i="1"/>
  <c r="IF66" i="1"/>
  <c r="IF99" i="1"/>
  <c r="IF81" i="1"/>
  <c r="IF104" i="1"/>
  <c r="IF71" i="1"/>
  <c r="IF93" i="1"/>
  <c r="IF65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1" i="1" l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92" i="1" l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IL91" i="1" s="1"/>
  <c r="W86" i="1"/>
  <c r="IL92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5" i="1" s="1"/>
  <c r="W68" i="1"/>
  <c r="W65" i="1"/>
  <c r="W66" i="1"/>
  <c r="IL74" i="1" s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IL20" i="1" s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0" i="1" l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89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1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U85" i="1"/>
  <c r="AL86" i="1"/>
  <c r="AN86" i="1" s="1"/>
  <c r="IT92" i="1" s="1"/>
  <c r="U86" i="1"/>
  <c r="AK86" i="1"/>
  <c r="T86" i="1"/>
  <c r="T85" i="1"/>
  <c r="AL85" i="1"/>
  <c r="AN85" i="1" s="1"/>
  <c r="IT91" i="1" s="1"/>
  <c r="AK83" i="1"/>
  <c r="AL84" i="1"/>
  <c r="AN84" i="1" s="1"/>
  <c r="IT90" i="1" s="1"/>
  <c r="T84" i="1"/>
  <c r="U84" i="1"/>
  <c r="AK84" i="1"/>
  <c r="T83" i="1"/>
  <c r="U83" i="1"/>
  <c r="AL82" i="1"/>
  <c r="AN82" i="1" s="1"/>
  <c r="IT88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IT75" i="1" s="1"/>
  <c r="T67" i="1"/>
  <c r="T66" i="1"/>
  <c r="AK66" i="1"/>
  <c r="U66" i="1"/>
  <c r="AL66" i="1"/>
  <c r="AN66" i="1" s="1"/>
  <c r="IT74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63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S60" i="1"/>
  <c r="IS62" i="1"/>
  <c r="IT61" i="1"/>
  <c r="IT48" i="1"/>
  <c r="IT39" i="1"/>
  <c r="IY37" i="1"/>
  <c r="IT33" i="1"/>
  <c r="IT22" i="1"/>
  <c r="IY20" i="1"/>
  <c r="IF55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AP87" i="1"/>
  <c r="AO88" i="1"/>
  <c r="IX88" i="1" s="1"/>
  <c r="IF88" i="1" s="1"/>
  <c r="AP88" i="1"/>
  <c r="AP86" i="1"/>
  <c r="AO86" i="1"/>
  <c r="IS92" i="1" s="1"/>
  <c r="AP85" i="1"/>
  <c r="AP84" i="1"/>
  <c r="AO84" i="1"/>
  <c r="IS90" i="1" s="1"/>
  <c r="AP83" i="1"/>
  <c r="AO83" i="1"/>
  <c r="IS89" i="1" s="1"/>
  <c r="AO81" i="1"/>
  <c r="AP81" i="1"/>
  <c r="AO82" i="1"/>
  <c r="IS88" i="1" s="1"/>
  <c r="AP82" i="1"/>
  <c r="AO79" i="1"/>
  <c r="AP79" i="1"/>
  <c r="AP80" i="1"/>
  <c r="AO80" i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AO67" i="1"/>
  <c r="IS75" i="1" s="1"/>
  <c r="AP67" i="1"/>
  <c r="AO68" i="1"/>
  <c r="AP68" i="1"/>
  <c r="AO65" i="1"/>
  <c r="AP65" i="1"/>
  <c r="AP66" i="1"/>
  <c r="AO66" i="1"/>
  <c r="IS74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IS63" i="1" s="1"/>
  <c r="AP58" i="1"/>
  <c r="AP56" i="1"/>
  <c r="AO56" i="1"/>
  <c r="IS59" i="1" s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AP44" i="1"/>
  <c r="AO42" i="1"/>
  <c r="AP42" i="1"/>
  <c r="AP41" i="1"/>
  <c r="AO40" i="1"/>
  <c r="IS43" i="1" s="1"/>
  <c r="AP40" i="1"/>
  <c r="AO39" i="1"/>
  <c r="IS47" i="1" s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IS37" i="1" s="1"/>
  <c r="AP31" i="1"/>
  <c r="AO32" i="1"/>
  <c r="AP32" i="1"/>
  <c r="AO29" i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IS18" i="1" s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<sst xmlns="http://schemas.openxmlformats.org/spreadsheetml/2006/main" count="704" uniqueCount="379">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</sst>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I20" sqref="I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9.875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4.9375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H22" sqref="H22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9.875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056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73"/>
      <c r="AX3" s="1058"/>
      <c r="AY3" s="1058"/>
      <c r="AZ3" s="1058"/>
      <c r="BA3" s="1058"/>
      <c r="BB3" s="1058"/>
      <c r="BC3" s="1058"/>
      <c r="BD3" s="1058"/>
      <c r="BE3" s="1074"/>
      <c r="BF3" s="1057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73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4" t="s">
        <v>112</v>
      </c>
      <c r="AX4" s="1065"/>
      <c r="AY4" s="882"/>
      <c r="AZ4" s="1070"/>
      <c r="BA4" s="1071"/>
      <c r="BB4" s="1075" t="s">
        <v>113</v>
      </c>
      <c r="BC4" s="966" t="str">
        <f>$Q$4</f>
        <v>Polar XY; Cartesian Z</v>
      </c>
      <c r="BD4" s="966"/>
      <c r="BE4" s="1078"/>
      <c r="BF4" s="1092" t="s">
        <v>129</v>
      </c>
      <c r="BG4" s="1093"/>
      <c r="BH4" s="1093"/>
      <c r="BI4" s="1093"/>
      <c r="BJ4" s="1093"/>
      <c r="BK4" s="1093"/>
      <c r="BL4" s="1093"/>
      <c r="BM4" s="1093"/>
      <c r="BN4" s="1093"/>
      <c r="BO4" s="1093"/>
      <c r="BP4" s="1093"/>
      <c r="BQ4" s="1093"/>
      <c r="BR4" s="1093"/>
      <c r="BS4" s="1093"/>
      <c r="BT4" s="1093"/>
      <c r="BU4" s="1093"/>
      <c r="BV4" s="1093"/>
      <c r="BW4" s="1093"/>
      <c r="BX4" s="1093"/>
      <c r="BY4" s="1093"/>
      <c r="BZ4" s="1093"/>
      <c r="CA4" s="1093"/>
      <c r="CB4" s="1093"/>
      <c r="CC4" s="1093"/>
      <c r="CD4" s="1093"/>
      <c r="CE4" s="1093"/>
      <c r="CF4" s="1093"/>
      <c r="CG4" s="1093"/>
      <c r="CH4" s="1093"/>
      <c r="CI4" s="1093"/>
      <c r="CJ4" s="1093"/>
      <c r="CK4" s="1093"/>
      <c r="CL4" s="1093"/>
      <c r="CM4" s="1093"/>
      <c r="CN4" s="1094"/>
      <c r="CO4" s="1060" t="s">
        <v>193</v>
      </c>
      <c r="CP4" s="1061"/>
      <c r="CQ4" s="1061"/>
      <c r="CR4" s="1061"/>
      <c r="CS4" s="1061"/>
      <c r="CT4" s="1061"/>
      <c r="CU4" s="1061"/>
      <c r="CV4" s="1061"/>
      <c r="CW4" s="1061"/>
      <c r="CX4" s="1061"/>
      <c r="CY4" s="1061"/>
      <c r="CZ4" s="1061"/>
      <c r="DA4" s="1062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1.111's θ about Z Axis</v>
      </c>
      <c r="U5" s="991"/>
      <c r="V5" s="1044"/>
      <c r="W5" s="991" t="str">
        <f>CONCATENATE("Relative to ",M8,"'s θ about Z Axis")</f>
        <v>Relative to 1.111's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5"/>
      <c r="AX5" s="1086"/>
      <c r="AY5" s="1087"/>
      <c r="AZ5" s="1072"/>
      <c r="BA5" s="863"/>
      <c r="BB5" s="1076"/>
      <c r="BC5" s="1081" t="str">
        <f>$W$5</f>
        <v>Relative to 1.111's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3" t="s">
        <v>275</v>
      </c>
      <c r="CP5" s="1063" t="s">
        <v>149</v>
      </c>
      <c r="CQ5" s="1065"/>
      <c r="CR5" s="1065"/>
      <c r="CS5" s="961"/>
      <c r="CT5" s="1065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9" t="s">
        <v>173</v>
      </c>
      <c r="DJ5" s="1109"/>
      <c r="DK5" s="1110"/>
      <c r="DL5" s="1192" t="s">
        <v>174</v>
      </c>
      <c r="DM5" s="1109"/>
      <c r="DN5" s="1193"/>
      <c r="DO5" s="1113" t="s">
        <v>175</v>
      </c>
      <c r="DP5" s="1114"/>
      <c r="DQ5" s="1114"/>
      <c r="DR5" s="1103" t="s">
        <v>187</v>
      </c>
      <c r="DS5" s="1103"/>
      <c r="DT5" s="1103"/>
      <c r="DU5" s="1103"/>
      <c r="DV5" s="1103"/>
      <c r="DW5" s="1103"/>
      <c r="DX5" s="1063" t="s">
        <v>190</v>
      </c>
      <c r="DY5" s="921" t="s">
        <v>149</v>
      </c>
      <c r="DZ5" s="1103"/>
      <c r="EA5" s="1103"/>
      <c r="EB5" s="1103"/>
      <c r="EC5" s="1103" t="s">
        <v>150</v>
      </c>
      <c r="ED5" s="1103"/>
      <c r="EE5" s="1187" t="s">
        <v>194</v>
      </c>
      <c r="EF5" s="1187"/>
      <c r="EG5" s="1188"/>
      <c r="EH5" s="1196" t="s">
        <v>195</v>
      </c>
      <c r="EI5" s="1197"/>
      <c r="EJ5" s="1198"/>
      <c r="EK5" s="1103" t="s">
        <v>188</v>
      </c>
      <c r="EL5" s="1063"/>
      <c r="EM5" s="960" t="s">
        <v>189</v>
      </c>
      <c r="EN5" s="890"/>
      <c r="EO5" s="890"/>
      <c r="EP5" s="890"/>
      <c r="EQ5" s="890"/>
      <c r="ER5" s="1099"/>
      <c r="ES5" s="1084" t="s">
        <v>202</v>
      </c>
      <c r="ET5" s="1065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72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>
        <f>IR19*2</f>
        <v>0.628</v>
      </c>
      <c r="IS5">
        <f>IS19*2</f>
        <v>0.60648051409564807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82" t="s">
        <v>111</v>
      </c>
      <c r="BA6" s="1083"/>
      <c r="BB6" s="1077"/>
      <c r="BC6" s="987" t="str">
        <f>$Q$6</f>
        <v>Projected XY</v>
      </c>
      <c r="BD6" s="988"/>
      <c r="BE6" s="1079" t="str">
        <f>$S$6</f>
        <v>Z</v>
      </c>
      <c r="BF6" s="897" t="s">
        <v>125</v>
      </c>
      <c r="BG6" s="911"/>
      <c r="BH6" s="1095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5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9"/>
      <c r="CH6" s="1069"/>
      <c r="CI6" s="1102" t="s">
        <v>137</v>
      </c>
      <c r="CJ6" s="1069"/>
      <c r="CK6" s="905"/>
      <c r="CL6" s="1100" t="s">
        <v>140</v>
      </c>
      <c r="CM6" s="1069"/>
      <c r="CN6" s="1101"/>
      <c r="CO6" s="1064"/>
      <c r="CP6" s="1064"/>
      <c r="CQ6" s="1066"/>
      <c r="CR6" s="1066"/>
      <c r="CS6" s="1067"/>
      <c r="CT6" s="1066"/>
      <c r="CU6" s="1068"/>
      <c r="CV6" s="1091" t="s">
        <v>147</v>
      </c>
      <c r="CW6" s="911"/>
      <c r="CX6" s="898"/>
      <c r="CY6" s="1088" t="s">
        <v>148</v>
      </c>
      <c r="CZ6" s="1089"/>
      <c r="DA6" s="1090"/>
      <c r="DB6" s="1105" t="s">
        <v>176</v>
      </c>
      <c r="DC6" s="1106"/>
      <c r="DD6" s="1107"/>
      <c r="DE6" s="1108" t="s">
        <v>177</v>
      </c>
      <c r="DF6" s="1106"/>
      <c r="DG6" s="1107"/>
      <c r="DH6" s="260" t="s">
        <v>29</v>
      </c>
      <c r="DI6" s="1111"/>
      <c r="DJ6" s="1111"/>
      <c r="DK6" s="1112"/>
      <c r="DL6" s="1194"/>
      <c r="DM6" s="1111"/>
      <c r="DN6" s="1195"/>
      <c r="DO6" s="1115"/>
      <c r="DP6" s="1116"/>
      <c r="DQ6" s="1116"/>
      <c r="DR6" s="1104"/>
      <c r="DS6" s="1104"/>
      <c r="DT6" s="1104"/>
      <c r="DU6" s="1104"/>
      <c r="DV6" s="1104"/>
      <c r="DW6" s="1104"/>
      <c r="DX6" s="1064"/>
      <c r="DY6" s="1117"/>
      <c r="DZ6" s="1104"/>
      <c r="EA6" s="1104"/>
      <c r="EB6" s="1104"/>
      <c r="EC6" s="1104"/>
      <c r="ED6" s="1104"/>
      <c r="EE6" s="1189"/>
      <c r="EF6" s="1189"/>
      <c r="EG6" s="1190"/>
      <c r="EH6" s="1199"/>
      <c r="EI6" s="1200"/>
      <c r="EJ6" s="1201"/>
      <c r="EK6" s="1104"/>
      <c r="EL6" s="1064"/>
      <c r="EM6" s="1145" t="s">
        <v>199</v>
      </c>
      <c r="EN6" s="1097"/>
      <c r="EO6" s="1191"/>
      <c r="EP6" s="1096" t="s">
        <v>198</v>
      </c>
      <c r="EQ6" s="1097"/>
      <c r="ER6" s="1098"/>
      <c r="ES6" s="1140"/>
      <c r="ET6" s="1066"/>
      <c r="EU6" s="1067"/>
      <c r="EV6" s="281" t="s">
        <v>221</v>
      </c>
      <c r="EW6" s="1096" t="s">
        <v>202</v>
      </c>
      <c r="EX6" s="1097"/>
      <c r="EY6" s="1144"/>
      <c r="EZ6" s="1130"/>
      <c r="FA6" s="1151"/>
      <c r="FB6" s="1152"/>
      <c r="FC6" s="1153"/>
      <c r="FD6" s="1145" t="s">
        <v>202</v>
      </c>
      <c r="FE6" s="1097"/>
      <c r="FF6" s="1098"/>
      <c r="FG6" s="1147" t="s">
        <v>224</v>
      </c>
      <c r="FH6" s="1148"/>
      <c r="FI6" s="1149"/>
      <c r="FJ6" s="1103" t="s">
        <v>203</v>
      </c>
      <c r="FK6" s="1063" t="s">
        <v>214</v>
      </c>
      <c r="FL6" s="1065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3" t="s">
        <v>218</v>
      </c>
      <c r="FV6" s="1065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5" t="s">
        <v>203</v>
      </c>
      <c r="GR6" s="1217"/>
      <c r="GS6" s="1167" t="s">
        <v>252</v>
      </c>
      <c r="GT6" s="1168"/>
      <c r="GU6" s="1227" t="s">
        <v>251</v>
      </c>
      <c r="GV6" s="1089"/>
      <c r="GW6" s="1089"/>
      <c r="GX6" s="368" t="s">
        <v>106</v>
      </c>
      <c r="GY6" s="908" t="s">
        <v>250</v>
      </c>
      <c r="GZ6" s="1095"/>
      <c r="HA6" s="1184" t="s">
        <v>252</v>
      </c>
      <c r="HB6" s="1106"/>
      <c r="HC6" s="1106"/>
      <c r="HD6" s="1107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7"/>
      <c r="BC7" s="40" t="str">
        <f>$Q$7</f>
        <v>&lt; θ°</v>
      </c>
      <c r="BD7" s="30" t="str">
        <f>$R$7</f>
        <v>r</v>
      </c>
      <c r="BE7" s="1080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89.121000126911881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-7.2600218962260391E-2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0.34280103388791822</v>
      </c>
      <c r="D9" s="767">
        <v>-0.56340169921952488</v>
      </c>
      <c r="E9" s="768">
        <v>-0.96592583607220739</v>
      </c>
      <c r="F9" s="766">
        <v>-6.6987279208207212E-2</v>
      </c>
      <c r="G9" s="769">
        <v>0.24999996726497561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0.34280103388791822</v>
      </c>
      <c r="P9" s="25">
        <f t="shared" ref="P9:P40" si="5">IF(M9="","",D9)</f>
        <v>-0.56340169921952488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0.34280103388791822</v>
      </c>
      <c r="S9" s="23">
        <f>IF(M9="","",P9)</f>
        <v>-0.56340169921952488</v>
      </c>
      <c r="T9" s="26">
        <f>IF(M9="","",X9*COS(RADIANS(W9)))</f>
        <v>0.34276069388090608</v>
      </c>
      <c r="U9" s="20">
        <f>IF(M9="","",X9*SIN(RADIANS(W9)))</f>
        <v>5.2588558551695868E-3</v>
      </c>
      <c r="V9" s="28">
        <f>IF(M9="","",Y9)</f>
        <v>-0.56340169921952488</v>
      </c>
      <c r="W9" s="620">
        <f t="shared" ref="W9:W14" si="6">IF(M9="","",IF(Q9-$Q$8&lt;0,360+Q9-$Q$8,Q9-$Q$8))</f>
        <v>0.87899987308811944</v>
      </c>
      <c r="X9" s="5">
        <f>IF(M9="","",R9)</f>
        <v>0.34280103388791822</v>
      </c>
      <c r="Y9" s="7">
        <f>IF(M9="","",S9)</f>
        <v>-0.56340169921952488</v>
      </c>
      <c r="Z9" s="24">
        <f t="shared" ref="Z9:Z40" si="7">IF(M9="","",-E9)</f>
        <v>0.96592583607220739</v>
      </c>
      <c r="AA9" s="20">
        <f t="shared" ref="AA9:AA40" si="8">IF(M9="","",-F9)</f>
        <v>6.6987279208207212E-2</v>
      </c>
      <c r="AB9" s="20">
        <f t="shared" ref="AB9:AB40" si="9">IF(M9="","",-G9)</f>
        <v>-0.24999996726497561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6.6987279208207212E-2</v>
      </c>
      <c r="AF9" s="25">
        <f>IF(M9="","",AB9*(1/SQRT(Z9^2+AA9^2+AB9^2)))</f>
        <v>-0.24999996726497561</v>
      </c>
      <c r="AG9" s="618">
        <f>IF(M9="","",DEGREES(ATAN2(-AF9,AE9)))</f>
        <v>14.999997834268271</v>
      </c>
      <c r="AH9" s="619">
        <f>IF(M9="","",DEGREES(ACOS(AD9)))</f>
        <v>14.999997834268255</v>
      </c>
      <c r="AI9" s="620">
        <f>IF(M9="","",DEGREES(-ACOS(-AF9)))</f>
        <v>-75.522489751159469</v>
      </c>
      <c r="AJ9" s="621">
        <f>IF(M9="","",DEGREES(ATAN2(-AE9,AD9)))</f>
        <v>93.967129645086573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6.6987279208207212E-2</v>
      </c>
      <c r="AM9" s="23">
        <f>IF(M9="","",AF9)</f>
        <v>-0.24999996726497561</v>
      </c>
      <c r="AN9" s="612">
        <f>IF(M9="","",DEGREES(ATAN2(-AM9,AL9)))</f>
        <v>14.999997834268271</v>
      </c>
      <c r="AO9" s="613">
        <f>IF(ROUND(IF(M9="",0,DEGREES(ACOS(AK9))),4)=90,0,IF(M9="","",DEGREES(ACOS(AK9))))</f>
        <v>14.999997834268255</v>
      </c>
      <c r="AP9" s="640">
        <f>IF(M9="","",DEGREES(ATAN2(AK9,AL9)))</f>
        <v>3.9671296450865721</v>
      </c>
      <c r="AQ9" s="641">
        <f t="shared" ref="AQ9:AQ40" si="10">IF(M9="","",DEGREES(ATAN(($AS$5*SIN(RADIANS(90)))/(($X9*2*PI())-($AS$5*COS(RADIANS(90)))))))</f>
        <v>32.269049294671049</v>
      </c>
      <c r="AS9" s="55">
        <f>IF(M9="","",W9)</f>
        <v>0.87899987308811944</v>
      </c>
      <c r="AT9" s="76">
        <f t="shared" ref="AT9:AT40" si="11">IF(M9="","",Y9+(((AS9-$AS$9)*$AS$6)*-1))</f>
        <v>-0.56340169921952488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1.0852032729730714</v>
      </c>
      <c r="D10" s="772">
        <v>-0.36450109933531555</v>
      </c>
      <c r="E10" s="773">
        <v>-0.96592583607220739</v>
      </c>
      <c r="F10" s="771">
        <v>-6.6987279208207198E-2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1.0852032729730714</v>
      </c>
      <c r="P10" s="10">
        <f t="shared" si="5"/>
        <v>-0.36450109933531555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1.0852032729730714</v>
      </c>
      <c r="S10" s="6">
        <f t="shared" ref="S10:S105" si="84">IF(M10="","",P10)</f>
        <v>-0.36450109933531555</v>
      </c>
      <c r="T10" s="4">
        <f t="shared" ref="T10:T105" si="85">IF(M10="","",X10*COS(RADIANS(W10)))</f>
        <v>1.0850755688435219</v>
      </c>
      <c r="U10" s="5">
        <f t="shared" ref="U10:U105" si="86">IF(M10="","",X10*SIN(RADIANS(W10)))</f>
        <v>1.6647929912573033E-2</v>
      </c>
      <c r="V10" s="8">
        <f>IF(M10="","",Y10)</f>
        <v>-0.36450109933531555</v>
      </c>
      <c r="W10" s="624">
        <f t="shared" si="6"/>
        <v>0.87899987308811944</v>
      </c>
      <c r="X10" s="5">
        <f t="shared" ref="X10:X105" si="87">IF(M10="","",R10)</f>
        <v>1.0852032729730714</v>
      </c>
      <c r="Y10" s="7">
        <f>IF(M10="","",S10)</f>
        <v>-0.36450109933531555</v>
      </c>
      <c r="Z10" s="21">
        <f t="shared" si="7"/>
        <v>0.96592583607220739</v>
      </c>
      <c r="AA10" s="5">
        <f t="shared" si="8"/>
        <v>6.6987279208207198E-2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6.6987279208207198E-2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14.999997834268267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3.9671296450865712</v>
      </c>
      <c r="AQ10" s="625">
        <f t="shared" si="10"/>
        <v>11.279980495920073</v>
      </c>
      <c r="AS10" s="56">
        <f>IF($M10="","",IF(AND($W10&lt;($AS$9+180),$W10&gt;($AS$9-180)),$W10,IF($W10&gt;($AS$9+180),$W10-360,IF($W10&lt;($AS$9-180),$W10+360,"Error"))))</f>
        <v>0.87899987308811944</v>
      </c>
      <c r="AT10" s="77">
        <f t="shared" si="11"/>
        <v>-0.36450109933531555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3.6046382638218882E-3</v>
      </c>
      <c r="C11" s="771">
        <v>1.8277019577856448</v>
      </c>
      <c r="D11" s="772">
        <v>-0.16550049914950543</v>
      </c>
      <c r="E11" s="773">
        <v>-0.96582547771471949</v>
      </c>
      <c r="F11" s="771">
        <v>-4.5784256832403253E-2</v>
      </c>
      <c r="G11" s="774">
        <v>0.25511751884854683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10</v>
      </c>
      <c r="M11" s="173">
        <f t="shared" si="2"/>
        <v>1.107</v>
      </c>
      <c r="N11" s="21">
        <f t="shared" si="3"/>
        <v>3.6046382638218882E-3</v>
      </c>
      <c r="O11" s="5">
        <f t="shared" si="4"/>
        <v>1.8277019577856448</v>
      </c>
      <c r="P11" s="10">
        <f t="shared" si="5"/>
        <v>-0.16550049914950543</v>
      </c>
      <c r="Q11" s="624">
        <f t="shared" ref="Q11:Q73" si="116">IF(M11="","",IF(DEGREES(ATAN2(N11,O11))&lt;0,DEGREES(ATAN2(N11,O11))+360,IF(DEGREES(ATAN2(N11,O11))&gt;360,DEGREES(ATAN2(N11,O11))-360,DEGREES(ATAN2(N11,O11)))))</f>
        <v>89.887000016315184</v>
      </c>
      <c r="R11" s="5">
        <f t="shared" si="83"/>
        <v>1.8277055123598254</v>
      </c>
      <c r="S11" s="6">
        <f t="shared" si="84"/>
        <v>-0.16550049914950543</v>
      </c>
      <c r="T11" s="4">
        <f t="shared" si="85"/>
        <v>1.8275421763633648</v>
      </c>
      <c r="U11" s="5">
        <f t="shared" si="86"/>
        <v>2.4434269449862264E-2</v>
      </c>
      <c r="V11" s="8">
        <f t="shared" ref="V11:V105" si="117">IF(M11="","",Y11)</f>
        <v>-0.16550049914950543</v>
      </c>
      <c r="W11" s="624">
        <f t="shared" si="6"/>
        <v>0.76599988940330377</v>
      </c>
      <c r="X11" s="5">
        <f>IF(M11="","",R11)</f>
        <v>1.8277055123598254</v>
      </c>
      <c r="Y11" s="7">
        <f>IF(M11="","",S11)</f>
        <v>-0.16550049914950543</v>
      </c>
      <c r="Z11" s="21">
        <f t="shared" si="7"/>
        <v>0.96582547771471949</v>
      </c>
      <c r="AA11" s="5">
        <f t="shared" si="8"/>
        <v>4.5784256832403253E-2</v>
      </c>
      <c r="AB11" s="5">
        <f t="shared" si="9"/>
        <v>-0.25511751884854683</v>
      </c>
      <c r="AC11" s="8">
        <f t="shared" si="88"/>
        <v>1</v>
      </c>
      <c r="AD11" s="9">
        <f t="shared" ref="AD11:AD105" si="118">IF(M11="","",Z11*(1/SQRT(Z11^2+AA11^2+AB11^2)))</f>
        <v>0.96582547771471949</v>
      </c>
      <c r="AE11" s="5">
        <f t="shared" si="89"/>
        <v>4.5784256832403253E-2</v>
      </c>
      <c r="AF11" s="10">
        <f t="shared" si="90"/>
        <v>-0.25511751884854683</v>
      </c>
      <c r="AG11" s="622">
        <f>IF(M11="","",DEGREES(ATAN2(-AF11,AE11)))</f>
        <v>10.174190787372501</v>
      </c>
      <c r="AH11" s="623">
        <f t="shared" si="92"/>
        <v>15.02219850628887</v>
      </c>
      <c r="AI11" s="624">
        <f t="shared" si="93"/>
        <v>-75.219451196095676</v>
      </c>
      <c r="AJ11" s="625">
        <f t="shared" si="94"/>
        <v>92.714033161684824</v>
      </c>
      <c r="AK11" s="4">
        <f>IF(M11="","",(COS(RADIANS((90-$Q$8)-W11))*AD11)+(-SIN(RADIANS((90-$Q$8)-W11))*AE11))</f>
        <v>0.96573330270007662</v>
      </c>
      <c r="AL11" s="5">
        <f t="shared" si="95"/>
        <v>4.7688988588183934E-2</v>
      </c>
      <c r="AM11" s="6">
        <f t="shared" si="96"/>
        <v>-0.25511751884854683</v>
      </c>
      <c r="AN11" s="612">
        <f>IF(M11="","",DEGREES(ATAN2(-AM11,AL11)))</f>
        <v>10.588074548148313</v>
      </c>
      <c r="AO11" s="613">
        <f>IF(ROUND(IF(M11="",0,DEGREES(ACOS(AK11))),4)=90,0,IF(M11="","",DEGREES(ACOS(AK11))))</f>
        <v>15.042560705603462</v>
      </c>
      <c r="AP11" s="624">
        <f t="shared" si="99"/>
        <v>2.8270331453696427</v>
      </c>
      <c r="AQ11" s="625">
        <f t="shared" si="10"/>
        <v>6.7539422918451848</v>
      </c>
      <c r="AS11" s="56">
        <f t="shared" ref="AS11:AS42" si="119">IF(G11="","",IF(AND(W11&lt;(AS10+180),W11&gt;(AS10-180)),W11,IF(W11&gt;(AS10+180),W11-360,IF(W11&lt;(AS10-180),W11+360,"Error"))))</f>
        <v>0.76599988940330377</v>
      </c>
      <c r="AT11" s="77">
        <f t="shared" si="11"/>
        <v>-0.16507361032225168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3.9716020780188342E-2</v>
      </c>
      <c r="C12" s="771">
        <v>2.5886031516577535</v>
      </c>
      <c r="D12" s="772">
        <v>-7.2600218962260391E-2</v>
      </c>
      <c r="E12" s="773">
        <v>-0.96307023278038117</v>
      </c>
      <c r="F12" s="771">
        <v>8.9125065821815341E-2</v>
      </c>
      <c r="G12" s="774">
        <v>0.25407174060607318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3.9716020780188342E-2</v>
      </c>
      <c r="O12" s="5">
        <f t="shared" si="4"/>
        <v>2.5886031516577535</v>
      </c>
      <c r="P12" s="10">
        <f t="shared" si="5"/>
        <v>-7.2600218962260391E-2</v>
      </c>
      <c r="Q12" s="624">
        <f>IF(M12="","",IF(DEGREES(ATAN2(N12,O12))&lt;0,DEGREES(ATAN2(N12,O12))+360,IF(DEGREES(ATAN2(N12,O12))&gt;360,DEGREES(ATAN2(N12,O12))-360,DEGREES(ATAN2(N12,O12)))))</f>
        <v>89.121000126911881</v>
      </c>
      <c r="R12" s="5">
        <f t="shared" si="83"/>
        <v>2.58890780814595</v>
      </c>
      <c r="S12" s="6">
        <f t="shared" si="84"/>
        <v>-7.2600218962260391E-2</v>
      </c>
      <c r="T12" s="4">
        <f>IF(M12="","",X12*COS(RADIANS(W12)))</f>
        <v>2.58890780814595</v>
      </c>
      <c r="U12" s="5">
        <f t="shared" si="86"/>
        <v>0</v>
      </c>
      <c r="V12" s="8">
        <f t="shared" si="117"/>
        <v>-7.2600218962260391E-2</v>
      </c>
      <c r="W12" s="624">
        <f>IF(M12="","",IF(Q12-$Q$8&lt;0,360+Q12-$Q$8,Q12-$Q$8))</f>
        <v>0</v>
      </c>
      <c r="X12" s="5">
        <f t="shared" si="87"/>
        <v>2.58890780814595</v>
      </c>
      <c r="Y12" s="7">
        <f>IF(M12="","",S12)</f>
        <v>-7.2600218962260391E-2</v>
      </c>
      <c r="Z12" s="21">
        <f t="shared" si="7"/>
        <v>0.96307023278038117</v>
      </c>
      <c r="AA12" s="5">
        <f t="shared" si="8"/>
        <v>-8.9125065821815341E-2</v>
      </c>
      <c r="AB12" s="5">
        <f t="shared" si="9"/>
        <v>-0.25407174060607318</v>
      </c>
      <c r="AC12" s="8">
        <f t="shared" si="88"/>
        <v>1</v>
      </c>
      <c r="AD12" s="9">
        <f t="shared" si="118"/>
        <v>0.96307023278038117</v>
      </c>
      <c r="AE12" s="5">
        <f t="shared" si="89"/>
        <v>-8.9125065821815341E-2</v>
      </c>
      <c r="AF12" s="10">
        <f t="shared" si="90"/>
        <v>-0.25407174060607318</v>
      </c>
      <c r="AG12" s="622">
        <f t="shared" si="91"/>
        <v>-19.330207638626707</v>
      </c>
      <c r="AH12" s="623">
        <f t="shared" si="92"/>
        <v>15.61966050953753</v>
      </c>
      <c r="AI12" s="624">
        <f t="shared" si="93"/>
        <v>-75.281411607005708</v>
      </c>
      <c r="AJ12" s="625">
        <f t="shared" si="94"/>
        <v>84.712756316823189</v>
      </c>
      <c r="AK12" s="4">
        <f t="shared" ref="AK12:AK105" si="213">IF(M12="","",(COS(RADIANS((90-$Q$8)-W12))*AD12)+(-SIN(RADIANS((90-$Q$8)-W12))*AE12))</f>
        <v>0.96432415436113239</v>
      </c>
      <c r="AL12" s="5">
        <f>IF(M12="","",(SIN(RADIANS((90-$Q$8)-W12))*AD12)+(COS(RADIANS((90-$Q$8)-W12))*AE12))</f>
        <v>-7.434027132777668E-2</v>
      </c>
      <c r="AM12" s="6">
        <f t="shared" si="96"/>
        <v>-0.25407174060607318</v>
      </c>
      <c r="AN12" s="612">
        <f>IF(M12="","",DEGREES(ATAN2(-AM12,AL12)))</f>
        <v>-16.309243224991352</v>
      </c>
      <c r="AO12" s="613">
        <f t="shared" si="98"/>
        <v>15.350567975046735</v>
      </c>
      <c r="AP12" s="624">
        <f t="shared" si="99"/>
        <v>-4.4082438100887007</v>
      </c>
      <c r="AQ12" s="625">
        <f t="shared" si="10"/>
        <v>4.7792111119525336</v>
      </c>
      <c r="AS12" s="56">
        <f t="shared" si="119"/>
        <v>0</v>
      </c>
      <c r="AT12" s="77">
        <f>IF(M12="","",Y12+(((AS12-$AS$9)*$AS$6)*-1))</f>
        <v>-6.9279552775038611E-2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0.11130077471951648</v>
      </c>
      <c r="C13" s="771">
        <v>3.3201449825412559</v>
      </c>
      <c r="D13" s="772">
        <v>-0.29940090299312344</v>
      </c>
      <c r="E13" s="773">
        <v>-0.95511260549394705</v>
      </c>
      <c r="F13" s="771">
        <v>0.22554943877142983</v>
      </c>
      <c r="G13" s="774">
        <v>0.1920608275949493</v>
      </c>
      <c r="H13" s="773">
        <v>0.314</v>
      </c>
      <c r="I13" s="771">
        <v>0.52</v>
      </c>
      <c r="J13" s="601">
        <v>1.117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1.117</v>
      </c>
      <c r="N13" s="21">
        <f t="shared" si="3"/>
        <v>0.11130077471951648</v>
      </c>
      <c r="O13" s="5">
        <f t="shared" si="4"/>
        <v>3.3201449825412559</v>
      </c>
      <c r="P13" s="10">
        <f t="shared" si="5"/>
        <v>-0.29940090299312344</v>
      </c>
      <c r="Q13" s="624">
        <f t="shared" si="116"/>
        <v>88.080000277213671</v>
      </c>
      <c r="R13" s="5">
        <f t="shared" si="83"/>
        <v>3.3220100191822182</v>
      </c>
      <c r="S13" s="6">
        <f t="shared" si="84"/>
        <v>-0.29940090299312344</v>
      </c>
      <c r="T13" s="4">
        <f>IF(M13="","",X13*COS(RADIANS(W13)))</f>
        <v>3.3214617231993055</v>
      </c>
      <c r="U13" s="5">
        <f t="shared" si="86"/>
        <v>-6.0353863744936669E-2</v>
      </c>
      <c r="V13" s="8">
        <f t="shared" si="117"/>
        <v>-0.29940090299312344</v>
      </c>
      <c r="W13" s="624">
        <f t="shared" si="6"/>
        <v>358.95900015030179</v>
      </c>
      <c r="X13" s="5">
        <f t="shared" si="87"/>
        <v>3.3220100191822182</v>
      </c>
      <c r="Y13" s="7">
        <f>IF(M13="","",S13)</f>
        <v>-0.29940090299312344</v>
      </c>
      <c r="Z13" s="21">
        <f t="shared" si="7"/>
        <v>0.95511260549394705</v>
      </c>
      <c r="AA13" s="5">
        <f t="shared" si="8"/>
        <v>-0.22554943877142983</v>
      </c>
      <c r="AB13" s="5">
        <f t="shared" si="9"/>
        <v>-0.1920608275949493</v>
      </c>
      <c r="AC13" s="8">
        <f t="shared" si="88"/>
        <v>1</v>
      </c>
      <c r="AD13" s="9">
        <f>IF(M13="","",Z13*(1/SQRT(Z13^2+AA13^2+AB13^2)))</f>
        <v>0.95511260549394705</v>
      </c>
      <c r="AE13" s="5">
        <f t="shared" si="89"/>
        <v>-0.22554943877142983</v>
      </c>
      <c r="AF13" s="10">
        <f t="shared" si="90"/>
        <v>-0.1920608275949493</v>
      </c>
      <c r="AG13" s="622">
        <f>IF(M13="","",DEGREES(ATAN2(-AF13,AE13)))</f>
        <v>-49.584798581737878</v>
      </c>
      <c r="AH13" s="623">
        <f t="shared" si="92"/>
        <v>17.232087636634322</v>
      </c>
      <c r="AI13" s="624">
        <f t="shared" si="93"/>
        <v>-78.926923769624707</v>
      </c>
      <c r="AJ13" s="625">
        <f t="shared" si="94"/>
        <v>76.713045921314063</v>
      </c>
      <c r="AK13" s="4">
        <f t="shared" si="213"/>
        <v>0.96213320661575286</v>
      </c>
      <c r="AL13" s="5">
        <f t="shared" si="95"/>
        <v>-0.19342267506895894</v>
      </c>
      <c r="AM13" s="6">
        <f t="shared" si="96"/>
        <v>-0.1920608275949493</v>
      </c>
      <c r="AN13" s="612">
        <f t="shared" si="97"/>
        <v>-45.202415375611615</v>
      </c>
      <c r="AO13" s="613">
        <f t="shared" si="98"/>
        <v>15.817831856764533</v>
      </c>
      <c r="AP13" s="624">
        <f t="shared" si="99"/>
        <v>-11.366954355899626</v>
      </c>
      <c r="AQ13" s="625">
        <f t="shared" si="10"/>
        <v>3.7279259831018807</v>
      </c>
      <c r="AS13" s="56">
        <f t="shared" si="119"/>
        <v>-1.0409998496982098</v>
      </c>
      <c r="AT13" s="77">
        <f t="shared" si="11"/>
        <v>-0.29214757070704173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0.19765730006755702</v>
      </c>
      <c r="C14" s="771">
        <v>3.9221344990126199</v>
      </c>
      <c r="D14" s="772">
        <v>-0.84070253555884733</v>
      </c>
      <c r="E14" s="773">
        <v>-0.94565600625788693</v>
      </c>
      <c r="F14" s="771">
        <v>0.3052147263458751</v>
      </c>
      <c r="G14" s="774">
        <v>0.11215475313153689</v>
      </c>
      <c r="H14" s="773">
        <v>0.314</v>
      </c>
      <c r="I14" s="771">
        <v>0.52</v>
      </c>
      <c r="J14" s="601">
        <v>1.125</v>
      </c>
      <c r="K14" s="426" t="str">
        <f t="shared" si="225"/>
        <v>1613</v>
      </c>
      <c r="L14" s="327"/>
      <c r="M14" s="173">
        <f t="shared" si="2"/>
        <v>1.125</v>
      </c>
      <c r="N14" s="21">
        <f t="shared" si="3"/>
        <v>0.19765730006755702</v>
      </c>
      <c r="O14" s="5">
        <f t="shared" si="4"/>
        <v>3.9221344990126199</v>
      </c>
      <c r="P14" s="10">
        <f t="shared" si="5"/>
        <v>-0.84070253555884733</v>
      </c>
      <c r="Q14" s="624">
        <f t="shared" si="116"/>
        <v>87.115000416542401</v>
      </c>
      <c r="R14" s="5">
        <f t="shared" si="83"/>
        <v>3.9271118441693216</v>
      </c>
      <c r="S14" s="6">
        <f t="shared" si="84"/>
        <v>-0.84070253555884733</v>
      </c>
      <c r="T14" s="4">
        <f t="shared" si="85"/>
        <v>3.9247051806310207</v>
      </c>
      <c r="U14" s="5">
        <f t="shared" si="86"/>
        <v>-0.13746520193488035</v>
      </c>
      <c r="V14" s="8">
        <f t="shared" si="117"/>
        <v>-0.84070253555884733</v>
      </c>
      <c r="W14" s="624">
        <f t="shared" si="6"/>
        <v>357.99400028963049</v>
      </c>
      <c r="X14" s="5">
        <f t="shared" si="87"/>
        <v>3.9271118441693216</v>
      </c>
      <c r="Y14" s="7">
        <f t="shared" ref="Y14:Y75" si="226">IF(M14="","",S14)</f>
        <v>-0.84070253555884733</v>
      </c>
      <c r="Z14" s="21">
        <f t="shared" si="7"/>
        <v>0.94565600625788693</v>
      </c>
      <c r="AA14" s="5">
        <f t="shared" si="8"/>
        <v>-0.3052147263458751</v>
      </c>
      <c r="AB14" s="5">
        <f t="shared" si="9"/>
        <v>-0.11215475313153689</v>
      </c>
      <c r="AC14" s="8">
        <f t="shared" si="88"/>
        <v>1</v>
      </c>
      <c r="AD14" s="9">
        <f>IF(M14="","",Z14*(1/SQRT(Z14^2+AA14^2+AB14^2)))</f>
        <v>0.94565600625788693</v>
      </c>
      <c r="AE14" s="5">
        <f t="shared" si="89"/>
        <v>-0.3052147263458751</v>
      </c>
      <c r="AF14" s="10">
        <f t="shared" si="90"/>
        <v>-0.11215475313153689</v>
      </c>
      <c r="AG14" s="622">
        <f t="shared" si="91"/>
        <v>-69.823548156259889</v>
      </c>
      <c r="AH14" s="623">
        <f t="shared" si="92"/>
        <v>18.975799139387014</v>
      </c>
      <c r="AI14" s="624">
        <f t="shared" si="93"/>
        <v>-83.560457398667438</v>
      </c>
      <c r="AJ14" s="625">
        <f t="shared" si="94"/>
        <v>72.112281840561934</v>
      </c>
      <c r="AK14" s="4">
        <f>IF(M14="","",(COS(RADIANS((90-$Q$8)-W14))*AD14)+(-SIN(RADIANS((90-$Q$8)-W14))*AE14))</f>
        <v>0.95981935698860599</v>
      </c>
      <c r="AL14" s="5">
        <f t="shared" si="95"/>
        <v>-0.25723163355229695</v>
      </c>
      <c r="AM14" s="6">
        <f t="shared" si="96"/>
        <v>-0.11215475313153689</v>
      </c>
      <c r="AN14" s="612">
        <f t="shared" si="97"/>
        <v>-66.442468740676389</v>
      </c>
      <c r="AO14" s="613">
        <f t="shared" si="98"/>
        <v>16.297128498158315</v>
      </c>
      <c r="AP14" s="624">
        <f>IF(M14="","",DEGREES(ATAN2(AK14,AL14)))</f>
        <v>-15.00271857598044</v>
      </c>
      <c r="AQ14" s="625">
        <f t="shared" si="10"/>
        <v>3.1547808869295579</v>
      </c>
      <c r="AS14" s="56">
        <f t="shared" si="119"/>
        <v>-2.0059997103695082</v>
      </c>
      <c r="AT14" s="77">
        <f t="shared" si="11"/>
        <v>-0.82980364824356301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1.125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0.26561996246852965</v>
      </c>
      <c r="C15" s="771">
        <v>4.3046256599983979</v>
      </c>
      <c r="D15" s="772">
        <v>-1.509504552665732</v>
      </c>
      <c r="E15" s="773">
        <v>-0.93356467180094815</v>
      </c>
      <c r="F15" s="771">
        <v>0.35232250091031753</v>
      </c>
      <c r="G15" s="774">
        <v>6.5771262094378349E-2</v>
      </c>
      <c r="H15" s="773">
        <v>0.314</v>
      </c>
      <c r="I15" s="771">
        <v>0.52</v>
      </c>
      <c r="J15" s="601">
        <v>1.1339999999999999</v>
      </c>
      <c r="K15" s="426" t="str">
        <f t="shared" si="225"/>
        <v>1613</v>
      </c>
      <c r="L15" s="327"/>
      <c r="M15" s="173">
        <f t="shared" si="2"/>
        <v>1.1339999999999999</v>
      </c>
      <c r="N15" s="21">
        <f t="shared" si="3"/>
        <v>0.26561996246852965</v>
      </c>
      <c r="O15" s="5">
        <f t="shared" si="4"/>
        <v>4.3046256599983979</v>
      </c>
      <c r="P15" s="10">
        <f t="shared" si="5"/>
        <v>-1.509504552665732</v>
      </c>
      <c r="Q15" s="624">
        <f t="shared" si="116"/>
        <v>86.469000509813256</v>
      </c>
      <c r="R15" s="5">
        <f t="shared" si="83"/>
        <v>4.3128130074440305</v>
      </c>
      <c r="S15" s="6">
        <f t="shared" si="84"/>
        <v>-1.509504552665732</v>
      </c>
      <c r="T15" s="4">
        <f t="shared" si="85"/>
        <v>4.3081939353087009</v>
      </c>
      <c r="U15" s="5">
        <f t="shared" si="86"/>
        <v>-0.19955213090256901</v>
      </c>
      <c r="V15" s="8">
        <f t="shared" si="117"/>
        <v>-1.509504552665732</v>
      </c>
      <c r="W15" s="624">
        <f t="shared" ref="W15:W78" si="227">IF(M15="","",IF(Q15-$Q$8&lt;0,360+Q15-$Q$8,Q15-$Q$8))</f>
        <v>357.34800038290138</v>
      </c>
      <c r="X15" s="5">
        <f>IF(M15="","",R15)</f>
        <v>4.3128130074440305</v>
      </c>
      <c r="Y15" s="7">
        <f>IF(M15="","",S15)</f>
        <v>-1.509504552665732</v>
      </c>
      <c r="Z15" s="21">
        <f t="shared" si="7"/>
        <v>0.93356467180094815</v>
      </c>
      <c r="AA15" s="5">
        <f t="shared" si="8"/>
        <v>-0.35232250091031753</v>
      </c>
      <c r="AB15" s="5">
        <f t="shared" si="9"/>
        <v>-6.5771262094378349E-2</v>
      </c>
      <c r="AC15" s="8">
        <f t="shared" si="88"/>
        <v>1</v>
      </c>
      <c r="AD15" s="9">
        <f t="shared" si="118"/>
        <v>0.93356467180094815</v>
      </c>
      <c r="AE15" s="5">
        <f t="shared" si="89"/>
        <v>-0.35232250091031753</v>
      </c>
      <c r="AF15" s="10">
        <f t="shared" si="90"/>
        <v>-6.5771262094378349E-2</v>
      </c>
      <c r="AG15" s="622">
        <f t="shared" si="91"/>
        <v>-79.425785879692143</v>
      </c>
      <c r="AH15" s="623">
        <f t="shared" si="92"/>
        <v>21.002518712737125</v>
      </c>
      <c r="AI15" s="624">
        <f t="shared" si="93"/>
        <v>-86.228862027059108</v>
      </c>
      <c r="AJ15" s="625">
        <f t="shared" si="94"/>
        <v>69.323751606240748</v>
      </c>
      <c r="AK15" s="4">
        <f t="shared" si="213"/>
        <v>0.9534914506780473</v>
      </c>
      <c r="AL15" s="5">
        <f t="shared" si="95"/>
        <v>-0.29415675169267436</v>
      </c>
      <c r="AM15" s="6">
        <f t="shared" si="96"/>
        <v>-6.5771262094378349E-2</v>
      </c>
      <c r="AN15" s="612">
        <f>IF(M15="","",DEGREES(ATAN2(-AM15,AL15)))</f>
        <v>-77.396394096333395</v>
      </c>
      <c r="AO15" s="613">
        <f t="shared" si="98"/>
        <v>17.542915285768579</v>
      </c>
      <c r="AP15" s="624">
        <f t="shared" si="99"/>
        <v>-17.145248903572519</v>
      </c>
      <c r="AQ15" s="625">
        <f t="shared" si="10"/>
        <v>2.8731401086031032</v>
      </c>
      <c r="AS15" s="56">
        <f t="shared" si="119"/>
        <v>-2.6519996170986246</v>
      </c>
      <c r="AT15" s="77">
        <f t="shared" si="11"/>
        <v>-1.4961652212583598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1.1339999999999999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0.31153886269807135</v>
      </c>
      <c r="C16" s="771">
        <v>4.5348250702959172</v>
      </c>
      <c r="D16" s="772">
        <v>-2.246506775464435</v>
      </c>
      <c r="E16" s="773">
        <v>-0.92029421325448035</v>
      </c>
      <c r="F16" s="771">
        <v>0.39074751190676521</v>
      </c>
      <c r="G16" s="774">
        <v>1.9363444657128359E-2</v>
      </c>
      <c r="H16" s="773">
        <v>0.314</v>
      </c>
      <c r="I16" s="771">
        <v>0.52</v>
      </c>
      <c r="J16" s="601">
        <v>1.143</v>
      </c>
      <c r="K16" s="426" t="str">
        <f t="shared" si="225"/>
        <v>1613</v>
      </c>
      <c r="L16" s="327"/>
      <c r="M16" s="173">
        <f t="shared" si="2"/>
        <v>1.143</v>
      </c>
      <c r="N16" s="21">
        <f t="shared" si="3"/>
        <v>0.31153886269807135</v>
      </c>
      <c r="O16" s="5">
        <f t="shared" si="4"/>
        <v>4.5348250702959172</v>
      </c>
      <c r="P16" s="10">
        <f t="shared" si="5"/>
        <v>-2.246506775464435</v>
      </c>
      <c r="Q16" s="624">
        <f>IF(M16="","",IF(DEGREES(ATAN2(N16,O16))&lt;0,DEGREES(ATAN2(N16,O16))+360,IF(DEGREES(ATAN2(N16,O16))&gt;360,DEGREES(ATAN2(N16,O16))-360,DEGREES(ATAN2(N16,O16)))))</f>
        <v>86.070000567421715</v>
      </c>
      <c r="R16" s="5">
        <f t="shared" si="83"/>
        <v>4.5455137092693469</v>
      </c>
      <c r="S16" s="6">
        <f t="shared" si="84"/>
        <v>-2.246506775464435</v>
      </c>
      <c r="T16" s="4">
        <f t="shared" si="85"/>
        <v>4.5390706907964491</v>
      </c>
      <c r="U16" s="5">
        <f t="shared" si="86"/>
        <v>-0.24193417515560733</v>
      </c>
      <c r="V16" s="8">
        <f t="shared" si="117"/>
        <v>-2.246506775464435</v>
      </c>
      <c r="W16" s="624">
        <f>IF(M16="","",IF(Q16-$Q$8&lt;0,360+Q16-$Q$8,Q16-$Q$8))</f>
        <v>356.94900044050985</v>
      </c>
      <c r="X16" s="5">
        <f t="shared" si="87"/>
        <v>4.5455137092693469</v>
      </c>
      <c r="Y16" s="7">
        <f t="shared" si="226"/>
        <v>-2.246506775464435</v>
      </c>
      <c r="Z16" s="21">
        <f t="shared" si="7"/>
        <v>0.92029421325448035</v>
      </c>
      <c r="AA16" s="5">
        <f t="shared" si="8"/>
        <v>-0.39074751190676521</v>
      </c>
      <c r="AB16" s="5">
        <f t="shared" si="9"/>
        <v>-1.9363444657128359E-2</v>
      </c>
      <c r="AC16" s="8">
        <f t="shared" si="88"/>
        <v>1</v>
      </c>
      <c r="AD16" s="9">
        <f t="shared" si="118"/>
        <v>0.92029421325448035</v>
      </c>
      <c r="AE16" s="5">
        <f t="shared" si="89"/>
        <v>-0.39074751190676521</v>
      </c>
      <c r="AF16" s="10">
        <f t="shared" si="90"/>
        <v>-1.9363444657128359E-2</v>
      </c>
      <c r="AG16" s="622">
        <f t="shared" si="91"/>
        <v>-87.163035440256124</v>
      </c>
      <c r="AH16" s="623">
        <f t="shared" si="92"/>
        <v>23.03086813397195</v>
      </c>
      <c r="AI16" s="624">
        <f t="shared" si="93"/>
        <v>-88.890487002924459</v>
      </c>
      <c r="AJ16" s="625">
        <f t="shared" si="94"/>
        <v>66.994419221496216</v>
      </c>
      <c r="AK16" s="4">
        <f t="shared" si="213"/>
        <v>0.94491108827094727</v>
      </c>
      <c r="AL16" s="5">
        <f t="shared" si="95"/>
        <v>-0.32675387109202625</v>
      </c>
      <c r="AM16" s="6">
        <f t="shared" si="96"/>
        <v>-1.9363444657128359E-2</v>
      </c>
      <c r="AN16" s="612">
        <f t="shared" si="97"/>
        <v>-86.608616495287521</v>
      </c>
      <c r="AO16" s="613">
        <f t="shared" si="98"/>
        <v>19.106621848894616</v>
      </c>
      <c r="AP16" s="624">
        <f t="shared" si="99"/>
        <v>-19.075581345925499</v>
      </c>
      <c r="AQ16" s="625">
        <f t="shared" si="10"/>
        <v>2.7262819277344628</v>
      </c>
      <c r="AS16" s="56">
        <f t="shared" si="119"/>
        <v>-3.0509995594901511</v>
      </c>
      <c r="AT16" s="77">
        <f t="shared" si="11"/>
        <v>-2.2316601109413616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1.143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0.33239210205725223</v>
      </c>
      <c r="C17" s="771">
        <v>4.6337074822744517</v>
      </c>
      <c r="D17" s="772">
        <v>-3.0132090878386077</v>
      </c>
      <c r="E17" s="773">
        <v>-0.87182794980915257</v>
      </c>
      <c r="F17" s="771">
        <v>0.48981217526773246</v>
      </c>
      <c r="G17" s="774">
        <v>2.426748074538243E-4</v>
      </c>
      <c r="H17" s="773">
        <v>0.314</v>
      </c>
      <c r="I17" s="771">
        <v>0.52</v>
      </c>
      <c r="J17" s="601">
        <v>1.1519999999999999</v>
      </c>
      <c r="K17" s="426" t="str">
        <f t="shared" si="225"/>
        <v>1613</v>
      </c>
      <c r="L17" s="861" t="s">
        <v>332</v>
      </c>
      <c r="M17" s="173">
        <f t="shared" si="2"/>
        <v>1.1519999999999999</v>
      </c>
      <c r="N17" s="21">
        <f t="shared" si="3"/>
        <v>0.33239210205725223</v>
      </c>
      <c r="O17" s="5">
        <f t="shared" si="4"/>
        <v>4.6337074822744517</v>
      </c>
      <c r="P17" s="10">
        <f t="shared" si="5"/>
        <v>-3.0132090878386077</v>
      </c>
      <c r="Q17" s="624">
        <f>IF(M17="","",IF(DEGREES(ATAN2(N17,O17))&lt;0,DEGREES(ATAN2(N17,O17))+360,IF(DEGREES(ATAN2(N17,O17))&gt;360,DEGREES(ATAN2(N17,O17))-360,DEGREES(ATAN2(N17,O17)))))</f>
        <v>85.89700059239982</v>
      </c>
      <c r="R17" s="5">
        <f>IF(M17="","",SQRT(N17^2+O17^2))</f>
        <v>4.6456140111718573</v>
      </c>
      <c r="S17" s="6">
        <f>IF(M17="","",P17)</f>
        <v>-3.0132090878386077</v>
      </c>
      <c r="T17" s="4">
        <f>IF(M17="","",X17*COS(RADIANS(W17)))</f>
        <v>4.6382613727399606</v>
      </c>
      <c r="U17" s="5">
        <f>IF(M17="","",X17*SIN(RADIANS(W17)))</f>
        <v>-0.26126802128216098</v>
      </c>
      <c r="V17" s="8">
        <f>IF(M17="","",Y17)</f>
        <v>-3.0132090878386077</v>
      </c>
      <c r="W17" s="624">
        <f t="shared" si="227"/>
        <v>356.77600046548793</v>
      </c>
      <c r="X17" s="5">
        <f>IF(M17="","",R17)</f>
        <v>4.6456140111718573</v>
      </c>
      <c r="Y17" s="7">
        <f t="shared" si="226"/>
        <v>-3.0132090878386077</v>
      </c>
      <c r="Z17" s="21">
        <f t="shared" si="7"/>
        <v>0.87182794980915257</v>
      </c>
      <c r="AA17" s="5">
        <f t="shared" si="8"/>
        <v>-0.48981217526773246</v>
      </c>
      <c r="AB17" s="5">
        <f t="shared" si="9"/>
        <v>-2.426748074538243E-4</v>
      </c>
      <c r="AC17" s="8">
        <f>IF(M17="","",SQRT(Z17^2+AA17^2+AB17^2))</f>
        <v>1</v>
      </c>
      <c r="AD17" s="9">
        <f>IF(M17="","",Z17*(1/SQRT(Z17^2+AA17^2+AB17^2)))</f>
        <v>0.87182794980915257</v>
      </c>
      <c r="AE17" s="5">
        <f>IF(M17="","",AA17*(1/SQRT(Z17^2+AA17^2+AB17^2)))</f>
        <v>-0.48981217526773246</v>
      </c>
      <c r="AF17" s="10">
        <f>IF(M17="","",AB17*(1/SQRT(Z17^2+AA17^2+AB17^2)))</f>
        <v>-2.426748074538243E-4</v>
      </c>
      <c r="AG17" s="622">
        <f>IF(M17="","",DEGREES(ATAN2(-AF17,AE17)))</f>
        <v>-89.971613116566616</v>
      </c>
      <c r="AH17" s="623">
        <f>IF(M17="","",DEGREES(ACOS(AD17)))</f>
        <v>29.328241099954592</v>
      </c>
      <c r="AI17" s="624">
        <f>IF(M17="","",DEGREES(-ACOS(-AF17)))</f>
        <v>-89.986095757602271</v>
      </c>
      <c r="AJ17" s="625">
        <f>IF(M17="","",DEGREES(ATAN2(-AE17,AD17)))</f>
        <v>60.671761902961656</v>
      </c>
      <c r="AK17" s="4">
        <f>IF(M17="","",(COS(RADIANS((90-$Q$8)-W17))*AD17)+(-SIN(RADIANS((90-$Q$8)-W17))*AE17))</f>
        <v>0.9046393830246422</v>
      </c>
      <c r="AL17" s="5">
        <f>IF(M17="","",(SIN(RADIANS((90-$Q$8)-W17))*AD17)+(COS(RADIANS((90-$Q$8)-W17))*AE17))</f>
        <v>-0.42617781240901426</v>
      </c>
      <c r="AM17" s="6">
        <f>IF(M17="","",AF17)</f>
        <v>-2.426748074538243E-4</v>
      </c>
      <c r="AN17" s="612">
        <f>IF(M17="","",DEGREES(ATAN2(-AM17,AL17)))</f>
        <v>-89.967374555048082</v>
      </c>
      <c r="AO17" s="613">
        <f t="shared" si="98"/>
        <v>25.225242270622314</v>
      </c>
      <c r="AP17" s="624">
        <f>IF(M17="","",DEGREES(ATAN2(AK17,AL17)))</f>
        <v>-25.225238689438164</v>
      </c>
      <c r="AQ17" s="625">
        <f t="shared" si="10"/>
        <v>2.6676237825677043</v>
      </c>
      <c r="AS17" s="56">
        <f t="shared" si="119"/>
        <v>-3.2239995345120747</v>
      </c>
      <c r="AT17" s="77">
        <f t="shared" si="11"/>
        <v>-2.9977088678543402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1.1519999999999999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0.34296996886657294</v>
      </c>
      <c r="C18" s="771">
        <v>4.6826709916363312</v>
      </c>
      <c r="D18" s="772">
        <v>-3.7797113996095821</v>
      </c>
      <c r="E18" s="773">
        <v>-0.82718851970533502</v>
      </c>
      <c r="F18" s="771">
        <v>0.56192450815717565</v>
      </c>
      <c r="G18" s="774">
        <v>1.1339743349711347E-7</v>
      </c>
      <c r="H18" s="773">
        <v>0.314</v>
      </c>
      <c r="I18" s="771">
        <v>0.52</v>
      </c>
      <c r="J18" s="601">
        <v>1.161</v>
      </c>
      <c r="K18" s="426" t="str">
        <f t="shared" si="225"/>
        <v>1613</v>
      </c>
      <c r="L18" s="857" t="s">
        <v>376</v>
      </c>
      <c r="M18" s="173">
        <f t="shared" si="2"/>
        <v>1.161</v>
      </c>
      <c r="N18" s="21">
        <f t="shared" si="3"/>
        <v>0.34296996886657294</v>
      </c>
      <c r="O18" s="5">
        <f t="shared" si="4"/>
        <v>4.6826709916363312</v>
      </c>
      <c r="P18" s="10">
        <f t="shared" si="5"/>
        <v>-3.7797113996095821</v>
      </c>
      <c r="Q18" s="624">
        <f t="shared" si="116"/>
        <v>85.811000604816684</v>
      </c>
      <c r="R18" s="5">
        <f>IF(M18="","",SQRT(N18^2+O18^2))</f>
        <v>4.695214160765909</v>
      </c>
      <c r="S18" s="6">
        <f>IF(M18="","",P18)</f>
        <v>-3.7797113996095821</v>
      </c>
      <c r="T18" s="4">
        <f>IF(M18="","",X18*COS(RADIANS(W18)))</f>
        <v>4.6873813935565636</v>
      </c>
      <c r="U18" s="5">
        <f>IF(M18="","",X18*SIN(RADIANS(W18)))</f>
        <v>-0.27109350194435128</v>
      </c>
      <c r="V18" s="8">
        <f>IF(M18="","",Y18)</f>
        <v>-3.7797113996095821</v>
      </c>
      <c r="W18" s="624">
        <f t="shared" si="227"/>
        <v>356.69000047790479</v>
      </c>
      <c r="X18" s="5">
        <f>IF(M18="","",R18)</f>
        <v>4.695214160765909</v>
      </c>
      <c r="Y18" s="7">
        <f t="shared" si="226"/>
        <v>-3.7797113996095821</v>
      </c>
      <c r="Z18" s="21">
        <f t="shared" si="7"/>
        <v>0.82718851970533502</v>
      </c>
      <c r="AA18" s="5">
        <f t="shared" si="8"/>
        <v>-0.56192450815717565</v>
      </c>
      <c r="AB18" s="5">
        <f t="shared" si="9"/>
        <v>-1.1339743349711347E-7</v>
      </c>
      <c r="AC18" s="8">
        <f>IF(M18="","",SQRT(Z18^2+AA18^2+AB18^2))</f>
        <v>1</v>
      </c>
      <c r="AD18" s="9">
        <f>IF(M18="","",Z18*(1/SQRT(Z18^2+AA18^2+AB18^2)))</f>
        <v>0.82718851970533502</v>
      </c>
      <c r="AE18" s="5">
        <f>IF(M18="","",AA18*(1/SQRT(Z18^2+AA18^2+AB18^2)))</f>
        <v>-0.56192450815717565</v>
      </c>
      <c r="AF18" s="10">
        <f>IF(M18="","",AB18*(1/SQRT(Z18^2+AA18^2+AB18^2)))</f>
        <v>-1.1339743349711347E-7</v>
      </c>
      <c r="AG18" s="622">
        <f>IF(M18="","",DEGREES(ATAN2(-AF18,AE18)))</f>
        <v>-89.999988437602823</v>
      </c>
      <c r="AH18" s="623">
        <f>IF(M18="","",DEGREES(ACOS(AD18)))</f>
        <v>34.188995063719751</v>
      </c>
      <c r="AI18" s="624">
        <f>IF(M18="","",DEGREES(-ACOS(-AF18)))</f>
        <v>-89.999993502805651</v>
      </c>
      <c r="AJ18" s="625">
        <f>IF(M18="","",DEGREES(ATAN2(-AE18,AD18)))</f>
        <v>55.811004936280789</v>
      </c>
      <c r="AK18" s="4">
        <f>IF(M18="","",(COS(RADIANS((90-$Q$8)-W18))*AD18)+(-SIN(RADIANS((90-$Q$8)-W18))*AE18))</f>
        <v>0.86602544158358552</v>
      </c>
      <c r="AL18" s="5">
        <f>IF(M18="","",(SIN(RADIANS((90-$Q$8)-W18))*AD18)+(COS(RADIANS((90-$Q$8)-W18))*AE18))</f>
        <v>-0.49999993452993863</v>
      </c>
      <c r="AM18" s="6">
        <f>IF(M18="","",AF18)</f>
        <v>-1.1339743349711347E-7</v>
      </c>
      <c r="AN18" s="612">
        <f>IF(M18="","",DEGREES(ATAN2(-AM18,AL18)))</f>
        <v>-89.999987005609611</v>
      </c>
      <c r="AO18" s="613">
        <f t="shared" si="98"/>
        <v>29.999995668536549</v>
      </c>
      <c r="AP18" s="624">
        <f>IF(M18="","",DEGREES(ATAN2(AK18,AL18)))</f>
        <v>-29.999995668535913</v>
      </c>
      <c r="AQ18" s="625">
        <f t="shared" si="10"/>
        <v>2.639483123661754</v>
      </c>
      <c r="AS18" s="56">
        <f t="shared" si="119"/>
        <v>-3.309999522095211</v>
      </c>
      <c r="AT18" s="77">
        <f t="shared" si="11"/>
        <v>-3.7638862907833341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1.161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</v>
      </c>
      <c r="B19" s="770">
        <v>1.0549790765375271</v>
      </c>
      <c r="C19" s="771">
        <v>1.4819459905135488</v>
      </c>
      <c r="D19" s="772">
        <v>-0.13710041349484711</v>
      </c>
      <c r="E19" s="773">
        <v>-1.8475992203206081E-7</v>
      </c>
      <c r="F19" s="771">
        <v>1.3152831023803706E-7</v>
      </c>
      <c r="G19" s="774">
        <v>0.99999999999997435</v>
      </c>
      <c r="H19" s="773">
        <v>0.25700000000000001</v>
      </c>
      <c r="I19" s="771">
        <v>0.41499999999999992</v>
      </c>
      <c r="J19" s="601">
        <v>1.2070000000000001</v>
      </c>
      <c r="K19" s="426" t="str">
        <f t="shared" si="225"/>
        <v>Knuckle</v>
      </c>
      <c r="L19" s="856" cm="1">
        <f t="array" ref="L19">MIN(IF(ISNUMBER($II9:$II150),IF(ISNUMBER($IF9:$IF150),"",IF($K9:$K150="Knuckle",IF(ISNUMBER($IE9:$IE150),$IO9:$IO150,""),"")),""))</f>
        <v>70</v>
      </c>
      <c r="M19" s="173">
        <f t="shared" si="2"/>
        <v>1.2070000000000001</v>
      </c>
      <c r="N19" s="21">
        <f t="shared" si="3"/>
        <v>1.0549790765375271</v>
      </c>
      <c r="O19" s="5">
        <f t="shared" si="4"/>
        <v>1.4819459905135488</v>
      </c>
      <c r="P19" s="10">
        <f t="shared" si="5"/>
        <v>-0.13710041349484711</v>
      </c>
      <c r="Q19" s="624">
        <f t="shared" si="116"/>
        <v>54.553405117855107</v>
      </c>
      <c r="R19" s="5">
        <f>IF(M19="","",SQRT(N19^2+O19^2))</f>
        <v>1.8191054864221472</v>
      </c>
      <c r="S19" s="6">
        <f>IF(M19="","",P19)</f>
        <v>-0.13710041349484711</v>
      </c>
      <c r="T19" s="4">
        <f>IF(M19="","",X19*COS(RADIANS(W19)))</f>
        <v>1.4979558639956583</v>
      </c>
      <c r="U19" s="5">
        <f>IF(M19="","",X19*SIN(RADIANS(W19)))</f>
        <v>-1.0321206326065659</v>
      </c>
      <c r="V19" s="8">
        <f>IF(M19="","",Y19)</f>
        <v>-0.13710041349484711</v>
      </c>
      <c r="W19" s="624">
        <f t="shared" si="227"/>
        <v>325.43240499094321</v>
      </c>
      <c r="X19" s="5">
        <f>IF(M19="","",R19)</f>
        <v>1.8191054864221472</v>
      </c>
      <c r="Y19" s="7">
        <f t="shared" si="226"/>
        <v>-0.13710041349484711</v>
      </c>
      <c r="Z19" s="21">
        <f t="shared" si="7"/>
        <v>1.8475992203206081E-7</v>
      </c>
      <c r="AA19" s="5">
        <f t="shared" si="8"/>
        <v>-1.3152831023803706E-7</v>
      </c>
      <c r="AB19" s="5">
        <f t="shared" si="9"/>
        <v>-0.99999999999997435</v>
      </c>
      <c r="AC19" s="8">
        <f>IF(M19="","",SQRT(Z19^2+AA19^2+AB19^2))</f>
        <v>1</v>
      </c>
      <c r="AD19" s="9">
        <f>IF(M19="","",Z19*(1/SQRT(Z19^2+AA19^2+AB19^2)))</f>
        <v>1.8475992203206081E-7</v>
      </c>
      <c r="AE19" s="5">
        <f>IF(M19="","",AA19*(1/SQRT(Z19^2+AA19^2+AB19^2)))</f>
        <v>-1.3152831023803706E-7</v>
      </c>
      <c r="AF19" s="10">
        <f>IF(M19="","",AB19*(1/SQRT(Z19^2+AA19^2+AB19^2)))</f>
        <v>-0.99999999999997435</v>
      </c>
      <c r="AG19" s="622">
        <f>IF(M19="","",DEGREES(ATAN2(-AF19,AE19)))</f>
        <v>-7.5360170631270085E-6</v>
      </c>
      <c r="AH19" s="623">
        <f>IF(M19="","",DEGREES(ACOS(AD19)))</f>
        <v>89.99998941403625</v>
      </c>
      <c r="AI19" s="624">
        <f>IF(M19="","",DEGREES(-ACOS(-AF19)))</f>
        <v>-1.2976235990044085E-5</v>
      </c>
      <c r="AJ19" s="625">
        <f>IF(M19="","",DEGREES(ATAN2(-AE19,AD19)))</f>
        <v>54.553405108168107</v>
      </c>
      <c r="AK19" s="4">
        <f>IF(M19="","",(COS(RADIANS((90-$Q$8)-W19))*AD19)+(-SIN(RADIANS((90-$Q$8)-W19))*AE19))</f>
        <v>2.2679489673131211E-7</v>
      </c>
      <c r="AL19" s="5">
        <f>IF(M19="","",(SIN(RADIANS((90-$Q$8)-W19))*AD19)+(COS(RADIANS((90-$Q$8)-W19))*AE19))</f>
        <v>-3.8344096261238507E-17</v>
      </c>
      <c r="AM19" s="6">
        <f>IF(M19="","",AF19)</f>
        <v>-0.99999999999997435</v>
      </c>
      <c r="AN19" s="612">
        <f>IF(M19="","",DEGREES(ATAN2(-AM19,AL19)))</f>
        <v>-2.1969548850123822E-15</v>
      </c>
      <c r="AO19" s="613">
        <f t="shared" si="98"/>
        <v>0</v>
      </c>
      <c r="AP19" s="624">
        <f>IF(M19="","",DEGREES(ATAN2(AK19,AL19)))</f>
        <v>-9.6869679021706417E-9</v>
      </c>
      <c r="AQ19" s="625">
        <f t="shared" si="10"/>
        <v>6.7855752776639067</v>
      </c>
      <c r="AS19" s="56">
        <f t="shared" si="119"/>
        <v>-34.567595009056788</v>
      </c>
      <c r="AT19" s="77">
        <f t="shared" si="11"/>
        <v>-3.1910550511885794E-3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>
        <f>IFERROR(IF($IU19="","",IF($IU19&lt;(((Settings!$C$19/2)*-1)*$IE$8),"",1)),"")</f>
        <v>1</v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1.2070000000000001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800" cm="1">
        <f t="array" ref="II19">IFERROR(IF($IH19&lt;1,$IH19+LARGE((IF($M$9:$M$150="",0,$M$9:$M$150)-MOD(IF($M$9:$M$150="",0,$M$9:$M$150),1)),1),$IH19),"")</f>
        <v>1.107</v>
      </c>
      <c r="IJ19" s="839" t="str">
        <f t="shared" si="68"/>
        <v>1613</v>
      </c>
      <c r="IK19" s="839" t="str">
        <f t="shared" si="69"/>
        <v>Knuckle</v>
      </c>
      <c r="IL19" s="791">
        <f t="shared" si="228"/>
        <v>35.333594898460092</v>
      </c>
      <c r="IM19" s="830">
        <v>1.6642353869137198E-2</v>
      </c>
      <c r="IN19" s="5">
        <f t="shared" si="229"/>
        <v>0.16</v>
      </c>
      <c r="IO19" s="852">
        <v>80</v>
      </c>
      <c r="IP19" s="9">
        <f t="shared" si="230"/>
        <v>-1.8277055123598254</v>
      </c>
      <c r="IQ19" s="5">
        <f t="shared" si="231"/>
        <v>-0.16550049914950543</v>
      </c>
      <c r="IR19" s="5">
        <f t="shared" si="74"/>
        <v>0.314</v>
      </c>
      <c r="IS19" s="5">
        <f t="shared" si="232"/>
        <v>0.30324025704782404</v>
      </c>
      <c r="IT19" s="791">
        <f t="shared" si="233"/>
        <v>-10.588074548148313</v>
      </c>
      <c r="IU19" s="9">
        <f t="shared" si="234"/>
        <v>-1.8191054864221472</v>
      </c>
      <c r="IV19" s="5">
        <f t="shared" si="235"/>
        <v>-0.13710041349484711</v>
      </c>
      <c r="IW19" s="5">
        <f t="shared" si="79"/>
        <v>0.25700000000000001</v>
      </c>
      <c r="IX19" s="5">
        <f t="shared" si="236"/>
        <v>0.25700000000000001</v>
      </c>
      <c r="IY19" s="833">
        <f t="shared" si="237"/>
        <v>2.1969548850123822E-15</v>
      </c>
    </row>
    <row r="20" spans="1:259" ht="15" customHeight="1" x14ac:dyDescent="0.25">
      <c r="A20" s="84">
        <f t="shared" si="82"/>
        <v>0</v>
      </c>
      <c r="B20" s="770">
        <v>1.0898417598605967</v>
      </c>
      <c r="C20" s="771">
        <v>2.3626615044450698</v>
      </c>
      <c r="D20" s="772">
        <v>-4.0000120640364165E-2</v>
      </c>
      <c r="E20" s="773">
        <v>0.11762541075913586</v>
      </c>
      <c r="F20" s="771">
        <v>0.25499997364765931</v>
      </c>
      <c r="G20" s="774">
        <v>0.95976000968129416</v>
      </c>
      <c r="H20" s="773">
        <v>0.25700000000000001</v>
      </c>
      <c r="I20" s="771">
        <v>0.41499999999999992</v>
      </c>
      <c r="J20" s="601">
        <v>1.2110000000000001</v>
      </c>
      <c r="K20" s="426" t="str">
        <f t="shared" si="225"/>
        <v>Knuckle</v>
      </c>
      <c r="L20" s="858" t="s">
        <v>377</v>
      </c>
      <c r="M20" s="173">
        <f t="shared" si="2"/>
        <v>1.2110000000000001</v>
      </c>
      <c r="N20" s="21">
        <f t="shared" si="3"/>
        <v>1.0898417598605967</v>
      </c>
      <c r="O20" s="5">
        <f t="shared" si="4"/>
        <v>2.3626615044450698</v>
      </c>
      <c r="P20" s="10">
        <f t="shared" si="5"/>
        <v>-4.0000120640364165E-2</v>
      </c>
      <c r="Q20" s="624">
        <f t="shared" si="116"/>
        <v>65.237203575305443</v>
      </c>
      <c r="R20" s="5">
        <f>IF(M20="","",SQRT(N20^2+O20^2))</f>
        <v>2.6019078473540684</v>
      </c>
      <c r="S20" s="6">
        <f>IF(M20="","",P20)</f>
        <v>-4.0000120640364165E-2</v>
      </c>
      <c r="T20" s="4">
        <f>IF(M20="","",X20*COS(RADIANS(W20)))</f>
        <v>2.3791025602799163</v>
      </c>
      <c r="U20" s="5">
        <f>IF(M20="","",X20*SIN(RADIANS(W20)))</f>
        <v>-1.0534682974784901</v>
      </c>
      <c r="V20" s="8">
        <f>IF(M20="","",Y20)</f>
        <v>-4.0000120640364165E-2</v>
      </c>
      <c r="W20" s="624">
        <f t="shared" si="227"/>
        <v>336.11620344839355</v>
      </c>
      <c r="X20" s="5">
        <f>IF(M20="","",R20)</f>
        <v>2.6019078473540684</v>
      </c>
      <c r="Y20" s="7">
        <f t="shared" si="226"/>
        <v>-4.0000120640364165E-2</v>
      </c>
      <c r="Z20" s="21">
        <f t="shared" si="7"/>
        <v>-0.11762541075913586</v>
      </c>
      <c r="AA20" s="5">
        <f t="shared" si="8"/>
        <v>-0.25499997364765931</v>
      </c>
      <c r="AB20" s="5">
        <f t="shared" si="9"/>
        <v>-0.95976000968129416</v>
      </c>
      <c r="AC20" s="8">
        <f>IF(M20="","",SQRT(Z20^2+AA20^2+AB20^2))</f>
        <v>1</v>
      </c>
      <c r="AD20" s="9">
        <f>IF(M20="","",Z20*(1/SQRT(Z20^2+AA20^2+AB20^2)))</f>
        <v>-0.11762541075913586</v>
      </c>
      <c r="AE20" s="5">
        <f>IF(M20="","",AA20*(1/SQRT(Z20^2+AA20^2+AB20^2)))</f>
        <v>-0.25499997364765931</v>
      </c>
      <c r="AF20" s="10">
        <f>IF(M20="","",AB20*(1/SQRT(Z20^2+AA20^2+AB20^2)))</f>
        <v>-0.95976000968129416</v>
      </c>
      <c r="AG20" s="622">
        <f>IF(M20="","",DEGREES(ATAN2(-AF20,AE20)))</f>
        <v>-14.879235255845549</v>
      </c>
      <c r="AH20" s="623">
        <f>IF(M20="","",DEGREES(ACOS(AD20)))</f>
        <v>96.755078015645168</v>
      </c>
      <c r="AI20" s="624">
        <f>IF(M20="","",DEGREES(-ACOS(-AF20)))</f>
        <v>-16.309241455853247</v>
      </c>
      <c r="AJ20" s="625">
        <f>IF(M20="","",DEGREES(ATAN2(-AE20,AD20)))</f>
        <v>-24.762750151921065</v>
      </c>
      <c r="AK20" s="4">
        <f>IF(M20="","",(COS(RADIANS((90-$Q$8)-W20))*AD20)+(-SIN(RADIANS((90-$Q$8)-W20))*AE20))</f>
        <v>2.2679489669608088E-7</v>
      </c>
      <c r="AL20" s="5">
        <f>IF(M20="","",(SIN(RADIANS((90-$Q$8)-W20))*AD20)+(COS(RADIANS((90-$Q$8)-W20))*AE20))</f>
        <v>-0.28082151594297566</v>
      </c>
      <c r="AM20" s="6">
        <f>IF(M20="","",AF20)</f>
        <v>-0.95976000968129416</v>
      </c>
      <c r="AN20" s="612">
        <f>IF(M20="","",DEGREES(ATAN2(-AM20,AL20)))</f>
        <v>-16.309241455848241</v>
      </c>
      <c r="AO20" s="613">
        <f t="shared" si="98"/>
        <v>0</v>
      </c>
      <c r="AP20" s="624">
        <f>IF(M20="","",DEGREES(ATAN2(AK20,AL20)))</f>
        <v>-89.999953727226512</v>
      </c>
      <c r="AQ20" s="625">
        <f t="shared" si="10"/>
        <v>4.7554422896054866</v>
      </c>
      <c r="AS20" s="56">
        <f t="shared" si="119"/>
        <v>-23.883796551606451</v>
      </c>
      <c r="AT20" s="77">
        <f t="shared" si="11"/>
        <v>5.3548221408481991E-2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1.2110000000000001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800" cm="1">
        <f t="array" ref="II20">IFERROR(IF($IH20&lt;1,$IH20+LARGE((IF($M$9:$M$150="",0,$M$9:$M$150)-MOD(IF($M$9:$M$150="",0,$M$9:$M$150),1)),1),$IH20),"")</f>
        <v>1.111</v>
      </c>
      <c r="IJ20" s="839" t="str">
        <f t="shared" si="68"/>
        <v>1613</v>
      </c>
      <c r="IK20" s="839" t="str">
        <f t="shared" si="69"/>
        <v>Knuckle</v>
      </c>
      <c r="IL20" s="791">
        <f t="shared" si="228"/>
        <v>23.883796551606451</v>
      </c>
      <c r="IM20" s="830">
        <v>1.07671429332838E-2</v>
      </c>
      <c r="IN20" s="5">
        <f t="shared" si="229"/>
        <v>0.16</v>
      </c>
      <c r="IO20" s="852">
        <v>80</v>
      </c>
      <c r="IP20" s="9">
        <f t="shared" si="230"/>
        <v>-2.58890780814595</v>
      </c>
      <c r="IQ20" s="5">
        <f t="shared" si="231"/>
        <v>-7.2600218962260391E-2</v>
      </c>
      <c r="IR20" s="5">
        <f t="shared" si="74"/>
        <v>0.314</v>
      </c>
      <c r="IS20" s="5">
        <f t="shared" si="232"/>
        <v>0.30279778446939559</v>
      </c>
      <c r="IT20" s="791">
        <f t="shared" si="233"/>
        <v>16.309243224991352</v>
      </c>
      <c r="IU20" s="9">
        <f t="shared" si="234"/>
        <v>-2.6019078473540684</v>
      </c>
      <c r="IV20" s="5">
        <f t="shared" si="235"/>
        <v>-4.0000120640364165E-2</v>
      </c>
      <c r="IW20" s="5">
        <f t="shared" si="79"/>
        <v>0.25700000000000001</v>
      </c>
      <c r="IX20" s="5">
        <f t="shared" si="236"/>
        <v>0.25700000000000001</v>
      </c>
      <c r="IY20" s="833">
        <f t="shared" si="237"/>
        <v>16.309241455848241</v>
      </c>
    </row>
    <row r="21" spans="1:259" ht="15" customHeight="1" x14ac:dyDescent="0.25">
      <c r="A21" s="84">
        <f t="shared" si="82"/>
        <v>0.02</v>
      </c>
      <c r="B21" s="770">
        <v>2.0981452820314015</v>
      </c>
      <c r="C21" s="771">
        <v>3.256052691533168</v>
      </c>
      <c r="D21" s="772">
        <v>-0.77350233288303605</v>
      </c>
      <c r="E21" s="773">
        <v>-0.66963549204377804</v>
      </c>
      <c r="F21" s="771">
        <v>0.73320005987255032</v>
      </c>
      <c r="G21" s="774">
        <v>0.11834686306859224</v>
      </c>
      <c r="H21" s="773">
        <v>0.314</v>
      </c>
      <c r="I21" s="771">
        <v>0.52</v>
      </c>
      <c r="J21" s="601">
        <v>2.1240000000000001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2.1240000000000001</v>
      </c>
      <c r="N21" s="21">
        <f t="shared" si="3"/>
        <v>2.0981452820314015</v>
      </c>
      <c r="O21" s="5">
        <f t="shared" si="4"/>
        <v>3.256052691533168</v>
      </c>
      <c r="P21" s="10">
        <f t="shared" si="5"/>
        <v>-0.77350233288303605</v>
      </c>
      <c r="Q21" s="624">
        <f t="shared" si="116"/>
        <v>57.202952757738657</v>
      </c>
      <c r="R21" s="5">
        <f>IF(M21="","",SQRT(N21^2+O21^2))</f>
        <v>3.8735116825112348</v>
      </c>
      <c r="S21" s="6">
        <f>IF(M21="","",P21)</f>
        <v>-0.77350233288303605</v>
      </c>
      <c r="T21" s="4">
        <f>IF(M21="","",X21*COS(RADIANS(W21)))</f>
        <v>3.2878568383566091</v>
      </c>
      <c r="U21" s="5">
        <f>IF(M21="","",X21*SIN(RADIANS(W21)))</f>
        <v>-2.0479477935295858</v>
      </c>
      <c r="V21" s="8">
        <f>IF(M21="","",Y21)</f>
        <v>-0.77350233288303605</v>
      </c>
      <c r="W21" s="624">
        <f t="shared" si="227"/>
        <v>328.08195263082678</v>
      </c>
      <c r="X21" s="5">
        <f>IF(M21="","",R21)</f>
        <v>3.8735116825112348</v>
      </c>
      <c r="Y21" s="7">
        <f t="shared" si="226"/>
        <v>-0.77350233288303605</v>
      </c>
      <c r="Z21" s="21">
        <f t="shared" si="7"/>
        <v>0.66963549204377804</v>
      </c>
      <c r="AA21" s="5">
        <f t="shared" si="8"/>
        <v>-0.73320005987255032</v>
      </c>
      <c r="AB21" s="5">
        <f t="shared" si="9"/>
        <v>-0.11834686306859224</v>
      </c>
      <c r="AC21" s="8">
        <f>IF(M21="","",SQRT(Z21^2+AA21^2+AB21^2))</f>
        <v>1</v>
      </c>
      <c r="AD21" s="9">
        <f>IF(M21="","",Z21*(1/SQRT(Z21^2+AA21^2+AB21^2)))</f>
        <v>0.66963549204377804</v>
      </c>
      <c r="AE21" s="5">
        <f>IF(M21="","",AA21*(1/SQRT(Z21^2+AA21^2+AB21^2)))</f>
        <v>-0.73320005987255032</v>
      </c>
      <c r="AF21" s="10">
        <f>IF(M21="","",AB21*(1/SQRT(Z21^2+AA21^2+AB21^2)))</f>
        <v>-0.11834686306859224</v>
      </c>
      <c r="AG21" s="622">
        <f>IF(M21="","",DEGREES(ATAN2(-AF21,AE21)))</f>
        <v>-80.830890614350764</v>
      </c>
      <c r="AH21" s="623">
        <f>IF(M21="","",DEGREES(ACOS(AD21)))</f>
        <v>47.961061863735061</v>
      </c>
      <c r="AI21" s="624">
        <f>IF(M21="","",DEGREES(-ACOS(-AF21)))</f>
        <v>-83.203295056954886</v>
      </c>
      <c r="AJ21" s="625">
        <f>IF(M21="","",DEGREES(ATAN2(-AE21,AD21)))</f>
        <v>42.405617475451763</v>
      </c>
      <c r="AK21" s="4">
        <f>IF(M21="","",(COS(RADIANS((90-$Q$8)-W21))*AD21)+(-SIN(RADIANS((90-$Q$8)-W21))*AE21))</f>
        <v>0.96004065494676027</v>
      </c>
      <c r="AL21" s="5">
        <f>IF(M21="","",(SIN(RADIANS((90-$Q$8)-W21))*AD21)+(COS(RADIANS((90-$Q$8)-W21))*AE21))</f>
        <v>-0.25360591643575614</v>
      </c>
      <c r="AM21" s="6">
        <f>IF(M21="","",AF21)</f>
        <v>-0.11834686306859224</v>
      </c>
      <c r="AN21" s="612">
        <f>IF(M21="","",DEGREES(ATAN2(-AM21,AL21)))</f>
        <v>-64.983582313498701</v>
      </c>
      <c r="AO21" s="613">
        <f>IF(ROUND(IF(M21="",0,DEGREES(ACOS(AK21))),4)=90,0,IF(M21="","",DEGREES(ACOS(AK21))))</f>
        <v>16.251883504890966</v>
      </c>
      <c r="AP21" s="624">
        <f>IF(M21="","",DEGREES(ATAN2(AK21,AL21)))</f>
        <v>-14.797335282286904</v>
      </c>
      <c r="AQ21" s="625">
        <f t="shared" si="10"/>
        <v>3.1983455149140436</v>
      </c>
      <c r="AS21" s="56">
        <f t="shared" si="119"/>
        <v>-31.918047369173223</v>
      </c>
      <c r="AT21" s="77">
        <f t="shared" si="11"/>
        <v>-0.64960237663449316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2.1240000000000001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2.3594528509779891</v>
      </c>
      <c r="C22" s="771">
        <v>3.5685258353914637</v>
      </c>
      <c r="D22" s="772">
        <v>-1.4308043153058152</v>
      </c>
      <c r="E22" s="773">
        <v>-0.63438841759717024</v>
      </c>
      <c r="F22" s="771">
        <v>0.76962624128747226</v>
      </c>
      <c r="G22" s="774">
        <v>7.2296502960213518E-2</v>
      </c>
      <c r="H22" s="773">
        <v>0.314</v>
      </c>
      <c r="I22" s="771">
        <v>0.52</v>
      </c>
      <c r="J22" s="601">
        <v>2.133</v>
      </c>
      <c r="K22" s="426" t="str">
        <f t="shared" si="225"/>
        <v>1613</v>
      </c>
      <c r="L22" s="327"/>
      <c r="M22" s="173">
        <f t="shared" si="2"/>
        <v>2.133</v>
      </c>
      <c r="N22" s="21">
        <f t="shared" si="3"/>
        <v>2.3594528509779891</v>
      </c>
      <c r="O22" s="5">
        <f t="shared" si="4"/>
        <v>3.5685258353914637</v>
      </c>
      <c r="P22" s="10">
        <f t="shared" si="5"/>
        <v>-1.4308043153058152</v>
      </c>
      <c r="Q22" s="624">
        <f t="shared" si="116"/>
        <v>56.527952855196574</v>
      </c>
      <c r="R22" s="5">
        <f t="shared" si="83"/>
        <v>4.2780129024869131</v>
      </c>
      <c r="S22" s="6">
        <f t="shared" si="84"/>
        <v>-1.4308043153058152</v>
      </c>
      <c r="T22" s="4">
        <f t="shared" si="85"/>
        <v>3.6043018887599287</v>
      </c>
      <c r="U22" s="5">
        <f t="shared" si="86"/>
        <v>-2.3044310118825679</v>
      </c>
      <c r="V22" s="8">
        <f t="shared" si="117"/>
        <v>-1.4308043153058152</v>
      </c>
      <c r="W22" s="624">
        <f t="shared" si="227"/>
        <v>327.40695272828469</v>
      </c>
      <c r="X22" s="5">
        <f t="shared" si="87"/>
        <v>4.2780129024869131</v>
      </c>
      <c r="Y22" s="7">
        <f t="shared" si="226"/>
        <v>-1.4308043153058152</v>
      </c>
      <c r="Z22" s="21">
        <f t="shared" si="7"/>
        <v>0.63438841759717024</v>
      </c>
      <c r="AA22" s="5">
        <f t="shared" si="8"/>
        <v>-0.76962624128747226</v>
      </c>
      <c r="AB22" s="5">
        <f t="shared" si="9"/>
        <v>-7.2296502960213518E-2</v>
      </c>
      <c r="AC22" s="8">
        <f t="shared" si="88"/>
        <v>1</v>
      </c>
      <c r="AD22" s="9">
        <f t="shared" si="118"/>
        <v>0.63438841759717024</v>
      </c>
      <c r="AE22" s="5">
        <f t="shared" si="89"/>
        <v>-0.76962624128747226</v>
      </c>
      <c r="AF22" s="10">
        <f t="shared" si="90"/>
        <v>-7.2296502960213518E-2</v>
      </c>
      <c r="AG22" s="622">
        <f t="shared" si="91"/>
        <v>-84.633545122329593</v>
      </c>
      <c r="AH22" s="623">
        <f t="shared" si="92"/>
        <v>50.625360710515906</v>
      </c>
      <c r="AI22" s="624">
        <f t="shared" si="93"/>
        <v>-85.854098521722307</v>
      </c>
      <c r="AJ22" s="625">
        <f t="shared" si="94"/>
        <v>39.498116261618748</v>
      </c>
      <c r="AK22" s="4">
        <f t="shared" si="213"/>
        <v>0.95365029981330007</v>
      </c>
      <c r="AL22" s="5">
        <f t="shared" si="95"/>
        <v>-0.29210327167925904</v>
      </c>
      <c r="AM22" s="6">
        <f t="shared" si="96"/>
        <v>-7.2296502960213518E-2</v>
      </c>
      <c r="AN22" s="612">
        <f t="shared" si="97"/>
        <v>-76.098474897958639</v>
      </c>
      <c r="AO22" s="613">
        <f t="shared" si="98"/>
        <v>17.512695052701563</v>
      </c>
      <c r="AP22" s="624">
        <f t="shared" si="99"/>
        <v>-17.02983659357783</v>
      </c>
      <c r="AQ22" s="625">
        <f t="shared" si="10"/>
        <v>2.8964724366505319</v>
      </c>
      <c r="AS22" s="56">
        <f t="shared" si="119"/>
        <v>-32.593047271715307</v>
      </c>
      <c r="AT22" s="77">
        <f t="shared" si="11"/>
        <v>-1.3043543594254468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2.133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2.524447214864594</v>
      </c>
      <c r="C23" s="771">
        <v>3.7571920500274536</v>
      </c>
      <c r="D23" s="772">
        <v>-2.1626065224212718</v>
      </c>
      <c r="E23" s="773">
        <v>-0.60257069073794622</v>
      </c>
      <c r="F23" s="771">
        <v>0.79763872614455178</v>
      </c>
      <c r="G23" s="774">
        <v>2.6096459876604305E-2</v>
      </c>
      <c r="H23" s="773">
        <v>0.314</v>
      </c>
      <c r="I23" s="771">
        <v>0.52</v>
      </c>
      <c r="J23" s="601">
        <v>2.1419999999999999</v>
      </c>
      <c r="K23" s="426" t="str">
        <f t="shared" si="225"/>
        <v>1613</v>
      </c>
      <c r="L23" s="327"/>
      <c r="M23" s="173">
        <f t="shared" si="2"/>
        <v>2.1419999999999999</v>
      </c>
      <c r="N23" s="21">
        <f t="shared" si="3"/>
        <v>2.524447214864594</v>
      </c>
      <c r="O23" s="5">
        <f t="shared" si="4"/>
        <v>3.7571920500274536</v>
      </c>
      <c r="P23" s="10">
        <f t="shared" si="5"/>
        <v>-2.1626065224212718</v>
      </c>
      <c r="Q23" s="624">
        <f t="shared" si="116"/>
        <v>56.102952916558991</v>
      </c>
      <c r="R23" s="5">
        <f t="shared" si="83"/>
        <v>4.5265136519651747</v>
      </c>
      <c r="S23" s="6">
        <f t="shared" si="84"/>
        <v>-2.1626065224212718</v>
      </c>
      <c r="T23" s="4">
        <f t="shared" si="85"/>
        <v>3.7954770537640639</v>
      </c>
      <c r="U23" s="5">
        <f t="shared" si="86"/>
        <v>-2.4665116613909546</v>
      </c>
      <c r="V23" s="8">
        <f t="shared" si="117"/>
        <v>-2.1626065224212718</v>
      </c>
      <c r="W23" s="624">
        <f t="shared" si="227"/>
        <v>326.9819527896471</v>
      </c>
      <c r="X23" s="5">
        <f t="shared" si="87"/>
        <v>4.5265136519651747</v>
      </c>
      <c r="Y23" s="7">
        <f t="shared" si="226"/>
        <v>-2.1626065224212718</v>
      </c>
      <c r="Z23" s="21">
        <f t="shared" si="7"/>
        <v>0.60257069073794622</v>
      </c>
      <c r="AA23" s="5">
        <f t="shared" si="8"/>
        <v>-0.79763872614455178</v>
      </c>
      <c r="AB23" s="5">
        <f t="shared" si="9"/>
        <v>-2.6096459876604305E-2</v>
      </c>
      <c r="AC23" s="8">
        <f t="shared" si="88"/>
        <v>1</v>
      </c>
      <c r="AD23" s="9">
        <f t="shared" si="118"/>
        <v>0.60257069073794622</v>
      </c>
      <c r="AE23" s="5">
        <f t="shared" si="89"/>
        <v>-0.79763872614455178</v>
      </c>
      <c r="AF23" s="10">
        <f t="shared" si="90"/>
        <v>-2.6096459876604305E-2</v>
      </c>
      <c r="AG23" s="622">
        <f t="shared" si="91"/>
        <v>-88.126114235144414</v>
      </c>
      <c r="AH23" s="623">
        <f t="shared" si="92"/>
        <v>52.94576747990304</v>
      </c>
      <c r="AI23" s="624">
        <f t="shared" si="93"/>
        <v>-88.504613223391189</v>
      </c>
      <c r="AJ23" s="625">
        <f t="shared" si="94"/>
        <v>37.068972244697534</v>
      </c>
      <c r="AK23" s="4">
        <f t="shared" si="213"/>
        <v>0.94500337310301108</v>
      </c>
      <c r="AL23" s="5">
        <f t="shared" si="95"/>
        <v>-0.32601779032108097</v>
      </c>
      <c r="AM23" s="6">
        <f t="shared" si="96"/>
        <v>-2.6096459876604305E-2</v>
      </c>
      <c r="AN23" s="612">
        <f t="shared" si="97"/>
        <v>-85.423452948649967</v>
      </c>
      <c r="AO23" s="613">
        <f t="shared" si="98"/>
        <v>19.09046160800337</v>
      </c>
      <c r="AP23" s="624">
        <f t="shared" si="99"/>
        <v>-19.033980671861464</v>
      </c>
      <c r="AQ23" s="625">
        <f t="shared" si="10"/>
        <v>2.7377081321106989</v>
      </c>
      <c r="AS23" s="56">
        <f t="shared" si="119"/>
        <v>-33.018047210352904</v>
      </c>
      <c r="AT23" s="77">
        <f t="shared" si="11"/>
        <v>-2.0345510112171614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2.1419999999999999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2.6014330284184148</v>
      </c>
      <c r="C24" s="771">
        <v>3.8430160804992117</v>
      </c>
      <c r="D24" s="772">
        <v>-2.9273088287634277</v>
      </c>
      <c r="E24" s="773">
        <v>-0.52437474216515245</v>
      </c>
      <c r="F24" s="771">
        <v>0.85148759013546849</v>
      </c>
      <c r="G24" s="774">
        <v>1.1672412881091887E-4</v>
      </c>
      <c r="H24" s="773">
        <v>0.314</v>
      </c>
      <c r="I24" s="771">
        <v>0.52</v>
      </c>
      <c r="J24" s="601">
        <v>2.1509999999999998</v>
      </c>
      <c r="K24" s="426" t="str">
        <f t="shared" si="225"/>
        <v>1613</v>
      </c>
      <c r="L24" s="327"/>
      <c r="M24" s="173">
        <f t="shared" si="2"/>
        <v>2.1509999999999998</v>
      </c>
      <c r="N24" s="21">
        <f t="shared" si="3"/>
        <v>2.6014330284184148</v>
      </c>
      <c r="O24" s="5">
        <f t="shared" si="4"/>
        <v>3.8430160804992117</v>
      </c>
      <c r="P24" s="10">
        <f t="shared" si="5"/>
        <v>-2.9273088287634277</v>
      </c>
      <c r="Q24" s="624">
        <f t="shared" si="116"/>
        <v>55.90495294514664</v>
      </c>
      <c r="R24" s="5">
        <f t="shared" si="83"/>
        <v>4.6407139963934139</v>
      </c>
      <c r="S24" s="6">
        <f t="shared" si="84"/>
        <v>-2.9273088287634277</v>
      </c>
      <c r="T24" s="4">
        <f t="shared" si="85"/>
        <v>3.8824720117264118</v>
      </c>
      <c r="U24" s="5">
        <f t="shared" si="86"/>
        <v>-2.5421718027078342</v>
      </c>
      <c r="V24" s="8">
        <f t="shared" si="117"/>
        <v>-2.9273088287634277</v>
      </c>
      <c r="W24" s="624">
        <f t="shared" si="227"/>
        <v>326.78395281823475</v>
      </c>
      <c r="X24" s="5">
        <f t="shared" si="87"/>
        <v>4.6407139963934139</v>
      </c>
      <c r="Y24" s="7">
        <f t="shared" si="226"/>
        <v>-2.9273088287634277</v>
      </c>
      <c r="Z24" s="21">
        <f t="shared" si="7"/>
        <v>0.52437474216515245</v>
      </c>
      <c r="AA24" s="5">
        <f t="shared" si="8"/>
        <v>-0.85148759013546849</v>
      </c>
      <c r="AB24" s="5">
        <f t="shared" si="9"/>
        <v>-1.1672412881091887E-4</v>
      </c>
      <c r="AC24" s="8">
        <f t="shared" si="88"/>
        <v>1</v>
      </c>
      <c r="AD24" s="9">
        <f t="shared" si="118"/>
        <v>0.52437474216515245</v>
      </c>
      <c r="AE24" s="5">
        <f t="shared" si="89"/>
        <v>-0.85148759013546849</v>
      </c>
      <c r="AF24" s="10">
        <f t="shared" si="90"/>
        <v>-1.1672412881091887E-4</v>
      </c>
      <c r="AG24" s="622">
        <f t="shared" si="91"/>
        <v>-89.992145745887797</v>
      </c>
      <c r="AH24" s="623">
        <f t="shared" si="92"/>
        <v>58.373839264414009</v>
      </c>
      <c r="AI24" s="624">
        <f t="shared" si="93"/>
        <v>-89.993312200036598</v>
      </c>
      <c r="AJ24" s="625">
        <f t="shared" si="94"/>
        <v>31.626160975954384</v>
      </c>
      <c r="AK24" s="4">
        <f>IF(M24="","",(COS(RADIANS((90-$Q$8)-W24))*AD24)+(-SIN(RADIANS((90-$Q$8)-W24))*AE24))</f>
        <v>0.91155553001170109</v>
      </c>
      <c r="AL24" s="5">
        <f t="shared" si="95"/>
        <v>-0.41117697172940559</v>
      </c>
      <c r="AM24" s="6">
        <f t="shared" si="96"/>
        <v>-1.1672412881091887E-4</v>
      </c>
      <c r="AN24" s="612">
        <f t="shared" si="97"/>
        <v>-89.983734984621279</v>
      </c>
      <c r="AO24" s="613">
        <f t="shared" si="98"/>
        <v>24.278792834495388</v>
      </c>
      <c r="AP24" s="624">
        <f t="shared" si="99"/>
        <v>-24.278791969192284</v>
      </c>
      <c r="AQ24" s="625">
        <f t="shared" si="10"/>
        <v>2.6704363851492872</v>
      </c>
      <c r="AS24" s="56">
        <f t="shared" si="119"/>
        <v>-33.216047181765248</v>
      </c>
      <c r="AT24" s="77">
        <f t="shared" si="11"/>
        <v>-2.7985053176673151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2.1509999999999998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2.6383594313087664</v>
      </c>
      <c r="C25" s="771">
        <v>3.8838248578792536</v>
      </c>
      <c r="D25" s="772">
        <v>-3.6935111396295977</v>
      </c>
      <c r="E25" s="773">
        <v>-0.43540326908621346</v>
      </c>
      <c r="F25" s="771">
        <v>0.9002355209993802</v>
      </c>
      <c r="G25" s="774">
        <v>1.1339743324151204E-7</v>
      </c>
      <c r="H25" s="773">
        <v>0.314</v>
      </c>
      <c r="I25" s="771">
        <v>0.52</v>
      </c>
      <c r="J25" s="601">
        <v>2.16</v>
      </c>
      <c r="K25" s="426" t="str">
        <f t="shared" si="225"/>
        <v>1613</v>
      </c>
      <c r="L25" s="327"/>
      <c r="M25" s="173">
        <f t="shared" si="2"/>
        <v>2.16</v>
      </c>
      <c r="N25" s="21">
        <f t="shared" si="3"/>
        <v>2.6383594313087664</v>
      </c>
      <c r="O25" s="5">
        <f t="shared" si="4"/>
        <v>3.8838248578792536</v>
      </c>
      <c r="P25" s="10">
        <f t="shared" si="5"/>
        <v>-3.6935111396295977</v>
      </c>
      <c r="Q25" s="624">
        <f t="shared" si="116"/>
        <v>55.810952958718545</v>
      </c>
      <c r="R25" s="5">
        <f>IF(M25="","",SQRT(N25^2+O25^2))</f>
        <v>4.695214160765909</v>
      </c>
      <c r="S25" s="6">
        <f>IF(M25="","",P25)</f>
        <v>-3.6935111396295977</v>
      </c>
      <c r="T25" s="4">
        <f>IF(M25="","",X25*COS(RADIANS(W25)))</f>
        <v>3.923842468870077</v>
      </c>
      <c r="U25" s="5">
        <f>IF(M25="","",X25*SIN(RADIANS(W25)))</f>
        <v>-2.5784678192578436</v>
      </c>
      <c r="V25" s="8">
        <f>IF(M25="","",Y25)</f>
        <v>-3.6935111396295977</v>
      </c>
      <c r="W25" s="624">
        <f t="shared" si="227"/>
        <v>326.68995283180664</v>
      </c>
      <c r="X25" s="5">
        <f>IF(M25="","",R25)</f>
        <v>4.695214160765909</v>
      </c>
      <c r="Y25" s="7">
        <f t="shared" si="226"/>
        <v>-3.6935111396295977</v>
      </c>
      <c r="Z25" s="21">
        <f t="shared" si="7"/>
        <v>0.43540326908621346</v>
      </c>
      <c r="AA25" s="5">
        <f t="shared" si="8"/>
        <v>-0.9002355209993802</v>
      </c>
      <c r="AB25" s="5">
        <f t="shared" si="9"/>
        <v>-1.1339743324151204E-7</v>
      </c>
      <c r="AC25" s="8">
        <f>IF(M25="","",SQRT(Z25^2+AA25^2+AB25^2))</f>
        <v>1</v>
      </c>
      <c r="AD25" s="9">
        <f>IF(M25="","",Z25*(1/SQRT(Z25^2+AA25^2+AB25^2)))</f>
        <v>0.43540326908621346</v>
      </c>
      <c r="AE25" s="5">
        <f>IF(M25="","",AA25*(1/SQRT(Z25^2+AA25^2+AB25^2)))</f>
        <v>-0.9002355209993802</v>
      </c>
      <c r="AF25" s="10">
        <f>IF(M25="","",AB25*(1/SQRT(Z25^2+AA25^2+AB25^2)))</f>
        <v>-1.1339743324151204E-7</v>
      </c>
      <c r="AG25" s="622">
        <f>IF(M25="","",DEGREES(ATAN2(-AF25,AE25)))</f>
        <v>-89.999992782783863</v>
      </c>
      <c r="AH25" s="623">
        <f>IF(M25="","",DEGREES(ACOS(AD25)))</f>
        <v>64.189042709817528</v>
      </c>
      <c r="AI25" s="624">
        <f>IF(M25="","",DEGREES(-ACOS(-AF25)))</f>
        <v>-89.999993502805665</v>
      </c>
      <c r="AJ25" s="625">
        <f>IF(M25="","",DEGREES(ATAN2(-AE25,AD25)))</f>
        <v>25.810957290182657</v>
      </c>
      <c r="AK25" s="4">
        <f>IF(M25="","",(COS(RADIANS((90-$Q$8)-W25))*AD25)+(-SIN(RADIANS((90-$Q$8)-W25))*AE25))</f>
        <v>0.86602544158358574</v>
      </c>
      <c r="AL25" s="5">
        <f>IF(M25="","",(SIN(RADIANS((90-$Q$8)-W25))*AD25)+(COS(RADIANS((90-$Q$8)-W25))*AE25))</f>
        <v>-0.49999993452993818</v>
      </c>
      <c r="AM25" s="6">
        <f>IF(M25="","",AF25)</f>
        <v>-1.1339743324151204E-7</v>
      </c>
      <c r="AN25" s="612">
        <f>IF(M25="","",DEGREES(ATAN2(-AM25,AL25)))</f>
        <v>-89.999987005609626</v>
      </c>
      <c r="AO25" s="613">
        <f>IF(ROUND(IF(M25="",0,DEGREES(ACOS(AK25))),4)=90,0,IF(M25="","",DEGREES(ACOS(AK25))))</f>
        <v>29.99999566853651</v>
      </c>
      <c r="AP25" s="624">
        <f>IF(M25="","",DEGREES(ATAN2(AK25,AL25)))</f>
        <v>-29.999995668535888</v>
      </c>
      <c r="AQ25" s="625">
        <f t="shared" si="10"/>
        <v>2.639483123661754</v>
      </c>
      <c r="AS25" s="56">
        <f t="shared" si="119"/>
        <v>-33.310047168193364</v>
      </c>
      <c r="AT25" s="77">
        <f t="shared" si="11"/>
        <v>-3.5643525174736452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2.16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2.3222162140235145</v>
      </c>
      <c r="C26" s="771">
        <v>0.81236223735375201</v>
      </c>
      <c r="D26" s="772">
        <v>-6.6200199659802172E-2</v>
      </c>
      <c r="E26" s="773">
        <v>-0.26968104224232858</v>
      </c>
      <c r="F26" s="771">
        <v>0.92761209899480235</v>
      </c>
      <c r="G26" s="774">
        <v>0.2584722988127523</v>
      </c>
      <c r="H26" s="773">
        <v>0.314</v>
      </c>
      <c r="I26" s="771">
        <v>0.52</v>
      </c>
      <c r="J26" s="601">
        <v>3.11</v>
      </c>
      <c r="K26" s="426" t="str">
        <f t="shared" si="225"/>
        <v>1613</v>
      </c>
      <c r="L26" s="327"/>
      <c r="M26" s="173">
        <f t="shared" si="2"/>
        <v>3.11</v>
      </c>
      <c r="N26" s="21">
        <f t="shared" si="3"/>
        <v>2.3222162140235145</v>
      </c>
      <c r="O26" s="5">
        <f t="shared" si="4"/>
        <v>0.81236223735375201</v>
      </c>
      <c r="P26" s="10">
        <f t="shared" si="5"/>
        <v>-6.6200199659802172E-2</v>
      </c>
      <c r="Q26" s="624">
        <f t="shared" si="116"/>
        <v>19.280958232997246</v>
      </c>
      <c r="R26" s="5">
        <f>IF(M26="","",SQRT(N26^2+O26^2))</f>
        <v>2.4602074199855788</v>
      </c>
      <c r="S26" s="6">
        <f>IF(M26="","",P26)</f>
        <v>-6.6200199659802172E-2</v>
      </c>
      <c r="T26" s="4">
        <f>IF(M26="","",X26*COS(RADIANS(W26)))</f>
        <v>0.84789138817806897</v>
      </c>
      <c r="U26" s="5">
        <f>IF(M26="","",X26*SIN(RADIANS(W26)))</f>
        <v>-2.3094806219593109</v>
      </c>
      <c r="V26" s="8">
        <f>IF(M26="","",Y26)</f>
        <v>-6.6200199659802172E-2</v>
      </c>
      <c r="W26" s="624">
        <f t="shared" si="227"/>
        <v>290.15995810608536</v>
      </c>
      <c r="X26" s="5">
        <f>IF(M26="","",R26)</f>
        <v>2.4602074199855788</v>
      </c>
      <c r="Y26" s="7">
        <f t="shared" si="226"/>
        <v>-6.6200199659802172E-2</v>
      </c>
      <c r="Z26" s="21">
        <f t="shared" si="7"/>
        <v>0.26968104224232858</v>
      </c>
      <c r="AA26" s="5">
        <f t="shared" si="8"/>
        <v>-0.92761209899480235</v>
      </c>
      <c r="AB26" s="5">
        <f t="shared" si="9"/>
        <v>-0.2584722988127523</v>
      </c>
      <c r="AC26" s="8">
        <f>IF(M26="","",SQRT(Z26^2+AA26^2+AB26^2))</f>
        <v>1</v>
      </c>
      <c r="AD26" s="9">
        <f>IF(M26="","",Z26*(1/SQRT(Z26^2+AA26^2+AB26^2)))</f>
        <v>0.26968104224232858</v>
      </c>
      <c r="AE26" s="5">
        <f>IF(M26="","",AA26*(1/SQRT(Z26^2+AA26^2+AB26^2)))</f>
        <v>-0.92761209899480235</v>
      </c>
      <c r="AF26" s="10">
        <f>IF(M26="","",AB26*(1/SQRT(Z26^2+AA26^2+AB26^2)))</f>
        <v>-0.2584722988127523</v>
      </c>
      <c r="AG26" s="622">
        <f>IF(M26="","",DEGREES(ATAN2(-AF26,AE26)))</f>
        <v>-74.429895114547165</v>
      </c>
      <c r="AH26" s="623">
        <f>IF(M26="","",DEGREES(ACOS(AD26)))</f>
        <v>74.354712105976631</v>
      </c>
      <c r="AI26" s="624">
        <f>IF(M26="","",DEGREES(-ACOS(-AF26)))</f>
        <v>-75.02056694567635</v>
      </c>
      <c r="AJ26" s="625">
        <f>IF(M26="","",DEGREES(ATAN2(-AE26,AD26)))</f>
        <v>16.210526356241399</v>
      </c>
      <c r="AK26" s="4">
        <f>IF(M26="","",(COS(RADIANS((90-$Q$8)-W26))*AD26)+(-SIN(RADIANS((90-$Q$8)-W26))*AE26))</f>
        <v>0.96463189736737576</v>
      </c>
      <c r="AL26" s="5">
        <f>IF(M26="","",(SIN(RADIANS((90-$Q$8)-W26))*AD26)+(COS(RADIANS((90-$Q$8)-W26))*AE26))</f>
        <v>-5.1743340903621038E-2</v>
      </c>
      <c r="AM26" s="6">
        <f>IF(M26="","",AF26)</f>
        <v>-0.2584722988127523</v>
      </c>
      <c r="AN26" s="612">
        <f>IF(M26="","",DEGREES(ATAN2(-AM26,AL26)))</f>
        <v>-11.320350869138659</v>
      </c>
      <c r="AO26" s="613">
        <f t="shared" si="98"/>
        <v>15.283819753838051</v>
      </c>
      <c r="AP26" s="624">
        <f>IF(M26="","",DEGREES(ATAN2(AK26,AL26)))</f>
        <v>-3.0704318767558432</v>
      </c>
      <c r="AQ26" s="625">
        <f t="shared" si="10"/>
        <v>5.0279751515809332</v>
      </c>
      <c r="AS26" s="56">
        <f t="shared" si="119"/>
        <v>-69.840041893914645</v>
      </c>
      <c r="AT26" s="77">
        <f t="shared" si="11"/>
        <v>0.20096062479331939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3.11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3.0461946992897246</v>
      </c>
      <c r="C27" s="771">
        <v>1.0047177094710948</v>
      </c>
      <c r="D27" s="772">
        <v>-0.24000072384218313</v>
      </c>
      <c r="E27" s="773">
        <v>-0.13415899838822534</v>
      </c>
      <c r="F27" s="771">
        <v>0.96927506031039323</v>
      </c>
      <c r="G27" s="774">
        <v>0.20617279309295838</v>
      </c>
      <c r="H27" s="773">
        <v>0.314</v>
      </c>
      <c r="I27" s="771">
        <v>0.52</v>
      </c>
      <c r="J27" s="601">
        <v>3.1160000000000001</v>
      </c>
      <c r="K27" s="426" t="str">
        <f t="shared" si="225"/>
        <v>1613</v>
      </c>
      <c r="L27" s="327"/>
      <c r="M27" s="173">
        <f t="shared" si="2"/>
        <v>3.1160000000000001</v>
      </c>
      <c r="N27" s="21">
        <f t="shared" si="3"/>
        <v>3.0461946992897246</v>
      </c>
      <c r="O27" s="5">
        <f t="shared" si="4"/>
        <v>1.0047177094710948</v>
      </c>
      <c r="P27" s="10">
        <f t="shared" si="5"/>
        <v>-0.24000072384218313</v>
      </c>
      <c r="Q27" s="624">
        <f t="shared" si="116"/>
        <v>18.253958381277673</v>
      </c>
      <c r="R27" s="5">
        <f t="shared" si="83"/>
        <v>3.2076096741507776</v>
      </c>
      <c r="S27" s="6">
        <f t="shared" si="84"/>
        <v>-0.24000072384218313</v>
      </c>
      <c r="T27" s="4">
        <f t="shared" si="85"/>
        <v>1.051330662558412</v>
      </c>
      <c r="U27" s="5">
        <f t="shared" si="86"/>
        <v>-3.0304230166216315</v>
      </c>
      <c r="V27" s="8">
        <f t="shared" si="117"/>
        <v>-0.24000072384218313</v>
      </c>
      <c r="W27" s="624">
        <f t="shared" si="227"/>
        <v>289.1329582543658</v>
      </c>
      <c r="X27" s="5">
        <f t="shared" si="87"/>
        <v>3.2076096741507776</v>
      </c>
      <c r="Y27" s="7">
        <f t="shared" si="226"/>
        <v>-0.24000072384218313</v>
      </c>
      <c r="Z27" s="21">
        <f t="shared" si="7"/>
        <v>0.13415899838822534</v>
      </c>
      <c r="AA27" s="5">
        <f t="shared" si="8"/>
        <v>-0.96927506031039323</v>
      </c>
      <c r="AB27" s="5">
        <f t="shared" si="9"/>
        <v>-0.20617279309295838</v>
      </c>
      <c r="AC27" s="8">
        <f t="shared" si="88"/>
        <v>1</v>
      </c>
      <c r="AD27" s="9">
        <f t="shared" si="118"/>
        <v>0.13415899838822534</v>
      </c>
      <c r="AE27" s="5">
        <f t="shared" si="89"/>
        <v>-0.96927506031039323</v>
      </c>
      <c r="AF27" s="10">
        <f t="shared" si="90"/>
        <v>-0.20617279309295838</v>
      </c>
      <c r="AG27" s="622">
        <f t="shared" si="91"/>
        <v>-77.991685343129234</v>
      </c>
      <c r="AH27" s="623">
        <f t="shared" si="92"/>
        <v>82.290008336563659</v>
      </c>
      <c r="AI27" s="624">
        <f t="shared" si="93"/>
        <v>-78.101838144010159</v>
      </c>
      <c r="AJ27" s="625">
        <f t="shared" si="94"/>
        <v>7.8803368719169971</v>
      </c>
      <c r="AK27" s="4">
        <f t="shared" si="213"/>
        <v>0.96252124980081832</v>
      </c>
      <c r="AL27" s="5">
        <f t="shared" si="95"/>
        <v>-0.17619768179553066</v>
      </c>
      <c r="AM27" s="6">
        <f t="shared" si="96"/>
        <v>-0.20617279309295838</v>
      </c>
      <c r="AN27" s="612">
        <f t="shared" si="97"/>
        <v>-40.517587679862721</v>
      </c>
      <c r="AO27" s="613">
        <f t="shared" si="98"/>
        <v>15.736059858130881</v>
      </c>
      <c r="AP27" s="624">
        <f t="shared" si="99"/>
        <v>-10.373621509360675</v>
      </c>
      <c r="AQ27" s="625">
        <f t="shared" si="10"/>
        <v>3.8604884152474805</v>
      </c>
      <c r="AS27" s="56">
        <f t="shared" si="119"/>
        <v>-70.867041745634197</v>
      </c>
      <c r="AT27" s="77">
        <f t="shared" si="11"/>
        <v>3.1039877828545615E-2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3.1160000000000001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3.6450255071759439</v>
      </c>
      <c r="C28" s="771">
        <v>1.1348774044905723</v>
      </c>
      <c r="D28" s="772">
        <v>-0.70810213563604107</v>
      </c>
      <c r="E28" s="773">
        <v>-4.7026746788610282E-2</v>
      </c>
      <c r="F28" s="771">
        <v>0.99109612520496504</v>
      </c>
      <c r="G28" s="774">
        <v>0.12456707305778739</v>
      </c>
      <c r="H28" s="773">
        <v>0.314</v>
      </c>
      <c r="I28" s="771">
        <v>0.52</v>
      </c>
      <c r="J28" s="601">
        <v>3.1230000000000002</v>
      </c>
      <c r="K28" s="426" t="str">
        <f t="shared" si="225"/>
        <v>1613</v>
      </c>
      <c r="L28" s="327"/>
      <c r="M28" s="173">
        <f t="shared" si="2"/>
        <v>3.1230000000000002</v>
      </c>
      <c r="N28" s="21">
        <f t="shared" si="3"/>
        <v>3.6450255071759439</v>
      </c>
      <c r="O28" s="5">
        <f t="shared" si="4"/>
        <v>1.1348774044905723</v>
      </c>
      <c r="P28" s="10">
        <f t="shared" si="5"/>
        <v>-0.70810213563604107</v>
      </c>
      <c r="Q28" s="624">
        <f t="shared" si="116"/>
        <v>17.293958519884505</v>
      </c>
      <c r="R28" s="5">
        <f t="shared" si="83"/>
        <v>3.8176115139163262</v>
      </c>
      <c r="S28" s="6">
        <f t="shared" si="84"/>
        <v>-0.70810213563604107</v>
      </c>
      <c r="T28" s="4">
        <f t="shared" si="85"/>
        <v>1.1906616083808401</v>
      </c>
      <c r="U28" s="5">
        <f t="shared" si="86"/>
        <v>-3.6271865964566055</v>
      </c>
      <c r="V28" s="8">
        <f t="shared" si="117"/>
        <v>-0.70810213563604107</v>
      </c>
      <c r="W28" s="624">
        <f t="shared" si="227"/>
        <v>288.17295839297259</v>
      </c>
      <c r="X28" s="5">
        <f t="shared" si="87"/>
        <v>3.8176115139163262</v>
      </c>
      <c r="Y28" s="7">
        <f t="shared" si="226"/>
        <v>-0.70810213563604107</v>
      </c>
      <c r="Z28" s="21">
        <f t="shared" si="7"/>
        <v>4.7026746788610282E-2</v>
      </c>
      <c r="AA28" s="5">
        <f t="shared" si="8"/>
        <v>-0.99109612520496504</v>
      </c>
      <c r="AB28" s="5">
        <f t="shared" si="9"/>
        <v>-0.12456707305778739</v>
      </c>
      <c r="AC28" s="8">
        <f t="shared" si="88"/>
        <v>1</v>
      </c>
      <c r="AD28" s="9">
        <f t="shared" si="118"/>
        <v>4.7026746788610282E-2</v>
      </c>
      <c r="AE28" s="5">
        <f t="shared" si="89"/>
        <v>-0.99109612520496504</v>
      </c>
      <c r="AF28" s="10">
        <f t="shared" si="90"/>
        <v>-0.12456707305778739</v>
      </c>
      <c r="AG28" s="622">
        <f t="shared" si="91"/>
        <v>-82.836277293416444</v>
      </c>
      <c r="AH28" s="623">
        <f t="shared" si="92"/>
        <v>87.304571764929335</v>
      </c>
      <c r="AI28" s="624">
        <f t="shared" si="93"/>
        <v>-82.844244507898338</v>
      </c>
      <c r="AJ28" s="625">
        <f t="shared" si="94"/>
        <v>2.7166030263131087</v>
      </c>
      <c r="AK28" s="4">
        <f t="shared" si="213"/>
        <v>0.96027063922271683</v>
      </c>
      <c r="AL28" s="5">
        <f t="shared" si="95"/>
        <v>-0.24972653795023586</v>
      </c>
      <c r="AM28" s="6">
        <f t="shared" si="96"/>
        <v>-0.12456707305778739</v>
      </c>
      <c r="AN28" s="612">
        <f t="shared" si="97"/>
        <v>-63.489340563004006</v>
      </c>
      <c r="AO28" s="613">
        <f t="shared" si="98"/>
        <v>16.204732326085917</v>
      </c>
      <c r="AP28" s="624">
        <f t="shared" si="99"/>
        <v>-14.577355493571362</v>
      </c>
      <c r="AQ28" s="625">
        <f t="shared" si="10"/>
        <v>3.2450785844088204</v>
      </c>
      <c r="AS28" s="56">
        <f t="shared" si="119"/>
        <v>-71.827041607027411</v>
      </c>
      <c r="AT28" s="77">
        <f t="shared" si="11"/>
        <v>-0.43343486782227131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3.1230000000000002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4.0647580868524473</v>
      </c>
      <c r="C29" s="771">
        <v>1.210981376094896</v>
      </c>
      <c r="D29" s="772">
        <v>-1.3531040809619082</v>
      </c>
      <c r="E29" s="773">
        <v>5.4550923645061353E-3</v>
      </c>
      <c r="F29" s="771">
        <v>0.9968726672762751</v>
      </c>
      <c r="G29" s="774">
        <v>7.8836078065690748E-2</v>
      </c>
      <c r="H29" s="773">
        <v>0.314</v>
      </c>
      <c r="I29" s="771">
        <v>0.52</v>
      </c>
      <c r="J29" s="601">
        <v>3.1320000000000001</v>
      </c>
      <c r="K29" s="426" t="str">
        <f t="shared" si="225"/>
        <v>1613</v>
      </c>
      <c r="L29" s="327"/>
      <c r="M29" s="173">
        <f t="shared" si="2"/>
        <v>3.1320000000000001</v>
      </c>
      <c r="N29" s="21">
        <f t="shared" si="3"/>
        <v>4.0647580868524473</v>
      </c>
      <c r="O29" s="5">
        <f t="shared" si="4"/>
        <v>1.210981376094896</v>
      </c>
      <c r="P29" s="10">
        <f t="shared" si="5"/>
        <v>-1.3531040809619082</v>
      </c>
      <c r="Q29" s="624">
        <f t="shared" si="116"/>
        <v>16.589958621529512</v>
      </c>
      <c r="R29" s="5">
        <f>IF(M29="","",SQRT(N29^2+O29^2))</f>
        <v>4.2413127917993805</v>
      </c>
      <c r="S29" s="6">
        <f>IF(M29="","",P29)</f>
        <v>-1.3531040809619082</v>
      </c>
      <c r="T29" s="4">
        <f>IF(M29="","",X29*COS(RADIANS(W29)))</f>
        <v>1.2731956746511277</v>
      </c>
      <c r="U29" s="5">
        <f>IF(M29="","",X29*SIN(RADIANS(W29)))</f>
        <v>-4.0457022841443377</v>
      </c>
      <c r="V29" s="8">
        <f>IF(M29="","",Y29)</f>
        <v>-1.3531040809619082</v>
      </c>
      <c r="W29" s="624">
        <f t="shared" si="227"/>
        <v>287.4689584946176</v>
      </c>
      <c r="X29" s="5">
        <f>IF(M29="","",R29)</f>
        <v>4.2413127917993805</v>
      </c>
      <c r="Y29" s="7">
        <f t="shared" si="226"/>
        <v>-1.3531040809619082</v>
      </c>
      <c r="Z29" s="21">
        <f t="shared" si="7"/>
        <v>-5.4550923645061353E-3</v>
      </c>
      <c r="AA29" s="5">
        <f t="shared" si="8"/>
        <v>-0.9968726672762751</v>
      </c>
      <c r="AB29" s="5">
        <f t="shared" si="9"/>
        <v>-7.8836078065690748E-2</v>
      </c>
      <c r="AC29" s="8">
        <f>IF(M29="","",SQRT(Z29^2+AA29^2+AB29^2))</f>
        <v>1</v>
      </c>
      <c r="AD29" s="9">
        <f>IF(M29="","",Z29*(1/SQRT(Z29^2+AA29^2+AB29^2)))</f>
        <v>-5.4550923645061353E-3</v>
      </c>
      <c r="AE29" s="5">
        <f>IF(M29="","",AA29*(1/SQRT(Z29^2+AA29^2+AB29^2)))</f>
        <v>-0.9968726672762751</v>
      </c>
      <c r="AF29" s="10">
        <f>IF(M29="","",AB29*(1/SQRT(Z29^2+AA29^2+AB29^2)))</f>
        <v>-7.8836078065690748E-2</v>
      </c>
      <c r="AG29" s="622">
        <f>IF(M29="","",DEGREES(ATAN2(-AF29,AE29)))</f>
        <v>-85.478265970750684</v>
      </c>
      <c r="AH29" s="623">
        <f>IF(M29="","",DEGREES(ACOS(AD29)))</f>
        <v>90.312555319525217</v>
      </c>
      <c r="AI29" s="624">
        <f>IF(M29="","",DEGREES(-ACOS(-AF29)))</f>
        <v>-85.478333390228826</v>
      </c>
      <c r="AJ29" s="625">
        <f>IF(M29="","",DEGREES(ATAN2(-AE29,AD29)))</f>
        <v>-0.31353116585990265</v>
      </c>
      <c r="AK29" s="4">
        <f>IF(M29="","",(COS(RADIANS((90-$Q$8)-W29))*AD29)+(-SIN(RADIANS((90-$Q$8)-W29))*AE29))</f>
        <v>0.9538179377944046</v>
      </c>
      <c r="AL29" s="5">
        <f>IF(M29="","",(SIN(RADIANS((90-$Q$8)-W29))*AD29)+(COS(RADIANS((90-$Q$8)-W29))*AE29))</f>
        <v>-0.28985550596262566</v>
      </c>
      <c r="AM29" s="6">
        <f>IF(M29="","",AF29)</f>
        <v>-7.8836078065690748E-2</v>
      </c>
      <c r="AN29" s="612">
        <f>IF(M29="","",DEGREES(ATAN2(-AM29,AL29)))</f>
        <v>-74.784523535292081</v>
      </c>
      <c r="AO29" s="613">
        <f t="shared" si="98"/>
        <v>17.480747905693029</v>
      </c>
      <c r="AP29" s="624">
        <f>IF(M29="","",DEGREES(ATAN2(AK29,AL29)))</f>
        <v>-16.903489787389411</v>
      </c>
      <c r="AQ29" s="625">
        <f t="shared" si="10"/>
        <v>2.9214924002325904</v>
      </c>
      <c r="AS29" s="56">
        <f t="shared" si="119"/>
        <v>-72.531041505382404</v>
      </c>
      <c r="AT29" s="77">
        <f t="shared" si="11"/>
        <v>-1.075777257976575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3.1320000000000001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4.3282630018935242</v>
      </c>
      <c r="C30" s="771">
        <v>1.2523958998922775</v>
      </c>
      <c r="D30" s="772">
        <v>-2.0792062708861128</v>
      </c>
      <c r="E30" s="773">
        <v>4.2033341663618995E-2</v>
      </c>
      <c r="F30" s="771">
        <v>0.99870319301247401</v>
      </c>
      <c r="G30" s="774">
        <v>2.8725084077836881E-2</v>
      </c>
      <c r="H30" s="773">
        <v>0.314</v>
      </c>
      <c r="I30" s="771">
        <v>0.52</v>
      </c>
      <c r="J30" s="601">
        <v>3.141</v>
      </c>
      <c r="K30" s="426" t="str">
        <f t="shared" si="225"/>
        <v>1613</v>
      </c>
      <c r="L30" s="327"/>
      <c r="M30" s="173">
        <f t="shared" si="2"/>
        <v>3.141</v>
      </c>
      <c r="N30" s="21">
        <f t="shared" si="3"/>
        <v>4.3282630018935242</v>
      </c>
      <c r="O30" s="5">
        <f t="shared" si="4"/>
        <v>1.2523958998922775</v>
      </c>
      <c r="P30" s="10">
        <f t="shared" si="5"/>
        <v>-2.0792062708861128</v>
      </c>
      <c r="Q30" s="624">
        <f t="shared" si="116"/>
        <v>16.137958686790238</v>
      </c>
      <c r="R30" s="5">
        <f>IF(M30="","",SQRT(N30^2+O30^2))</f>
        <v>4.5058135895337843</v>
      </c>
      <c r="S30" s="6">
        <f>IF(M30="","",P30)</f>
        <v>-2.0792062708861128</v>
      </c>
      <c r="T30" s="4">
        <f>IF(M30="","",X30*COS(RADIANS(W30)))</f>
        <v>1.3186477116597488</v>
      </c>
      <c r="U30" s="5">
        <f>IF(M30="","",X30*SIN(RADIANS(W30)))</f>
        <v>-4.3085408569679178</v>
      </c>
      <c r="V30" s="8">
        <f>IF(M30="","",Y30)</f>
        <v>-2.0792062708861128</v>
      </c>
      <c r="W30" s="624">
        <f t="shared" si="227"/>
        <v>287.01695855987833</v>
      </c>
      <c r="X30" s="5">
        <f>IF(M30="","",R30)</f>
        <v>4.5058135895337843</v>
      </c>
      <c r="Y30" s="7">
        <f t="shared" si="226"/>
        <v>-2.0792062708861128</v>
      </c>
      <c r="Z30" s="21">
        <f t="shared" si="7"/>
        <v>-4.2033341663618995E-2</v>
      </c>
      <c r="AA30" s="5">
        <f t="shared" si="8"/>
        <v>-0.99870319301247401</v>
      </c>
      <c r="AB30" s="5">
        <f t="shared" si="9"/>
        <v>-2.8725084077836881E-2</v>
      </c>
      <c r="AC30" s="8">
        <f>IF(M30="","",SQRT(Z30^2+AA30^2+AB30^2))</f>
        <v>1</v>
      </c>
      <c r="AD30" s="9">
        <f>IF(M30="","",Z30*(1/SQRT(Z30^2+AA30^2+AB30^2)))</f>
        <v>-4.2033341663618995E-2</v>
      </c>
      <c r="AE30" s="5">
        <f>IF(M30="","",AA30*(1/SQRT(Z30^2+AA30^2+AB30^2)))</f>
        <v>-0.99870319301247401</v>
      </c>
      <c r="AF30" s="10">
        <f>IF(M30="","",AB30*(1/SQRT(Z30^2+AA30^2+AB30^2)))</f>
        <v>-2.8725084077836881E-2</v>
      </c>
      <c r="AG30" s="622">
        <f>IF(M30="","",DEGREES(ATAN2(-AF30,AE30)))</f>
        <v>-88.35249103999864</v>
      </c>
      <c r="AH30" s="623">
        <f>IF(M30="","",DEGREES(ACOS(AD30)))</f>
        <v>92.409042815127577</v>
      </c>
      <c r="AI30" s="624">
        <f>IF(M30="","",DEGREES(-ACOS(-AF30)))</f>
        <v>-88.353947495228383</v>
      </c>
      <c r="AJ30" s="625">
        <f>IF(M30="","",DEGREES(ATAN2(-AE30,AD30)))</f>
        <v>-2.410037904733235</v>
      </c>
      <c r="AK30" s="4">
        <f>IF(M30="","",(COS(RADIANS((90-$Q$8)-W30))*AD30)+(-SIN(RADIANS((90-$Q$8)-W30))*AE30))</f>
        <v>0.94766630056534318</v>
      </c>
      <c r="AL30" s="5">
        <f>IF(M30="","",(SIN(RADIANS((90-$Q$8)-W30))*AD30)+(COS(RADIANS((90-$Q$8)-W30))*AE30))</f>
        <v>-0.31796769068180203</v>
      </c>
      <c r="AM30" s="6">
        <f>IF(M30="","",AF30)</f>
        <v>-2.8725084077836881E-2</v>
      </c>
      <c r="AN30" s="612">
        <f>IF(M30="","",DEGREES(ATAN2(-AM30,AL30)))</f>
        <v>-84.837932918662929</v>
      </c>
      <c r="AO30" s="613">
        <f>IF(ROUND(IF(M30="",0,DEGREES(ACOS(AK30))),4)=90,0,IF(M30="","",DEGREES(ACOS(AK30))))</f>
        <v>18.618333562126512</v>
      </c>
      <c r="AP30" s="624">
        <f>IF(M30="","",DEGREES(ATAN2(AK30,AL30)))</f>
        <v>-18.547996591523454</v>
      </c>
      <c r="AQ30" s="625">
        <f t="shared" si="10"/>
        <v>2.7502661121764076</v>
      </c>
      <c r="AS30" s="56">
        <f t="shared" si="119"/>
        <v>-72.983041440121667</v>
      </c>
      <c r="AT30" s="77">
        <f t="shared" si="11"/>
        <v>-1.8001718925917647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3.141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4.4565390446318798</v>
      </c>
      <c r="C31" s="771">
        <v>1.270904766826128</v>
      </c>
      <c r="D31" s="772">
        <v>-2.8416085702914482</v>
      </c>
      <c r="E31" s="773">
        <v>0.12911653190893213</v>
      </c>
      <c r="F31" s="771">
        <v>0.9916293917528245</v>
      </c>
      <c r="G31" s="774">
        <v>2.6570610280830792E-4</v>
      </c>
      <c r="H31" s="773">
        <v>0.314</v>
      </c>
      <c r="I31" s="771">
        <v>0.52</v>
      </c>
      <c r="J31" s="601">
        <v>3.15</v>
      </c>
      <c r="K31" s="426" t="str">
        <f t="shared" si="225"/>
        <v>1613</v>
      </c>
      <c r="L31" s="327"/>
      <c r="M31" s="173">
        <f t="shared" si="2"/>
        <v>3.15</v>
      </c>
      <c r="N31" s="21">
        <f t="shared" si="3"/>
        <v>4.4565390446318798</v>
      </c>
      <c r="O31" s="5">
        <f t="shared" si="4"/>
        <v>1.270904766826128</v>
      </c>
      <c r="P31" s="10">
        <f t="shared" si="5"/>
        <v>-2.8416085702914482</v>
      </c>
      <c r="Q31" s="624">
        <f t="shared" si="116"/>
        <v>15.916958718698675</v>
      </c>
      <c r="R31" s="5">
        <f>IF(M31="","",SQRT(N31^2+O31^2))</f>
        <v>4.6342139767893542</v>
      </c>
      <c r="S31" s="6">
        <f>IF(M31="","",P31)</f>
        <v>-2.8416085702914482</v>
      </c>
      <c r="T31" s="4">
        <f>IF(M31="","",X31*COS(RADIANS(W31)))</f>
        <v>1.3391222627777097</v>
      </c>
      <c r="U31" s="5">
        <f>IF(M31="","",X31*SIN(RADIANS(W31)))</f>
        <v>-4.4365178629193984</v>
      </c>
      <c r="V31" s="8">
        <f>IF(M31="","",Y31)</f>
        <v>-2.8416085702914482</v>
      </c>
      <c r="W31" s="624">
        <f t="shared" si="227"/>
        <v>286.79595859178676</v>
      </c>
      <c r="X31" s="5">
        <f>IF(M31="","",R31)</f>
        <v>4.6342139767893542</v>
      </c>
      <c r="Y31" s="7">
        <f t="shared" si="226"/>
        <v>-2.8416085702914482</v>
      </c>
      <c r="Z31" s="21">
        <f t="shared" si="7"/>
        <v>-0.12911653190893213</v>
      </c>
      <c r="AA31" s="5">
        <f t="shared" si="8"/>
        <v>-0.9916293917528245</v>
      </c>
      <c r="AB31" s="5">
        <f t="shared" si="9"/>
        <v>-2.6570610280830792E-4</v>
      </c>
      <c r="AC31" s="8">
        <f>IF(M31="","",SQRT(Z31^2+AA31^2+AB31^2))</f>
        <v>1</v>
      </c>
      <c r="AD31" s="9">
        <f>IF(M31="","",Z31*(1/SQRT(Z31^2+AA31^2+AB31^2)))</f>
        <v>-0.12911653190893213</v>
      </c>
      <c r="AE31" s="5">
        <f>IF(M31="","",AA31*(1/SQRT(Z31^2+AA31^2+AB31^2)))</f>
        <v>-0.9916293917528245</v>
      </c>
      <c r="AF31" s="10">
        <f>IF(M31="","",AB31*(1/SQRT(Z31^2+AA31^2+AB31^2)))</f>
        <v>-2.6570610280830792E-4</v>
      </c>
      <c r="AG31" s="622">
        <f>IF(M31="","",DEGREES(ATAN2(-AF31,AE31)))</f>
        <v>-89.984647653605208</v>
      </c>
      <c r="AH31" s="623">
        <f>IF(M31="","",DEGREES(ACOS(AD31)))</f>
        <v>97.418543068981847</v>
      </c>
      <c r="AI31" s="624">
        <f>IF(M31="","",DEGREES(-ACOS(-AF31)))</f>
        <v>-89.984776161539074</v>
      </c>
      <c r="AJ31" s="625">
        <f>IF(M31="","",DEGREES(ATAN2(-AE31,AD31)))</f>
        <v>-7.4185433323287295</v>
      </c>
      <c r="AK31" s="4">
        <f>IF(M31="","",(COS(RADIANS((90-$Q$8)-W31))*AD31)+(-SIN(RADIANS((90-$Q$8)-W31))*AE31))</f>
        <v>0.91820108169021664</v>
      </c>
      <c r="AL31" s="5">
        <f>IF(M31="","",(SIN(RADIANS((90-$Q$8)-W31))*AD31)+(COS(RADIANS((90-$Q$8)-W31))*AE31))</f>
        <v>-0.39611450741317589</v>
      </c>
      <c r="AM31" s="6">
        <f>IF(M31="","",AF31)</f>
        <v>-2.6570610280830792E-4</v>
      </c>
      <c r="AN31" s="612">
        <f>IF(M31="","",DEGREES(ATAN2(-AM31,AL31)))</f>
        <v>-89.961567082968273</v>
      </c>
      <c r="AO31" s="613">
        <f t="shared" si="98"/>
        <v>23.335506739298438</v>
      </c>
      <c r="AP31" s="624">
        <f>IF(M31="","",DEGREES(ATAN2(AK31,AL31)))</f>
        <v>-23.335502051027376</v>
      </c>
      <c r="AQ31" s="625">
        <f t="shared" si="10"/>
        <v>2.674176546782534</v>
      </c>
      <c r="AS31" s="56">
        <f t="shared" si="119"/>
        <v>-73.204041408213243</v>
      </c>
      <c r="AT31" s="77">
        <f t="shared" si="11"/>
        <v>-2.5617393032287543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3.15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4.5175749491936825</v>
      </c>
      <c r="C32" s="771">
        <v>1.2792781534421735</v>
      </c>
      <c r="D32" s="772">
        <v>-3.6073108796496127</v>
      </c>
      <c r="E32" s="773">
        <v>0.24512188617615643</v>
      </c>
      <c r="F32" s="771">
        <v>0.96949226965326063</v>
      </c>
      <c r="G32" s="774">
        <v>1.1339743346787808E-7</v>
      </c>
      <c r="H32" s="773">
        <v>0.314</v>
      </c>
      <c r="I32" s="771">
        <v>0.52</v>
      </c>
      <c r="J32" s="601">
        <v>3.1589999999999998</v>
      </c>
      <c r="K32" s="426" t="str">
        <f t="shared" si="225"/>
        <v>1613</v>
      </c>
      <c r="L32" s="327"/>
      <c r="M32" s="173">
        <f t="shared" si="2"/>
        <v>3.1589999999999998</v>
      </c>
      <c r="N32" s="21">
        <f t="shared" si="3"/>
        <v>4.5175749491936825</v>
      </c>
      <c r="O32" s="5">
        <f t="shared" si="4"/>
        <v>1.2792781534421735</v>
      </c>
      <c r="P32" s="10">
        <f t="shared" si="5"/>
        <v>-3.6073108796496127</v>
      </c>
      <c r="Q32" s="624">
        <f t="shared" si="116"/>
        <v>15.810958734003179</v>
      </c>
      <c r="R32" s="5">
        <f t="shared" si="83"/>
        <v>4.695214160765909</v>
      </c>
      <c r="S32" s="6">
        <f t="shared" si="84"/>
        <v>-3.6073108796496127</v>
      </c>
      <c r="T32" s="4">
        <f t="shared" si="85"/>
        <v>1.3484310060873144</v>
      </c>
      <c r="U32" s="5">
        <f t="shared" si="86"/>
        <v>-4.4974181301363423</v>
      </c>
      <c r="V32" s="8">
        <f t="shared" si="117"/>
        <v>-3.6073108796496127</v>
      </c>
      <c r="W32" s="624">
        <f t="shared" si="227"/>
        <v>286.68995860709128</v>
      </c>
      <c r="X32" s="5">
        <f t="shared" si="87"/>
        <v>4.695214160765909</v>
      </c>
      <c r="Y32" s="7">
        <f t="shared" si="226"/>
        <v>-3.6073108796496127</v>
      </c>
      <c r="Z32" s="21">
        <f t="shared" si="7"/>
        <v>-0.24512188617615643</v>
      </c>
      <c r="AA32" s="5">
        <f t="shared" si="8"/>
        <v>-0.96949226965326063</v>
      </c>
      <c r="AB32" s="5">
        <f t="shared" si="9"/>
        <v>-1.1339743346787808E-7</v>
      </c>
      <c r="AC32" s="8">
        <f t="shared" si="88"/>
        <v>1</v>
      </c>
      <c r="AD32" s="9">
        <f t="shared" si="118"/>
        <v>-0.24512188617615643</v>
      </c>
      <c r="AE32" s="5">
        <f t="shared" si="89"/>
        <v>-0.96949226965326063</v>
      </c>
      <c r="AF32" s="10">
        <f t="shared" si="90"/>
        <v>-1.1339743346787808E-7</v>
      </c>
      <c r="AG32" s="622">
        <f t="shared" si="91"/>
        <v>-89.99999329835363</v>
      </c>
      <c r="AH32" s="623">
        <f t="shared" si="92"/>
        <v>104.18903693453262</v>
      </c>
      <c r="AI32" s="624">
        <f t="shared" si="93"/>
        <v>-89.999993502805651</v>
      </c>
      <c r="AJ32" s="625">
        <f t="shared" si="94"/>
        <v>-14.189036934532721</v>
      </c>
      <c r="AK32" s="4">
        <f t="shared" si="213"/>
        <v>0.86602544158358574</v>
      </c>
      <c r="AL32" s="5">
        <f t="shared" si="95"/>
        <v>-0.49999993452993818</v>
      </c>
      <c r="AM32" s="6">
        <f t="shared" si="96"/>
        <v>-1.1339743346787808E-7</v>
      </c>
      <c r="AN32" s="612">
        <f t="shared" si="97"/>
        <v>-89.999987005609611</v>
      </c>
      <c r="AO32" s="613">
        <f t="shared" si="98"/>
        <v>29.99999566853651</v>
      </c>
      <c r="AP32" s="624">
        <f t="shared" si="99"/>
        <v>-29.999995668535888</v>
      </c>
      <c r="AQ32" s="625">
        <f t="shared" si="10"/>
        <v>2.639483123661754</v>
      </c>
      <c r="AS32" s="56">
        <f t="shared" si="119"/>
        <v>-73.310041392908715</v>
      </c>
      <c r="AT32" s="77">
        <f t="shared" si="11"/>
        <v>-3.3270411682002914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3.1589999999999998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3.2393104329843951</v>
      </c>
      <c r="C33" s="771">
        <v>0.13942962562298081</v>
      </c>
      <c r="D33" s="772">
        <v>-0.20380061466265384</v>
      </c>
      <c r="E33" s="773">
        <v>0.18959818472104836</v>
      </c>
      <c r="F33" s="771">
        <v>0.94424820107670548</v>
      </c>
      <c r="G33" s="774">
        <v>0.26916140717771742</v>
      </c>
      <c r="H33" s="773">
        <v>0.26600000000000001</v>
      </c>
      <c r="I33" s="771">
        <v>0.52</v>
      </c>
      <c r="J33" s="601">
        <v>3.2160000000000002</v>
      </c>
      <c r="K33" s="426" t="str">
        <f t="shared" si="225"/>
        <v>1313</v>
      </c>
      <c r="L33" s="327"/>
      <c r="M33" s="173">
        <f t="shared" si="2"/>
        <v>3.2160000000000002</v>
      </c>
      <c r="N33" s="21">
        <f t="shared" si="3"/>
        <v>3.2393104329843951</v>
      </c>
      <c r="O33" s="5">
        <f t="shared" si="4"/>
        <v>0.13942962562298081</v>
      </c>
      <c r="P33" s="10">
        <f t="shared" si="5"/>
        <v>-0.20380061466265384</v>
      </c>
      <c r="Q33" s="624">
        <f t="shared" si="116"/>
        <v>2.4646606609702104</v>
      </c>
      <c r="R33" s="5">
        <f t="shared" si="83"/>
        <v>3.2423097788062933</v>
      </c>
      <c r="S33" s="6">
        <f t="shared" si="84"/>
        <v>-0.20380061466265384</v>
      </c>
      <c r="T33" s="4">
        <f t="shared" si="85"/>
        <v>0.18910696134158811</v>
      </c>
      <c r="U33" s="5">
        <f t="shared" si="86"/>
        <v>-3.236790271073346</v>
      </c>
      <c r="V33" s="8">
        <f t="shared" si="117"/>
        <v>-0.20380061466265384</v>
      </c>
      <c r="W33" s="624">
        <f t="shared" si="227"/>
        <v>273.3436605340583</v>
      </c>
      <c r="X33" s="5">
        <f t="shared" si="87"/>
        <v>3.2423097788062933</v>
      </c>
      <c r="Y33" s="7">
        <f t="shared" si="226"/>
        <v>-0.20380061466265384</v>
      </c>
      <c r="Z33" s="21">
        <f t="shared" si="7"/>
        <v>-0.18959818472104836</v>
      </c>
      <c r="AA33" s="5">
        <f t="shared" si="8"/>
        <v>-0.94424820107670548</v>
      </c>
      <c r="AB33" s="5">
        <f t="shared" si="9"/>
        <v>-0.26916140717771742</v>
      </c>
      <c r="AC33" s="8">
        <f t="shared" si="88"/>
        <v>1</v>
      </c>
      <c r="AD33" s="9">
        <f t="shared" si="118"/>
        <v>-0.18959818472104836</v>
      </c>
      <c r="AE33" s="5">
        <f t="shared" si="89"/>
        <v>-0.94424820107670548</v>
      </c>
      <c r="AF33" s="10">
        <f t="shared" si="90"/>
        <v>-0.26916140717771742</v>
      </c>
      <c r="AG33" s="622">
        <f t="shared" si="91"/>
        <v>-74.089604498702542</v>
      </c>
      <c r="AH33" s="623">
        <f t="shared" si="92"/>
        <v>100.92933565369901</v>
      </c>
      <c r="AI33" s="624">
        <f t="shared" si="93"/>
        <v>-74.38562820466727</v>
      </c>
      <c r="AJ33" s="625">
        <f t="shared" si="94"/>
        <v>-11.353599585679298</v>
      </c>
      <c r="AK33" s="4">
        <f t="shared" si="213"/>
        <v>0.93522138599490856</v>
      </c>
      <c r="AL33" s="5">
        <f t="shared" si="95"/>
        <v>-0.23002846794228229</v>
      </c>
      <c r="AM33" s="6">
        <f t="shared" si="96"/>
        <v>-0.26916140717771742</v>
      </c>
      <c r="AN33" s="612">
        <f t="shared" si="97"/>
        <v>-40.517585145771754</v>
      </c>
      <c r="AO33" s="613">
        <f t="shared" si="98"/>
        <v>20.736059131317198</v>
      </c>
      <c r="AP33" s="624">
        <f t="shared" si="99"/>
        <v>-13.818260246649494</v>
      </c>
      <c r="AQ33" s="625">
        <f t="shared" si="10"/>
        <v>3.8192953304629911</v>
      </c>
      <c r="AS33" s="56">
        <f t="shared" si="119"/>
        <v>-86.656339465941699</v>
      </c>
      <c r="AT33" s="77">
        <f t="shared" si="11"/>
        <v>0.12688844506256994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3.2160000000000002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3.1160000000000001</v>
      </c>
      <c r="II33" s="800" cm="1">
        <f t="array" ref="II33">IFERROR(IF($IH33&lt;1,$IH33+LARGE((IF($M$9:$M$150="",0,$M$9:$M$150)-MOD(IF($M$9:$M$150="",0,$M$9:$M$150),1)),1),$IH33),"")</f>
        <v>3.1160000000000001</v>
      </c>
      <c r="IJ33" s="839" t="str">
        <f t="shared" si="68"/>
        <v>1613</v>
      </c>
      <c r="IK33" s="839" t="str">
        <f t="shared" si="69"/>
        <v>1313</v>
      </c>
      <c r="IL33" s="791">
        <f t="shared" si="228"/>
        <v>15.789297720307502</v>
      </c>
      <c r="IM33" s="830">
        <v>3.3002241370781501E-3</v>
      </c>
      <c r="IN33" s="5">
        <f t="shared" si="229"/>
        <v>0.06</v>
      </c>
      <c r="IO33" s="852">
        <v>30</v>
      </c>
      <c r="IP33" s="9">
        <f t="shared" si="230"/>
        <v>-3.2076096741507776</v>
      </c>
      <c r="IQ33" s="5">
        <f t="shared" si="231"/>
        <v>-0.24000072384218313</v>
      </c>
      <c r="IR33" s="5">
        <f t="shared" si="74"/>
        <v>0.314</v>
      </c>
      <c r="IS33" s="5">
        <f t="shared" si="232"/>
        <v>0.30223167243745697</v>
      </c>
      <c r="IT33" s="791">
        <f t="shared" si="233"/>
        <v>40.517587679862721</v>
      </c>
      <c r="IU33" s="9">
        <f t="shared" si="234"/>
        <v>-3.2423097788062933</v>
      </c>
      <c r="IV33" s="5">
        <f t="shared" si="235"/>
        <v>-0.20380061466265384</v>
      </c>
      <c r="IW33" s="5">
        <f t="shared" si="79"/>
        <v>0.26600000000000001</v>
      </c>
      <c r="IX33" s="5">
        <f t="shared" si="236"/>
        <v>0.24876888867464569</v>
      </c>
      <c r="IY33" s="833">
        <f t="shared" si="237"/>
        <v>40.517585145771754</v>
      </c>
    </row>
    <row r="34" spans="1:259" ht="15" customHeight="1" x14ac:dyDescent="0.25">
      <c r="A34" s="84">
        <f t="shared" si="82"/>
        <v>0.02</v>
      </c>
      <c r="B34" s="770">
        <v>3.8551175893273188</v>
      </c>
      <c r="C34" s="771">
        <v>0.28328210948673882</v>
      </c>
      <c r="D34" s="772">
        <v>-0.68790207471265763</v>
      </c>
      <c r="E34" s="773">
        <v>0.2544760948115215</v>
      </c>
      <c r="F34" s="771">
        <v>0.95350699742990519</v>
      </c>
      <c r="G34" s="774">
        <v>0.16145068293966522</v>
      </c>
      <c r="H34" s="773">
        <v>0.26600000000000001</v>
      </c>
      <c r="I34" s="771">
        <v>0.52</v>
      </c>
      <c r="J34" s="601">
        <v>3.2229999999999999</v>
      </c>
      <c r="K34" s="426" t="str">
        <f t="shared" si="225"/>
        <v>1313</v>
      </c>
      <c r="L34" s="327"/>
      <c r="M34" s="173">
        <f t="shared" si="2"/>
        <v>3.2229999999999999</v>
      </c>
      <c r="N34" s="21">
        <f t="shared" si="3"/>
        <v>3.8551175893273188</v>
      </c>
      <c r="O34" s="5">
        <f t="shared" si="4"/>
        <v>0.28328210948673882</v>
      </c>
      <c r="P34" s="10">
        <f t="shared" si="5"/>
        <v>-0.68790207471265763</v>
      </c>
      <c r="Q34" s="624">
        <f t="shared" si="116"/>
        <v>4.2026604100341025</v>
      </c>
      <c r="R34" s="5">
        <f>IF(M34="","",SQRT(N34^2+O34^2))</f>
        <v>3.865511658383161</v>
      </c>
      <c r="S34" s="6">
        <f>IF(M34="","",P34)</f>
        <v>-0.68790207471265763</v>
      </c>
      <c r="T34" s="4">
        <f>IF(M34="","",X34*COS(RADIANS(W34)))</f>
        <v>0.34238951612117419</v>
      </c>
      <c r="U34" s="5">
        <f>IF(M34="","",X34*SIN(RADIANS(W34)))</f>
        <v>-3.8503181427443685</v>
      </c>
      <c r="V34" s="8">
        <f>IF(M34="","",Y34)</f>
        <v>-0.68790207471265763</v>
      </c>
      <c r="W34" s="624">
        <f t="shared" si="227"/>
        <v>275.08166028312223</v>
      </c>
      <c r="X34" s="5">
        <f>IF(M34="","",R34)</f>
        <v>3.865511658383161</v>
      </c>
      <c r="Y34" s="7">
        <f t="shared" si="226"/>
        <v>-0.68790207471265763</v>
      </c>
      <c r="Z34" s="21">
        <f t="shared" si="7"/>
        <v>-0.2544760948115215</v>
      </c>
      <c r="AA34" s="5">
        <f t="shared" si="8"/>
        <v>-0.95350699742990519</v>
      </c>
      <c r="AB34" s="5">
        <f t="shared" si="9"/>
        <v>-0.16145068293966522</v>
      </c>
      <c r="AC34" s="8">
        <f>IF(M34="","",SQRT(Z34^2+AA34^2+AB34^2))</f>
        <v>1</v>
      </c>
      <c r="AD34" s="9">
        <f>IF(M34="","",Z34*(1/SQRT(Z34^2+AA34^2+AB34^2)))</f>
        <v>-0.2544760948115215</v>
      </c>
      <c r="AE34" s="5">
        <f>IF(M34="","",AA34*(1/SQRT(Z34^2+AA34^2+AB34^2)))</f>
        <v>-0.95350699742990519</v>
      </c>
      <c r="AF34" s="10">
        <f>IF(M34="","",AB34*(1/SQRT(Z34^2+AA34^2+AB34^2)))</f>
        <v>-0.16145068293966522</v>
      </c>
      <c r="AG34" s="622">
        <f>IF(M34="","",DEGREES(ATAN2(-AF34,AE34)))</f>
        <v>-80.389657587812067</v>
      </c>
      <c r="AH34" s="623">
        <f>IF(M34="","",DEGREES(ACOS(AD34)))</f>
        <v>104.7425435343727</v>
      </c>
      <c r="AI34" s="624">
        <f>IF(M34="","",DEGREES(-ACOS(-AF34)))</f>
        <v>-80.70889092384283</v>
      </c>
      <c r="AJ34" s="625">
        <f>IF(M34="","",DEGREES(ATAN2(-AE34,AD34)))</f>
        <v>-14.943060820848439</v>
      </c>
      <c r="AK34" s="4">
        <f>IF(M34="","",(COS(RADIANS((90-$Q$8)-W34))*AD34)+(-SIN(RADIANS((90-$Q$8)-W34))*AE34))</f>
        <v>0.93229393438019525</v>
      </c>
      <c r="AL34" s="5">
        <f>IF(M34="","",(SIN(RADIANS((90-$Q$8)-W34))*AD34)+(COS(RADIANS((90-$Q$8)-W34))*AE34))</f>
        <v>-0.32366911637691326</v>
      </c>
      <c r="AM34" s="6">
        <f>IF(M34="","",AF34)</f>
        <v>-0.16145068293966522</v>
      </c>
      <c r="AN34" s="612">
        <f>IF(M34="","",DEGREES(ATAN2(-AM34,AL34)))</f>
        <v>-63.489337365054986</v>
      </c>
      <c r="AO34" s="613">
        <f t="shared" si="98"/>
        <v>21.204731596258775</v>
      </c>
      <c r="AP34" s="624">
        <f>IF(M34="","",DEGREES(ATAN2(AK34,AL34)))</f>
        <v>-19.145721230882561</v>
      </c>
      <c r="AQ34" s="625">
        <f t="shared" si="10"/>
        <v>3.2049509939998573</v>
      </c>
      <c r="AS34" s="56">
        <f t="shared" si="119"/>
        <v>-84.918339716877767</v>
      </c>
      <c r="AT34" s="77">
        <f t="shared" si="11"/>
        <v>-0.36377879181723094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3.2229999999999999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3.1230000000000002</v>
      </c>
      <c r="II34" s="800" cm="1">
        <f t="array" ref="II34">IFERROR(IF($IH34&lt;1,$IH34+LARGE((IF($M$9:$M$150="",0,$M$9:$M$150)-MOD(IF($M$9:$M$150="",0,$M$9:$M$150),1)),1),$IH34),"")</f>
        <v>3.1230000000000002</v>
      </c>
      <c r="IJ34" s="839" t="str">
        <f t="shared" si="68"/>
        <v>1613</v>
      </c>
      <c r="IK34" s="839" t="str">
        <f t="shared" si="69"/>
        <v>1313</v>
      </c>
      <c r="IL34" s="791">
        <f t="shared" si="228"/>
        <v>13.091298109850356</v>
      </c>
      <c r="IM34" s="830">
        <v>1.5249102707243999E-3</v>
      </c>
      <c r="IN34" s="5">
        <f t="shared" si="229"/>
        <v>0</v>
      </c>
      <c r="IO34" s="852">
        <v>0</v>
      </c>
      <c r="IP34" s="9">
        <f t="shared" si="230"/>
        <v>-3.8176115139163262</v>
      </c>
      <c r="IQ34" s="5">
        <f t="shared" si="231"/>
        <v>-0.70810213563604107</v>
      </c>
      <c r="IR34" s="5">
        <f t="shared" si="74"/>
        <v>0.314</v>
      </c>
      <c r="IS34" s="5">
        <f t="shared" si="232"/>
        <v>0.30152498071593309</v>
      </c>
      <c r="IT34" s="791">
        <f t="shared" si="233"/>
        <v>63.489340563004006</v>
      </c>
      <c r="IU34" s="9">
        <f t="shared" si="234"/>
        <v>-3.865511658383161</v>
      </c>
      <c r="IV34" s="5">
        <f t="shared" si="235"/>
        <v>-0.68790207471265763</v>
      </c>
      <c r="IW34" s="5">
        <f t="shared" si="79"/>
        <v>0.26600000000000001</v>
      </c>
      <c r="IX34" s="5">
        <f t="shared" si="236"/>
        <v>0.24799018654513194</v>
      </c>
      <c r="IY34" s="833">
        <f t="shared" si="237"/>
        <v>63.489337365054986</v>
      </c>
    </row>
    <row r="35" spans="1:259" ht="15" customHeight="1" x14ac:dyDescent="0.25">
      <c r="A35" s="84">
        <f t="shared" si="82"/>
        <v>0.02</v>
      </c>
      <c r="B35" s="770">
        <v>4.2780535103433772</v>
      </c>
      <c r="C35" s="771">
        <v>0.35927280327066419</v>
      </c>
      <c r="D35" s="772">
        <v>-1.3423040483890101</v>
      </c>
      <c r="E35" s="773">
        <v>0.2903484427086292</v>
      </c>
      <c r="F35" s="771">
        <v>0.95164431803420169</v>
      </c>
      <c r="G35" s="774">
        <v>0.10035374317828513</v>
      </c>
      <c r="H35" s="773">
        <v>0.26600000000000001</v>
      </c>
      <c r="I35" s="771">
        <v>0.52</v>
      </c>
      <c r="J35" s="601">
        <v>3.2320000000000002</v>
      </c>
      <c r="K35" s="426" t="str">
        <f t="shared" si="225"/>
        <v>1313</v>
      </c>
      <c r="L35" s="327"/>
      <c r="M35" s="173">
        <f t="shared" si="2"/>
        <v>3.2320000000000002</v>
      </c>
      <c r="N35" s="21">
        <f t="shared" si="3"/>
        <v>4.2780535103433772</v>
      </c>
      <c r="O35" s="5">
        <f t="shared" si="4"/>
        <v>0.35927280327066419</v>
      </c>
      <c r="P35" s="10">
        <f t="shared" si="5"/>
        <v>-1.3423040483890101</v>
      </c>
      <c r="Q35" s="624">
        <f t="shared" si="116"/>
        <v>4.8004603237224641</v>
      </c>
      <c r="R35" s="5">
        <f>IF(M35="","",SQRT(N35^2+O35^2))</f>
        <v>4.293112948028651</v>
      </c>
      <c r="S35" s="6">
        <f>IF(M35="","",P35)</f>
        <v>-1.3423040483890101</v>
      </c>
      <c r="T35" s="4">
        <f>IF(M35="","",X35*COS(RADIANS(W35)))</f>
        <v>0.42485945984867751</v>
      </c>
      <c r="U35" s="5">
        <f>IF(M35="","",X35*SIN(RADIANS(W35)))</f>
        <v>-4.2720385325870298</v>
      </c>
      <c r="V35" s="8">
        <f>IF(M35="","",Y35)</f>
        <v>-1.3423040483890101</v>
      </c>
      <c r="W35" s="624">
        <f t="shared" si="227"/>
        <v>275.67946019681057</v>
      </c>
      <c r="X35" s="5">
        <f>IF(M35="","",R35)</f>
        <v>4.293112948028651</v>
      </c>
      <c r="Y35" s="7">
        <f t="shared" si="226"/>
        <v>-1.3423040483890101</v>
      </c>
      <c r="Z35" s="21">
        <f t="shared" si="7"/>
        <v>-0.2903484427086292</v>
      </c>
      <c r="AA35" s="5">
        <f t="shared" si="8"/>
        <v>-0.95164431803420169</v>
      </c>
      <c r="AB35" s="5">
        <f t="shared" si="9"/>
        <v>-0.10035374317828513</v>
      </c>
      <c r="AC35" s="8">
        <f>IF(M35="","",SQRT(Z35^2+AA35^2+AB35^2))</f>
        <v>1</v>
      </c>
      <c r="AD35" s="9">
        <f>IF(M35="","",Z35*(1/SQRT(Z35^2+AA35^2+AB35^2)))</f>
        <v>-0.2903484427086292</v>
      </c>
      <c r="AE35" s="5">
        <f>IF(M35="","",AA35*(1/SQRT(Z35^2+AA35^2+AB35^2)))</f>
        <v>-0.95164431803420169</v>
      </c>
      <c r="AF35" s="10">
        <f>IF(M35="","",AB35*(1/SQRT(Z35^2+AA35^2+AB35^2)))</f>
        <v>-0.10035374317828513</v>
      </c>
      <c r="AG35" s="622">
        <f>IF(M35="","",DEGREES(ATAN2(-AF35,AE35)))</f>
        <v>-83.980236608671547</v>
      </c>
      <c r="AH35" s="623">
        <f>IF(M35="","",DEGREES(ACOS(AD35)))</f>
        <v>106.87881792698489</v>
      </c>
      <c r="AI35" s="624">
        <f>IF(M35="","",DEGREES(-ACOS(-AF35)))</f>
        <v>-84.240459060820257</v>
      </c>
      <c r="AJ35" s="625">
        <f>IF(M35="","",DEGREES(ATAN2(-AE35,AD35)))</f>
        <v>-16.967044697169069</v>
      </c>
      <c r="AK35" s="4">
        <f>IF(M35="","",(COS(RADIANS((90-$Q$8)-W35))*AD35)+(-SIN(RADIANS((90-$Q$8)-W35))*AE35))</f>
        <v>0.92400807163689647</v>
      </c>
      <c r="AL35" s="5">
        <f>IF(M35="","",(SIN(RADIANS((90-$Q$8)-W35))*AD35)+(COS(RADIANS((90-$Q$8)-W35))*AE35))</f>
        <v>-0.36896911765074714</v>
      </c>
      <c r="AM35" s="6">
        <f>IF(M35="","",AF35)</f>
        <v>-0.10035374317828513</v>
      </c>
      <c r="AN35" s="612">
        <f>IF(M35="","",DEGREES(ATAN2(-AM35,AL35)))</f>
        <v>-74.784520122642505</v>
      </c>
      <c r="AO35" s="613">
        <f t="shared" si="98"/>
        <v>22.480747172715521</v>
      </c>
      <c r="AP35" s="624">
        <f>IF(M35="","",DEGREES(ATAN2(AK35,AL35)))</f>
        <v>-21.767505020891505</v>
      </c>
      <c r="AQ35" s="625">
        <f t="shared" si="10"/>
        <v>2.8863020125497756</v>
      </c>
      <c r="AS35" s="56">
        <f t="shared" si="119"/>
        <v>-84.320539803189433</v>
      </c>
      <c r="AT35" s="77">
        <f t="shared" si="11"/>
        <v>-1.0204391207230725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3.2320000000000002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3.1320000000000001</v>
      </c>
      <c r="II35" s="800" cm="1">
        <f t="array" ref="II35">IFERROR(IF($IH35&lt;1,$IH35+LARGE((IF($M$9:$M$150="",0,$M$9:$M$150)-MOD(IF($M$9:$M$150="",0,$M$9:$M$150),1)),1),$IH35),"")</f>
        <v>3.1320000000000001</v>
      </c>
      <c r="IJ35" s="839" t="str">
        <f t="shared" si="68"/>
        <v>1613</v>
      </c>
      <c r="IK35" s="839" t="str">
        <f t="shared" si="69"/>
        <v>1313</v>
      </c>
      <c r="IL35" s="791">
        <f t="shared" si="228"/>
        <v>11.789498297807029</v>
      </c>
      <c r="IM35" s="830">
        <v>7.8281328916495504E-4</v>
      </c>
      <c r="IN35" s="5">
        <f t="shared" si="229"/>
        <v>0</v>
      </c>
      <c r="IO35" s="852">
        <v>0</v>
      </c>
      <c r="IP35" s="9">
        <f t="shared" si="230"/>
        <v>-4.2413127917993805</v>
      </c>
      <c r="IQ35" s="5">
        <f t="shared" si="231"/>
        <v>-1.3531040809619082</v>
      </c>
      <c r="IR35" s="5">
        <f t="shared" si="74"/>
        <v>0.314</v>
      </c>
      <c r="IS35" s="5">
        <f t="shared" si="232"/>
        <v>0.29949883246744302</v>
      </c>
      <c r="IT35" s="791">
        <f t="shared" si="233"/>
        <v>74.784523535292081</v>
      </c>
      <c r="IU35" s="9">
        <f t="shared" si="234"/>
        <v>-4.293112948028651</v>
      </c>
      <c r="IV35" s="5">
        <f t="shared" si="235"/>
        <v>-1.3423040483890101</v>
      </c>
      <c r="IW35" s="5">
        <f t="shared" si="79"/>
        <v>0.26600000000000001</v>
      </c>
      <c r="IX35" s="5">
        <f t="shared" si="236"/>
        <v>0.24578614705541449</v>
      </c>
      <c r="IY35" s="833">
        <f t="shared" si="237"/>
        <v>74.784520122642505</v>
      </c>
    </row>
    <row r="36" spans="1:259" ht="15" customHeight="1" x14ac:dyDescent="0.25">
      <c r="A36" s="84">
        <f t="shared" si="82"/>
        <v>0.02</v>
      </c>
      <c r="B36" s="770">
        <v>4.542048819233365</v>
      </c>
      <c r="C36" s="771">
        <v>0.39755034682206836</v>
      </c>
      <c r="D36" s="772">
        <v>-2.0775062657588976</v>
      </c>
      <c r="E36" s="773">
        <v>0.31760807285066944</v>
      </c>
      <c r="F36" s="771">
        <v>0.9475366582465542</v>
      </c>
      <c r="G36" s="774">
        <v>3.6047098899033819E-2</v>
      </c>
      <c r="H36" s="773">
        <v>0.26600000000000001</v>
      </c>
      <c r="I36" s="771">
        <v>0.52</v>
      </c>
      <c r="J36" s="601">
        <v>3.2410000000000001</v>
      </c>
      <c r="K36" s="426" t="str">
        <f t="shared" si="225"/>
        <v>1313</v>
      </c>
      <c r="L36" s="327"/>
      <c r="M36" s="173">
        <f t="shared" si="2"/>
        <v>3.2410000000000001</v>
      </c>
      <c r="N36" s="21">
        <f t="shared" si="3"/>
        <v>4.542048819233365</v>
      </c>
      <c r="O36" s="5">
        <f t="shared" si="4"/>
        <v>0.39755034682206836</v>
      </c>
      <c r="P36" s="10">
        <f t="shared" si="5"/>
        <v>-2.0775062657588976</v>
      </c>
      <c r="Q36" s="624">
        <f t="shared" si="116"/>
        <v>5.0021602946005919</v>
      </c>
      <c r="R36" s="5">
        <f>IF(M36="","",SQRT(N36^2+O36^2))</f>
        <v>4.5594137511918733</v>
      </c>
      <c r="S36" s="6">
        <f>IF(M36="","",P36)</f>
        <v>-2.0775062657588976</v>
      </c>
      <c r="T36" s="4">
        <f>IF(M36="","",X36*COS(RADIANS(W36)))</f>
        <v>0.46718240881729511</v>
      </c>
      <c r="U36" s="5">
        <f>IF(M36="","",X36*SIN(RADIANS(W36)))</f>
        <v>-4.5354155654635688</v>
      </c>
      <c r="V36" s="8">
        <f>IF(M36="","",Y36)</f>
        <v>-2.0775062657588976</v>
      </c>
      <c r="W36" s="624">
        <f t="shared" si="227"/>
        <v>275.88116016768868</v>
      </c>
      <c r="X36" s="5">
        <f>IF(M36="","",R36)</f>
        <v>4.5594137511918733</v>
      </c>
      <c r="Y36" s="7">
        <f t="shared" si="226"/>
        <v>-2.0775062657588976</v>
      </c>
      <c r="Z36" s="21">
        <f t="shared" si="7"/>
        <v>-0.31760807285066944</v>
      </c>
      <c r="AA36" s="5">
        <f t="shared" si="8"/>
        <v>-0.9475366582465542</v>
      </c>
      <c r="AB36" s="5">
        <f t="shared" si="9"/>
        <v>-3.6047098899033819E-2</v>
      </c>
      <c r="AC36" s="8">
        <f>IF(M36="","",SQRT(Z36^2+AA36^2+AB36^2))</f>
        <v>1</v>
      </c>
      <c r="AD36" s="9">
        <f>IF(M36="","",Z36*(1/SQRT(Z36^2+AA36^2+AB36^2)))</f>
        <v>-0.31760807285066944</v>
      </c>
      <c r="AE36" s="5">
        <f>IF(M36="","",AA36*(1/SQRT(Z36^2+AA36^2+AB36^2)))</f>
        <v>-0.9475366582465542</v>
      </c>
      <c r="AF36" s="10">
        <f>IF(M36="","",AB36*(1/SQRT(Z36^2+AA36^2+AB36^2)))</f>
        <v>-3.6047098899033819E-2</v>
      </c>
      <c r="AG36" s="622">
        <f>IF(M36="","",DEGREES(ATAN2(-AF36,AE36)))</f>
        <v>-87.821349593430583</v>
      </c>
      <c r="AH36" s="623">
        <f>IF(M36="","",DEGREES(ACOS(AD36)))</f>
        <v>108.51833278396609</v>
      </c>
      <c r="AI36" s="624">
        <f>IF(M36="","",DEGREES(-ACOS(-AF36)))</f>
        <v>-87.93420582471137</v>
      </c>
      <c r="AJ36" s="625">
        <f>IF(M36="","",DEGREES(ATAN2(-AE36,AD36)))</f>
        <v>-18.530813918987153</v>
      </c>
      <c r="AK36" s="4">
        <f>IF(M36="","",(COS(RADIANS((90-$Q$8)-W36))*AD36)+(-SIN(RADIANS((90-$Q$8)-W36))*AE36))</f>
        <v>0.91623458370317523</v>
      </c>
      <c r="AL36" s="5">
        <f>IF(M36="","",(SIN(RADIANS((90-$Q$8)-W36))*AD36)+(COS(RADIANS((90-$Q$8)-W36))*AE36))</f>
        <v>-0.39901728569979605</v>
      </c>
      <c r="AM36" s="6">
        <f>IF(M36="","",AF36)</f>
        <v>-3.6047098899033819E-2</v>
      </c>
      <c r="AN36" s="612">
        <f>IF(M36="","",DEGREES(ATAN2(-AM36,AL36)))</f>
        <v>-84.837929463955547</v>
      </c>
      <c r="AO36" s="613">
        <f t="shared" si="98"/>
        <v>23.618332826506588</v>
      </c>
      <c r="AP36" s="624">
        <f>IF(M36="","",DEGREES(ATAN2(AK36,AL36)))</f>
        <v>-23.53297421358771</v>
      </c>
      <c r="AQ36" s="625">
        <f t="shared" si="10"/>
        <v>2.717982939682098</v>
      </c>
      <c r="AS36" s="56">
        <f t="shared" si="119"/>
        <v>-84.118839832311323</v>
      </c>
      <c r="AT36" s="77">
        <f t="shared" si="11"/>
        <v>-1.756403315760722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3.2410000000000001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3.141</v>
      </c>
      <c r="II36" s="800" cm="1">
        <f t="array" ref="II36">IFERROR(IF($IH36&lt;1,$IH36+LARGE((IF($M$9:$M$150="",0,$M$9:$M$150)-MOD(IF($M$9:$M$150="",0,$M$9:$M$150),1)),1),$IH36),"")</f>
        <v>3.141</v>
      </c>
      <c r="IJ36" s="839" t="str">
        <f t="shared" si="68"/>
        <v>1613</v>
      </c>
      <c r="IK36" s="839" t="str">
        <f t="shared" si="69"/>
        <v>1313</v>
      </c>
      <c r="IL36" s="791">
        <f t="shared" si="228"/>
        <v>11.135798392189656</v>
      </c>
      <c r="IM36" s="830">
        <v>2.1692973184609499E-4</v>
      </c>
      <c r="IN36" s="5">
        <f t="shared" si="229"/>
        <v>0</v>
      </c>
      <c r="IO36" s="852">
        <v>0</v>
      </c>
      <c r="IP36" s="9">
        <f t="shared" si="230"/>
        <v>-4.5058135895337843</v>
      </c>
      <c r="IQ36" s="5">
        <f t="shared" si="231"/>
        <v>-2.0792062708861128</v>
      </c>
      <c r="IR36" s="5">
        <f t="shared" si="74"/>
        <v>0.314</v>
      </c>
      <c r="IS36" s="5">
        <f t="shared" si="232"/>
        <v>0.29756721837751776</v>
      </c>
      <c r="IT36" s="791">
        <f t="shared" si="233"/>
        <v>84.837932918662929</v>
      </c>
      <c r="IU36" s="9">
        <f t="shared" si="234"/>
        <v>-4.5594137511918733</v>
      </c>
      <c r="IV36" s="5">
        <f t="shared" si="235"/>
        <v>-2.0775062657588976</v>
      </c>
      <c r="IW36" s="5">
        <f t="shared" si="79"/>
        <v>0.26600000000000001</v>
      </c>
      <c r="IX36" s="5">
        <f t="shared" si="236"/>
        <v>0.24371839926504463</v>
      </c>
      <c r="IY36" s="833">
        <f t="shared" si="237"/>
        <v>84.837929463955547</v>
      </c>
    </row>
    <row r="37" spans="1:259" ht="15" customHeight="1" x14ac:dyDescent="0.25">
      <c r="A37" s="84">
        <f t="shared" si="82"/>
        <v>0.02</v>
      </c>
      <c r="B37" s="770">
        <v>4.6719750616406506</v>
      </c>
      <c r="C37" s="771">
        <v>0.39107352034370368</v>
      </c>
      <c r="D37" s="772">
        <v>-2.8447085796410767</v>
      </c>
      <c r="E37" s="773">
        <v>0.39955942694153046</v>
      </c>
      <c r="F37" s="771">
        <v>0.91670723950704436</v>
      </c>
      <c r="G37" s="774">
        <v>3.183983828674482E-4</v>
      </c>
      <c r="H37" s="773">
        <v>0.26600000000000001</v>
      </c>
      <c r="I37" s="771">
        <v>0.52</v>
      </c>
      <c r="J37" s="601">
        <v>3.25</v>
      </c>
      <c r="K37" s="426" t="str">
        <f t="shared" si="225"/>
        <v>1313</v>
      </c>
      <c r="L37" s="327"/>
      <c r="M37" s="173">
        <f t="shared" si="2"/>
        <v>3.25</v>
      </c>
      <c r="N37" s="21">
        <f t="shared" si="3"/>
        <v>4.6719750616406506</v>
      </c>
      <c r="O37" s="5">
        <f t="shared" si="4"/>
        <v>0.39107352034370368</v>
      </c>
      <c r="P37" s="10">
        <f t="shared" si="5"/>
        <v>-2.8447085796410767</v>
      </c>
      <c r="Q37" s="624">
        <f t="shared" si="116"/>
        <v>4.784860325974825</v>
      </c>
      <c r="R37" s="5">
        <f t="shared" si="83"/>
        <v>4.6883141399554464</v>
      </c>
      <c r="S37" s="6">
        <f t="shared" si="84"/>
        <v>-2.8447085796410767</v>
      </c>
      <c r="T37" s="4">
        <f t="shared" si="85"/>
        <v>0.46269952222907001</v>
      </c>
      <c r="U37" s="5">
        <f t="shared" si="86"/>
        <v>-4.6654258784204439</v>
      </c>
      <c r="V37" s="8">
        <f t="shared" si="117"/>
        <v>-2.8447085796410767</v>
      </c>
      <c r="W37" s="624">
        <f t="shared" si="227"/>
        <v>275.66386019906292</v>
      </c>
      <c r="X37" s="5">
        <f t="shared" si="87"/>
        <v>4.6883141399554464</v>
      </c>
      <c r="Y37" s="7">
        <f t="shared" si="226"/>
        <v>-2.8447085796410767</v>
      </c>
      <c r="Z37" s="21">
        <f t="shared" si="7"/>
        <v>-0.39955942694153046</v>
      </c>
      <c r="AA37" s="5">
        <f t="shared" si="8"/>
        <v>-0.91670723950704436</v>
      </c>
      <c r="AB37" s="5">
        <f t="shared" si="9"/>
        <v>-3.183983828674482E-4</v>
      </c>
      <c r="AC37" s="8">
        <f t="shared" si="88"/>
        <v>1</v>
      </c>
      <c r="AD37" s="9">
        <f t="shared" si="118"/>
        <v>-0.39955942694153046</v>
      </c>
      <c r="AE37" s="5">
        <f t="shared" si="89"/>
        <v>-0.91670723950704436</v>
      </c>
      <c r="AF37" s="10">
        <f t="shared" si="90"/>
        <v>-3.183983828674482E-4</v>
      </c>
      <c r="AG37" s="622">
        <f t="shared" si="91"/>
        <v>-89.980099554119036</v>
      </c>
      <c r="AH37" s="623">
        <f t="shared" si="92"/>
        <v>113.55063901996024</v>
      </c>
      <c r="AI37" s="624">
        <f t="shared" si="93"/>
        <v>-89.98175711614968</v>
      </c>
      <c r="AJ37" s="625">
        <f t="shared" si="94"/>
        <v>-23.550640285818481</v>
      </c>
      <c r="AK37" s="4">
        <f t="shared" si="213"/>
        <v>0.88018339363262721</v>
      </c>
      <c r="AL37" s="5">
        <f t="shared" si="95"/>
        <v>-0.47463363997489827</v>
      </c>
      <c r="AM37" s="6">
        <f t="shared" si="96"/>
        <v>-3.183983828674482E-4</v>
      </c>
      <c r="AN37" s="612">
        <f t="shared" si="97"/>
        <v>-89.961564290288081</v>
      </c>
      <c r="AO37" s="613">
        <f t="shared" si="98"/>
        <v>28.335505997577787</v>
      </c>
      <c r="AP37" s="624">
        <f t="shared" si="99"/>
        <v>-28.335500611793307</v>
      </c>
      <c r="AQ37" s="625">
        <f t="shared" si="10"/>
        <v>2.6433622739672553</v>
      </c>
      <c r="AS37" s="56">
        <f t="shared" si="119"/>
        <v>-84.336139800937076</v>
      </c>
      <c r="AT37" s="77">
        <f t="shared" si="11"/>
        <v>-2.522784718650315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>
        <f>IFERROR(IF((((($IW37*COS(RADIANS(180-$IY37)))*COS(RADIANS($IY37)))-(($IX37*SIN(RADIANS(180-$IY37)))*SIN(RADIANS($IY37))))+$IU37)&lt;(((Settings!$C$19/2)*-1)+$IF$8),1,""),"")</f>
        <v>1</v>
      </c>
      <c r="IG37" s="836">
        <f t="shared" si="67"/>
        <v>3.25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3.15</v>
      </c>
      <c r="II37" s="800" cm="1">
        <f t="array" ref="II37">IFERROR(IF($IH37&lt;1,$IH37+LARGE((IF($M$9:$M$150="",0,$M$9:$M$150)-MOD(IF($M$9:$M$150="",0,$M$9:$M$150),1)),1),$IH37),"")</f>
        <v>3.15</v>
      </c>
      <c r="IJ37" s="839" t="str">
        <f t="shared" si="68"/>
        <v>1613</v>
      </c>
      <c r="IK37" s="839" t="str">
        <f t="shared" si="69"/>
        <v>1313</v>
      </c>
      <c r="IL37" s="791">
        <f t="shared" si="228"/>
        <v>11.132098392723833</v>
      </c>
      <c r="IM37" s="830">
        <v>2.1334000106217199E-5</v>
      </c>
      <c r="IN37" s="5">
        <f t="shared" si="229"/>
        <v>0</v>
      </c>
      <c r="IO37" s="852">
        <v>0</v>
      </c>
      <c r="IP37" s="9">
        <f t="shared" si="230"/>
        <v>-4.6342139767893542</v>
      </c>
      <c r="IQ37" s="5">
        <f t="shared" si="231"/>
        <v>-2.8416085702914482</v>
      </c>
      <c r="IR37" s="5">
        <f t="shared" si="74"/>
        <v>0.314</v>
      </c>
      <c r="IS37" s="5">
        <f t="shared" si="232"/>
        <v>0.28831513965072808</v>
      </c>
      <c r="IT37" s="791">
        <f t="shared" si="233"/>
        <v>89.961567082968273</v>
      </c>
      <c r="IU37" s="9">
        <f t="shared" si="234"/>
        <v>-4.6883141399554464</v>
      </c>
      <c r="IV37" s="5">
        <f t="shared" si="235"/>
        <v>-2.8447085796410767</v>
      </c>
      <c r="IW37" s="5">
        <f t="shared" si="79"/>
        <v>0.26600000000000001</v>
      </c>
      <c r="IX37" s="5">
        <f t="shared" si="236"/>
        <v>0.23412878270627888</v>
      </c>
      <c r="IY37" s="833">
        <f t="shared" si="237"/>
        <v>89.961564290288081</v>
      </c>
    </row>
    <row r="38" spans="1:259" ht="15" customHeight="1" x14ac:dyDescent="0.25">
      <c r="A38" s="84">
        <f t="shared" si="82"/>
        <v>0.02</v>
      </c>
      <c r="B38" s="770">
        <v>0.7254714154571007</v>
      </c>
      <c r="C38" s="771">
        <v>-0.41885170201072591</v>
      </c>
      <c r="D38" s="772">
        <v>-0.43080129929671873</v>
      </c>
      <c r="E38" s="773">
        <v>0.42495075868149657</v>
      </c>
      <c r="F38" s="771">
        <v>0.87000969481008184</v>
      </c>
      <c r="G38" s="774">
        <v>0.24999996726497564</v>
      </c>
      <c r="H38" s="773">
        <v>0.314</v>
      </c>
      <c r="I38" s="771">
        <v>0.52</v>
      </c>
      <c r="J38" s="601">
        <v>4.1029999999999998</v>
      </c>
      <c r="K38" s="426" t="str">
        <f t="shared" si="225"/>
        <v>1613</v>
      </c>
      <c r="L38" s="327"/>
      <c r="M38" s="173">
        <f t="shared" si="2"/>
        <v>4.1029999999999998</v>
      </c>
      <c r="N38" s="21">
        <f t="shared" si="3"/>
        <v>0.7254714154571007</v>
      </c>
      <c r="O38" s="5">
        <f t="shared" si="4"/>
        <v>-0.41885170201072591</v>
      </c>
      <c r="P38" s="10">
        <f t="shared" si="5"/>
        <v>-0.43080129929671873</v>
      </c>
      <c r="Q38" s="624">
        <f t="shared" si="116"/>
        <v>329.99996534829228</v>
      </c>
      <c r="R38" s="5">
        <f t="shared" si="83"/>
        <v>0.83770252651082</v>
      </c>
      <c r="S38" s="6">
        <f t="shared" si="84"/>
        <v>-0.43080129929671873</v>
      </c>
      <c r="T38" s="4">
        <f t="shared" si="85"/>
        <v>-0.4076730715437486</v>
      </c>
      <c r="U38" s="5">
        <f t="shared" si="86"/>
        <v>-0.73181158070960906</v>
      </c>
      <c r="V38" s="8">
        <f t="shared" si="117"/>
        <v>-0.43080129929671873</v>
      </c>
      <c r="W38" s="624">
        <f t="shared" si="227"/>
        <v>240.87896522138038</v>
      </c>
      <c r="X38" s="5">
        <f t="shared" si="87"/>
        <v>0.83770252651082</v>
      </c>
      <c r="Y38" s="7">
        <f t="shared" si="226"/>
        <v>-0.43080129929671873</v>
      </c>
      <c r="Z38" s="21">
        <f t="shared" si="7"/>
        <v>-0.42495075868149657</v>
      </c>
      <c r="AA38" s="5">
        <f t="shared" si="8"/>
        <v>-0.87000969481008184</v>
      </c>
      <c r="AB38" s="5">
        <f t="shared" si="9"/>
        <v>-0.24999996726497564</v>
      </c>
      <c r="AC38" s="8">
        <f t="shared" si="88"/>
        <v>1</v>
      </c>
      <c r="AD38" s="9">
        <f t="shared" si="118"/>
        <v>-0.42495075868149657</v>
      </c>
      <c r="AE38" s="5">
        <f t="shared" si="89"/>
        <v>-0.87000969481008184</v>
      </c>
      <c r="AF38" s="10">
        <f t="shared" si="90"/>
        <v>-0.24999996726497564</v>
      </c>
      <c r="AG38" s="622">
        <f t="shared" si="91"/>
        <v>-73.967832110835701</v>
      </c>
      <c r="AH38" s="623">
        <f t="shared" si="92"/>
        <v>115.14754663787646</v>
      </c>
      <c r="AI38" s="624">
        <f t="shared" si="93"/>
        <v>-75.522489751159469</v>
      </c>
      <c r="AJ38" s="625">
        <f t="shared" si="94"/>
        <v>-26.032905006621156</v>
      </c>
      <c r="AK38" s="4">
        <f t="shared" si="213"/>
        <v>0.9659258360722075</v>
      </c>
      <c r="AL38" s="5">
        <f t="shared" si="95"/>
        <v>6.6987279208207184E-2</v>
      </c>
      <c r="AM38" s="6">
        <f t="shared" si="96"/>
        <v>-0.24999996726497564</v>
      </c>
      <c r="AN38" s="612">
        <f t="shared" si="97"/>
        <v>14.999997834268264</v>
      </c>
      <c r="AO38" s="613">
        <f t="shared" si="98"/>
        <v>14.99999783426823</v>
      </c>
      <c r="AP38" s="624">
        <f t="shared" si="99"/>
        <v>3.9671296450865703</v>
      </c>
      <c r="AQ38" s="625">
        <f t="shared" si="10"/>
        <v>14.487569858556569</v>
      </c>
      <c r="AS38" s="56">
        <f t="shared" si="119"/>
        <v>-119.12103477861962</v>
      </c>
      <c r="AT38" s="77">
        <f t="shared" si="11"/>
        <v>2.2532164943066091E-2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4.1029999999999998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1.3683866600619912</v>
      </c>
      <c r="C39" s="771">
        <v>-0.7902942810939444</v>
      </c>
      <c r="D39" s="772">
        <v>-0.23180069911090848</v>
      </c>
      <c r="E39" s="773">
        <v>0.42944601787417436</v>
      </c>
      <c r="F39" s="771">
        <v>0.86740903676967163</v>
      </c>
      <c r="G39" s="774">
        <v>0.25135170710047883</v>
      </c>
      <c r="H39" s="773">
        <v>0.314</v>
      </c>
      <c r="I39" s="771">
        <v>0.52</v>
      </c>
      <c r="J39" s="601">
        <v>4.1059999999999999</v>
      </c>
      <c r="K39" s="426" t="str">
        <f t="shared" si="225"/>
        <v>1613</v>
      </c>
      <c r="L39" s="327"/>
      <c r="M39" s="173">
        <f t="shared" si="2"/>
        <v>4.1059999999999999</v>
      </c>
      <c r="N39" s="21">
        <f t="shared" si="3"/>
        <v>1.3683866600619912</v>
      </c>
      <c r="O39" s="5">
        <f t="shared" si="4"/>
        <v>-0.7902942810939444</v>
      </c>
      <c r="P39" s="10">
        <f t="shared" si="5"/>
        <v>-0.23180069911090848</v>
      </c>
      <c r="Q39" s="624">
        <f t="shared" si="116"/>
        <v>329.99196534944736</v>
      </c>
      <c r="R39" s="5">
        <f t="shared" si="83"/>
        <v>1.5802047658975737</v>
      </c>
      <c r="S39" s="6">
        <f t="shared" si="84"/>
        <v>-0.23180069911090848</v>
      </c>
      <c r="T39" s="4">
        <f t="shared" si="85"/>
        <v>-0.7692090801706376</v>
      </c>
      <c r="U39" s="5">
        <f t="shared" si="86"/>
        <v>-1.3803494098047957</v>
      </c>
      <c r="V39" s="8">
        <f t="shared" si="117"/>
        <v>-0.23180069911090848</v>
      </c>
      <c r="W39" s="624">
        <f t="shared" si="227"/>
        <v>240.87096522253546</v>
      </c>
      <c r="X39" s="5">
        <f t="shared" si="87"/>
        <v>1.5802047658975737</v>
      </c>
      <c r="Y39" s="7">
        <f t="shared" si="226"/>
        <v>-0.23180069911090848</v>
      </c>
      <c r="Z39" s="21">
        <f t="shared" si="7"/>
        <v>-0.42944601787417436</v>
      </c>
      <c r="AA39" s="5">
        <f t="shared" si="8"/>
        <v>-0.86740903676967163</v>
      </c>
      <c r="AB39" s="5">
        <f t="shared" si="9"/>
        <v>-0.25135170710047883</v>
      </c>
      <c r="AC39" s="8">
        <f t="shared" si="88"/>
        <v>1</v>
      </c>
      <c r="AD39" s="9">
        <f t="shared" si="118"/>
        <v>-0.42944601787417436</v>
      </c>
      <c r="AE39" s="5">
        <f t="shared" si="89"/>
        <v>-0.86740903676967163</v>
      </c>
      <c r="AF39" s="10">
        <f t="shared" si="90"/>
        <v>-0.25135170710047883</v>
      </c>
      <c r="AG39" s="622">
        <f t="shared" si="91"/>
        <v>-73.839839605431564</v>
      </c>
      <c r="AH39" s="623">
        <f t="shared" si="92"/>
        <v>115.43240818465914</v>
      </c>
      <c r="AI39" s="624">
        <f t="shared" si="93"/>
        <v>-75.44248633367161</v>
      </c>
      <c r="AJ39" s="625">
        <f t="shared" si="94"/>
        <v>-26.339576986790583</v>
      </c>
      <c r="AK39" s="4">
        <f t="shared" si="213"/>
        <v>0.96591259540366592</v>
      </c>
      <c r="AL39" s="5">
        <f t="shared" si="95"/>
        <v>6.1928808952128489E-2</v>
      </c>
      <c r="AM39" s="6">
        <f t="shared" si="96"/>
        <v>-0.25135170710047883</v>
      </c>
      <c r="AN39" s="612">
        <f t="shared" si="97"/>
        <v>13.841034347318764</v>
      </c>
      <c r="AO39" s="613">
        <f t="shared" si="98"/>
        <v>15.002928693260195</v>
      </c>
      <c r="AP39" s="624">
        <f t="shared" si="99"/>
        <v>3.6684576637620481</v>
      </c>
      <c r="AQ39" s="625">
        <f t="shared" si="10"/>
        <v>7.7996296919845189</v>
      </c>
      <c r="AS39" s="56">
        <f t="shared" si="119"/>
        <v>-119.12903477746454</v>
      </c>
      <c r="AT39" s="77">
        <f t="shared" si="11"/>
        <v>0.22156298734673494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4.1059999999999999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2.0073811161898654</v>
      </c>
      <c r="C40" s="771">
        <v>-1.1856980226862359</v>
      </c>
      <c r="D40" s="772">
        <v>-6.9100208406228561E-2</v>
      </c>
      <c r="E40" s="773">
        <v>0.52035871383696575</v>
      </c>
      <c r="F40" s="771">
        <v>0.81330951070950719</v>
      </c>
      <c r="G40" s="774">
        <v>0.26029684731744435</v>
      </c>
      <c r="H40" s="773">
        <v>0.314</v>
      </c>
      <c r="I40" s="771">
        <v>0.52</v>
      </c>
      <c r="J40" s="601">
        <v>4.109</v>
      </c>
      <c r="K40" s="426" t="str">
        <f t="shared" si="225"/>
        <v>1613</v>
      </c>
      <c r="L40" s="327"/>
      <c r="M40" s="173">
        <f t="shared" si="2"/>
        <v>4.109</v>
      </c>
      <c r="N40" s="21">
        <f t="shared" si="3"/>
        <v>2.0073811161898654</v>
      </c>
      <c r="O40" s="5">
        <f t="shared" si="4"/>
        <v>-1.1856980226862359</v>
      </c>
      <c r="P40" s="10">
        <f t="shared" si="5"/>
        <v>-6.9100208406228561E-2</v>
      </c>
      <c r="Q40" s="624">
        <f t="shared" si="116"/>
        <v>329.43096543044572</v>
      </c>
      <c r="R40" s="5">
        <f t="shared" si="83"/>
        <v>2.3314070315236073</v>
      </c>
      <c r="S40" s="6">
        <f t="shared" si="84"/>
        <v>-6.9100208406228561E-2</v>
      </c>
      <c r="T40" s="4">
        <f t="shared" si="85"/>
        <v>-1.1547635798034048</v>
      </c>
      <c r="U40" s="5">
        <f t="shared" si="86"/>
        <v>-2.0253344961752231</v>
      </c>
      <c r="V40" s="8">
        <f t="shared" si="117"/>
        <v>-6.9100208406228561E-2</v>
      </c>
      <c r="W40" s="624">
        <f t="shared" si="227"/>
        <v>240.30996530353383</v>
      </c>
      <c r="X40" s="5">
        <f t="shared" si="87"/>
        <v>2.3314070315236073</v>
      </c>
      <c r="Y40" s="7">
        <f t="shared" si="226"/>
        <v>-6.9100208406228561E-2</v>
      </c>
      <c r="Z40" s="21">
        <f t="shared" si="7"/>
        <v>-0.52035871383696575</v>
      </c>
      <c r="AA40" s="5">
        <f t="shared" si="8"/>
        <v>-0.81330951070950719</v>
      </c>
      <c r="AB40" s="5">
        <f t="shared" si="9"/>
        <v>-0.26029684731744435</v>
      </c>
      <c r="AC40" s="8">
        <f t="shared" si="88"/>
        <v>1</v>
      </c>
      <c r="AD40" s="9">
        <f t="shared" si="118"/>
        <v>-0.52035871383696575</v>
      </c>
      <c r="AE40" s="5">
        <f t="shared" si="89"/>
        <v>-0.81330951070950719</v>
      </c>
      <c r="AF40" s="10">
        <f t="shared" si="90"/>
        <v>-0.26029684731744435</v>
      </c>
      <c r="AG40" s="622">
        <f t="shared" si="91"/>
        <v>-72.25291259032069</v>
      </c>
      <c r="AH40" s="623">
        <f t="shared" si="92"/>
        <v>121.3563163880407</v>
      </c>
      <c r="AI40" s="624">
        <f t="shared" si="93"/>
        <v>-74.9123232621818</v>
      </c>
      <c r="AJ40" s="625">
        <f t="shared" si="94"/>
        <v>-32.611277364283417</v>
      </c>
      <c r="AK40" s="4">
        <f t="shared" si="213"/>
        <v>0.96491535844334086</v>
      </c>
      <c r="AL40" s="5">
        <f t="shared" si="95"/>
        <v>-3.4407881608118418E-2</v>
      </c>
      <c r="AM40" s="6">
        <f t="shared" si="96"/>
        <v>-0.26029684731744435</v>
      </c>
      <c r="AN40" s="612">
        <f t="shared" si="97"/>
        <v>-7.5301057051960338</v>
      </c>
      <c r="AO40" s="613">
        <f t="shared" si="98"/>
        <v>15.222085427542673</v>
      </c>
      <c r="AP40" s="624">
        <f t="shared" si="99"/>
        <v>-2.0422427947291384</v>
      </c>
      <c r="AQ40" s="625">
        <f t="shared" si="10"/>
        <v>5.3042062971456554</v>
      </c>
      <c r="AS40" s="56">
        <f t="shared" si="119"/>
        <v>-119.69003469646617</v>
      </c>
      <c r="AT40" s="77">
        <f t="shared" si="11"/>
        <v>0.38638281107875433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4.109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2.6320941988943654</v>
      </c>
      <c r="C41" s="771">
        <v>-1.6173781828795621</v>
      </c>
      <c r="D41" s="772">
        <v>-0.18890056972411828</v>
      </c>
      <c r="E41" s="773">
        <v>0.6385423847598809</v>
      </c>
      <c r="F41" s="771">
        <v>0.73779464886034685</v>
      </c>
      <c r="G41" s="774">
        <v>0.21891249159927334</v>
      </c>
      <c r="H41" s="773">
        <v>0.314</v>
      </c>
      <c r="I41" s="771">
        <v>0.52</v>
      </c>
      <c r="J41" s="601">
        <v>4.1150000000000002</v>
      </c>
      <c r="K41" s="426" t="str">
        <f t="shared" si="225"/>
        <v>1613</v>
      </c>
      <c r="L41" s="327"/>
      <c r="M41" s="173">
        <f t="shared" ref="M41:M72" si="242">IF(J41="","",VALUE(J41))</f>
        <v>4.1150000000000002</v>
      </c>
      <c r="N41" s="21">
        <f t="shared" ref="N41:N72" si="243">IF(M41="","",B41)</f>
        <v>2.6320941988943654</v>
      </c>
      <c r="O41" s="5">
        <f t="shared" ref="O41:O72" si="244">IF(M41="","",C41)</f>
        <v>-1.6173781828795621</v>
      </c>
      <c r="P41" s="10">
        <f t="shared" ref="P41:P72" si="245">IF(M41="","",D41)</f>
        <v>-0.18890056972411828</v>
      </c>
      <c r="Q41" s="624">
        <f t="shared" si="116"/>
        <v>328.42996557497219</v>
      </c>
      <c r="R41" s="5">
        <f t="shared" si="83"/>
        <v>3.0893093173569017</v>
      </c>
      <c r="S41" s="6">
        <f t="shared" si="84"/>
        <v>-0.18890056972411828</v>
      </c>
      <c r="T41" s="4">
        <f t="shared" si="85"/>
        <v>-1.5768093173813362</v>
      </c>
      <c r="U41" s="5">
        <f t="shared" si="86"/>
        <v>-2.6565964004582199</v>
      </c>
      <c r="V41" s="8">
        <f t="shared" si="117"/>
        <v>-0.18890056972411828</v>
      </c>
      <c r="W41" s="624">
        <f t="shared" si="227"/>
        <v>239.30896544806029</v>
      </c>
      <c r="X41" s="5">
        <f t="shared" si="87"/>
        <v>3.0893093173569017</v>
      </c>
      <c r="Y41" s="7">
        <f t="shared" si="226"/>
        <v>-0.18890056972411828</v>
      </c>
      <c r="Z41" s="21">
        <f t="shared" ref="Z41:Z72" si="246">IF(M41="","",-E41)</f>
        <v>-0.6385423847598809</v>
      </c>
      <c r="AA41" s="5">
        <f t="shared" ref="AA41:AA72" si="247">IF(M41="","",-F41)</f>
        <v>-0.73779464886034685</v>
      </c>
      <c r="AB41" s="5">
        <f t="shared" ref="AB41:AB72" si="248">IF(M41="","",-G41)</f>
        <v>-0.21891249159927334</v>
      </c>
      <c r="AC41" s="8">
        <f t="shared" si="88"/>
        <v>1</v>
      </c>
      <c r="AD41" s="9">
        <f t="shared" si="118"/>
        <v>-0.6385423847598809</v>
      </c>
      <c r="AE41" s="5">
        <f t="shared" si="89"/>
        <v>-0.73779464886034685</v>
      </c>
      <c r="AF41" s="10">
        <f t="shared" si="90"/>
        <v>-0.21891249159927334</v>
      </c>
      <c r="AG41" s="622">
        <f t="shared" si="91"/>
        <v>-73.473747740616744</v>
      </c>
      <c r="AH41" s="623">
        <f t="shared" si="92"/>
        <v>129.68321447551406</v>
      </c>
      <c r="AI41" s="624">
        <f t="shared" si="93"/>
        <v>-77.354833568018421</v>
      </c>
      <c r="AJ41" s="625">
        <f t="shared" si="94"/>
        <v>-40.875349784853029</v>
      </c>
      <c r="AK41" s="4">
        <f t="shared" si="213"/>
        <v>0.96290440082581097</v>
      </c>
      <c r="AL41" s="5">
        <f t="shared" si="95"/>
        <v>-0.15777336876698839</v>
      </c>
      <c r="AM41" s="6">
        <f t="shared" si="96"/>
        <v>-0.21891249159927334</v>
      </c>
      <c r="AN41" s="612">
        <f t="shared" si="97"/>
        <v>-35.780832713794851</v>
      </c>
      <c r="AO41" s="613">
        <f t="shared" si="98"/>
        <v>15.654910344607165</v>
      </c>
      <c r="AP41" s="624">
        <f t="shared" si="99"/>
        <v>-9.3053153598252081</v>
      </c>
      <c r="AQ41" s="625">
        <f t="shared" ref="AQ41:AQ72" si="249">IF(M41="","",DEGREES(ATAN(($AS$5*SIN(RADIANS(90)))/(($X41*2*PI())-($AS$5*COS(RADIANS(90)))))))</f>
        <v>4.007846974186462</v>
      </c>
      <c r="AS41" s="56">
        <f t="shared" si="119"/>
        <v>-120.69103455193971</v>
      </c>
      <c r="AT41" s="77">
        <f t="shared" ref="AT41:AT72" si="250">IF(M41="","",Y41+(((AS41-$AS$9)*$AS$6)*-1))</f>
        <v>0.27036400477043132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4.1150000000000002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3.1666507272709712</v>
      </c>
      <c r="C42" s="771">
        <v>-2.0260170058796629</v>
      </c>
      <c r="D42" s="772">
        <v>-0.64490194502426634</v>
      </c>
      <c r="E42" s="773">
        <v>0.72457893831080222</v>
      </c>
      <c r="F42" s="771">
        <v>0.67668592909360792</v>
      </c>
      <c r="G42" s="774">
        <v>0.13069627203218656</v>
      </c>
      <c r="H42" s="773">
        <v>0.314</v>
      </c>
      <c r="I42" s="771">
        <v>0.52</v>
      </c>
      <c r="J42" s="601">
        <v>4.1219999999999999</v>
      </c>
      <c r="K42" s="426" t="str">
        <f t="shared" si="225"/>
        <v>1613</v>
      </c>
      <c r="L42" s="327"/>
      <c r="M42" s="173">
        <f t="shared" si="242"/>
        <v>4.1219999999999999</v>
      </c>
      <c r="N42" s="21">
        <f t="shared" si="243"/>
        <v>3.1666507272709712</v>
      </c>
      <c r="O42" s="5">
        <f t="shared" si="244"/>
        <v>-2.0260170058796629</v>
      </c>
      <c r="P42" s="10">
        <f t="shared" si="245"/>
        <v>-0.64490194502426634</v>
      </c>
      <c r="Q42" s="624">
        <f t="shared" si="116"/>
        <v>327.38896572527398</v>
      </c>
      <c r="R42" s="5">
        <f t="shared" ref="R42:R47" si="390">IF(M42="","",SQRT(N42^2+O42^2))</f>
        <v>3.7593113380829961</v>
      </c>
      <c r="S42" s="6">
        <f t="shared" ref="S42:S47" si="391">IF(M42="","",P42)</f>
        <v>-0.64490194502426634</v>
      </c>
      <c r="T42" s="4">
        <f t="shared" ref="T42:T47" si="392">IF(M42="","",X42*COS(RADIANS(W42)))</f>
        <v>-1.9771995065016388</v>
      </c>
      <c r="U42" s="5">
        <f t="shared" ref="U42:U47" si="393">IF(M42="","",X42*SIN(RADIANS(W42)))</f>
        <v>-3.1973588863512088</v>
      </c>
      <c r="V42" s="8">
        <f t="shared" ref="V42:V47" si="394">IF(M42="","",Y42)</f>
        <v>-0.64490194502426634</v>
      </c>
      <c r="W42" s="624">
        <f t="shared" si="227"/>
        <v>238.26796559836208</v>
      </c>
      <c r="X42" s="5">
        <f t="shared" ref="X42:X47" si="395">IF(M42="","",R42)</f>
        <v>3.7593113380829961</v>
      </c>
      <c r="Y42" s="7">
        <f t="shared" si="226"/>
        <v>-0.64490194502426634</v>
      </c>
      <c r="Z42" s="21">
        <f t="shared" si="246"/>
        <v>-0.72457893831080222</v>
      </c>
      <c r="AA42" s="5">
        <f t="shared" si="247"/>
        <v>-0.67668592909360792</v>
      </c>
      <c r="AB42" s="5">
        <f t="shared" si="248"/>
        <v>-0.13069627203218656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-0.72457893831080222</v>
      </c>
      <c r="AE42" s="5">
        <f t="shared" ref="AE42:AE47" si="398">IF(M42="","",AA42*(1/SQRT(Z42^2+AA42^2+AB42^2)))</f>
        <v>-0.67668592909360792</v>
      </c>
      <c r="AF42" s="10">
        <f t="shared" ref="AF42:AF47" si="399">IF(M42="","",AB42*(1/SQRT(Z42^2+AA42^2+AB42^2)))</f>
        <v>-0.13069627203218656</v>
      </c>
      <c r="AG42" s="622">
        <f t="shared" ref="AG42:AG47" si="400">IF(M42="","",DEGREES(ATAN2(-AF42,AE42)))</f>
        <v>-79.068399029578501</v>
      </c>
      <c r="AH42" s="623">
        <f t="shared" ref="AH42:AH47" si="401">IF(M42="","",DEGREES(ACOS(AD42)))</f>
        <v>136.43383172890375</v>
      </c>
      <c r="AI42" s="624">
        <f t="shared" ref="AI42:AI47" si="402">IF(M42="","",DEGREES(-ACOS(-AF42)))</f>
        <v>-82.490170945568721</v>
      </c>
      <c r="AJ42" s="625">
        <f t="shared" ref="AJ42:AJ47" si="403">IF(M42="","",DEGREES(ATAN2(-AE42,AD42)))</f>
        <v>-46.957516813295399</v>
      </c>
      <c r="AK42" s="4">
        <f t="shared" ref="AK42:AK47" si="404">IF(M42="","",(COS(RADIANS((90-$Q$8)-W42))*AD42)+(-SIN(RADIANS((90-$Q$8)-W42))*AE42))</f>
        <v>0.96050497441893556</v>
      </c>
      <c r="AL42" s="5">
        <f t="shared" ref="AL42:AL47" si="405">IF(M42="","",(SIN(RADIANS((90-$Q$8)-W42))*AD42)+(COS(RADIANS((90-$Q$8)-W42))*AE42))</f>
        <v>-0.24565968043895287</v>
      </c>
      <c r="AM42" s="6">
        <f t="shared" ref="AM42:AM47" si="406">IF(M42="","",AF42)</f>
        <v>-0.13069627203218656</v>
      </c>
      <c r="AN42" s="612">
        <f t="shared" ref="AN42:AN47" si="407">IF(M42="","",DEGREES(ATAN2(-AM42,AL42)))</f>
        <v>-61.986055127902709</v>
      </c>
      <c r="AO42" s="613">
        <f t="shared" si="98"/>
        <v>16.156551395544021</v>
      </c>
      <c r="AP42" s="624">
        <f t="shared" ref="AP42:AP47" si="408">IF(M42="","",DEGREES(ATAN2(AK42,AL42)))</f>
        <v>-14.346482538569383</v>
      </c>
      <c r="AQ42" s="625">
        <f t="shared" si="249"/>
        <v>3.2952938714705073</v>
      </c>
      <c r="AS42" s="56">
        <f t="shared" si="119"/>
        <v>-121.73203440163792</v>
      </c>
      <c r="AT42" s="77">
        <f t="shared" si="250"/>
        <v>-0.18170470443085684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4.1219999999999999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3.5107599770492901</v>
      </c>
      <c r="C43" s="771">
        <v>-2.3100904052202176</v>
      </c>
      <c r="D43" s="772">
        <v>-1.2763038493324093</v>
      </c>
      <c r="E43" s="773">
        <v>0.76449497814552092</v>
      </c>
      <c r="F43" s="771">
        <v>0.63895173368506042</v>
      </c>
      <c r="G43" s="774">
        <v>8.5370430543222769E-2</v>
      </c>
      <c r="H43" s="773">
        <v>0.314</v>
      </c>
      <c r="I43" s="771">
        <v>0.52</v>
      </c>
      <c r="J43" s="601">
        <v>4.1310000000000002</v>
      </c>
      <c r="K43" s="426" t="str">
        <f t="shared" si="225"/>
        <v>1613</v>
      </c>
      <c r="L43" s="327"/>
      <c r="M43" s="173">
        <f t="shared" si="242"/>
        <v>4.1310000000000002</v>
      </c>
      <c r="N43" s="21">
        <f t="shared" si="243"/>
        <v>3.5107599770492901</v>
      </c>
      <c r="O43" s="5">
        <f t="shared" si="244"/>
        <v>-2.3100904052202176</v>
      </c>
      <c r="P43" s="10">
        <f t="shared" si="245"/>
        <v>-1.2763038493324093</v>
      </c>
      <c r="Q43" s="624">
        <f t="shared" si="116"/>
        <v>326.65496583125042</v>
      </c>
      <c r="R43" s="5">
        <f t="shared" si="390"/>
        <v>4.2026126750798296</v>
      </c>
      <c r="S43" s="6">
        <f t="shared" si="391"/>
        <v>-1.2763038493324093</v>
      </c>
      <c r="T43" s="4">
        <f t="shared" si="392"/>
        <v>-2.2559605517769752</v>
      </c>
      <c r="U43" s="5">
        <f t="shared" si="393"/>
        <v>-3.5457855667775182</v>
      </c>
      <c r="V43" s="8">
        <f t="shared" si="394"/>
        <v>-1.2763038493324093</v>
      </c>
      <c r="W43" s="624">
        <f t="shared" si="227"/>
        <v>237.53396570433853</v>
      </c>
      <c r="X43" s="5">
        <f t="shared" si="395"/>
        <v>4.2026126750798296</v>
      </c>
      <c r="Y43" s="7">
        <f t="shared" si="226"/>
        <v>-1.2763038493324093</v>
      </c>
      <c r="Z43" s="21">
        <f t="shared" si="246"/>
        <v>-0.76449497814552092</v>
      </c>
      <c r="AA43" s="5">
        <f t="shared" si="247"/>
        <v>-0.63895173368506042</v>
      </c>
      <c r="AB43" s="5">
        <f t="shared" si="248"/>
        <v>-8.5370430543222769E-2</v>
      </c>
      <c r="AC43" s="8">
        <f t="shared" si="396"/>
        <v>1</v>
      </c>
      <c r="AD43" s="9">
        <f t="shared" si="397"/>
        <v>-0.76449497814552092</v>
      </c>
      <c r="AE43" s="5">
        <f t="shared" si="398"/>
        <v>-0.63895173368506042</v>
      </c>
      <c r="AF43" s="10">
        <f t="shared" si="399"/>
        <v>-8.5370430543222769E-2</v>
      </c>
      <c r="AG43" s="622">
        <f t="shared" si="400"/>
        <v>-82.389774375322901</v>
      </c>
      <c r="AH43" s="623">
        <f t="shared" si="401"/>
        <v>139.86208393950997</v>
      </c>
      <c r="AI43" s="624">
        <f t="shared" si="402"/>
        <v>-85.10267359529476</v>
      </c>
      <c r="AJ43" s="625">
        <f t="shared" si="403"/>
        <v>-50.111703465374724</v>
      </c>
      <c r="AK43" s="4">
        <f t="shared" si="404"/>
        <v>0.95399195636429146</v>
      </c>
      <c r="AL43" s="5">
        <f t="shared" si="405"/>
        <v>-0.2874217054801127</v>
      </c>
      <c r="AM43" s="6">
        <f t="shared" si="406"/>
        <v>-8.5370430543222769E-2</v>
      </c>
      <c r="AN43" s="612">
        <f t="shared" si="407"/>
        <v>-73.457447672690208</v>
      </c>
      <c r="AO43" s="613">
        <f t="shared" si="98"/>
        <v>17.44752485239334</v>
      </c>
      <c r="AP43" s="624">
        <f t="shared" si="408"/>
        <v>-16.766669296625153</v>
      </c>
      <c r="AQ43" s="625">
        <f t="shared" si="249"/>
        <v>2.948347961095739</v>
      </c>
      <c r="AS43" s="56">
        <f t="shared" ref="AS43:AS74" si="411">IF(G43="","",IF(AND(W43&lt;(AS42+180),W43&gt;(AS42-180)),W43,IF(W43&gt;(AS42+180),W43-360,IF(W43&lt;(AS42-180),W43+360,"Error"))))</f>
        <v>-122.46603429566147</v>
      </c>
      <c r="AT43" s="77">
        <f t="shared" si="250"/>
        <v>-0.81033372025046635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4.1310000000000002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3.7246440234530445</v>
      </c>
      <c r="C44" s="771">
        <v>-2.4956008710499815</v>
      </c>
      <c r="D44" s="772">
        <v>-1.9961060202557572</v>
      </c>
      <c r="E44" s="773">
        <v>0.79088950735546026</v>
      </c>
      <c r="F44" s="771">
        <v>0.6109350468381386</v>
      </c>
      <c r="G44" s="774">
        <v>3.5385812127444953E-2</v>
      </c>
      <c r="H44" s="773">
        <v>0.314</v>
      </c>
      <c r="I44" s="771">
        <v>0.52</v>
      </c>
      <c r="J44" s="601">
        <v>4.1399999999999997</v>
      </c>
      <c r="K44" s="426" t="str">
        <f t="shared" si="225"/>
        <v>1613</v>
      </c>
      <c r="L44" s="327"/>
      <c r="M44" s="173">
        <f t="shared" si="242"/>
        <v>4.1399999999999997</v>
      </c>
      <c r="N44" s="21">
        <f t="shared" si="243"/>
        <v>3.7246440234530445</v>
      </c>
      <c r="O44" s="5">
        <f t="shared" si="244"/>
        <v>-2.4956008710499815</v>
      </c>
      <c r="P44" s="10">
        <f t="shared" si="245"/>
        <v>-1.9961060202557572</v>
      </c>
      <c r="Q44" s="624">
        <f t="shared" si="116"/>
        <v>326.17696590026509</v>
      </c>
      <c r="R44" s="5">
        <f t="shared" si="390"/>
        <v>4.4834135219751818</v>
      </c>
      <c r="S44" s="6">
        <f t="shared" si="391"/>
        <v>-1.9961060202557572</v>
      </c>
      <c r="T44" s="4">
        <f t="shared" si="392"/>
        <v>-2.4381680262172178</v>
      </c>
      <c r="U44" s="5">
        <f t="shared" si="393"/>
        <v>-3.7624903302150741</v>
      </c>
      <c r="V44" s="8">
        <f t="shared" si="394"/>
        <v>-1.9961060202557572</v>
      </c>
      <c r="W44" s="624">
        <f t="shared" si="227"/>
        <v>237.05596577335319</v>
      </c>
      <c r="X44" s="5">
        <f t="shared" si="395"/>
        <v>4.4834135219751818</v>
      </c>
      <c r="Y44" s="7">
        <f t="shared" si="226"/>
        <v>-1.9961060202557572</v>
      </c>
      <c r="Z44" s="21">
        <f t="shared" si="246"/>
        <v>-0.79088950735546026</v>
      </c>
      <c r="AA44" s="5">
        <f t="shared" si="247"/>
        <v>-0.6109350468381386</v>
      </c>
      <c r="AB44" s="5">
        <f t="shared" si="248"/>
        <v>-3.5385812127444953E-2</v>
      </c>
      <c r="AC44" s="8">
        <f t="shared" si="396"/>
        <v>1</v>
      </c>
      <c r="AD44" s="9">
        <f t="shared" si="397"/>
        <v>-0.79088950735546026</v>
      </c>
      <c r="AE44" s="5">
        <f t="shared" si="398"/>
        <v>-0.6109350468381386</v>
      </c>
      <c r="AF44" s="10">
        <f t="shared" si="399"/>
        <v>-3.5385812127444953E-2</v>
      </c>
      <c r="AG44" s="622">
        <f t="shared" si="400"/>
        <v>-86.6850895098991</v>
      </c>
      <c r="AH44" s="623">
        <f t="shared" si="401"/>
        <v>142.26871520049329</v>
      </c>
      <c r="AI44" s="624">
        <f t="shared" si="402"/>
        <v>-87.972118956413425</v>
      </c>
      <c r="AJ44" s="625">
        <f t="shared" si="403"/>
        <v>-52.31514321154453</v>
      </c>
      <c r="AK44" s="4">
        <f t="shared" si="404"/>
        <v>0.94777340826510037</v>
      </c>
      <c r="AL44" s="5">
        <f t="shared" si="405"/>
        <v>-0.31697541053784706</v>
      </c>
      <c r="AM44" s="6">
        <f t="shared" si="406"/>
        <v>-3.5385812127444953E-2</v>
      </c>
      <c r="AN44" s="612">
        <f t="shared" si="407"/>
        <v>-83.630112589325407</v>
      </c>
      <c r="AO44" s="613">
        <f t="shared" si="98"/>
        <v>18.599102124925139</v>
      </c>
      <c r="AP44" s="624">
        <f t="shared" si="408"/>
        <v>-18.492109111809626</v>
      </c>
      <c r="AQ44" s="625">
        <f t="shared" si="249"/>
        <v>2.7639857589390124</v>
      </c>
      <c r="AS44" s="56">
        <f t="shared" si="411"/>
        <v>-122.94403422664681</v>
      </c>
      <c r="AT44" s="77">
        <f t="shared" si="250"/>
        <v>-1.5283301136567586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4.1399999999999997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3.8321402322974092</v>
      </c>
      <c r="C45" s="771">
        <v>-2.5916320679844729</v>
      </c>
      <c r="D45" s="772">
        <v>-2.7559083118194687</v>
      </c>
      <c r="E45" s="773">
        <v>0.83355583974575453</v>
      </c>
      <c r="F45" s="771">
        <v>0.55243478779805444</v>
      </c>
      <c r="G45" s="774">
        <v>6.8356145943157531E-4</v>
      </c>
      <c r="H45" s="773">
        <v>0.314</v>
      </c>
      <c r="I45" s="771">
        <v>0.52</v>
      </c>
      <c r="J45" s="601">
        <v>4.149</v>
      </c>
      <c r="K45" s="426" t="str">
        <f t="shared" si="225"/>
        <v>1613</v>
      </c>
      <c r="L45" s="327"/>
      <c r="M45" s="173">
        <f t="shared" si="242"/>
        <v>4.149</v>
      </c>
      <c r="N45" s="21">
        <f t="shared" si="243"/>
        <v>3.8321402322974092</v>
      </c>
      <c r="O45" s="5">
        <f t="shared" si="244"/>
        <v>-2.5916320679844729</v>
      </c>
      <c r="P45" s="10">
        <f t="shared" si="245"/>
        <v>-2.7559083118194687</v>
      </c>
      <c r="Q45" s="624">
        <f t="shared" si="116"/>
        <v>325.9299659359275</v>
      </c>
      <c r="R45" s="5">
        <f t="shared" si="390"/>
        <v>4.6262139526612813</v>
      </c>
      <c r="S45" s="6">
        <f t="shared" si="391"/>
        <v>-2.7559083118194687</v>
      </c>
      <c r="T45" s="4">
        <f t="shared" si="392"/>
        <v>-2.5325388402759876</v>
      </c>
      <c r="U45" s="5">
        <f t="shared" si="393"/>
        <v>-3.8714470884013736</v>
      </c>
      <c r="V45" s="8">
        <f t="shared" si="394"/>
        <v>-2.7559083118194687</v>
      </c>
      <c r="W45" s="624">
        <f t="shared" si="227"/>
        <v>236.8089658090156</v>
      </c>
      <c r="X45" s="5">
        <f t="shared" si="395"/>
        <v>4.6262139526612813</v>
      </c>
      <c r="Y45" s="7">
        <f t="shared" si="226"/>
        <v>-2.7559083118194687</v>
      </c>
      <c r="Z45" s="21">
        <f t="shared" si="246"/>
        <v>-0.83355583974575453</v>
      </c>
      <c r="AA45" s="5">
        <f t="shared" si="247"/>
        <v>-0.55243478779805444</v>
      </c>
      <c r="AB45" s="5">
        <f t="shared" si="248"/>
        <v>-6.8356145943157531E-4</v>
      </c>
      <c r="AC45" s="8">
        <f t="shared" si="396"/>
        <v>1</v>
      </c>
      <c r="AD45" s="9">
        <f t="shared" si="397"/>
        <v>-0.83355583974575453</v>
      </c>
      <c r="AE45" s="5">
        <f t="shared" si="398"/>
        <v>-0.55243478779805444</v>
      </c>
      <c r="AF45" s="10">
        <f t="shared" si="399"/>
        <v>-6.8356145943157531E-4</v>
      </c>
      <c r="AG45" s="622">
        <f t="shared" si="400"/>
        <v>-89.929104452615604</v>
      </c>
      <c r="AH45" s="623">
        <f t="shared" si="401"/>
        <v>146.46576046764582</v>
      </c>
      <c r="AI45" s="624">
        <f t="shared" si="402"/>
        <v>-89.960834810286741</v>
      </c>
      <c r="AJ45" s="625">
        <f t="shared" si="403"/>
        <v>-56.465780665321198</v>
      </c>
      <c r="AK45" s="4">
        <f t="shared" si="404"/>
        <v>0.92457410412717256</v>
      </c>
      <c r="AL45" s="5">
        <f t="shared" si="405"/>
        <v>-0.38100165186146867</v>
      </c>
      <c r="AM45" s="6">
        <f t="shared" si="406"/>
        <v>-6.8356145943157531E-4</v>
      </c>
      <c r="AN45" s="612">
        <f t="shared" si="407"/>
        <v>-89.897204790452719</v>
      </c>
      <c r="AO45" s="613">
        <f t="shared" si="98"/>
        <v>22.395779084716882</v>
      </c>
      <c r="AP45" s="624">
        <f t="shared" si="408"/>
        <v>-22.395746601248685</v>
      </c>
      <c r="AQ45" s="625">
        <f t="shared" si="249"/>
        <v>2.6787942193222953</v>
      </c>
      <c r="AS45" s="56">
        <f t="shared" si="411"/>
        <v>-123.1910341909844</v>
      </c>
      <c r="AT45" s="77">
        <f t="shared" si="250"/>
        <v>-2.2871992942440835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4.149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3.8838254562456092</v>
      </c>
      <c r="C46" s="771">
        <v>-2.6383585504770397</v>
      </c>
      <c r="D46" s="772">
        <v>-3.5210106193680279</v>
      </c>
      <c r="E46" s="773">
        <v>0.9002354222521175</v>
      </c>
      <c r="F46" s="771">
        <v>0.43540347325502454</v>
      </c>
      <c r="G46" s="774">
        <v>1.1339743334793108E-7</v>
      </c>
      <c r="H46" s="773">
        <v>0.314</v>
      </c>
      <c r="I46" s="771">
        <v>0.52</v>
      </c>
      <c r="J46" s="601">
        <v>4.1580000000000004</v>
      </c>
      <c r="K46" s="426" t="str">
        <f t="shared" si="225"/>
        <v>1613</v>
      </c>
      <c r="L46" s="327"/>
      <c r="M46" s="173">
        <f t="shared" si="242"/>
        <v>4.1580000000000004</v>
      </c>
      <c r="N46" s="21">
        <f t="shared" si="243"/>
        <v>3.8838254562456092</v>
      </c>
      <c r="O46" s="5">
        <f t="shared" si="244"/>
        <v>-2.6383585504770397</v>
      </c>
      <c r="P46" s="10">
        <f t="shared" si="245"/>
        <v>-3.5210106193680279</v>
      </c>
      <c r="Q46" s="624">
        <f t="shared" si="116"/>
        <v>325.81096595310896</v>
      </c>
      <c r="R46" s="5">
        <f t="shared" si="390"/>
        <v>4.695214160765909</v>
      </c>
      <c r="S46" s="6">
        <f t="shared" si="391"/>
        <v>-3.5210106193680279</v>
      </c>
      <c r="T46" s="4">
        <f t="shared" si="392"/>
        <v>-2.5784669293503266</v>
      </c>
      <c r="U46" s="5">
        <f t="shared" si="393"/>
        <v>-3.9238430536533206</v>
      </c>
      <c r="V46" s="8">
        <f t="shared" si="394"/>
        <v>-3.5210106193680279</v>
      </c>
      <c r="W46" s="624">
        <f t="shared" si="227"/>
        <v>236.68996582619707</v>
      </c>
      <c r="X46" s="5">
        <f t="shared" si="395"/>
        <v>4.695214160765909</v>
      </c>
      <c r="Y46" s="7">
        <f t="shared" si="226"/>
        <v>-3.5210106193680279</v>
      </c>
      <c r="Z46" s="21">
        <f t="shared" si="246"/>
        <v>-0.9002354222521175</v>
      </c>
      <c r="AA46" s="5">
        <f t="shared" si="247"/>
        <v>-0.43540347325502454</v>
      </c>
      <c r="AB46" s="5">
        <f t="shared" si="248"/>
        <v>-1.1339743334793108E-7</v>
      </c>
      <c r="AC46" s="8">
        <f t="shared" si="396"/>
        <v>1</v>
      </c>
      <c r="AD46" s="9">
        <f t="shared" si="397"/>
        <v>-0.9002354222521175</v>
      </c>
      <c r="AE46" s="5">
        <f t="shared" si="398"/>
        <v>-0.43540347325502454</v>
      </c>
      <c r="AF46" s="10">
        <f t="shared" si="399"/>
        <v>-1.1339743334793108E-7</v>
      </c>
      <c r="AG46" s="622">
        <f t="shared" si="400"/>
        <v>-89.999985077761806</v>
      </c>
      <c r="AH46" s="623">
        <f t="shared" si="401"/>
        <v>154.18902971542616</v>
      </c>
      <c r="AI46" s="624">
        <f t="shared" si="402"/>
        <v>-89.999993502805651</v>
      </c>
      <c r="AJ46" s="625">
        <f t="shared" si="403"/>
        <v>-64.189029715426926</v>
      </c>
      <c r="AK46" s="4">
        <f t="shared" si="404"/>
        <v>0.86602544158358596</v>
      </c>
      <c r="AL46" s="5">
        <f t="shared" si="405"/>
        <v>-0.49999993452993796</v>
      </c>
      <c r="AM46" s="6">
        <f t="shared" si="406"/>
        <v>-1.1339743334793108E-7</v>
      </c>
      <c r="AN46" s="612">
        <f t="shared" si="407"/>
        <v>-89.999987005609626</v>
      </c>
      <c r="AO46" s="613">
        <f t="shared" si="98"/>
        <v>29.999995668536499</v>
      </c>
      <c r="AP46" s="624">
        <f t="shared" si="408"/>
        <v>-29.999995668535867</v>
      </c>
      <c r="AQ46" s="625">
        <f t="shared" si="249"/>
        <v>2.639483123661754</v>
      </c>
      <c r="AS46" s="56">
        <f t="shared" si="411"/>
        <v>-123.31003417380293</v>
      </c>
      <c r="AT46" s="77">
        <f t="shared" si="250"/>
        <v>-3.0518520463019949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4.1580000000000004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</v>
      </c>
      <c r="B47" s="770">
        <v>0.50197894027851431</v>
      </c>
      <c r="C47" s="771">
        <v>-1.4865372490880915</v>
      </c>
      <c r="D47" s="772">
        <v>-0.20690062401228201</v>
      </c>
      <c r="E47" s="773">
        <v>2.1487447104273936E-7</v>
      </c>
      <c r="F47" s="771">
        <v>7.2559540188520875E-8</v>
      </c>
      <c r="G47" s="774">
        <v>0.99999999999997435</v>
      </c>
      <c r="H47" s="773">
        <v>0.25700000000000001</v>
      </c>
      <c r="I47" s="771">
        <v>0.41499999999999992</v>
      </c>
      <c r="J47" s="601">
        <v>4.2060000000000004</v>
      </c>
      <c r="K47" s="426" t="str">
        <f t="shared" si="225"/>
        <v>Knuckle</v>
      </c>
      <c r="L47" s="327"/>
      <c r="M47" s="173">
        <f t="shared" si="242"/>
        <v>4.2060000000000004</v>
      </c>
      <c r="N47" s="21">
        <f t="shared" si="243"/>
        <v>0.50197894027851431</v>
      </c>
      <c r="O47" s="5">
        <f t="shared" si="244"/>
        <v>-1.4865372490880915</v>
      </c>
      <c r="P47" s="10">
        <f t="shared" si="245"/>
        <v>-0.20690062401228201</v>
      </c>
      <c r="Q47" s="624">
        <f t="shared" si="116"/>
        <v>288.65897131719328</v>
      </c>
      <c r="R47" s="5">
        <f t="shared" si="390"/>
        <v>1.5690047321182721</v>
      </c>
      <c r="S47" s="6">
        <f t="shared" si="391"/>
        <v>-0.20690062401228201</v>
      </c>
      <c r="T47" s="4">
        <f t="shared" si="392"/>
        <v>-1.4786615382663146</v>
      </c>
      <c r="U47" s="5">
        <f t="shared" si="393"/>
        <v>-0.52472459887204337</v>
      </c>
      <c r="V47" s="8">
        <f t="shared" si="394"/>
        <v>-0.20690062401228201</v>
      </c>
      <c r="W47" s="624">
        <f t="shared" si="227"/>
        <v>199.53797119028138</v>
      </c>
      <c r="X47" s="5">
        <f t="shared" si="395"/>
        <v>1.5690047321182721</v>
      </c>
      <c r="Y47" s="7">
        <f t="shared" si="226"/>
        <v>-0.20690062401228201</v>
      </c>
      <c r="Z47" s="21">
        <f t="shared" si="246"/>
        <v>-2.1487447104273936E-7</v>
      </c>
      <c r="AA47" s="5">
        <f t="shared" si="247"/>
        <v>-7.2559540188520875E-8</v>
      </c>
      <c r="AB47" s="5">
        <f t="shared" si="248"/>
        <v>-0.99999999999997435</v>
      </c>
      <c r="AC47" s="8">
        <f t="shared" si="396"/>
        <v>1</v>
      </c>
      <c r="AD47" s="9">
        <f t="shared" si="397"/>
        <v>-2.1487447104273936E-7</v>
      </c>
      <c r="AE47" s="5">
        <f t="shared" si="398"/>
        <v>-7.2559540188520875E-8</v>
      </c>
      <c r="AF47" s="10">
        <f t="shared" si="399"/>
        <v>-0.99999999999997435</v>
      </c>
      <c r="AG47" s="622">
        <f t="shared" si="400"/>
        <v>-4.1573554162122269E-6</v>
      </c>
      <c r="AH47" s="623">
        <f t="shared" si="401"/>
        <v>90.000012311400326</v>
      </c>
      <c r="AI47" s="624">
        <f t="shared" si="402"/>
        <v>-1.2976235990044085E-5</v>
      </c>
      <c r="AJ47" s="625">
        <f t="shared" si="403"/>
        <v>-71.34102868280668</v>
      </c>
      <c r="AK47" s="4">
        <f t="shared" si="404"/>
        <v>2.2679489672006867E-7</v>
      </c>
      <c r="AL47" s="5">
        <f t="shared" si="405"/>
        <v>2.2499312661442353E-22</v>
      </c>
      <c r="AM47" s="6">
        <f t="shared" si="406"/>
        <v>-0.99999999999997435</v>
      </c>
      <c r="AN47" s="612">
        <f t="shared" si="407"/>
        <v>1.2891156574459356E-20</v>
      </c>
      <c r="AO47" s="613">
        <f t="shared" si="98"/>
        <v>0</v>
      </c>
      <c r="AP47" s="624">
        <f t="shared" si="408"/>
        <v>5.6840593685714579E-14</v>
      </c>
      <c r="AQ47" s="625">
        <f t="shared" si="249"/>
        <v>7.8546132952697363</v>
      </c>
      <c r="AS47" s="56">
        <f t="shared" si="411"/>
        <v>-160.46202880971862</v>
      </c>
      <c r="AT47" s="77">
        <f t="shared" si="250"/>
        <v>0.40260992878943225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>
        <f>IFERROR(IF($IU47="","",IF($IU47&lt;(((Settings!$C$19/2)*-1)*$IE$8),"",1)),"")</f>
        <v>1</v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4.2060000000000004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4.1059999999999999</v>
      </c>
      <c r="II47" s="800" cm="1">
        <f t="array" ref="II47">IFERROR(IF($IH47&lt;1,$IH47+LARGE((IF($M$9:$M$150="",0,$M$9:$M$150)-MOD(IF($M$9:$M$150="",0,$M$9:$M$150),1)),1),$IH47),"")</f>
        <v>4.1059999999999999</v>
      </c>
      <c r="IJ47" s="839" t="str">
        <f t="shared" si="386"/>
        <v>1613</v>
      </c>
      <c r="IK47" s="839" t="str">
        <f t="shared" si="387"/>
        <v>Knuckle</v>
      </c>
      <c r="IL47" s="791">
        <f t="shared" si="228"/>
        <v>41.332994032254078</v>
      </c>
      <c r="IM47" s="830">
        <v>1.9196650059268999E-2</v>
      </c>
      <c r="IN47" s="5">
        <f t="shared" si="229"/>
        <v>0.16</v>
      </c>
      <c r="IO47" s="852">
        <v>80</v>
      </c>
      <c r="IP47" s="9">
        <f t="shared" si="230"/>
        <v>-1.5802047658975737</v>
      </c>
      <c r="IQ47" s="5">
        <f t="shared" si="231"/>
        <v>-0.23180069911090848</v>
      </c>
      <c r="IR47" s="5">
        <f t="shared" si="388"/>
        <v>0.314</v>
      </c>
      <c r="IS47" s="5">
        <f t="shared" si="232"/>
        <v>0.30329655495675112</v>
      </c>
      <c r="IT47" s="791">
        <f t="shared" si="233"/>
        <v>-13.841034347318764</v>
      </c>
      <c r="IU47" s="9">
        <f t="shared" si="234"/>
        <v>-1.5690047321182721</v>
      </c>
      <c r="IV47" s="5">
        <f t="shared" si="235"/>
        <v>-0.20690062401228201</v>
      </c>
      <c r="IW47" s="5">
        <f t="shared" si="389"/>
        <v>0.25700000000000001</v>
      </c>
      <c r="IX47" s="5">
        <f t="shared" si="236"/>
        <v>0.25700000000000001</v>
      </c>
      <c r="IY47" s="833">
        <f t="shared" si="237"/>
        <v>-1.2891156574459356E-20</v>
      </c>
    </row>
    <row r="48" spans="1:259" ht="15" customHeight="1" x14ac:dyDescent="0.25">
      <c r="A48" s="84">
        <f t="shared" si="82"/>
        <v>0</v>
      </c>
      <c r="B48" s="770">
        <v>1.2568247262710237</v>
      </c>
      <c r="C48" s="771">
        <v>-1.9708705730882907</v>
      </c>
      <c r="D48" s="772">
        <v>-3.6300109481130119E-2</v>
      </c>
      <c r="E48" s="773">
        <v>7.0461254974418935E-2</v>
      </c>
      <c r="F48" s="771">
        <v>-0.11049232318121757</v>
      </c>
      <c r="G48" s="774">
        <v>0.99137614358297299</v>
      </c>
      <c r="H48" s="773">
        <v>0.25700000000000001</v>
      </c>
      <c r="I48" s="771">
        <v>0.41499999999999992</v>
      </c>
      <c r="J48" s="601">
        <v>4.2089999999999996</v>
      </c>
      <c r="K48" s="426" t="str">
        <f t="shared" si="225"/>
        <v>Knuckle</v>
      </c>
      <c r="L48" s="327"/>
      <c r="M48" s="173">
        <f t="shared" si="242"/>
        <v>4.2089999999999996</v>
      </c>
      <c r="N48" s="21">
        <f t="shared" si="243"/>
        <v>1.2568247262710237</v>
      </c>
      <c r="O48" s="5">
        <f t="shared" si="244"/>
        <v>-1.9708705730882907</v>
      </c>
      <c r="P48" s="10">
        <f t="shared" si="245"/>
        <v>-3.6300109481130119E-2</v>
      </c>
      <c r="Q48" s="624">
        <f t="shared" si="116"/>
        <v>302.52566931508983</v>
      </c>
      <c r="R48" s="5">
        <f t="shared" si="83"/>
        <v>2.3375070499212618</v>
      </c>
      <c r="S48" s="6">
        <f t="shared" si="84"/>
        <v>-3.6300109481130119E-2</v>
      </c>
      <c r="T48" s="4">
        <f t="shared" si="85"/>
        <v>-1.9513578985565165</v>
      </c>
      <c r="U48" s="5">
        <f t="shared" si="86"/>
        <v>-1.2869116365052791</v>
      </c>
      <c r="V48" s="8">
        <f t="shared" si="117"/>
        <v>-3.6300109481130119E-2</v>
      </c>
      <c r="W48" s="624">
        <f t="shared" si="227"/>
        <v>213.40466918817793</v>
      </c>
      <c r="X48" s="5">
        <f t="shared" si="87"/>
        <v>2.3375070499212618</v>
      </c>
      <c r="Y48" s="7">
        <f t="shared" si="226"/>
        <v>-3.6300109481130119E-2</v>
      </c>
      <c r="Z48" s="21">
        <f t="shared" si="246"/>
        <v>-7.0461254974418935E-2</v>
      </c>
      <c r="AA48" s="5">
        <f t="shared" si="247"/>
        <v>0.11049232318121757</v>
      </c>
      <c r="AB48" s="5">
        <f t="shared" si="248"/>
        <v>-0.99137614358297299</v>
      </c>
      <c r="AC48" s="8">
        <f t="shared" si="88"/>
        <v>1</v>
      </c>
      <c r="AD48" s="9">
        <f t="shared" si="118"/>
        <v>-7.0461254974418935E-2</v>
      </c>
      <c r="AE48" s="5">
        <f t="shared" si="89"/>
        <v>0.11049232318121757</v>
      </c>
      <c r="AF48" s="10">
        <f t="shared" si="90"/>
        <v>-0.99137614358297299</v>
      </c>
      <c r="AG48" s="622">
        <f t="shared" si="91"/>
        <v>6.3595681999517844</v>
      </c>
      <c r="AH48" s="623">
        <f t="shared" si="92"/>
        <v>94.040480599570941</v>
      </c>
      <c r="AI48" s="624">
        <f t="shared" si="93"/>
        <v>-7.5301042915829797</v>
      </c>
      <c r="AJ48" s="625">
        <f t="shared" si="94"/>
        <v>-147.47423152674045</v>
      </c>
      <c r="AK48" s="4">
        <f t="shared" si="213"/>
        <v>2.2679489675853093E-7</v>
      </c>
      <c r="AL48" s="5">
        <f t="shared" si="95"/>
        <v>-0.13104709815368396</v>
      </c>
      <c r="AM48" s="6">
        <f t="shared" si="96"/>
        <v>-0.99137614358297299</v>
      </c>
      <c r="AN48" s="612">
        <f t="shared" si="97"/>
        <v>-7.5301042915718819</v>
      </c>
      <c r="AO48" s="613">
        <f t="shared" si="98"/>
        <v>0</v>
      </c>
      <c r="AP48" s="624">
        <f t="shared" si="99"/>
        <v>-89.999900841830296</v>
      </c>
      <c r="AQ48" s="625">
        <f t="shared" si="249"/>
        <v>5.290442948717021</v>
      </c>
      <c r="AS48" s="56">
        <f t="shared" si="411"/>
        <v>-146.59533081182207</v>
      </c>
      <c r="AT48" s="77">
        <f t="shared" si="250"/>
        <v>0.52082513977297495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>
        <f>IFERROR(IF($IU48="","",IF($IU48&lt;(((Settings!$C$19/2)*-1)*$IE$8),"",1)),"")</f>
        <v>1</v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4.2089999999999996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4.109</v>
      </c>
      <c r="II48" s="800" cm="1">
        <f t="array" ref="II48">IFERROR(IF($IH48&lt;1,$IH48+LARGE((IF($M$9:$M$150="",0,$M$9:$M$150)-MOD(IF($M$9:$M$150="",0,$M$9:$M$150),1)),1),$IH48),"")</f>
        <v>4.109</v>
      </c>
      <c r="IJ48" s="839" t="str">
        <f t="shared" si="386"/>
        <v>1613</v>
      </c>
      <c r="IK48" s="839" t="str">
        <f t="shared" si="387"/>
        <v>Knuckle</v>
      </c>
      <c r="IL48" s="791">
        <f t="shared" si="228"/>
        <v>26.905296115355895</v>
      </c>
      <c r="IM48" s="830">
        <v>1.26410678776573E-2</v>
      </c>
      <c r="IN48" s="5">
        <f t="shared" si="229"/>
        <v>0.16</v>
      </c>
      <c r="IO48" s="852">
        <v>80</v>
      </c>
      <c r="IP48" s="9">
        <f t="shared" si="230"/>
        <v>-2.3314070315236073</v>
      </c>
      <c r="IQ48" s="5">
        <f t="shared" si="231"/>
        <v>-6.9100208406228561E-2</v>
      </c>
      <c r="IR48" s="5">
        <f t="shared" si="388"/>
        <v>0.314</v>
      </c>
      <c r="IS48" s="5">
        <f t="shared" si="232"/>
        <v>0.30298342255120903</v>
      </c>
      <c r="IT48" s="791">
        <f t="shared" si="233"/>
        <v>7.5301057051960338</v>
      </c>
      <c r="IU48" s="9">
        <f t="shared" si="234"/>
        <v>-2.3375070499212618</v>
      </c>
      <c r="IV48" s="5">
        <f t="shared" si="235"/>
        <v>-3.6300109481130119E-2</v>
      </c>
      <c r="IW48" s="5">
        <f t="shared" si="389"/>
        <v>0.25700000000000001</v>
      </c>
      <c r="IX48" s="5">
        <f t="shared" si="236"/>
        <v>0.25700000000000001</v>
      </c>
      <c r="IY48" s="833">
        <f t="shared" si="237"/>
        <v>7.5301042915718819</v>
      </c>
    </row>
    <row r="49" spans="1:259" ht="15" customHeight="1" x14ac:dyDescent="0.25">
      <c r="A49" s="84">
        <f t="shared" si="82"/>
        <v>0.02</v>
      </c>
      <c r="B49" s="770">
        <v>1.7070362883323622</v>
      </c>
      <c r="C49" s="771">
        <v>-3.2810077524791259</v>
      </c>
      <c r="D49" s="772">
        <v>-0.5837017604445095</v>
      </c>
      <c r="E49" s="773">
        <v>0.96369581233645152</v>
      </c>
      <c r="F49" s="771">
        <v>0.22930505471804369</v>
      </c>
      <c r="G49" s="774">
        <v>0.13678294179444231</v>
      </c>
      <c r="H49" s="773">
        <v>0.314</v>
      </c>
      <c r="I49" s="771">
        <v>0.52</v>
      </c>
      <c r="J49" s="601">
        <v>5.1210000000000004</v>
      </c>
      <c r="K49" s="426" t="str">
        <f t="shared" si="225"/>
        <v>1613</v>
      </c>
      <c r="L49" s="327"/>
      <c r="M49" s="173">
        <f t="shared" si="242"/>
        <v>5.1210000000000004</v>
      </c>
      <c r="N49" s="21">
        <f t="shared" si="243"/>
        <v>1.7070362883323622</v>
      </c>
      <c r="O49" s="5">
        <f t="shared" si="244"/>
        <v>-3.2810077524791259</v>
      </c>
      <c r="P49" s="10">
        <f t="shared" si="245"/>
        <v>-0.5837017604445095</v>
      </c>
      <c r="Q49" s="624">
        <f t="shared" si="116"/>
        <v>297.48697004258798</v>
      </c>
      <c r="R49" s="5">
        <f t="shared" si="83"/>
        <v>3.6985111547096428</v>
      </c>
      <c r="S49" s="6">
        <f t="shared" si="84"/>
        <v>-0.5837017604445095</v>
      </c>
      <c r="T49" s="4">
        <f t="shared" si="85"/>
        <v>-3.2544342805373714</v>
      </c>
      <c r="U49" s="5">
        <f t="shared" si="86"/>
        <v>-1.7571688237545242</v>
      </c>
      <c r="V49" s="8">
        <f t="shared" si="117"/>
        <v>-0.5837017604445095</v>
      </c>
      <c r="W49" s="624">
        <f t="shared" si="227"/>
        <v>208.36596991567609</v>
      </c>
      <c r="X49" s="5">
        <f t="shared" si="87"/>
        <v>3.6985111547096428</v>
      </c>
      <c r="Y49" s="7">
        <f t="shared" si="226"/>
        <v>-0.5837017604445095</v>
      </c>
      <c r="Z49" s="21">
        <f t="shared" si="246"/>
        <v>-0.96369581233645152</v>
      </c>
      <c r="AA49" s="5">
        <f t="shared" si="247"/>
        <v>-0.22930505471804369</v>
      </c>
      <c r="AB49" s="5">
        <f t="shared" si="248"/>
        <v>-0.13678294179444231</v>
      </c>
      <c r="AC49" s="8">
        <f t="shared" si="88"/>
        <v>1</v>
      </c>
      <c r="AD49" s="9">
        <f t="shared" si="118"/>
        <v>-0.96369581233645152</v>
      </c>
      <c r="AE49" s="5">
        <f t="shared" si="89"/>
        <v>-0.22930505471804369</v>
      </c>
      <c r="AF49" s="10">
        <f t="shared" si="90"/>
        <v>-0.13678294179444231</v>
      </c>
      <c r="AG49" s="622">
        <f t="shared" si="91"/>
        <v>-59.183467121883552</v>
      </c>
      <c r="AH49" s="623">
        <f t="shared" si="92"/>
        <v>164.5140191502326</v>
      </c>
      <c r="AI49" s="624">
        <f t="shared" si="93"/>
        <v>-82.138268566323845</v>
      </c>
      <c r="AJ49" s="625">
        <f t="shared" si="94"/>
        <v>-76.615735682044473</v>
      </c>
      <c r="AK49" s="4">
        <f t="shared" si="213"/>
        <v>0.96074483276454115</v>
      </c>
      <c r="AL49" s="5">
        <f t="shared" si="95"/>
        <v>-0.24137065511427053</v>
      </c>
      <c r="AM49" s="6">
        <f t="shared" si="96"/>
        <v>-0.13678294179444231</v>
      </c>
      <c r="AN49" s="612">
        <f t="shared" si="97"/>
        <v>-60.460097049809526</v>
      </c>
      <c r="AO49" s="613">
        <f t="shared" si="98"/>
        <v>16.107089598517206</v>
      </c>
      <c r="AP49" s="624">
        <f t="shared" si="99"/>
        <v>-14.102705724632441</v>
      </c>
      <c r="AQ49" s="625">
        <f t="shared" si="249"/>
        <v>3.3493431935952862</v>
      </c>
      <c r="AS49" s="56">
        <f t="shared" si="411"/>
        <v>-151.63403008432391</v>
      </c>
      <c r="AT49" s="77">
        <f t="shared" si="250"/>
        <v>-7.5414250498418989E-3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5.1210000000000004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1.8716266973115723</v>
      </c>
      <c r="C50" s="771">
        <v>-3.7174402475573269</v>
      </c>
      <c r="D50" s="772">
        <v>-1.2005036207189195</v>
      </c>
      <c r="E50" s="773">
        <v>0.98031277148159346</v>
      </c>
      <c r="F50" s="771">
        <v>0.17473057709498846</v>
      </c>
      <c r="G50" s="774">
        <v>9.1957030716141974E-2</v>
      </c>
      <c r="H50" s="773">
        <v>0.314</v>
      </c>
      <c r="I50" s="771">
        <v>0.52</v>
      </c>
      <c r="J50" s="601">
        <v>5.13</v>
      </c>
      <c r="K50" s="426" t="str">
        <f t="shared" si="225"/>
        <v>1613</v>
      </c>
      <c r="L50" s="327"/>
      <c r="M50" s="173">
        <f t="shared" si="242"/>
        <v>5.13</v>
      </c>
      <c r="N50" s="21">
        <f t="shared" si="243"/>
        <v>1.8716266973115723</v>
      </c>
      <c r="O50" s="5">
        <f t="shared" si="244"/>
        <v>-3.7174402475573269</v>
      </c>
      <c r="P50" s="10">
        <f t="shared" si="245"/>
        <v>-1.2005036207189195</v>
      </c>
      <c r="Q50" s="624">
        <f t="shared" si="116"/>
        <v>296.72397015275158</v>
      </c>
      <c r="R50" s="5">
        <f t="shared" si="83"/>
        <v>4.1620125526298581</v>
      </c>
      <c r="S50" s="6">
        <f t="shared" si="84"/>
        <v>-1.2005036207189195</v>
      </c>
      <c r="T50" s="4">
        <f t="shared" si="85"/>
        <v>-3.6882904621317398</v>
      </c>
      <c r="U50" s="5">
        <f t="shared" si="86"/>
        <v>-1.9284351052593254</v>
      </c>
      <c r="V50" s="8">
        <f t="shared" si="117"/>
        <v>-1.2005036207189195</v>
      </c>
      <c r="W50" s="624">
        <f t="shared" si="227"/>
        <v>207.60297002583968</v>
      </c>
      <c r="X50" s="5">
        <f t="shared" si="87"/>
        <v>4.1620125526298581</v>
      </c>
      <c r="Y50" s="7">
        <f t="shared" si="226"/>
        <v>-1.2005036207189195</v>
      </c>
      <c r="Z50" s="21">
        <f t="shared" si="246"/>
        <v>-0.98031277148159346</v>
      </c>
      <c r="AA50" s="5">
        <f t="shared" si="247"/>
        <v>-0.17473057709498846</v>
      </c>
      <c r="AB50" s="5">
        <f t="shared" si="248"/>
        <v>-9.1957030716141974E-2</v>
      </c>
      <c r="AC50" s="8">
        <f t="shared" si="88"/>
        <v>1</v>
      </c>
      <c r="AD50" s="9">
        <f t="shared" si="118"/>
        <v>-0.98031277148159346</v>
      </c>
      <c r="AE50" s="5">
        <f t="shared" si="89"/>
        <v>-0.17473057709498846</v>
      </c>
      <c r="AF50" s="10">
        <f t="shared" si="90"/>
        <v>-9.1957030716141974E-2</v>
      </c>
      <c r="AG50" s="622">
        <f t="shared" si="91"/>
        <v>-62.243110749226489</v>
      </c>
      <c r="AH50" s="623">
        <f t="shared" si="92"/>
        <v>168.61206415900014</v>
      </c>
      <c r="AI50" s="624">
        <f t="shared" si="93"/>
        <v>-84.723796335983451</v>
      </c>
      <c r="AJ50" s="625">
        <f t="shared" si="94"/>
        <v>-79.893753071607904</v>
      </c>
      <c r="AK50" s="4">
        <f t="shared" si="213"/>
        <v>0.95417409597153668</v>
      </c>
      <c r="AL50" s="5">
        <f t="shared" si="95"/>
        <v>-0.28477306592929619</v>
      </c>
      <c r="AM50" s="6">
        <f t="shared" si="96"/>
        <v>-9.1957030716141974E-2</v>
      </c>
      <c r="AN50" s="612">
        <f t="shared" si="97"/>
        <v>-72.104038067267183</v>
      </c>
      <c r="AO50" s="613">
        <f t="shared" si="98"/>
        <v>17.412685577837287</v>
      </c>
      <c r="AP50" s="624">
        <f t="shared" si="99"/>
        <v>-16.617723224359477</v>
      </c>
      <c r="AQ50" s="625">
        <f t="shared" si="249"/>
        <v>2.9770573874749968</v>
      </c>
      <c r="AS50" s="56">
        <f t="shared" si="411"/>
        <v>-152.39702997416032</v>
      </c>
      <c r="AT50" s="77">
        <f t="shared" si="250"/>
        <v>-0.621460841295981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5.13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1.9701119903927489</v>
      </c>
      <c r="C51" s="771">
        <v>-4.0006283331126244</v>
      </c>
      <c r="D51" s="772">
        <v>-1.9135057711334058</v>
      </c>
      <c r="E51" s="773">
        <v>0.98989087946098875</v>
      </c>
      <c r="F51" s="771">
        <v>0.13544513176653075</v>
      </c>
      <c r="G51" s="774">
        <v>4.2079247149842222E-2</v>
      </c>
      <c r="H51" s="773">
        <v>0.314</v>
      </c>
      <c r="I51" s="771">
        <v>0.52</v>
      </c>
      <c r="J51" s="601">
        <v>5.1390000000000002</v>
      </c>
      <c r="K51" s="426" t="str">
        <f t="shared" si="225"/>
        <v>1613</v>
      </c>
      <c r="L51" s="327"/>
      <c r="M51" s="173">
        <f t="shared" si="242"/>
        <v>5.1390000000000002</v>
      </c>
      <c r="N51" s="21">
        <f t="shared" si="243"/>
        <v>1.9701119903927489</v>
      </c>
      <c r="O51" s="5">
        <f t="shared" si="244"/>
        <v>-4.0006283331126244</v>
      </c>
      <c r="P51" s="10">
        <f t="shared" si="245"/>
        <v>-1.9135057711334058</v>
      </c>
      <c r="Q51" s="624">
        <f t="shared" si="116"/>
        <v>296.21797022580893</v>
      </c>
      <c r="R51" s="5">
        <f t="shared" si="83"/>
        <v>4.4594134495909632</v>
      </c>
      <c r="S51" s="6">
        <f t="shared" si="84"/>
        <v>-1.9135057711334058</v>
      </c>
      <c r="T51" s="4">
        <f t="shared" si="85"/>
        <v>-3.9699343756537107</v>
      </c>
      <c r="U51" s="5">
        <f t="shared" si="86"/>
        <v>-2.0312531519718946</v>
      </c>
      <c r="V51" s="8">
        <f t="shared" si="117"/>
        <v>-1.9135057711334058</v>
      </c>
      <c r="W51" s="624">
        <f t="shared" si="227"/>
        <v>207.09697009889703</v>
      </c>
      <c r="X51" s="5">
        <f t="shared" si="87"/>
        <v>4.4594134495909632</v>
      </c>
      <c r="Y51" s="7">
        <f t="shared" si="226"/>
        <v>-1.9135057711334058</v>
      </c>
      <c r="Z51" s="21">
        <f t="shared" si="246"/>
        <v>-0.98989087946098875</v>
      </c>
      <c r="AA51" s="5">
        <f t="shared" si="247"/>
        <v>-0.13544513176653075</v>
      </c>
      <c r="AB51" s="5">
        <f t="shared" si="248"/>
        <v>-4.2079247149842222E-2</v>
      </c>
      <c r="AC51" s="8">
        <f t="shared" si="88"/>
        <v>1</v>
      </c>
      <c r="AD51" s="9">
        <f t="shared" si="118"/>
        <v>-0.98989087946098875</v>
      </c>
      <c r="AE51" s="5">
        <f t="shared" si="89"/>
        <v>-0.13544513176653075</v>
      </c>
      <c r="AF51" s="10">
        <f t="shared" si="90"/>
        <v>-4.2079247149842222E-2</v>
      </c>
      <c r="AG51" s="622">
        <f t="shared" si="91"/>
        <v>-72.74135193646444</v>
      </c>
      <c r="AH51" s="623">
        <f t="shared" si="92"/>
        <v>171.84618489942306</v>
      </c>
      <c r="AI51" s="624">
        <f t="shared" si="93"/>
        <v>-87.588324665113902</v>
      </c>
      <c r="AJ51" s="625">
        <f t="shared" si="94"/>
        <v>-82.20869577933064</v>
      </c>
      <c r="AK51" s="4">
        <f t="shared" si="213"/>
        <v>0.9478886909628651</v>
      </c>
      <c r="AL51" s="5">
        <f t="shared" si="95"/>
        <v>-0.31581064976344397</v>
      </c>
      <c r="AM51" s="6">
        <f t="shared" si="96"/>
        <v>-4.2079247149842222E-2</v>
      </c>
      <c r="AN51" s="612">
        <f t="shared" si="97"/>
        <v>-82.410497489270881</v>
      </c>
      <c r="AO51" s="613">
        <f t="shared" si="98"/>
        <v>18.578381390866671</v>
      </c>
      <c r="AP51" s="624">
        <f t="shared" si="99"/>
        <v>-18.426666005139566</v>
      </c>
      <c r="AQ51" s="625">
        <f t="shared" si="249"/>
        <v>2.7788379722243399</v>
      </c>
      <c r="AS51" s="56">
        <f t="shared" si="411"/>
        <v>-152.90302990110297</v>
      </c>
      <c r="AT51" s="77">
        <f t="shared" si="250"/>
        <v>-1.3325514364309061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5.1390000000000002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2.019992791460187</v>
      </c>
      <c r="C52" s="771">
        <v>-4.1513463573386957</v>
      </c>
      <c r="D52" s="772">
        <v>-2.6705080542522919</v>
      </c>
      <c r="E52" s="773">
        <v>0.99693302968320885</v>
      </c>
      <c r="F52" s="771">
        <v>7.8235644629502638E-2</v>
      </c>
      <c r="G52" s="774">
        <v>1.9282728190806973E-3</v>
      </c>
      <c r="H52" s="773">
        <v>0.314</v>
      </c>
      <c r="I52" s="771">
        <v>0.52</v>
      </c>
      <c r="J52" s="601">
        <v>5.1479999999999997</v>
      </c>
      <c r="K52" s="426" t="str">
        <f t="shared" si="225"/>
        <v>1613</v>
      </c>
      <c r="L52" s="327"/>
      <c r="M52" s="173">
        <f t="shared" si="242"/>
        <v>5.1479999999999997</v>
      </c>
      <c r="N52" s="21">
        <f t="shared" si="243"/>
        <v>2.019992791460187</v>
      </c>
      <c r="O52" s="5">
        <f t="shared" si="244"/>
        <v>-4.1513463573386957</v>
      </c>
      <c r="P52" s="10">
        <f t="shared" si="245"/>
        <v>-2.6705080542522919</v>
      </c>
      <c r="Q52" s="624">
        <f t="shared" si="116"/>
        <v>295.94697026493645</v>
      </c>
      <c r="R52" s="5">
        <f t="shared" si="83"/>
        <v>4.6167139240091943</v>
      </c>
      <c r="S52" s="6">
        <f t="shared" si="84"/>
        <v>-2.6705080542522919</v>
      </c>
      <c r="T52" s="4">
        <f t="shared" si="85"/>
        <v>-4.119869450348201</v>
      </c>
      <c r="U52" s="5">
        <f t="shared" si="86"/>
        <v>-2.0834402242992196</v>
      </c>
      <c r="V52" s="8">
        <f t="shared" si="117"/>
        <v>-2.6705080542522919</v>
      </c>
      <c r="W52" s="624">
        <f t="shared" si="227"/>
        <v>206.82597013802456</v>
      </c>
      <c r="X52" s="5">
        <f t="shared" si="87"/>
        <v>4.6167139240091943</v>
      </c>
      <c r="Y52" s="7">
        <f t="shared" si="226"/>
        <v>-2.6705080542522919</v>
      </c>
      <c r="Z52" s="21">
        <f t="shared" si="246"/>
        <v>-0.99693302968320885</v>
      </c>
      <c r="AA52" s="5">
        <f t="shared" si="247"/>
        <v>-7.8235644629502638E-2</v>
      </c>
      <c r="AB52" s="5">
        <f t="shared" si="248"/>
        <v>-1.9282728190806973E-3</v>
      </c>
      <c r="AC52" s="8">
        <f t="shared" si="88"/>
        <v>1</v>
      </c>
      <c r="AD52" s="9">
        <f t="shared" si="118"/>
        <v>-0.99693302968320885</v>
      </c>
      <c r="AE52" s="5">
        <f t="shared" si="89"/>
        <v>-7.8235644629502638E-2</v>
      </c>
      <c r="AF52" s="10">
        <f t="shared" si="90"/>
        <v>-1.9282728190806973E-3</v>
      </c>
      <c r="AG52" s="622">
        <f t="shared" si="91"/>
        <v>-88.5881175858635</v>
      </c>
      <c r="AH52" s="623">
        <f t="shared" si="92"/>
        <v>175.51147677770257</v>
      </c>
      <c r="AI52" s="624">
        <f t="shared" si="93"/>
        <v>-89.889518037250468</v>
      </c>
      <c r="AJ52" s="625">
        <f t="shared" si="94"/>
        <v>-85.512833921237402</v>
      </c>
      <c r="AK52" s="4">
        <f t="shared" si="213"/>
        <v>0.93067272744108154</v>
      </c>
      <c r="AL52" s="5">
        <f t="shared" si="95"/>
        <v>-0.36584772264060078</v>
      </c>
      <c r="AM52" s="6">
        <f t="shared" si="96"/>
        <v>-1.9282728190806973E-3</v>
      </c>
      <c r="AN52" s="612">
        <f t="shared" si="97"/>
        <v>-89.698014052319451</v>
      </c>
      <c r="AO52" s="613">
        <f t="shared" si="98"/>
        <v>21.460075157925282</v>
      </c>
      <c r="AP52" s="624">
        <f t="shared" si="99"/>
        <v>-21.459804186173848</v>
      </c>
      <c r="AQ52" s="625">
        <f t="shared" si="249"/>
        <v>2.6842984455902017</v>
      </c>
      <c r="AS52" s="56">
        <f t="shared" si="411"/>
        <v>-153.17402986197544</v>
      </c>
      <c r="AT52" s="77">
        <f t="shared" si="250"/>
        <v>-2.0885299419198295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5.1479999999999997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2.0443125532736177</v>
      </c>
      <c r="C53" s="771">
        <v>-4.2267981025812702</v>
      </c>
      <c r="D53" s="772">
        <v>-3.4348103593880448</v>
      </c>
      <c r="E53" s="773">
        <v>0.99732848720670142</v>
      </c>
      <c r="F53" s="771">
        <v>-7.3047166994892318E-2</v>
      </c>
      <c r="G53" s="774">
        <v>1.133974332763369E-7</v>
      </c>
      <c r="H53" s="773">
        <v>0.314</v>
      </c>
      <c r="I53" s="771">
        <v>0.52</v>
      </c>
      <c r="J53" s="601">
        <v>5.157</v>
      </c>
      <c r="K53" s="426" t="str">
        <f t="shared" si="225"/>
        <v>1613</v>
      </c>
      <c r="L53" s="327"/>
      <c r="M53" s="173">
        <f t="shared" si="242"/>
        <v>5.157</v>
      </c>
      <c r="N53" s="21">
        <f t="shared" si="243"/>
        <v>2.0443125532736177</v>
      </c>
      <c r="O53" s="5">
        <f t="shared" si="244"/>
        <v>-4.2267981025812702</v>
      </c>
      <c r="P53" s="10">
        <f t="shared" si="245"/>
        <v>-3.4348103593880448</v>
      </c>
      <c r="Q53" s="624">
        <f t="shared" si="116"/>
        <v>295.81097028457242</v>
      </c>
      <c r="R53" s="5">
        <f t="shared" ref="R53:R58" si="415">IF(M53="","",SQRT(N53^2+O53^2))</f>
        <v>4.695214160765909</v>
      </c>
      <c r="S53" s="6">
        <f t="shared" ref="S53:S58" si="416">IF(M53="","",P53)</f>
        <v>-3.4348103593880448</v>
      </c>
      <c r="T53" s="4">
        <f t="shared" ref="T53:T58" si="417">IF(M53="","",X53*COS(RADIANS(W53)))</f>
        <v>-4.1949392310317544</v>
      </c>
      <c r="U53" s="5">
        <f t="shared" ref="U53:U58" si="418">IF(M53="","",X53*SIN(RADIANS(W53)))</f>
        <v>-2.1089146173819926</v>
      </c>
      <c r="V53" s="8">
        <f t="shared" ref="V53:V58" si="419">IF(M53="","",Y53)</f>
        <v>-3.4348103593880448</v>
      </c>
      <c r="W53" s="624">
        <f t="shared" si="227"/>
        <v>206.68997015766053</v>
      </c>
      <c r="X53" s="5">
        <f t="shared" ref="X53:X58" si="420">IF(M53="","",R53)</f>
        <v>4.695214160765909</v>
      </c>
      <c r="Y53" s="7">
        <f t="shared" si="226"/>
        <v>-3.4348103593880448</v>
      </c>
      <c r="Z53" s="21">
        <f t="shared" si="246"/>
        <v>-0.99732848720670142</v>
      </c>
      <c r="AA53" s="5">
        <f t="shared" si="247"/>
        <v>7.3047166994892318E-2</v>
      </c>
      <c r="AB53" s="5">
        <f t="shared" si="248"/>
        <v>-1.133974332763369E-7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-0.99732848720670142</v>
      </c>
      <c r="AE53" s="5">
        <f t="shared" ref="AE53:AE58" si="423">IF(M53="","",AA53*(1/SQRT(Z53^2+AA53^2+AB53^2)))</f>
        <v>7.3047166994892318E-2</v>
      </c>
      <c r="AF53" s="10">
        <f t="shared" ref="AF53:AF58" si="424">IF(M53="","",AB53*(1/SQRT(Z53^2+AA53^2+AB53^2)))</f>
        <v>-1.133974332763369E-7</v>
      </c>
      <c r="AG53" s="622">
        <f t="shared" ref="AG53:AG58" si="425">IF(M53="","",DEGREES(ATAN2(-AF53,AE53)))</f>
        <v>89.999911054807441</v>
      </c>
      <c r="AH53" s="623">
        <f t="shared" ref="AH53:AH58" si="426">IF(M53="","",DEGREES(ACOS(AD53)))</f>
        <v>175.81097461603156</v>
      </c>
      <c r="AI53" s="624">
        <f t="shared" ref="AI53:AI58" si="427">IF(M53="","",DEGREES(-ACOS(-AF53)))</f>
        <v>-89.999993502805665</v>
      </c>
      <c r="AJ53" s="625">
        <f t="shared" ref="AJ53:AJ58" si="428">IF(M53="","",DEGREES(ATAN2(-AE53,AD53)))</f>
        <v>-94.189025383963468</v>
      </c>
      <c r="AK53" s="4">
        <f t="shared" ref="AK53:AK58" si="429">IF(M53="","",(COS(RADIANS((90-$Q$8)-W53))*AD53)+(-SIN(RADIANS((90-$Q$8)-W53))*AE53))</f>
        <v>0.86602544158358574</v>
      </c>
      <c r="AL53" s="5">
        <f t="shared" ref="AL53:AL58" si="430">IF(M53="","",(SIN(RADIANS((90-$Q$8)-W53))*AD53)+(COS(RADIANS((90-$Q$8)-W53))*AE53))</f>
        <v>-0.49999993452993846</v>
      </c>
      <c r="AM53" s="6">
        <f t="shared" ref="AM53:AM58" si="431">IF(M53="","",AF53)</f>
        <v>-1.133974332763369E-7</v>
      </c>
      <c r="AN53" s="612">
        <f t="shared" ref="AN53:AN58" si="432">IF(M53="","",DEGREES(ATAN2(-AM53,AL53)))</f>
        <v>-89.999987005609626</v>
      </c>
      <c r="AO53" s="613">
        <f t="shared" si="98"/>
        <v>29.99999566853651</v>
      </c>
      <c r="AP53" s="624">
        <f t="shared" ref="AP53:AP58" si="433">IF(M53="","",DEGREES(ATAN2(AK53,AL53)))</f>
        <v>-29.999995668535899</v>
      </c>
      <c r="AQ53" s="625">
        <f t="shared" si="249"/>
        <v>2.639483123661754</v>
      </c>
      <c r="AS53" s="56">
        <f t="shared" si="411"/>
        <v>-153.31002984233947</v>
      </c>
      <c r="AT53" s="77">
        <f t="shared" si="250"/>
        <v>-2.8523184693519852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5.157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-0.58628604456928057</v>
      </c>
      <c r="C54" s="771">
        <v>-2.9092207014035858</v>
      </c>
      <c r="D54" s="772">
        <v>-0.14650044184533259</v>
      </c>
      <c r="E54" s="773">
        <v>0.91698720742004802</v>
      </c>
      <c r="F54" s="771">
        <v>-0.32581252469988831</v>
      </c>
      <c r="G54" s="774">
        <v>0.23017528141976204</v>
      </c>
      <c r="H54" s="773">
        <v>0.314</v>
      </c>
      <c r="I54" s="771">
        <v>0.52</v>
      </c>
      <c r="J54" s="601">
        <v>6.1139999999999999</v>
      </c>
      <c r="K54" s="426" t="str">
        <f t="shared" si="225"/>
        <v>1613</v>
      </c>
      <c r="L54" s="327"/>
      <c r="M54" s="173">
        <f t="shared" si="242"/>
        <v>6.1139999999999999</v>
      </c>
      <c r="N54" s="21">
        <f t="shared" si="243"/>
        <v>-0.58628604456928057</v>
      </c>
      <c r="O54" s="5">
        <f t="shared" si="244"/>
        <v>-2.9092207014035858</v>
      </c>
      <c r="P54" s="10">
        <f t="shared" si="245"/>
        <v>-0.14650044184533259</v>
      </c>
      <c r="Q54" s="624">
        <f t="shared" si="116"/>
        <v>258.60597565630906</v>
      </c>
      <c r="R54" s="5">
        <f t="shared" si="415"/>
        <v>2.967708950610195</v>
      </c>
      <c r="S54" s="6">
        <f t="shared" si="416"/>
        <v>-0.14650044184533259</v>
      </c>
      <c r="T54" s="4">
        <f t="shared" si="417"/>
        <v>-2.9178724717356515</v>
      </c>
      <c r="U54" s="5">
        <f t="shared" si="418"/>
        <v>0.54158716216242075</v>
      </c>
      <c r="V54" s="8">
        <f t="shared" si="419"/>
        <v>-0.14650044184533259</v>
      </c>
      <c r="W54" s="624">
        <f t="shared" si="227"/>
        <v>169.48497552939716</v>
      </c>
      <c r="X54" s="5">
        <f t="shared" si="420"/>
        <v>2.967708950610195</v>
      </c>
      <c r="Y54" s="7">
        <f t="shared" si="226"/>
        <v>-0.14650044184533259</v>
      </c>
      <c r="Z54" s="21">
        <f t="shared" si="246"/>
        <v>-0.91698720742004802</v>
      </c>
      <c r="AA54" s="5">
        <f t="shared" si="247"/>
        <v>0.32581252469988831</v>
      </c>
      <c r="AB54" s="5">
        <f t="shared" si="248"/>
        <v>-0.23017528141976204</v>
      </c>
      <c r="AC54" s="8">
        <f t="shared" si="421"/>
        <v>1</v>
      </c>
      <c r="AD54" s="9">
        <f t="shared" si="422"/>
        <v>-0.91698720742004802</v>
      </c>
      <c r="AE54" s="5">
        <f t="shared" si="423"/>
        <v>0.32581252469988831</v>
      </c>
      <c r="AF54" s="10">
        <f t="shared" si="424"/>
        <v>-0.23017528141976204</v>
      </c>
      <c r="AG54" s="622">
        <f t="shared" si="425"/>
        <v>54.760115997735689</v>
      </c>
      <c r="AH54" s="623">
        <f t="shared" si="426"/>
        <v>156.48953203161307</v>
      </c>
      <c r="AI54" s="624">
        <f t="shared" si="427"/>
        <v>-76.6926084869704</v>
      </c>
      <c r="AJ54" s="625">
        <f t="shared" si="428"/>
        <v>-109.56051253190671</v>
      </c>
      <c r="AK54" s="4">
        <f t="shared" si="429"/>
        <v>0.96328095197418429</v>
      </c>
      <c r="AL54" s="5">
        <f t="shared" si="430"/>
        <v>-0.13823583973428483</v>
      </c>
      <c r="AM54" s="6">
        <f t="shared" si="431"/>
        <v>-0.23017528141976204</v>
      </c>
      <c r="AN54" s="612">
        <f t="shared" si="432"/>
        <v>-30.987667385742682</v>
      </c>
      <c r="AO54" s="613">
        <f t="shared" si="98"/>
        <v>15.5747570595328</v>
      </c>
      <c r="AP54" s="624">
        <f t="shared" si="433"/>
        <v>-8.1664881882157747</v>
      </c>
      <c r="AQ54" s="625">
        <f t="shared" si="249"/>
        <v>4.1714981039885881</v>
      </c>
      <c r="AS54" s="56">
        <f t="shared" si="411"/>
        <v>-190.51502447060284</v>
      </c>
      <c r="AT54" s="77">
        <f t="shared" si="250"/>
        <v>0.57654365011972208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6.1139999999999999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-0.78133431509112461</v>
      </c>
      <c r="C55" s="771">
        <v>-3.5504548396137867</v>
      </c>
      <c r="D55" s="772">
        <v>-0.52540158461117914</v>
      </c>
      <c r="E55" s="773">
        <v>0.88762572992083433</v>
      </c>
      <c r="F55" s="771">
        <v>-0.43786209988587765</v>
      </c>
      <c r="G55" s="774">
        <v>0.14281927414055859</v>
      </c>
      <c r="H55" s="773">
        <v>0.314</v>
      </c>
      <c r="I55" s="771">
        <v>0.52</v>
      </c>
      <c r="J55" s="601">
        <v>6.12</v>
      </c>
      <c r="K55" s="426" t="str">
        <f t="shared" si="225"/>
        <v>1613</v>
      </c>
      <c r="L55" s="327"/>
      <c r="M55" s="173">
        <f t="shared" si="242"/>
        <v>6.12</v>
      </c>
      <c r="N55" s="21">
        <f t="shared" si="243"/>
        <v>-0.78133431509112461</v>
      </c>
      <c r="O55" s="5">
        <f t="shared" si="244"/>
        <v>-3.5504548396137867</v>
      </c>
      <c r="P55" s="10">
        <f t="shared" si="245"/>
        <v>-0.52540158461117914</v>
      </c>
      <c r="Q55" s="624">
        <f t="shared" si="116"/>
        <v>257.58897580314567</v>
      </c>
      <c r="R55" s="5">
        <f t="shared" si="415"/>
        <v>3.635410964399469</v>
      </c>
      <c r="S55" s="6">
        <f t="shared" si="416"/>
        <v>-0.52540158461117914</v>
      </c>
      <c r="T55" s="4">
        <f t="shared" si="417"/>
        <v>-3.5620233553783343</v>
      </c>
      <c r="U55" s="5">
        <f t="shared" si="418"/>
        <v>0.72677540947334596</v>
      </c>
      <c r="V55" s="8">
        <f t="shared" si="419"/>
        <v>-0.52540158461117914</v>
      </c>
      <c r="W55" s="624">
        <f t="shared" si="227"/>
        <v>168.46797567623378</v>
      </c>
      <c r="X55" s="5">
        <f t="shared" si="420"/>
        <v>3.635410964399469</v>
      </c>
      <c r="Y55" s="7">
        <f t="shared" si="226"/>
        <v>-0.52540158461117914</v>
      </c>
      <c r="Z55" s="21">
        <f t="shared" si="246"/>
        <v>-0.88762572992083433</v>
      </c>
      <c r="AA55" s="5">
        <f t="shared" si="247"/>
        <v>0.43786209988587765</v>
      </c>
      <c r="AB55" s="5">
        <f t="shared" si="248"/>
        <v>-0.14281927414055859</v>
      </c>
      <c r="AC55" s="8">
        <f t="shared" si="421"/>
        <v>1</v>
      </c>
      <c r="AD55" s="9">
        <f t="shared" si="422"/>
        <v>-0.88762572992083433</v>
      </c>
      <c r="AE55" s="5">
        <f t="shared" si="423"/>
        <v>0.43786209988587765</v>
      </c>
      <c r="AF55" s="10">
        <f t="shared" si="424"/>
        <v>-0.14281927414055859</v>
      </c>
      <c r="AG55" s="622">
        <f t="shared" si="425"/>
        <v>71.935015374645161</v>
      </c>
      <c r="AH55" s="623">
        <f t="shared" si="426"/>
        <v>152.57639693057897</v>
      </c>
      <c r="AI55" s="624">
        <f t="shared" si="427"/>
        <v>-81.788981494566102</v>
      </c>
      <c r="AJ55" s="625">
        <f t="shared" si="428"/>
        <v>-116.25693283817927</v>
      </c>
      <c r="AK55" s="4">
        <f t="shared" si="429"/>
        <v>0.96098949656409582</v>
      </c>
      <c r="AL55" s="5">
        <f t="shared" si="430"/>
        <v>-0.23685827498200263</v>
      </c>
      <c r="AM55" s="6">
        <f t="shared" si="431"/>
        <v>-0.14281927414055859</v>
      </c>
      <c r="AN55" s="612">
        <f t="shared" si="432"/>
        <v>-58.911134499412469</v>
      </c>
      <c r="AO55" s="613">
        <f>IF(ROUND(IF(M55="",0,DEGREES(ACOS(AK55))),4)=90,0,IF(M55="","",DEGREES(ACOS(AK55))))</f>
        <v>16.056484051096866</v>
      </c>
      <c r="AP55" s="624">
        <f t="shared" si="433"/>
        <v>-13.845908641324943</v>
      </c>
      <c r="AQ55" s="625">
        <f t="shared" si="249"/>
        <v>3.4073422714625208</v>
      </c>
      <c r="AS55" s="56">
        <f t="shared" si="411"/>
        <v>-191.53202432376622</v>
      </c>
      <c r="AT55" s="77">
        <f t="shared" si="250"/>
        <v>0.20148450679915941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6.12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-0.94097739461727015</v>
      </c>
      <c r="C56" s="771">
        <v>-4.0102958161592079</v>
      </c>
      <c r="D56" s="772">
        <v>-1.1258033954230406</v>
      </c>
      <c r="E56" s="773">
        <v>0.86472004235950106</v>
      </c>
      <c r="F56" s="771">
        <v>-0.492505435481844</v>
      </c>
      <c r="G56" s="774">
        <v>9.8476618354927867E-2</v>
      </c>
      <c r="H56" s="773">
        <v>0.314</v>
      </c>
      <c r="I56" s="771">
        <v>0.52</v>
      </c>
      <c r="J56" s="601">
        <v>6.1289999999999996</v>
      </c>
      <c r="K56" s="426" t="str">
        <f t="shared" si="225"/>
        <v>1613</v>
      </c>
      <c r="L56" s="327"/>
      <c r="M56" s="173">
        <f t="shared" si="242"/>
        <v>6.1289999999999996</v>
      </c>
      <c r="N56" s="21">
        <f t="shared" si="243"/>
        <v>-0.94097739461727015</v>
      </c>
      <c r="O56" s="5">
        <f t="shared" si="244"/>
        <v>-4.0102958161592079</v>
      </c>
      <c r="P56" s="10">
        <f t="shared" si="245"/>
        <v>-1.1258033954230406</v>
      </c>
      <c r="Q56" s="624">
        <f t="shared" si="116"/>
        <v>256.79497591778505</v>
      </c>
      <c r="R56" s="5">
        <f t="shared" si="415"/>
        <v>4.1192124235446697</v>
      </c>
      <c r="S56" s="6">
        <f t="shared" si="416"/>
        <v>-1.1258033954230406</v>
      </c>
      <c r="T56" s="4">
        <f t="shared" si="417"/>
        <v>-4.0242592778956903</v>
      </c>
      <c r="U56" s="5">
        <f t="shared" si="418"/>
        <v>0.87934535567955852</v>
      </c>
      <c r="V56" s="8">
        <f t="shared" si="419"/>
        <v>-1.1258033954230406</v>
      </c>
      <c r="W56" s="624">
        <f t="shared" si="227"/>
        <v>167.67397579087316</v>
      </c>
      <c r="X56" s="5">
        <f t="shared" si="420"/>
        <v>4.1192124235446697</v>
      </c>
      <c r="Y56" s="7">
        <f t="shared" si="226"/>
        <v>-1.1258033954230406</v>
      </c>
      <c r="Z56" s="21">
        <f t="shared" si="246"/>
        <v>-0.86472004235950106</v>
      </c>
      <c r="AA56" s="5">
        <f t="shared" si="247"/>
        <v>0.492505435481844</v>
      </c>
      <c r="AB56" s="5">
        <f t="shared" si="248"/>
        <v>-9.8476618354927867E-2</v>
      </c>
      <c r="AC56" s="8">
        <f t="shared" si="421"/>
        <v>1</v>
      </c>
      <c r="AD56" s="9">
        <f t="shared" si="422"/>
        <v>-0.86472004235950106</v>
      </c>
      <c r="AE56" s="5">
        <f t="shared" si="423"/>
        <v>0.492505435481844</v>
      </c>
      <c r="AF56" s="10">
        <f t="shared" si="424"/>
        <v>-9.8476618354927867E-2</v>
      </c>
      <c r="AG56" s="622">
        <f t="shared" si="425"/>
        <v>78.692804647290998</v>
      </c>
      <c r="AH56" s="623">
        <f t="shared" si="426"/>
        <v>149.85075311122614</v>
      </c>
      <c r="AI56" s="624">
        <f t="shared" si="427"/>
        <v>-84.348545864941372</v>
      </c>
      <c r="AJ56" s="625">
        <f t="shared" si="428"/>
        <v>-119.66388289113073</v>
      </c>
      <c r="AK56" s="4">
        <f t="shared" si="429"/>
        <v>0.95436196178369737</v>
      </c>
      <c r="AL56" s="5">
        <f t="shared" si="430"/>
        <v>-0.28194964362054237</v>
      </c>
      <c r="AM56" s="6">
        <f t="shared" si="431"/>
        <v>-9.8476618354927867E-2</v>
      </c>
      <c r="AN56" s="612">
        <f t="shared" si="432"/>
        <v>-70.747211643486651</v>
      </c>
      <c r="AO56" s="613">
        <f t="shared" ref="AO56:AO119" si="466">IF(ROUND(IF(M56="",0,DEGREES(ACOS(AK56))),4)=90,0,IF(M56="","",DEGREES(ACOS(AK56))))</f>
        <v>17.376680099210343</v>
      </c>
      <c r="AP56" s="624">
        <f t="shared" si="433"/>
        <v>-16.458858808915789</v>
      </c>
      <c r="AQ56" s="625">
        <f t="shared" si="249"/>
        <v>3.0079335937503049</v>
      </c>
      <c r="AS56" s="56">
        <f t="shared" si="411"/>
        <v>-192.32602420912684</v>
      </c>
      <c r="AT56" s="77">
        <f t="shared" si="250"/>
        <v>-0.39591774889022857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6.1289999999999996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-1.0529071689979039</v>
      </c>
      <c r="C57" s="771">
        <v>-4.3067753625979712</v>
      </c>
      <c r="D57" s="772">
        <v>-1.8315055238206601</v>
      </c>
      <c r="E57" s="773">
        <v>0.84620534164649386</v>
      </c>
      <c r="F57" s="771">
        <v>-0.53061895119631552</v>
      </c>
      <c r="G57" s="774">
        <v>4.8785739722410182E-2</v>
      </c>
      <c r="H57" s="773">
        <v>0.314</v>
      </c>
      <c r="I57" s="771">
        <v>0.52</v>
      </c>
      <c r="J57" s="601">
        <v>6.1379999999999999</v>
      </c>
      <c r="K57" s="426" t="str">
        <f t="shared" si="225"/>
        <v>1613</v>
      </c>
      <c r="L57" s="327"/>
      <c r="M57" s="173">
        <f t="shared" si="242"/>
        <v>6.1379999999999999</v>
      </c>
      <c r="N57" s="21">
        <f t="shared" si="243"/>
        <v>-1.0529071689979039</v>
      </c>
      <c r="O57" s="5">
        <f t="shared" si="244"/>
        <v>-4.3067753625979712</v>
      </c>
      <c r="P57" s="10">
        <f t="shared" si="245"/>
        <v>-1.8315055238206601</v>
      </c>
      <c r="Q57" s="624">
        <f t="shared" si="116"/>
        <v>256.26197599474074</v>
      </c>
      <c r="R57" s="5">
        <f t="shared" si="415"/>
        <v>4.4336133717779305</v>
      </c>
      <c r="S57" s="6">
        <f t="shared" si="416"/>
        <v>-1.8315055238206601</v>
      </c>
      <c r="T57" s="4">
        <f t="shared" si="417"/>
        <v>-4.3224210321033372</v>
      </c>
      <c r="U57" s="5">
        <f t="shared" si="418"/>
        <v>0.98671371310973288</v>
      </c>
      <c r="V57" s="8">
        <f t="shared" si="419"/>
        <v>-1.8315055238206601</v>
      </c>
      <c r="W57" s="624">
        <f t="shared" si="227"/>
        <v>167.14097586782884</v>
      </c>
      <c r="X57" s="5">
        <f t="shared" si="420"/>
        <v>4.4336133717779305</v>
      </c>
      <c r="Y57" s="7">
        <f t="shared" si="226"/>
        <v>-1.8315055238206601</v>
      </c>
      <c r="Z57" s="21">
        <f t="shared" si="246"/>
        <v>-0.84620534164649386</v>
      </c>
      <c r="AA57" s="5">
        <f t="shared" si="247"/>
        <v>0.53061895119631552</v>
      </c>
      <c r="AB57" s="5">
        <f t="shared" si="248"/>
        <v>-4.8785739722410182E-2</v>
      </c>
      <c r="AC57" s="8">
        <f t="shared" si="421"/>
        <v>1</v>
      </c>
      <c r="AD57" s="9">
        <f t="shared" si="422"/>
        <v>-0.84620534164649386</v>
      </c>
      <c r="AE57" s="5">
        <f t="shared" si="423"/>
        <v>0.53061895119631552</v>
      </c>
      <c r="AF57" s="10">
        <f t="shared" si="424"/>
        <v>-4.8785739722410182E-2</v>
      </c>
      <c r="AG57" s="622">
        <f t="shared" si="425"/>
        <v>84.746926155822848</v>
      </c>
      <c r="AH57" s="623">
        <f t="shared" si="426"/>
        <v>147.80130915661954</v>
      </c>
      <c r="AI57" s="624">
        <f t="shared" si="427"/>
        <v>-87.203673032303868</v>
      </c>
      <c r="AJ57" s="625">
        <f t="shared" si="428"/>
        <v>-122.09005472704811</v>
      </c>
      <c r="AK57" s="4">
        <f t="shared" si="429"/>
        <v>0.94800977495635175</v>
      </c>
      <c r="AL57" s="5">
        <f t="shared" si="430"/>
        <v>-0.31447959899959288</v>
      </c>
      <c r="AM57" s="6">
        <f t="shared" si="431"/>
        <v>-4.8785739722410182E-2</v>
      </c>
      <c r="AN57" s="612">
        <f t="shared" si="432"/>
        <v>-81.181901026556275</v>
      </c>
      <c r="AO57" s="613">
        <f t="shared" si="466"/>
        <v>18.556593908098812</v>
      </c>
      <c r="AP57" s="624">
        <f t="shared" si="433"/>
        <v>-18.352030721788857</v>
      </c>
      <c r="AQ57" s="625">
        <f t="shared" si="249"/>
        <v>2.794983015541689</v>
      </c>
      <c r="AS57" s="56">
        <f t="shared" si="411"/>
        <v>-192.85902413217116</v>
      </c>
      <c r="AT57" s="77">
        <f t="shared" si="250"/>
        <v>-1.0996063220230141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6.1379999999999999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-1.1168523588943498</v>
      </c>
      <c r="C58" s="771">
        <v>-4.4681450420827629</v>
      </c>
      <c r="D58" s="772">
        <v>-2.5852077969867158</v>
      </c>
      <c r="E58" s="773">
        <v>0.81428929243414039</v>
      </c>
      <c r="F58" s="771">
        <v>-0.58038716717327898</v>
      </c>
      <c r="G58" s="774">
        <v>9.1479182158239469E-3</v>
      </c>
      <c r="H58" s="773">
        <v>0.314</v>
      </c>
      <c r="I58" s="771">
        <v>0.52</v>
      </c>
      <c r="J58" s="601">
        <v>6.1470000000000002</v>
      </c>
      <c r="K58" s="426" t="str">
        <f t="shared" si="225"/>
        <v>1613</v>
      </c>
      <c r="L58" s="327"/>
      <c r="M58" s="173">
        <f t="shared" si="242"/>
        <v>6.1470000000000002</v>
      </c>
      <c r="N58" s="21">
        <f t="shared" si="243"/>
        <v>-1.1168523588943498</v>
      </c>
      <c r="O58" s="5">
        <f t="shared" si="244"/>
        <v>-4.4681450420827629</v>
      </c>
      <c r="P58" s="10">
        <f t="shared" si="245"/>
        <v>-2.5852077969867158</v>
      </c>
      <c r="Q58" s="624">
        <f t="shared" si="116"/>
        <v>255.96597603747784</v>
      </c>
      <c r="R58" s="5">
        <f t="shared" si="415"/>
        <v>4.6056138905314947</v>
      </c>
      <c r="S58" s="6">
        <f t="shared" si="416"/>
        <v>-2.5852077969867158</v>
      </c>
      <c r="T58" s="4">
        <f t="shared" si="417"/>
        <v>-4.4847526949245102</v>
      </c>
      <c r="U58" s="5">
        <f t="shared" si="418"/>
        <v>1.0481758316351273</v>
      </c>
      <c r="V58" s="8">
        <f t="shared" si="419"/>
        <v>-2.5852077969867158</v>
      </c>
      <c r="W58" s="624">
        <f t="shared" si="227"/>
        <v>166.84497591056595</v>
      </c>
      <c r="X58" s="5">
        <f t="shared" si="420"/>
        <v>4.6056138905314947</v>
      </c>
      <c r="Y58" s="7">
        <f t="shared" si="226"/>
        <v>-2.5852077969867158</v>
      </c>
      <c r="Z58" s="21">
        <f t="shared" si="246"/>
        <v>-0.81428929243414039</v>
      </c>
      <c r="AA58" s="5">
        <f t="shared" si="247"/>
        <v>0.58038716717327898</v>
      </c>
      <c r="AB58" s="5">
        <f t="shared" si="248"/>
        <v>-9.1479182158239469E-3</v>
      </c>
      <c r="AC58" s="8">
        <f t="shared" si="421"/>
        <v>1</v>
      </c>
      <c r="AD58" s="9">
        <f t="shared" si="422"/>
        <v>-0.81428929243414039</v>
      </c>
      <c r="AE58" s="5">
        <f t="shared" si="423"/>
        <v>0.58038716717327898</v>
      </c>
      <c r="AF58" s="10">
        <f t="shared" si="424"/>
        <v>-9.1479182158239469E-3</v>
      </c>
      <c r="AG58" s="622">
        <f t="shared" si="425"/>
        <v>89.096992943805191</v>
      </c>
      <c r="AH58" s="623">
        <f t="shared" si="426"/>
        <v>144.51714923388064</v>
      </c>
      <c r="AI58" s="624">
        <f t="shared" si="427"/>
        <v>-89.475855584276601</v>
      </c>
      <c r="AJ58" s="625">
        <f t="shared" si="428"/>
        <v>-125.47948728256794</v>
      </c>
      <c r="AK58" s="4">
        <f t="shared" si="429"/>
        <v>0.93072705255487542</v>
      </c>
      <c r="AL58" s="5">
        <f t="shared" si="430"/>
        <v>-0.36560014939114954</v>
      </c>
      <c r="AM58" s="6">
        <f t="shared" si="431"/>
        <v>-9.1479182158239469E-3</v>
      </c>
      <c r="AN58" s="612">
        <f t="shared" si="432"/>
        <v>-88.56666425705221</v>
      </c>
      <c r="AO58" s="613">
        <f t="shared" si="466"/>
        <v>21.451565757956516</v>
      </c>
      <c r="AP58" s="624">
        <f t="shared" si="433"/>
        <v>-21.4454633200458</v>
      </c>
      <c r="AQ58" s="625">
        <f t="shared" si="249"/>
        <v>2.6907584020019173</v>
      </c>
      <c r="AS58" s="56">
        <f t="shared" si="411"/>
        <v>-193.15502408943405</v>
      </c>
      <c r="AT58" s="77">
        <f t="shared" si="250"/>
        <v>-1.8521903731282987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6.1470000000000002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-1.1508987187235313</v>
      </c>
      <c r="C59" s="771">
        <v>-4.5519740942471598</v>
      </c>
      <c r="D59" s="772">
        <v>-3.3485100991064591</v>
      </c>
      <c r="E59" s="773">
        <v>0.71704420198074481</v>
      </c>
      <c r="F59" s="771">
        <v>-0.69702769844948353</v>
      </c>
      <c r="G59" s="774">
        <v>1.133974336004978E-7</v>
      </c>
      <c r="H59" s="773">
        <v>0.314</v>
      </c>
      <c r="I59" s="771">
        <v>0.52</v>
      </c>
      <c r="J59" s="601">
        <v>6.1559999999999997</v>
      </c>
      <c r="K59" s="426" t="str">
        <f t="shared" si="225"/>
        <v>1613</v>
      </c>
      <c r="L59" s="327"/>
      <c r="M59" s="173">
        <f t="shared" si="242"/>
        <v>6.1559999999999997</v>
      </c>
      <c r="N59" s="21">
        <f t="shared" si="243"/>
        <v>-1.1508987187235313</v>
      </c>
      <c r="O59" s="5">
        <f t="shared" si="244"/>
        <v>-4.5519740942471598</v>
      </c>
      <c r="P59" s="10">
        <f t="shared" si="245"/>
        <v>-3.3485100991064591</v>
      </c>
      <c r="Q59" s="624">
        <f t="shared" si="116"/>
        <v>255.81097605985707</v>
      </c>
      <c r="R59" s="5">
        <f t="shared" si="83"/>
        <v>4.695214160765909</v>
      </c>
      <c r="S59" s="6">
        <f t="shared" si="84"/>
        <v>-3.3485100991064591</v>
      </c>
      <c r="T59" s="4">
        <f t="shared" si="85"/>
        <v>-4.5690941820491835</v>
      </c>
      <c r="U59" s="5">
        <f t="shared" si="86"/>
        <v>1.0809321768830025</v>
      </c>
      <c r="V59" s="8">
        <f t="shared" si="117"/>
        <v>-3.3485100991064591</v>
      </c>
      <c r="W59" s="624">
        <f t="shared" si="227"/>
        <v>166.68997593294517</v>
      </c>
      <c r="X59" s="5">
        <f t="shared" si="87"/>
        <v>4.695214160765909</v>
      </c>
      <c r="Y59" s="7">
        <f t="shared" si="226"/>
        <v>-3.3485100991064591</v>
      </c>
      <c r="Z59" s="21">
        <f t="shared" si="246"/>
        <v>-0.71704420198074481</v>
      </c>
      <c r="AA59" s="5">
        <f t="shared" si="247"/>
        <v>0.69702769844948353</v>
      </c>
      <c r="AB59" s="5">
        <f t="shared" si="248"/>
        <v>-1.133974336004978E-7</v>
      </c>
      <c r="AC59" s="8">
        <f t="shared" si="88"/>
        <v>1</v>
      </c>
      <c r="AD59" s="9">
        <f t="shared" si="118"/>
        <v>-0.71704420198074481</v>
      </c>
      <c r="AE59" s="5">
        <f t="shared" si="89"/>
        <v>0.69702769844948353</v>
      </c>
      <c r="AF59" s="10">
        <f t="shared" si="90"/>
        <v>-1.133974336004978E-7</v>
      </c>
      <c r="AG59" s="622">
        <f t="shared" si="91"/>
        <v>89.999990678714255</v>
      </c>
      <c r="AH59" s="623">
        <f t="shared" si="92"/>
        <v>135.81098039132078</v>
      </c>
      <c r="AI59" s="624">
        <f t="shared" si="93"/>
        <v>-89.999993502805637</v>
      </c>
      <c r="AJ59" s="625">
        <f t="shared" si="94"/>
        <v>-134.18901960867885</v>
      </c>
      <c r="AK59" s="4">
        <f t="shared" si="213"/>
        <v>0.86602544158358541</v>
      </c>
      <c r="AL59" s="5">
        <f t="shared" si="95"/>
        <v>-0.49999993452993885</v>
      </c>
      <c r="AM59" s="6">
        <f t="shared" si="96"/>
        <v>-1.133974336004978E-7</v>
      </c>
      <c r="AN59" s="612">
        <f t="shared" si="97"/>
        <v>-89.999987005609597</v>
      </c>
      <c r="AO59" s="613">
        <f t="shared" si="466"/>
        <v>29.99999566853656</v>
      </c>
      <c r="AP59" s="624">
        <f t="shared" si="99"/>
        <v>-29.999995668535924</v>
      </c>
      <c r="AQ59" s="625">
        <f t="shared" si="249"/>
        <v>2.639483123661754</v>
      </c>
      <c r="AS59" s="56">
        <f t="shared" si="411"/>
        <v>-193.31002406705483</v>
      </c>
      <c r="AT59" s="77">
        <f t="shared" si="250"/>
        <v>-2.6149071197770302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6.1559999999999997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-1.624862447667508</v>
      </c>
      <c r="C60" s="771">
        <v>-3.3032010546695254</v>
      </c>
      <c r="D60" s="772">
        <v>-0.50160151283016274</v>
      </c>
      <c r="E60" s="773">
        <v>0.7015879661194947</v>
      </c>
      <c r="F60" s="771">
        <v>-0.68800797999892871</v>
      </c>
      <c r="G60" s="774">
        <v>0.1855245138899565</v>
      </c>
      <c r="H60" s="773">
        <v>0.26600000000000001</v>
      </c>
      <c r="I60" s="771">
        <v>0.52</v>
      </c>
      <c r="J60" s="601">
        <v>6.22</v>
      </c>
      <c r="K60" s="426" t="str">
        <f t="shared" si="225"/>
        <v>1313</v>
      </c>
      <c r="L60" s="327"/>
      <c r="M60" s="173">
        <f t="shared" si="242"/>
        <v>6.22</v>
      </c>
      <c r="N60" s="21">
        <f t="shared" si="243"/>
        <v>-1.624862447667508</v>
      </c>
      <c r="O60" s="5">
        <f t="shared" si="244"/>
        <v>-3.3032010546695254</v>
      </c>
      <c r="P60" s="10">
        <f t="shared" si="245"/>
        <v>-0.50160151283016274</v>
      </c>
      <c r="Q60" s="624">
        <f t="shared" si="116"/>
        <v>243.80717779299107</v>
      </c>
      <c r="R60" s="5">
        <f t="shared" si="83"/>
        <v>3.6812111025326857</v>
      </c>
      <c r="S60" s="6">
        <f t="shared" si="84"/>
        <v>-0.50160151283016274</v>
      </c>
      <c r="T60" s="4">
        <f t="shared" si="85"/>
        <v>-3.327739096890844</v>
      </c>
      <c r="U60" s="5">
        <f t="shared" si="86"/>
        <v>1.5739973584583999</v>
      </c>
      <c r="V60" s="8">
        <f t="shared" si="117"/>
        <v>-0.50160151283016274</v>
      </c>
      <c r="W60" s="624">
        <f t="shared" si="227"/>
        <v>154.68617766607917</v>
      </c>
      <c r="X60" s="5">
        <f t="shared" si="87"/>
        <v>3.6812111025326857</v>
      </c>
      <c r="Y60" s="7">
        <f t="shared" si="226"/>
        <v>-0.50160151283016274</v>
      </c>
      <c r="Z60" s="21">
        <f t="shared" si="246"/>
        <v>-0.7015879661194947</v>
      </c>
      <c r="AA60" s="5">
        <f t="shared" si="247"/>
        <v>0.68800797999892871</v>
      </c>
      <c r="AB60" s="5">
        <f t="shared" si="248"/>
        <v>-0.1855245138899565</v>
      </c>
      <c r="AC60" s="8">
        <f t="shared" si="88"/>
        <v>1</v>
      </c>
      <c r="AD60" s="9">
        <f t="shared" si="118"/>
        <v>-0.7015879661194947</v>
      </c>
      <c r="AE60" s="5">
        <f t="shared" si="89"/>
        <v>0.68800797999892871</v>
      </c>
      <c r="AF60" s="10">
        <f t="shared" si="90"/>
        <v>-0.1855245138899565</v>
      </c>
      <c r="AG60" s="622">
        <f t="shared" si="91"/>
        <v>74.908871994094795</v>
      </c>
      <c r="AH60" s="623">
        <f t="shared" si="92"/>
        <v>134.55454599321325</v>
      </c>
      <c r="AI60" s="624">
        <f t="shared" si="93"/>
        <v>-79.308285771142152</v>
      </c>
      <c r="AJ60" s="625">
        <f t="shared" si="94"/>
        <v>-134.44008823258309</v>
      </c>
      <c r="AK60" s="4">
        <f t="shared" si="213"/>
        <v>0.93322668663626218</v>
      </c>
      <c r="AL60" s="5">
        <f t="shared" si="95"/>
        <v>-0.30768263859990419</v>
      </c>
      <c r="AM60" s="6">
        <f t="shared" si="96"/>
        <v>-0.1855245138899565</v>
      </c>
      <c r="AN60" s="612">
        <f t="shared" si="97"/>
        <v>-58.911131491820704</v>
      </c>
      <c r="AO60" s="613">
        <f t="shared" si="466"/>
        <v>21.056483322214373</v>
      </c>
      <c r="AP60" s="624">
        <f t="shared" si="99"/>
        <v>-18.247266025574152</v>
      </c>
      <c r="AQ60" s="625">
        <f t="shared" si="249"/>
        <v>3.3650475275625049</v>
      </c>
      <c r="AS60" s="56">
        <f t="shared" si="411"/>
        <v>-205.31382233392083</v>
      </c>
      <c r="AT60" s="77">
        <f t="shared" si="250"/>
        <v>0.2773491488407599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>
        <f>IFERROR(IF($IU60="","",IF($IU60&lt;(((Settings!$C$19/2)*-1)*$IE$8),"",1)),"")</f>
        <v>1</v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6.22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6.12</v>
      </c>
      <c r="II60" s="800" cm="1">
        <f t="array" ref="II60">IFERROR(IF($IH60&lt;1,$IH60+LARGE((IF($M$9:$M$150="",0,$M$9:$M$150)-MOD(IF($M$9:$M$150="",0,$M$9:$M$150),1)),1),$IH60),"")</f>
        <v>6.12</v>
      </c>
      <c r="IJ60" s="839" t="str">
        <f t="shared" si="386"/>
        <v>1613</v>
      </c>
      <c r="IK60" s="839" t="str">
        <f t="shared" si="387"/>
        <v>1313</v>
      </c>
      <c r="IL60" s="791">
        <f t="shared" si="228"/>
        <v>13.781798010154603</v>
      </c>
      <c r="IM60" s="830">
        <v>1.87245231307751E-3</v>
      </c>
      <c r="IN60" s="5">
        <f t="shared" si="229"/>
        <v>0.02</v>
      </c>
      <c r="IO60" s="852">
        <v>10</v>
      </c>
      <c r="IP60" s="9">
        <f t="shared" si="230"/>
        <v>-3.635410964399469</v>
      </c>
      <c r="IQ60" s="5">
        <f t="shared" si="231"/>
        <v>-0.52540158461117914</v>
      </c>
      <c r="IR60" s="5">
        <f t="shared" si="388"/>
        <v>0.314</v>
      </c>
      <c r="IS60" s="5">
        <f t="shared" si="232"/>
        <v>0.30175070192112607</v>
      </c>
      <c r="IT60" s="791">
        <f t="shared" si="233"/>
        <v>58.911134499412469</v>
      </c>
      <c r="IU60" s="9">
        <f t="shared" si="234"/>
        <v>-3.6812111025326857</v>
      </c>
      <c r="IV60" s="5">
        <f t="shared" si="235"/>
        <v>-0.50160151283016274</v>
      </c>
      <c r="IW60" s="5">
        <f t="shared" si="389"/>
        <v>0.26600000000000001</v>
      </c>
      <c r="IX60" s="5">
        <f t="shared" si="236"/>
        <v>0.24823829864524574</v>
      </c>
      <c r="IY60" s="833">
        <f t="shared" si="237"/>
        <v>58.911131491820704</v>
      </c>
    </row>
    <row r="61" spans="1:259" ht="15" customHeight="1" x14ac:dyDescent="0.25">
      <c r="A61" s="84">
        <f t="shared" si="82"/>
        <v>0.02</v>
      </c>
      <c r="B61" s="770">
        <v>-1.7856052721796447</v>
      </c>
      <c r="C61" s="771">
        <v>-3.768260169793606</v>
      </c>
      <c r="D61" s="772">
        <v>-1.1115033522941105</v>
      </c>
      <c r="E61" s="773">
        <v>0.68173189162452841</v>
      </c>
      <c r="F61" s="771">
        <v>-0.72075249218595183</v>
      </c>
      <c r="G61" s="774">
        <v>0.12552877339391924</v>
      </c>
      <c r="H61" s="773">
        <v>0.26600000000000001</v>
      </c>
      <c r="I61" s="771">
        <v>0.52</v>
      </c>
      <c r="J61" s="601">
        <v>6.2290000000000001</v>
      </c>
      <c r="K61" s="426" t="str">
        <f t="shared" si="225"/>
        <v>1313</v>
      </c>
      <c r="L61" s="327"/>
      <c r="M61" s="173">
        <f t="shared" si="242"/>
        <v>6.2290000000000001</v>
      </c>
      <c r="N61" s="21">
        <f t="shared" si="243"/>
        <v>-1.7856052721796447</v>
      </c>
      <c r="O61" s="5">
        <f t="shared" si="244"/>
        <v>-3.768260169793606</v>
      </c>
      <c r="P61" s="10">
        <f t="shared" si="245"/>
        <v>-1.1115033522941105</v>
      </c>
      <c r="Q61" s="624">
        <f t="shared" si="116"/>
        <v>244.64587767189778</v>
      </c>
      <c r="R61" s="5">
        <f t="shared" si="83"/>
        <v>4.1699125764563316</v>
      </c>
      <c r="S61" s="6">
        <f t="shared" si="84"/>
        <v>-1.1115033522941105</v>
      </c>
      <c r="T61" s="4">
        <f t="shared" si="85"/>
        <v>-3.7952094149407807</v>
      </c>
      <c r="U61" s="5">
        <f t="shared" si="86"/>
        <v>1.7275868696055605</v>
      </c>
      <c r="V61" s="8">
        <f t="shared" si="117"/>
        <v>-1.1115033522941105</v>
      </c>
      <c r="W61" s="624">
        <f t="shared" si="227"/>
        <v>155.52487754498588</v>
      </c>
      <c r="X61" s="5">
        <f t="shared" si="87"/>
        <v>4.1699125764563316</v>
      </c>
      <c r="Y61" s="7">
        <f t="shared" si="226"/>
        <v>-1.1115033522941105</v>
      </c>
      <c r="Z61" s="21">
        <f t="shared" si="246"/>
        <v>-0.68173189162452841</v>
      </c>
      <c r="AA61" s="5">
        <f t="shared" si="247"/>
        <v>0.72075249218595183</v>
      </c>
      <c r="AB61" s="5">
        <f t="shared" si="248"/>
        <v>-0.12552877339391924</v>
      </c>
      <c r="AC61" s="8">
        <f t="shared" si="88"/>
        <v>1</v>
      </c>
      <c r="AD61" s="9">
        <f t="shared" si="118"/>
        <v>-0.68173189162452841</v>
      </c>
      <c r="AE61" s="5">
        <f t="shared" si="89"/>
        <v>0.72075249218595183</v>
      </c>
      <c r="AF61" s="10">
        <f t="shared" si="90"/>
        <v>-0.12552877339391924</v>
      </c>
      <c r="AG61" s="622">
        <f t="shared" si="91"/>
        <v>80.120265084781849</v>
      </c>
      <c r="AH61" s="623">
        <f t="shared" si="92"/>
        <v>132.97912784963495</v>
      </c>
      <c r="AI61" s="624">
        <f t="shared" si="93"/>
        <v>-82.788707206432107</v>
      </c>
      <c r="AJ61" s="625">
        <f t="shared" si="94"/>
        <v>-136.59369982125986</v>
      </c>
      <c r="AK61" s="4">
        <f t="shared" si="213"/>
        <v>0.92470106098661908</v>
      </c>
      <c r="AL61" s="5">
        <f t="shared" si="95"/>
        <v>-0.35940294219780572</v>
      </c>
      <c r="AM61" s="6">
        <f t="shared" si="96"/>
        <v>-0.12552877339391924</v>
      </c>
      <c r="AN61" s="612">
        <f t="shared" si="97"/>
        <v>-70.747208343630007</v>
      </c>
      <c r="AO61" s="613">
        <f t="shared" si="466"/>
        <v>22.37667936698271</v>
      </c>
      <c r="AP61" s="624">
        <f t="shared" si="99"/>
        <v>-21.239577493157633</v>
      </c>
      <c r="AQ61" s="625">
        <f t="shared" si="249"/>
        <v>2.9714273805864018</v>
      </c>
      <c r="AS61" s="56">
        <f t="shared" si="411"/>
        <v>-204.47512245501412</v>
      </c>
      <c r="AT61" s="77">
        <f t="shared" si="250"/>
        <v>-0.33572111238794644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6.2290000000000001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6.1289999999999996</v>
      </c>
      <c r="II61" s="800" cm="1">
        <f t="array" ref="II61">IFERROR(IF($IH61&lt;1,$IH61+LARGE((IF($M$9:$M$150="",0,$M$9:$M$150)-MOD(IF($M$9:$M$150="",0,$M$9:$M$150),1)),1),$IH61),"")</f>
        <v>6.1289999999999996</v>
      </c>
      <c r="IJ61" s="839" t="str">
        <f t="shared" si="386"/>
        <v>1613</v>
      </c>
      <c r="IK61" s="839" t="str">
        <f t="shared" si="387"/>
        <v>1313</v>
      </c>
      <c r="IL61" s="791">
        <f t="shared" si="228"/>
        <v>12.149098245887274</v>
      </c>
      <c r="IM61" s="830">
        <v>9.9710402618868291E-4</v>
      </c>
      <c r="IN61" s="5">
        <f t="shared" si="229"/>
        <v>0</v>
      </c>
      <c r="IO61" s="852">
        <v>0</v>
      </c>
      <c r="IP61" s="9">
        <f t="shared" si="230"/>
        <v>-4.1192124235446697</v>
      </c>
      <c r="IQ61" s="5">
        <f t="shared" si="231"/>
        <v>-1.1258033954230406</v>
      </c>
      <c r="IR61" s="5">
        <f t="shared" si="388"/>
        <v>0.314</v>
      </c>
      <c r="IS61" s="5">
        <f t="shared" si="232"/>
        <v>0.299669656000081</v>
      </c>
      <c r="IT61" s="791">
        <f t="shared" si="233"/>
        <v>70.747211643486651</v>
      </c>
      <c r="IU61" s="9">
        <f t="shared" si="234"/>
        <v>-4.1699125764563316</v>
      </c>
      <c r="IV61" s="5">
        <f t="shared" si="235"/>
        <v>-1.1115033522941105</v>
      </c>
      <c r="IW61" s="5">
        <f t="shared" si="389"/>
        <v>0.26600000000000001</v>
      </c>
      <c r="IX61" s="5">
        <f t="shared" si="236"/>
        <v>0.2459704822224407</v>
      </c>
      <c r="IY61" s="833">
        <f t="shared" si="237"/>
        <v>70.747208343630007</v>
      </c>
    </row>
    <row r="62" spans="1:259" ht="15" customHeight="1" x14ac:dyDescent="0.25">
      <c r="A62" s="84">
        <f t="shared" si="82"/>
        <v>0.02</v>
      </c>
      <c r="B62" s="770">
        <v>-1.9003192709904742</v>
      </c>
      <c r="C62" s="771">
        <v>-4.064515019199832</v>
      </c>
      <c r="D62" s="772">
        <v>-1.8264055084390136</v>
      </c>
      <c r="E62" s="773">
        <v>0.66312254978364371</v>
      </c>
      <c r="F62" s="771">
        <v>-0.74599928022573914</v>
      </c>
      <c r="G62" s="774">
        <v>6.1266286578496025E-2</v>
      </c>
      <c r="H62" s="773">
        <v>0.26600000000000001</v>
      </c>
      <c r="I62" s="771">
        <v>0.52</v>
      </c>
      <c r="J62" s="601">
        <v>6.2380000000000004</v>
      </c>
      <c r="K62" s="426" t="str">
        <f t="shared" si="225"/>
        <v>1313</v>
      </c>
      <c r="L62" s="327"/>
      <c r="M62" s="173">
        <f t="shared" si="242"/>
        <v>6.2380000000000004</v>
      </c>
      <c r="N62" s="21">
        <f t="shared" si="243"/>
        <v>-1.9003192709904742</v>
      </c>
      <c r="O62" s="5">
        <f t="shared" si="244"/>
        <v>-4.064515019199832</v>
      </c>
      <c r="P62" s="10">
        <f t="shared" si="245"/>
        <v>-1.8264055084390136</v>
      </c>
      <c r="Q62" s="624">
        <f t="shared" si="116"/>
        <v>244.9420776291318</v>
      </c>
      <c r="R62" s="5">
        <f t="shared" si="83"/>
        <v>4.4868135322296139</v>
      </c>
      <c r="S62" s="6">
        <f t="shared" si="84"/>
        <v>-1.8264055084390136</v>
      </c>
      <c r="T62" s="4">
        <f t="shared" si="85"/>
        <v>-4.0931892108995509</v>
      </c>
      <c r="U62" s="5">
        <f t="shared" si="86"/>
        <v>1.8377425708663042</v>
      </c>
      <c r="V62" s="8">
        <f t="shared" si="117"/>
        <v>-1.8264055084390136</v>
      </c>
      <c r="W62" s="624">
        <f t="shared" si="227"/>
        <v>155.82107750221991</v>
      </c>
      <c r="X62" s="5">
        <f t="shared" si="87"/>
        <v>4.4868135322296139</v>
      </c>
      <c r="Y62" s="7">
        <f t="shared" si="226"/>
        <v>-1.8264055084390136</v>
      </c>
      <c r="Z62" s="21">
        <f t="shared" si="246"/>
        <v>-0.66312254978364371</v>
      </c>
      <c r="AA62" s="5">
        <f t="shared" si="247"/>
        <v>0.74599928022573914</v>
      </c>
      <c r="AB62" s="5">
        <f t="shared" si="248"/>
        <v>-6.1266286578496025E-2</v>
      </c>
      <c r="AC62" s="8">
        <f t="shared" si="88"/>
        <v>1</v>
      </c>
      <c r="AD62" s="9">
        <f t="shared" si="118"/>
        <v>-0.66312254978364371</v>
      </c>
      <c r="AE62" s="5">
        <f t="shared" si="89"/>
        <v>0.74599928022573914</v>
      </c>
      <c r="AF62" s="10">
        <f t="shared" si="90"/>
        <v>-6.1266286578496025E-2</v>
      </c>
      <c r="AG62" s="622">
        <f t="shared" si="91"/>
        <v>85.305036498194241</v>
      </c>
      <c r="AH62" s="623">
        <f t="shared" si="92"/>
        <v>131.53845323646098</v>
      </c>
      <c r="AI62" s="624">
        <f t="shared" si="93"/>
        <v>-86.487500616194836</v>
      </c>
      <c r="AJ62" s="625">
        <f t="shared" si="94"/>
        <v>-138.36594244871412</v>
      </c>
      <c r="AK62" s="4">
        <f t="shared" si="213"/>
        <v>0.91666576780602105</v>
      </c>
      <c r="AL62" s="5">
        <f t="shared" si="95"/>
        <v>-0.39493076894752038</v>
      </c>
      <c r="AM62" s="6">
        <f t="shared" si="96"/>
        <v>-6.1266286578496025E-2</v>
      </c>
      <c r="AN62" s="612">
        <f t="shared" si="97"/>
        <v>-81.181897632975563</v>
      </c>
      <c r="AO62" s="613">
        <f t="shared" si="466"/>
        <v>23.556593172982151</v>
      </c>
      <c r="AP62" s="624">
        <f t="shared" si="99"/>
        <v>-23.308020077845928</v>
      </c>
      <c r="AQ62" s="625">
        <f t="shared" si="249"/>
        <v>2.7618945145880609</v>
      </c>
      <c r="AS62" s="56">
        <f t="shared" si="411"/>
        <v>-204.17892249778009</v>
      </c>
      <c r="AT62" s="77">
        <f t="shared" si="250"/>
        <v>-1.0517422461490671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6.2380000000000004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6.1379999999999999</v>
      </c>
      <c r="II62" s="800" cm="1">
        <f t="array" ref="II62">IFERROR(IF($IH62&lt;1,$IH62+LARGE((IF($M$9:$M$150="",0,$M$9:$M$150)-MOD(IF($M$9:$M$150="",0,$M$9:$M$150),1)),1),$IH62),"")</f>
        <v>6.1379999999999999</v>
      </c>
      <c r="IJ62" s="839" t="str">
        <f t="shared" si="386"/>
        <v>1613</v>
      </c>
      <c r="IK62" s="839" t="str">
        <f t="shared" si="387"/>
        <v>1313</v>
      </c>
      <c r="IL62" s="791">
        <f t="shared" si="228"/>
        <v>11.319898365608935</v>
      </c>
      <c r="IM62" s="830">
        <v>3.9302234644728398E-4</v>
      </c>
      <c r="IN62" s="5">
        <f t="shared" si="229"/>
        <v>0</v>
      </c>
      <c r="IO62" s="852">
        <v>0</v>
      </c>
      <c r="IP62" s="9">
        <f t="shared" si="230"/>
        <v>-4.4336133717779305</v>
      </c>
      <c r="IQ62" s="5">
        <f t="shared" si="231"/>
        <v>-1.8315055238206601</v>
      </c>
      <c r="IR62" s="5">
        <f t="shared" si="388"/>
        <v>0.314</v>
      </c>
      <c r="IS62" s="5">
        <f t="shared" si="232"/>
        <v>0.29767506933629445</v>
      </c>
      <c r="IT62" s="791">
        <f t="shared" si="233"/>
        <v>81.181901026556275</v>
      </c>
      <c r="IU62" s="9">
        <f t="shared" si="234"/>
        <v>-4.4868135322296139</v>
      </c>
      <c r="IV62" s="5">
        <f t="shared" si="235"/>
        <v>-1.8264055084390136</v>
      </c>
      <c r="IW62" s="5">
        <f t="shared" si="389"/>
        <v>0.26600000000000001</v>
      </c>
      <c r="IX62" s="5">
        <f t="shared" si="236"/>
        <v>0.24383309423640162</v>
      </c>
      <c r="IY62" s="833">
        <f t="shared" si="237"/>
        <v>81.181897632975563</v>
      </c>
    </row>
    <row r="63" spans="1:259" ht="15" customHeight="1" x14ac:dyDescent="0.25">
      <c r="A63" s="84">
        <f t="shared" si="82"/>
        <v>0.02</v>
      </c>
      <c r="B63" s="770">
        <v>-1.9766072387425233</v>
      </c>
      <c r="C63" s="771">
        <v>-4.2196003306422307</v>
      </c>
      <c r="D63" s="772">
        <v>-2.5869078021139309</v>
      </c>
      <c r="E63" s="773">
        <v>0.62186887129660284</v>
      </c>
      <c r="F63" s="771">
        <v>-0.78304211772608268</v>
      </c>
      <c r="G63" s="774">
        <v>1.1142207112645578E-2</v>
      </c>
      <c r="H63" s="773">
        <v>0.26600000000000001</v>
      </c>
      <c r="I63" s="771">
        <v>0.52</v>
      </c>
      <c r="J63" s="601">
        <v>6.2469999999999999</v>
      </c>
      <c r="K63" s="426" t="str">
        <f t="shared" si="225"/>
        <v>1313</v>
      </c>
      <c r="L63" s="327"/>
      <c r="M63" s="173">
        <f t="shared" si="242"/>
        <v>6.2469999999999999</v>
      </c>
      <c r="N63" s="21">
        <f t="shared" si="243"/>
        <v>-1.9766072387425233</v>
      </c>
      <c r="O63" s="5">
        <f t="shared" si="244"/>
        <v>-4.2196003306422307</v>
      </c>
      <c r="P63" s="10">
        <f t="shared" si="245"/>
        <v>-2.5869078021139309</v>
      </c>
      <c r="Q63" s="624">
        <f t="shared" si="116"/>
        <v>244.89997763521029</v>
      </c>
      <c r="R63" s="5">
        <f t="shared" si="83"/>
        <v>4.6596140533959858</v>
      </c>
      <c r="S63" s="6">
        <f t="shared" si="84"/>
        <v>-2.5869078021139309</v>
      </c>
      <c r="T63" s="4">
        <f t="shared" si="85"/>
        <v>-4.249426593789523</v>
      </c>
      <c r="U63" s="5">
        <f t="shared" si="86"/>
        <v>1.9116424222640966</v>
      </c>
      <c r="V63" s="8">
        <f t="shared" si="117"/>
        <v>-2.5869078021139309</v>
      </c>
      <c r="W63" s="624">
        <f t="shared" si="227"/>
        <v>155.7789775082984</v>
      </c>
      <c r="X63" s="5">
        <f t="shared" si="87"/>
        <v>4.6596140533959858</v>
      </c>
      <c r="Y63" s="7">
        <f t="shared" si="226"/>
        <v>-2.5869078021139309</v>
      </c>
      <c r="Z63" s="21">
        <f t="shared" si="246"/>
        <v>-0.62186887129660284</v>
      </c>
      <c r="AA63" s="5">
        <f t="shared" si="247"/>
        <v>0.78304211772608268</v>
      </c>
      <c r="AB63" s="5">
        <f t="shared" si="248"/>
        <v>-1.1142207112645578E-2</v>
      </c>
      <c r="AC63" s="8">
        <f t="shared" si="88"/>
        <v>1</v>
      </c>
      <c r="AD63" s="9">
        <f t="shared" si="118"/>
        <v>-0.62186887129660284</v>
      </c>
      <c r="AE63" s="5">
        <f t="shared" si="89"/>
        <v>0.78304211772608268</v>
      </c>
      <c r="AF63" s="10">
        <f t="shared" si="90"/>
        <v>-1.1142207112645578E-2</v>
      </c>
      <c r="AG63" s="622">
        <f t="shared" si="91"/>
        <v>89.184771360388908</v>
      </c>
      <c r="AH63" s="623">
        <f t="shared" si="92"/>
        <v>128.4527381639551</v>
      </c>
      <c r="AI63" s="624">
        <f t="shared" si="93"/>
        <v>-89.361585347786786</v>
      </c>
      <c r="AJ63" s="625">
        <f t="shared" si="94"/>
        <v>-141.54443725679099</v>
      </c>
      <c r="AK63" s="4">
        <f t="shared" si="213"/>
        <v>0.89531123506601218</v>
      </c>
      <c r="AL63" s="5">
        <f t="shared" si="95"/>
        <v>-0.44530174442194936</v>
      </c>
      <c r="AM63" s="6">
        <f t="shared" si="96"/>
        <v>-1.1142207112645578E-2</v>
      </c>
      <c r="AN63" s="612">
        <f t="shared" si="97"/>
        <v>-88.566661216272777</v>
      </c>
      <c r="AO63" s="613">
        <f t="shared" si="466"/>
        <v>26.45156501856836</v>
      </c>
      <c r="AP63" s="624">
        <f t="shared" si="99"/>
        <v>-26.444414892001273</v>
      </c>
      <c r="AQ63" s="625">
        <f t="shared" si="249"/>
        <v>2.6596203000310434</v>
      </c>
      <c r="AS63" s="56">
        <f t="shared" si="411"/>
        <v>-204.2210224917016</v>
      </c>
      <c r="AT63" s="77">
        <f t="shared" si="250"/>
        <v>-1.8120854954025032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6.2469999999999999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6.1470000000000002</v>
      </c>
      <c r="II63" s="800" cm="1">
        <f t="array" ref="II63">IFERROR(IF($IH63&lt;1,$IH63+LARGE((IF($M$9:$M$150="",0,$M$9:$M$150)-MOD(IF($M$9:$M$150="",0,$M$9:$M$150),1)),1),$IH63),"")</f>
        <v>6.1470000000000002</v>
      </c>
      <c r="IJ63" s="839" t="str">
        <f t="shared" si="386"/>
        <v>1613</v>
      </c>
      <c r="IK63" s="839" t="str">
        <f t="shared" si="387"/>
        <v>1313</v>
      </c>
      <c r="IL63" s="791">
        <f t="shared" si="228"/>
        <v>11.065998402267553</v>
      </c>
      <c r="IM63" s="830">
        <v>9.3653900146051805E-5</v>
      </c>
      <c r="IN63" s="5">
        <f t="shared" si="229"/>
        <v>0</v>
      </c>
      <c r="IO63" s="852">
        <v>0</v>
      </c>
      <c r="IP63" s="9">
        <f t="shared" si="230"/>
        <v>-4.6056138905314947</v>
      </c>
      <c r="IQ63" s="5">
        <f t="shared" si="231"/>
        <v>-2.5852077969867158</v>
      </c>
      <c r="IR63" s="5">
        <f t="shared" si="388"/>
        <v>0.314</v>
      </c>
      <c r="IS63" s="5">
        <f t="shared" si="232"/>
        <v>0.29224829450223089</v>
      </c>
      <c r="IT63" s="791">
        <f t="shared" si="233"/>
        <v>88.56666425705221</v>
      </c>
      <c r="IU63" s="9">
        <f t="shared" si="234"/>
        <v>-4.6596140533959858</v>
      </c>
      <c r="IV63" s="5">
        <f t="shared" si="235"/>
        <v>-2.5869078021139309</v>
      </c>
      <c r="IW63" s="5">
        <f t="shared" si="389"/>
        <v>0.26600000000000001</v>
      </c>
      <c r="IX63" s="5">
        <f t="shared" si="236"/>
        <v>0.23815278852755925</v>
      </c>
      <c r="IY63" s="833">
        <f t="shared" si="237"/>
        <v>88.566661216272777</v>
      </c>
    </row>
    <row r="64" spans="1:259" ht="15" customHeight="1" x14ac:dyDescent="0.25">
      <c r="A64" s="84">
        <f t="shared" si="82"/>
        <v>0.02</v>
      </c>
      <c r="B64" s="770">
        <v>-0.51121642693402614</v>
      </c>
      <c r="C64" s="771">
        <v>-0.29515073558672933</v>
      </c>
      <c r="D64" s="772">
        <v>-0.49710149925812175</v>
      </c>
      <c r="E64" s="773">
        <v>0.54097536073219554</v>
      </c>
      <c r="F64" s="771">
        <v>-0.80302283619345605</v>
      </c>
      <c r="G64" s="774">
        <v>0.24999996726497573</v>
      </c>
      <c r="H64" s="773">
        <v>0.314</v>
      </c>
      <c r="I64" s="771">
        <v>0.52</v>
      </c>
      <c r="J64" s="601">
        <v>7.1020000000000003</v>
      </c>
      <c r="K64" s="426" t="str">
        <f t="shared" si="225"/>
        <v>1613</v>
      </c>
      <c r="L64" s="327"/>
      <c r="M64" s="173">
        <f t="shared" si="242"/>
        <v>7.1020000000000003</v>
      </c>
      <c r="N64" s="21">
        <f t="shared" si="243"/>
        <v>-0.51121642693402614</v>
      </c>
      <c r="O64" s="5">
        <f t="shared" si="244"/>
        <v>-0.29515073558672933</v>
      </c>
      <c r="P64" s="10">
        <f t="shared" si="245"/>
        <v>-0.49710149925812175</v>
      </c>
      <c r="Q64" s="624">
        <f t="shared" si="116"/>
        <v>209.99998267414614</v>
      </c>
      <c r="R64" s="5">
        <f t="shared" si="83"/>
        <v>0.59030178035016956</v>
      </c>
      <c r="S64" s="6">
        <f t="shared" si="84"/>
        <v>-0.49710149925812175</v>
      </c>
      <c r="T64" s="4">
        <f t="shared" si="85"/>
        <v>-0.30295849242731326</v>
      </c>
      <c r="U64" s="5">
        <f t="shared" si="86"/>
        <v>0.50662840795868258</v>
      </c>
      <c r="V64" s="8">
        <f t="shared" si="117"/>
        <v>-0.49710149925812175</v>
      </c>
      <c r="W64" s="624">
        <f t="shared" si="227"/>
        <v>120.87898254723426</v>
      </c>
      <c r="X64" s="5">
        <f t="shared" si="87"/>
        <v>0.59030178035016956</v>
      </c>
      <c r="Y64" s="7">
        <f t="shared" si="226"/>
        <v>-0.49710149925812175</v>
      </c>
      <c r="Z64" s="21">
        <f t="shared" si="246"/>
        <v>-0.54097536073219554</v>
      </c>
      <c r="AA64" s="5">
        <f t="shared" si="247"/>
        <v>0.80302283619345605</v>
      </c>
      <c r="AB64" s="5">
        <f t="shared" si="248"/>
        <v>-0.24999996726497573</v>
      </c>
      <c r="AC64" s="8">
        <f t="shared" si="88"/>
        <v>1</v>
      </c>
      <c r="AD64" s="9">
        <f t="shared" si="118"/>
        <v>-0.54097536073219554</v>
      </c>
      <c r="AE64" s="5">
        <f t="shared" si="89"/>
        <v>0.80302283619345605</v>
      </c>
      <c r="AF64" s="10">
        <f t="shared" si="90"/>
        <v>-0.24999996726497573</v>
      </c>
      <c r="AG64" s="622">
        <f t="shared" si="91"/>
        <v>72.707401525173708</v>
      </c>
      <c r="AH64" s="623">
        <f t="shared" si="92"/>
        <v>122.7500605879534</v>
      </c>
      <c r="AI64" s="624">
        <f t="shared" si="93"/>
        <v>-75.522489751159455</v>
      </c>
      <c r="AJ64" s="625">
        <f t="shared" si="94"/>
        <v>-146.03288768076729</v>
      </c>
      <c r="AK64" s="4">
        <f t="shared" si="213"/>
        <v>0.96592583607220739</v>
      </c>
      <c r="AL64" s="5">
        <f t="shared" si="95"/>
        <v>6.6987279208207351E-2</v>
      </c>
      <c r="AM64" s="6">
        <f t="shared" si="96"/>
        <v>-0.24999996726497573</v>
      </c>
      <c r="AN64" s="612">
        <f t="shared" si="97"/>
        <v>14.999997834268296</v>
      </c>
      <c r="AO64" s="613">
        <f t="shared" si="466"/>
        <v>14.999997834268255</v>
      </c>
      <c r="AP64" s="624">
        <f t="shared" si="99"/>
        <v>3.9671296450865805</v>
      </c>
      <c r="AQ64" s="625">
        <f t="shared" si="249"/>
        <v>20.136879791800201</v>
      </c>
      <c r="AS64" s="56">
        <f t="shared" si="411"/>
        <v>-239.12101745276573</v>
      </c>
      <c r="AT64" s="77">
        <f t="shared" si="250"/>
        <v>0.40956523286177049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7.1020000000000003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-1.1541557380568805</v>
      </c>
      <c r="C65" s="771">
        <v>-0.66635166070884988</v>
      </c>
      <c r="D65" s="772">
        <v>-0.29810089907231158</v>
      </c>
      <c r="E65" s="773">
        <v>0.54097536073219565</v>
      </c>
      <c r="F65" s="771">
        <v>-0.80302283619345605</v>
      </c>
      <c r="G65" s="774">
        <v>0.24999996726497564</v>
      </c>
      <c r="H65" s="773">
        <v>0.314</v>
      </c>
      <c r="I65" s="771">
        <v>0.52</v>
      </c>
      <c r="J65" s="601">
        <v>7.1050000000000004</v>
      </c>
      <c r="K65" s="426" t="str">
        <f t="shared" si="225"/>
        <v>1613</v>
      </c>
      <c r="L65" s="327"/>
      <c r="M65" s="173">
        <f t="shared" si="242"/>
        <v>7.1050000000000004</v>
      </c>
      <c r="N65" s="21">
        <f t="shared" si="243"/>
        <v>-1.1541557380568805</v>
      </c>
      <c r="O65" s="5">
        <f t="shared" si="244"/>
        <v>-0.66635166070884988</v>
      </c>
      <c r="P65" s="10">
        <f t="shared" si="245"/>
        <v>-0.29810089907231158</v>
      </c>
      <c r="Q65" s="624">
        <f t="shared" si="116"/>
        <v>209.99998267414614</v>
      </c>
      <c r="R65" s="5">
        <f t="shared" si="83"/>
        <v>1.3327040194353226</v>
      </c>
      <c r="S65" s="6">
        <f t="shared" si="84"/>
        <v>-0.29810089907231158</v>
      </c>
      <c r="T65" s="4">
        <f t="shared" si="85"/>
        <v>-0.68397896469232655</v>
      </c>
      <c r="U65" s="5">
        <f t="shared" si="86"/>
        <v>1.1437975254727024</v>
      </c>
      <c r="V65" s="8">
        <f t="shared" si="117"/>
        <v>-0.29810089907231158</v>
      </c>
      <c r="W65" s="624">
        <f t="shared" si="227"/>
        <v>120.87898254723426</v>
      </c>
      <c r="X65" s="5">
        <f t="shared" si="87"/>
        <v>1.3327040194353226</v>
      </c>
      <c r="Y65" s="7">
        <f t="shared" si="226"/>
        <v>-0.29810089907231158</v>
      </c>
      <c r="Z65" s="21">
        <f t="shared" si="246"/>
        <v>-0.54097536073219565</v>
      </c>
      <c r="AA65" s="5">
        <f t="shared" si="247"/>
        <v>0.80302283619345605</v>
      </c>
      <c r="AB65" s="5">
        <f t="shared" si="248"/>
        <v>-0.24999996726497564</v>
      </c>
      <c r="AC65" s="8">
        <f t="shared" si="88"/>
        <v>1</v>
      </c>
      <c r="AD65" s="9">
        <f t="shared" si="118"/>
        <v>-0.54097536073219565</v>
      </c>
      <c r="AE65" s="5">
        <f t="shared" si="89"/>
        <v>0.80302283619345605</v>
      </c>
      <c r="AF65" s="10">
        <f t="shared" si="90"/>
        <v>-0.24999996726497564</v>
      </c>
      <c r="AG65" s="622">
        <f t="shared" si="91"/>
        <v>72.707401525173722</v>
      </c>
      <c r="AH65" s="623">
        <f t="shared" si="92"/>
        <v>122.7500605879534</v>
      </c>
      <c r="AI65" s="624">
        <f t="shared" si="93"/>
        <v>-75.522489751159469</v>
      </c>
      <c r="AJ65" s="625">
        <f t="shared" si="94"/>
        <v>-146.03288768076726</v>
      </c>
      <c r="AK65" s="4">
        <f t="shared" si="213"/>
        <v>0.9659258360722075</v>
      </c>
      <c r="AL65" s="5">
        <f t="shared" si="95"/>
        <v>6.6987279208207406E-2</v>
      </c>
      <c r="AM65" s="6">
        <f t="shared" si="96"/>
        <v>-0.24999996726497564</v>
      </c>
      <c r="AN65" s="612">
        <f t="shared" si="97"/>
        <v>14.999997834268312</v>
      </c>
      <c r="AO65" s="613">
        <f t="shared" si="466"/>
        <v>14.99999783426823</v>
      </c>
      <c r="AP65" s="624">
        <f t="shared" si="99"/>
        <v>3.9671296450865832</v>
      </c>
      <c r="AQ65" s="625">
        <f t="shared" si="249"/>
        <v>9.2251245475717401</v>
      </c>
      <c r="AS65" s="56">
        <f t="shared" si="411"/>
        <v>-239.12101745276573</v>
      </c>
      <c r="AT65" s="77">
        <f t="shared" si="250"/>
        <v>0.60856583304758072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7.1050000000000004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-1.8034104235719435</v>
      </c>
      <c r="C66" s="771">
        <v>-1.0283544334705348</v>
      </c>
      <c r="D66" s="772">
        <v>-0.10240030883933153</v>
      </c>
      <c r="E66" s="773">
        <v>0.48882131366016057</v>
      </c>
      <c r="F66" s="771">
        <v>-0.83257840304751762</v>
      </c>
      <c r="G66" s="774">
        <v>0.26051281367794593</v>
      </c>
      <c r="H66" s="773">
        <v>0.314</v>
      </c>
      <c r="I66" s="771">
        <v>0.52</v>
      </c>
      <c r="J66" s="601">
        <v>7.1079999999999997</v>
      </c>
      <c r="K66" s="426" t="str">
        <f t="shared" si="225"/>
        <v>1613</v>
      </c>
      <c r="L66" s="327"/>
      <c r="M66" s="173">
        <f t="shared" si="242"/>
        <v>7.1079999999999997</v>
      </c>
      <c r="N66" s="21">
        <f t="shared" si="243"/>
        <v>-1.8034104235719435</v>
      </c>
      <c r="O66" s="5">
        <f t="shared" si="244"/>
        <v>-1.0283544334705348</v>
      </c>
      <c r="P66" s="10">
        <f t="shared" si="245"/>
        <v>-0.10240030883933153</v>
      </c>
      <c r="Q66" s="624">
        <f t="shared" si="116"/>
        <v>209.69298271847146</v>
      </c>
      <c r="R66" s="5">
        <f t="shared" si="83"/>
        <v>2.076006261234884</v>
      </c>
      <c r="S66" s="6">
        <f t="shared" si="84"/>
        <v>-0.10240030883933153</v>
      </c>
      <c r="T66" s="4">
        <f t="shared" si="85"/>
        <v>-1.0558992501623805</v>
      </c>
      <c r="U66" s="5">
        <f t="shared" si="86"/>
        <v>1.7874223815855512</v>
      </c>
      <c r="V66" s="8">
        <f t="shared" si="117"/>
        <v>-0.10240030883933153</v>
      </c>
      <c r="W66" s="624">
        <f t="shared" si="227"/>
        <v>120.57198259155957</v>
      </c>
      <c r="X66" s="5">
        <f t="shared" si="87"/>
        <v>2.076006261234884</v>
      </c>
      <c r="Y66" s="7">
        <f t="shared" si="226"/>
        <v>-0.10240030883933153</v>
      </c>
      <c r="Z66" s="21">
        <f t="shared" si="246"/>
        <v>-0.48882131366016057</v>
      </c>
      <c r="AA66" s="5">
        <f t="shared" si="247"/>
        <v>0.83257840304751762</v>
      </c>
      <c r="AB66" s="5">
        <f t="shared" si="248"/>
        <v>-0.26051281367794593</v>
      </c>
      <c r="AC66" s="8">
        <f t="shared" si="88"/>
        <v>1</v>
      </c>
      <c r="AD66" s="9">
        <f t="shared" si="118"/>
        <v>-0.48882131366016057</v>
      </c>
      <c r="AE66" s="5">
        <f t="shared" si="89"/>
        <v>0.83257840304751762</v>
      </c>
      <c r="AF66" s="10">
        <f t="shared" si="90"/>
        <v>-0.26051281367794593</v>
      </c>
      <c r="AG66" s="622">
        <f t="shared" si="91"/>
        <v>72.625159140560427</v>
      </c>
      <c r="AH66" s="623">
        <f t="shared" si="92"/>
        <v>119.26313934586381</v>
      </c>
      <c r="AI66" s="624">
        <f t="shared" si="93"/>
        <v>-74.899507138775078</v>
      </c>
      <c r="AJ66" s="625">
        <f t="shared" si="94"/>
        <v>-149.58206111649537</v>
      </c>
      <c r="AK66" s="4">
        <f t="shared" si="213"/>
        <v>0.96539310742827167</v>
      </c>
      <c r="AL66" s="5">
        <f t="shared" si="95"/>
        <v>1.2215647325671763E-2</v>
      </c>
      <c r="AM66" s="6">
        <f t="shared" si="96"/>
        <v>-0.26051281367794593</v>
      </c>
      <c r="AN66" s="612">
        <f t="shared" si="97"/>
        <v>2.6846769291969519</v>
      </c>
      <c r="AO66" s="613">
        <f t="shared" si="466"/>
        <v>15.117480632694383</v>
      </c>
      <c r="AP66" s="624">
        <f t="shared" si="99"/>
        <v>0.72495616503319704</v>
      </c>
      <c r="AQ66" s="625">
        <f t="shared" si="249"/>
        <v>5.9523254787657089</v>
      </c>
      <c r="AS66" s="56">
        <f t="shared" si="411"/>
        <v>-239.42801740844044</v>
      </c>
      <c r="AT66" s="77">
        <f t="shared" si="250"/>
        <v>0.80542620089088746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7.1079999999999997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-2.4920409121784224</v>
      </c>
      <c r="C67" s="771">
        <v>-1.3689907768419207</v>
      </c>
      <c r="D67" s="772">
        <v>-0.11280034020582606</v>
      </c>
      <c r="E67" s="773">
        <v>0.36078759337380945</v>
      </c>
      <c r="F67" s="771">
        <v>-0.9012796975950329</v>
      </c>
      <c r="G67" s="774">
        <v>0.2398483253444578</v>
      </c>
      <c r="H67" s="773">
        <v>0.314</v>
      </c>
      <c r="I67" s="771">
        <v>0.52</v>
      </c>
      <c r="J67" s="601">
        <v>7.1130000000000004</v>
      </c>
      <c r="K67" s="426" t="str">
        <f t="shared" si="225"/>
        <v>1613</v>
      </c>
      <c r="L67" s="327"/>
      <c r="M67" s="173">
        <f t="shared" si="242"/>
        <v>7.1130000000000004</v>
      </c>
      <c r="N67" s="21">
        <f t="shared" si="243"/>
        <v>-2.4920409121784224</v>
      </c>
      <c r="O67" s="5">
        <f t="shared" si="244"/>
        <v>-1.3689907768419207</v>
      </c>
      <c r="P67" s="10">
        <f t="shared" si="245"/>
        <v>-0.11280034020582606</v>
      </c>
      <c r="Q67" s="624">
        <f t="shared" si="116"/>
        <v>208.78198285000357</v>
      </c>
      <c r="R67" s="5">
        <f>IF(M67="","",SQRT(N67^2+O67^2))</f>
        <v>2.8433085754186633</v>
      </c>
      <c r="S67" s="6">
        <f>IF(M67="","",P67)</f>
        <v>-0.11280034020582606</v>
      </c>
      <c r="T67" s="4">
        <f>IF(M67="","",X67*COS(RADIANS(W67)))</f>
        <v>-1.4070596784924958</v>
      </c>
      <c r="U67" s="5">
        <f>IF(M67="","",X67*SIN(RADIANS(W67)))</f>
        <v>2.4707461861166364</v>
      </c>
      <c r="V67" s="8">
        <f>IF(M67="","",Y67)</f>
        <v>-0.11280034020582606</v>
      </c>
      <c r="W67" s="624">
        <f t="shared" si="227"/>
        <v>119.66098272309169</v>
      </c>
      <c r="X67" s="5">
        <f>IF(M67="","",R67)</f>
        <v>2.8433085754186633</v>
      </c>
      <c r="Y67" s="7">
        <f t="shared" si="226"/>
        <v>-0.11280034020582606</v>
      </c>
      <c r="Z67" s="21">
        <f t="shared" si="246"/>
        <v>-0.36078759337380945</v>
      </c>
      <c r="AA67" s="5">
        <f t="shared" si="247"/>
        <v>0.9012796975950329</v>
      </c>
      <c r="AB67" s="5">
        <f t="shared" si="248"/>
        <v>-0.2398483253444578</v>
      </c>
      <c r="AC67" s="8">
        <f>IF(M67="","",SQRT(Z67^2+AA67^2+AB67^2))</f>
        <v>1</v>
      </c>
      <c r="AD67" s="9">
        <f>IF(M67="","",Z67*(1/SQRT(Z67^2+AA67^2+AB67^2)))</f>
        <v>-0.36078759337380945</v>
      </c>
      <c r="AE67" s="5">
        <f>IF(M67="","",AA67*(1/SQRT(Z67^2+AA67^2+AB67^2)))</f>
        <v>0.9012796975950329</v>
      </c>
      <c r="AF67" s="10">
        <f>IF(M67="","",AB67*(1/SQRT(Z67^2+AA67^2+AB67^2)))</f>
        <v>-0.2398483253444578</v>
      </c>
      <c r="AG67" s="622">
        <f>IF(M67="","",DEGREES(ATAN2(-AF67,AE67)))</f>
        <v>75.097842566673108</v>
      </c>
      <c r="AH67" s="623">
        <f>IF(M67="","",DEGREES(ACOS(AD67)))</f>
        <v>111.14857270292121</v>
      </c>
      <c r="AI67" s="624">
        <f>IF(M67="","",DEGREES(-ACOS(-AF67)))</f>
        <v>-76.12241142200736</v>
      </c>
      <c r="AJ67" s="625">
        <f>IF(M67="","",DEGREES(ATAN2(-AE67,AD67)))</f>
        <v>-158.18348210988688</v>
      </c>
      <c r="AK67" s="4">
        <f>IF(M67="","",(COS(RADIANS((90-$Q$8)-W67))*AD67)+(-SIN(RADIANS((90-$Q$8)-W67))*AE67))</f>
        <v>0.96364523750184716</v>
      </c>
      <c r="AL67" s="5">
        <f>IF(M67="","",(SIN(RADIANS((90-$Q$8)-W67))*AD67)+(COS(RADIANS((90-$Q$8)-W67))*AE67))</f>
        <v>-0.11773120686320898</v>
      </c>
      <c r="AM67" s="6">
        <f>IF(M67="","",AF67)</f>
        <v>-0.2398483253444578</v>
      </c>
      <c r="AN67" s="612">
        <f>IF(M67="","",DEGREES(ATAN2(-AM67,AL67)))</f>
        <v>-26.144431837861983</v>
      </c>
      <c r="AO67" s="613">
        <f t="shared" si="466"/>
        <v>15.496829938406256</v>
      </c>
      <c r="AP67" s="624">
        <f>IF(M67="","",DEGREES(ATAN2(AK67,AL67)))</f>
        <v>-6.9654649598904674</v>
      </c>
      <c r="AQ67" s="625">
        <f t="shared" si="249"/>
        <v>4.3533224107487536</v>
      </c>
      <c r="AS67" s="56">
        <f t="shared" si="411"/>
        <v>-240.33901727690829</v>
      </c>
      <c r="AT67" s="77">
        <f t="shared" si="250"/>
        <v>0.79846772458304927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7.1130000000000004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0.02</v>
      </c>
      <c r="B68" s="770">
        <v>-3.1297066534768119</v>
      </c>
      <c r="C68" s="771">
        <v>-1.6463381749214667</v>
      </c>
      <c r="D68" s="772">
        <v>-0.44280133548882789</v>
      </c>
      <c r="E68" s="773">
        <v>0.24946988697098793</v>
      </c>
      <c r="F68" s="771">
        <v>-0.95503136098643715</v>
      </c>
      <c r="G68" s="774">
        <v>0.16024941506001272</v>
      </c>
      <c r="H68" s="773">
        <v>0.314</v>
      </c>
      <c r="I68" s="771">
        <v>0.52</v>
      </c>
      <c r="J68" s="601">
        <v>7.1189999999999998</v>
      </c>
      <c r="K68" s="426" t="str">
        <f t="shared" si="225"/>
        <v>1613</v>
      </c>
      <c r="L68" s="327"/>
      <c r="M68" s="173">
        <f t="shared" si="242"/>
        <v>7.1189999999999998</v>
      </c>
      <c r="N68" s="21">
        <f t="shared" si="243"/>
        <v>-3.1297066534768119</v>
      </c>
      <c r="O68" s="5">
        <f t="shared" si="244"/>
        <v>-1.6463381749214667</v>
      </c>
      <c r="P68" s="10">
        <f t="shared" si="245"/>
        <v>-0.44280133548882789</v>
      </c>
      <c r="Q68" s="624">
        <f t="shared" si="116"/>
        <v>207.74598299958342</v>
      </c>
      <c r="R68" s="5">
        <f>IF(M68="","",SQRT(N68^2+O68^2))</f>
        <v>3.5363106655129677</v>
      </c>
      <c r="S68" s="6">
        <f>IF(M68="","",P68)</f>
        <v>-0.44280133548882789</v>
      </c>
      <c r="T68" s="4">
        <f>IF(M68="","",X68*COS(RADIANS(W68)))</f>
        <v>-1.694156767182301</v>
      </c>
      <c r="U68" s="5">
        <f>IF(M68="","",X68*SIN(RADIANS(W68)))</f>
        <v>3.1040821463407156</v>
      </c>
      <c r="V68" s="8">
        <f>IF(M68="","",Y68)</f>
        <v>-0.44280133548882789</v>
      </c>
      <c r="W68" s="624">
        <f t="shared" si="227"/>
        <v>118.62498287267154</v>
      </c>
      <c r="X68" s="5">
        <f>IF(M68="","",R68)</f>
        <v>3.5363106655129677</v>
      </c>
      <c r="Y68" s="7">
        <f t="shared" si="226"/>
        <v>-0.44280133548882789</v>
      </c>
      <c r="Z68" s="21">
        <f t="shared" si="246"/>
        <v>-0.24946988697098793</v>
      </c>
      <c r="AA68" s="5">
        <f t="shared" si="247"/>
        <v>0.95503136098643715</v>
      </c>
      <c r="AB68" s="5">
        <f t="shared" si="248"/>
        <v>-0.16024941506001272</v>
      </c>
      <c r="AC68" s="8">
        <f>IF(M68="","",SQRT(Z68^2+AA68^2+AB68^2))</f>
        <v>1</v>
      </c>
      <c r="AD68" s="9">
        <f>IF(M68="","",Z68*(1/SQRT(Z68^2+AA68^2+AB68^2)))</f>
        <v>-0.24946988697098793</v>
      </c>
      <c r="AE68" s="5">
        <f>IF(M68="","",AA68*(1/SQRT(Z68^2+AA68^2+AB68^2)))</f>
        <v>0.95503136098643715</v>
      </c>
      <c r="AF68" s="10">
        <f>IF(M68="","",AB68*(1/SQRT(Z68^2+AA68^2+AB68^2)))</f>
        <v>-0.16024941506001272</v>
      </c>
      <c r="AG68" s="622">
        <f>IF(M68="","",DEGREES(ATAN2(-AF68,AE68)))</f>
        <v>80.474792060094572</v>
      </c>
      <c r="AH68" s="623">
        <f>IF(M68="","",DEGREES(ACOS(AD68)))</f>
        <v>104.44614505470372</v>
      </c>
      <c r="AI68" s="624">
        <f>IF(M68="","",DEGREES(-ACOS(-AF68)))</f>
        <v>-80.778626545587073</v>
      </c>
      <c r="AJ68" s="625">
        <f>IF(M68="","",DEGREES(ATAN2(-AE68,AD68)))</f>
        <v>-165.36051975867434</v>
      </c>
      <c r="AK68" s="4">
        <f>IF(M68="","",(COS(RADIANS((90-$Q$8)-W68))*AD68)+(-SIN(RADIANS((90-$Q$8)-W68))*AE68))</f>
        <v>0.96136344476929592</v>
      </c>
      <c r="AL68" s="5">
        <f>IF(M68="","",(SIN(RADIANS((90-$Q$8)-W68))*AD68)+(COS(RADIANS((90-$Q$8)-W68))*AE68))</f>
        <v>-0.22383130262373238</v>
      </c>
      <c r="AM68" s="6">
        <f>IF(M68="","",AF68)</f>
        <v>-0.16024941506001272</v>
      </c>
      <c r="AN68" s="612">
        <f>IF(M68="","",DEGREES(ATAN2(-AM68,AL68)))</f>
        <v>-54.399671429241486</v>
      </c>
      <c r="AO68" s="613">
        <f t="shared" si="466"/>
        <v>15.978836192187282</v>
      </c>
      <c r="AP68" s="624">
        <f>IF(M68="","",DEGREES(ATAN2(AK68,AL68)))</f>
        <v>-13.106502758257754</v>
      </c>
      <c r="AQ68" s="625">
        <f t="shared" si="249"/>
        <v>3.5025939177325012</v>
      </c>
      <c r="AS68" s="56">
        <f t="shared" si="411"/>
        <v>-241.37501712732848</v>
      </c>
      <c r="AT68" s="77">
        <f t="shared" si="250"/>
        <v>0.47238050651274593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7.1189999999999998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0.02</v>
      </c>
      <c r="B69" s="770">
        <v>-3.6345160625057149</v>
      </c>
      <c r="C69" s="771">
        <v>-1.8415016935850637</v>
      </c>
      <c r="D69" s="772">
        <v>-1.0524031740479729</v>
      </c>
      <c r="E69" s="773">
        <v>0.19544192499713098</v>
      </c>
      <c r="F69" s="771">
        <v>-0.97625762501255231</v>
      </c>
      <c r="G69" s="774">
        <v>9.3399697848904728E-2</v>
      </c>
      <c r="H69" s="773">
        <v>0.314</v>
      </c>
      <c r="I69" s="771">
        <v>0.52</v>
      </c>
      <c r="J69" s="601">
        <v>7.1280000000000001</v>
      </c>
      <c r="K69" s="426" t="str">
        <f t="shared" si="225"/>
        <v>1613</v>
      </c>
      <c r="L69" s="327"/>
      <c r="M69" s="173">
        <f t="shared" si="242"/>
        <v>7.1280000000000001</v>
      </c>
      <c r="N69" s="21">
        <f t="shared" si="243"/>
        <v>-3.6345160625057149</v>
      </c>
      <c r="O69" s="5">
        <f t="shared" si="244"/>
        <v>-1.8415016935850637</v>
      </c>
      <c r="P69" s="10">
        <f t="shared" si="245"/>
        <v>-1.0524031740479729</v>
      </c>
      <c r="Q69" s="624">
        <f t="shared" si="116"/>
        <v>206.86998312606218</v>
      </c>
      <c r="R69" s="5">
        <f t="shared" si="83"/>
        <v>4.0744122884274612</v>
      </c>
      <c r="S69" s="6">
        <f t="shared" si="84"/>
        <v>-1.0524031740479729</v>
      </c>
      <c r="T69" s="4">
        <f t="shared" si="85"/>
        <v>-1.8970415199060351</v>
      </c>
      <c r="U69" s="5">
        <f t="shared" si="86"/>
        <v>3.6058381782660884</v>
      </c>
      <c r="V69" s="8">
        <f t="shared" si="117"/>
        <v>-1.0524031740479729</v>
      </c>
      <c r="W69" s="624">
        <f t="shared" si="227"/>
        <v>117.7489829991503</v>
      </c>
      <c r="X69" s="5">
        <f t="shared" si="87"/>
        <v>4.0744122884274612</v>
      </c>
      <c r="Y69" s="7">
        <f t="shared" si="226"/>
        <v>-1.0524031740479729</v>
      </c>
      <c r="Z69" s="21">
        <f t="shared" si="246"/>
        <v>-0.19544192499713098</v>
      </c>
      <c r="AA69" s="5">
        <f t="shared" si="247"/>
        <v>0.97625762501255231</v>
      </c>
      <c r="AB69" s="5">
        <f t="shared" si="248"/>
        <v>-9.3399697848904728E-2</v>
      </c>
      <c r="AC69" s="8">
        <f t="shared" si="88"/>
        <v>1</v>
      </c>
      <c r="AD69" s="9">
        <f t="shared" si="118"/>
        <v>-0.19544192499713098</v>
      </c>
      <c r="AE69" s="5">
        <f t="shared" si="89"/>
        <v>0.97625762501255231</v>
      </c>
      <c r="AF69" s="10">
        <f t="shared" si="90"/>
        <v>-9.3399697848904728E-2</v>
      </c>
      <c r="AG69" s="622">
        <f t="shared" si="91"/>
        <v>84.535079321426281</v>
      </c>
      <c r="AH69" s="623">
        <f t="shared" si="92"/>
        <v>101.27054077077567</v>
      </c>
      <c r="AI69" s="624">
        <f t="shared" si="93"/>
        <v>-84.640780297773716</v>
      </c>
      <c r="AJ69" s="625">
        <f t="shared" si="94"/>
        <v>-168.67932329113214</v>
      </c>
      <c r="AK69" s="4">
        <f t="shared" si="213"/>
        <v>0.95918880527427053</v>
      </c>
      <c r="AL69" s="5">
        <f t="shared" si="95"/>
        <v>-0.26689573297123126</v>
      </c>
      <c r="AM69" s="6">
        <f t="shared" si="96"/>
        <v>-9.3399697848904728E-2</v>
      </c>
      <c r="AN69" s="612">
        <f t="shared" si="97"/>
        <v>-70.712594694272937</v>
      </c>
      <c r="AO69" s="613">
        <f t="shared" si="466"/>
        <v>16.425381599196097</v>
      </c>
      <c r="AP69" s="624">
        <f t="shared" si="99"/>
        <v>-15.549306417194325</v>
      </c>
      <c r="AQ69" s="625">
        <f t="shared" si="249"/>
        <v>3.0409455407273764</v>
      </c>
      <c r="AS69" s="56">
        <f t="shared" si="411"/>
        <v>-242.25101700084969</v>
      </c>
      <c r="AT69" s="77">
        <f t="shared" si="250"/>
        <v>-0.1339119991908746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7.1280000000000001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0.02</v>
      </c>
      <c r="B70" s="770">
        <v>-3.9497146435144606</v>
      </c>
      <c r="C70" s="771">
        <v>-1.9528411478866983</v>
      </c>
      <c r="D70" s="772">
        <v>-1.7500052780159185</v>
      </c>
      <c r="E70" s="773">
        <v>0.15415746479814077</v>
      </c>
      <c r="F70" s="771">
        <v>-0.98696381359582575</v>
      </c>
      <c r="G70" s="774">
        <v>4.623750316998284E-2</v>
      </c>
      <c r="H70" s="773">
        <v>0.314</v>
      </c>
      <c r="I70" s="771">
        <v>0.52</v>
      </c>
      <c r="J70" s="601">
        <v>7.1369999999999996</v>
      </c>
      <c r="K70" s="426" t="str">
        <f t="shared" si="225"/>
        <v>1613</v>
      </c>
      <c r="L70" s="327"/>
      <c r="M70" s="173">
        <f t="shared" si="242"/>
        <v>7.1369999999999996</v>
      </c>
      <c r="N70" s="21">
        <f t="shared" si="243"/>
        <v>-3.9497146435144606</v>
      </c>
      <c r="O70" s="5">
        <f t="shared" si="244"/>
        <v>-1.9528411478866983</v>
      </c>
      <c r="P70" s="10">
        <f t="shared" si="245"/>
        <v>-1.7500052780159185</v>
      </c>
      <c r="Q70" s="624">
        <f t="shared" si="116"/>
        <v>206.30898320706052</v>
      </c>
      <c r="R70" s="5">
        <f t="shared" si="83"/>
        <v>4.4061132888376804</v>
      </c>
      <c r="S70" s="6">
        <f t="shared" si="84"/>
        <v>-1.7500052780159185</v>
      </c>
      <c r="T70" s="4">
        <f t="shared" si="85"/>
        <v>-2.0132032830851028</v>
      </c>
      <c r="U70" s="5">
        <f t="shared" si="86"/>
        <v>3.9192916266906401</v>
      </c>
      <c r="V70" s="8">
        <f t="shared" si="117"/>
        <v>-1.7500052780159185</v>
      </c>
      <c r="W70" s="624">
        <f t="shared" si="227"/>
        <v>117.18798308014864</v>
      </c>
      <c r="X70" s="5">
        <f t="shared" si="87"/>
        <v>4.4061132888376804</v>
      </c>
      <c r="Y70" s="7">
        <f t="shared" si="226"/>
        <v>-1.7500052780159185</v>
      </c>
      <c r="Z70" s="21">
        <f t="shared" si="246"/>
        <v>-0.15415746479814077</v>
      </c>
      <c r="AA70" s="5">
        <f t="shared" si="247"/>
        <v>0.98696381359582575</v>
      </c>
      <c r="AB70" s="5">
        <f t="shared" si="248"/>
        <v>-4.623750316998284E-2</v>
      </c>
      <c r="AC70" s="8">
        <f t="shared" si="88"/>
        <v>1</v>
      </c>
      <c r="AD70" s="9">
        <f t="shared" si="118"/>
        <v>-0.15415746479814077</v>
      </c>
      <c r="AE70" s="5">
        <f t="shared" si="89"/>
        <v>0.98696381359582575</v>
      </c>
      <c r="AF70" s="10">
        <f t="shared" si="90"/>
        <v>-4.623750316998284E-2</v>
      </c>
      <c r="AG70" s="622">
        <f t="shared" si="91"/>
        <v>87.317755552448773</v>
      </c>
      <c r="AH70" s="623">
        <f t="shared" si="92"/>
        <v>98.867935254179955</v>
      </c>
      <c r="AI70" s="624">
        <f t="shared" si="93"/>
        <v>-87.349841341849825</v>
      </c>
      <c r="AJ70" s="625">
        <f t="shared" si="94"/>
        <v>-171.12249343637535</v>
      </c>
      <c r="AK70" s="4">
        <f t="shared" si="213"/>
        <v>0.9530554918613473</v>
      </c>
      <c r="AL70" s="5">
        <f t="shared" si="95"/>
        <v>-0.29924458680739929</v>
      </c>
      <c r="AM70" s="6">
        <f t="shared" si="96"/>
        <v>-4.623750316998284E-2</v>
      </c>
      <c r="AN70" s="612">
        <f t="shared" si="97"/>
        <v>-81.216456771897214</v>
      </c>
      <c r="AO70" s="613">
        <f t="shared" si="466"/>
        <v>17.625596334290851</v>
      </c>
      <c r="AP70" s="624">
        <f t="shared" si="99"/>
        <v>-17.431476643435875</v>
      </c>
      <c r="AQ70" s="625">
        <f t="shared" si="249"/>
        <v>2.812399554715296</v>
      </c>
      <c r="AS70" s="56">
        <f t="shared" si="411"/>
        <v>-242.81201691985137</v>
      </c>
      <c r="AT70" s="77">
        <f t="shared" si="250"/>
        <v>-0.82939477013148044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7.1369999999999996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-4.1285956978047311</v>
      </c>
      <c r="C71" s="771">
        <v>-2.0125788962420108</v>
      </c>
      <c r="D71" s="772">
        <v>-2.500107540324342</v>
      </c>
      <c r="E71" s="773">
        <v>9.5433107393989747E-2</v>
      </c>
      <c r="F71" s="771">
        <v>-0.9953894281473662</v>
      </c>
      <c r="G71" s="774">
        <v>9.6129259638619794E-3</v>
      </c>
      <c r="H71" s="773">
        <v>0.314</v>
      </c>
      <c r="I71" s="771">
        <v>0.52</v>
      </c>
      <c r="J71" s="601">
        <v>7.1459999999999999</v>
      </c>
      <c r="K71" s="426" t="str">
        <f t="shared" si="225"/>
        <v>1613</v>
      </c>
      <c r="L71" s="327"/>
      <c r="M71" s="173">
        <f t="shared" si="242"/>
        <v>7.1459999999999999</v>
      </c>
      <c r="N71" s="21">
        <f t="shared" si="243"/>
        <v>-4.1285956978047311</v>
      </c>
      <c r="O71" s="5">
        <f t="shared" si="244"/>
        <v>-2.0125788962420108</v>
      </c>
      <c r="P71" s="10">
        <f t="shared" si="245"/>
        <v>-2.500107540324342</v>
      </c>
      <c r="Q71" s="624">
        <f t="shared" si="116"/>
        <v>205.98798325340718</v>
      </c>
      <c r="R71" s="5">
        <f t="shared" si="83"/>
        <v>4.5930138525297792</v>
      </c>
      <c r="S71" s="6">
        <f t="shared" si="84"/>
        <v>-2.500107540324342</v>
      </c>
      <c r="T71" s="4">
        <f t="shared" si="85"/>
        <v>-2.0756781872999066</v>
      </c>
      <c r="U71" s="5">
        <f t="shared" si="86"/>
        <v>4.0972352034387551</v>
      </c>
      <c r="V71" s="8">
        <f t="shared" si="117"/>
        <v>-2.500107540324342</v>
      </c>
      <c r="W71" s="624">
        <f t="shared" si="227"/>
        <v>116.8669831264953</v>
      </c>
      <c r="X71" s="5">
        <f t="shared" si="87"/>
        <v>4.5930138525297792</v>
      </c>
      <c r="Y71" s="7">
        <f t="shared" si="226"/>
        <v>-2.500107540324342</v>
      </c>
      <c r="Z71" s="21">
        <f t="shared" si="246"/>
        <v>-9.5433107393989747E-2</v>
      </c>
      <c r="AA71" s="5">
        <f t="shared" si="247"/>
        <v>0.9953894281473662</v>
      </c>
      <c r="AB71" s="5">
        <f t="shared" si="248"/>
        <v>-9.6129259638619794E-3</v>
      </c>
      <c r="AC71" s="8">
        <f t="shared" si="88"/>
        <v>1</v>
      </c>
      <c r="AD71" s="9">
        <f t="shared" si="118"/>
        <v>-9.5433107393989747E-2</v>
      </c>
      <c r="AE71" s="5">
        <f t="shared" si="89"/>
        <v>0.9953894281473662</v>
      </c>
      <c r="AF71" s="10">
        <f t="shared" si="90"/>
        <v>-9.6129259638619794E-3</v>
      </c>
      <c r="AG71" s="622">
        <f t="shared" si="91"/>
        <v>89.44668594140596</v>
      </c>
      <c r="AH71" s="623">
        <f t="shared" si="92"/>
        <v>95.476248298888834</v>
      </c>
      <c r="AI71" s="624">
        <f t="shared" si="93"/>
        <v>-89.449211430366788</v>
      </c>
      <c r="AJ71" s="625">
        <f t="shared" si="94"/>
        <v>-174.52349788463272</v>
      </c>
      <c r="AK71" s="4">
        <f t="shared" si="213"/>
        <v>0.93655871868624618</v>
      </c>
      <c r="AL71" s="5">
        <f t="shared" si="95"/>
        <v>-0.35037887794099465</v>
      </c>
      <c r="AM71" s="6">
        <f t="shared" si="96"/>
        <v>-9.6129259638619794E-3</v>
      </c>
      <c r="AN71" s="612">
        <f t="shared" si="97"/>
        <v>-88.428438503156059</v>
      </c>
      <c r="AO71" s="613">
        <f t="shared" si="466"/>
        <v>20.518556347325195</v>
      </c>
      <c r="AP71" s="624">
        <f t="shared" si="99"/>
        <v>-20.511481138039898</v>
      </c>
      <c r="AQ71" s="625">
        <f t="shared" si="249"/>
        <v>2.6981290799454434</v>
      </c>
      <c r="AS71" s="56">
        <f t="shared" si="411"/>
        <v>-243.13301687350469</v>
      </c>
      <c r="AT71" s="77">
        <f t="shared" si="250"/>
        <v>-1.5782843659483248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7.1459999999999999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0.02</v>
      </c>
      <c r="B72" s="770">
        <v>-4.184101910560349</v>
      </c>
      <c r="C72" s="771">
        <v>-2.0306063908196097</v>
      </c>
      <c r="D72" s="772">
        <v>-3.2711098656673552</v>
      </c>
      <c r="E72" s="773">
        <v>-5.0158880820549484E-3</v>
      </c>
      <c r="F72" s="771">
        <v>-0.99998738703348977</v>
      </c>
      <c r="G72" s="774">
        <v>-2.5814856534261705E-4</v>
      </c>
      <c r="H72" s="773">
        <v>0.314</v>
      </c>
      <c r="I72" s="771">
        <v>0.52</v>
      </c>
      <c r="J72" s="601">
        <v>7.1550000000000002</v>
      </c>
      <c r="K72" s="426" t="str">
        <f t="shared" si="225"/>
        <v>1613</v>
      </c>
      <c r="L72" s="327"/>
      <c r="M72" s="173">
        <f t="shared" si="242"/>
        <v>7.1550000000000002</v>
      </c>
      <c r="N72" s="21">
        <f t="shared" si="243"/>
        <v>-4.184101910560349</v>
      </c>
      <c r="O72" s="5">
        <f t="shared" si="244"/>
        <v>-2.0306063908196097</v>
      </c>
      <c r="P72" s="10">
        <f t="shared" si="245"/>
        <v>-3.2711098656673552</v>
      </c>
      <c r="Q72" s="624">
        <f t="shared" si="116"/>
        <v>205.88798326784539</v>
      </c>
      <c r="R72" s="5">
        <f t="shared" si="83"/>
        <v>4.6508140268551053</v>
      </c>
      <c r="S72" s="6">
        <f t="shared" si="84"/>
        <v>-3.2711098656673552</v>
      </c>
      <c r="T72" s="4">
        <f t="shared" si="85"/>
        <v>-2.0945550723807602</v>
      </c>
      <c r="U72" s="5">
        <f t="shared" si="86"/>
        <v>4.1524583274436635</v>
      </c>
      <c r="V72" s="8">
        <f t="shared" si="117"/>
        <v>-3.2711098656673552</v>
      </c>
      <c r="W72" s="624">
        <f t="shared" si="227"/>
        <v>116.7669831409335</v>
      </c>
      <c r="X72" s="5">
        <f t="shared" si="87"/>
        <v>4.6508140268551053</v>
      </c>
      <c r="Y72" s="7">
        <f t="shared" si="226"/>
        <v>-3.2711098656673552</v>
      </c>
      <c r="Z72" s="21">
        <f t="shared" si="246"/>
        <v>5.0158880820549484E-3</v>
      </c>
      <c r="AA72" s="5">
        <f t="shared" si="247"/>
        <v>0.99998738703348977</v>
      </c>
      <c r="AB72" s="5">
        <f t="shared" si="248"/>
        <v>2.5814856534261705E-4</v>
      </c>
      <c r="AC72" s="8">
        <f t="shared" si="88"/>
        <v>1</v>
      </c>
      <c r="AD72" s="9">
        <f t="shared" si="118"/>
        <v>5.0158880820549484E-3</v>
      </c>
      <c r="AE72" s="5">
        <f t="shared" si="89"/>
        <v>0.99998738703348977</v>
      </c>
      <c r="AF72" s="10">
        <f t="shared" si="90"/>
        <v>2.5814856534261705E-4</v>
      </c>
      <c r="AG72" s="622">
        <f t="shared" si="91"/>
        <v>90.014791009511427</v>
      </c>
      <c r="AH72" s="623">
        <f t="shared" si="92"/>
        <v>89.712609577297371</v>
      </c>
      <c r="AI72" s="624">
        <f t="shared" si="93"/>
        <v>-90.014790823445765</v>
      </c>
      <c r="AJ72" s="625">
        <f t="shared" si="94"/>
        <v>179.71260956772133</v>
      </c>
      <c r="AK72" s="4">
        <f t="shared" si="213"/>
        <v>0.89744802052435513</v>
      </c>
      <c r="AL72" s="5">
        <f t="shared" si="95"/>
        <v>-0.44112014669048483</v>
      </c>
      <c r="AM72" s="6">
        <f t="shared" si="96"/>
        <v>2.5814856534261705E-4</v>
      </c>
      <c r="AN72" s="612">
        <f t="shared" si="97"/>
        <v>-90.033530142987061</v>
      </c>
      <c r="AO72" s="613">
        <f t="shared" si="466"/>
        <v>26.175377584170853</v>
      </c>
      <c r="AP72" s="624">
        <f t="shared" si="99"/>
        <v>-26.175373700124034</v>
      </c>
      <c r="AQ72" s="625">
        <f t="shared" si="249"/>
        <v>2.6646454478077213</v>
      </c>
      <c r="AS72" s="56">
        <f t="shared" si="411"/>
        <v>-243.23301685906648</v>
      </c>
      <c r="AT72" s="77">
        <f t="shared" si="250"/>
        <v>-2.3489089135681045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7.1550000000000002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-4.2267976389415063</v>
      </c>
      <c r="C73" s="771">
        <v>-2.0443135118898037</v>
      </c>
      <c r="D73" s="772">
        <v>-4.038412179851135</v>
      </c>
      <c r="E73" s="773">
        <v>-7.3046940805879243E-2</v>
      </c>
      <c r="F73" s="771">
        <v>-0.99732850377340043</v>
      </c>
      <c r="G73" s="774">
        <v>1.1339743364501944E-7</v>
      </c>
      <c r="H73" s="773">
        <v>0.314</v>
      </c>
      <c r="I73" s="771">
        <v>0.52</v>
      </c>
      <c r="J73" s="601">
        <v>7.1639999999999997</v>
      </c>
      <c r="K73" s="426" t="str">
        <f t="shared" si="225"/>
        <v>1613</v>
      </c>
      <c r="L73" s="327"/>
      <c r="M73" s="173">
        <f t="shared" ref="M73:M104" si="469">IF(J73="","",VALUE(J73))</f>
        <v>7.1639999999999997</v>
      </c>
      <c r="N73" s="21">
        <f t="shared" ref="N73:N104" si="470">IF(M73="","",B73)</f>
        <v>-4.2267976389415063</v>
      </c>
      <c r="O73" s="5">
        <f t="shared" ref="O73:O104" si="471">IF(M73="","",C73)</f>
        <v>-2.0443135118898037</v>
      </c>
      <c r="P73" s="10">
        <f t="shared" ref="P73:P104" si="472">IF(M73="","",D73)</f>
        <v>-4.038412179851135</v>
      </c>
      <c r="Q73" s="624">
        <f t="shared" si="116"/>
        <v>205.81098327896282</v>
      </c>
      <c r="R73" s="5">
        <f>IF(M73="","",SQRT(N73^2+O73^2))</f>
        <v>4.6952141607659081</v>
      </c>
      <c r="S73" s="6">
        <f>IF(M73="","",P73)</f>
        <v>-4.038412179851135</v>
      </c>
      <c r="T73" s="4">
        <f>IF(M73="","",X73*COS(RADIANS(W73)))</f>
        <v>-2.1089155687727494</v>
      </c>
      <c r="U73" s="5">
        <f>IF(M73="","",X73*SIN(RADIANS(W73)))</f>
        <v>4.1949387527405717</v>
      </c>
      <c r="V73" s="8">
        <f>IF(M73="","",Y73)</f>
        <v>-4.038412179851135</v>
      </c>
      <c r="W73" s="624">
        <f t="shared" si="227"/>
        <v>116.68998315205094</v>
      </c>
      <c r="X73" s="5">
        <f>IF(M73="","",R73)</f>
        <v>4.6952141607659081</v>
      </c>
      <c r="Y73" s="7">
        <f t="shared" si="226"/>
        <v>-4.038412179851135</v>
      </c>
      <c r="Z73" s="21">
        <f t="shared" ref="Z73:Z104" si="473">IF(M73="","",-E73)</f>
        <v>7.3046940805879243E-2</v>
      </c>
      <c r="AA73" s="5">
        <f t="shared" ref="AA73:AA104" si="474">IF(M73="","",-F73)</f>
        <v>0.99732850377340043</v>
      </c>
      <c r="AB73" s="5">
        <f t="shared" ref="AB73:AB104" si="475">IF(M73="","",-G73)</f>
        <v>-1.1339743364501944E-7</v>
      </c>
      <c r="AC73" s="8">
        <f>IF(M73="","",SQRT(Z73^2+AA73^2+AB73^2))</f>
        <v>1</v>
      </c>
      <c r="AD73" s="9">
        <f>IF(M73="","",Z73*(1/SQRT(Z73^2+AA73^2+AB73^2)))</f>
        <v>7.3046940805879243E-2</v>
      </c>
      <c r="AE73" s="5">
        <f>IF(M73="","",AA73*(1/SQRT(Z73^2+AA73^2+AB73^2)))</f>
        <v>0.99732850377340043</v>
      </c>
      <c r="AF73" s="10">
        <f>IF(M73="","",AB73*(1/SQRT(Z73^2+AA73^2+AB73^2)))</f>
        <v>-1.1339743364501944E-7</v>
      </c>
      <c r="AG73" s="622">
        <f>IF(M73="","",DEGREES(ATAN2(-AF73,AE73)))</f>
        <v>89.99999348540193</v>
      </c>
      <c r="AH73" s="623">
        <f>IF(M73="","",DEGREES(ACOS(AD73)))</f>
        <v>85.810987610426949</v>
      </c>
      <c r="AI73" s="624">
        <f>IF(M73="","",DEGREES(-ACOS(-AF73)))</f>
        <v>-89.999993502805637</v>
      </c>
      <c r="AJ73" s="625">
        <f>IF(M73="","",DEGREES(ATAN2(-AE73,AD73)))</f>
        <v>175.81098761042693</v>
      </c>
      <c r="AK73" s="4">
        <f>IF(M73="","",(COS(RADIANS((90-$Q$8)-W73))*AD73)+(-SIN(RADIANS((90-$Q$8)-W73))*AE73))</f>
        <v>0.86602544158358563</v>
      </c>
      <c r="AL73" s="5">
        <f>IF(M73="","",(SIN(RADIANS((90-$Q$8)-W73))*AD73)+(COS(RADIANS((90-$Q$8)-W73))*AE73))</f>
        <v>-0.49999993452993846</v>
      </c>
      <c r="AM73" s="6">
        <f>IF(M73="","",AF73)</f>
        <v>-1.1339743364501944E-7</v>
      </c>
      <c r="AN73" s="612">
        <f>IF(M73="","",DEGREES(ATAN2(-AM73,AL73)))</f>
        <v>-89.999987005609597</v>
      </c>
      <c r="AO73" s="613">
        <f t="shared" si="466"/>
        <v>29.999995668536535</v>
      </c>
      <c r="AP73" s="624">
        <f>IF(M73="","",DEGREES(ATAN2(AK73,AL73)))</f>
        <v>-29.999995668535906</v>
      </c>
      <c r="AQ73" s="625">
        <f t="shared" ref="AQ73:AQ104" si="476">IF(M73="","",DEGREES(ATAN(($AS$5*SIN(RADIANS(90)))/(($X73*2*PI())-($AS$5*COS(RADIANS(90)))))))</f>
        <v>2.6394831236617549</v>
      </c>
      <c r="AS73" s="56">
        <f t="shared" si="411"/>
        <v>-243.31001684794904</v>
      </c>
      <c r="AT73" s="77">
        <f t="shared" ref="AT73:AT104" si="477">IF(M73="","",Y73+(((AS73-$AS$9)*$AS$6)*-1))</f>
        <v>-3.1159203389049948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7.1639999999999997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>
        <v>-2.0734888778617853</v>
      </c>
      <c r="C74" s="771">
        <v>3.6280228777693192E-2</v>
      </c>
      <c r="D74" s="772">
        <v>-7.1000214136645839E-2</v>
      </c>
      <c r="E74" s="773">
        <v>-3.9676660824543219E-9</v>
      </c>
      <c r="F74" s="771">
        <v>-2.2676018785462474E-7</v>
      </c>
      <c r="G74" s="774">
        <v>0.99999999999997435</v>
      </c>
      <c r="H74" s="773">
        <v>0.25700000000000001</v>
      </c>
      <c r="I74" s="771">
        <v>0.41499999999999992</v>
      </c>
      <c r="J74" s="601">
        <v>7.2080000000000002</v>
      </c>
      <c r="K74" s="426" t="str">
        <f t="shared" si="225"/>
        <v>Knuckle</v>
      </c>
      <c r="L74" s="327"/>
      <c r="M74" s="173">
        <f t="shared" si="469"/>
        <v>7.2080000000000002</v>
      </c>
      <c r="N74" s="21">
        <f t="shared" si="470"/>
        <v>-2.0734888778617853</v>
      </c>
      <c r="O74" s="5">
        <f t="shared" si="471"/>
        <v>3.6280228777693192E-2</v>
      </c>
      <c r="P74" s="10">
        <f t="shared" si="472"/>
        <v>-7.1000214136645839E-2</v>
      </c>
      <c r="Q74" s="624">
        <f t="shared" ref="Q74:Q129" si="528">IF(M74="","",IF(DEGREES(ATAN2(N74,O74))&lt;0,DEGREES(ATAN2(N74,O74))+360,IF(DEGREES(ATAN2(N74,O74))&gt;360,DEGREES(ATAN2(N74,O74))-360,DEGREES(ATAN2(N74,O74)))))</f>
        <v>178.99758715033823</v>
      </c>
      <c r="R74" s="5">
        <f>IF(M74="","",SQRT(N74^2+O74^2))</f>
        <v>2.0738062545996643</v>
      </c>
      <c r="S74" s="6">
        <f>IF(M74="","",P74)</f>
        <v>-7.1000214136645839E-2</v>
      </c>
      <c r="T74" s="4">
        <f>IF(M74="","",X74*COS(RADIANS(W74)))</f>
        <v>4.4668980331262409E-3</v>
      </c>
      <c r="U74" s="5">
        <f>IF(M74="","",X74*SIN(RADIANS(W74)))</f>
        <v>2.0738014438317496</v>
      </c>
      <c r="V74" s="8">
        <f>IF(M74="","",Y74)</f>
        <v>-7.1000214136645839E-2</v>
      </c>
      <c r="W74" s="624">
        <f t="shared" si="227"/>
        <v>89.876587023426353</v>
      </c>
      <c r="X74" s="5">
        <f>IF(M74="","",R74)</f>
        <v>2.0738062545996643</v>
      </c>
      <c r="Y74" s="7">
        <f t="shared" si="226"/>
        <v>-7.1000214136645839E-2</v>
      </c>
      <c r="Z74" s="21">
        <f t="shared" si="473"/>
        <v>3.9676660824543219E-9</v>
      </c>
      <c r="AA74" s="5">
        <f t="shared" si="474"/>
        <v>2.2676018785462474E-7</v>
      </c>
      <c r="AB74" s="5">
        <f t="shared" si="475"/>
        <v>-0.99999999999997435</v>
      </c>
      <c r="AC74" s="8">
        <f>IF(M74="","",SQRT(Z74^2+AA74^2+AB74^2))</f>
        <v>1</v>
      </c>
      <c r="AD74" s="9">
        <f>IF(M74="","",Z74*(1/SQRT(Z74^2+AA74^2+AB74^2)))</f>
        <v>3.9676660824543219E-9</v>
      </c>
      <c r="AE74" s="5">
        <f>IF(M74="","",AA74*(1/SQRT(Z74^2+AA74^2+AB74^2)))</f>
        <v>2.2676018785462474E-7</v>
      </c>
      <c r="AF74" s="10">
        <f>IF(M74="","",AB74*(1/SQRT(Z74^2+AA74^2+AB74^2)))</f>
        <v>-0.99999999999997435</v>
      </c>
      <c r="AG74" s="622">
        <f>IF(M74="","",DEGREES(ATAN2(-AF74,AE74)))</f>
        <v>1.2992401725663818E-5</v>
      </c>
      <c r="AH74" s="623">
        <f>IF(M74="","",DEGREES(ACOS(AD74)))</f>
        <v>89.999999772669483</v>
      </c>
      <c r="AI74" s="624">
        <f>IF(M74="","",DEGREES(-ACOS(-AF74)))</f>
        <v>-1.2976235990044085E-5</v>
      </c>
      <c r="AJ74" s="625">
        <f>IF(M74="","",DEGREES(ATAN2(-AE74,AD74)))</f>
        <v>178.99758715033823</v>
      </c>
      <c r="AK74" s="4">
        <f>IF(M74="","",(COS(RADIANS((90-$Q$8)-W74))*AD74)+(-SIN(RADIANS((90-$Q$8)-W74))*AE74))</f>
        <v>2.2679489670185823E-7</v>
      </c>
      <c r="AL74" s="5">
        <f>IF(M74="","",(SIN(RADIANS((90-$Q$8)-W74))*AD74)+(COS(RADIANS((90-$Q$8)-W74))*AE74))</f>
        <v>-3.1432863277015052E-23</v>
      </c>
      <c r="AM74" s="6">
        <f>IF(M74="","",AF74)</f>
        <v>-0.99999999999997435</v>
      </c>
      <c r="AN74" s="612">
        <f>IF(M74="","",DEGREES(ATAN2(-AM74,AL74)))</f>
        <v>-1.8009704037847629E-21</v>
      </c>
      <c r="AO74" s="613">
        <f t="shared" si="466"/>
        <v>0</v>
      </c>
      <c r="AP74" s="624">
        <f>IF(M74="","",DEGREES(ATAN2(AK74,AL74)))</f>
        <v>-7.9409652949653889E-15</v>
      </c>
      <c r="AQ74" s="625">
        <f t="shared" si="476"/>
        <v>5.958594622456487</v>
      </c>
      <c r="AS74" s="56">
        <f t="shared" si="411"/>
        <v>-270.12341297657366</v>
      </c>
      <c r="AT74" s="77">
        <f t="shared" si="477"/>
        <v>0.95278667885096524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>
        <f>IFERROR(IF($IU74="","",IF($IU74&lt;(((Settings!$C$19/2)*-1)*$IE$8),"",1)),"")</f>
        <v>1</v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7.2080000000000002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7.1079999999999997</v>
      </c>
      <c r="II74" s="800" cm="1">
        <f t="array" ref="II74">IFERROR(IF($IH74&lt;1,$IH74+LARGE((IF($M$9:$M$150="",0,$M$9:$M$150)-MOD(IF($M$9:$M$150="",0,$M$9:$M$150),1)),1),$IH74),"")</f>
        <v>7.1079999999999997</v>
      </c>
      <c r="IJ74" s="839" t="str">
        <f t="shared" si="523"/>
        <v>1613</v>
      </c>
      <c r="IK74" s="839" t="str">
        <f t="shared" si="524"/>
        <v>Knuckle</v>
      </c>
      <c r="IL74" s="791">
        <f t="shared" si="228"/>
        <v>30.695395568133222</v>
      </c>
      <c r="IM74" s="830">
        <v>1.4666444269729999E-2</v>
      </c>
      <c r="IN74" s="5">
        <f t="shared" si="229"/>
        <v>0.16</v>
      </c>
      <c r="IO74" s="852">
        <v>80</v>
      </c>
      <c r="IP74" s="9">
        <f t="shared" si="230"/>
        <v>-2.076006261234884</v>
      </c>
      <c r="IQ74" s="5">
        <f t="shared" si="231"/>
        <v>-0.10240030883933153</v>
      </c>
      <c r="IR74" s="5">
        <f t="shared" si="525"/>
        <v>0.314</v>
      </c>
      <c r="IS74" s="5">
        <f t="shared" si="232"/>
        <v>0.30313343573247731</v>
      </c>
      <c r="IT74" s="791">
        <f t="shared" si="233"/>
        <v>-2.6846769291969519</v>
      </c>
      <c r="IU74" s="9">
        <f t="shared" si="234"/>
        <v>-2.0738062545996643</v>
      </c>
      <c r="IV74" s="5">
        <f t="shared" si="235"/>
        <v>-7.1000214136645839E-2</v>
      </c>
      <c r="IW74" s="5">
        <f t="shared" si="526"/>
        <v>0.25700000000000001</v>
      </c>
      <c r="IX74" s="5">
        <f t="shared" si="236"/>
        <v>0.25700000000000001</v>
      </c>
      <c r="IY74" s="833">
        <f t="shared" si="237"/>
        <v>1.8009704037847629E-21</v>
      </c>
    </row>
    <row r="75" spans="1:259" ht="15" customHeight="1" x14ac:dyDescent="0.25">
      <c r="A75" s="84">
        <f t="shared" si="527"/>
        <v>0</v>
      </c>
      <c r="B75" s="770">
        <v>-2.8404921095448832</v>
      </c>
      <c r="C75" s="771">
        <v>-0.36312394505643869</v>
      </c>
      <c r="D75" s="772">
        <v>-8.2100247614346811E-2</v>
      </c>
      <c r="E75" s="773">
        <v>-0.43707834351518454</v>
      </c>
      <c r="F75" s="771">
        <v>-5.5875621451109053E-2</v>
      </c>
      <c r="G75" s="774">
        <v>0.89768615704904065</v>
      </c>
      <c r="H75" s="773">
        <v>0.25700000000000001</v>
      </c>
      <c r="I75" s="771">
        <v>0.41499999999999992</v>
      </c>
      <c r="J75" s="601">
        <v>7.2130000000000001</v>
      </c>
      <c r="K75" s="426" t="str">
        <f t="shared" si="225"/>
        <v>Knuckle</v>
      </c>
      <c r="L75" s="327"/>
      <c r="M75" s="173">
        <f t="shared" si="469"/>
        <v>7.2130000000000001</v>
      </c>
      <c r="N75" s="21">
        <f t="shared" si="470"/>
        <v>-2.8404921095448832</v>
      </c>
      <c r="O75" s="5">
        <f t="shared" si="471"/>
        <v>-0.36312394505643869</v>
      </c>
      <c r="P75" s="10">
        <f t="shared" si="472"/>
        <v>-8.2100247614346811E-2</v>
      </c>
      <c r="Q75" s="624">
        <f t="shared" si="528"/>
        <v>187.28508595377144</v>
      </c>
      <c r="R75" s="5">
        <f>IF(M75="","",SQRT(N75^2+O75^2))</f>
        <v>2.8636086366436482</v>
      </c>
      <c r="S75" s="6">
        <f>IF(M75="","",P75)</f>
        <v>-8.2100247614346811E-2</v>
      </c>
      <c r="T75" s="4">
        <f>IF(M75="","",X75*COS(RADIANS(W75)))</f>
        <v>-0.40665674882339642</v>
      </c>
      <c r="U75" s="5">
        <f>IF(M75="","",X75*SIN(RADIANS(W75)))</f>
        <v>2.8345872208306591</v>
      </c>
      <c r="V75" s="8">
        <f>IF(M75="","",Y75)</f>
        <v>-8.2100247614346811E-2</v>
      </c>
      <c r="W75" s="624">
        <f t="shared" si="227"/>
        <v>98.164085826859562</v>
      </c>
      <c r="X75" s="5">
        <f>IF(M75="","",R75)</f>
        <v>2.8636086366436482</v>
      </c>
      <c r="Y75" s="7">
        <f t="shared" si="226"/>
        <v>-8.2100247614346811E-2</v>
      </c>
      <c r="Z75" s="21">
        <f t="shared" si="473"/>
        <v>0.43707834351518454</v>
      </c>
      <c r="AA75" s="5">
        <f t="shared" si="474"/>
        <v>5.5875621451109053E-2</v>
      </c>
      <c r="AB75" s="5">
        <f t="shared" si="475"/>
        <v>-0.89768615704904065</v>
      </c>
      <c r="AC75" s="8">
        <f>IF(M75="","",SQRT(Z75^2+AA75^2+AB75^2))</f>
        <v>1</v>
      </c>
      <c r="AD75" s="9">
        <f>IF(M75="","",Z75*(1/SQRT(Z75^2+AA75^2+AB75^2)))</f>
        <v>0.43707834351518454</v>
      </c>
      <c r="AE75" s="5">
        <f>IF(M75="","",AA75*(1/SQRT(Z75^2+AA75^2+AB75^2)))</f>
        <v>5.5875621451109053E-2</v>
      </c>
      <c r="AF75" s="10">
        <f>IF(M75="","",AB75*(1/SQRT(Z75^2+AA75^2+AB75^2)))</f>
        <v>-0.89768615704904065</v>
      </c>
      <c r="AG75" s="622">
        <f>IF(M75="","",DEGREES(ATAN2(-AF75,AE75)))</f>
        <v>3.5617263117909421</v>
      </c>
      <c r="AH75" s="623">
        <f>IF(M75="","",DEGREES(ACOS(AD75)))</f>
        <v>64.082383982139177</v>
      </c>
      <c r="AI75" s="624">
        <f>IF(M75="","",DEGREES(-ACOS(-AF75)))</f>
        <v>-26.144429741023909</v>
      </c>
      <c r="AJ75" s="625">
        <f>IF(M75="","",DEGREES(ATAN2(-AE75,AD75)))</f>
        <v>97.285115443889907</v>
      </c>
      <c r="AK75" s="4">
        <f>IF(M75="","",(COS(RADIANS((90-$Q$8)-W75))*AD75)+(-SIN(RADIANS((90-$Q$8)-W75))*AE75))</f>
        <v>2.2679489684179766E-7</v>
      </c>
      <c r="AL75" s="5">
        <f>IF(M75="","",(SIN(RADIANS((90-$Q$8)-W75))*AD75)+(COS(RADIANS((90-$Q$8)-W75))*AE75))</f>
        <v>-0.44063540874795104</v>
      </c>
      <c r="AM75" s="6">
        <f>IF(M75="","",AF75)</f>
        <v>-0.89768615704904065</v>
      </c>
      <c r="AN75" s="612">
        <f>IF(M75="","",DEGREES(ATAN2(-AM75,AL75)))</f>
        <v>-26.144429741020918</v>
      </c>
      <c r="AO75" s="613">
        <f t="shared" si="466"/>
        <v>0</v>
      </c>
      <c r="AP75" s="624">
        <f>IF(M75="","",DEGREES(ATAN2(AK75,AL75)))</f>
        <v>-89.999970509881535</v>
      </c>
      <c r="AQ75" s="625">
        <f t="shared" si="476"/>
        <v>4.3225791809661454</v>
      </c>
      <c r="AS75" s="56">
        <f t="shared" ref="AS75:AS106" si="550">IF(G75="","",IF(AND(W75&lt;(AS74+180),W75&gt;(AS74-180)),W75,IF(W75&gt;(AS74+180),W75-360,IF(W75&lt;(AS74-180),W75+360,"Error"))))</f>
        <v>-261.83591417314045</v>
      </c>
      <c r="AT75" s="77">
        <f t="shared" si="477"/>
        <v>0.91037831656029433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>
        <f>IFERROR(IF($IU75="","",IF($IU75&lt;(((Settings!$C$19/2)*-1)*$IE$8),"",1)),"")</f>
        <v>1</v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7.2130000000000001</v>
      </c>
      <c r="IH75" s="797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7.1130000000000004</v>
      </c>
      <c r="II75" s="800" cm="1">
        <f t="array" ref="II75">IFERROR(IF($IH75&lt;1,$IH75+LARGE((IF($M$9:$M$150="",0,$M$9:$M$150)-MOD(IF($M$9:$M$150="",0,$M$9:$M$150),1)),1),$IH75),"")</f>
        <v>7.1130000000000004</v>
      </c>
      <c r="IJ75" s="839" t="str">
        <f t="shared" si="523"/>
        <v>1613</v>
      </c>
      <c r="IK75" s="839" t="str">
        <f t="shared" si="524"/>
        <v>Knuckle</v>
      </c>
      <c r="IL75" s="791">
        <f t="shared" si="228"/>
        <v>21.49689689623213</v>
      </c>
      <c r="IM75" s="830">
        <v>8.9039230416460696E-3</v>
      </c>
      <c r="IN75" s="5">
        <f t="shared" si="229"/>
        <v>0.14000000000000001</v>
      </c>
      <c r="IO75" s="852">
        <v>70</v>
      </c>
      <c r="IP75" s="9">
        <f t="shared" si="230"/>
        <v>-2.8433085754186633</v>
      </c>
      <c r="IQ75" s="5">
        <f t="shared" si="231"/>
        <v>-0.11280034020582606</v>
      </c>
      <c r="IR75" s="5">
        <f t="shared" si="525"/>
        <v>0.314</v>
      </c>
      <c r="IS75" s="5">
        <f t="shared" si="232"/>
        <v>0.30258460457558001</v>
      </c>
      <c r="IT75" s="791">
        <f t="shared" si="233"/>
        <v>26.144431837861983</v>
      </c>
      <c r="IU75" s="9">
        <f t="shared" si="234"/>
        <v>-2.8636086366436482</v>
      </c>
      <c r="IV75" s="5">
        <f t="shared" si="235"/>
        <v>-8.2100247614346811E-2</v>
      </c>
      <c r="IW75" s="5">
        <f t="shared" si="526"/>
        <v>0.25700000000000001</v>
      </c>
      <c r="IX75" s="5">
        <f t="shared" si="236"/>
        <v>0.25700000000000001</v>
      </c>
      <c r="IY75" s="833">
        <f t="shared" si="237"/>
        <v>26.144429741020918</v>
      </c>
    </row>
    <row r="76" spans="1:259" ht="15" customHeight="1" x14ac:dyDescent="0.25">
      <c r="A76" s="84">
        <f t="shared" si="527"/>
        <v>0.02</v>
      </c>
      <c r="B76" s="770">
        <v>-4.0217995769507233</v>
      </c>
      <c r="C76" s="771">
        <v>0.21443473805177432</v>
      </c>
      <c r="D76" s="772">
        <v>-0.98030295659371702</v>
      </c>
      <c r="E76" s="773">
        <v>-0.31458724698954788</v>
      </c>
      <c r="F76" s="771">
        <v>-0.94398150864820329</v>
      </c>
      <c r="G76" s="774">
        <v>9.9668326773350774E-2</v>
      </c>
      <c r="H76" s="773">
        <v>0.314</v>
      </c>
      <c r="I76" s="771">
        <v>0.52</v>
      </c>
      <c r="J76" s="601">
        <v>8.1270000000000007</v>
      </c>
      <c r="K76" s="426" t="str">
        <f t="shared" si="225"/>
        <v>1613</v>
      </c>
      <c r="L76" s="327"/>
      <c r="M76" s="173">
        <f t="shared" si="469"/>
        <v>8.1270000000000007</v>
      </c>
      <c r="N76" s="21">
        <f t="shared" si="470"/>
        <v>-4.0217995769507233</v>
      </c>
      <c r="O76" s="5">
        <f t="shared" si="471"/>
        <v>0.21443473805177432</v>
      </c>
      <c r="P76" s="10">
        <f t="shared" si="472"/>
        <v>-0.98030295659371702</v>
      </c>
      <c r="Q76" s="624">
        <f t="shared" si="528"/>
        <v>176.94798744626382</v>
      </c>
      <c r="R76" s="5">
        <f t="shared" si="83"/>
        <v>4.027512146976636</v>
      </c>
      <c r="S76" s="6">
        <f t="shared" si="84"/>
        <v>-0.98030295659371702</v>
      </c>
      <c r="T76" s="4">
        <f t="shared" si="85"/>
        <v>0.15271171956367804</v>
      </c>
      <c r="U76" s="5">
        <f t="shared" si="86"/>
        <v>4.0246159102145702</v>
      </c>
      <c r="V76" s="8">
        <f t="shared" si="117"/>
        <v>-0.98030295659371702</v>
      </c>
      <c r="W76" s="624">
        <f t="shared" si="227"/>
        <v>87.826987319351943</v>
      </c>
      <c r="X76" s="5">
        <f t="shared" si="87"/>
        <v>4.027512146976636</v>
      </c>
      <c r="Y76" s="7">
        <f t="shared" ref="Y76:Y129" si="650">IF(M76="","",S76)</f>
        <v>-0.98030295659371702</v>
      </c>
      <c r="Z76" s="21">
        <f t="shared" si="473"/>
        <v>0.31458724698954788</v>
      </c>
      <c r="AA76" s="5">
        <f t="shared" si="474"/>
        <v>0.94398150864820329</v>
      </c>
      <c r="AB76" s="5">
        <f t="shared" si="475"/>
        <v>-9.9668326773350774E-2</v>
      </c>
      <c r="AC76" s="8">
        <f t="shared" si="88"/>
        <v>1</v>
      </c>
      <c r="AD76" s="9">
        <f t="shared" si="118"/>
        <v>0.31458724698954788</v>
      </c>
      <c r="AE76" s="5">
        <f t="shared" si="89"/>
        <v>0.94398150864820329</v>
      </c>
      <c r="AF76" s="10">
        <f t="shared" si="90"/>
        <v>-9.9668326773350774E-2</v>
      </c>
      <c r="AG76" s="622">
        <f t="shared" si="91"/>
        <v>83.972874245601972</v>
      </c>
      <c r="AH76" s="623">
        <f t="shared" si="92"/>
        <v>71.664101923337086</v>
      </c>
      <c r="AI76" s="624">
        <f t="shared" si="93"/>
        <v>-84.279928415229591</v>
      </c>
      <c r="AJ76" s="625">
        <f t="shared" si="94"/>
        <v>161.56905296743014</v>
      </c>
      <c r="AK76" s="4">
        <f t="shared" si="213"/>
        <v>0.95939198319584795</v>
      </c>
      <c r="AL76" s="5">
        <f t="shared" si="95"/>
        <v>-0.2638811232690555</v>
      </c>
      <c r="AM76" s="6">
        <f t="shared" si="96"/>
        <v>-9.9668326773350774E-2</v>
      </c>
      <c r="AN76" s="612">
        <f t="shared" si="97"/>
        <v>-69.308368097688458</v>
      </c>
      <c r="AO76" s="613">
        <f t="shared" si="466"/>
        <v>16.384162202941251</v>
      </c>
      <c r="AP76" s="624">
        <f t="shared" si="99"/>
        <v>-15.378934478833674</v>
      </c>
      <c r="AQ76" s="625">
        <f t="shared" si="476"/>
        <v>3.0762895461343289</v>
      </c>
      <c r="AS76" s="56">
        <f t="shared" si="550"/>
        <v>-272.17301268064807</v>
      </c>
      <c r="AT76" s="77">
        <f t="shared" si="477"/>
        <v>5.122686860928638E-2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8.1270000000000007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-4.3679787217795356</v>
      </c>
      <c r="C77" s="771">
        <v>0.27794905626304678</v>
      </c>
      <c r="D77" s="772">
        <v>-1.6691050340207827</v>
      </c>
      <c r="E77" s="773">
        <v>-0.3576615661599768</v>
      </c>
      <c r="F77" s="771">
        <v>-0.93236141717166199</v>
      </c>
      <c r="G77" s="774">
        <v>5.2729421214753464E-2</v>
      </c>
      <c r="H77" s="773">
        <v>0.314</v>
      </c>
      <c r="I77" s="771">
        <v>0.52</v>
      </c>
      <c r="J77" s="601">
        <v>8.1359999999999992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8.1359999999999992</v>
      </c>
      <c r="N77" s="21">
        <f t="shared" si="470"/>
        <v>-4.3679787217795356</v>
      </c>
      <c r="O77" s="5">
        <f t="shared" si="471"/>
        <v>0.27794905626304678</v>
      </c>
      <c r="P77" s="10">
        <f t="shared" si="472"/>
        <v>-1.6691050340207827</v>
      </c>
      <c r="Q77" s="624">
        <f t="shared" si="528"/>
        <v>176.35898753130488</v>
      </c>
      <c r="R77" s="5">
        <f t="shared" si="83"/>
        <v>4.3768132004686136</v>
      </c>
      <c r="S77" s="6">
        <f t="shared" si="84"/>
        <v>-1.6691050340207827</v>
      </c>
      <c r="T77" s="4">
        <f t="shared" si="85"/>
        <v>0.2109078846466306</v>
      </c>
      <c r="U77" s="5">
        <f t="shared" si="86"/>
        <v>4.3717286805095981</v>
      </c>
      <c r="V77" s="8">
        <f t="shared" si="117"/>
        <v>-1.6691050340207827</v>
      </c>
      <c r="W77" s="624">
        <f t="shared" si="227"/>
        <v>87.237987404392996</v>
      </c>
      <c r="X77" s="5">
        <f t="shared" si="87"/>
        <v>4.3768132004686136</v>
      </c>
      <c r="Y77" s="7">
        <f t="shared" si="650"/>
        <v>-1.6691050340207827</v>
      </c>
      <c r="Z77" s="21">
        <f t="shared" si="473"/>
        <v>0.3576615661599768</v>
      </c>
      <c r="AA77" s="5">
        <f t="shared" si="474"/>
        <v>0.93236141717166199</v>
      </c>
      <c r="AB77" s="5">
        <f t="shared" si="475"/>
        <v>-5.2729421214753464E-2</v>
      </c>
      <c r="AC77" s="8">
        <f t="shared" si="88"/>
        <v>1</v>
      </c>
      <c r="AD77" s="9">
        <f t="shared" si="118"/>
        <v>0.3576615661599768</v>
      </c>
      <c r="AE77" s="5">
        <f t="shared" si="89"/>
        <v>0.93236141717166199</v>
      </c>
      <c r="AF77" s="10">
        <f t="shared" si="90"/>
        <v>-5.2729421214753464E-2</v>
      </c>
      <c r="AG77" s="622">
        <f t="shared" si="91"/>
        <v>86.763102381320536</v>
      </c>
      <c r="AH77" s="623">
        <f t="shared" si="92"/>
        <v>69.043345933060095</v>
      </c>
      <c r="AI77" s="624">
        <f t="shared" si="93"/>
        <v>-86.977424946060665</v>
      </c>
      <c r="AJ77" s="625">
        <f t="shared" si="94"/>
        <v>159.01277248703448</v>
      </c>
      <c r="AK77" s="4">
        <f t="shared" si="213"/>
        <v>0.95319273062489462</v>
      </c>
      <c r="AL77" s="5">
        <f t="shared" si="95"/>
        <v>-0.2977301234712646</v>
      </c>
      <c r="AM77" s="6">
        <f t="shared" si="96"/>
        <v>-5.2729421214753464E-2</v>
      </c>
      <c r="AN77" s="612">
        <f t="shared" si="97"/>
        <v>-79.956786196385494</v>
      </c>
      <c r="AO77" s="613">
        <f t="shared" si="466"/>
        <v>17.599609111756745</v>
      </c>
      <c r="AP77" s="624">
        <f t="shared" si="99"/>
        <v>-17.346215044270394</v>
      </c>
      <c r="AQ77" s="625">
        <f t="shared" si="476"/>
        <v>2.8311963195261329</v>
      </c>
      <c r="AS77" s="56">
        <f t="shared" si="550"/>
        <v>-272.76201259560702</v>
      </c>
      <c r="AT77" s="77">
        <f t="shared" si="477"/>
        <v>-0.63535009802793452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8.1359999999999992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-4.5676325745232083</v>
      </c>
      <c r="C78" s="771">
        <v>0.31835956488306361</v>
      </c>
      <c r="D78" s="772">
        <v>-2.41530728456677</v>
      </c>
      <c r="E78" s="773">
        <v>-0.41421139737507212</v>
      </c>
      <c r="F78" s="771">
        <v>-0.91002873940208229</v>
      </c>
      <c r="G78" s="774">
        <v>1.6631648951545369E-2</v>
      </c>
      <c r="H78" s="773">
        <v>0.314</v>
      </c>
      <c r="I78" s="771">
        <v>0.52</v>
      </c>
      <c r="J78" s="601">
        <v>8.1449999999999996</v>
      </c>
      <c r="K78" s="426" t="str">
        <f t="shared" si="651"/>
        <v>1613</v>
      </c>
      <c r="L78" s="327"/>
      <c r="M78" s="173">
        <f t="shared" si="469"/>
        <v>8.1449999999999996</v>
      </c>
      <c r="N78" s="21">
        <f t="shared" si="470"/>
        <v>-4.5676325745232083</v>
      </c>
      <c r="O78" s="5">
        <f t="shared" si="471"/>
        <v>0.31835956488306361</v>
      </c>
      <c r="P78" s="10">
        <f t="shared" si="472"/>
        <v>-2.41530728456677</v>
      </c>
      <c r="Q78" s="624">
        <f t="shared" si="528"/>
        <v>176.01298758126109</v>
      </c>
      <c r="R78" s="5">
        <f>IF(M78="","",SQRT(N78^2+O78^2))</f>
        <v>4.5787138094008499</v>
      </c>
      <c r="S78" s="6">
        <f>IF(M78="","",P78)</f>
        <v>-2.41530728456677</v>
      </c>
      <c r="T78" s="4">
        <f>IF(M78="","",X78*COS(RADIANS(W78)))</f>
        <v>0.24825078001944517</v>
      </c>
      <c r="U78" s="5">
        <f>IF(M78="","",X78*SIN(RADIANS(W78)))</f>
        <v>4.5719789696167439</v>
      </c>
      <c r="V78" s="8">
        <f>IF(M78="","",Y78)</f>
        <v>-2.41530728456677</v>
      </c>
      <c r="W78" s="624">
        <f t="shared" si="227"/>
        <v>86.891987454349206</v>
      </c>
      <c r="X78" s="5">
        <f>IF(M78="","",R78)</f>
        <v>4.5787138094008499</v>
      </c>
      <c r="Y78" s="7">
        <f t="shared" si="650"/>
        <v>-2.41530728456677</v>
      </c>
      <c r="Z78" s="21">
        <f t="shared" si="473"/>
        <v>0.41421139737507212</v>
      </c>
      <c r="AA78" s="5">
        <f t="shared" si="474"/>
        <v>0.91002873940208229</v>
      </c>
      <c r="AB78" s="5">
        <f t="shared" si="475"/>
        <v>-1.6631648951545369E-2</v>
      </c>
      <c r="AC78" s="8">
        <f>IF(M78="","",SQRT(Z78^2+AA78^2+AB78^2))</f>
        <v>1</v>
      </c>
      <c r="AD78" s="9">
        <f>IF(M78="","",Z78*(1/SQRT(Z78^2+AA78^2+AB78^2)))</f>
        <v>0.41421139737507212</v>
      </c>
      <c r="AE78" s="5">
        <f>IF(M78="","",AA78*(1/SQRT(Z78^2+AA78^2+AB78^2)))</f>
        <v>0.91002873940208229</v>
      </c>
      <c r="AF78" s="10">
        <f>IF(M78="","",AB78*(1/SQRT(Z78^2+AA78^2+AB78^2)))</f>
        <v>-1.6631648951545369E-2</v>
      </c>
      <c r="AG78" s="622">
        <f>IF(M78="","",DEGREES(ATAN2(-AF78,AE78)))</f>
        <v>88.952981179892319</v>
      </c>
      <c r="AH78" s="623">
        <f>IF(M78="","",DEGREES(ACOS(AD78)))</f>
        <v>65.530335765768882</v>
      </c>
      <c r="AI78" s="624">
        <f>IF(M78="","",DEGREES(-ACOS(-AF78)))</f>
        <v>-89.047032771634605</v>
      </c>
      <c r="AJ78" s="625">
        <f>IF(M78="","",DEGREES(ATAN2(-AE78,AD78)))</f>
        <v>155.52672870045103</v>
      </c>
      <c r="AK78" s="4">
        <f>IF(M78="","",(COS(RADIANS((90-$Q$8)-W78))*AD78)+(-SIN(RADIANS((90-$Q$8)-W78))*AE78))</f>
        <v>0.93662658392802156</v>
      </c>
      <c r="AL78" s="5">
        <f>IF(M78="","",(SIN(RADIANS((90-$Q$8)-W78))*AD78)+(COS(RADIANS((90-$Q$8)-W78))*AE78))</f>
        <v>-0.34993432317004508</v>
      </c>
      <c r="AM78" s="6">
        <f>IF(M78="","",AF78)</f>
        <v>-1.6631648951545369E-2</v>
      </c>
      <c r="AN78" s="612">
        <f>IF(M78="","",DEGREES(ATAN2(-AM78,AL78)))</f>
        <v>-87.278898699588893</v>
      </c>
      <c r="AO78" s="613">
        <f t="shared" si="466"/>
        <v>20.507459972675758</v>
      </c>
      <c r="AP78" s="624">
        <f>IF(M78="","",DEGREES(ATAN2(AK78,AL78)))</f>
        <v>-20.48625888081007</v>
      </c>
      <c r="AQ78" s="625">
        <f t="shared" si="476"/>
        <v>2.7065432505962326</v>
      </c>
      <c r="AS78" s="56">
        <f t="shared" si="550"/>
        <v>-273.10801254565081</v>
      </c>
      <c r="AT78" s="77">
        <f t="shared" si="477"/>
        <v>-1.3802452376515342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8.1449999999999996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-4.6389415100675953</v>
      </c>
      <c r="C79" s="771">
        <v>0.33350105573265648</v>
      </c>
      <c r="D79" s="772">
        <v>-3.1851096062905726</v>
      </c>
      <c r="E79" s="773">
        <v>-0.5043375009487312</v>
      </c>
      <c r="F79" s="771">
        <v>-0.86350657571244149</v>
      </c>
      <c r="G79" s="774">
        <v>2.8078134239878372E-4</v>
      </c>
      <c r="H79" s="773">
        <v>0.314</v>
      </c>
      <c r="I79" s="771">
        <v>0.52</v>
      </c>
      <c r="J79" s="601">
        <v>8.1539999999999999</v>
      </c>
      <c r="K79" s="426" t="str">
        <f t="shared" si="651"/>
        <v>1613</v>
      </c>
      <c r="L79" s="327"/>
      <c r="M79" s="173">
        <f t="shared" si="469"/>
        <v>8.1539999999999999</v>
      </c>
      <c r="N79" s="21">
        <f t="shared" si="470"/>
        <v>-4.6389415100675953</v>
      </c>
      <c r="O79" s="5">
        <f t="shared" si="471"/>
        <v>0.33350105573265648</v>
      </c>
      <c r="P79" s="10">
        <f t="shared" si="472"/>
        <v>-3.1851096062905726</v>
      </c>
      <c r="Q79" s="624">
        <f t="shared" si="528"/>
        <v>175.88798759930884</v>
      </c>
      <c r="R79" s="5">
        <f>IF(M79="","",SQRT(N79^2+O79^2))</f>
        <v>4.6509140271567064</v>
      </c>
      <c r="S79" s="6">
        <f>IF(M79="","",P79)</f>
        <v>-3.1851096062905726</v>
      </c>
      <c r="T79" s="4">
        <f>IF(M79="","",X79*COS(RADIANS(W79)))</f>
        <v>0.26229655007496533</v>
      </c>
      <c r="U79" s="5">
        <f>IF(M79="","",X79*SIN(RADIANS(W79)))</f>
        <v>4.6435117968862514</v>
      </c>
      <c r="V79" s="8">
        <f>IF(M79="","",Y79)</f>
        <v>-3.1851096062905726</v>
      </c>
      <c r="W79" s="624">
        <f t="shared" ref="W79:W129" si="652">IF(M79="","",IF(Q79-$Q$8&lt;0,360+Q79-$Q$8,Q79-$Q$8))</f>
        <v>86.766987472396963</v>
      </c>
      <c r="X79" s="5">
        <f>IF(M79="","",R79)</f>
        <v>4.6509140271567064</v>
      </c>
      <c r="Y79" s="7">
        <f t="shared" si="650"/>
        <v>-3.1851096062905726</v>
      </c>
      <c r="Z79" s="21">
        <f t="shared" si="473"/>
        <v>0.5043375009487312</v>
      </c>
      <c r="AA79" s="5">
        <f t="shared" si="474"/>
        <v>0.86350657571244149</v>
      </c>
      <c r="AB79" s="5">
        <f t="shared" si="475"/>
        <v>-2.8078134239878372E-4</v>
      </c>
      <c r="AC79" s="8">
        <f>IF(M79="","",SQRT(Z79^2+AA79^2+AB79^2))</f>
        <v>1</v>
      </c>
      <c r="AD79" s="9">
        <f>IF(M79="","",Z79*(1/SQRT(Z79^2+AA79^2+AB79^2)))</f>
        <v>0.5043375009487312</v>
      </c>
      <c r="AE79" s="5">
        <f>IF(M79="","",AA79*(1/SQRT(Z79^2+AA79^2+AB79^2)))</f>
        <v>0.86350657571244149</v>
      </c>
      <c r="AF79" s="10">
        <f>IF(M79="","",AB79*(1/SQRT(Z79^2+AA79^2+AB79^2)))</f>
        <v>-2.8078134239878372E-4</v>
      </c>
      <c r="AG79" s="622">
        <f>IF(M79="","",DEGREES(ATAN2(-AF79,AE79)))</f>
        <v>89.981369469821118</v>
      </c>
      <c r="AH79" s="623">
        <f>IF(M79="","",DEGREES(ACOS(AD79)))</f>
        <v>59.712615929217115</v>
      </c>
      <c r="AI79" s="624">
        <f>IF(M79="","",DEGREES(-ACOS(-AF79)))</f>
        <v>-89.983912413903155</v>
      </c>
      <c r="AJ79" s="625">
        <f>IF(M79="","",DEGREES(ATAN2(-AE79,AD79)))</f>
        <v>149.71261461009578</v>
      </c>
      <c r="AK79" s="4">
        <f>IF(M79="","",(COS(RADIANS((90-$Q$8)-W79))*AD79)+(-SIN(RADIANS((90-$Q$8)-W79))*AE79))</f>
        <v>0.89744802052435513</v>
      </c>
      <c r="AL79" s="5">
        <f>IF(M79="","",(SIN(RADIANS((90-$Q$8)-W79))*AD79)+(COS(RADIANS((90-$Q$8)-W79))*AE79))</f>
        <v>-0.44112013286490842</v>
      </c>
      <c r="AM79" s="6">
        <f>IF(M79="","",AF79)</f>
        <v>-2.8078134239878372E-4</v>
      </c>
      <c r="AN79" s="612">
        <f>IF(M79="","",DEGREES(ATAN2(-AM79,AL79)))</f>
        <v>-89.963530153093856</v>
      </c>
      <c r="AO79" s="613">
        <f t="shared" si="466"/>
        <v>26.175377584170853</v>
      </c>
      <c r="AP79" s="624">
        <f>IF(M79="","",DEGREES(ATAN2(AK79,AL79)))</f>
        <v>-26.175372989213066</v>
      </c>
      <c r="AQ79" s="625">
        <f t="shared" si="476"/>
        <v>2.6645882372674548</v>
      </c>
      <c r="AS79" s="56">
        <f t="shared" si="550"/>
        <v>-273.23301252760302</v>
      </c>
      <c r="AT79" s="77">
        <f t="shared" si="477"/>
        <v>-2.1495753372212949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8.1539999999999999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-4.6826709138523714</v>
      </c>
      <c r="C80" s="771">
        <v>0.34297103087244768</v>
      </c>
      <c r="D80" s="772">
        <v>-3.9522119198711509</v>
      </c>
      <c r="E80" s="773">
        <v>-0.56192469575929604</v>
      </c>
      <c r="F80" s="771">
        <v>-0.827188392263703</v>
      </c>
      <c r="G80" s="774">
        <v>1.1339743349914737E-7</v>
      </c>
      <c r="H80" s="773">
        <v>0.314</v>
      </c>
      <c r="I80" s="771">
        <v>0.52</v>
      </c>
      <c r="J80" s="601">
        <v>8.1630000000000003</v>
      </c>
      <c r="K80" s="426" t="str">
        <f t="shared" si="651"/>
        <v>1613</v>
      </c>
      <c r="L80" s="327"/>
      <c r="M80" s="173">
        <f t="shared" si="469"/>
        <v>8.1630000000000003</v>
      </c>
      <c r="N80" s="21">
        <f t="shared" si="470"/>
        <v>-4.6826709138523714</v>
      </c>
      <c r="O80" s="5">
        <f t="shared" si="471"/>
        <v>0.34297103087244768</v>
      </c>
      <c r="P80" s="10">
        <f t="shared" si="472"/>
        <v>-3.9522119198711509</v>
      </c>
      <c r="Q80" s="624">
        <f t="shared" si="528"/>
        <v>175.81098761042628</v>
      </c>
      <c r="R80" s="5">
        <f t="shared" si="83"/>
        <v>4.6952141607659081</v>
      </c>
      <c r="S80" s="6">
        <f t="shared" si="84"/>
        <v>-3.9522119198711509</v>
      </c>
      <c r="T80" s="4">
        <f t="shared" si="85"/>
        <v>0.27109456501852308</v>
      </c>
      <c r="U80" s="5">
        <f t="shared" si="86"/>
        <v>4.6873813320738185</v>
      </c>
      <c r="V80" s="8">
        <f t="shared" si="117"/>
        <v>-3.9522119198711509</v>
      </c>
      <c r="W80" s="624">
        <f t="shared" si="652"/>
        <v>86.6899874835144</v>
      </c>
      <c r="X80" s="5">
        <f t="shared" si="87"/>
        <v>4.6952141607659081</v>
      </c>
      <c r="Y80" s="7">
        <f t="shared" si="650"/>
        <v>-3.9522119198711509</v>
      </c>
      <c r="Z80" s="21">
        <f t="shared" si="473"/>
        <v>0.56192469575929604</v>
      </c>
      <c r="AA80" s="5">
        <f t="shared" si="474"/>
        <v>0.827188392263703</v>
      </c>
      <c r="AB80" s="5">
        <f t="shared" si="475"/>
        <v>-1.1339743349914737E-7</v>
      </c>
      <c r="AC80" s="8">
        <f t="shared" si="88"/>
        <v>1</v>
      </c>
      <c r="AD80" s="9">
        <f t="shared" si="118"/>
        <v>0.56192469575929604</v>
      </c>
      <c r="AE80" s="5">
        <f t="shared" si="89"/>
        <v>0.827188392263703</v>
      </c>
      <c r="AF80" s="10">
        <f t="shared" si="90"/>
        <v>-1.1339743349914737E-7</v>
      </c>
      <c r="AG80" s="622">
        <f t="shared" si="91"/>
        <v>89.999992145447877</v>
      </c>
      <c r="AH80" s="623">
        <f t="shared" si="92"/>
        <v>55.810991941890634</v>
      </c>
      <c r="AI80" s="624">
        <f t="shared" si="93"/>
        <v>-89.999993502805651</v>
      </c>
      <c r="AJ80" s="625">
        <f t="shared" si="94"/>
        <v>145.81099194189039</v>
      </c>
      <c r="AK80" s="4">
        <f t="shared" si="213"/>
        <v>0.86602544158358563</v>
      </c>
      <c r="AL80" s="5">
        <f t="shared" si="95"/>
        <v>-0.49999993452993829</v>
      </c>
      <c r="AM80" s="6">
        <f t="shared" si="96"/>
        <v>-1.1339743349914737E-7</v>
      </c>
      <c r="AN80" s="612">
        <f t="shared" si="97"/>
        <v>-89.999987005609611</v>
      </c>
      <c r="AO80" s="613">
        <f t="shared" si="466"/>
        <v>29.999995668536535</v>
      </c>
      <c r="AP80" s="624">
        <f t="shared" si="99"/>
        <v>-29.999995668535892</v>
      </c>
      <c r="AQ80" s="625">
        <f t="shared" si="476"/>
        <v>2.6394831236617549</v>
      </c>
      <c r="AS80" s="56">
        <f t="shared" si="550"/>
        <v>-273.31001251648559</v>
      </c>
      <c r="AT80" s="77">
        <f t="shared" si="477"/>
        <v>-2.9163867619549837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8.1630000000000003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-2.0489692991851909</v>
      </c>
      <c r="C81" s="771">
        <v>1.784032391354899</v>
      </c>
      <c r="D81" s="772">
        <v>-8.8200266012002301E-2</v>
      </c>
      <c r="E81" s="773">
        <v>-0.70572375847641844</v>
      </c>
      <c r="F81" s="771">
        <v>-0.66372429692689583</v>
      </c>
      <c r="G81" s="774">
        <v>0.24783872657600531</v>
      </c>
      <c r="H81" s="773">
        <v>0.314</v>
      </c>
      <c r="I81" s="771">
        <v>0.52</v>
      </c>
      <c r="J81" s="601">
        <v>9.1120000000000001</v>
      </c>
      <c r="K81" s="426" t="str">
        <f t="shared" si="651"/>
        <v>1613</v>
      </c>
      <c r="L81" s="327"/>
      <c r="M81" s="173">
        <f t="shared" si="469"/>
        <v>9.1120000000000001</v>
      </c>
      <c r="N81" s="21">
        <f t="shared" si="470"/>
        <v>-2.0489692991851909</v>
      </c>
      <c r="O81" s="5">
        <f t="shared" si="471"/>
        <v>1.784032391354899</v>
      </c>
      <c r="P81" s="10">
        <f t="shared" si="472"/>
        <v>-8.8200266012002301E-2</v>
      </c>
      <c r="Q81" s="624">
        <f t="shared" si="528"/>
        <v>138.9539929319179</v>
      </c>
      <c r="R81" s="5">
        <f t="shared" si="83"/>
        <v>2.7168081938935131</v>
      </c>
      <c r="S81" s="6">
        <f t="shared" si="84"/>
        <v>-8.8200266012002301E-2</v>
      </c>
      <c r="T81" s="4">
        <f t="shared" si="85"/>
        <v>1.7523895402460947</v>
      </c>
      <c r="U81" s="5">
        <f t="shared" si="86"/>
        <v>2.0760967370628505</v>
      </c>
      <c r="V81" s="8">
        <f t="shared" si="117"/>
        <v>-8.8200266012002301E-2</v>
      </c>
      <c r="W81" s="624">
        <f t="shared" si="652"/>
        <v>49.832992805006015</v>
      </c>
      <c r="X81" s="5">
        <f t="shared" si="87"/>
        <v>2.7168081938935131</v>
      </c>
      <c r="Y81" s="7">
        <f t="shared" si="650"/>
        <v>-8.8200266012002301E-2</v>
      </c>
      <c r="Z81" s="21">
        <f t="shared" si="473"/>
        <v>0.70572375847641844</v>
      </c>
      <c r="AA81" s="5">
        <f t="shared" si="474"/>
        <v>0.66372429692689583</v>
      </c>
      <c r="AB81" s="5">
        <f t="shared" si="475"/>
        <v>-0.24783872657600531</v>
      </c>
      <c r="AC81" s="8">
        <f t="shared" si="88"/>
        <v>1</v>
      </c>
      <c r="AD81" s="9">
        <f t="shared" si="118"/>
        <v>0.70572375847641844</v>
      </c>
      <c r="AE81" s="5">
        <f t="shared" si="89"/>
        <v>0.66372429692689583</v>
      </c>
      <c r="AF81" s="10">
        <f t="shared" si="90"/>
        <v>-0.24783872657600531</v>
      </c>
      <c r="AG81" s="622">
        <f t="shared" si="91"/>
        <v>69.52405943399873</v>
      </c>
      <c r="AH81" s="623">
        <f t="shared" si="92"/>
        <v>45.111954904398345</v>
      </c>
      <c r="AI81" s="624">
        <f t="shared" si="93"/>
        <v>-75.650344066634545</v>
      </c>
      <c r="AJ81" s="625">
        <f t="shared" si="94"/>
        <v>133.24335225013894</v>
      </c>
      <c r="AK81" s="4">
        <f t="shared" si="213"/>
        <v>0.96399324688572041</v>
      </c>
      <c r="AL81" s="5">
        <f t="shared" si="95"/>
        <v>-9.6400132613554401E-2</v>
      </c>
      <c r="AM81" s="6">
        <f t="shared" si="96"/>
        <v>-0.24783872657600531</v>
      </c>
      <c r="AN81" s="612">
        <f t="shared" si="97"/>
        <v>-21.254201481952393</v>
      </c>
      <c r="AO81" s="613">
        <f t="shared" si="466"/>
        <v>15.422025865873353</v>
      </c>
      <c r="AP81" s="624">
        <f t="shared" si="99"/>
        <v>-5.7106406817789388</v>
      </c>
      <c r="AQ81" s="625">
        <f t="shared" si="476"/>
        <v>4.5551881753113257</v>
      </c>
      <c r="AS81" s="56">
        <f t="shared" si="550"/>
        <v>-310.16700719499397</v>
      </c>
      <c r="AT81" s="77">
        <f t="shared" si="477"/>
        <v>1.0868624273563079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9.1120000000000001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-2.5467216155991643</v>
      </c>
      <c r="C82" s="771">
        <v>2.3003328657698323</v>
      </c>
      <c r="D82" s="772">
        <v>-0.36710110717693922</v>
      </c>
      <c r="E82" s="773">
        <v>-0.79999540604387498</v>
      </c>
      <c r="F82" s="771">
        <v>-0.57339402024991437</v>
      </c>
      <c r="G82" s="774">
        <v>0.17671063309924623</v>
      </c>
      <c r="H82" s="773">
        <v>0.314</v>
      </c>
      <c r="I82" s="771">
        <v>0.52</v>
      </c>
      <c r="J82" s="601">
        <v>9.1180000000000003</v>
      </c>
      <c r="K82" s="426" t="str">
        <f t="shared" si="651"/>
        <v>1613</v>
      </c>
      <c r="L82" s="327"/>
      <c r="M82" s="173">
        <f t="shared" si="469"/>
        <v>9.1180000000000003</v>
      </c>
      <c r="N82" s="21">
        <f t="shared" si="470"/>
        <v>-2.5467216155991643</v>
      </c>
      <c r="O82" s="5">
        <f t="shared" si="471"/>
        <v>2.3003328657698323</v>
      </c>
      <c r="P82" s="10">
        <f t="shared" si="472"/>
        <v>-0.36710110717693922</v>
      </c>
      <c r="Q82" s="624">
        <f t="shared" si="528"/>
        <v>137.90999308265285</v>
      </c>
      <c r="R82" s="5">
        <f t="shared" si="83"/>
        <v>3.4318103503400166</v>
      </c>
      <c r="S82" s="6">
        <f t="shared" si="84"/>
        <v>-0.36710110717693922</v>
      </c>
      <c r="T82" s="4">
        <f t="shared" si="85"/>
        <v>2.2609933189468046</v>
      </c>
      <c r="U82" s="5">
        <f t="shared" si="86"/>
        <v>2.5817109622068037</v>
      </c>
      <c r="V82" s="8">
        <f t="shared" si="117"/>
        <v>-0.36710110717693922</v>
      </c>
      <c r="W82" s="624">
        <f t="shared" si="652"/>
        <v>48.788992955740966</v>
      </c>
      <c r="X82" s="5">
        <f t="shared" si="87"/>
        <v>3.4318103503400166</v>
      </c>
      <c r="Y82" s="7">
        <f t="shared" si="650"/>
        <v>-0.36710110717693922</v>
      </c>
      <c r="Z82" s="21">
        <f t="shared" si="473"/>
        <v>0.79999540604387498</v>
      </c>
      <c r="AA82" s="5">
        <f t="shared" si="474"/>
        <v>0.57339402024991437</v>
      </c>
      <c r="AB82" s="5">
        <f t="shared" si="475"/>
        <v>-0.17671063309924623</v>
      </c>
      <c r="AC82" s="8">
        <f t="shared" si="88"/>
        <v>1</v>
      </c>
      <c r="AD82" s="9">
        <f t="shared" si="118"/>
        <v>0.79999540604387498</v>
      </c>
      <c r="AE82" s="5">
        <f t="shared" si="89"/>
        <v>0.57339402024991437</v>
      </c>
      <c r="AF82" s="10">
        <f t="shared" si="90"/>
        <v>-0.17671063309924623</v>
      </c>
      <c r="AG82" s="622">
        <f t="shared" si="91"/>
        <v>72.871560138980186</v>
      </c>
      <c r="AH82" s="623">
        <f t="shared" si="92"/>
        <v>36.87033633410018</v>
      </c>
      <c r="AI82" s="624">
        <f t="shared" si="93"/>
        <v>-79.821778223967684</v>
      </c>
      <c r="AJ82" s="625">
        <f t="shared" si="94"/>
        <v>125.63093450835329</v>
      </c>
      <c r="AK82" s="4">
        <f t="shared" si="213"/>
        <v>0.96174623119437819</v>
      </c>
      <c r="AL82" s="5">
        <f t="shared" si="95"/>
        <v>-0.20932639330259667</v>
      </c>
      <c r="AM82" s="6">
        <f t="shared" si="96"/>
        <v>-0.17671063309924623</v>
      </c>
      <c r="AN82" s="612">
        <f t="shared" si="97"/>
        <v>-49.829375545154967</v>
      </c>
      <c r="AO82" s="613">
        <f t="shared" si="466"/>
        <v>15.898970655595207</v>
      </c>
      <c r="AP82" s="624">
        <f t="shared" si="99"/>
        <v>-12.27905857429956</v>
      </c>
      <c r="AQ82" s="625">
        <f t="shared" si="476"/>
        <v>3.6089718915297451</v>
      </c>
      <c r="AS82" s="56">
        <f t="shared" si="550"/>
        <v>-311.21100704425902</v>
      </c>
      <c r="AT82" s="77">
        <f t="shared" si="477"/>
        <v>0.81190558562192772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9.1180000000000003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-2.9110462867576392</v>
      </c>
      <c r="C83" s="771">
        <v>2.7117469552432749</v>
      </c>
      <c r="D83" s="772">
        <v>-0.90970274366347481</v>
      </c>
      <c r="E83" s="773">
        <v>-0.84481022278619311</v>
      </c>
      <c r="F83" s="771">
        <v>-0.52447786628800575</v>
      </c>
      <c r="G83" s="774">
        <v>0.10591815354283596</v>
      </c>
      <c r="H83" s="773">
        <v>0.314</v>
      </c>
      <c r="I83" s="771">
        <v>0.52</v>
      </c>
      <c r="J83" s="601">
        <v>9.1259999999999994</v>
      </c>
      <c r="K83" s="426" t="str">
        <f t="shared" si="651"/>
        <v>1613</v>
      </c>
      <c r="L83" s="327"/>
      <c r="M83" s="173">
        <f t="shared" si="469"/>
        <v>9.1259999999999994</v>
      </c>
      <c r="N83" s="21">
        <f t="shared" si="470"/>
        <v>-2.9110462867576392</v>
      </c>
      <c r="O83" s="5">
        <f t="shared" si="471"/>
        <v>2.7117469552432749</v>
      </c>
      <c r="P83" s="10">
        <f t="shared" si="472"/>
        <v>-0.90970274366347481</v>
      </c>
      <c r="Q83" s="624">
        <f t="shared" si="528"/>
        <v>137.02999320970912</v>
      </c>
      <c r="R83" s="5">
        <f t="shared" si="83"/>
        <v>3.9784119988905893</v>
      </c>
      <c r="S83" s="6">
        <f t="shared" si="84"/>
        <v>-0.90970274366347481</v>
      </c>
      <c r="T83" s="4">
        <f t="shared" si="85"/>
        <v>2.6667699476592897</v>
      </c>
      <c r="U83" s="5">
        <f t="shared" si="86"/>
        <v>2.9523041982793519</v>
      </c>
      <c r="V83" s="8">
        <f t="shared" si="117"/>
        <v>-0.90970274366347481</v>
      </c>
      <c r="W83" s="624">
        <f t="shared" si="652"/>
        <v>47.908993082797238</v>
      </c>
      <c r="X83" s="5">
        <f t="shared" si="87"/>
        <v>3.9784119988905893</v>
      </c>
      <c r="Y83" s="7">
        <f t="shared" si="650"/>
        <v>-0.90970274366347481</v>
      </c>
      <c r="Z83" s="21">
        <f t="shared" si="473"/>
        <v>0.84481022278619311</v>
      </c>
      <c r="AA83" s="5">
        <f t="shared" si="474"/>
        <v>0.52447786628800575</v>
      </c>
      <c r="AB83" s="5">
        <f t="shared" si="475"/>
        <v>-0.10591815354283596</v>
      </c>
      <c r="AC83" s="8">
        <f t="shared" si="88"/>
        <v>1</v>
      </c>
      <c r="AD83" s="9">
        <f t="shared" si="118"/>
        <v>0.84481022278619311</v>
      </c>
      <c r="AE83" s="5">
        <f t="shared" si="89"/>
        <v>0.52447786628800575</v>
      </c>
      <c r="AF83" s="10">
        <f t="shared" si="90"/>
        <v>-0.10591815354283596</v>
      </c>
      <c r="AG83" s="622">
        <f t="shared" si="91"/>
        <v>78.58269424365723</v>
      </c>
      <c r="AH83" s="623">
        <f t="shared" si="92"/>
        <v>32.348391481214115</v>
      </c>
      <c r="AI83" s="624">
        <f t="shared" si="93"/>
        <v>-83.919932118369744</v>
      </c>
      <c r="AJ83" s="625">
        <f t="shared" si="94"/>
        <v>121.83297375016187</v>
      </c>
      <c r="AK83" s="4">
        <f t="shared" si="213"/>
        <v>0.95960169424577269</v>
      </c>
      <c r="AL83" s="5">
        <f t="shared" si="95"/>
        <v>-0.26066440714205508</v>
      </c>
      <c r="AM83" s="6">
        <f t="shared" si="96"/>
        <v>-0.10591815354283596</v>
      </c>
      <c r="AN83" s="612">
        <f t="shared" si="97"/>
        <v>-67.886167477022965</v>
      </c>
      <c r="AO83" s="613">
        <f t="shared" si="466"/>
        <v>16.341511365614604</v>
      </c>
      <c r="AP83" s="624">
        <f t="shared" si="99"/>
        <v>-15.197019459547255</v>
      </c>
      <c r="AQ83" s="625">
        <f t="shared" si="476"/>
        <v>3.1141817433659194</v>
      </c>
      <c r="AS83" s="56">
        <f t="shared" si="550"/>
        <v>-312.09100691720278</v>
      </c>
      <c r="AT83" s="77">
        <f t="shared" si="477"/>
        <v>0.27262839309984632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9.1259999999999994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-3.1476703971775462</v>
      </c>
      <c r="C84" s="771">
        <v>2.996229877065828</v>
      </c>
      <c r="D84" s="772">
        <v>-1.5889047921368529</v>
      </c>
      <c r="E84" s="773">
        <v>-0.87172091051800427</v>
      </c>
      <c r="F84" s="771">
        <v>-0.48640883086908299</v>
      </c>
      <c r="G84" s="774">
        <v>5.9237685794042316E-2</v>
      </c>
      <c r="H84" s="773">
        <v>0.314</v>
      </c>
      <c r="I84" s="771">
        <v>0.52</v>
      </c>
      <c r="J84" s="601">
        <v>9.1349999999999998</v>
      </c>
      <c r="K84" s="426" t="str">
        <f t="shared" si="651"/>
        <v>1613</v>
      </c>
      <c r="L84" s="327"/>
      <c r="M84" s="173">
        <f t="shared" si="469"/>
        <v>9.1349999999999998</v>
      </c>
      <c r="N84" s="21">
        <f t="shared" si="470"/>
        <v>-3.1476703971775462</v>
      </c>
      <c r="O84" s="5">
        <f t="shared" si="471"/>
        <v>2.996229877065828</v>
      </c>
      <c r="P84" s="10">
        <f t="shared" si="472"/>
        <v>-1.5889047921368529</v>
      </c>
      <c r="Q84" s="624">
        <f t="shared" si="528"/>
        <v>136.41199329893726</v>
      </c>
      <c r="R84" s="5">
        <f t="shared" si="83"/>
        <v>4.3457131066707291</v>
      </c>
      <c r="S84" s="6">
        <f t="shared" si="84"/>
        <v>-1.5889047921368529</v>
      </c>
      <c r="T84" s="4">
        <f t="shared" si="85"/>
        <v>2.9475893795635835</v>
      </c>
      <c r="U84" s="5">
        <f t="shared" si="86"/>
        <v>3.193264670360684</v>
      </c>
      <c r="V84" s="8">
        <f t="shared" si="117"/>
        <v>-1.5889047921368529</v>
      </c>
      <c r="W84" s="624">
        <f t="shared" si="652"/>
        <v>47.290993172025381</v>
      </c>
      <c r="X84" s="5">
        <f t="shared" si="87"/>
        <v>4.3457131066707291</v>
      </c>
      <c r="Y84" s="7">
        <f t="shared" si="650"/>
        <v>-1.5889047921368529</v>
      </c>
      <c r="Z84" s="21">
        <f t="shared" si="473"/>
        <v>0.87172091051800427</v>
      </c>
      <c r="AA84" s="5">
        <f t="shared" si="474"/>
        <v>0.48640883086908299</v>
      </c>
      <c r="AB84" s="5">
        <f t="shared" si="475"/>
        <v>-5.9237685794042316E-2</v>
      </c>
      <c r="AC84" s="8">
        <f t="shared" si="88"/>
        <v>1</v>
      </c>
      <c r="AD84" s="9">
        <f t="shared" si="118"/>
        <v>0.87172091051800427</v>
      </c>
      <c r="AE84" s="5">
        <f t="shared" si="89"/>
        <v>0.48640883086908299</v>
      </c>
      <c r="AF84" s="10">
        <f t="shared" si="90"/>
        <v>-5.9237685794042316E-2</v>
      </c>
      <c r="AG84" s="622">
        <f t="shared" si="91"/>
        <v>83.056381992530007</v>
      </c>
      <c r="AH84" s="623">
        <f t="shared" si="92"/>
        <v>29.340759585490773</v>
      </c>
      <c r="AI84" s="624">
        <f t="shared" si="93"/>
        <v>-86.603942451359814</v>
      </c>
      <c r="AJ84" s="625">
        <f t="shared" si="94"/>
        <v>119.16094396922163</v>
      </c>
      <c r="AK84" s="4">
        <f t="shared" si="213"/>
        <v>0.95333741844346975</v>
      </c>
      <c r="AL84" s="5">
        <f t="shared" si="95"/>
        <v>-0.29603827991884296</v>
      </c>
      <c r="AM84" s="6">
        <f t="shared" si="96"/>
        <v>-5.9237685794042316E-2</v>
      </c>
      <c r="AN84" s="612">
        <f t="shared" si="97"/>
        <v>-78.684479151045409</v>
      </c>
      <c r="AO84" s="613">
        <f t="shared" si="466"/>
        <v>17.572171054384199</v>
      </c>
      <c r="AP84" s="624">
        <f t="shared" si="99"/>
        <v>-17.251049329715638</v>
      </c>
      <c r="AQ84" s="625">
        <f t="shared" si="476"/>
        <v>2.851424454953106</v>
      </c>
      <c r="AS84" s="56">
        <f t="shared" si="550"/>
        <v>-312.70900682797463</v>
      </c>
      <c r="AT84" s="77">
        <f t="shared" si="477"/>
        <v>-0.40423898904394906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9.1349999999999998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0.02</v>
      </c>
      <c r="B85" s="770">
        <v>-3.2844971512943104</v>
      </c>
      <c r="C85" s="771">
        <v>3.1673743795591935</v>
      </c>
      <c r="D85" s="772">
        <v>-2.3307070294124013</v>
      </c>
      <c r="E85" s="773">
        <v>-0.89493771817243473</v>
      </c>
      <c r="F85" s="771">
        <v>-0.44589066238036584</v>
      </c>
      <c r="G85" s="774">
        <v>1.6370638176763291E-2</v>
      </c>
      <c r="H85" s="773">
        <v>0.314</v>
      </c>
      <c r="I85" s="771">
        <v>0.52</v>
      </c>
      <c r="J85" s="601">
        <v>9.1440000000000001</v>
      </c>
      <c r="K85" s="426" t="str">
        <f t="shared" si="651"/>
        <v>1613</v>
      </c>
      <c r="L85" s="327"/>
      <c r="M85" s="173">
        <f t="shared" si="469"/>
        <v>9.1440000000000001</v>
      </c>
      <c r="N85" s="21">
        <f t="shared" si="470"/>
        <v>-3.2844971512943104</v>
      </c>
      <c r="O85" s="5">
        <f t="shared" si="471"/>
        <v>3.1673743795591935</v>
      </c>
      <c r="P85" s="10">
        <f t="shared" si="472"/>
        <v>-2.3307070294124013</v>
      </c>
      <c r="Q85" s="624">
        <f t="shared" si="528"/>
        <v>136.0399933526474</v>
      </c>
      <c r="R85" s="5">
        <f t="shared" si="83"/>
        <v>4.5629137617479056</v>
      </c>
      <c r="S85" s="6">
        <f t="shared" si="84"/>
        <v>-2.3307070294124013</v>
      </c>
      <c r="T85" s="4">
        <f t="shared" si="85"/>
        <v>3.11661470482104</v>
      </c>
      <c r="U85" s="5">
        <f t="shared" si="86"/>
        <v>3.3327008234826128</v>
      </c>
      <c r="V85" s="8">
        <f t="shared" si="117"/>
        <v>-2.3307070294124013</v>
      </c>
      <c r="W85" s="624">
        <f t="shared" si="652"/>
        <v>46.91899322573552</v>
      </c>
      <c r="X85" s="5">
        <f t="shared" si="87"/>
        <v>4.5629137617479056</v>
      </c>
      <c r="Y85" s="7">
        <f t="shared" si="650"/>
        <v>-2.3307070294124013</v>
      </c>
      <c r="Z85" s="21">
        <f t="shared" si="473"/>
        <v>0.89493771817243473</v>
      </c>
      <c r="AA85" s="5">
        <f t="shared" si="474"/>
        <v>0.44589066238036584</v>
      </c>
      <c r="AB85" s="5">
        <f t="shared" si="475"/>
        <v>-1.6370638176763291E-2</v>
      </c>
      <c r="AC85" s="8">
        <f t="shared" si="88"/>
        <v>1</v>
      </c>
      <c r="AD85" s="9">
        <f t="shared" si="118"/>
        <v>0.89493771817243473</v>
      </c>
      <c r="AE85" s="5">
        <f t="shared" si="89"/>
        <v>0.44589066238036584</v>
      </c>
      <c r="AF85" s="10">
        <f t="shared" si="90"/>
        <v>-1.6370638176763291E-2</v>
      </c>
      <c r="AG85" s="622">
        <f t="shared" si="91"/>
        <v>87.897360385493528</v>
      </c>
      <c r="AH85" s="623">
        <f t="shared" si="92"/>
        <v>26.499568983165471</v>
      </c>
      <c r="AI85" s="624">
        <f t="shared" si="93"/>
        <v>-89.061989623901923</v>
      </c>
      <c r="AJ85" s="625">
        <f t="shared" si="94"/>
        <v>116.48416261680899</v>
      </c>
      <c r="AK85" s="4">
        <f t="shared" si="213"/>
        <v>0.9421894944099759</v>
      </c>
      <c r="AL85" s="5">
        <f t="shared" si="95"/>
        <v>-0.33468038309581216</v>
      </c>
      <c r="AM85" s="6">
        <f t="shared" si="96"/>
        <v>-1.6370638176763291E-2</v>
      </c>
      <c r="AN85" s="612">
        <f t="shared" si="97"/>
        <v>-87.199652167589505</v>
      </c>
      <c r="AO85" s="613">
        <f t="shared" si="466"/>
        <v>19.577434554771834</v>
      </c>
      <c r="AP85" s="624">
        <f t="shared" si="99"/>
        <v>-19.555830735838398</v>
      </c>
      <c r="AQ85" s="625">
        <f t="shared" si="476"/>
        <v>2.7159012171981565</v>
      </c>
      <c r="AS85" s="56">
        <f t="shared" si="550"/>
        <v>-313.08100677426449</v>
      </c>
      <c r="AT85" s="77">
        <f t="shared" si="477"/>
        <v>-1.1446358931890692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9.1440000000000001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0.02</v>
      </c>
      <c r="B86" s="770">
        <v>-3.3380706110224478</v>
      </c>
      <c r="C86" s="771">
        <v>3.2358331179537765</v>
      </c>
      <c r="D86" s="772">
        <v>-3.0991093469137905</v>
      </c>
      <c r="E86" s="773">
        <v>-0.9413718764420107</v>
      </c>
      <c r="F86" s="771">
        <v>-0.33737068133802284</v>
      </c>
      <c r="G86" s="774">
        <v>1.1669432713293237E-4</v>
      </c>
      <c r="H86" s="773">
        <v>0.314</v>
      </c>
      <c r="I86" s="771">
        <v>0.52</v>
      </c>
      <c r="J86" s="601">
        <v>9.1530000000000005</v>
      </c>
      <c r="K86" s="426" t="str">
        <f t="shared" si="651"/>
        <v>1613</v>
      </c>
      <c r="L86" s="327"/>
      <c r="M86" s="173">
        <f t="shared" si="469"/>
        <v>9.1530000000000005</v>
      </c>
      <c r="N86" s="21">
        <f t="shared" si="470"/>
        <v>-3.3380706110224478</v>
      </c>
      <c r="O86" s="5">
        <f t="shared" si="471"/>
        <v>3.2358331179537765</v>
      </c>
      <c r="P86" s="10">
        <f t="shared" si="472"/>
        <v>-3.0991093469137905</v>
      </c>
      <c r="Q86" s="624">
        <f t="shared" si="528"/>
        <v>135.89099337416033</v>
      </c>
      <c r="R86" s="5">
        <f t="shared" si="83"/>
        <v>4.6490140214262894</v>
      </c>
      <c r="S86" s="6">
        <f t="shared" si="84"/>
        <v>-3.0991093469137905</v>
      </c>
      <c r="T86" s="4">
        <f t="shared" si="85"/>
        <v>3.1842435252742063</v>
      </c>
      <c r="U86" s="5">
        <f t="shared" si="86"/>
        <v>3.3873181933747429</v>
      </c>
      <c r="V86" s="8">
        <f t="shared" si="117"/>
        <v>-3.0991093469137905</v>
      </c>
      <c r="W86" s="624">
        <f t="shared" si="652"/>
        <v>46.769993247248451</v>
      </c>
      <c r="X86" s="5">
        <f t="shared" si="87"/>
        <v>4.6490140214262894</v>
      </c>
      <c r="Y86" s="7">
        <f t="shared" si="650"/>
        <v>-3.0991093469137905</v>
      </c>
      <c r="Z86" s="21">
        <f t="shared" si="473"/>
        <v>0.9413718764420107</v>
      </c>
      <c r="AA86" s="5">
        <f t="shared" si="474"/>
        <v>0.33737068133802284</v>
      </c>
      <c r="AB86" s="5">
        <f t="shared" si="475"/>
        <v>-1.1669432713293237E-4</v>
      </c>
      <c r="AC86" s="8">
        <f t="shared" si="88"/>
        <v>1</v>
      </c>
      <c r="AD86" s="9">
        <f t="shared" si="118"/>
        <v>0.9413718764420107</v>
      </c>
      <c r="AE86" s="5">
        <f t="shared" si="89"/>
        <v>0.33737068133802284</v>
      </c>
      <c r="AF86" s="10">
        <f t="shared" si="90"/>
        <v>-1.1669432713293237E-4</v>
      </c>
      <c r="AG86" s="622">
        <f t="shared" si="91"/>
        <v>89.98018176284711</v>
      </c>
      <c r="AH86" s="623">
        <f t="shared" si="92"/>
        <v>19.716763725582656</v>
      </c>
      <c r="AI86" s="624">
        <f t="shared" si="93"/>
        <v>-89.993313907546991</v>
      </c>
      <c r="AJ86" s="625">
        <f t="shared" si="94"/>
        <v>109.71676263703864</v>
      </c>
      <c r="AK86" s="4">
        <f t="shared" si="213"/>
        <v>0.89745684380973101</v>
      </c>
      <c r="AL86" s="5">
        <f t="shared" si="95"/>
        <v>-0.44110225558424676</v>
      </c>
      <c r="AM86" s="6">
        <f t="shared" si="96"/>
        <v>-1.1669432713293237E-4</v>
      </c>
      <c r="AN86" s="612">
        <f t="shared" si="97"/>
        <v>-89.984842307657217</v>
      </c>
      <c r="AO86" s="613">
        <f t="shared" si="466"/>
        <v>26.174231530840022</v>
      </c>
      <c r="AP86" s="624">
        <f t="shared" si="99"/>
        <v>-26.174230737121686</v>
      </c>
      <c r="AQ86" s="625">
        <f t="shared" si="476"/>
        <v>2.6656756574872262</v>
      </c>
      <c r="AS86" s="56">
        <f t="shared" si="550"/>
        <v>-313.23000675275154</v>
      </c>
      <c r="AT86" s="77">
        <f t="shared" si="477"/>
        <v>-1.9124753218828408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9.1530000000000005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0.02</v>
      </c>
      <c r="B87" s="770">
        <v>-3.3666768332653523</v>
      </c>
      <c r="C87" s="771">
        <v>3.2726935566611024</v>
      </c>
      <c r="D87" s="772">
        <v>-3.8660116598911665</v>
      </c>
      <c r="E87" s="773">
        <v>-0.96216571259752559</v>
      </c>
      <c r="F87" s="771">
        <v>-0.27246493627930024</v>
      </c>
      <c r="G87" s="774">
        <v>1.1339743341327362E-7</v>
      </c>
      <c r="H87" s="773">
        <v>0.314</v>
      </c>
      <c r="I87" s="771">
        <v>0.52</v>
      </c>
      <c r="J87" s="601">
        <v>9.1620000000000008</v>
      </c>
      <c r="K87" s="426" t="str">
        <f t="shared" si="651"/>
        <v>1613</v>
      </c>
      <c r="L87" s="327"/>
      <c r="M87" s="173">
        <f t="shared" si="469"/>
        <v>9.1620000000000008</v>
      </c>
      <c r="N87" s="21">
        <f t="shared" si="470"/>
        <v>-3.3666768332653523</v>
      </c>
      <c r="O87" s="5">
        <f t="shared" si="471"/>
        <v>3.2726935566611024</v>
      </c>
      <c r="P87" s="10">
        <f t="shared" si="472"/>
        <v>-3.8660116598911665</v>
      </c>
      <c r="Q87" s="624">
        <f t="shared" si="528"/>
        <v>135.8109933857109</v>
      </c>
      <c r="R87" s="5">
        <f t="shared" si="83"/>
        <v>4.695214160765909</v>
      </c>
      <c r="S87" s="6">
        <f t="shared" si="84"/>
        <v>-3.8660116598911665</v>
      </c>
      <c r="T87" s="4">
        <f t="shared" si="85"/>
        <v>3.2206607828511578</v>
      </c>
      <c r="U87" s="5">
        <f t="shared" si="86"/>
        <v>3.4164865194028335</v>
      </c>
      <c r="V87" s="8">
        <f t="shared" si="117"/>
        <v>-3.8660116598911665</v>
      </c>
      <c r="W87" s="624">
        <f t="shared" si="652"/>
        <v>46.689993258799021</v>
      </c>
      <c r="X87" s="5">
        <f t="shared" si="87"/>
        <v>4.695214160765909</v>
      </c>
      <c r="Y87" s="7">
        <f t="shared" si="650"/>
        <v>-3.8660116598911665</v>
      </c>
      <c r="Z87" s="21">
        <f t="shared" si="473"/>
        <v>0.96216571259752559</v>
      </c>
      <c r="AA87" s="5">
        <f t="shared" si="474"/>
        <v>0.27246493627930024</v>
      </c>
      <c r="AB87" s="5">
        <f t="shared" si="475"/>
        <v>-1.1339743341327362E-7</v>
      </c>
      <c r="AC87" s="8">
        <f t="shared" si="88"/>
        <v>1</v>
      </c>
      <c r="AD87" s="9">
        <f t="shared" si="118"/>
        <v>0.96216571259752559</v>
      </c>
      <c r="AE87" s="5">
        <f t="shared" si="89"/>
        <v>0.27246493627930024</v>
      </c>
      <c r="AF87" s="10">
        <f t="shared" si="90"/>
        <v>-1.1339743341327362E-7</v>
      </c>
      <c r="AG87" s="622">
        <f t="shared" si="91"/>
        <v>89.999976154016622</v>
      </c>
      <c r="AH87" s="623">
        <f t="shared" si="92"/>
        <v>15.810997717176285</v>
      </c>
      <c r="AI87" s="624">
        <f t="shared" si="93"/>
        <v>-89.999993502805651</v>
      </c>
      <c r="AJ87" s="625">
        <f t="shared" si="94"/>
        <v>105.810997717175</v>
      </c>
      <c r="AK87" s="4">
        <f t="shared" si="213"/>
        <v>0.86602544158358574</v>
      </c>
      <c r="AL87" s="5">
        <f t="shared" si="95"/>
        <v>-0.49999993452993829</v>
      </c>
      <c r="AM87" s="6">
        <f t="shared" si="96"/>
        <v>-1.1339743341327362E-7</v>
      </c>
      <c r="AN87" s="612">
        <f t="shared" si="97"/>
        <v>-89.999987005609626</v>
      </c>
      <c r="AO87" s="613">
        <f t="shared" si="466"/>
        <v>29.99999566853651</v>
      </c>
      <c r="AP87" s="624">
        <f t="shared" si="99"/>
        <v>-29.999995668535888</v>
      </c>
      <c r="AQ87" s="625">
        <f t="shared" si="476"/>
        <v>2.639483123661754</v>
      </c>
      <c r="AS87" s="56">
        <f t="shared" si="550"/>
        <v>-313.31000674120099</v>
      </c>
      <c r="AT87" s="77">
        <f t="shared" si="477"/>
        <v>-2.6790754126816299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9.1620000000000008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-1.9041758287453061</v>
      </c>
      <c r="C88" s="771">
        <v>2.903986555261953</v>
      </c>
      <c r="D88" s="772">
        <v>-0.33670101549026249</v>
      </c>
      <c r="E88" s="773">
        <v>-0.93070518196206753</v>
      </c>
      <c r="F88" s="771">
        <v>-0.28431995057585513</v>
      </c>
      <c r="G88" s="774">
        <v>0.23010873510907429</v>
      </c>
      <c r="H88" s="773">
        <v>0.26600000000000001</v>
      </c>
      <c r="I88" s="771">
        <v>0.52</v>
      </c>
      <c r="J88" s="601">
        <v>9.218</v>
      </c>
      <c r="K88" s="426" t="str">
        <f t="shared" si="651"/>
        <v>1313</v>
      </c>
      <c r="L88" s="327"/>
      <c r="M88" s="173">
        <f t="shared" si="469"/>
        <v>9.218</v>
      </c>
      <c r="N88" s="21">
        <f t="shared" si="470"/>
        <v>-1.9041758287453061</v>
      </c>
      <c r="O88" s="5">
        <f t="shared" si="471"/>
        <v>2.903986555261953</v>
      </c>
      <c r="P88" s="10">
        <f t="shared" si="472"/>
        <v>-0.33670101549026249</v>
      </c>
      <c r="Q88" s="624">
        <f t="shared" si="528"/>
        <v>123.25329519881819</v>
      </c>
      <c r="R88" s="5">
        <f t="shared" si="83"/>
        <v>3.4726104733931873</v>
      </c>
      <c r="S88" s="6">
        <f t="shared" si="84"/>
        <v>-0.33670101549026249</v>
      </c>
      <c r="T88" s="4">
        <f t="shared" si="85"/>
        <v>2.8744331641027405</v>
      </c>
      <c r="U88" s="5">
        <f t="shared" si="86"/>
        <v>1.9485013433473335</v>
      </c>
      <c r="V88" s="8">
        <f t="shared" si="117"/>
        <v>-0.33670101549026249</v>
      </c>
      <c r="W88" s="624">
        <f t="shared" si="652"/>
        <v>34.132295071906313</v>
      </c>
      <c r="X88" s="5">
        <f t="shared" si="87"/>
        <v>3.4726104733931873</v>
      </c>
      <c r="Y88" s="7">
        <f t="shared" si="650"/>
        <v>-0.33670101549026249</v>
      </c>
      <c r="Z88" s="21">
        <f t="shared" si="473"/>
        <v>0.93070518196206753</v>
      </c>
      <c r="AA88" s="5">
        <f t="shared" si="474"/>
        <v>0.28431995057585513</v>
      </c>
      <c r="AB88" s="5">
        <f t="shared" si="475"/>
        <v>-0.23010873510907429</v>
      </c>
      <c r="AC88" s="8">
        <f t="shared" si="88"/>
        <v>1</v>
      </c>
      <c r="AD88" s="9">
        <f t="shared" si="118"/>
        <v>0.93070518196206753</v>
      </c>
      <c r="AE88" s="5">
        <f t="shared" si="89"/>
        <v>0.28431995057585513</v>
      </c>
      <c r="AF88" s="10">
        <f t="shared" si="90"/>
        <v>-0.23010873510907429</v>
      </c>
      <c r="AG88" s="622">
        <f t="shared" si="91"/>
        <v>51.015706445141376</v>
      </c>
      <c r="AH88" s="623">
        <f t="shared" si="92"/>
        <v>21.454991919756292</v>
      </c>
      <c r="AI88" s="624">
        <f t="shared" si="93"/>
        <v>-76.696526480187586</v>
      </c>
      <c r="AJ88" s="625">
        <f t="shared" si="94"/>
        <v>106.98732172173432</v>
      </c>
      <c r="AK88" s="4">
        <f t="shared" si="213"/>
        <v>0.93421088766029214</v>
      </c>
      <c r="AL88" s="5">
        <f t="shared" si="95"/>
        <v>-0.27258024030268757</v>
      </c>
      <c r="AM88" s="6">
        <f t="shared" si="96"/>
        <v>-0.23010873510907429</v>
      </c>
      <c r="AN88" s="612">
        <f t="shared" si="97"/>
        <v>-49.829372758037309</v>
      </c>
      <c r="AO88" s="613">
        <f t="shared" si="466"/>
        <v>20.898969927725034</v>
      </c>
      <c r="AP88" s="624">
        <f t="shared" si="99"/>
        <v>-16.265973477083868</v>
      </c>
      <c r="AQ88" s="625">
        <f t="shared" si="476"/>
        <v>3.5666797466397568</v>
      </c>
      <c r="AS88" s="56">
        <f t="shared" si="550"/>
        <v>-325.8677049280937</v>
      </c>
      <c r="AT88" s="77">
        <f t="shared" si="477"/>
        <v>0.8976754248697576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>
        <f>IFERROR(IF($IU88="","",IF($IU88&lt;(((Settings!$C$19/2)*-1)*$IE$8),"",1)),"")</f>
        <v>1</v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9.218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0.11799999999999999</v>
      </c>
      <c r="II88" s="800" cm="1">
        <f t="array" ref="II88">IFERROR(IF($IH88&lt;1,$IH88+LARGE((IF($M$9:$M$150="",0,$M$9:$M$150)-MOD(IF($M$9:$M$150="",0,$M$9:$M$150),1)),1),$IH88),"")</f>
        <v>9.1180000000000003</v>
      </c>
      <c r="IJ88" s="839" t="str">
        <f t="shared" si="523"/>
        <v>1613</v>
      </c>
      <c r="IK88" s="839" t="str">
        <f t="shared" si="524"/>
        <v>1313</v>
      </c>
      <c r="IL88" s="791">
        <f t="shared" si="654"/>
        <v>14.656697883834653</v>
      </c>
      <c r="IM88" s="830">
        <v>2.5844080976647702E-3</v>
      </c>
      <c r="IN88" s="5">
        <f t="shared" si="655"/>
        <v>0.04</v>
      </c>
      <c r="IO88" s="852">
        <v>20</v>
      </c>
      <c r="IP88" s="9">
        <f t="shared" si="656"/>
        <v>-3.4318103503400166</v>
      </c>
      <c r="IQ88" s="5">
        <f t="shared" si="657"/>
        <v>-0.36710110717693922</v>
      </c>
      <c r="IR88" s="5">
        <f t="shared" si="525"/>
        <v>0.314</v>
      </c>
      <c r="IS88" s="5">
        <f t="shared" si="658"/>
        <v>0.30198831659503478</v>
      </c>
      <c r="IT88" s="791">
        <f t="shared" si="659"/>
        <v>49.829375545154967</v>
      </c>
      <c r="IU88" s="9">
        <f t="shared" si="660"/>
        <v>-3.4726104733931873</v>
      </c>
      <c r="IV88" s="5">
        <f t="shared" si="661"/>
        <v>-0.33670101549026249</v>
      </c>
      <c r="IW88" s="5">
        <f t="shared" si="526"/>
        <v>0.26600000000000001</v>
      </c>
      <c r="IX88" s="5">
        <f t="shared" si="662"/>
        <v>0.24850009611763774</v>
      </c>
      <c r="IY88" s="833">
        <f t="shared" si="663"/>
        <v>49.829372758037309</v>
      </c>
    </row>
    <row r="89" spans="1:259" ht="15" customHeight="1" x14ac:dyDescent="0.25">
      <c r="A89" s="84">
        <f t="shared" si="527"/>
        <v>0.02</v>
      </c>
      <c r="B89" s="770">
        <v>-2.2809172966784135</v>
      </c>
      <c r="C89" s="771">
        <v>3.3199846617195519</v>
      </c>
      <c r="D89" s="772">
        <v>-0.89300269329612314</v>
      </c>
      <c r="E89" s="773">
        <v>-0.95862385201280964</v>
      </c>
      <c r="F89" s="771">
        <v>-0.24954260469683737</v>
      </c>
      <c r="G89" s="774">
        <v>0.13699926566679527</v>
      </c>
      <c r="H89" s="773">
        <v>0.26600000000000001</v>
      </c>
      <c r="I89" s="771">
        <v>0.52</v>
      </c>
      <c r="J89" s="601">
        <v>9.2260000000000009</v>
      </c>
      <c r="K89" s="426" t="str">
        <f t="shared" si="651"/>
        <v>1313</v>
      </c>
      <c r="L89" s="327"/>
      <c r="M89" s="173">
        <f t="shared" si="469"/>
        <v>9.2260000000000009</v>
      </c>
      <c r="N89" s="21">
        <f t="shared" si="470"/>
        <v>-2.2809172966784135</v>
      </c>
      <c r="O89" s="5">
        <f t="shared" si="471"/>
        <v>3.3199846617195519</v>
      </c>
      <c r="P89" s="10">
        <f t="shared" si="472"/>
        <v>-0.89300269329612314</v>
      </c>
      <c r="Q89" s="624">
        <f t="shared" si="528"/>
        <v>124.49009502024637</v>
      </c>
      <c r="R89" s="5">
        <f t="shared" si="83"/>
        <v>4.028012148484641</v>
      </c>
      <c r="S89" s="6">
        <f t="shared" si="84"/>
        <v>-0.89300269329612314</v>
      </c>
      <c r="T89" s="4">
        <f t="shared" si="85"/>
        <v>3.2846027862690419</v>
      </c>
      <c r="U89" s="5">
        <f t="shared" si="86"/>
        <v>2.3315802376871999</v>
      </c>
      <c r="V89" s="8">
        <f t="shared" si="117"/>
        <v>-0.89300269329612314</v>
      </c>
      <c r="W89" s="624">
        <f t="shared" si="652"/>
        <v>35.369094893334491</v>
      </c>
      <c r="X89" s="5">
        <f t="shared" si="87"/>
        <v>4.028012148484641</v>
      </c>
      <c r="Y89" s="7">
        <f t="shared" si="650"/>
        <v>-0.89300269329612314</v>
      </c>
      <c r="Z89" s="21">
        <f t="shared" si="473"/>
        <v>0.95862385201280964</v>
      </c>
      <c r="AA89" s="5">
        <f t="shared" si="474"/>
        <v>0.24954260469683737</v>
      </c>
      <c r="AB89" s="5">
        <f t="shared" si="475"/>
        <v>-0.13699926566679527</v>
      </c>
      <c r="AC89" s="8">
        <f t="shared" si="88"/>
        <v>1</v>
      </c>
      <c r="AD89" s="9">
        <f t="shared" si="118"/>
        <v>0.95862385201280964</v>
      </c>
      <c r="AE89" s="5">
        <f t="shared" si="89"/>
        <v>0.24954260469683737</v>
      </c>
      <c r="AF89" s="10">
        <f t="shared" si="90"/>
        <v>-0.13699926566679527</v>
      </c>
      <c r="AG89" s="622">
        <f t="shared" si="91"/>
        <v>61.233147631652301</v>
      </c>
      <c r="AH89" s="623">
        <f t="shared" si="92"/>
        <v>16.539470494939923</v>
      </c>
      <c r="AI89" s="624">
        <f t="shared" si="93"/>
        <v>-82.125756332512751</v>
      </c>
      <c r="AJ89" s="625">
        <f t="shared" si="94"/>
        <v>104.59103275945277</v>
      </c>
      <c r="AK89" s="4">
        <f t="shared" si="213"/>
        <v>0.93142780856897123</v>
      </c>
      <c r="AL89" s="5">
        <f t="shared" si="95"/>
        <v>-0.33715491785107177</v>
      </c>
      <c r="AM89" s="6">
        <f t="shared" si="96"/>
        <v>-0.13699926566679527</v>
      </c>
      <c r="AN89" s="612">
        <f t="shared" si="97"/>
        <v>-67.886164115621909</v>
      </c>
      <c r="AO89" s="613">
        <f t="shared" si="466"/>
        <v>21.341510634922425</v>
      </c>
      <c r="AP89" s="624">
        <f t="shared" si="99"/>
        <v>-19.899062260793585</v>
      </c>
      <c r="AQ89" s="625">
        <f t="shared" si="476"/>
        <v>3.0759084163048742</v>
      </c>
      <c r="AS89" s="56">
        <f t="shared" si="550"/>
        <v>-324.63090510666552</v>
      </c>
      <c r="AT89" s="77">
        <f t="shared" si="477"/>
        <v>0.33670139218294615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9.2260000000000009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0.126</v>
      </c>
      <c r="II89" s="800" cm="1">
        <f t="array" ref="II89">IFERROR(IF($IH89&lt;1,$IH89+LARGE((IF($M$9:$M$150="",0,$M$9:$M$150)-MOD(IF($M$9:$M$150="",0,$M$9:$M$150),1)),1),$IH89),"")</f>
        <v>9.1259999999999994</v>
      </c>
      <c r="IJ89" s="839" t="str">
        <f t="shared" si="523"/>
        <v>1613</v>
      </c>
      <c r="IK89" s="839" t="str">
        <f t="shared" si="524"/>
        <v>1313</v>
      </c>
      <c r="IL89" s="791">
        <f t="shared" si="654"/>
        <v>12.539898189462747</v>
      </c>
      <c r="IM89" s="830">
        <v>1.1957202508157401E-3</v>
      </c>
      <c r="IN89" s="5">
        <f t="shared" si="655"/>
        <v>0</v>
      </c>
      <c r="IO89" s="852">
        <v>0</v>
      </c>
      <c r="IP89" s="9">
        <f t="shared" si="656"/>
        <v>-3.9784119988905893</v>
      </c>
      <c r="IQ89" s="5">
        <f t="shared" si="657"/>
        <v>-0.90970274366347481</v>
      </c>
      <c r="IR89" s="5">
        <f t="shared" si="525"/>
        <v>0.314</v>
      </c>
      <c r="IS89" s="5">
        <f t="shared" si="658"/>
        <v>0.30131493199317261</v>
      </c>
      <c r="IT89" s="791">
        <f t="shared" si="659"/>
        <v>67.886167477022965</v>
      </c>
      <c r="IU89" s="9">
        <f t="shared" si="660"/>
        <v>-4.028012148484641</v>
      </c>
      <c r="IV89" s="5">
        <f t="shared" si="661"/>
        <v>-0.89300269329612314</v>
      </c>
      <c r="IW89" s="5">
        <f t="shared" si="526"/>
        <v>0.26600000000000001</v>
      </c>
      <c r="IX89" s="5">
        <f t="shared" si="662"/>
        <v>0.24775979707934637</v>
      </c>
      <c r="IY89" s="833">
        <f t="shared" si="663"/>
        <v>67.886164115621909</v>
      </c>
    </row>
    <row r="90" spans="1:259" ht="15" customHeight="1" x14ac:dyDescent="0.25">
      <c r="A90" s="84">
        <f t="shared" si="527"/>
        <v>0.02</v>
      </c>
      <c r="B90" s="770">
        <v>-2.5173074595390879</v>
      </c>
      <c r="C90" s="771">
        <v>3.6067052463398621</v>
      </c>
      <c r="D90" s="772">
        <v>-1.5816047701199862</v>
      </c>
      <c r="E90" s="773">
        <v>-0.97262237532099793</v>
      </c>
      <c r="F90" s="771">
        <v>-0.21984840498207284</v>
      </c>
      <c r="G90" s="774">
        <v>7.5315296266950035E-2</v>
      </c>
      <c r="H90" s="773">
        <v>0.26600000000000001</v>
      </c>
      <c r="I90" s="771">
        <v>0.52</v>
      </c>
      <c r="J90" s="601">
        <v>9.2349999999999994</v>
      </c>
      <c r="K90" s="426" t="str">
        <f t="shared" si="651"/>
        <v>1313</v>
      </c>
      <c r="L90" s="327"/>
      <c r="M90" s="173">
        <f t="shared" si="469"/>
        <v>9.2349999999999994</v>
      </c>
      <c r="N90" s="21">
        <f t="shared" si="470"/>
        <v>-2.5173074595390879</v>
      </c>
      <c r="O90" s="5">
        <f t="shared" si="471"/>
        <v>3.6067052463398621</v>
      </c>
      <c r="P90" s="10">
        <f t="shared" si="472"/>
        <v>-1.5816047701199862</v>
      </c>
      <c r="Q90" s="624">
        <f t="shared" si="528"/>
        <v>124.91319495915832</v>
      </c>
      <c r="R90" s="5">
        <f t="shared" si="83"/>
        <v>4.398313265312809</v>
      </c>
      <c r="S90" s="6">
        <f t="shared" si="84"/>
        <v>-1.5816047701199862</v>
      </c>
      <c r="T90" s="4">
        <f t="shared" si="85"/>
        <v>3.5676632066003817</v>
      </c>
      <c r="U90" s="5">
        <f t="shared" si="86"/>
        <v>2.5723411173669222</v>
      </c>
      <c r="V90" s="8">
        <f t="shared" si="117"/>
        <v>-1.5816047701199862</v>
      </c>
      <c r="W90" s="624">
        <f t="shared" si="652"/>
        <v>35.792194832246437</v>
      </c>
      <c r="X90" s="5">
        <f t="shared" si="87"/>
        <v>4.398313265312809</v>
      </c>
      <c r="Y90" s="7">
        <f t="shared" si="650"/>
        <v>-1.5816047701199862</v>
      </c>
      <c r="Z90" s="21">
        <f t="shared" si="473"/>
        <v>0.97262237532099793</v>
      </c>
      <c r="AA90" s="5">
        <f t="shared" si="474"/>
        <v>0.21984840498207284</v>
      </c>
      <c r="AB90" s="5">
        <f t="shared" si="475"/>
        <v>-7.5315296266950035E-2</v>
      </c>
      <c r="AC90" s="8">
        <f t="shared" si="88"/>
        <v>1</v>
      </c>
      <c r="AD90" s="9">
        <f t="shared" si="118"/>
        <v>0.97262237532099793</v>
      </c>
      <c r="AE90" s="5">
        <f t="shared" si="89"/>
        <v>0.21984840498207284</v>
      </c>
      <c r="AF90" s="10">
        <f t="shared" si="90"/>
        <v>-7.5315296266950035E-2</v>
      </c>
      <c r="AG90" s="622">
        <f t="shared" si="91"/>
        <v>71.089652015085264</v>
      </c>
      <c r="AH90" s="623">
        <f t="shared" si="92"/>
        <v>13.437898403384395</v>
      </c>
      <c r="AI90" s="624">
        <f t="shared" si="93"/>
        <v>-85.680661310641653</v>
      </c>
      <c r="AJ90" s="625">
        <f t="shared" si="94"/>
        <v>102.73691027036146</v>
      </c>
      <c r="AK90" s="4">
        <f t="shared" si="213"/>
        <v>0.92339676794669556</v>
      </c>
      <c r="AL90" s="5">
        <f t="shared" si="95"/>
        <v>-0.37638546078962482</v>
      </c>
      <c r="AM90" s="6">
        <f t="shared" si="96"/>
        <v>-7.5315296266950035E-2</v>
      </c>
      <c r="AN90" s="612">
        <f t="shared" si="97"/>
        <v>-78.684475643297475</v>
      </c>
      <c r="AO90" s="613">
        <f t="shared" si="466"/>
        <v>22.572170320751102</v>
      </c>
      <c r="AP90" s="624">
        <f t="shared" si="99"/>
        <v>-22.176284688796844</v>
      </c>
      <c r="AQ90" s="625">
        <f t="shared" si="476"/>
        <v>2.8173790703770041</v>
      </c>
      <c r="AS90" s="56">
        <f t="shared" si="550"/>
        <v>-324.20780516775358</v>
      </c>
      <c r="AT90" s="77">
        <f t="shared" si="477"/>
        <v>-0.35349906218791771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9.2349999999999994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0.13500000000000001</v>
      </c>
      <c r="II90" s="800" cm="1">
        <f t="array" ref="II90">IFERROR(IF($IH90&lt;1,$IH90+LARGE((IF($M$9:$M$150="",0,$M$9:$M$150)-MOD(IF($M$9:$M$150="",0,$M$9:$M$150),1)),1),$IH90),"")</f>
        <v>9.1349999999999998</v>
      </c>
      <c r="IJ90" s="839" t="str">
        <f t="shared" si="523"/>
        <v>1613</v>
      </c>
      <c r="IK90" s="839" t="str">
        <f t="shared" si="524"/>
        <v>1313</v>
      </c>
      <c r="IL90" s="791">
        <f t="shared" si="654"/>
        <v>11.498798339778944</v>
      </c>
      <c r="IM90" s="830">
        <v>6.12325120822077E-4</v>
      </c>
      <c r="IN90" s="5">
        <f t="shared" si="655"/>
        <v>0</v>
      </c>
      <c r="IO90" s="852">
        <v>0</v>
      </c>
      <c r="IP90" s="9">
        <f t="shared" si="656"/>
        <v>-4.3457131066707291</v>
      </c>
      <c r="IQ90" s="5">
        <f t="shared" si="657"/>
        <v>-1.5889047921368529</v>
      </c>
      <c r="IR90" s="5">
        <f t="shared" si="525"/>
        <v>0.314</v>
      </c>
      <c r="IS90" s="5">
        <f t="shared" si="658"/>
        <v>0.29934794939124948</v>
      </c>
      <c r="IT90" s="791">
        <f t="shared" si="659"/>
        <v>78.684479151045409</v>
      </c>
      <c r="IU90" s="9">
        <f t="shared" si="660"/>
        <v>-4.398313265312809</v>
      </c>
      <c r="IV90" s="5">
        <f t="shared" si="661"/>
        <v>-1.5816047701199862</v>
      </c>
      <c r="IW90" s="5">
        <f t="shared" si="526"/>
        <v>0.26600000000000001</v>
      </c>
      <c r="IX90" s="5">
        <f t="shared" si="662"/>
        <v>0.24562354027382102</v>
      </c>
      <c r="IY90" s="833">
        <f t="shared" si="663"/>
        <v>78.684475643297475</v>
      </c>
    </row>
    <row r="91" spans="1:259" ht="15" customHeight="1" x14ac:dyDescent="0.25">
      <c r="A91" s="84">
        <f t="shared" si="527"/>
        <v>0.02</v>
      </c>
      <c r="B91" s="770">
        <v>-2.6474043044193958</v>
      </c>
      <c r="C91" s="771">
        <v>3.7822345121742553</v>
      </c>
      <c r="D91" s="772">
        <v>-2.3311070306188042</v>
      </c>
      <c r="E91" s="773">
        <v>-0.98324579442384097</v>
      </c>
      <c r="F91" s="771">
        <v>-0.181148542074343</v>
      </c>
      <c r="G91" s="774">
        <v>2.0320271951178297E-2</v>
      </c>
      <c r="H91" s="773">
        <v>0.26600000000000001</v>
      </c>
      <c r="I91" s="771">
        <v>0.52</v>
      </c>
      <c r="J91" s="601">
        <v>9.2439999999999998</v>
      </c>
      <c r="K91" s="426" t="str">
        <f t="shared" si="651"/>
        <v>1313</v>
      </c>
      <c r="L91" s="327"/>
      <c r="M91" s="173">
        <f t="shared" si="469"/>
        <v>9.2439999999999998</v>
      </c>
      <c r="N91" s="21">
        <f t="shared" si="470"/>
        <v>-2.6474043044193958</v>
      </c>
      <c r="O91" s="5">
        <f t="shared" si="471"/>
        <v>3.7822345121742553</v>
      </c>
      <c r="P91" s="10">
        <f t="shared" si="472"/>
        <v>-2.3311070306188042</v>
      </c>
      <c r="Q91" s="624">
        <f t="shared" si="528"/>
        <v>124.99039494801205</v>
      </c>
      <c r="R91" s="5">
        <f t="shared" si="83"/>
        <v>4.6167139240091943</v>
      </c>
      <c r="S91" s="6">
        <f t="shared" si="84"/>
        <v>-2.3311070306188042</v>
      </c>
      <c r="T91" s="4">
        <f t="shared" si="85"/>
        <v>3.7411760216720302</v>
      </c>
      <c r="U91" s="5">
        <f t="shared" si="86"/>
        <v>2.7051154191654398</v>
      </c>
      <c r="V91" s="8">
        <f t="shared" si="117"/>
        <v>-2.3311070306188042</v>
      </c>
      <c r="W91" s="624">
        <f t="shared" si="652"/>
        <v>35.869394821100173</v>
      </c>
      <c r="X91" s="5">
        <f t="shared" si="87"/>
        <v>4.6167139240091943</v>
      </c>
      <c r="Y91" s="7">
        <f t="shared" si="650"/>
        <v>-2.3311070306188042</v>
      </c>
      <c r="Z91" s="21">
        <f t="shared" si="473"/>
        <v>0.98324579442384097</v>
      </c>
      <c r="AA91" s="5">
        <f t="shared" si="474"/>
        <v>0.181148542074343</v>
      </c>
      <c r="AB91" s="5">
        <f t="shared" si="475"/>
        <v>-2.0320271951178297E-2</v>
      </c>
      <c r="AC91" s="8">
        <f t="shared" si="88"/>
        <v>1</v>
      </c>
      <c r="AD91" s="9">
        <f t="shared" si="118"/>
        <v>0.98324579442384097</v>
      </c>
      <c r="AE91" s="5">
        <f t="shared" si="89"/>
        <v>0.181148542074343</v>
      </c>
      <c r="AF91" s="10">
        <f t="shared" si="90"/>
        <v>-2.0320271951178297E-2</v>
      </c>
      <c r="AG91" s="622">
        <f t="shared" si="91"/>
        <v>83.599622872855448</v>
      </c>
      <c r="AH91" s="623">
        <f t="shared" si="92"/>
        <v>10.502864831337909</v>
      </c>
      <c r="AI91" s="624">
        <f t="shared" si="93"/>
        <v>-88.835654040244663</v>
      </c>
      <c r="AJ91" s="625">
        <f t="shared" si="94"/>
        <v>100.43884582945459</v>
      </c>
      <c r="AK91" s="4">
        <f t="shared" si="213"/>
        <v>0.90939999245198977</v>
      </c>
      <c r="AL91" s="5">
        <f t="shared" si="95"/>
        <v>-0.41542597448420471</v>
      </c>
      <c r="AM91" s="6">
        <f t="shared" si="96"/>
        <v>-2.0320271951178297E-2</v>
      </c>
      <c r="AN91" s="612">
        <f t="shared" si="97"/>
        <v>-87.199648844269191</v>
      </c>
      <c r="AO91" s="613">
        <f t="shared" si="466"/>
        <v>24.577433817751611</v>
      </c>
      <c r="AP91" s="624">
        <f t="shared" si="99"/>
        <v>-24.551549118557464</v>
      </c>
      <c r="AQ91" s="625">
        <f t="shared" si="476"/>
        <v>2.6842984455902017</v>
      </c>
      <c r="AS91" s="56">
        <f t="shared" si="550"/>
        <v>-324.13060517889983</v>
      </c>
      <c r="AT91" s="77">
        <f t="shared" si="477"/>
        <v>-1.1032929670890719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9.2439999999999998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0.14399999999999999</v>
      </c>
      <c r="II91" s="800" cm="1">
        <f t="array" ref="II91">IFERROR(IF($IH91&lt;1,$IH91+LARGE((IF($M$9:$M$150="",0,$M$9:$M$150)-MOD(IF($M$9:$M$150="",0,$M$9:$M$150),1)),1),$IH91),"")</f>
        <v>9.1440000000000001</v>
      </c>
      <c r="IJ91" s="839" t="str">
        <f t="shared" si="523"/>
        <v>1613</v>
      </c>
      <c r="IK91" s="839" t="str">
        <f t="shared" si="524"/>
        <v>1313</v>
      </c>
      <c r="IL91" s="791">
        <f t="shared" si="654"/>
        <v>11.049598404635347</v>
      </c>
      <c r="IM91" s="830">
        <v>1.6266379021793E-4</v>
      </c>
      <c r="IN91" s="5">
        <f t="shared" si="655"/>
        <v>0</v>
      </c>
      <c r="IO91" s="852">
        <v>0</v>
      </c>
      <c r="IP91" s="9">
        <f t="shared" si="656"/>
        <v>-4.5629137617479056</v>
      </c>
      <c r="IQ91" s="5">
        <f t="shared" si="657"/>
        <v>-2.3307070294124013</v>
      </c>
      <c r="IR91" s="5">
        <f t="shared" si="525"/>
        <v>0.314</v>
      </c>
      <c r="IS91" s="5">
        <f t="shared" si="658"/>
        <v>0.29584750124473241</v>
      </c>
      <c r="IT91" s="791">
        <f t="shared" si="659"/>
        <v>87.199652167589505</v>
      </c>
      <c r="IU91" s="9">
        <f t="shared" si="660"/>
        <v>-4.6167139240091943</v>
      </c>
      <c r="IV91" s="5">
        <f t="shared" si="661"/>
        <v>-2.3311070306188042</v>
      </c>
      <c r="IW91" s="5">
        <f t="shared" si="526"/>
        <v>0.26600000000000001</v>
      </c>
      <c r="IX91" s="5">
        <f t="shared" si="662"/>
        <v>0.24190039799222929</v>
      </c>
      <c r="IY91" s="833">
        <f t="shared" si="663"/>
        <v>87.199648844269191</v>
      </c>
    </row>
    <row r="92" spans="1:259" ht="15" customHeight="1" x14ac:dyDescent="0.25">
      <c r="A92" s="84">
        <f t="shared" si="527"/>
        <v>0.02</v>
      </c>
      <c r="B92" s="770">
        <v>-2.6683020889038347</v>
      </c>
      <c r="C92" s="771">
        <v>3.8729119529968012</v>
      </c>
      <c r="D92" s="772">
        <v>-3.1022093562634181</v>
      </c>
      <c r="E92" s="773">
        <v>-0.99824884836832284</v>
      </c>
      <c r="F92" s="771">
        <v>-5.9154188117124085E-2</v>
      </c>
      <c r="G92" s="774">
        <v>1.3696540214034803E-4</v>
      </c>
      <c r="H92" s="773">
        <v>0.26600000000000001</v>
      </c>
      <c r="I92" s="771">
        <v>0.52</v>
      </c>
      <c r="J92" s="601">
        <v>9.2530000000000001</v>
      </c>
      <c r="K92" s="426" t="str">
        <f t="shared" si="651"/>
        <v>1313</v>
      </c>
      <c r="L92" s="327"/>
      <c r="M92" s="173">
        <f t="shared" si="469"/>
        <v>9.2530000000000001</v>
      </c>
      <c r="N92" s="21">
        <f t="shared" si="470"/>
        <v>-2.6683020889038347</v>
      </c>
      <c r="O92" s="5">
        <f t="shared" si="471"/>
        <v>3.8729119529968012</v>
      </c>
      <c r="P92" s="10">
        <f t="shared" si="472"/>
        <v>-3.1022093562634181</v>
      </c>
      <c r="Q92" s="624">
        <f t="shared" si="528"/>
        <v>124.56549500935998</v>
      </c>
      <c r="R92" s="5">
        <f t="shared" si="83"/>
        <v>4.7031141845923816</v>
      </c>
      <c r="S92" s="6">
        <f t="shared" si="84"/>
        <v>-3.1022093562634181</v>
      </c>
      <c r="T92" s="4">
        <f t="shared" si="85"/>
        <v>3.8315222022191726</v>
      </c>
      <c r="U92" s="5">
        <f t="shared" si="86"/>
        <v>2.7274018125710051</v>
      </c>
      <c r="V92" s="8">
        <f t="shared" si="117"/>
        <v>-3.1022093562634181</v>
      </c>
      <c r="W92" s="624">
        <f t="shared" si="652"/>
        <v>35.444494882448097</v>
      </c>
      <c r="X92" s="5">
        <f t="shared" si="87"/>
        <v>4.7031141845923816</v>
      </c>
      <c r="Y92" s="7">
        <f t="shared" si="650"/>
        <v>-3.1022093562634181</v>
      </c>
      <c r="Z92" s="21">
        <f t="shared" si="473"/>
        <v>0.99824884836832284</v>
      </c>
      <c r="AA92" s="5">
        <f t="shared" si="474"/>
        <v>5.9154188117124085E-2</v>
      </c>
      <c r="AB92" s="5">
        <f t="shared" si="475"/>
        <v>-1.3696540214034803E-4</v>
      </c>
      <c r="AC92" s="8">
        <f t="shared" si="88"/>
        <v>1</v>
      </c>
      <c r="AD92" s="9">
        <f t="shared" si="118"/>
        <v>0.99824884836832284</v>
      </c>
      <c r="AE92" s="5">
        <f t="shared" si="89"/>
        <v>5.9154188117124085E-2</v>
      </c>
      <c r="AF92" s="10">
        <f t="shared" si="90"/>
        <v>-1.3696540214034803E-4</v>
      </c>
      <c r="AG92" s="622">
        <f t="shared" si="91"/>
        <v>89.867337787770026</v>
      </c>
      <c r="AH92" s="623">
        <f t="shared" si="92"/>
        <v>3.3912741810051683</v>
      </c>
      <c r="AI92" s="624">
        <f t="shared" si="93"/>
        <v>-89.9921524604935</v>
      </c>
      <c r="AJ92" s="625">
        <f t="shared" si="94"/>
        <v>93.391265111843879</v>
      </c>
      <c r="AK92" s="4">
        <f t="shared" si="213"/>
        <v>0.85559716024204058</v>
      </c>
      <c r="AL92" s="5">
        <f t="shared" si="95"/>
        <v>-0.51764223226687656</v>
      </c>
      <c r="AM92" s="6">
        <f t="shared" si="96"/>
        <v>-1.3696540214034803E-4</v>
      </c>
      <c r="AN92" s="612">
        <f t="shared" si="97"/>
        <v>-89.984839839546225</v>
      </c>
      <c r="AO92" s="613">
        <f t="shared" si="466"/>
        <v>31.174230785804536</v>
      </c>
      <c r="AP92" s="624">
        <f t="shared" si="99"/>
        <v>-31.174229897516099</v>
      </c>
      <c r="AQ92" s="625">
        <f t="shared" si="476"/>
        <v>2.6350557243682493</v>
      </c>
      <c r="AS92" s="56">
        <f t="shared" si="550"/>
        <v>-324.55550511755189</v>
      </c>
      <c r="AT92" s="78">
        <f t="shared" si="477"/>
        <v>-1.8727901151876669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>
        <f>IFERROR(IF((((($IW92*COS(RADIANS(180-$IY92)))*COS(RADIANS($IY92)))-(($IX92*SIN(RADIANS(180-$IY92)))*SIN(RADIANS($IY92))))+$IU92)&lt;(((Settings!$C$19/2)*-1)+$IF$8),1,""),"")</f>
        <v>1</v>
      </c>
      <c r="IG92" s="836">
        <f t="shared" si="522"/>
        <v>9.2530000000000001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0.153</v>
      </c>
      <c r="II92" s="800" cm="1">
        <f t="array" ref="II92">IFERROR(IF($IH92&lt;1,$IH92+LARGE((IF($M$9:$M$150="",0,$M$9:$M$150)-MOD(IF($M$9:$M$150="",0,$M$9:$M$150),1)),1),$IH92),"")</f>
        <v>9.1530000000000005</v>
      </c>
      <c r="IJ92" s="839" t="str">
        <f t="shared" si="523"/>
        <v>1613</v>
      </c>
      <c r="IK92" s="839" t="str">
        <f t="shared" si="524"/>
        <v>1313</v>
      </c>
      <c r="IL92" s="791">
        <f t="shared" si="654"/>
        <v>11.325498364800353</v>
      </c>
      <c r="IM92" s="830">
        <v>1.43634357037367E-5</v>
      </c>
      <c r="IN92" s="5">
        <f t="shared" si="655"/>
        <v>0</v>
      </c>
      <c r="IO92" s="852">
        <v>0</v>
      </c>
      <c r="IP92" s="9">
        <f t="shared" si="656"/>
        <v>-4.6490140214262894</v>
      </c>
      <c r="IQ92" s="5">
        <f t="shared" si="657"/>
        <v>-3.0991093469137905</v>
      </c>
      <c r="IR92" s="5">
        <f t="shared" si="525"/>
        <v>0.314</v>
      </c>
      <c r="IS92" s="5">
        <f t="shared" si="658"/>
        <v>0.28180144895625553</v>
      </c>
      <c r="IT92" s="791">
        <f t="shared" si="659"/>
        <v>89.984842307657217</v>
      </c>
      <c r="IU92" s="9">
        <f t="shared" si="660"/>
        <v>-4.7031141845923816</v>
      </c>
      <c r="IV92" s="5">
        <f t="shared" si="661"/>
        <v>-3.1022093562634181</v>
      </c>
      <c r="IW92" s="5">
        <f t="shared" si="526"/>
        <v>0.26600000000000001</v>
      </c>
      <c r="IX92" s="5">
        <f t="shared" si="662"/>
        <v>0.22758884462438281</v>
      </c>
      <c r="IY92" s="833">
        <f t="shared" si="663"/>
        <v>89.984839839546225</v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6.6987279208207212E-2</v>
      </c>
      <c r="G154" s="175">
        <f>G9*-1</f>
        <v>-0.24999996726497561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6.6987279208207198E-2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0.96582547771471949</v>
      </c>
      <c r="F156" s="175">
        <f t="shared" si="942"/>
        <v>4.5784256832403253E-2</v>
      </c>
      <c r="G156" s="175">
        <f t="shared" si="942"/>
        <v>-0.25511751884854683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0.96307023278038117</v>
      </c>
      <c r="F157" s="175">
        <f t="shared" si="943"/>
        <v>-8.9125065821815341E-2</v>
      </c>
      <c r="G157" s="175">
        <f t="shared" si="943"/>
        <v>-0.25407174060607318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0.95511260549394705</v>
      </c>
      <c r="F158" s="175">
        <f t="shared" si="946"/>
        <v>-0.22554943877142983</v>
      </c>
      <c r="G158" s="175">
        <f t="shared" si="946"/>
        <v>-0.1920608275949493</v>
      </c>
      <c r="H158" s="144"/>
      <c r="I158" s="91"/>
      <c r="J158" s="84">
        <f t="shared" si="941"/>
        <v>1.117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0.94565600625788693</v>
      </c>
      <c r="F159" s="175">
        <f t="shared" si="947"/>
        <v>-0.3052147263458751</v>
      </c>
      <c r="G159" s="175">
        <f t="shared" si="947"/>
        <v>-0.11215475313153689</v>
      </c>
      <c r="H159" s="144"/>
      <c r="I159" s="91"/>
      <c r="J159" s="84">
        <f t="shared" si="941"/>
        <v>1.125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0.93356467180094815</v>
      </c>
      <c r="F160" s="175">
        <f t="shared" si="948"/>
        <v>-0.35232250091031753</v>
      </c>
      <c r="G160" s="175">
        <f t="shared" si="948"/>
        <v>-6.5771262094378349E-2</v>
      </c>
      <c r="H160" s="144"/>
      <c r="I160" s="91"/>
      <c r="J160" s="84">
        <f t="shared" si="941"/>
        <v>1.1339999999999999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0.92029421325448035</v>
      </c>
      <c r="F161" s="175">
        <f t="shared" si="949"/>
        <v>-0.39074751190676521</v>
      </c>
      <c r="G161" s="175">
        <f t="shared" si="949"/>
        <v>-1.9363444657128359E-2</v>
      </c>
      <c r="H161" s="144"/>
      <c r="I161" s="91"/>
      <c r="J161" s="84">
        <f t="shared" si="941"/>
        <v>1.143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0.87182794980915257</v>
      </c>
      <c r="F162" s="175">
        <f t="shared" si="950"/>
        <v>-0.48981217526773246</v>
      </c>
      <c r="G162" s="175">
        <f t="shared" si="950"/>
        <v>-2.426748074538243E-4</v>
      </c>
      <c r="H162" s="144"/>
      <c r="I162" s="91"/>
      <c r="J162" s="84">
        <f t="shared" si="941"/>
        <v>1.1519999999999999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0.82718851970533502</v>
      </c>
      <c r="F163" s="175">
        <f t="shared" si="951"/>
        <v>-0.56192450815717565</v>
      </c>
      <c r="G163" s="175">
        <f t="shared" si="951"/>
        <v>-1.1339743349711347E-7</v>
      </c>
      <c r="H163" s="144"/>
      <c r="I163" s="91"/>
      <c r="J163" s="84">
        <f t="shared" si="941"/>
        <v>1.161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1.8475992203206081E-7</v>
      </c>
      <c r="F164" s="175">
        <f t="shared" si="952"/>
        <v>-1.3152831023803706E-7</v>
      </c>
      <c r="G164" s="175">
        <f t="shared" si="952"/>
        <v>-0.99999999999997435</v>
      </c>
      <c r="H164" s="144"/>
      <c r="I164" s="91"/>
      <c r="J164" s="84">
        <f t="shared" si="941"/>
        <v>1.2070000000000001</v>
      </c>
    </row>
    <row r="165" spans="5:16" x14ac:dyDescent="0.25">
      <c r="E165" s="175">
        <f t="shared" ref="E165:G165" si="953">E20*-1</f>
        <v>-0.11762541075913586</v>
      </c>
      <c r="F165" s="175">
        <f t="shared" si="953"/>
        <v>-0.25499997364765931</v>
      </c>
      <c r="G165" s="175">
        <f t="shared" si="953"/>
        <v>-0.95976000968129416</v>
      </c>
      <c r="H165" s="144"/>
      <c r="I165" s="91"/>
      <c r="J165" s="84">
        <f t="shared" si="941"/>
        <v>1.2110000000000001</v>
      </c>
    </row>
    <row r="166" spans="5:16" x14ac:dyDescent="0.25">
      <c r="E166" s="175">
        <f t="shared" ref="E166:G166" si="954">E21*-1</f>
        <v>0.66963549204377804</v>
      </c>
      <c r="F166" s="175">
        <f t="shared" si="954"/>
        <v>-0.73320005987255032</v>
      </c>
      <c r="G166" s="175">
        <f t="shared" si="954"/>
        <v>-0.11834686306859224</v>
      </c>
      <c r="H166" s="144"/>
      <c r="I166" s="91"/>
      <c r="J166" s="84">
        <f t="shared" si="941"/>
        <v>2.1240000000000001</v>
      </c>
    </row>
    <row r="167" spans="5:16" x14ac:dyDescent="0.25">
      <c r="E167" s="175">
        <f t="shared" ref="E167:G167" si="955">E22*-1</f>
        <v>0.63438841759717024</v>
      </c>
      <c r="F167" s="175">
        <f t="shared" si="955"/>
        <v>-0.76962624128747226</v>
      </c>
      <c r="G167" s="175">
        <f t="shared" si="955"/>
        <v>-7.2296502960213518E-2</v>
      </c>
      <c r="H167" s="144"/>
      <c r="I167" s="91"/>
      <c r="J167" s="84">
        <f t="shared" si="941"/>
        <v>2.133</v>
      </c>
    </row>
    <row r="168" spans="5:16" x14ac:dyDescent="0.25">
      <c r="E168" s="175">
        <f t="shared" ref="E168:G168" si="956">E23*-1</f>
        <v>0.60257069073794622</v>
      </c>
      <c r="F168" s="175">
        <f t="shared" si="956"/>
        <v>-0.79763872614455178</v>
      </c>
      <c r="G168" s="175">
        <f t="shared" si="956"/>
        <v>-2.6096459876604305E-2</v>
      </c>
      <c r="H168" s="144"/>
      <c r="I168" s="91"/>
      <c r="J168" s="84">
        <f t="shared" si="941"/>
        <v>2.1419999999999999</v>
      </c>
    </row>
    <row r="169" spans="5:16" x14ac:dyDescent="0.25">
      <c r="E169" s="175">
        <f t="shared" ref="E169:G169" si="957">E24*-1</f>
        <v>0.52437474216515245</v>
      </c>
      <c r="F169" s="175">
        <f t="shared" si="957"/>
        <v>-0.85148759013546849</v>
      </c>
      <c r="G169" s="175">
        <f t="shared" si="957"/>
        <v>-1.1672412881091887E-4</v>
      </c>
      <c r="H169" s="144"/>
      <c r="I169" s="91"/>
      <c r="J169" s="84">
        <f t="shared" si="941"/>
        <v>2.1509999999999998</v>
      </c>
    </row>
    <row r="170" spans="5:16" x14ac:dyDescent="0.25">
      <c r="E170" s="175">
        <f t="shared" ref="E170:G170" si="958">E25*-1</f>
        <v>0.43540326908621346</v>
      </c>
      <c r="F170" s="175">
        <f t="shared" si="958"/>
        <v>-0.9002355209993802</v>
      </c>
      <c r="G170" s="175">
        <f t="shared" si="958"/>
        <v>-1.1339743324151204E-7</v>
      </c>
      <c r="H170" s="144"/>
      <c r="I170" s="91"/>
      <c r="J170" s="84">
        <f t="shared" si="941"/>
        <v>2.16</v>
      </c>
    </row>
    <row r="171" spans="5:16" x14ac:dyDescent="0.25">
      <c r="E171" s="175">
        <f t="shared" ref="E171:G171" si="959">E26*-1</f>
        <v>0.26968104224232858</v>
      </c>
      <c r="F171" s="175">
        <f t="shared" si="959"/>
        <v>-0.92761209899480235</v>
      </c>
      <c r="G171" s="175">
        <f t="shared" si="959"/>
        <v>-0.2584722988127523</v>
      </c>
      <c r="H171" s="144"/>
      <c r="I171" s="91"/>
      <c r="J171" s="84">
        <f t="shared" si="941"/>
        <v>3.11</v>
      </c>
    </row>
    <row r="172" spans="5:16" x14ac:dyDescent="0.25">
      <c r="E172" s="175">
        <f t="shared" ref="E172:G172" si="960">E27*-1</f>
        <v>0.13415899838822534</v>
      </c>
      <c r="F172" s="175">
        <f t="shared" si="960"/>
        <v>-0.96927506031039323</v>
      </c>
      <c r="G172" s="175">
        <f t="shared" si="960"/>
        <v>-0.20617279309295838</v>
      </c>
      <c r="H172" s="144"/>
      <c r="I172" s="91"/>
      <c r="J172" s="84">
        <f t="shared" si="941"/>
        <v>3.1160000000000001</v>
      </c>
    </row>
    <row r="173" spans="5:16" x14ac:dyDescent="0.25">
      <c r="E173" s="175">
        <f t="shared" ref="E173:G173" si="961">E28*-1</f>
        <v>4.7026746788610282E-2</v>
      </c>
      <c r="F173" s="175">
        <f t="shared" si="961"/>
        <v>-0.99109612520496504</v>
      </c>
      <c r="G173" s="175">
        <f t="shared" si="961"/>
        <v>-0.12456707305778739</v>
      </c>
      <c r="H173" s="144"/>
      <c r="I173" s="91"/>
      <c r="J173" s="84">
        <f t="shared" si="941"/>
        <v>3.1230000000000002</v>
      </c>
    </row>
    <row r="174" spans="5:16" x14ac:dyDescent="0.25">
      <c r="E174" s="175">
        <f t="shared" ref="E174:G174" si="962">E29*-1</f>
        <v>-5.4550923645061353E-3</v>
      </c>
      <c r="F174" s="175">
        <f t="shared" si="962"/>
        <v>-0.9968726672762751</v>
      </c>
      <c r="G174" s="175">
        <f t="shared" si="962"/>
        <v>-7.8836078065690748E-2</v>
      </c>
      <c r="H174" s="144"/>
      <c r="I174" s="91"/>
      <c r="J174" s="84">
        <f t="shared" si="941"/>
        <v>3.1320000000000001</v>
      </c>
    </row>
    <row r="175" spans="5:16" x14ac:dyDescent="0.25">
      <c r="E175" s="175">
        <f t="shared" ref="E175:G175" si="963">E30*-1</f>
        <v>-4.2033341663618995E-2</v>
      </c>
      <c r="F175" s="175">
        <f t="shared" si="963"/>
        <v>-0.99870319301247401</v>
      </c>
      <c r="G175" s="175">
        <f t="shared" si="963"/>
        <v>-2.8725084077836881E-2</v>
      </c>
      <c r="H175" s="144"/>
      <c r="I175" s="91"/>
      <c r="J175" s="84">
        <f t="shared" si="941"/>
        <v>3.141</v>
      </c>
    </row>
    <row r="176" spans="5:16" x14ac:dyDescent="0.25">
      <c r="E176" s="175">
        <f t="shared" ref="E176:G176" si="964">E31*-1</f>
        <v>-0.12911653190893213</v>
      </c>
      <c r="F176" s="175">
        <f t="shared" si="964"/>
        <v>-0.9916293917528245</v>
      </c>
      <c r="G176" s="175">
        <f t="shared" si="964"/>
        <v>-2.6570610280830792E-4</v>
      </c>
      <c r="H176" s="144"/>
      <c r="I176" s="91"/>
      <c r="J176" s="84">
        <f t="shared" si="941"/>
        <v>3.15</v>
      </c>
    </row>
    <row r="177" spans="5:10" x14ac:dyDescent="0.25">
      <c r="E177" s="175">
        <f t="shared" ref="E177:G177" si="965">E32*-1</f>
        <v>-0.24512188617615643</v>
      </c>
      <c r="F177" s="175">
        <f t="shared" si="965"/>
        <v>-0.96949226965326063</v>
      </c>
      <c r="G177" s="175">
        <f t="shared" si="965"/>
        <v>-1.1339743346787808E-7</v>
      </c>
      <c r="H177" s="144"/>
      <c r="I177" s="91"/>
      <c r="J177" s="84">
        <f t="shared" si="941"/>
        <v>3.1589999999999998</v>
      </c>
    </row>
    <row r="178" spans="5:10" x14ac:dyDescent="0.25">
      <c r="E178" s="175">
        <f t="shared" ref="E178:G178" si="966">E33*-1</f>
        <v>-0.18959818472104836</v>
      </c>
      <c r="F178" s="175">
        <f t="shared" si="966"/>
        <v>-0.94424820107670548</v>
      </c>
      <c r="G178" s="175">
        <f t="shared" si="966"/>
        <v>-0.26916140717771742</v>
      </c>
      <c r="H178" s="144"/>
      <c r="I178" s="91"/>
      <c r="J178" s="84">
        <f t="shared" si="941"/>
        <v>3.2160000000000002</v>
      </c>
    </row>
    <row r="179" spans="5:10" x14ac:dyDescent="0.25">
      <c r="E179" s="175">
        <f t="shared" ref="E179:G179" si="967">E34*-1</f>
        <v>-0.2544760948115215</v>
      </c>
      <c r="F179" s="175">
        <f t="shared" si="967"/>
        <v>-0.95350699742990519</v>
      </c>
      <c r="G179" s="175">
        <f t="shared" si="967"/>
        <v>-0.16145068293966522</v>
      </c>
      <c r="H179" s="144"/>
      <c r="I179" s="91"/>
      <c r="J179" s="84">
        <f t="shared" si="941"/>
        <v>3.2229999999999999</v>
      </c>
    </row>
    <row r="180" spans="5:10" x14ac:dyDescent="0.25">
      <c r="E180" s="175">
        <f t="shared" ref="E180:G180" si="968">E35*-1</f>
        <v>-0.2903484427086292</v>
      </c>
      <c r="F180" s="175">
        <f t="shared" si="968"/>
        <v>-0.95164431803420169</v>
      </c>
      <c r="G180" s="175">
        <f t="shared" si="968"/>
        <v>-0.10035374317828513</v>
      </c>
      <c r="H180" s="144"/>
      <c r="I180" s="91"/>
      <c r="J180" s="84">
        <f t="shared" si="941"/>
        <v>3.2320000000000002</v>
      </c>
    </row>
    <row r="181" spans="5:10" x14ac:dyDescent="0.25">
      <c r="E181" s="175">
        <f t="shared" ref="E181:G181" si="969">E36*-1</f>
        <v>-0.31760807285066944</v>
      </c>
      <c r="F181" s="175">
        <f t="shared" si="969"/>
        <v>-0.9475366582465542</v>
      </c>
      <c r="G181" s="175">
        <f t="shared" si="969"/>
        <v>-3.6047098899033819E-2</v>
      </c>
      <c r="H181" s="144"/>
      <c r="I181" s="91"/>
      <c r="J181" s="84">
        <f t="shared" si="941"/>
        <v>3.2410000000000001</v>
      </c>
    </row>
    <row r="182" spans="5:10" x14ac:dyDescent="0.25">
      <c r="E182" s="175">
        <f t="shared" ref="E182:G182" si="970">E37*-1</f>
        <v>-0.39955942694153046</v>
      </c>
      <c r="F182" s="175">
        <f t="shared" si="970"/>
        <v>-0.91670723950704436</v>
      </c>
      <c r="G182" s="175">
        <f t="shared" si="970"/>
        <v>-3.183983828674482E-4</v>
      </c>
      <c r="H182" s="144"/>
      <c r="I182" s="91"/>
      <c r="J182" s="84">
        <f t="shared" si="941"/>
        <v>3.25</v>
      </c>
    </row>
    <row r="183" spans="5:10" x14ac:dyDescent="0.25">
      <c r="E183" s="175">
        <f t="shared" ref="E183:G183" si="971">E38*-1</f>
        <v>-0.42495075868149657</v>
      </c>
      <c r="F183" s="175">
        <f t="shared" si="971"/>
        <v>-0.87000969481008184</v>
      </c>
      <c r="G183" s="175">
        <f t="shared" si="971"/>
        <v>-0.24999996726497564</v>
      </c>
      <c r="H183" s="144"/>
      <c r="I183" s="91"/>
      <c r="J183" s="84">
        <f t="shared" si="941"/>
        <v>4.1029999999999998</v>
      </c>
    </row>
    <row r="184" spans="5:10" x14ac:dyDescent="0.25">
      <c r="E184" s="175">
        <f t="shared" ref="E184:G184" si="972">E39*-1</f>
        <v>-0.42944601787417436</v>
      </c>
      <c r="F184" s="175">
        <f t="shared" si="972"/>
        <v>-0.86740903676967163</v>
      </c>
      <c r="G184" s="175">
        <f t="shared" si="972"/>
        <v>-0.25135170710047883</v>
      </c>
      <c r="H184" s="144"/>
      <c r="I184" s="91"/>
      <c r="J184" s="84">
        <f t="shared" si="941"/>
        <v>4.1059999999999999</v>
      </c>
    </row>
    <row r="185" spans="5:10" x14ac:dyDescent="0.25">
      <c r="E185" s="175">
        <f t="shared" ref="E185:G185" si="973">E40*-1</f>
        <v>-0.52035871383696575</v>
      </c>
      <c r="F185" s="175">
        <f t="shared" si="973"/>
        <v>-0.81330951070950719</v>
      </c>
      <c r="G185" s="175">
        <f t="shared" si="973"/>
        <v>-0.26029684731744435</v>
      </c>
      <c r="H185" s="144"/>
      <c r="I185" s="91"/>
      <c r="J185" s="84">
        <f t="shared" si="941"/>
        <v>4.109</v>
      </c>
    </row>
    <row r="186" spans="5:10" x14ac:dyDescent="0.25">
      <c r="E186" s="175">
        <f t="shared" ref="E186:G186" si="974">E41*-1</f>
        <v>-0.6385423847598809</v>
      </c>
      <c r="F186" s="175">
        <f t="shared" si="974"/>
        <v>-0.73779464886034685</v>
      </c>
      <c r="G186" s="175">
        <f t="shared" si="974"/>
        <v>-0.21891249159927334</v>
      </c>
      <c r="H186" s="144"/>
      <c r="I186" s="91"/>
      <c r="J186" s="84">
        <f t="shared" si="941"/>
        <v>4.1150000000000002</v>
      </c>
    </row>
    <row r="187" spans="5:10" x14ac:dyDescent="0.25">
      <c r="E187" s="175">
        <f t="shared" ref="E187:G187" si="975">E42*-1</f>
        <v>-0.72457893831080222</v>
      </c>
      <c r="F187" s="175">
        <f t="shared" si="975"/>
        <v>-0.67668592909360792</v>
      </c>
      <c r="G187" s="175">
        <f t="shared" si="975"/>
        <v>-0.13069627203218656</v>
      </c>
      <c r="H187" s="144"/>
      <c r="I187" s="91"/>
      <c r="J187" s="84">
        <f t="shared" si="941"/>
        <v>4.1219999999999999</v>
      </c>
    </row>
    <row r="188" spans="5:10" x14ac:dyDescent="0.25">
      <c r="E188" s="175">
        <f t="shared" ref="E188:G188" si="976">E43*-1</f>
        <v>-0.76449497814552092</v>
      </c>
      <c r="F188" s="175">
        <f t="shared" si="976"/>
        <v>-0.63895173368506042</v>
      </c>
      <c r="G188" s="175">
        <f t="shared" si="976"/>
        <v>-8.5370430543222769E-2</v>
      </c>
      <c r="H188" s="144"/>
      <c r="I188" s="91"/>
      <c r="J188" s="84">
        <f t="shared" si="941"/>
        <v>4.1310000000000002</v>
      </c>
    </row>
    <row r="189" spans="5:10" x14ac:dyDescent="0.25">
      <c r="E189" s="175">
        <f t="shared" ref="E189:G189" si="977">E44*-1</f>
        <v>-0.79088950735546026</v>
      </c>
      <c r="F189" s="175">
        <f t="shared" si="977"/>
        <v>-0.6109350468381386</v>
      </c>
      <c r="G189" s="175">
        <f t="shared" si="977"/>
        <v>-3.5385812127444953E-2</v>
      </c>
      <c r="H189" s="144"/>
      <c r="I189" s="91"/>
      <c r="J189" s="84">
        <f t="shared" si="941"/>
        <v>4.1399999999999997</v>
      </c>
    </row>
    <row r="190" spans="5:10" x14ac:dyDescent="0.25">
      <c r="E190" s="175">
        <f t="shared" ref="E190:G190" si="978">E45*-1</f>
        <v>-0.83355583974575453</v>
      </c>
      <c r="F190" s="175">
        <f t="shared" si="978"/>
        <v>-0.55243478779805444</v>
      </c>
      <c r="G190" s="175">
        <f t="shared" si="978"/>
        <v>-6.8356145943157531E-4</v>
      </c>
      <c r="H190" s="144"/>
      <c r="I190" s="91"/>
      <c r="J190" s="84">
        <f t="shared" si="941"/>
        <v>4.149</v>
      </c>
    </row>
    <row r="191" spans="5:10" x14ac:dyDescent="0.25">
      <c r="E191" s="175">
        <f t="shared" ref="E191:G191" si="979">E46*-1</f>
        <v>-0.9002354222521175</v>
      </c>
      <c r="F191" s="175">
        <f t="shared" si="979"/>
        <v>-0.43540347325502454</v>
      </c>
      <c r="G191" s="175">
        <f t="shared" si="979"/>
        <v>-1.1339743334793108E-7</v>
      </c>
      <c r="H191" s="144"/>
      <c r="I191" s="91"/>
      <c r="J191" s="84">
        <f t="shared" si="941"/>
        <v>4.1580000000000004</v>
      </c>
    </row>
    <row r="192" spans="5:10" x14ac:dyDescent="0.25">
      <c r="E192" s="175">
        <f t="shared" ref="E192:G192" si="980">E47*-1</f>
        <v>-2.1487447104273936E-7</v>
      </c>
      <c r="F192" s="175">
        <f t="shared" si="980"/>
        <v>-7.2559540188520875E-8</v>
      </c>
      <c r="G192" s="175">
        <f t="shared" si="980"/>
        <v>-0.99999999999997435</v>
      </c>
      <c r="H192" s="144"/>
      <c r="I192" s="91"/>
      <c r="J192" s="84">
        <f t="shared" si="941"/>
        <v>4.2060000000000004</v>
      </c>
    </row>
    <row r="193" spans="5:10" x14ac:dyDescent="0.25">
      <c r="E193" s="175">
        <f t="shared" ref="E193:G193" si="981">E48*-1</f>
        <v>-7.0461254974418935E-2</v>
      </c>
      <c r="F193" s="175">
        <f t="shared" si="981"/>
        <v>0.11049232318121757</v>
      </c>
      <c r="G193" s="175">
        <f t="shared" si="981"/>
        <v>-0.99137614358297299</v>
      </c>
      <c r="H193" s="144"/>
      <c r="I193" s="91"/>
      <c r="J193" s="84">
        <f t="shared" si="941"/>
        <v>4.2089999999999996</v>
      </c>
    </row>
    <row r="194" spans="5:10" x14ac:dyDescent="0.25">
      <c r="E194" s="175">
        <f t="shared" ref="E194:G194" si="982">E49*-1</f>
        <v>-0.96369581233645152</v>
      </c>
      <c r="F194" s="175">
        <f t="shared" si="982"/>
        <v>-0.22930505471804369</v>
      </c>
      <c r="G194" s="175">
        <f t="shared" si="982"/>
        <v>-0.13678294179444231</v>
      </c>
      <c r="H194" s="144"/>
      <c r="I194" s="91"/>
      <c r="J194" s="84">
        <f t="shared" si="941"/>
        <v>5.1210000000000004</v>
      </c>
    </row>
    <row r="195" spans="5:10" x14ac:dyDescent="0.25">
      <c r="E195" s="175">
        <f t="shared" ref="E195:G195" si="983">E50*-1</f>
        <v>-0.98031277148159346</v>
      </c>
      <c r="F195" s="175">
        <f t="shared" si="983"/>
        <v>-0.17473057709498846</v>
      </c>
      <c r="G195" s="175">
        <f t="shared" si="983"/>
        <v>-9.1957030716141974E-2</v>
      </c>
      <c r="H195" s="144"/>
      <c r="I195" s="91"/>
      <c r="J195" s="84">
        <f t="shared" si="941"/>
        <v>5.13</v>
      </c>
    </row>
    <row r="196" spans="5:10" x14ac:dyDescent="0.25">
      <c r="E196" s="175">
        <f t="shared" ref="E196:G196" si="984">E51*-1</f>
        <v>-0.98989087946098875</v>
      </c>
      <c r="F196" s="175">
        <f t="shared" si="984"/>
        <v>-0.13544513176653075</v>
      </c>
      <c r="G196" s="175">
        <f t="shared" si="984"/>
        <v>-4.2079247149842222E-2</v>
      </c>
      <c r="H196" s="144"/>
      <c r="I196" s="91"/>
      <c r="J196" s="84">
        <f t="shared" si="941"/>
        <v>5.1390000000000002</v>
      </c>
    </row>
    <row r="197" spans="5:10" x14ac:dyDescent="0.25">
      <c r="E197" s="175">
        <f t="shared" ref="E197:G197" si="985">E52*-1</f>
        <v>-0.99693302968320885</v>
      </c>
      <c r="F197" s="175">
        <f t="shared" si="985"/>
        <v>-7.8235644629502638E-2</v>
      </c>
      <c r="G197" s="175">
        <f t="shared" si="985"/>
        <v>-1.9282728190806973E-3</v>
      </c>
      <c r="H197" s="144"/>
      <c r="I197" s="91"/>
      <c r="J197" s="84">
        <f t="shared" si="941"/>
        <v>5.1479999999999997</v>
      </c>
    </row>
    <row r="198" spans="5:10" x14ac:dyDescent="0.25">
      <c r="E198" s="175">
        <f t="shared" ref="E198:G198" si="986">E53*-1</f>
        <v>-0.99732848720670142</v>
      </c>
      <c r="F198" s="175">
        <f t="shared" si="986"/>
        <v>7.3047166994892318E-2</v>
      </c>
      <c r="G198" s="175">
        <f t="shared" si="986"/>
        <v>-1.133974332763369E-7</v>
      </c>
      <c r="H198" s="144"/>
      <c r="I198" s="91"/>
      <c r="J198" s="84">
        <f t="shared" si="941"/>
        <v>5.157</v>
      </c>
    </row>
    <row r="199" spans="5:10" x14ac:dyDescent="0.25">
      <c r="E199" s="175">
        <f t="shared" ref="E199:G199" si="987">E54*-1</f>
        <v>-0.91698720742004802</v>
      </c>
      <c r="F199" s="175">
        <f t="shared" si="987"/>
        <v>0.32581252469988831</v>
      </c>
      <c r="G199" s="175">
        <f t="shared" si="987"/>
        <v>-0.23017528141976204</v>
      </c>
      <c r="H199" s="144"/>
      <c r="I199" s="91"/>
      <c r="J199" s="84">
        <f t="shared" si="941"/>
        <v>6.1139999999999999</v>
      </c>
    </row>
    <row r="200" spans="5:10" x14ac:dyDescent="0.25">
      <c r="E200" s="175">
        <f t="shared" ref="E200:G200" si="988">E55*-1</f>
        <v>-0.88762572992083433</v>
      </c>
      <c r="F200" s="175">
        <f t="shared" si="988"/>
        <v>0.43786209988587765</v>
      </c>
      <c r="G200" s="175">
        <f t="shared" si="988"/>
        <v>-0.14281927414055859</v>
      </c>
      <c r="H200" s="144"/>
      <c r="I200" s="91"/>
      <c r="J200" s="84">
        <f t="shared" si="941"/>
        <v>6.12</v>
      </c>
    </row>
    <row r="201" spans="5:10" x14ac:dyDescent="0.25">
      <c r="E201" s="175">
        <f t="shared" ref="E201:G201" si="989">E56*-1</f>
        <v>-0.86472004235950106</v>
      </c>
      <c r="F201" s="175">
        <f t="shared" si="989"/>
        <v>0.492505435481844</v>
      </c>
      <c r="G201" s="175">
        <f t="shared" si="989"/>
        <v>-9.8476618354927867E-2</v>
      </c>
      <c r="H201" s="144"/>
      <c r="I201" s="91"/>
      <c r="J201" s="84">
        <f t="shared" si="941"/>
        <v>6.1289999999999996</v>
      </c>
    </row>
    <row r="202" spans="5:10" x14ac:dyDescent="0.25">
      <c r="E202" s="175">
        <f t="shared" ref="E202:G202" si="990">E57*-1</f>
        <v>-0.84620534164649386</v>
      </c>
      <c r="F202" s="175">
        <f t="shared" si="990"/>
        <v>0.53061895119631552</v>
      </c>
      <c r="G202" s="175">
        <f t="shared" si="990"/>
        <v>-4.8785739722410182E-2</v>
      </c>
      <c r="H202" s="144"/>
      <c r="I202" s="91"/>
      <c r="J202" s="84">
        <f t="shared" si="941"/>
        <v>6.1379999999999999</v>
      </c>
    </row>
    <row r="203" spans="5:10" x14ac:dyDescent="0.25">
      <c r="E203" s="175">
        <f t="shared" ref="E203:G203" si="991">E58*-1</f>
        <v>-0.81428929243414039</v>
      </c>
      <c r="F203" s="175">
        <f t="shared" si="991"/>
        <v>0.58038716717327898</v>
      </c>
      <c r="G203" s="175">
        <f t="shared" si="991"/>
        <v>-9.1479182158239469E-3</v>
      </c>
      <c r="H203" s="144"/>
      <c r="I203" s="91"/>
      <c r="J203" s="84">
        <f t="shared" si="941"/>
        <v>6.1470000000000002</v>
      </c>
    </row>
    <row r="204" spans="5:10" x14ac:dyDescent="0.25">
      <c r="E204" s="175">
        <f t="shared" ref="E204:G204" si="992">E59*-1</f>
        <v>-0.71704420198074481</v>
      </c>
      <c r="F204" s="175">
        <f t="shared" si="992"/>
        <v>0.69702769844948353</v>
      </c>
      <c r="G204" s="175">
        <f t="shared" si="992"/>
        <v>-1.133974336004978E-7</v>
      </c>
      <c r="H204" s="144"/>
      <c r="I204" s="91"/>
      <c r="J204" s="84">
        <f t="shared" si="941"/>
        <v>6.1559999999999997</v>
      </c>
    </row>
    <row r="205" spans="5:10" x14ac:dyDescent="0.25">
      <c r="E205" s="175">
        <f t="shared" ref="E205:G205" si="993">E60*-1</f>
        <v>-0.7015879661194947</v>
      </c>
      <c r="F205" s="175">
        <f t="shared" si="993"/>
        <v>0.68800797999892871</v>
      </c>
      <c r="G205" s="175">
        <f t="shared" si="993"/>
        <v>-0.1855245138899565</v>
      </c>
      <c r="H205" s="144"/>
      <c r="I205" s="91"/>
      <c r="J205" s="84">
        <f t="shared" si="941"/>
        <v>6.22</v>
      </c>
    </row>
    <row r="206" spans="5:10" x14ac:dyDescent="0.25">
      <c r="E206" s="175">
        <f t="shared" ref="E206:G206" si="994">E61*-1</f>
        <v>-0.68173189162452841</v>
      </c>
      <c r="F206" s="175">
        <f t="shared" si="994"/>
        <v>0.72075249218595183</v>
      </c>
      <c r="G206" s="175">
        <f t="shared" si="994"/>
        <v>-0.12552877339391924</v>
      </c>
      <c r="H206" s="144"/>
      <c r="I206" s="91"/>
      <c r="J206" s="84">
        <f t="shared" si="941"/>
        <v>6.2290000000000001</v>
      </c>
    </row>
    <row r="207" spans="5:10" x14ac:dyDescent="0.25">
      <c r="E207" s="175">
        <f t="shared" ref="E207:G207" si="995">E62*-1</f>
        <v>-0.66312254978364371</v>
      </c>
      <c r="F207" s="175">
        <f t="shared" si="995"/>
        <v>0.74599928022573914</v>
      </c>
      <c r="G207" s="175">
        <f t="shared" si="995"/>
        <v>-6.1266286578496025E-2</v>
      </c>
      <c r="H207" s="144"/>
      <c r="I207" s="91"/>
      <c r="J207" s="84">
        <f t="shared" si="941"/>
        <v>6.2380000000000004</v>
      </c>
    </row>
    <row r="208" spans="5:10" x14ac:dyDescent="0.25">
      <c r="E208" s="175">
        <f t="shared" ref="E208:G208" si="996">E63*-1</f>
        <v>-0.62186887129660284</v>
      </c>
      <c r="F208" s="175">
        <f t="shared" si="996"/>
        <v>0.78304211772608268</v>
      </c>
      <c r="G208" s="175">
        <f t="shared" si="996"/>
        <v>-1.1142207112645578E-2</v>
      </c>
      <c r="H208" s="144"/>
      <c r="I208" s="91"/>
      <c r="J208" s="84">
        <f t="shared" si="941"/>
        <v>6.2469999999999999</v>
      </c>
    </row>
    <row r="209" spans="5:10" x14ac:dyDescent="0.25">
      <c r="E209" s="175">
        <f t="shared" ref="E209:G209" si="997">E64*-1</f>
        <v>-0.54097536073219554</v>
      </c>
      <c r="F209" s="175">
        <f t="shared" si="997"/>
        <v>0.80302283619345605</v>
      </c>
      <c r="G209" s="175">
        <f t="shared" si="997"/>
        <v>-0.24999996726497573</v>
      </c>
      <c r="H209" s="144"/>
      <c r="I209" s="91"/>
      <c r="J209" s="84">
        <f t="shared" si="941"/>
        <v>7.1020000000000003</v>
      </c>
    </row>
    <row r="210" spans="5:10" x14ac:dyDescent="0.25">
      <c r="E210" s="175">
        <f t="shared" ref="E210:G210" si="998">E65*-1</f>
        <v>-0.54097536073219565</v>
      </c>
      <c r="F210" s="175">
        <f t="shared" si="998"/>
        <v>0.80302283619345605</v>
      </c>
      <c r="G210" s="175">
        <f t="shared" si="998"/>
        <v>-0.24999996726497564</v>
      </c>
      <c r="H210" s="144"/>
      <c r="I210" s="91"/>
      <c r="J210" s="84">
        <f t="shared" si="941"/>
        <v>7.1050000000000004</v>
      </c>
    </row>
    <row r="211" spans="5:10" x14ac:dyDescent="0.25">
      <c r="E211" s="175">
        <f t="shared" ref="E211:G211" si="999">E66*-1</f>
        <v>-0.48882131366016057</v>
      </c>
      <c r="F211" s="175">
        <f t="shared" si="999"/>
        <v>0.83257840304751762</v>
      </c>
      <c r="G211" s="175">
        <f t="shared" si="999"/>
        <v>-0.26051281367794593</v>
      </c>
      <c r="H211" s="144"/>
      <c r="I211" s="91"/>
      <c r="J211" s="84">
        <f t="shared" si="941"/>
        <v>7.1079999999999997</v>
      </c>
    </row>
    <row r="212" spans="5:10" x14ac:dyDescent="0.25">
      <c r="E212" s="175">
        <f t="shared" ref="E212:G212" si="1000">E67*-1</f>
        <v>-0.36078759337380945</v>
      </c>
      <c r="F212" s="175">
        <f t="shared" si="1000"/>
        <v>0.9012796975950329</v>
      </c>
      <c r="G212" s="175">
        <f t="shared" si="1000"/>
        <v>-0.2398483253444578</v>
      </c>
      <c r="H212" s="144"/>
      <c r="I212" s="91"/>
      <c r="J212" s="84">
        <f t="shared" si="941"/>
        <v>7.1130000000000004</v>
      </c>
    </row>
    <row r="213" spans="5:10" x14ac:dyDescent="0.25">
      <c r="E213" s="175">
        <f t="shared" ref="E213:G213" si="1001">E68*-1</f>
        <v>-0.24946988697098793</v>
      </c>
      <c r="F213" s="175">
        <f t="shared" si="1001"/>
        <v>0.95503136098643715</v>
      </c>
      <c r="G213" s="175">
        <f t="shared" si="1001"/>
        <v>-0.16024941506001272</v>
      </c>
      <c r="H213" s="144"/>
      <c r="I213" s="91"/>
      <c r="J213" s="84">
        <f t="shared" si="941"/>
        <v>7.1189999999999998</v>
      </c>
    </row>
    <row r="214" spans="5:10" x14ac:dyDescent="0.25">
      <c r="E214" s="175">
        <f t="shared" ref="E214:G214" si="1002">E69*-1</f>
        <v>-0.19544192499713098</v>
      </c>
      <c r="F214" s="175">
        <f t="shared" si="1002"/>
        <v>0.97625762501255231</v>
      </c>
      <c r="G214" s="175">
        <f t="shared" si="1002"/>
        <v>-9.3399697848904728E-2</v>
      </c>
      <c r="H214" s="144"/>
      <c r="I214" s="91"/>
      <c r="J214" s="84">
        <f t="shared" si="941"/>
        <v>7.1280000000000001</v>
      </c>
    </row>
    <row r="215" spans="5:10" x14ac:dyDescent="0.25">
      <c r="E215" s="175">
        <f t="shared" ref="E215:G215" si="1003">E70*-1</f>
        <v>-0.15415746479814077</v>
      </c>
      <c r="F215" s="175">
        <f t="shared" si="1003"/>
        <v>0.98696381359582575</v>
      </c>
      <c r="G215" s="175">
        <f t="shared" si="1003"/>
        <v>-4.623750316998284E-2</v>
      </c>
      <c r="H215" s="144"/>
      <c r="I215" s="91"/>
      <c r="J215" s="84">
        <f t="shared" si="941"/>
        <v>7.1369999999999996</v>
      </c>
    </row>
    <row r="216" spans="5:10" x14ac:dyDescent="0.25">
      <c r="E216" s="175">
        <f t="shared" ref="E216:G216" si="1004">E71*-1</f>
        <v>-9.5433107393989747E-2</v>
      </c>
      <c r="F216" s="175">
        <f t="shared" si="1004"/>
        <v>0.9953894281473662</v>
      </c>
      <c r="G216" s="175">
        <f t="shared" si="1004"/>
        <v>-9.6129259638619794E-3</v>
      </c>
      <c r="H216" s="144"/>
      <c r="I216" s="91"/>
      <c r="J216" s="84">
        <f t="shared" si="941"/>
        <v>7.1459999999999999</v>
      </c>
    </row>
    <row r="217" spans="5:10" x14ac:dyDescent="0.25">
      <c r="E217" s="175">
        <f t="shared" ref="E217:G217" si="1005">E72*-1</f>
        <v>5.0158880820549484E-3</v>
      </c>
      <c r="F217" s="175">
        <f t="shared" si="1005"/>
        <v>0.99998738703348977</v>
      </c>
      <c r="G217" s="175">
        <f t="shared" si="1005"/>
        <v>2.5814856534261705E-4</v>
      </c>
      <c r="H217" s="144"/>
      <c r="I217" s="91"/>
      <c r="J217" s="84">
        <f t="shared" si="941"/>
        <v>7.1550000000000002</v>
      </c>
    </row>
    <row r="218" spans="5:10" x14ac:dyDescent="0.25">
      <c r="E218" s="175">
        <f t="shared" ref="E218:G218" si="1006">E73*-1</f>
        <v>7.3046940805879243E-2</v>
      </c>
      <c r="F218" s="175">
        <f t="shared" si="1006"/>
        <v>0.99732850377340043</v>
      </c>
      <c r="G218" s="175">
        <f t="shared" si="1006"/>
        <v>-1.1339743364501944E-7</v>
      </c>
      <c r="H218" s="144"/>
      <c r="I218" s="91"/>
      <c r="J218" s="84">
        <f t="shared" si="941"/>
        <v>7.1639999999999997</v>
      </c>
    </row>
    <row r="219" spans="5:10" x14ac:dyDescent="0.25">
      <c r="E219" s="175">
        <f t="shared" ref="E219:G219" si="1007">E74*-1</f>
        <v>3.9676660824543219E-9</v>
      </c>
      <c r="F219" s="175">
        <f t="shared" si="1007"/>
        <v>2.2676018785462474E-7</v>
      </c>
      <c r="G219" s="175">
        <f t="shared" si="1007"/>
        <v>-0.99999999999997435</v>
      </c>
      <c r="H219" s="144"/>
      <c r="I219" s="91"/>
      <c r="J219" s="84">
        <f t="shared" ref="J219:J282" si="1008">J74</f>
        <v>7.2080000000000002</v>
      </c>
    </row>
    <row r="220" spans="5:10" x14ac:dyDescent="0.25">
      <c r="E220" s="175">
        <f t="shared" ref="E220:G220" si="1009">E75*-1</f>
        <v>0.43707834351518454</v>
      </c>
      <c r="F220" s="175">
        <f t="shared" si="1009"/>
        <v>5.5875621451109053E-2</v>
      </c>
      <c r="G220" s="175">
        <f t="shared" si="1009"/>
        <v>-0.89768615704904065</v>
      </c>
      <c r="H220" s="144"/>
      <c r="I220" s="91"/>
      <c r="J220" s="84">
        <f t="shared" si="1008"/>
        <v>7.2130000000000001</v>
      </c>
    </row>
    <row r="221" spans="5:10" x14ac:dyDescent="0.25">
      <c r="E221" s="175">
        <f t="shared" ref="E221:G221" si="1010">E76*-1</f>
        <v>0.31458724698954788</v>
      </c>
      <c r="F221" s="175">
        <f t="shared" si="1010"/>
        <v>0.94398150864820329</v>
      </c>
      <c r="G221" s="175">
        <f t="shared" si="1010"/>
        <v>-9.9668326773350774E-2</v>
      </c>
      <c r="H221" s="144"/>
      <c r="I221" s="91"/>
      <c r="J221" s="84">
        <f t="shared" si="1008"/>
        <v>8.1270000000000007</v>
      </c>
    </row>
    <row r="222" spans="5:10" x14ac:dyDescent="0.25">
      <c r="E222" s="175">
        <f t="shared" ref="E222:G222" si="1011">E77*-1</f>
        <v>0.3576615661599768</v>
      </c>
      <c r="F222" s="175">
        <f t="shared" si="1011"/>
        <v>0.93236141717166199</v>
      </c>
      <c r="G222" s="175">
        <f t="shared" si="1011"/>
        <v>-5.2729421214753464E-2</v>
      </c>
      <c r="H222" s="144"/>
      <c r="I222" s="91"/>
      <c r="J222" s="84">
        <f t="shared" si="1008"/>
        <v>8.1359999999999992</v>
      </c>
    </row>
    <row r="223" spans="5:10" x14ac:dyDescent="0.25">
      <c r="E223" s="175">
        <f t="shared" ref="E223:G223" si="1012">E78*-1</f>
        <v>0.41421139737507212</v>
      </c>
      <c r="F223" s="175">
        <f t="shared" si="1012"/>
        <v>0.91002873940208229</v>
      </c>
      <c r="G223" s="175">
        <f t="shared" si="1012"/>
        <v>-1.6631648951545369E-2</v>
      </c>
      <c r="H223" s="144"/>
      <c r="I223" s="91"/>
      <c r="J223" s="84">
        <f t="shared" si="1008"/>
        <v>8.1449999999999996</v>
      </c>
    </row>
    <row r="224" spans="5:10" x14ac:dyDescent="0.25">
      <c r="E224" s="175">
        <f t="shared" ref="E224:G224" si="1013">E79*-1</f>
        <v>0.5043375009487312</v>
      </c>
      <c r="F224" s="175">
        <f t="shared" si="1013"/>
        <v>0.86350657571244149</v>
      </c>
      <c r="G224" s="175">
        <f t="shared" si="1013"/>
        <v>-2.8078134239878372E-4</v>
      </c>
      <c r="H224" s="144"/>
      <c r="I224" s="91"/>
      <c r="J224" s="84">
        <f t="shared" si="1008"/>
        <v>8.1539999999999999</v>
      </c>
    </row>
    <row r="225" spans="5:10" x14ac:dyDescent="0.25">
      <c r="E225" s="175">
        <f t="shared" ref="E225:G225" si="1014">E80*-1</f>
        <v>0.56192469575929604</v>
      </c>
      <c r="F225" s="175">
        <f t="shared" si="1014"/>
        <v>0.827188392263703</v>
      </c>
      <c r="G225" s="175">
        <f t="shared" si="1014"/>
        <v>-1.1339743349914737E-7</v>
      </c>
      <c r="H225" s="144"/>
      <c r="I225" s="91"/>
      <c r="J225" s="84">
        <f t="shared" si="1008"/>
        <v>8.1630000000000003</v>
      </c>
    </row>
    <row r="226" spans="5:10" x14ac:dyDescent="0.25">
      <c r="E226" s="175">
        <f t="shared" ref="E226:G226" si="1015">E81*-1</f>
        <v>0.70572375847641844</v>
      </c>
      <c r="F226" s="175">
        <f t="shared" si="1015"/>
        <v>0.66372429692689583</v>
      </c>
      <c r="G226" s="175">
        <f t="shared" si="1015"/>
        <v>-0.24783872657600531</v>
      </c>
      <c r="H226" s="144"/>
      <c r="I226" s="91"/>
      <c r="J226" s="84">
        <f t="shared" si="1008"/>
        <v>9.1120000000000001</v>
      </c>
    </row>
    <row r="227" spans="5:10" x14ac:dyDescent="0.25">
      <c r="E227" s="175">
        <f t="shared" ref="E227:G227" si="1016">E82*-1</f>
        <v>0.79999540604387498</v>
      </c>
      <c r="F227" s="175">
        <f t="shared" si="1016"/>
        <v>0.57339402024991437</v>
      </c>
      <c r="G227" s="175">
        <f t="shared" si="1016"/>
        <v>-0.17671063309924623</v>
      </c>
      <c r="H227" s="144"/>
      <c r="I227" s="91"/>
      <c r="J227" s="84">
        <f t="shared" si="1008"/>
        <v>9.1180000000000003</v>
      </c>
    </row>
    <row r="228" spans="5:10" x14ac:dyDescent="0.25">
      <c r="E228" s="175">
        <f t="shared" ref="E228:G228" si="1017">E83*-1</f>
        <v>0.84481022278619311</v>
      </c>
      <c r="F228" s="175">
        <f t="shared" si="1017"/>
        <v>0.52447786628800575</v>
      </c>
      <c r="G228" s="175">
        <f t="shared" si="1017"/>
        <v>-0.10591815354283596</v>
      </c>
      <c r="H228" s="144"/>
      <c r="I228" s="91"/>
      <c r="J228" s="84">
        <f t="shared" si="1008"/>
        <v>9.1259999999999994</v>
      </c>
    </row>
    <row r="229" spans="5:10" x14ac:dyDescent="0.25">
      <c r="E229" s="175">
        <f t="shared" ref="E229:G229" si="1018">E84*-1</f>
        <v>0.87172091051800427</v>
      </c>
      <c r="F229" s="175">
        <f t="shared" si="1018"/>
        <v>0.48640883086908299</v>
      </c>
      <c r="G229" s="175">
        <f t="shared" si="1018"/>
        <v>-5.9237685794042316E-2</v>
      </c>
      <c r="H229" s="144"/>
      <c r="I229" s="91"/>
      <c r="J229" s="84">
        <f t="shared" si="1008"/>
        <v>9.1349999999999998</v>
      </c>
    </row>
    <row r="230" spans="5:10" x14ac:dyDescent="0.25">
      <c r="E230" s="175">
        <f t="shared" ref="E230:G230" si="1019">E85*-1</f>
        <v>0.89493771817243473</v>
      </c>
      <c r="F230" s="175">
        <f t="shared" si="1019"/>
        <v>0.44589066238036584</v>
      </c>
      <c r="G230" s="175">
        <f t="shared" si="1019"/>
        <v>-1.6370638176763291E-2</v>
      </c>
      <c r="H230" s="144"/>
      <c r="I230" s="91"/>
      <c r="J230" s="84">
        <f t="shared" si="1008"/>
        <v>9.1440000000000001</v>
      </c>
    </row>
    <row r="231" spans="5:10" x14ac:dyDescent="0.25">
      <c r="E231" s="175">
        <f t="shared" ref="E231:G231" si="1020">E86*-1</f>
        <v>0.9413718764420107</v>
      </c>
      <c r="F231" s="175">
        <f t="shared" si="1020"/>
        <v>0.33737068133802284</v>
      </c>
      <c r="G231" s="175">
        <f t="shared" si="1020"/>
        <v>-1.1669432713293237E-4</v>
      </c>
      <c r="H231" s="144"/>
      <c r="I231" s="91"/>
      <c r="J231" s="84">
        <f t="shared" si="1008"/>
        <v>9.1530000000000005</v>
      </c>
    </row>
    <row r="232" spans="5:10" x14ac:dyDescent="0.25">
      <c r="E232" s="175">
        <f t="shared" ref="E232:G232" si="1021">E87*-1</f>
        <v>0.96216571259752559</v>
      </c>
      <c r="F232" s="175">
        <f t="shared" si="1021"/>
        <v>0.27246493627930024</v>
      </c>
      <c r="G232" s="175">
        <f t="shared" si="1021"/>
        <v>-1.1339743341327362E-7</v>
      </c>
      <c r="H232" s="144"/>
      <c r="I232" s="91"/>
      <c r="J232" s="84">
        <f t="shared" si="1008"/>
        <v>9.1620000000000008</v>
      </c>
    </row>
    <row r="233" spans="5:10" x14ac:dyDescent="0.25">
      <c r="E233" s="175">
        <f t="shared" ref="E233:G233" si="1022">E88*-1</f>
        <v>0.93070518196206753</v>
      </c>
      <c r="F233" s="175">
        <f t="shared" si="1022"/>
        <v>0.28431995057585513</v>
      </c>
      <c r="G233" s="175">
        <f t="shared" si="1022"/>
        <v>-0.23010873510907429</v>
      </c>
      <c r="H233" s="144"/>
      <c r="I233" s="91"/>
      <c r="J233" s="84">
        <f t="shared" si="1008"/>
        <v>9.218</v>
      </c>
    </row>
    <row r="234" spans="5:10" x14ac:dyDescent="0.25">
      <c r="E234" s="175">
        <f t="shared" ref="E234:G234" si="1023">E89*-1</f>
        <v>0.95862385201280964</v>
      </c>
      <c r="F234" s="175">
        <f t="shared" si="1023"/>
        <v>0.24954260469683737</v>
      </c>
      <c r="G234" s="175">
        <f t="shared" si="1023"/>
        <v>-0.13699926566679527</v>
      </c>
      <c r="H234" s="144"/>
      <c r="I234" s="91"/>
      <c r="J234" s="84">
        <f t="shared" si="1008"/>
        <v>9.2260000000000009</v>
      </c>
    </row>
    <row r="235" spans="5:10" x14ac:dyDescent="0.25">
      <c r="E235" s="175">
        <f t="shared" ref="E235:G235" si="1024">E90*-1</f>
        <v>0.97262237532099793</v>
      </c>
      <c r="F235" s="175">
        <f t="shared" si="1024"/>
        <v>0.21984840498207284</v>
      </c>
      <c r="G235" s="175">
        <f t="shared" si="1024"/>
        <v>-7.5315296266950035E-2</v>
      </c>
      <c r="H235" s="144"/>
      <c r="I235" s="91"/>
      <c r="J235" s="84">
        <f t="shared" si="1008"/>
        <v>9.2349999999999994</v>
      </c>
    </row>
    <row r="236" spans="5:10" x14ac:dyDescent="0.25">
      <c r="E236" s="175">
        <f t="shared" ref="E236:G236" si="1025">E91*-1</f>
        <v>0.98324579442384097</v>
      </c>
      <c r="F236" s="175">
        <f t="shared" si="1025"/>
        <v>0.181148542074343</v>
      </c>
      <c r="G236" s="175">
        <f t="shared" si="1025"/>
        <v>-2.0320271951178297E-2</v>
      </c>
      <c r="H236" s="144"/>
      <c r="I236" s="91"/>
      <c r="J236" s="84">
        <f t="shared" si="1008"/>
        <v>9.2439999999999998</v>
      </c>
    </row>
    <row r="237" spans="5:10" x14ac:dyDescent="0.25">
      <c r="E237" s="175">
        <f t="shared" ref="E237:G237" si="1026">E92*-1</f>
        <v>0.99824884836832284</v>
      </c>
      <c r="F237" s="175">
        <f t="shared" si="1026"/>
        <v>5.9154188117124085E-2</v>
      </c>
      <c r="G237" s="175">
        <f t="shared" si="1026"/>
        <v>-1.3696540214034803E-4</v>
      </c>
      <c r="H237" s="144"/>
      <c r="I237" s="91"/>
      <c r="J237" s="84">
        <f t="shared" si="1008"/>
        <v>9.2530000000000001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73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74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72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8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8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1.1339999999999999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1.143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1.1519999999999999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1.161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1.2070000000000001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1.2110000000000001</v>
      </c>
      <c r="N175" s="594" t="str">
        <f>Assy.Model!K20</f>
        <v>Knuckle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2.1240000000000001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2.133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2.1419999999999999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2.1509999999999998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2.16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3.1160000000000001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3.1230000000000002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3.1320000000000001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3.141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3.15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3.1589999999999998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3.2160000000000002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3.2229999999999999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3.2320000000000002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3.2410000000000001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3.25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4.1029999999999998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4.1059999999999999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4.109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4.1150000000000002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4.1219999999999999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4.1310000000000002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4.1399999999999997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4.149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4.1580000000000004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4.2060000000000004</v>
      </c>
      <c r="N202" s="594" t="str">
        <f>Assy.Model!K47</f>
        <v>Knuckle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4.2089999999999996</v>
      </c>
      <c r="N203" s="594" t="str">
        <f>Assy.Model!K48</f>
        <v>Knuckle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5.1210000000000004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5.1390000000000002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5.1479999999999997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5.157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6.1139999999999999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6.12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6.1289999999999996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6.1379999999999999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6.1470000000000002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6.1559999999999997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6.2290000000000001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6.2380000000000004</v>
      </c>
      <c r="N217" s="594" t="str">
        <f>Assy.Model!K62</f>
        <v>1313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6.2469999999999999</v>
      </c>
      <c r="N218" s="594" t="str">
        <f>Assy.Model!K63</f>
        <v>1313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7.1020000000000003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7.1050000000000004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7.1079999999999997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7.1130000000000004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7.1189999999999998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7.1280000000000001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7.1369999999999996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7.1459999999999999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7.1550000000000002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7.1639999999999997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7.2080000000000002</v>
      </c>
      <c r="N229" s="594" t="str">
        <f>Assy.Model!K74</f>
        <v>Knuckle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7.2130000000000001</v>
      </c>
      <c r="N230" s="594" t="str">
        <f>Assy.Model!K75</f>
        <v>Knuckle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8.1270000000000007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8.1359999999999992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8.1449999999999996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8.1539999999999999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8.1630000000000003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9.1120000000000001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9.1180000000000003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9.1259999999999994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9.1349999999999998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9.1440000000000001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9.1530000000000005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9.1620000000000008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9.218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9.2260000000000009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9.2349999999999994</v>
      </c>
      <c r="N245" s="594" t="str">
        <f>Assy.Model!K90</f>
        <v>1313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9.2439999999999998</v>
      </c>
      <c r="N246" s="594" t="str">
        <f>Assy.Model!K91</f>
        <v>1313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9.2530000000000001</v>
      </c>
      <c r="N247" s="594" t="str">
        <f>Assy.Model!K92</f>
        <v>1313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2023-03-17T19:59:34Z</dcterms:modified>
</cp:coreProperties>
</file>