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381\"/>
    </mc:Choice>
  </mc:AlternateContent>
  <xr:revisionPtr revIDLastSave="0" documentId="8_{13009B4C-A8F7-46F4-B51A-9A510B2ECB6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Q87" i="1"/>
  <c r="IN87" i="1"/>
  <c r="IW87" i="1"/>
  <c r="IK87" i="1"/>
  <c r="IJ87" i="1"/>
  <c r="IR87" i="1"/>
  <c r="IP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R109" i="1"/>
  <c r="IP109" i="1"/>
  <c r="IN109" i="1"/>
  <c r="IQ109" i="1"/>
  <c r="IQ111" i="1"/>
  <c r="IK111" i="1"/>
  <c r="IW111" i="1"/>
  <c r="IN111" i="1"/>
  <c r="IP111" i="1"/>
  <c r="IJ111" i="1"/>
  <c r="IR111" i="1"/>
  <c r="IQ69" i="1"/>
  <c r="IN69" i="1"/>
  <c r="IR69" i="1"/>
  <c r="IW69" i="1"/>
  <c r="IP69" i="1"/>
  <c r="IJ69" i="1"/>
  <c r="IK69" i="1"/>
  <c r="IK132" i="1"/>
  <c r="IJ132" i="1"/>
  <c r="IQ132" i="1"/>
  <c r="IR132" i="1"/>
  <c r="IW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K66" i="1"/>
  <c r="IQ66" i="1"/>
  <c r="IR66" i="1"/>
  <c r="IN66" i="1"/>
  <c r="IW66" i="1"/>
  <c r="IP66" i="1"/>
  <c r="IJ66" i="1"/>
  <c r="IR129" i="1"/>
  <c r="IN129" i="1"/>
  <c r="IJ129" i="1"/>
  <c r="IK129" i="1"/>
  <c r="IW129" i="1"/>
  <c r="IQ129" i="1"/>
  <c r="IP129" i="1"/>
  <c r="IR41" i="1"/>
  <c r="IW41" i="1"/>
  <c r="IN41" i="1"/>
  <c r="IK41" i="1"/>
  <c r="IJ41" i="1"/>
  <c r="IQ128" i="1"/>
  <c r="IK128" i="1"/>
  <c r="IR128" i="1"/>
  <c r="IN128" i="1"/>
  <c r="IJ128" i="1"/>
  <c r="IW128" i="1"/>
  <c r="IP128" i="1"/>
  <c r="IR135" i="1"/>
  <c r="IW135" i="1"/>
  <c r="IJ135" i="1"/>
  <c r="IQ135" i="1"/>
  <c r="IN135" i="1"/>
  <c r="IP135" i="1"/>
  <c r="IK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J113" i="1"/>
  <c r="IQ113" i="1"/>
  <c r="IR113" i="1"/>
  <c r="IP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K134" i="1"/>
  <c r="IR134" i="1"/>
  <c r="IQ134" i="1"/>
  <c r="IW134" i="1"/>
  <c r="IN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K108" i="1"/>
  <c r="IJ108" i="1"/>
  <c r="IW108" i="1"/>
  <c r="IR108" i="1"/>
  <c r="IP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P133" i="1"/>
  <c r="IK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K65" i="1"/>
  <c r="IP65" i="1"/>
  <c r="IJ65" i="1"/>
  <c r="IN65" i="1"/>
  <c r="IQ65" i="1"/>
  <c r="IW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K112" i="1"/>
  <c r="IR112" i="1"/>
  <c r="IP112" i="1"/>
  <c r="IJ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N114" i="1"/>
  <c r="IR114" i="1"/>
  <c r="IK114" i="1"/>
  <c r="IW114" i="1"/>
  <c r="IQ114" i="1"/>
  <c r="IP114" i="1"/>
  <c r="IJ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Q110" i="1"/>
  <c r="IW110" i="1"/>
  <c r="IP110" i="1"/>
  <c r="IK110" i="1"/>
  <c r="IJ110" i="1"/>
  <c r="IR110" i="1"/>
  <c r="IN110" i="1"/>
  <c r="IQ71" i="1"/>
  <c r="IN71" i="1"/>
  <c r="IW71" i="1"/>
  <c r="IK71" i="1"/>
  <c r="IP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Q85" i="1"/>
  <c r="IK85" i="1"/>
  <c r="IR85" i="1"/>
  <c r="IJ85" i="1"/>
  <c r="IW85" i="1"/>
  <c r="IP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Q45" i="1"/>
  <c r="IW45" i="1"/>
  <c r="IP45" i="1"/>
  <c r="IN45" i="1"/>
  <c r="IK45" i="1"/>
  <c r="IJ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K130" i="1"/>
  <c r="IJ130" i="1"/>
  <c r="IQ130" i="1"/>
  <c r="IW130" i="1"/>
  <c r="IN130" i="1"/>
  <c r="IR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J50" i="1"/>
  <c r="IW50" i="1"/>
  <c r="IQ50" i="1"/>
  <c r="IN50" i="1"/>
  <c r="IP50" i="1"/>
  <c r="IR50" i="1"/>
  <c r="IK48" i="1"/>
  <c r="IP48" i="1"/>
  <c r="IJ48" i="1"/>
  <c r="IW48" i="1"/>
  <c r="IR48" i="1"/>
  <c r="IN48" i="1"/>
  <c r="IQ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P131" i="1"/>
  <c r="IJ131" i="1"/>
  <c r="IR131" i="1"/>
  <c r="IW131" i="1"/>
  <c r="IK131" i="1"/>
  <c r="IN131" i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Q115" i="1"/>
  <c r="IK115" i="1"/>
  <c r="IJ115" i="1"/>
  <c r="IW115" i="1"/>
  <c r="IR115" i="1"/>
  <c r="IN115" i="1"/>
  <c r="IP115" i="1"/>
  <c r="IK49" i="1"/>
  <c r="IJ49" i="1"/>
  <c r="IR49" i="1"/>
  <c r="IQ49" i="1"/>
  <c r="IW49" i="1"/>
  <c r="IP49" i="1"/>
  <c r="IN49" i="1"/>
  <c r="IQ72" i="1"/>
  <c r="IJ72" i="1"/>
  <c r="IW72" i="1"/>
  <c r="IK72" i="1"/>
  <c r="IR72" i="1"/>
  <c r="IP72" i="1"/>
  <c r="IN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144" i="1" l="1"/>
  <c r="IF100" i="1"/>
  <c r="IF96" i="1"/>
  <c r="IF13" i="1"/>
  <c r="IF98" i="1"/>
  <c r="IF137" i="1"/>
  <c r="IF150" i="1"/>
  <c r="IF56" i="1"/>
  <c r="IF58" i="1"/>
  <c r="IF139" i="1"/>
  <c r="IF11" i="1"/>
  <c r="IF62" i="1"/>
  <c r="IF21" i="1"/>
  <c r="IF82" i="1"/>
  <c r="IF117" i="1"/>
  <c r="IF78" i="1"/>
  <c r="IF136" i="1"/>
  <c r="IF116" i="1"/>
  <c r="IF63" i="1"/>
  <c r="IF127" i="1"/>
  <c r="IF76" i="1"/>
  <c r="IF106" i="1"/>
  <c r="IF140" i="1"/>
  <c r="IF105" i="1"/>
  <c r="IF123" i="1"/>
  <c r="IF55" i="1"/>
  <c r="IF12" i="1"/>
  <c r="IF126" i="1"/>
  <c r="IF149" i="1"/>
  <c r="IF102" i="1"/>
  <c r="IF147" i="1"/>
  <c r="IF84" i="1"/>
  <c r="IF103" i="1"/>
  <c r="IF145" i="1"/>
  <c r="IF75" i="1"/>
  <c r="IF94" i="1"/>
  <c r="IF9" i="1"/>
  <c r="IF79" i="1"/>
  <c r="IF57" i="1"/>
  <c r="IF125" i="1"/>
  <c r="IF143" i="1"/>
  <c r="IF39" i="1"/>
  <c r="IF95" i="1"/>
  <c r="IF107" i="1"/>
  <c r="IF10" i="1"/>
  <c r="IF146" i="1"/>
  <c r="IF121" i="1"/>
  <c r="IF122" i="1"/>
  <c r="IF20" i="1"/>
  <c r="IF118" i="1"/>
  <c r="IF83" i="1"/>
  <c r="IF64" i="1"/>
  <c r="IF80" i="1"/>
  <c r="IF141" i="1"/>
  <c r="IF138" i="1"/>
  <c r="IF119" i="1"/>
  <c r="IF97" i="1"/>
  <c r="IF77" i="1"/>
  <c r="IF124" i="1"/>
  <c r="IF32" i="1"/>
  <c r="IF120" i="1"/>
  <c r="IF14" i="1"/>
  <c r="IF101" i="1"/>
  <c r="IF38" i="1"/>
  <c r="IF73" i="1"/>
  <c r="IF99" i="1"/>
  <c r="IF81" i="1"/>
  <c r="IF74" i="1"/>
  <c r="IF37" i="1"/>
  <c r="IF104" i="1"/>
  <c r="IF93" i="1"/>
  <c r="IF23" i="1"/>
  <c r="IF142" i="1"/>
  <c r="IF148" i="1"/>
  <c r="IF22" i="1"/>
  <c r="IF40" i="1"/>
  <c r="IF15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IE135" i="1" s="1"/>
  <c r="AE133" i="1"/>
  <c r="CU130" i="1"/>
  <c r="EO130" i="1"/>
  <c r="BA130" i="1"/>
  <c r="R133" i="1"/>
  <c r="X133" i="1" s="1"/>
  <c r="IU133" i="1" s="1"/>
  <c r="IE133" i="1" s="1"/>
  <c r="Q133" i="1"/>
  <c r="Q132" i="1"/>
  <c r="R131" i="1"/>
  <c r="X131" i="1" s="1"/>
  <c r="IU131" i="1" s="1"/>
  <c r="IE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IE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IE134" i="1" s="1"/>
  <c r="R130" i="1"/>
  <c r="X130" i="1" s="1"/>
  <c r="IU130" i="1" s="1"/>
  <c r="IE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9" i="1" l="1"/>
  <c r="IU129" i="1"/>
  <c r="IE129" i="1" s="1"/>
  <c r="AQ111" i="1"/>
  <c r="IU111" i="1"/>
  <c r="IE111" i="1" s="1"/>
  <c r="AQ91" i="1"/>
  <c r="IU91" i="1"/>
  <c r="IE91" i="1" s="1"/>
  <c r="AQ90" i="1"/>
  <c r="IU90" i="1"/>
  <c r="IE90" i="1" s="1"/>
  <c r="V65" i="1"/>
  <c r="IV65" i="1"/>
  <c r="IQ54" i="1"/>
  <c r="IV50" i="1"/>
  <c r="IQ53" i="1"/>
  <c r="IV49" i="1"/>
  <c r="IQ52" i="1"/>
  <c r="IV48" i="1"/>
  <c r="IQ51" i="1"/>
  <c r="IV47" i="1"/>
  <c r="IQ35" i="1"/>
  <c r="IV31" i="1"/>
  <c r="IQ34" i="1"/>
  <c r="IV30" i="1"/>
  <c r="IQ33" i="1"/>
  <c r="IV29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28" i="1" l="1"/>
  <c r="IU128" i="1"/>
  <c r="IE128" i="1" s="1"/>
  <c r="AQ115" i="1"/>
  <c r="IU115" i="1"/>
  <c r="IE115" i="1" s="1"/>
  <c r="AQ114" i="1"/>
  <c r="IU114" i="1"/>
  <c r="IE114" i="1" s="1"/>
  <c r="AQ113" i="1"/>
  <c r="IU113" i="1"/>
  <c r="IE113" i="1" s="1"/>
  <c r="AQ112" i="1"/>
  <c r="IU112" i="1"/>
  <c r="IE112" i="1" s="1"/>
  <c r="AQ110" i="1"/>
  <c r="IU110" i="1"/>
  <c r="IE110" i="1" s="1"/>
  <c r="AQ109" i="1"/>
  <c r="IU109" i="1"/>
  <c r="IE109" i="1" s="1"/>
  <c r="AQ108" i="1"/>
  <c r="IU108" i="1"/>
  <c r="IE108" i="1" s="1"/>
  <c r="AQ92" i="1"/>
  <c r="IU92" i="1"/>
  <c r="IE92" i="1" s="1"/>
  <c r="AQ89" i="1"/>
  <c r="IU89" i="1"/>
  <c r="IE89" i="1" s="1"/>
  <c r="AQ88" i="1"/>
  <c r="IU88" i="1"/>
  <c r="IE88" i="1" s="1"/>
  <c r="AQ87" i="1"/>
  <c r="IU87" i="1"/>
  <c r="IE87" i="1" s="1"/>
  <c r="AQ86" i="1"/>
  <c r="IU86" i="1"/>
  <c r="IE86" i="1" s="1"/>
  <c r="AQ85" i="1"/>
  <c r="IU85" i="1"/>
  <c r="IE85" i="1" s="1"/>
  <c r="AQ72" i="1"/>
  <c r="IU72" i="1"/>
  <c r="IE72" i="1" s="1"/>
  <c r="AQ71" i="1"/>
  <c r="IU71" i="1"/>
  <c r="IE71" i="1" s="1"/>
  <c r="AQ70" i="1"/>
  <c r="IU70" i="1"/>
  <c r="IE70" i="1" s="1"/>
  <c r="AQ69" i="1"/>
  <c r="IU69" i="1"/>
  <c r="IE69" i="1" s="1"/>
  <c r="AQ68" i="1"/>
  <c r="IU68" i="1"/>
  <c r="IE68" i="1" s="1"/>
  <c r="AQ67" i="1"/>
  <c r="IU67" i="1"/>
  <c r="IE67" i="1" s="1"/>
  <c r="AQ66" i="1"/>
  <c r="IU66" i="1"/>
  <c r="IE66" i="1" s="1"/>
  <c r="AQ65" i="1"/>
  <c r="IU65" i="1"/>
  <c r="IE65" i="1" s="1"/>
  <c r="IP54" i="1"/>
  <c r="IU50" i="1"/>
  <c r="IE50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AQ45" i="1"/>
  <c r="IU45" i="1"/>
  <c r="IE45" i="1" s="1"/>
  <c r="AQ44" i="1"/>
  <c r="IU44" i="1"/>
  <c r="IE44" i="1" s="1"/>
  <c r="IP35" i="1"/>
  <c r="IU31" i="1"/>
  <c r="IE31" i="1" s="1"/>
  <c r="IP34" i="1"/>
  <c r="IU30" i="1"/>
  <c r="IE30" i="1" s="1"/>
  <c r="IP33" i="1"/>
  <c r="IU29" i="1"/>
  <c r="IE29" i="1" s="1"/>
  <c r="AQ28" i="1"/>
  <c r="IU28" i="1"/>
  <c r="IE28" i="1" s="1"/>
  <c r="AQ27" i="1"/>
  <c r="IU27" i="1"/>
  <c r="IE27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IL131" i="1" s="1"/>
  <c r="W131" i="1"/>
  <c r="W110" i="1"/>
  <c r="W127" i="1"/>
  <c r="W97" i="1"/>
  <c r="W112" i="1"/>
  <c r="W103" i="1"/>
  <c r="W101" i="1"/>
  <c r="W123" i="1"/>
  <c r="IL132" i="1" s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IL114" i="1" s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IL91" i="1" s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IL67" i="1" s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29" i="1" l="1"/>
  <c r="IL134" i="1"/>
  <c r="IL135" i="1"/>
  <c r="IL128" i="1"/>
  <c r="IL133" i="1"/>
  <c r="IL130" i="1"/>
  <c r="IL111" i="1"/>
  <c r="IL115" i="1"/>
  <c r="IL113" i="1"/>
  <c r="IL112" i="1"/>
  <c r="IL110" i="1"/>
  <c r="IL109" i="1"/>
  <c r="IL108" i="1"/>
  <c r="IL86" i="1"/>
  <c r="IL90" i="1"/>
  <c r="IL92" i="1"/>
  <c r="IL87" i="1"/>
  <c r="IL88" i="1"/>
  <c r="IL89" i="1"/>
  <c r="IL85" i="1"/>
  <c r="IL71" i="1"/>
  <c r="IL72" i="1"/>
  <c r="IL70" i="1"/>
  <c r="IL69" i="1"/>
  <c r="IL68" i="1"/>
  <c r="IL66" i="1"/>
  <c r="IL65" i="1"/>
  <c r="IL50" i="1"/>
  <c r="IL49" i="1"/>
  <c r="IL47" i="1"/>
  <c r="IL48" i="1"/>
  <c r="IL46" i="1"/>
  <c r="IL45" i="1"/>
  <c r="IL44" i="1"/>
  <c r="IL31" i="1"/>
  <c r="IL30" i="1"/>
  <c r="IL29" i="1"/>
  <c r="IL27" i="1"/>
  <c r="IL28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9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IY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IT110" i="1" s="1"/>
  <c r="AL102" i="1"/>
  <c r="AN102" i="1" s="1"/>
  <c r="IT111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T112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IT114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T108" i="1" s="1"/>
  <c r="T99" i="1"/>
  <c r="U99" i="1"/>
  <c r="AK99" i="1"/>
  <c r="AW98" i="7"/>
  <c r="T119" i="1"/>
  <c r="AL119" i="1"/>
  <c r="AN119" i="1" s="1"/>
  <c r="IT128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T115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IT113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T72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T84" i="1"/>
  <c r="U84" i="1"/>
  <c r="AK84" i="1"/>
  <c r="T83" i="1"/>
  <c r="U83" i="1"/>
  <c r="AL82" i="1"/>
  <c r="AN82" i="1" s="1"/>
  <c r="IT91" i="1" s="1"/>
  <c r="T82" i="1"/>
  <c r="U82" i="1"/>
  <c r="AK82" i="1"/>
  <c r="U81" i="1"/>
  <c r="AL81" i="1"/>
  <c r="AN81" i="1" s="1"/>
  <c r="IT90" i="1" s="1"/>
  <c r="AK81" i="1"/>
  <c r="T81" i="1"/>
  <c r="AL79" i="1"/>
  <c r="AN79" i="1" s="1"/>
  <c r="IT88" i="1" s="1"/>
  <c r="U80" i="1"/>
  <c r="AL80" i="1"/>
  <c r="AN80" i="1" s="1"/>
  <c r="IT89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IT86" i="1" s="1"/>
  <c r="AK76" i="1"/>
  <c r="T76" i="1"/>
  <c r="AL76" i="1"/>
  <c r="AN76" i="1" s="1"/>
  <c r="IT85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Y66" i="1" s="1"/>
  <c r="U65" i="1"/>
  <c r="T65" i="1"/>
  <c r="AL65" i="1"/>
  <c r="AN65" i="1" s="1"/>
  <c r="IY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T71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Y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IT49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T46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IT31" i="1" s="1"/>
  <c r="U22" i="1"/>
  <c r="AK22" i="1"/>
  <c r="T22" i="1"/>
  <c r="AK21" i="1"/>
  <c r="AO21" i="1" s="1"/>
  <c r="IS30" i="1" s="1"/>
  <c r="T21" i="1"/>
  <c r="AL21" i="1"/>
  <c r="AN21" i="1" s="1"/>
  <c r="IT30" i="1" s="1"/>
  <c r="U21" i="1"/>
  <c r="T20" i="1"/>
  <c r="AL20" i="1"/>
  <c r="AN20" i="1" s="1"/>
  <c r="IT29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89" i="1" l="1"/>
  <c r="IF71" i="1"/>
  <c r="IY61" i="1"/>
  <c r="IT70" i="1"/>
  <c r="IY60" i="1"/>
  <c r="IT69" i="1"/>
  <c r="IY59" i="1"/>
  <c r="IT68" i="1"/>
  <c r="IT61" i="1"/>
  <c r="IT67" i="1"/>
  <c r="IS60" i="1"/>
  <c r="IS66" i="1"/>
  <c r="IT59" i="1"/>
  <c r="IT65" i="1"/>
  <c r="IT54" i="1"/>
  <c r="IY50" i="1"/>
  <c r="IY41" i="1"/>
  <c r="IT50" i="1"/>
  <c r="IX41" i="1"/>
  <c r="IS50" i="1"/>
  <c r="IT53" i="1"/>
  <c r="IY49" i="1"/>
  <c r="IS53" i="1"/>
  <c r="IX49" i="1"/>
  <c r="IT42" i="1"/>
  <c r="IT48" i="1"/>
  <c r="IT52" i="1"/>
  <c r="IY48" i="1"/>
  <c r="IT41" i="1"/>
  <c r="IT47" i="1"/>
  <c r="IS51" i="1"/>
  <c r="IX47" i="1"/>
  <c r="IY36" i="1"/>
  <c r="IT45" i="1"/>
  <c r="IY35" i="1"/>
  <c r="IT44" i="1"/>
  <c r="IT43" i="1"/>
  <c r="IT35" i="1"/>
  <c r="IY31" i="1"/>
  <c r="IT34" i="1"/>
  <c r="IY30" i="1"/>
  <c r="IS34" i="1"/>
  <c r="IX30" i="1"/>
  <c r="IT33" i="1"/>
  <c r="IY29" i="1"/>
  <c r="IY19" i="1"/>
  <c r="IT28" i="1"/>
  <c r="IY18" i="1"/>
  <c r="IT27" i="1"/>
  <c r="IT26" i="1"/>
  <c r="IT25" i="1"/>
  <c r="IT24" i="1"/>
  <c r="IF25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S114" i="1" s="1"/>
  <c r="AP105" i="1"/>
  <c r="AP126" i="1"/>
  <c r="AO126" i="1"/>
  <c r="IS135" i="1" s="1"/>
  <c r="AO120" i="1"/>
  <c r="IS129" i="1" s="1"/>
  <c r="AP120" i="1"/>
  <c r="AO102" i="1"/>
  <c r="IS111" i="1" s="1"/>
  <c r="AP102" i="1"/>
  <c r="AO101" i="1"/>
  <c r="IS110" i="1" s="1"/>
  <c r="AP101" i="1"/>
  <c r="AO128" i="1"/>
  <c r="IX128" i="1" s="1"/>
  <c r="IF128" i="1" s="1"/>
  <c r="AP128" i="1"/>
  <c r="AO122" i="1"/>
  <c r="IS131" i="1" s="1"/>
  <c r="AP122" i="1"/>
  <c r="BA77" i="7"/>
  <c r="BA81" i="7"/>
  <c r="AO98" i="1"/>
  <c r="AP98" i="1"/>
  <c r="AO106" i="1"/>
  <c r="IS115" i="1" s="1"/>
  <c r="AP106" i="1"/>
  <c r="AO119" i="1"/>
  <c r="IS128" i="1" s="1"/>
  <c r="AP119" i="1"/>
  <c r="AP94" i="1"/>
  <c r="AO94" i="1"/>
  <c r="AO114" i="1"/>
  <c r="IX114" i="1" s="1"/>
  <c r="IF114" i="1" s="1"/>
  <c r="AP114" i="1"/>
  <c r="AZ101" i="7"/>
  <c r="AP123" i="1"/>
  <c r="AO123" i="1"/>
  <c r="IS132" i="1" s="1"/>
  <c r="AO108" i="1"/>
  <c r="IX108" i="1" s="1"/>
  <c r="IF108" i="1" s="1"/>
  <c r="AP108" i="1"/>
  <c r="AO133" i="1"/>
  <c r="IX133" i="1" s="1"/>
  <c r="IF133" i="1" s="1"/>
  <c r="AP133" i="1"/>
  <c r="AP93" i="1"/>
  <c r="AO93" i="1"/>
  <c r="AO104" i="1"/>
  <c r="IS113" i="1" s="1"/>
  <c r="AP104" i="1"/>
  <c r="AZ96" i="7"/>
  <c r="AO113" i="1"/>
  <c r="IX113" i="1" s="1"/>
  <c r="IF113" i="1" s="1"/>
  <c r="AP113" i="1"/>
  <c r="AO95" i="1"/>
  <c r="AP95" i="1"/>
  <c r="AO118" i="1"/>
  <c r="AP118" i="1"/>
  <c r="AO135" i="1"/>
  <c r="IX135" i="1" s="1"/>
  <c r="IF135" i="1" s="1"/>
  <c r="AP135" i="1"/>
  <c r="BA58" i="7"/>
  <c r="AZ103" i="7"/>
  <c r="AP117" i="1"/>
  <c r="AO117" i="1"/>
  <c r="AO103" i="1"/>
  <c r="IS112" i="1" s="1"/>
  <c r="AP103" i="1"/>
  <c r="AP91" i="1"/>
  <c r="AO91" i="1"/>
  <c r="IX91" i="1" s="1"/>
  <c r="IF91" i="1" s="1"/>
  <c r="AP125" i="1"/>
  <c r="AO125" i="1"/>
  <c r="IS134" i="1" s="1"/>
  <c r="AP115" i="1"/>
  <c r="AO115" i="1"/>
  <c r="IX115" i="1" s="1"/>
  <c r="IF115" i="1" s="1"/>
  <c r="AP110" i="1"/>
  <c r="AO110" i="1"/>
  <c r="IX110" i="1" s="1"/>
  <c r="IF110" i="1" s="1"/>
  <c r="AP134" i="1"/>
  <c r="AO134" i="1"/>
  <c r="IX134" i="1" s="1"/>
  <c r="IF134" i="1" s="1"/>
  <c r="AO109" i="1"/>
  <c r="IX109" i="1" s="1"/>
  <c r="IF109" i="1" s="1"/>
  <c r="AP109" i="1"/>
  <c r="BA65" i="7"/>
  <c r="BA67" i="7"/>
  <c r="AP97" i="1"/>
  <c r="AO97" i="1"/>
  <c r="AO130" i="1"/>
  <c r="IX130" i="1" s="1"/>
  <c r="IF130" i="1" s="1"/>
  <c r="AP130" i="1"/>
  <c r="AP137" i="1"/>
  <c r="AO137" i="1"/>
  <c r="AO127" i="1"/>
  <c r="AP127" i="1"/>
  <c r="AP131" i="1"/>
  <c r="AO131" i="1"/>
  <c r="IX131" i="1" s="1"/>
  <c r="IF131" i="1" s="1"/>
  <c r="AO96" i="1"/>
  <c r="AP96" i="1"/>
  <c r="BA74" i="7"/>
  <c r="BA85" i="7"/>
  <c r="BA87" i="7"/>
  <c r="AO99" i="1"/>
  <c r="IS108" i="1" s="1"/>
  <c r="AP99" i="1"/>
  <c r="AP112" i="1"/>
  <c r="AO112" i="1"/>
  <c r="IX112" i="1" s="1"/>
  <c r="IF112" i="1" s="1"/>
  <c r="AP121" i="1"/>
  <c r="AO121" i="1"/>
  <c r="IS130" i="1" s="1"/>
  <c r="AP107" i="1"/>
  <c r="AO107" i="1"/>
  <c r="AP100" i="1"/>
  <c r="AO100" i="1"/>
  <c r="IS109" i="1" s="1"/>
  <c r="AO116" i="1"/>
  <c r="AP116" i="1"/>
  <c r="BA52" i="7"/>
  <c r="AO132" i="1"/>
  <c r="IX132" i="1" s="1"/>
  <c r="IF132" i="1" s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IX129" i="1" s="1"/>
  <c r="IF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IX86" i="1" s="1"/>
  <c r="IF86" i="1" s="1"/>
  <c r="AP85" i="1"/>
  <c r="AP84" i="1"/>
  <c r="AO84" i="1"/>
  <c r="AP83" i="1"/>
  <c r="AO83" i="1"/>
  <c r="IS92" i="1" s="1"/>
  <c r="AO81" i="1"/>
  <c r="IS90" i="1" s="1"/>
  <c r="AP81" i="1"/>
  <c r="AO82" i="1"/>
  <c r="IS91" i="1" s="1"/>
  <c r="AP82" i="1"/>
  <c r="AO79" i="1"/>
  <c r="IS88" i="1" s="1"/>
  <c r="AP79" i="1"/>
  <c r="AP80" i="1"/>
  <c r="AO80" i="1"/>
  <c r="IS89" i="1" s="1"/>
  <c r="AO77" i="1"/>
  <c r="IS86" i="1" s="1"/>
  <c r="AP77" i="1"/>
  <c r="AP78" i="1"/>
  <c r="AO78" i="1"/>
  <c r="IS87" i="1" s="1"/>
  <c r="AO75" i="1"/>
  <c r="AP75" i="1"/>
  <c r="AO76" i="1"/>
  <c r="IS85" i="1" s="1"/>
  <c r="AP76" i="1"/>
  <c r="AP73" i="1"/>
  <c r="AO73" i="1"/>
  <c r="AP74" i="1"/>
  <c r="AO74" i="1"/>
  <c r="AP71" i="1"/>
  <c r="AO72" i="1"/>
  <c r="IX72" i="1" s="1"/>
  <c r="IF72" i="1" s="1"/>
  <c r="AP72" i="1"/>
  <c r="AO69" i="1"/>
  <c r="IX69" i="1" s="1"/>
  <c r="IF69" i="1" s="1"/>
  <c r="AP69" i="1"/>
  <c r="AP70" i="1"/>
  <c r="AO70" i="1"/>
  <c r="IX70" i="1" s="1"/>
  <c r="IF70" i="1" s="1"/>
  <c r="AO67" i="1"/>
  <c r="IX67" i="1" s="1"/>
  <c r="IF67" i="1" s="1"/>
  <c r="AP67" i="1"/>
  <c r="AO68" i="1"/>
  <c r="IX68" i="1" s="1"/>
  <c r="IF68" i="1" s="1"/>
  <c r="AP68" i="1"/>
  <c r="AO65" i="1"/>
  <c r="IX65" i="1" s="1"/>
  <c r="IF65" i="1" s="1"/>
  <c r="AP65" i="1"/>
  <c r="AP66" i="1"/>
  <c r="AO66" i="1"/>
  <c r="IX66" i="1" s="1"/>
  <c r="IF66" i="1" s="1"/>
  <c r="AO63" i="1"/>
  <c r="IS72" i="1" s="1"/>
  <c r="AP63" i="1"/>
  <c r="AO64" i="1"/>
  <c r="AP64" i="1"/>
  <c r="AP62" i="1"/>
  <c r="AO62" i="1"/>
  <c r="IS71" i="1" s="1"/>
  <c r="AO61" i="1"/>
  <c r="AP61" i="1"/>
  <c r="AO59" i="1"/>
  <c r="AP59" i="1"/>
  <c r="AO60" i="1"/>
  <c r="AP60" i="1"/>
  <c r="AN57" i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IX46" i="1" s="1"/>
  <c r="IF46" i="1" s="1"/>
  <c r="AP43" i="1"/>
  <c r="AO44" i="1"/>
  <c r="IX44" i="1" s="1"/>
  <c r="IF44" i="1" s="1"/>
  <c r="AP44" i="1"/>
  <c r="AO42" i="1"/>
  <c r="IX42" i="1" s="1"/>
  <c r="IF42" i="1" s="1"/>
  <c r="AP42" i="1"/>
  <c r="AP41" i="1"/>
  <c r="AO40" i="1"/>
  <c r="IS49" i="1" s="1"/>
  <c r="AP40" i="1"/>
  <c r="AO39" i="1"/>
  <c r="AP39" i="1"/>
  <c r="AP37" i="1"/>
  <c r="AO37" i="1"/>
  <c r="IS46" i="1" s="1"/>
  <c r="AO38" i="1"/>
  <c r="AP38" i="1"/>
  <c r="AP35" i="1"/>
  <c r="AO35" i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IS36" i="1" s="1"/>
  <c r="AP32" i="1"/>
  <c r="AO29" i="1"/>
  <c r="AP29" i="1"/>
  <c r="AP30" i="1"/>
  <c r="AO27" i="1"/>
  <c r="IX27" i="1" s="1"/>
  <c r="IF27" i="1" s="1"/>
  <c r="AP27" i="1"/>
  <c r="AP28" i="1"/>
  <c r="AO28" i="1"/>
  <c r="IX28" i="1" s="1"/>
  <c r="IF28" i="1" s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IS31" i="1" s="1"/>
  <c r="AP22" i="1"/>
  <c r="AO19" i="1"/>
  <c r="AP19" i="1"/>
  <c r="AP20" i="1"/>
  <c r="AO20" i="1"/>
  <c r="IS29" i="1" s="1"/>
  <c r="AO17" i="1"/>
  <c r="IX17" i="1" s="1"/>
  <c r="IF17" i="1" s="1"/>
  <c r="AP17" i="1"/>
  <c r="AO18" i="1"/>
  <c r="AP18" i="1"/>
  <c r="AP15" i="1"/>
  <c r="AO15" i="1"/>
  <c r="IS19" i="1" s="1"/>
  <c r="AO16" i="1"/>
  <c r="AP16" i="1"/>
  <c r="AO13" i="1"/>
  <c r="IS17" i="1" s="1"/>
  <c r="AP13" i="1"/>
  <c r="AO14" i="1"/>
  <c r="IS18" i="1" s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1" i="1" l="1"/>
  <c r="IF61" i="1" s="1"/>
  <c r="IS70" i="1"/>
  <c r="IX60" i="1"/>
  <c r="IF60" i="1" s="1"/>
  <c r="IS69" i="1"/>
  <c r="IX59" i="1"/>
  <c r="IF59" i="1" s="1"/>
  <c r="IS68" i="1"/>
  <c r="IS61" i="1"/>
  <c r="IS67" i="1"/>
  <c r="IT60" i="1"/>
  <c r="IT66" i="1"/>
  <c r="IS59" i="1"/>
  <c r="IS65" i="1"/>
  <c r="IF41" i="1"/>
  <c r="IS54" i="1"/>
  <c r="IX50" i="1"/>
  <c r="IF50" i="1" s="1"/>
  <c r="IF49" i="1"/>
  <c r="IS52" i="1"/>
  <c r="IX48" i="1"/>
  <c r="IF48" i="1" s="1"/>
  <c r="IS42" i="1"/>
  <c r="IS48" i="1"/>
  <c r="IT51" i="1"/>
  <c r="IY47" i="1"/>
  <c r="IF47" i="1" s="1"/>
  <c r="IS41" i="1"/>
  <c r="IS47" i="1"/>
  <c r="IX36" i="1"/>
  <c r="IF36" i="1" s="1"/>
  <c r="IS45" i="1"/>
  <c r="IX35" i="1"/>
  <c r="IF35" i="1" s="1"/>
  <c r="IS44" i="1"/>
  <c r="IS43" i="1"/>
  <c r="IS35" i="1"/>
  <c r="IX31" i="1"/>
  <c r="IF31" i="1" s="1"/>
  <c r="IF30" i="1"/>
  <c r="IS33" i="1"/>
  <c r="IX29" i="1"/>
  <c r="IF29" i="1" s="1"/>
  <c r="IX19" i="1"/>
  <c r="IF19" i="1" s="1"/>
  <c r="IS28" i="1"/>
  <c r="IX18" i="1"/>
  <c r="IF18" i="1" s="1"/>
  <c r="IS27" i="1"/>
  <c r="IS26" i="1"/>
  <c r="IS25" i="1"/>
  <c r="IS24" i="1"/>
  <c r="IX16" i="1"/>
  <c r="IF16" i="1" s="1"/>
  <c r="AS13" i="1"/>
  <c r="BA35" i="7"/>
  <c r="IS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<sst xmlns="http://schemas.openxmlformats.org/spreadsheetml/2006/main" count="704" uniqueCount="379">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</sst>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F33" sqref="F33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17.5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8.75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F30" sqref="IF3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17.5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114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7" t="s">
        <v>197</v>
      </c>
      <c r="ET2" s="1118"/>
      <c r="EU2" s="1118"/>
      <c r="EV2" s="1118"/>
      <c r="EW2" s="1118"/>
      <c r="EX2" s="1118"/>
      <c r="EY2" s="1118"/>
      <c r="EZ2" s="1118"/>
      <c r="FA2" s="1118"/>
      <c r="FB2" s="1118"/>
      <c r="FC2" s="1118"/>
      <c r="FD2" s="1118"/>
      <c r="FE2" s="1118"/>
      <c r="FF2" s="111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6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69"/>
      <c r="AX3" s="1070"/>
      <c r="AY3" s="1070"/>
      <c r="AZ3" s="1070"/>
      <c r="BA3" s="1070"/>
      <c r="BB3" s="1070"/>
      <c r="BC3" s="1070"/>
      <c r="BD3" s="1070"/>
      <c r="BE3" s="1071"/>
      <c r="BF3" s="1115"/>
      <c r="BG3" s="1070"/>
      <c r="BH3" s="1070"/>
      <c r="BI3" s="1070"/>
      <c r="BJ3" s="1070"/>
      <c r="BK3" s="1070"/>
      <c r="BL3" s="1070"/>
      <c r="BM3" s="1070"/>
      <c r="BN3" s="1070"/>
      <c r="BO3" s="1070"/>
      <c r="BP3" s="1070"/>
      <c r="BQ3" s="1070"/>
      <c r="BR3" s="1070"/>
      <c r="BS3" s="1070"/>
      <c r="BT3" s="1070"/>
      <c r="BU3" s="1070"/>
      <c r="BV3" s="1070"/>
      <c r="BW3" s="1070"/>
      <c r="BX3" s="1070"/>
      <c r="BY3" s="1070"/>
      <c r="BZ3" s="1070"/>
      <c r="CA3" s="1070"/>
      <c r="CB3" s="1070"/>
      <c r="CC3" s="1070"/>
      <c r="CD3" s="1070"/>
      <c r="CE3" s="1070"/>
      <c r="CF3" s="1070"/>
      <c r="CG3" s="1070"/>
      <c r="CH3" s="1070"/>
      <c r="CI3" s="1070"/>
      <c r="CJ3" s="1070"/>
      <c r="CK3" s="1070"/>
      <c r="CL3" s="1070"/>
      <c r="CM3" s="1070"/>
      <c r="CN3" s="1070"/>
      <c r="CO3" s="1070"/>
      <c r="CP3" s="1070"/>
      <c r="CQ3" s="1070"/>
      <c r="CR3" s="1070"/>
      <c r="CS3" s="1070"/>
      <c r="CT3" s="1070"/>
      <c r="CU3" s="1070"/>
      <c r="CV3" s="1070"/>
      <c r="CW3" s="1070"/>
      <c r="CX3" s="1070"/>
      <c r="CY3" s="1070"/>
      <c r="CZ3" s="1070"/>
      <c r="DA3" s="1070"/>
      <c r="DB3" s="1070"/>
      <c r="DC3" s="1070"/>
      <c r="DD3" s="1070"/>
      <c r="DE3" s="1070"/>
      <c r="DF3" s="1070"/>
      <c r="DG3" s="1070"/>
      <c r="DH3" s="1070"/>
      <c r="DI3" s="1070"/>
      <c r="DJ3" s="1070"/>
      <c r="DK3" s="1070"/>
      <c r="DL3" s="1070"/>
      <c r="DM3" s="1070"/>
      <c r="DN3" s="1070"/>
      <c r="DO3" s="1070"/>
      <c r="DP3" s="1070"/>
      <c r="DQ3" s="1070"/>
      <c r="DR3" s="1070"/>
      <c r="DS3" s="1070"/>
      <c r="DT3" s="1070"/>
      <c r="DU3" s="1070"/>
      <c r="DV3" s="1070"/>
      <c r="DW3" s="1070"/>
      <c r="DX3" s="1070"/>
      <c r="DY3" s="1070"/>
      <c r="DZ3" s="1070"/>
      <c r="EA3" s="1070"/>
      <c r="EB3" s="1070"/>
      <c r="EC3" s="1070"/>
      <c r="ED3" s="1070"/>
      <c r="EE3" s="1070"/>
      <c r="EF3" s="1070"/>
      <c r="EG3" s="1070"/>
      <c r="EH3" s="1070"/>
      <c r="EI3" s="1070"/>
      <c r="EJ3" s="1070"/>
      <c r="EK3" s="1070"/>
      <c r="EL3" s="1070"/>
      <c r="EM3" s="1070"/>
      <c r="EN3" s="1070"/>
      <c r="EO3" s="1070"/>
      <c r="EP3" s="1070"/>
      <c r="EQ3" s="1070"/>
      <c r="ER3" s="1116"/>
      <c r="ES3" s="1069"/>
      <c r="ET3" s="1070"/>
      <c r="EU3" s="1070"/>
      <c r="EV3" s="1070"/>
      <c r="EW3" s="1070"/>
      <c r="EX3" s="1070"/>
      <c r="EY3" s="1070"/>
      <c r="EZ3" s="1070"/>
      <c r="FA3" s="1070"/>
      <c r="FB3" s="1070"/>
      <c r="FC3" s="1070"/>
      <c r="FD3" s="1070"/>
      <c r="FE3" s="1070"/>
      <c r="FF3" s="111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1" t="s">
        <v>112</v>
      </c>
      <c r="AX4" s="1061"/>
      <c r="AY4" s="882"/>
      <c r="AZ4" s="1066"/>
      <c r="BA4" s="1067"/>
      <c r="BB4" s="1072" t="s">
        <v>113</v>
      </c>
      <c r="BC4" s="966" t="str">
        <f>$Q$4</f>
        <v>Polar XY; Cartesian Z</v>
      </c>
      <c r="BD4" s="966"/>
      <c r="BE4" s="1075"/>
      <c r="BF4" s="1089" t="s">
        <v>129</v>
      </c>
      <c r="BG4" s="1090"/>
      <c r="BH4" s="1090"/>
      <c r="BI4" s="1090"/>
      <c r="BJ4" s="1090"/>
      <c r="BK4" s="1090"/>
      <c r="BL4" s="1090"/>
      <c r="BM4" s="1090"/>
      <c r="BN4" s="1090"/>
      <c r="BO4" s="1090"/>
      <c r="BP4" s="1090"/>
      <c r="BQ4" s="1090"/>
      <c r="BR4" s="1090"/>
      <c r="BS4" s="1090"/>
      <c r="BT4" s="1090"/>
      <c r="BU4" s="1090"/>
      <c r="BV4" s="1090"/>
      <c r="BW4" s="1090"/>
      <c r="BX4" s="1090"/>
      <c r="BY4" s="1090"/>
      <c r="BZ4" s="1090"/>
      <c r="CA4" s="1090"/>
      <c r="CB4" s="1090"/>
      <c r="CC4" s="1090"/>
      <c r="CD4" s="1090"/>
      <c r="CE4" s="1090"/>
      <c r="CF4" s="1090"/>
      <c r="CG4" s="1090"/>
      <c r="CH4" s="1090"/>
      <c r="CI4" s="1090"/>
      <c r="CJ4" s="1090"/>
      <c r="CK4" s="1090"/>
      <c r="CL4" s="1090"/>
      <c r="CM4" s="1090"/>
      <c r="CN4" s="1091"/>
      <c r="CO4" s="1056" t="s">
        <v>193</v>
      </c>
      <c r="CP4" s="1057"/>
      <c r="CQ4" s="1057"/>
      <c r="CR4" s="1057"/>
      <c r="CS4" s="1057"/>
      <c r="CT4" s="1057"/>
      <c r="CU4" s="1057"/>
      <c r="CV4" s="1057"/>
      <c r="CW4" s="1057"/>
      <c r="CX4" s="1057"/>
      <c r="CY4" s="1057"/>
      <c r="CZ4" s="1057"/>
      <c r="DA4" s="1058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3" t="s">
        <v>196</v>
      </c>
      <c r="ET4" s="1134"/>
      <c r="EU4" s="1134"/>
      <c r="EV4" s="1134"/>
      <c r="EW4" s="1134"/>
      <c r="EX4" s="1134"/>
      <c r="EY4" s="1135"/>
      <c r="EZ4" s="1140" t="s">
        <v>201</v>
      </c>
      <c r="FA4" s="1141"/>
      <c r="FB4" s="1141"/>
      <c r="FC4" s="1141"/>
      <c r="FD4" s="1141"/>
      <c r="FE4" s="1141"/>
      <c r="FF4" s="1142"/>
      <c r="FG4" s="350"/>
      <c r="FP4" s="1126" t="s">
        <v>229</v>
      </c>
      <c r="FZ4" s="1126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7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1.11's θ about Z Axis</v>
      </c>
      <c r="U5" s="991"/>
      <c r="V5" s="1044"/>
      <c r="W5" s="991" t="str">
        <f>CONCATENATE("Relative to ",M8,"'s θ about Z Axis")</f>
        <v>Relative to 1.11's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2"/>
      <c r="AX5" s="1083"/>
      <c r="AY5" s="1084"/>
      <c r="AZ5" s="1068"/>
      <c r="BA5" s="863"/>
      <c r="BB5" s="1073"/>
      <c r="BC5" s="1078" t="str">
        <f>$W$5</f>
        <v>Relative to 1.11's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59" t="s">
        <v>275</v>
      </c>
      <c r="CP5" s="1059" t="s">
        <v>149</v>
      </c>
      <c r="CQ5" s="1061"/>
      <c r="CR5" s="1061"/>
      <c r="CS5" s="961"/>
      <c r="CT5" s="1061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6" t="s">
        <v>173</v>
      </c>
      <c r="DJ5" s="1106"/>
      <c r="DK5" s="1107"/>
      <c r="DL5" s="1192" t="s">
        <v>174</v>
      </c>
      <c r="DM5" s="1106"/>
      <c r="DN5" s="1193"/>
      <c r="DO5" s="1110" t="s">
        <v>175</v>
      </c>
      <c r="DP5" s="1111"/>
      <c r="DQ5" s="1111"/>
      <c r="DR5" s="1100" t="s">
        <v>187</v>
      </c>
      <c r="DS5" s="1100"/>
      <c r="DT5" s="1100"/>
      <c r="DU5" s="1100"/>
      <c r="DV5" s="1100"/>
      <c r="DW5" s="1100"/>
      <c r="DX5" s="1059" t="s">
        <v>190</v>
      </c>
      <c r="DY5" s="921" t="s">
        <v>149</v>
      </c>
      <c r="DZ5" s="1100"/>
      <c r="EA5" s="1100"/>
      <c r="EB5" s="1100"/>
      <c r="EC5" s="1100" t="s">
        <v>150</v>
      </c>
      <c r="ED5" s="1100"/>
      <c r="EE5" s="1187" t="s">
        <v>194</v>
      </c>
      <c r="EF5" s="1187"/>
      <c r="EG5" s="1188"/>
      <c r="EH5" s="1196" t="s">
        <v>195</v>
      </c>
      <c r="EI5" s="1197"/>
      <c r="EJ5" s="1198"/>
      <c r="EK5" s="1100" t="s">
        <v>188</v>
      </c>
      <c r="EL5" s="1059"/>
      <c r="EM5" s="960" t="s">
        <v>189</v>
      </c>
      <c r="EN5" s="890"/>
      <c r="EO5" s="890"/>
      <c r="EP5" s="890"/>
      <c r="EQ5" s="890"/>
      <c r="ER5" s="1096"/>
      <c r="ES5" s="1081" t="s">
        <v>202</v>
      </c>
      <c r="ET5" s="1061"/>
      <c r="EU5" s="961"/>
      <c r="EV5" s="1136" t="s">
        <v>222</v>
      </c>
      <c r="EW5" s="1137"/>
      <c r="EX5" s="1137"/>
      <c r="EY5" s="1138"/>
      <c r="EZ5" s="1128" t="s">
        <v>200</v>
      </c>
      <c r="FA5" s="956" t="s">
        <v>202</v>
      </c>
      <c r="FB5" s="1149"/>
      <c r="FC5" s="957"/>
      <c r="FD5" s="1153" t="s">
        <v>222</v>
      </c>
      <c r="FE5" s="1154"/>
      <c r="FF5" s="1155"/>
      <c r="FP5" s="1127"/>
      <c r="FQ5" s="34"/>
      <c r="FR5" s="34"/>
      <c r="FS5" s="34"/>
      <c r="FT5" s="34"/>
      <c r="FZ5" s="1127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68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79" t="s">
        <v>111</v>
      </c>
      <c r="BA6" s="1080"/>
      <c r="BB6" s="1074"/>
      <c r="BC6" s="987" t="str">
        <f>$Q$6</f>
        <v>Projected XY</v>
      </c>
      <c r="BD6" s="988"/>
      <c r="BE6" s="1076" t="str">
        <f>$S$6</f>
        <v>Z</v>
      </c>
      <c r="BF6" s="897" t="s">
        <v>125</v>
      </c>
      <c r="BG6" s="911"/>
      <c r="BH6" s="1092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2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5"/>
      <c r="CH6" s="1065"/>
      <c r="CI6" s="1099" t="s">
        <v>137</v>
      </c>
      <c r="CJ6" s="1065"/>
      <c r="CK6" s="905"/>
      <c r="CL6" s="1097" t="s">
        <v>140</v>
      </c>
      <c r="CM6" s="1065"/>
      <c r="CN6" s="1098"/>
      <c r="CO6" s="1060"/>
      <c r="CP6" s="1060"/>
      <c r="CQ6" s="1062"/>
      <c r="CR6" s="1062"/>
      <c r="CS6" s="1063"/>
      <c r="CT6" s="1062"/>
      <c r="CU6" s="1064"/>
      <c r="CV6" s="1088" t="s">
        <v>147</v>
      </c>
      <c r="CW6" s="911"/>
      <c r="CX6" s="898"/>
      <c r="CY6" s="1085" t="s">
        <v>148</v>
      </c>
      <c r="CZ6" s="1086"/>
      <c r="DA6" s="1087"/>
      <c r="DB6" s="1102" t="s">
        <v>176</v>
      </c>
      <c r="DC6" s="1103"/>
      <c r="DD6" s="1104"/>
      <c r="DE6" s="1105" t="s">
        <v>177</v>
      </c>
      <c r="DF6" s="1103"/>
      <c r="DG6" s="1104"/>
      <c r="DH6" s="260" t="s">
        <v>29</v>
      </c>
      <c r="DI6" s="1108"/>
      <c r="DJ6" s="1108"/>
      <c r="DK6" s="1109"/>
      <c r="DL6" s="1194"/>
      <c r="DM6" s="1108"/>
      <c r="DN6" s="1195"/>
      <c r="DO6" s="1112"/>
      <c r="DP6" s="1113"/>
      <c r="DQ6" s="1113"/>
      <c r="DR6" s="1101"/>
      <c r="DS6" s="1101"/>
      <c r="DT6" s="1101"/>
      <c r="DU6" s="1101"/>
      <c r="DV6" s="1101"/>
      <c r="DW6" s="1101"/>
      <c r="DX6" s="1060"/>
      <c r="DY6" s="1156"/>
      <c r="DZ6" s="1101"/>
      <c r="EA6" s="1101"/>
      <c r="EB6" s="1101"/>
      <c r="EC6" s="1101"/>
      <c r="ED6" s="1101"/>
      <c r="EE6" s="1189"/>
      <c r="EF6" s="1189"/>
      <c r="EG6" s="1190"/>
      <c r="EH6" s="1199"/>
      <c r="EI6" s="1200"/>
      <c r="EJ6" s="1201"/>
      <c r="EK6" s="1101"/>
      <c r="EL6" s="1060"/>
      <c r="EM6" s="1144" t="s">
        <v>199</v>
      </c>
      <c r="EN6" s="1094"/>
      <c r="EO6" s="1191"/>
      <c r="EP6" s="1093" t="s">
        <v>198</v>
      </c>
      <c r="EQ6" s="1094"/>
      <c r="ER6" s="1095"/>
      <c r="ES6" s="1139"/>
      <c r="ET6" s="1062"/>
      <c r="EU6" s="1063"/>
      <c r="EV6" s="281" t="s">
        <v>221</v>
      </c>
      <c r="EW6" s="1093" t="s">
        <v>202</v>
      </c>
      <c r="EX6" s="1094"/>
      <c r="EY6" s="1143"/>
      <c r="EZ6" s="1129"/>
      <c r="FA6" s="1150"/>
      <c r="FB6" s="1151"/>
      <c r="FC6" s="1152"/>
      <c r="FD6" s="1144" t="s">
        <v>202</v>
      </c>
      <c r="FE6" s="1094"/>
      <c r="FF6" s="1095"/>
      <c r="FG6" s="1146" t="s">
        <v>224</v>
      </c>
      <c r="FH6" s="1147"/>
      <c r="FI6" s="1148"/>
      <c r="FJ6" s="1100" t="s">
        <v>203</v>
      </c>
      <c r="FK6" s="1059" t="s">
        <v>214</v>
      </c>
      <c r="FL6" s="1061"/>
      <c r="FM6" s="961"/>
      <c r="FN6" s="1122" t="s">
        <v>204</v>
      </c>
      <c r="FO6" s="1131" t="s">
        <v>227</v>
      </c>
      <c r="FP6" s="112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59" t="s">
        <v>218</v>
      </c>
      <c r="FV6" s="1061"/>
      <c r="FW6" s="961"/>
      <c r="FX6" s="1122" t="s">
        <v>219</v>
      </c>
      <c r="FY6" s="1131" t="s">
        <v>227</v>
      </c>
      <c r="FZ6" s="1120" t="s">
        <v>225</v>
      </c>
      <c r="GA6" s="1124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1" t="s">
        <v>203</v>
      </c>
      <c r="GR6" s="1217"/>
      <c r="GS6" s="1167" t="s">
        <v>252</v>
      </c>
      <c r="GT6" s="1168"/>
      <c r="GU6" s="1227" t="s">
        <v>251</v>
      </c>
      <c r="GV6" s="1086"/>
      <c r="GW6" s="1086"/>
      <c r="GX6" s="368" t="s">
        <v>106</v>
      </c>
      <c r="GY6" s="908" t="s">
        <v>250</v>
      </c>
      <c r="GZ6" s="1092"/>
      <c r="HA6" s="1184" t="s">
        <v>252</v>
      </c>
      <c r="HB6" s="1103"/>
      <c r="HC6" s="1103"/>
      <c r="HD6" s="1104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4"/>
      <c r="BC7" s="40" t="str">
        <f>$Q$7</f>
        <v>&lt; θ°</v>
      </c>
      <c r="BD7" s="30" t="str">
        <f>$R$7</f>
        <v>r</v>
      </c>
      <c r="BE7" s="107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0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5"/>
      <c r="FK7" s="357" t="s">
        <v>211</v>
      </c>
      <c r="FL7" s="358" t="s">
        <v>212</v>
      </c>
      <c r="FM7" s="359" t="s">
        <v>213</v>
      </c>
      <c r="FN7" s="1123"/>
      <c r="FO7" s="1132"/>
      <c r="FP7" s="112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3"/>
      <c r="FY7" s="1132"/>
      <c r="FZ7" s="1121"/>
      <c r="GA7" s="1125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6" t="s">
        <v>246</v>
      </c>
      <c r="HL7" s="1126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-0.60950183825754412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0.34290103418951912</v>
      </c>
      <c r="D9" s="767">
        <v>-1.2058036367037683</v>
      </c>
      <c r="E9" s="768">
        <v>-0.92387953251128674</v>
      </c>
      <c r="F9" s="766">
        <v>-9.9045746569065923E-2</v>
      </c>
      <c r="G9" s="769">
        <v>0.36964381435823135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0.34290103418951912</v>
      </c>
      <c r="P9" s="25">
        <f t="shared" ref="P9:P40" si="5">IF(M9="","",D9)</f>
        <v>-1.2058036367037683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0.34290103418951912</v>
      </c>
      <c r="S9" s="23">
        <f>IF(M9="","",P9)</f>
        <v>-1.2058036367037683</v>
      </c>
      <c r="T9" s="26">
        <f>IF(M9="","",X9*COS(RADIANS(W9)))</f>
        <v>0.34290103418951912</v>
      </c>
      <c r="U9" s="20">
        <f>IF(M9="","",X9*SIN(RADIANS(W9)))</f>
        <v>0</v>
      </c>
      <c r="V9" s="28">
        <f>IF(M9="","",Y9)</f>
        <v>-1.2058036367037683</v>
      </c>
      <c r="W9" s="620">
        <f t="shared" ref="W9:W14" si="6">IF(M9="","",IF(Q9-$Q$8&lt;0,360+Q9-$Q$8,Q9-$Q$8))</f>
        <v>0</v>
      </c>
      <c r="X9" s="5">
        <f>IF(M9="","",R9)</f>
        <v>0.34290103418951912</v>
      </c>
      <c r="Y9" s="7">
        <f>IF(M9="","",S9)</f>
        <v>-1.2058036367037683</v>
      </c>
      <c r="Z9" s="24">
        <f t="shared" ref="Z9:Z40" si="7">IF(M9="","",-E9)</f>
        <v>0.92387953251128674</v>
      </c>
      <c r="AA9" s="20">
        <f t="shared" ref="AA9:AA40" si="8">IF(M9="","",-F9)</f>
        <v>9.9045746569065923E-2</v>
      </c>
      <c r="AB9" s="20">
        <f t="shared" ref="AB9:AB40" si="9">IF(M9="","",-G9)</f>
        <v>-0.36964381435823135</v>
      </c>
      <c r="AC9" s="28">
        <f>IF(M9="","",SQRT(Z9^2+AA9^2+AB9^2))</f>
        <v>1</v>
      </c>
      <c r="AD9" s="27">
        <f>IF(M9="","",Z9*(1/SQRT(Z9^2+AA9^2+AB9^2)))</f>
        <v>0.92387953251128674</v>
      </c>
      <c r="AE9" s="20">
        <f>IF(M9="","",AA9*(1/SQRT(Z9^2+AA9^2+AB9^2)))</f>
        <v>9.9045746569065923E-2</v>
      </c>
      <c r="AF9" s="25">
        <f>IF(M9="","",AB9*(1/SQRT(Z9^2+AA9^2+AB9^2)))</f>
        <v>-0.36964381435823135</v>
      </c>
      <c r="AG9" s="618">
        <f>IF(M9="","",DEGREES(ATAN2(-AF9,AE9)))</f>
        <v>14.999997834268267</v>
      </c>
      <c r="AH9" s="619">
        <f>IF(M9="","",DEGREES(ACOS(AD9)))</f>
        <v>22.5</v>
      </c>
      <c r="AI9" s="620">
        <f>IF(M9="","",DEGREES(-ACOS(-AF9)))</f>
        <v>-68.306347925759709</v>
      </c>
      <c r="AJ9" s="621">
        <f>IF(M9="","",DEGREES(ATAN2(-AE9,AD9)))</f>
        <v>96.11909976262514</v>
      </c>
      <c r="AK9" s="26">
        <f>IF(M9="","",(COS(RADIANS((90-$Q$8)-W9))*AD9)+(-SIN(RADIANS((90-$Q$8)-W9))*AE9))</f>
        <v>0.92387953251128674</v>
      </c>
      <c r="AL9" s="20">
        <f>IF(M9="","",(SIN(RADIANS((90-$Q$8)-W9))*AD9)+(COS(RADIANS((90-$Q$8)-W9))*AE9))</f>
        <v>9.9045746569065923E-2</v>
      </c>
      <c r="AM9" s="23">
        <f>IF(M9="","",AF9)</f>
        <v>-0.36964381435823135</v>
      </c>
      <c r="AN9" s="612">
        <f>IF(M9="","",DEGREES(ATAN2(-AM9,AL9)))</f>
        <v>14.999997834268267</v>
      </c>
      <c r="AO9" s="613">
        <f>IF(ROUND(IF(M9="",0,DEGREES(ACOS(AK9))),4)=90,0,IF(M9="","",DEGREES(ACOS(AK9))))</f>
        <v>22.5</v>
      </c>
      <c r="AP9" s="640">
        <f>IF(M9="","",DEGREES(ATAN2(AK9,AL9)))</f>
        <v>6.1190997626251518</v>
      </c>
      <c r="AQ9" s="641">
        <f t="shared" ref="AQ9:AQ40" si="10">IF(M9="","",DEGREES(ATAN(($AS$5*SIN(RADIANS(90)))/(($X9*2*PI())-($AS$5*COS(RADIANS(90)))))))</f>
        <v>32.261505547487474</v>
      </c>
      <c r="AS9" s="55">
        <f>IF(M9="","",W9)</f>
        <v>0</v>
      </c>
      <c r="AT9" s="76">
        <f t="shared" ref="AT9:AT40" si="11">IF(M9="","",Y9+(((AS9-$AS$9)*$AS$6)*-1))</f>
        <v>-1.2058036367037683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2.2623116197532178E-16</v>
      </c>
      <c r="C10" s="771">
        <v>1.0848032717666678</v>
      </c>
      <c r="D10" s="772">
        <v>-1.0071030374227612</v>
      </c>
      <c r="E10" s="773">
        <v>-0.96592583607220739</v>
      </c>
      <c r="F10" s="771">
        <v>-6.6987279208207198E-2</v>
      </c>
      <c r="G10" s="774">
        <v>0.24999996726497561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2.2623116197532178E-16</v>
      </c>
      <c r="O10" s="5">
        <f t="shared" si="4"/>
        <v>1.0848032717666678</v>
      </c>
      <c r="P10" s="10">
        <f t="shared" si="5"/>
        <v>-1.0071030374227612</v>
      </c>
      <c r="Q10" s="624">
        <f>IF(M10="","",IF(DEGREES(ATAN2(N10,O10))&lt;0,DEGREES(ATAN2(N10,O10))+360,IF(DEGREES(ATAN2(N10,O10))&gt;360,DEGREES(ATAN2(N10,O10))-360,DEGREES(ATAN2(N10,O10)))))</f>
        <v>89.999999999999986</v>
      </c>
      <c r="R10" s="5">
        <f t="shared" ref="R10:R105" si="83">IF(M10="","",SQRT(N10^2+O10^2))</f>
        <v>1.0848032717666678</v>
      </c>
      <c r="S10" s="6">
        <f t="shared" ref="S10:S105" si="84">IF(M10="","",P10)</f>
        <v>-1.0071030374227612</v>
      </c>
      <c r="T10" s="4">
        <f t="shared" ref="T10:T105" si="85">IF(M10="","",X10*COS(RADIANS(W10)))</f>
        <v>1.0848032717666678</v>
      </c>
      <c r="U10" s="5">
        <f t="shared" ref="U10:U105" si="86">IF(M10="","",X10*SIN(RADIANS(W10)))</f>
        <v>-2.6580901045694976E-16</v>
      </c>
      <c r="V10" s="8">
        <f>IF(M10="","",Y10)</f>
        <v>-1.0071030374227612</v>
      </c>
      <c r="W10" s="624">
        <f t="shared" si="6"/>
        <v>360</v>
      </c>
      <c r="X10" s="5">
        <f t="shared" ref="X10:X105" si="87">IF(M10="","",R10)</f>
        <v>1.0848032717666678</v>
      </c>
      <c r="Y10" s="7">
        <f>IF(M10="","",S10)</f>
        <v>-1.0071030374227612</v>
      </c>
      <c r="Z10" s="21">
        <f t="shared" si="7"/>
        <v>0.96592583607220739</v>
      </c>
      <c r="AA10" s="5">
        <f t="shared" si="8"/>
        <v>6.6987279208207198E-2</v>
      </c>
      <c r="AB10" s="5">
        <f t="shared" si="9"/>
        <v>-0.24999996726497561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6.6987279208207198E-2</v>
      </c>
      <c r="AF10" s="10">
        <f t="shared" ref="AF10:AF105" si="90">IF(M10="","",AB10*(1/SQRT(Z10^2+AA10^2+AB10^2)))</f>
        <v>-0.24999996726497561</v>
      </c>
      <c r="AG10" s="622">
        <f t="shared" ref="AG10:AG105" si="91">IF(M10="","",DEGREES(ATAN2(-AF10,AE10)))</f>
        <v>14.999997834268267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6.6987279208207434E-2</v>
      </c>
      <c r="AM10" s="6">
        <f t="shared" ref="AM10:AM105" si="96">IF(M10="","",AF10)</f>
        <v>-0.24999996726497561</v>
      </c>
      <c r="AN10" s="612">
        <f t="shared" ref="AN10:AN105" si="97">IF(M10="","",DEGREES(ATAN2(-AM10,AL10)))</f>
        <v>14.999997834268319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3.9671296450865854</v>
      </c>
      <c r="AQ10" s="625">
        <f t="shared" si="10"/>
        <v>11.284033080753039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1"/>
        <v>-1.0071030374227612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7.4698968576757196E-17</v>
      </c>
      <c r="C11" s="771">
        <v>1.8266055090422153</v>
      </c>
      <c r="D11" s="772">
        <v>-0.80830243784015254</v>
      </c>
      <c r="E11" s="773">
        <v>-0.96592583607220739</v>
      </c>
      <c r="F11" s="771">
        <v>-6.6987279208207226E-2</v>
      </c>
      <c r="G11" s="774">
        <v>0.24999996726497561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90</v>
      </c>
      <c r="M11" s="173">
        <f t="shared" si="2"/>
        <v>1.107</v>
      </c>
      <c r="N11" s="21">
        <f t="shared" si="3"/>
        <v>7.4698968576757196E-17</v>
      </c>
      <c r="O11" s="5">
        <f t="shared" si="4"/>
        <v>1.8266055090422153</v>
      </c>
      <c r="P11" s="10">
        <f t="shared" si="5"/>
        <v>-0.80830243784015254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1.8266055090422153</v>
      </c>
      <c r="S11" s="6">
        <f t="shared" si="84"/>
        <v>-0.80830243784015254</v>
      </c>
      <c r="T11" s="4">
        <f t="shared" si="85"/>
        <v>1.8266055090422153</v>
      </c>
      <c r="U11" s="5">
        <f t="shared" si="86"/>
        <v>0</v>
      </c>
      <c r="V11" s="8">
        <f t="shared" ref="V11:V105" si="117">IF(M11="","",Y11)</f>
        <v>-0.80830243784015254</v>
      </c>
      <c r="W11" s="624">
        <f t="shared" si="6"/>
        <v>0</v>
      </c>
      <c r="X11" s="5">
        <f>IF(M11="","",R11)</f>
        <v>1.8266055090422153</v>
      </c>
      <c r="Y11" s="7">
        <f>IF(M11="","",S11)</f>
        <v>-0.80830243784015254</v>
      </c>
      <c r="Z11" s="21">
        <f t="shared" si="7"/>
        <v>0.96592583607220739</v>
      </c>
      <c r="AA11" s="5">
        <f t="shared" si="8"/>
        <v>6.6987279208207226E-2</v>
      </c>
      <c r="AB11" s="5">
        <f t="shared" si="9"/>
        <v>-0.24999996726497561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6.6987279208207226E-2</v>
      </c>
      <c r="AF11" s="10">
        <f t="shared" si="90"/>
        <v>-0.24999996726497561</v>
      </c>
      <c r="AG11" s="622">
        <f>IF(M11="","",DEGREES(ATAN2(-AF11,AE11)))</f>
        <v>14.999997834268274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6.6987279208207226E-2</v>
      </c>
      <c r="AM11" s="6">
        <f t="shared" si="96"/>
        <v>-0.24999996726497561</v>
      </c>
      <c r="AN11" s="612">
        <f>IF(M11="","",DEGREES(ATAN2(-AM11,AL11)))</f>
        <v>14.999997834268274</v>
      </c>
      <c r="AO11" s="613">
        <f>IF(ROUND(IF(M11="",0,DEGREES(ACOS(AK11))),4)=90,0,IF(M11="","",DEGREES(ACOS(AK11))))</f>
        <v>14.999997834268255</v>
      </c>
      <c r="AP11" s="624">
        <f t="shared" si="99"/>
        <v>3.9671296450865725</v>
      </c>
      <c r="AQ11" s="625">
        <f t="shared" si="10"/>
        <v>6.757971988584937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-0.80830243784015254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-3.4574951169813333E-16</v>
      </c>
      <c r="C12" s="771">
        <v>2.5684077463177637</v>
      </c>
      <c r="D12" s="772">
        <v>-0.60950183825754412</v>
      </c>
      <c r="E12" s="773">
        <v>-0.96592583607220739</v>
      </c>
      <c r="F12" s="771">
        <v>-6.6987279208207226E-2</v>
      </c>
      <c r="G12" s="774">
        <v>0.24999996726497564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1.1100000000000001</v>
      </c>
      <c r="N12" s="21">
        <f t="shared" si="3"/>
        <v>-3.4574951169813333E-16</v>
      </c>
      <c r="O12" s="5">
        <f t="shared" si="4"/>
        <v>2.5684077463177637</v>
      </c>
      <c r="P12" s="10">
        <f t="shared" si="5"/>
        <v>-0.60950183825754412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2.5684077463177637</v>
      </c>
      <c r="S12" s="6">
        <f t="shared" si="84"/>
        <v>-0.60950183825754412</v>
      </c>
      <c r="T12" s="4">
        <f>IF(M12="","",X12*COS(RADIANS(W12)))</f>
        <v>2.5684077463177637</v>
      </c>
      <c r="U12" s="5">
        <f t="shared" si="86"/>
        <v>0</v>
      </c>
      <c r="V12" s="8">
        <f t="shared" si="117"/>
        <v>-0.60950183825754412</v>
      </c>
      <c r="W12" s="624">
        <f>IF(M12="","",IF(Q12-$Q$8&lt;0,360+Q12-$Q$8,Q12-$Q$8))</f>
        <v>0</v>
      </c>
      <c r="X12" s="5">
        <f t="shared" si="87"/>
        <v>2.5684077463177637</v>
      </c>
      <c r="Y12" s="7">
        <f>IF(M12="","",S12)</f>
        <v>-0.60950183825754412</v>
      </c>
      <c r="Z12" s="21">
        <f t="shared" si="7"/>
        <v>0.96592583607220739</v>
      </c>
      <c r="AA12" s="5">
        <f t="shared" si="8"/>
        <v>6.6987279208207226E-2</v>
      </c>
      <c r="AB12" s="5">
        <f t="shared" si="9"/>
        <v>-0.24999996726497564</v>
      </c>
      <c r="AC12" s="8">
        <f t="shared" si="88"/>
        <v>1</v>
      </c>
      <c r="AD12" s="9">
        <f t="shared" si="118"/>
        <v>0.96592583607220739</v>
      </c>
      <c r="AE12" s="5">
        <f t="shared" si="89"/>
        <v>6.6987279208207226E-2</v>
      </c>
      <c r="AF12" s="10">
        <f t="shared" si="90"/>
        <v>-0.24999996726497564</v>
      </c>
      <c r="AG12" s="622">
        <f t="shared" si="91"/>
        <v>14.999997834268274</v>
      </c>
      <c r="AH12" s="623">
        <f t="shared" si="92"/>
        <v>14.999997834268255</v>
      </c>
      <c r="AI12" s="624">
        <f t="shared" si="93"/>
        <v>-75.522489751159469</v>
      </c>
      <c r="AJ12" s="625">
        <f t="shared" si="94"/>
        <v>93.967129645086573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6.6987279208207226E-2</v>
      </c>
      <c r="AM12" s="6">
        <f t="shared" si="96"/>
        <v>-0.24999996726497564</v>
      </c>
      <c r="AN12" s="612">
        <f>IF(M12="","",DEGREES(ATAN2(-AM12,AL12)))</f>
        <v>14.999997834268274</v>
      </c>
      <c r="AO12" s="613">
        <f t="shared" si="98"/>
        <v>14.999997834268255</v>
      </c>
      <c r="AP12" s="624">
        <f t="shared" si="99"/>
        <v>3.9671296450865725</v>
      </c>
      <c r="AQ12" s="625">
        <f t="shared" si="10"/>
        <v>4.817178170354965</v>
      </c>
      <c r="AS12" s="56">
        <f t="shared" si="119"/>
        <v>0</v>
      </c>
      <c r="AT12" s="77">
        <f>IF(M12="","",Y12+(((AS12-$AS$9)*$AS$6)*-1))</f>
        <v>-0.60950183825754412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4.6099934893084441E-16</v>
      </c>
      <c r="C13" s="771">
        <v>3.3102099835933108</v>
      </c>
      <c r="D13" s="772">
        <v>-0.4108012389765372</v>
      </c>
      <c r="E13" s="773">
        <v>-0.96592583607220739</v>
      </c>
      <c r="F13" s="771">
        <v>-6.6987279208207226E-2</v>
      </c>
      <c r="G13" s="774">
        <v>0.24999996726497564</v>
      </c>
      <c r="H13" s="773">
        <v>0.314</v>
      </c>
      <c r="I13" s="771">
        <v>0.52</v>
      </c>
      <c r="J13" s="601">
        <v>1.1160000000000001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10</v>
      </c>
      <c r="M13" s="173">
        <f t="shared" si="2"/>
        <v>1.1160000000000001</v>
      </c>
      <c r="N13" s="21">
        <f t="shared" si="3"/>
        <v>4.6099934893084441E-16</v>
      </c>
      <c r="O13" s="5">
        <f t="shared" si="4"/>
        <v>3.3102099835933108</v>
      </c>
      <c r="P13" s="10">
        <f t="shared" si="5"/>
        <v>-0.4108012389765372</v>
      </c>
      <c r="Q13" s="624">
        <f t="shared" si="116"/>
        <v>90</v>
      </c>
      <c r="R13" s="5">
        <f t="shared" si="83"/>
        <v>3.3102099835933108</v>
      </c>
      <c r="S13" s="6">
        <f t="shared" si="84"/>
        <v>-0.4108012389765372</v>
      </c>
      <c r="T13" s="4">
        <f>IF(M13="","",X13*COS(RADIANS(W13)))</f>
        <v>3.3102099835933108</v>
      </c>
      <c r="U13" s="5">
        <f t="shared" si="86"/>
        <v>0</v>
      </c>
      <c r="V13" s="8">
        <f t="shared" si="117"/>
        <v>-0.4108012389765372</v>
      </c>
      <c r="W13" s="624">
        <f t="shared" si="6"/>
        <v>0</v>
      </c>
      <c r="X13" s="5">
        <f t="shared" si="87"/>
        <v>3.3102099835933108</v>
      </c>
      <c r="Y13" s="7">
        <f>IF(M13="","",S13)</f>
        <v>-0.4108012389765372</v>
      </c>
      <c r="Z13" s="21">
        <f t="shared" si="7"/>
        <v>0.96592583607220739</v>
      </c>
      <c r="AA13" s="5">
        <f t="shared" si="8"/>
        <v>6.6987279208207226E-2</v>
      </c>
      <c r="AB13" s="5">
        <f t="shared" si="9"/>
        <v>-0.24999996726497564</v>
      </c>
      <c r="AC13" s="8">
        <f t="shared" si="88"/>
        <v>1</v>
      </c>
      <c r="AD13" s="9">
        <f>IF(M13="","",Z13*(1/SQRT(Z13^2+AA13^2+AB13^2)))</f>
        <v>0.96592583607220739</v>
      </c>
      <c r="AE13" s="5">
        <f t="shared" si="89"/>
        <v>6.6987279208207226E-2</v>
      </c>
      <c r="AF13" s="10">
        <f t="shared" si="90"/>
        <v>-0.24999996726497564</v>
      </c>
      <c r="AG13" s="622">
        <f>IF(M13="","",DEGREES(ATAN2(-AF13,AE13)))</f>
        <v>14.999997834268274</v>
      </c>
      <c r="AH13" s="623">
        <f t="shared" si="92"/>
        <v>14.999997834268255</v>
      </c>
      <c r="AI13" s="624">
        <f t="shared" si="93"/>
        <v>-75.522489751159469</v>
      </c>
      <c r="AJ13" s="625">
        <f t="shared" si="94"/>
        <v>93.967129645086573</v>
      </c>
      <c r="AK13" s="4">
        <f t="shared" si="213"/>
        <v>0.96592583607220739</v>
      </c>
      <c r="AL13" s="5">
        <f t="shared" si="95"/>
        <v>6.6987279208207226E-2</v>
      </c>
      <c r="AM13" s="6">
        <f t="shared" si="96"/>
        <v>-0.24999996726497564</v>
      </c>
      <c r="AN13" s="612">
        <f t="shared" si="97"/>
        <v>14.999997834268274</v>
      </c>
      <c r="AO13" s="613">
        <f t="shared" si="98"/>
        <v>14.999997834268255</v>
      </c>
      <c r="AP13" s="624">
        <f t="shared" si="99"/>
        <v>3.9671296450865725</v>
      </c>
      <c r="AQ13" s="625">
        <f t="shared" si="10"/>
        <v>3.7411773937992354</v>
      </c>
      <c r="AS13" s="56">
        <f t="shared" si="119"/>
        <v>0</v>
      </c>
      <c r="AT13" s="77">
        <f t="shared" si="11"/>
        <v>-0.4108012389765372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-3.1160141177733001E-16</v>
      </c>
      <c r="C14" s="771">
        <v>4.0521122211704599</v>
      </c>
      <c r="D14" s="772">
        <v>-0.21200063939392838</v>
      </c>
      <c r="E14" s="773">
        <v>-0.96592583607220739</v>
      </c>
      <c r="F14" s="771">
        <v>-6.6987279208207226E-2</v>
      </c>
      <c r="G14" s="774">
        <v>0.24999996726497564</v>
      </c>
      <c r="H14" s="773">
        <v>0.314</v>
      </c>
      <c r="I14" s="771">
        <v>0.52</v>
      </c>
      <c r="J14" s="601">
        <v>1.1220000000000001</v>
      </c>
      <c r="K14" s="426" t="str">
        <f t="shared" si="225"/>
        <v>1613</v>
      </c>
      <c r="L14" s="327"/>
      <c r="M14" s="173">
        <f t="shared" si="2"/>
        <v>1.1220000000000001</v>
      </c>
      <c r="N14" s="21">
        <f t="shared" si="3"/>
        <v>-3.1160141177733001E-16</v>
      </c>
      <c r="O14" s="5">
        <f t="shared" si="4"/>
        <v>4.0521122211704599</v>
      </c>
      <c r="P14" s="10">
        <f t="shared" si="5"/>
        <v>-0.21200063939392838</v>
      </c>
      <c r="Q14" s="624">
        <f t="shared" si="116"/>
        <v>90</v>
      </c>
      <c r="R14" s="5">
        <f t="shared" si="83"/>
        <v>4.0521122211704599</v>
      </c>
      <c r="S14" s="6">
        <f t="shared" si="84"/>
        <v>-0.21200063939392838</v>
      </c>
      <c r="T14" s="4">
        <f t="shared" si="85"/>
        <v>4.0521122211704599</v>
      </c>
      <c r="U14" s="5">
        <f t="shared" si="86"/>
        <v>0</v>
      </c>
      <c r="V14" s="8">
        <f t="shared" si="117"/>
        <v>-0.21200063939392838</v>
      </c>
      <c r="W14" s="624">
        <f t="shared" si="6"/>
        <v>0</v>
      </c>
      <c r="X14" s="5">
        <f t="shared" si="87"/>
        <v>4.0521122211704599</v>
      </c>
      <c r="Y14" s="7">
        <f t="shared" ref="Y14:Y75" si="226">IF(M14="","",S14)</f>
        <v>-0.21200063939392838</v>
      </c>
      <c r="Z14" s="21">
        <f t="shared" si="7"/>
        <v>0.96592583607220739</v>
      </c>
      <c r="AA14" s="5">
        <f t="shared" si="8"/>
        <v>6.6987279208207226E-2</v>
      </c>
      <c r="AB14" s="5">
        <f t="shared" si="9"/>
        <v>-0.24999996726497564</v>
      </c>
      <c r="AC14" s="8">
        <f t="shared" si="88"/>
        <v>1</v>
      </c>
      <c r="AD14" s="9">
        <f>IF(M14="","",Z14*(1/SQRT(Z14^2+AA14^2+AB14^2)))</f>
        <v>0.96592583607220739</v>
      </c>
      <c r="AE14" s="5">
        <f t="shared" si="89"/>
        <v>6.6987279208207226E-2</v>
      </c>
      <c r="AF14" s="10">
        <f t="shared" si="90"/>
        <v>-0.24999996726497564</v>
      </c>
      <c r="AG14" s="622">
        <f t="shared" si="91"/>
        <v>14.999997834268274</v>
      </c>
      <c r="AH14" s="623">
        <f t="shared" si="92"/>
        <v>14.999997834268255</v>
      </c>
      <c r="AI14" s="624">
        <f t="shared" si="93"/>
        <v>-75.522489751159469</v>
      </c>
      <c r="AJ14" s="625">
        <f t="shared" si="94"/>
        <v>93.967129645086573</v>
      </c>
      <c r="AK14" s="4">
        <f>IF(M14="","",(COS(RADIANS((90-$Q$8)-W14))*AD14)+(-SIN(RADIANS((90-$Q$8)-W14))*AE14))</f>
        <v>0.96592583607220739</v>
      </c>
      <c r="AL14" s="5">
        <f t="shared" si="95"/>
        <v>6.6987279208207226E-2</v>
      </c>
      <c r="AM14" s="6">
        <f t="shared" si="96"/>
        <v>-0.24999996726497564</v>
      </c>
      <c r="AN14" s="612">
        <f t="shared" si="97"/>
        <v>14.999997834268274</v>
      </c>
      <c r="AO14" s="613">
        <f t="shared" si="98"/>
        <v>14.999997834268255</v>
      </c>
      <c r="AP14" s="624">
        <f>IF(M14="","",DEGREES(ATAN2(AK14,AL14)))</f>
        <v>3.9671296450865725</v>
      </c>
      <c r="AQ14" s="625">
        <f t="shared" si="10"/>
        <v>3.057649165626612</v>
      </c>
      <c r="AS14" s="56">
        <f t="shared" si="119"/>
        <v>0</v>
      </c>
      <c r="AT14" s="77">
        <f t="shared" si="11"/>
        <v>-0.21200063939392838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2.9029814780625614E-2</v>
      </c>
      <c r="C15" s="771">
        <v>4.8071268451133013</v>
      </c>
      <c r="D15" s="772">
        <v>-5.5700167991706996E-2</v>
      </c>
      <c r="E15" s="773">
        <v>-0.96435454875286175</v>
      </c>
      <c r="F15" s="771">
        <v>4.8550554386698169E-2</v>
      </c>
      <c r="G15" s="774">
        <v>0.26012141005386064</v>
      </c>
      <c r="H15" s="773">
        <v>0.314</v>
      </c>
      <c r="I15" s="771">
        <v>0.52</v>
      </c>
      <c r="J15" s="601">
        <v>1.1279999999999999</v>
      </c>
      <c r="K15" s="426" t="str">
        <f t="shared" si="225"/>
        <v>1613</v>
      </c>
      <c r="L15" s="327"/>
      <c r="M15" s="173">
        <f t="shared" si="2"/>
        <v>1.1279999999999999</v>
      </c>
      <c r="N15" s="21">
        <f t="shared" si="3"/>
        <v>2.9029814780625614E-2</v>
      </c>
      <c r="O15" s="5">
        <f t="shared" si="4"/>
        <v>4.8071268451133013</v>
      </c>
      <c r="P15" s="10">
        <f t="shared" si="5"/>
        <v>-5.5700167991706996E-2</v>
      </c>
      <c r="Q15" s="624">
        <f t="shared" si="116"/>
        <v>89.654000049956196</v>
      </c>
      <c r="R15" s="5">
        <f t="shared" si="83"/>
        <v>4.8072144985589276</v>
      </c>
      <c r="S15" s="6">
        <f t="shared" si="84"/>
        <v>-5.5700167991706996E-2</v>
      </c>
      <c r="T15" s="4">
        <f t="shared" si="85"/>
        <v>4.8071268451133013</v>
      </c>
      <c r="U15" s="5">
        <f t="shared" si="86"/>
        <v>-2.9029814780626956E-2</v>
      </c>
      <c r="V15" s="8">
        <f t="shared" si="117"/>
        <v>-5.5700167991706996E-2</v>
      </c>
      <c r="W15" s="624">
        <f t="shared" ref="W15:W78" si="227">IF(M15="","",IF(Q15-$Q$8&lt;0,360+Q15-$Q$8,Q15-$Q$8))</f>
        <v>359.65400004995621</v>
      </c>
      <c r="X15" s="5">
        <f>IF(M15="","",R15)</f>
        <v>4.8072144985589276</v>
      </c>
      <c r="Y15" s="7">
        <f>IF(M15="","",S15)</f>
        <v>-5.5700167991706996E-2</v>
      </c>
      <c r="Z15" s="21">
        <f t="shared" si="7"/>
        <v>0.96435454875286175</v>
      </c>
      <c r="AA15" s="5">
        <f t="shared" si="8"/>
        <v>-4.8550554386698169E-2</v>
      </c>
      <c r="AB15" s="5">
        <f t="shared" si="9"/>
        <v>-0.26012141005386064</v>
      </c>
      <c r="AC15" s="8">
        <f t="shared" si="88"/>
        <v>1</v>
      </c>
      <c r="AD15" s="9">
        <f t="shared" si="118"/>
        <v>0.96435454875286175</v>
      </c>
      <c r="AE15" s="5">
        <f t="shared" si="89"/>
        <v>-4.8550554386698169E-2</v>
      </c>
      <c r="AF15" s="10">
        <f t="shared" si="90"/>
        <v>-0.26012141005386064</v>
      </c>
      <c r="AG15" s="622">
        <f t="shared" si="91"/>
        <v>-10.572365056990577</v>
      </c>
      <c r="AH15" s="623">
        <f t="shared" si="92"/>
        <v>15.34398816702971</v>
      </c>
      <c r="AI15" s="624">
        <f t="shared" si="93"/>
        <v>-74.922733692540149</v>
      </c>
      <c r="AJ15" s="625">
        <f t="shared" si="94"/>
        <v>87.117869978404556</v>
      </c>
      <c r="AK15" s="4">
        <f t="shared" si="213"/>
        <v>0.96463015214079806</v>
      </c>
      <c r="AL15" s="5">
        <f t="shared" si="95"/>
        <v>-4.2726123301935232E-2</v>
      </c>
      <c r="AM15" s="6">
        <f t="shared" si="96"/>
        <v>-0.26012141005386064</v>
      </c>
      <c r="AN15" s="612">
        <f>IF(M15="","",DEGREES(ATAN2(-AM15,AL15)))</f>
        <v>-9.3278005807824265</v>
      </c>
      <c r="AO15" s="613">
        <f t="shared" si="98"/>
        <v>15.284199088661236</v>
      </c>
      <c r="AP15" s="624">
        <f t="shared" si="99"/>
        <v>-2.5361300715516246</v>
      </c>
      <c r="AQ15" s="625">
        <f t="shared" si="10"/>
        <v>2.5780713852740491</v>
      </c>
      <c r="AS15" s="56">
        <f t="shared" si="119"/>
        <v>-0.34599995004379025</v>
      </c>
      <c r="AT15" s="77">
        <f t="shared" si="11"/>
        <v>-5.4393057069319344E-2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8.2990769133436643E-2</v>
      </c>
      <c r="C16" s="771">
        <v>5.5805997767840969</v>
      </c>
      <c r="D16" s="772">
        <v>-7.3200220771865721E-2</v>
      </c>
      <c r="E16" s="773">
        <v>-0.96040332432878683</v>
      </c>
      <c r="F16" s="771">
        <v>0.1291663454032993</v>
      </c>
      <c r="G16" s="774">
        <v>0.24686334242525923</v>
      </c>
      <c r="H16" s="773">
        <v>0.314</v>
      </c>
      <c r="I16" s="771">
        <v>0.52</v>
      </c>
      <c r="J16" s="601">
        <v>1.1339999999999999</v>
      </c>
      <c r="K16" s="426" t="str">
        <f t="shared" si="225"/>
        <v>1613</v>
      </c>
      <c r="L16" s="327"/>
      <c r="M16" s="173">
        <f t="shared" si="2"/>
        <v>1.1339999999999999</v>
      </c>
      <c r="N16" s="21">
        <f t="shared" si="3"/>
        <v>8.2990769133436643E-2</v>
      </c>
      <c r="O16" s="5">
        <f t="shared" si="4"/>
        <v>5.5805997767840969</v>
      </c>
      <c r="P16" s="10">
        <f t="shared" si="5"/>
        <v>-7.3200220771865721E-2</v>
      </c>
      <c r="Q16" s="624">
        <f>IF(M16="","",IF(DEGREES(ATAN2(N16,O16))&lt;0,DEGREES(ATAN2(N16,O16))+360,IF(DEGREES(ATAN2(N16,O16))&gt;360,DEGREES(ATAN2(N16,O16))-360,DEGREES(ATAN2(N16,O16)))))</f>
        <v>89.148000123013574</v>
      </c>
      <c r="R16" s="5">
        <f t="shared" si="83"/>
        <v>5.5812168329499681</v>
      </c>
      <c r="S16" s="6">
        <f t="shared" si="84"/>
        <v>-7.3200220771865721E-2</v>
      </c>
      <c r="T16" s="4">
        <f t="shared" si="85"/>
        <v>5.5805997767840969</v>
      </c>
      <c r="U16" s="5">
        <f t="shared" si="86"/>
        <v>-8.2990769133438627E-2</v>
      </c>
      <c r="V16" s="8">
        <f t="shared" si="117"/>
        <v>-7.3200220771865721E-2</v>
      </c>
      <c r="W16" s="624">
        <f>IF(M16="","",IF(Q16-$Q$8&lt;0,360+Q16-$Q$8,Q16-$Q$8))</f>
        <v>359.14800012301356</v>
      </c>
      <c r="X16" s="5">
        <f t="shared" si="87"/>
        <v>5.5812168329499681</v>
      </c>
      <c r="Y16" s="7">
        <f t="shared" si="226"/>
        <v>-7.3200220771865721E-2</v>
      </c>
      <c r="Z16" s="21">
        <f t="shared" si="7"/>
        <v>0.96040332432878683</v>
      </c>
      <c r="AA16" s="5">
        <f t="shared" si="8"/>
        <v>-0.1291663454032993</v>
      </c>
      <c r="AB16" s="5">
        <f t="shared" si="9"/>
        <v>-0.24686334242525923</v>
      </c>
      <c r="AC16" s="8">
        <f t="shared" si="88"/>
        <v>1</v>
      </c>
      <c r="AD16" s="9">
        <f t="shared" si="118"/>
        <v>0.96040332432878683</v>
      </c>
      <c r="AE16" s="5">
        <f t="shared" si="89"/>
        <v>-0.1291663454032993</v>
      </c>
      <c r="AF16" s="10">
        <f t="shared" si="90"/>
        <v>-0.24686334242525923</v>
      </c>
      <c r="AG16" s="622">
        <f t="shared" si="91"/>
        <v>-27.619920910880243</v>
      </c>
      <c r="AH16" s="623">
        <f t="shared" si="92"/>
        <v>16.177468505695675</v>
      </c>
      <c r="AI16" s="624">
        <f t="shared" si="93"/>
        <v>-75.70802174466661</v>
      </c>
      <c r="AJ16" s="625">
        <f t="shared" si="94"/>
        <v>82.340152245482258</v>
      </c>
      <c r="AK16" s="4">
        <f t="shared" si="213"/>
        <v>0.96221780168404536</v>
      </c>
      <c r="AL16" s="5">
        <f t="shared" si="95"/>
        <v>-0.11487119869206837</v>
      </c>
      <c r="AM16" s="6">
        <f t="shared" si="96"/>
        <v>-0.24686334242525923</v>
      </c>
      <c r="AN16" s="612">
        <f t="shared" si="97"/>
        <v>-24.953643602990592</v>
      </c>
      <c r="AO16" s="613">
        <f t="shared" si="98"/>
        <v>15.80004036983588</v>
      </c>
      <c r="AP16" s="624">
        <f t="shared" si="99"/>
        <v>-6.8078478775312927</v>
      </c>
      <c r="AQ16" s="625">
        <f t="shared" si="10"/>
        <v>2.2209316146223861</v>
      </c>
      <c r="AS16" s="56">
        <f t="shared" si="119"/>
        <v>-0.85199987698644009</v>
      </c>
      <c r="AT16" s="77">
        <f t="shared" si="11"/>
        <v>-6.9981554569916948E-2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1.1339999999999999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0.1599064868640355</v>
      </c>
      <c r="C17" s="771">
        <v>6.3128941437674895</v>
      </c>
      <c r="D17" s="772">
        <v>-0.26220079079758485</v>
      </c>
      <c r="E17" s="773">
        <v>-0.9537921404105234</v>
      </c>
      <c r="F17" s="771">
        <v>0.20910799683085315</v>
      </c>
      <c r="G17" s="774">
        <v>0.21576468328366549</v>
      </c>
      <c r="H17" s="773">
        <v>0.314</v>
      </c>
      <c r="I17" s="771">
        <v>0.52</v>
      </c>
      <c r="J17" s="601">
        <v>1.1399999999999999</v>
      </c>
      <c r="K17" s="426" t="str">
        <f t="shared" si="225"/>
        <v>1613</v>
      </c>
      <c r="L17" s="861" t="s">
        <v>332</v>
      </c>
      <c r="M17" s="173">
        <f t="shared" si="2"/>
        <v>1.1399999999999999</v>
      </c>
      <c r="N17" s="21">
        <f t="shared" si="3"/>
        <v>0.1599064868640355</v>
      </c>
      <c r="O17" s="5">
        <f t="shared" si="4"/>
        <v>6.3128941437674895</v>
      </c>
      <c r="P17" s="10">
        <f t="shared" si="5"/>
        <v>-0.26220079079758485</v>
      </c>
      <c r="Q17" s="624">
        <f>IF(M17="","",IF(DEGREES(ATAN2(N17,O17))&lt;0,DEGREES(ATAN2(N17,O17))+360,IF(DEGREES(ATAN2(N17,O17))&gt;360,DEGREES(ATAN2(N17,O17))-360,DEGREES(ATAN2(N17,O17)))))</f>
        <v>88.549000209498459</v>
      </c>
      <c r="R17" s="5">
        <f>IF(M17="","",SQRT(N17^2+O17^2))</f>
        <v>6.3149190457958415</v>
      </c>
      <c r="S17" s="6">
        <f>IF(M17="","",P17)</f>
        <v>-0.26220079079758485</v>
      </c>
      <c r="T17" s="4">
        <f>IF(M17="","",X17*COS(RADIANS(W17)))</f>
        <v>6.3128941437674895</v>
      </c>
      <c r="U17" s="5">
        <f>IF(M17="","",X17*SIN(RADIANS(W17)))</f>
        <v>-0.15990648686403611</v>
      </c>
      <c r="V17" s="8">
        <f>IF(M17="","",Y17)</f>
        <v>-0.26220079079758485</v>
      </c>
      <c r="W17" s="624">
        <f t="shared" si="227"/>
        <v>358.54900020949844</v>
      </c>
      <c r="X17" s="5">
        <f>IF(M17="","",R17)</f>
        <v>6.3149190457958415</v>
      </c>
      <c r="Y17" s="7">
        <f t="shared" si="226"/>
        <v>-0.26220079079758485</v>
      </c>
      <c r="Z17" s="21">
        <f t="shared" si="7"/>
        <v>0.9537921404105234</v>
      </c>
      <c r="AA17" s="5">
        <f t="shared" si="8"/>
        <v>-0.20910799683085315</v>
      </c>
      <c r="AB17" s="5">
        <f t="shared" si="9"/>
        <v>-0.21576468328366549</v>
      </c>
      <c r="AC17" s="8">
        <f>IF(M17="","",SQRT(Z17^2+AA17^2+AB17^2))</f>
        <v>1</v>
      </c>
      <c r="AD17" s="9">
        <f>IF(M17="","",Z17*(1/SQRT(Z17^2+AA17^2+AB17^2)))</f>
        <v>0.9537921404105234</v>
      </c>
      <c r="AE17" s="5">
        <f>IF(M17="","",AA17*(1/SQRT(Z17^2+AA17^2+AB17^2)))</f>
        <v>-0.20910799683085315</v>
      </c>
      <c r="AF17" s="10">
        <f>IF(M17="","",AB17*(1/SQRT(Z17^2+AA17^2+AB17^2)))</f>
        <v>-0.21576468328366549</v>
      </c>
      <c r="AG17" s="622">
        <f>IF(M17="","",DEGREES(ATAN2(-AF17,AE17)))</f>
        <v>-44.102392659499287</v>
      </c>
      <c r="AH17" s="623">
        <f>IF(M17="","",DEGREES(ACOS(AD17)))</f>
        <v>17.485667852284102</v>
      </c>
      <c r="AI17" s="624">
        <f>IF(M17="","",DEGREES(-ACOS(-AF17)))</f>
        <v>-77.539606551550762</v>
      </c>
      <c r="AJ17" s="625">
        <f>IF(M17="","",DEGREES(ATAN2(-AE17,AD17)))</f>
        <v>77.634202398499696</v>
      </c>
      <c r="AK17" s="4">
        <f>IF(M17="","",(COS(RADIANS((90-$Q$8)-W17))*AD17)+(-SIN(RADIANS((90-$Q$8)-W17))*AE17))</f>
        <v>0.95878133968293999</v>
      </c>
      <c r="AL17" s="5">
        <f>IF(M17="","",(SIN(RADIANS((90-$Q$8)-W17))*AD17)+(COS(RADIANS((90-$Q$8)-W17))*AE17))</f>
        <v>-0.18488900487396906</v>
      </c>
      <c r="AM17" s="6">
        <f>IF(M17="","",AF17)</f>
        <v>-0.21576468328366549</v>
      </c>
      <c r="AN17" s="612">
        <f>IF(M17="","",DEGREES(ATAN2(-AM17,AL17)))</f>
        <v>-40.593310210763079</v>
      </c>
      <c r="AO17" s="613">
        <f t="shared" si="98"/>
        <v>16.507743878456377</v>
      </c>
      <c r="AP17" s="624">
        <f>IF(M17="","",DEGREES(ATAN2(AK17,AL17)))</f>
        <v>-10.914797810998753</v>
      </c>
      <c r="AQ17" s="625">
        <f t="shared" si="10"/>
        <v>1.9631066511231496</v>
      </c>
      <c r="AS17" s="56">
        <f t="shared" si="119"/>
        <v>-1.4509997905015553</v>
      </c>
      <c r="AT17" s="77">
        <f t="shared" si="11"/>
        <v>-0.25671923603346786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1.1399999999999999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0.25315024431143857</v>
      </c>
      <c r="C18" s="771">
        <v>6.9870365945944091</v>
      </c>
      <c r="D18" s="772">
        <v>-0.61030184067035176</v>
      </c>
      <c r="E18" s="773">
        <v>-0.92970672149467037</v>
      </c>
      <c r="F18" s="771">
        <v>0.29896494126418371</v>
      </c>
      <c r="G18" s="774">
        <v>0.2150938769526799</v>
      </c>
      <c r="H18" s="773">
        <v>0.314</v>
      </c>
      <c r="I18" s="771">
        <v>0.52</v>
      </c>
      <c r="J18" s="601">
        <v>1.1459999999999999</v>
      </c>
      <c r="K18" s="426" t="str">
        <f t="shared" si="225"/>
        <v>1613</v>
      </c>
      <c r="L18" s="857" t="s">
        <v>376</v>
      </c>
      <c r="M18" s="173">
        <f t="shared" si="2"/>
        <v>1.1459999999999999</v>
      </c>
      <c r="N18" s="21">
        <f t="shared" si="3"/>
        <v>0.25315024431143857</v>
      </c>
      <c r="O18" s="5">
        <f t="shared" si="4"/>
        <v>6.9870365945944091</v>
      </c>
      <c r="P18" s="10">
        <f t="shared" si="5"/>
        <v>-0.61030184067035176</v>
      </c>
      <c r="Q18" s="624">
        <f t="shared" si="116"/>
        <v>87.925000299592895</v>
      </c>
      <c r="R18" s="5">
        <f>IF(M18="","",SQRT(N18^2+O18^2))</f>
        <v>6.9916210867291984</v>
      </c>
      <c r="S18" s="6">
        <f>IF(M18="","",P18)</f>
        <v>-0.61030184067035176</v>
      </c>
      <c r="T18" s="4">
        <f>IF(M18="","",X18*COS(RADIANS(W18)))</f>
        <v>6.9870365945944091</v>
      </c>
      <c r="U18" s="5">
        <f>IF(M18="","",X18*SIN(RADIANS(W18)))</f>
        <v>-0.25315024431143485</v>
      </c>
      <c r="V18" s="8">
        <f>IF(M18="","",Y18)</f>
        <v>-0.61030184067035176</v>
      </c>
      <c r="W18" s="624">
        <f t="shared" si="227"/>
        <v>357.92500029959291</v>
      </c>
      <c r="X18" s="5">
        <f>IF(M18="","",R18)</f>
        <v>6.9916210867291984</v>
      </c>
      <c r="Y18" s="7">
        <f t="shared" si="226"/>
        <v>-0.61030184067035176</v>
      </c>
      <c r="Z18" s="21">
        <f t="shared" si="7"/>
        <v>0.92970672149467037</v>
      </c>
      <c r="AA18" s="5">
        <f t="shared" si="8"/>
        <v>-0.29896494126418371</v>
      </c>
      <c r="AB18" s="5">
        <f t="shared" si="9"/>
        <v>-0.2150938769526799</v>
      </c>
      <c r="AC18" s="8">
        <f>IF(M18="","",SQRT(Z18^2+AA18^2+AB18^2))</f>
        <v>1</v>
      </c>
      <c r="AD18" s="9">
        <f>IF(M18="","",Z18*(1/SQRT(Z18^2+AA18^2+AB18^2)))</f>
        <v>0.92970672149467037</v>
      </c>
      <c r="AE18" s="5">
        <f>IF(M18="","",AA18*(1/SQRT(Z18^2+AA18^2+AB18^2)))</f>
        <v>-0.29896494126418371</v>
      </c>
      <c r="AF18" s="10">
        <f>IF(M18="","",AB18*(1/SQRT(Z18^2+AA18^2+AB18^2)))</f>
        <v>-0.2150938769526799</v>
      </c>
      <c r="AG18" s="622">
        <f>IF(M18="","",DEGREES(ATAN2(-AF18,AE18)))</f>
        <v>-54.266423735546979</v>
      </c>
      <c r="AH18" s="623">
        <f>IF(M18="","",DEGREES(ACOS(AD18)))</f>
        <v>21.610855698494554</v>
      </c>
      <c r="AI18" s="624">
        <f>IF(M18="","",DEGREES(-ACOS(-AF18)))</f>
        <v>-77.578965084269214</v>
      </c>
      <c r="AJ18" s="625">
        <f>IF(M18="","",DEGREES(ATAN2(-AE18,AD18)))</f>
        <v>72.173814358181232</v>
      </c>
      <c r="AK18" s="4">
        <f>IF(M18="","",(COS(RADIANS((90-$Q$8)-W18))*AD18)+(-SIN(RADIANS((90-$Q$8)-W18))*AE18))</f>
        <v>0.93992192250217244</v>
      </c>
      <c r="AL18" s="5">
        <f>IF(M18="","",(SIN(RADIANS((90-$Q$8)-W18))*AD18)+(COS(RADIANS((90-$Q$8)-W18))*AE18))</f>
        <v>-0.26510640070976321</v>
      </c>
      <c r="AM18" s="6">
        <f>IF(M18="","",AF18)</f>
        <v>-0.2150938769526799</v>
      </c>
      <c r="AN18" s="612">
        <f>IF(M18="","",DEGREES(ATAN2(-AM18,AL18)))</f>
        <v>-50.945878811977309</v>
      </c>
      <c r="AO18" s="613">
        <f t="shared" si="98"/>
        <v>19.961551551034859</v>
      </c>
      <c r="AP18" s="624">
        <f>IF(M18="","",DEGREES(ATAN2(AK18,AL18)))</f>
        <v>-15.751185941411704</v>
      </c>
      <c r="AQ18" s="625">
        <f t="shared" si="10"/>
        <v>1.7732301172439557</v>
      </c>
      <c r="AS18" s="56">
        <f t="shared" si="119"/>
        <v>-2.0749997004070906</v>
      </c>
      <c r="AT18" s="77">
        <f t="shared" si="11"/>
        <v>-0.60246295291325835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1.1459999999999999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0.35003032877963391</v>
      </c>
      <c r="C19" s="771">
        <v>7.5626267253901522</v>
      </c>
      <c r="D19" s="772">
        <v>-1.0986033133875923</v>
      </c>
      <c r="E19" s="773">
        <v>-0.89490351737967855</v>
      </c>
      <c r="F19" s="771">
        <v>0.39427532892141687</v>
      </c>
      <c r="G19" s="774">
        <v>0.20903267587960514</v>
      </c>
      <c r="H19" s="773">
        <v>0.314</v>
      </c>
      <c r="I19" s="771">
        <v>0.52</v>
      </c>
      <c r="J19" s="601">
        <v>1.1519999999999999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90</v>
      </c>
      <c r="M19" s="173">
        <f t="shared" si="2"/>
        <v>1.1519999999999999</v>
      </c>
      <c r="N19" s="21">
        <f t="shared" si="3"/>
        <v>0.35003032877963391</v>
      </c>
      <c r="O19" s="5">
        <f t="shared" si="4"/>
        <v>7.5626267253901522</v>
      </c>
      <c r="P19" s="10">
        <f t="shared" si="5"/>
        <v>-1.0986033133875923</v>
      </c>
      <c r="Q19" s="624">
        <f t="shared" si="116"/>
        <v>87.350000382612606</v>
      </c>
      <c r="R19" s="5">
        <f>IF(M19="","",SQRT(N19^2+O19^2))</f>
        <v>7.5707228333000645</v>
      </c>
      <c r="S19" s="6">
        <f>IF(M19="","",P19)</f>
        <v>-1.0986033133875923</v>
      </c>
      <c r="T19" s="4">
        <f>IF(M19="","",X19*COS(RADIANS(W19)))</f>
        <v>7.5626267253901531</v>
      </c>
      <c r="U19" s="5">
        <f>IF(M19="","",X19*SIN(RADIANS(W19)))</f>
        <v>-0.35003032877963014</v>
      </c>
      <c r="V19" s="8">
        <f>IF(M19="","",Y19)</f>
        <v>-1.0986033133875923</v>
      </c>
      <c r="W19" s="624">
        <f t="shared" si="227"/>
        <v>357.35000038261262</v>
      </c>
      <c r="X19" s="5">
        <f>IF(M19="","",R19)</f>
        <v>7.5707228333000645</v>
      </c>
      <c r="Y19" s="7">
        <f t="shared" si="226"/>
        <v>-1.0986033133875923</v>
      </c>
      <c r="Z19" s="21">
        <f t="shared" si="7"/>
        <v>0.89490351737967855</v>
      </c>
      <c r="AA19" s="5">
        <f t="shared" si="8"/>
        <v>-0.39427532892141687</v>
      </c>
      <c r="AB19" s="5">
        <f t="shared" si="9"/>
        <v>-0.20903267587960514</v>
      </c>
      <c r="AC19" s="8">
        <f>IF(M19="","",SQRT(Z19^2+AA19^2+AB19^2))</f>
        <v>1</v>
      </c>
      <c r="AD19" s="9">
        <f>IF(M19="","",Z19*(1/SQRT(Z19^2+AA19^2+AB19^2)))</f>
        <v>0.89490351737967855</v>
      </c>
      <c r="AE19" s="5">
        <f>IF(M19="","",AA19*(1/SQRT(Z19^2+AA19^2+AB19^2)))</f>
        <v>-0.39427532892141687</v>
      </c>
      <c r="AF19" s="10">
        <f>IF(M19="","",AB19*(1/SQRT(Z19^2+AA19^2+AB19^2)))</f>
        <v>-0.20903267587960514</v>
      </c>
      <c r="AG19" s="622">
        <f>IF(M19="","",DEGREES(ATAN2(-AF19,AE19)))</f>
        <v>-62.068837794276092</v>
      </c>
      <c r="AH19" s="623">
        <f>IF(M19="","",DEGREES(ACOS(AD19)))</f>
        <v>26.503960398769017</v>
      </c>
      <c r="AI19" s="624">
        <f>IF(M19="","",DEGREES(-ACOS(-AF19)))</f>
        <v>-77.934329387845736</v>
      </c>
      <c r="AJ19" s="625">
        <f>IF(M19="","",DEGREES(ATAN2(-AE19,AD19)))</f>
        <v>66.222737718563039</v>
      </c>
      <c r="AK19" s="4">
        <f>IF(M19="","",(COS(RADIANS((90-$Q$8)-W19))*AD19)+(-SIN(RADIANS((90-$Q$8)-W19))*AE19))</f>
        <v>0.91217572380509804</v>
      </c>
      <c r="AL19" s="5">
        <f>IF(M19="","",(SIN(RADIANS((90-$Q$8)-W19))*AD19)+(COS(RADIANS((90-$Q$8)-W19))*AE19))</f>
        <v>-0.35247806926851177</v>
      </c>
      <c r="AM19" s="6">
        <f>IF(M19="","",AF19)</f>
        <v>-0.20903267587960514</v>
      </c>
      <c r="AN19" s="612">
        <f>IF(M19="","",DEGREES(ATAN2(-AM19,AL19)))</f>
        <v>-59.330474026351112</v>
      </c>
      <c r="AO19" s="613">
        <f t="shared" si="98"/>
        <v>24.192226434206837</v>
      </c>
      <c r="AP19" s="624">
        <f>IF(M19="","",DEGREES(ATAN2(AK19,AL19)))</f>
        <v>-21.127262664049596</v>
      </c>
      <c r="AQ19" s="625">
        <f t="shared" si="10"/>
        <v>1.6376686461347465</v>
      </c>
      <c r="AS19" s="56">
        <f t="shared" si="119"/>
        <v>-2.6499996173873797</v>
      </c>
      <c r="AT19" s="77">
        <f t="shared" si="11"/>
        <v>-1.0885922037219067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1.1519999999999999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0.43689893374654559</v>
      </c>
      <c r="C20" s="771">
        <v>8.0127219413438961</v>
      </c>
      <c r="D20" s="772">
        <v>-1.7075051498355311</v>
      </c>
      <c r="E20" s="773">
        <v>-0.86350216792321077</v>
      </c>
      <c r="F20" s="771">
        <v>0.47341810093176845</v>
      </c>
      <c r="G20" s="774">
        <v>0.17389453039722982</v>
      </c>
      <c r="H20" s="773">
        <v>0.314</v>
      </c>
      <c r="I20" s="771">
        <v>0.52</v>
      </c>
      <c r="J20" s="601">
        <v>1.1579999999999999</v>
      </c>
      <c r="K20" s="426" t="str">
        <f t="shared" si="225"/>
        <v>1613</v>
      </c>
      <c r="L20" s="858" t="s">
        <v>377</v>
      </c>
      <c r="M20" s="173">
        <f t="shared" si="2"/>
        <v>1.1579999999999999</v>
      </c>
      <c r="N20" s="21">
        <f t="shared" si="3"/>
        <v>0.43689893374654559</v>
      </c>
      <c r="O20" s="5">
        <f t="shared" si="4"/>
        <v>8.0127219413438961</v>
      </c>
      <c r="P20" s="10">
        <f t="shared" si="5"/>
        <v>-1.7075051498355311</v>
      </c>
      <c r="Q20" s="624">
        <f t="shared" si="116"/>
        <v>86.879000450616587</v>
      </c>
      <c r="R20" s="5">
        <f>IF(M20="","",SQRT(N20^2+O20^2))</f>
        <v>8.0246242022665939</v>
      </c>
      <c r="S20" s="6">
        <f>IF(M20="","",P20)</f>
        <v>-1.7075051498355311</v>
      </c>
      <c r="T20" s="4">
        <f>IF(M20="","",X20*COS(RADIANS(W20)))</f>
        <v>8.0127219413438961</v>
      </c>
      <c r="U20" s="5">
        <f>IF(M20="","",X20*SIN(RADIANS(W20)))</f>
        <v>-0.43689893374655037</v>
      </c>
      <c r="V20" s="8">
        <f>IF(M20="","",Y20)</f>
        <v>-1.7075051498355311</v>
      </c>
      <c r="W20" s="624">
        <f t="shared" si="227"/>
        <v>356.87900045061656</v>
      </c>
      <c r="X20" s="5">
        <f>IF(M20="","",R20)</f>
        <v>8.0246242022665939</v>
      </c>
      <c r="Y20" s="7">
        <f t="shared" si="226"/>
        <v>-1.7075051498355311</v>
      </c>
      <c r="Z20" s="21">
        <f t="shared" si="7"/>
        <v>0.86350216792321077</v>
      </c>
      <c r="AA20" s="5">
        <f t="shared" si="8"/>
        <v>-0.47341810093176845</v>
      </c>
      <c r="AB20" s="5">
        <f t="shared" si="9"/>
        <v>-0.17389453039722982</v>
      </c>
      <c r="AC20" s="8">
        <f>IF(M20="","",SQRT(Z20^2+AA20^2+AB20^2))</f>
        <v>1</v>
      </c>
      <c r="AD20" s="9">
        <f>IF(M20="","",Z20*(1/SQRT(Z20^2+AA20^2+AB20^2)))</f>
        <v>0.86350216792321077</v>
      </c>
      <c r="AE20" s="5">
        <f>IF(M20="","",AA20*(1/SQRT(Z20^2+AA20^2+AB20^2)))</f>
        <v>-0.47341810093176845</v>
      </c>
      <c r="AF20" s="10">
        <f>IF(M20="","",AB20*(1/SQRT(Z20^2+AA20^2+AB20^2)))</f>
        <v>-0.17389453039722982</v>
      </c>
      <c r="AG20" s="622">
        <f>IF(M20="","",DEGREES(ATAN2(-AF20,AE20)))</f>
        <v>-69.830856539447893</v>
      </c>
      <c r="AH20" s="623">
        <f>IF(M20="","",DEGREES(ACOS(AD20)))</f>
        <v>30.287890004494379</v>
      </c>
      <c r="AI20" s="624">
        <f>IF(M20="","",DEGREES(-ACOS(-AF20)))</f>
        <v>-79.985666965829324</v>
      </c>
      <c r="AJ20" s="625">
        <f>IF(M20="","",DEGREES(ATAN2(-AE20,AD20)))</f>
        <v>61.26608907255229</v>
      </c>
      <c r="AK20" s="4">
        <f>IF(M20="","",(COS(RADIANS((90-$Q$8)-W20))*AD20)+(-SIN(RADIANS((90-$Q$8)-W20))*AE20))</f>
        <v>0.8879965530120415</v>
      </c>
      <c r="AL20" s="5">
        <f>IF(M20="","",(SIN(RADIANS((90-$Q$8)-W20))*AD20)+(COS(RADIANS((90-$Q$8)-W20))*AE20))</f>
        <v>-0.42570272977355872</v>
      </c>
      <c r="AM20" s="6">
        <f>IF(M20="","",AF20)</f>
        <v>-0.17389453039722982</v>
      </c>
      <c r="AN20" s="612">
        <f>IF(M20="","",DEGREES(ATAN2(-AM20,AL20)))</f>
        <v>-67.780565890574707</v>
      </c>
      <c r="AO20" s="613">
        <f t="shared" si="98"/>
        <v>27.377435670381246</v>
      </c>
      <c r="AP20" s="624">
        <f>IF(M20="","",DEGREES(ATAN2(AK20,AL20)))</f>
        <v>-25.612911378064268</v>
      </c>
      <c r="AQ20" s="625">
        <f t="shared" si="10"/>
        <v>1.5450825129180419</v>
      </c>
      <c r="AS20" s="56">
        <f t="shared" si="119"/>
        <v>-3.1209995493834413</v>
      </c>
      <c r="AT20" s="77">
        <f t="shared" si="11"/>
        <v>-1.695714707093416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1.1579999999999999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0.50039198287777586</v>
      </c>
      <c r="C21" s="771">
        <v>8.3122771511735163</v>
      </c>
      <c r="D21" s="772">
        <v>-2.4045072519938722</v>
      </c>
      <c r="E21" s="773">
        <v>-0.83138071065349184</v>
      </c>
      <c r="F21" s="771">
        <v>0.54319098579268044</v>
      </c>
      <c r="G21" s="774">
        <v>0.11725897367311017</v>
      </c>
      <c r="H21" s="773">
        <v>0.314</v>
      </c>
      <c r="I21" s="771">
        <v>0.52</v>
      </c>
      <c r="J21" s="601">
        <v>1.1639999999999999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1.1639999999999999</v>
      </c>
      <c r="N21" s="21">
        <f t="shared" si="3"/>
        <v>0.50039198287777586</v>
      </c>
      <c r="O21" s="5">
        <f t="shared" si="4"/>
        <v>8.3122771511735163</v>
      </c>
      <c r="P21" s="10">
        <f t="shared" si="5"/>
        <v>-2.4045072519938722</v>
      </c>
      <c r="Q21" s="624">
        <f t="shared" si="116"/>
        <v>86.555000497396378</v>
      </c>
      <c r="R21" s="5">
        <f>IF(M21="","",SQRT(N21^2+O21^2))</f>
        <v>8.3273251152125471</v>
      </c>
      <c r="S21" s="6">
        <f>IF(M21="","",P21)</f>
        <v>-2.4045072519938722</v>
      </c>
      <c r="T21" s="4">
        <f>IF(M21="","",X21*COS(RADIANS(W21)))</f>
        <v>8.3122771511735163</v>
      </c>
      <c r="U21" s="5">
        <f>IF(M21="","",X21*SIN(RADIANS(W21)))</f>
        <v>-0.50039198287778375</v>
      </c>
      <c r="V21" s="8">
        <f>IF(M21="","",Y21)</f>
        <v>-2.4045072519938722</v>
      </c>
      <c r="W21" s="624">
        <f t="shared" si="227"/>
        <v>356.55500049739635</v>
      </c>
      <c r="X21" s="5">
        <f>IF(M21="","",R21)</f>
        <v>8.3273251152125471</v>
      </c>
      <c r="Y21" s="7">
        <f t="shared" si="226"/>
        <v>-2.4045072519938722</v>
      </c>
      <c r="Z21" s="21">
        <f t="shared" si="7"/>
        <v>0.83138071065349184</v>
      </c>
      <c r="AA21" s="5">
        <f t="shared" si="8"/>
        <v>-0.54319098579268044</v>
      </c>
      <c r="AB21" s="5">
        <f t="shared" si="9"/>
        <v>-0.11725897367311017</v>
      </c>
      <c r="AC21" s="8">
        <f>IF(M21="","",SQRT(Z21^2+AA21^2+AB21^2))</f>
        <v>1</v>
      </c>
      <c r="AD21" s="9">
        <f>IF(M21="","",Z21*(1/SQRT(Z21^2+AA21^2+AB21^2)))</f>
        <v>0.83138071065349184</v>
      </c>
      <c r="AE21" s="5">
        <f>IF(M21="","",AA21*(1/SQRT(Z21^2+AA21^2+AB21^2)))</f>
        <v>-0.54319098579268044</v>
      </c>
      <c r="AF21" s="10">
        <f>IF(M21="","",AB21*(1/SQRT(Z21^2+AA21^2+AB21^2)))</f>
        <v>-0.11725897367311017</v>
      </c>
      <c r="AG21" s="622">
        <f>IF(M21="","",DEGREES(ATAN2(-AF21,AE21)))</f>
        <v>-77.818449596345701</v>
      </c>
      <c r="AH21" s="623">
        <f>IF(M21="","",DEGREES(ACOS(AD21)))</f>
        <v>33.759167300939737</v>
      </c>
      <c r="AI21" s="624">
        <f>IF(M21="","",DEGREES(-ACOS(-AF21)))</f>
        <v>-83.266063588774614</v>
      </c>
      <c r="AJ21" s="625">
        <f>IF(M21="","",DEGREES(ATAN2(-AE21,AD21)))</f>
        <v>56.841001222748531</v>
      </c>
      <c r="AK21" s="4">
        <f>IF(M21="","",(COS(RADIANS((90-$Q$8)-W21))*AD21)+(-SIN(RADIANS((90-$Q$8)-W21))*AE21))</f>
        <v>0.86251890014867416</v>
      </c>
      <c r="AL21" s="5">
        <f>IF(M21="","",(SIN(RADIANS((90-$Q$8)-W21))*AD21)+(COS(RADIANS((90-$Q$8)-W21))*AE21))</f>
        <v>-0.49225143979418734</v>
      </c>
      <c r="AM21" s="6">
        <f>IF(M21="","",AF21)</f>
        <v>-0.11725897367311017</v>
      </c>
      <c r="AN21" s="612">
        <f>IF(M21="","",DEGREES(ATAN2(-AM21,AL21)))</f>
        <v>-76.601306423593044</v>
      </c>
      <c r="AO21" s="613">
        <f>IF(ROUND(IF(M21="",0,DEGREES(ACOS(AK21))),4)=90,0,IF(M21="","",DEGREES(ACOS(AK21))))</f>
        <v>30.39940772033864</v>
      </c>
      <c r="AP21" s="624">
        <f>IF(M21="","",DEGREES(ATAN2(AK21,AL21)))</f>
        <v>-29.713999274647801</v>
      </c>
      <c r="AQ21" s="625">
        <f t="shared" si="10"/>
        <v>1.4889440318846692</v>
      </c>
      <c r="AS21" s="56">
        <f t="shared" si="119"/>
        <v>-3.4449995026036504</v>
      </c>
      <c r="AT21" s="77">
        <f t="shared" si="11"/>
        <v>-2.3914928094284806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1.1639999999999999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0.53127540966561504</v>
      </c>
      <c r="C22" s="771">
        <v>8.4514434623930423</v>
      </c>
      <c r="D22" s="772">
        <v>-3.1500095004286535</v>
      </c>
      <c r="E22" s="773">
        <v>-0.79053139593550781</v>
      </c>
      <c r="F22" s="771">
        <v>0.60948858387768856</v>
      </c>
      <c r="G22" s="774">
        <v>5.986466539643498E-2</v>
      </c>
      <c r="H22" s="773">
        <v>0.314</v>
      </c>
      <c r="I22" s="771">
        <v>0.52</v>
      </c>
      <c r="J22" s="601">
        <v>1.17</v>
      </c>
      <c r="K22" s="426" t="str">
        <f t="shared" si="225"/>
        <v>1613</v>
      </c>
      <c r="L22" s="327"/>
      <c r="M22" s="173">
        <f t="shared" si="2"/>
        <v>1.17</v>
      </c>
      <c r="N22" s="21">
        <f t="shared" si="3"/>
        <v>0.53127540966561504</v>
      </c>
      <c r="O22" s="5">
        <f t="shared" si="4"/>
        <v>8.4514434623930423</v>
      </c>
      <c r="P22" s="10">
        <f t="shared" si="5"/>
        <v>-3.1500095004286535</v>
      </c>
      <c r="Q22" s="624">
        <f t="shared" si="116"/>
        <v>86.40300051934247</v>
      </c>
      <c r="R22" s="5">
        <f t="shared" si="83"/>
        <v>8.4681255398666266</v>
      </c>
      <c r="S22" s="6">
        <f t="shared" si="84"/>
        <v>-3.1500095004286535</v>
      </c>
      <c r="T22" s="4">
        <f t="shared" si="85"/>
        <v>8.4514434623930423</v>
      </c>
      <c r="U22" s="5">
        <f t="shared" si="86"/>
        <v>-0.53127540966561715</v>
      </c>
      <c r="V22" s="8">
        <f t="shared" si="117"/>
        <v>-3.1500095004286535</v>
      </c>
      <c r="W22" s="624">
        <f t="shared" si="227"/>
        <v>356.40300051934247</v>
      </c>
      <c r="X22" s="5">
        <f t="shared" si="87"/>
        <v>8.4681255398666266</v>
      </c>
      <c r="Y22" s="7">
        <f t="shared" si="226"/>
        <v>-3.1500095004286535</v>
      </c>
      <c r="Z22" s="21">
        <f t="shared" si="7"/>
        <v>0.79053139593550781</v>
      </c>
      <c r="AA22" s="5">
        <f t="shared" si="8"/>
        <v>-0.60948858387768856</v>
      </c>
      <c r="AB22" s="5">
        <f t="shared" si="9"/>
        <v>-5.986466539643498E-2</v>
      </c>
      <c r="AC22" s="8">
        <f t="shared" si="88"/>
        <v>1</v>
      </c>
      <c r="AD22" s="9">
        <f t="shared" si="118"/>
        <v>0.79053139593550781</v>
      </c>
      <c r="AE22" s="5">
        <f t="shared" si="89"/>
        <v>-0.60948858387768856</v>
      </c>
      <c r="AF22" s="10">
        <f t="shared" si="90"/>
        <v>-5.986466539643498E-2</v>
      </c>
      <c r="AG22" s="622">
        <f t="shared" si="91"/>
        <v>-84.390336409985792</v>
      </c>
      <c r="AH22" s="623">
        <f t="shared" si="92"/>
        <v>37.76480096958641</v>
      </c>
      <c r="AI22" s="624">
        <f t="shared" si="93"/>
        <v>-86.567955297643721</v>
      </c>
      <c r="AJ22" s="625">
        <f t="shared" si="94"/>
        <v>52.36828234703006</v>
      </c>
      <c r="AK22" s="4">
        <f t="shared" si="213"/>
        <v>0.8272123106942102</v>
      </c>
      <c r="AL22" s="5">
        <f t="shared" si="95"/>
        <v>-0.55869134132624454</v>
      </c>
      <c r="AM22" s="6">
        <f t="shared" si="96"/>
        <v>-5.986466539643498E-2</v>
      </c>
      <c r="AN22" s="612">
        <f t="shared" si="97"/>
        <v>-83.884001771799987</v>
      </c>
      <c r="AO22" s="613">
        <f t="shared" si="98"/>
        <v>34.186569176052522</v>
      </c>
      <c r="AP22" s="624">
        <f t="shared" si="99"/>
        <v>-34.034718172312395</v>
      </c>
      <c r="AQ22" s="625">
        <f t="shared" si="10"/>
        <v>1.4641980691262404</v>
      </c>
      <c r="AS22" s="56">
        <f t="shared" si="119"/>
        <v>-3.5969994806575301</v>
      </c>
      <c r="AT22" s="77">
        <f t="shared" si="11"/>
        <v>-3.1364208357239471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1.17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0.54757613482376533</v>
      </c>
      <c r="C23" s="771">
        <v>8.5230539552317328</v>
      </c>
      <c r="D23" s="772">
        <v>-3.9047117766107187</v>
      </c>
      <c r="E23" s="773">
        <v>-0.72325655462884741</v>
      </c>
      <c r="F23" s="771">
        <v>0.69057943510242759</v>
      </c>
      <c r="G23" s="774">
        <v>1.4578093227447363E-7</v>
      </c>
      <c r="H23" s="773">
        <v>0.314</v>
      </c>
      <c r="I23" s="771">
        <v>0.52</v>
      </c>
      <c r="J23" s="601">
        <v>1.1759999999999999</v>
      </c>
      <c r="K23" s="426" t="str">
        <f t="shared" si="225"/>
        <v>1613</v>
      </c>
      <c r="L23" s="327"/>
      <c r="M23" s="173">
        <f t="shared" si="2"/>
        <v>1.1759999999999999</v>
      </c>
      <c r="N23" s="21">
        <f t="shared" si="3"/>
        <v>0.54757613482376533</v>
      </c>
      <c r="O23" s="5">
        <f t="shared" si="4"/>
        <v>8.5230539552317328</v>
      </c>
      <c r="P23" s="10">
        <f t="shared" si="5"/>
        <v>-3.9047117766107187</v>
      </c>
      <c r="Q23" s="624">
        <f t="shared" si="116"/>
        <v>86.324000530748648</v>
      </c>
      <c r="R23" s="5">
        <f t="shared" si="83"/>
        <v>8.5406257585272893</v>
      </c>
      <c r="S23" s="6">
        <f t="shared" si="84"/>
        <v>-3.9047117766107187</v>
      </c>
      <c r="T23" s="4">
        <f t="shared" si="85"/>
        <v>8.5230539552317346</v>
      </c>
      <c r="U23" s="5">
        <f t="shared" si="86"/>
        <v>-0.54757613482376188</v>
      </c>
      <c r="V23" s="8">
        <f t="shared" si="117"/>
        <v>-3.9047117766107187</v>
      </c>
      <c r="W23" s="624">
        <f t="shared" si="227"/>
        <v>356.32400053074866</v>
      </c>
      <c r="X23" s="5">
        <f t="shared" si="87"/>
        <v>8.5406257585272893</v>
      </c>
      <c r="Y23" s="7">
        <f t="shared" si="226"/>
        <v>-3.9047117766107187</v>
      </c>
      <c r="Z23" s="21">
        <f t="shared" si="7"/>
        <v>0.72325655462884741</v>
      </c>
      <c r="AA23" s="5">
        <f t="shared" si="8"/>
        <v>-0.69057943510242759</v>
      </c>
      <c r="AB23" s="5">
        <f t="shared" si="9"/>
        <v>-1.4578093227447363E-7</v>
      </c>
      <c r="AC23" s="8">
        <f t="shared" si="88"/>
        <v>1</v>
      </c>
      <c r="AD23" s="9">
        <f t="shared" si="118"/>
        <v>0.72325655462884741</v>
      </c>
      <c r="AE23" s="5">
        <f t="shared" si="89"/>
        <v>-0.69057943510242759</v>
      </c>
      <c r="AF23" s="10">
        <f t="shared" si="90"/>
        <v>-1.4578093227447363E-7</v>
      </c>
      <c r="AG23" s="622">
        <f t="shared" si="91"/>
        <v>-89.999987904893004</v>
      </c>
      <c r="AH23" s="623">
        <f t="shared" si="92"/>
        <v>43.675993693966625</v>
      </c>
      <c r="AI23" s="624">
        <f t="shared" si="93"/>
        <v>-89.99999164736785</v>
      </c>
      <c r="AJ23" s="625">
        <f t="shared" si="94"/>
        <v>46.324006306034001</v>
      </c>
      <c r="AK23" s="4">
        <f t="shared" si="213"/>
        <v>0.76604450791050716</v>
      </c>
      <c r="AL23" s="5">
        <f t="shared" si="95"/>
        <v>-0.64278753247097753</v>
      </c>
      <c r="AM23" s="6">
        <f t="shared" si="96"/>
        <v>-1.4578093227447363E-7</v>
      </c>
      <c r="AN23" s="612">
        <f t="shared" si="97"/>
        <v>-89.999987005609583</v>
      </c>
      <c r="AO23" s="613">
        <f t="shared" si="98"/>
        <v>39.999994224715394</v>
      </c>
      <c r="AP23" s="624">
        <f t="shared" si="99"/>
        <v>-39.999994224714676</v>
      </c>
      <c r="AQ23" s="625">
        <f t="shared" si="10"/>
        <v>1.4517740315199312</v>
      </c>
      <c r="AS23" s="56">
        <f t="shared" si="119"/>
        <v>-3.6759994692513374</v>
      </c>
      <c r="AT23" s="77">
        <f t="shared" si="11"/>
        <v>-3.8908246675046581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1.1759999999999999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</v>
      </c>
      <c r="B24" s="770">
        <v>1.0905573006849381</v>
      </c>
      <c r="C24" s="771">
        <v>4.6895800125783831</v>
      </c>
      <c r="D24" s="772">
        <v>-1.8500055796168282E-2</v>
      </c>
      <c r="E24" s="773">
        <v>-7.9051330731232817E-3</v>
      </c>
      <c r="F24" s="771">
        <v>-3.3992401940297942E-2</v>
      </c>
      <c r="G24" s="774">
        <v>0.99939082719495953</v>
      </c>
      <c r="H24" s="773">
        <v>0.25700000000000001</v>
      </c>
      <c r="I24" s="771">
        <v>0.41499999999999992</v>
      </c>
      <c r="J24" s="601">
        <v>1.228</v>
      </c>
      <c r="K24" s="426" t="str">
        <f t="shared" si="225"/>
        <v>Knuckle</v>
      </c>
      <c r="L24" s="327"/>
      <c r="M24" s="173">
        <f t="shared" si="2"/>
        <v>1.228</v>
      </c>
      <c r="N24" s="21">
        <f t="shared" si="3"/>
        <v>1.0905573006849381</v>
      </c>
      <c r="O24" s="5">
        <f t="shared" si="4"/>
        <v>4.6895800125783831</v>
      </c>
      <c r="P24" s="10">
        <f t="shared" si="5"/>
        <v>-1.8500055796168282E-2</v>
      </c>
      <c r="Q24" s="624">
        <f t="shared" si="116"/>
        <v>76.908601890164022</v>
      </c>
      <c r="R24" s="5">
        <f t="shared" si="83"/>
        <v>4.8147145211789963</v>
      </c>
      <c r="S24" s="6">
        <f t="shared" si="84"/>
        <v>-1.8500055796168282E-2</v>
      </c>
      <c r="T24" s="4">
        <f t="shared" si="85"/>
        <v>4.689580012578384</v>
      </c>
      <c r="U24" s="5">
        <f t="shared" si="86"/>
        <v>-1.0905573006849358</v>
      </c>
      <c r="V24" s="8">
        <f t="shared" si="117"/>
        <v>-1.8500055796168282E-2</v>
      </c>
      <c r="W24" s="624">
        <f t="shared" si="227"/>
        <v>346.90860189016405</v>
      </c>
      <c r="X24" s="5">
        <f t="shared" si="87"/>
        <v>4.8147145211789963</v>
      </c>
      <c r="Y24" s="7">
        <f t="shared" si="226"/>
        <v>-1.8500055796168282E-2</v>
      </c>
      <c r="Z24" s="21">
        <f t="shared" si="7"/>
        <v>7.9051330731232817E-3</v>
      </c>
      <c r="AA24" s="5">
        <f t="shared" si="8"/>
        <v>3.3992401940297942E-2</v>
      </c>
      <c r="AB24" s="5">
        <f t="shared" si="9"/>
        <v>-0.99939082719495953</v>
      </c>
      <c r="AC24" s="8">
        <f t="shared" si="88"/>
        <v>1</v>
      </c>
      <c r="AD24" s="9">
        <f t="shared" si="118"/>
        <v>7.9051330731232817E-3</v>
      </c>
      <c r="AE24" s="5">
        <f t="shared" si="89"/>
        <v>3.3992401940297942E-2</v>
      </c>
      <c r="AF24" s="10">
        <f t="shared" si="90"/>
        <v>-0.99939082719495953</v>
      </c>
      <c r="AG24" s="622">
        <f t="shared" si="91"/>
        <v>1.9480573284029308</v>
      </c>
      <c r="AH24" s="623">
        <f t="shared" si="92"/>
        <v>89.547064520928984</v>
      </c>
      <c r="AI24" s="624">
        <f t="shared" si="93"/>
        <v>-1.9999997112779508</v>
      </c>
      <c r="AJ24" s="625">
        <f t="shared" si="94"/>
        <v>166.90822955263769</v>
      </c>
      <c r="AK24" s="4">
        <f>IF(M24="","",(COS(RADIANS((90-$Q$8)-W24))*AD24)+(-SIN(RADIANS((90-$Q$8)-W24))*AE24))</f>
        <v>2.2679489672383646E-7</v>
      </c>
      <c r="AL24" s="5">
        <f t="shared" si="95"/>
        <v>3.4899491665683652E-2</v>
      </c>
      <c r="AM24" s="6">
        <f t="shared" si="96"/>
        <v>-0.99939082719495953</v>
      </c>
      <c r="AN24" s="612">
        <f t="shared" si="97"/>
        <v>1.9999997112357695</v>
      </c>
      <c r="AO24" s="613">
        <f t="shared" si="98"/>
        <v>0</v>
      </c>
      <c r="AP24" s="624">
        <f t="shared" si="99"/>
        <v>89.999627662473671</v>
      </c>
      <c r="AQ24" s="625">
        <f t="shared" si="10"/>
        <v>2.5740608532281386</v>
      </c>
      <c r="AS24" s="56">
        <f t="shared" si="119"/>
        <v>-13.09139810983595</v>
      </c>
      <c r="AT24" s="77">
        <f t="shared" si="11"/>
        <v>3.0956337063211974E-2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>
        <f>IFERROR(IF($IU24="","",IF($IU24&lt;(((Settings!$C$19/2)*-1)*$IE$8),"",1)),"")</f>
        <v>1</v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1.228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800" cm="1">
        <f t="array" ref="II24">IFERROR(IF($IH24&lt;1,$IH24+LARGE((IF($M$9:$M$150="",0,$M$9:$M$150)-MOD(IF($M$9:$M$150="",0,$M$9:$M$150),1)),1),$IH24),"")</f>
        <v>1.1279999999999999</v>
      </c>
      <c r="IJ24" s="839" t="str">
        <f t="shared" si="68"/>
        <v>1613</v>
      </c>
      <c r="IK24" s="839" t="str">
        <f t="shared" si="69"/>
        <v>Knuckle</v>
      </c>
      <c r="IL24" s="791">
        <f t="shared" si="228"/>
        <v>12.74539815979216</v>
      </c>
      <c r="IM24" s="830">
        <v>7.9685924191193695E-3</v>
      </c>
      <c r="IN24" s="5">
        <f t="shared" si="229"/>
        <v>0.2</v>
      </c>
      <c r="IO24" s="852">
        <v>100</v>
      </c>
      <c r="IP24" s="9">
        <f t="shared" si="230"/>
        <v>-4.8072144985589276</v>
      </c>
      <c r="IQ24" s="5">
        <f t="shared" si="231"/>
        <v>-5.5700167991706996E-2</v>
      </c>
      <c r="IR24" s="5">
        <f t="shared" si="74"/>
        <v>0.314</v>
      </c>
      <c r="IS24" s="5">
        <f t="shared" si="232"/>
        <v>0.30289386777221061</v>
      </c>
      <c r="IT24" s="791">
        <f t="shared" si="233"/>
        <v>9.3278005807824265</v>
      </c>
      <c r="IU24" s="9">
        <f t="shared" si="234"/>
        <v>-4.8147145211789963</v>
      </c>
      <c r="IV24" s="5">
        <f t="shared" si="235"/>
        <v>-1.8500055796168282E-2</v>
      </c>
      <c r="IW24" s="5">
        <f t="shared" si="79"/>
        <v>0.25700000000000001</v>
      </c>
      <c r="IX24" s="5">
        <f t="shared" si="236"/>
        <v>0.25700000000000001</v>
      </c>
      <c r="IY24" s="833">
        <f t="shared" si="237"/>
        <v>-1.9999997112357695</v>
      </c>
    </row>
    <row r="25" spans="1:259" ht="15" customHeight="1" x14ac:dyDescent="0.25">
      <c r="A25" s="84">
        <f t="shared" si="82"/>
        <v>0</v>
      </c>
      <c r="B25" s="770">
        <v>1.2691167648027206</v>
      </c>
      <c r="C25" s="771">
        <v>5.4548264945324636</v>
      </c>
      <c r="D25" s="772">
        <v>-4.0000120640363859E-2</v>
      </c>
      <c r="E25" s="773">
        <v>2.4473193946027014E-2</v>
      </c>
      <c r="F25" s="771">
        <v>0.10518992468909764</v>
      </c>
      <c r="G25" s="774">
        <v>0.99415096565963368</v>
      </c>
      <c r="H25" s="773">
        <v>0.25700000000000001</v>
      </c>
      <c r="I25" s="771">
        <v>0.41499999999999992</v>
      </c>
      <c r="J25" s="601">
        <v>1.234</v>
      </c>
      <c r="K25" s="426" t="str">
        <f t="shared" si="225"/>
        <v>Knuckle</v>
      </c>
      <c r="L25" s="327"/>
      <c r="M25" s="173">
        <f t="shared" si="2"/>
        <v>1.234</v>
      </c>
      <c r="N25" s="21">
        <f t="shared" si="3"/>
        <v>1.2691167648027206</v>
      </c>
      <c r="O25" s="5">
        <f t="shared" si="4"/>
        <v>5.4548264945324636</v>
      </c>
      <c r="P25" s="10">
        <f t="shared" si="5"/>
        <v>-4.0000120640363859E-2</v>
      </c>
      <c r="Q25" s="624">
        <f t="shared" si="116"/>
        <v>76.902601891030329</v>
      </c>
      <c r="R25" s="5">
        <f>IF(M25="","",SQRT(N25^2+O25^2))</f>
        <v>5.6005168911589447</v>
      </c>
      <c r="S25" s="6">
        <f>IF(M25="","",P25)</f>
        <v>-4.0000120640363859E-2</v>
      </c>
      <c r="T25" s="4">
        <f>IF(M25="","",X25*COS(RADIANS(W25)))</f>
        <v>5.4548264945324636</v>
      </c>
      <c r="U25" s="5">
        <f>IF(M25="","",X25*SIN(RADIANS(W25)))</f>
        <v>-1.2691167648027202</v>
      </c>
      <c r="V25" s="8">
        <f>IF(M25="","",Y25)</f>
        <v>-4.0000120640363859E-2</v>
      </c>
      <c r="W25" s="624">
        <f t="shared" si="227"/>
        <v>346.90260189103032</v>
      </c>
      <c r="X25" s="5">
        <f>IF(M25="","",R25)</f>
        <v>5.6005168911589447</v>
      </c>
      <c r="Y25" s="7">
        <f t="shared" si="226"/>
        <v>-4.0000120640363859E-2</v>
      </c>
      <c r="Z25" s="21">
        <f t="shared" si="7"/>
        <v>-2.4473193946027014E-2</v>
      </c>
      <c r="AA25" s="5">
        <f t="shared" si="8"/>
        <v>-0.10518992468909764</v>
      </c>
      <c r="AB25" s="5">
        <f t="shared" si="9"/>
        <v>-0.99415096565963368</v>
      </c>
      <c r="AC25" s="8">
        <f>IF(M25="","",SQRT(Z25^2+AA25^2+AB25^2))</f>
        <v>1</v>
      </c>
      <c r="AD25" s="9">
        <f>IF(M25="","",Z25*(1/SQRT(Z25^2+AA25^2+AB25^2)))</f>
        <v>-2.4473193946027014E-2</v>
      </c>
      <c r="AE25" s="5">
        <f>IF(M25="","",AA25*(1/SQRT(Z25^2+AA25^2+AB25^2)))</f>
        <v>-0.10518992468909764</v>
      </c>
      <c r="AF25" s="10">
        <f>IF(M25="","",AB25*(1/SQRT(Z25^2+AA25^2+AB25^2)))</f>
        <v>-0.99415096565963368</v>
      </c>
      <c r="AG25" s="622">
        <f>IF(M25="","",DEGREES(ATAN2(-AF25,AE25)))</f>
        <v>-6.0399248073878109</v>
      </c>
      <c r="AH25" s="623">
        <f>IF(M25="","",DEGREES(ACOS(AD25)))</f>
        <v>91.402350734750897</v>
      </c>
      <c r="AI25" s="624">
        <f>IF(M25="","",DEGREES(-ACOS(-AF25)))</f>
        <v>-6.1999991048444452</v>
      </c>
      <c r="AJ25" s="625">
        <f>IF(M25="","",DEGREES(ATAN2(-AE25,AD25)))</f>
        <v>-13.097277789805002</v>
      </c>
      <c r="AK25" s="4">
        <f>IF(M25="","",(COS(RADIANS((90-$Q$8)-W25))*AD25)+(-SIN(RADIANS((90-$Q$8)-W25))*AE25))</f>
        <v>2.2679489668567254E-7</v>
      </c>
      <c r="AL25" s="5">
        <f>IF(M25="","",(SIN(RADIANS((90-$Q$8)-W25))*AD25)+(COS(RADIANS((90-$Q$8)-W25))*AE25))</f>
        <v>-0.107999340173755</v>
      </c>
      <c r="AM25" s="6">
        <f>IF(M25="","",AF25)</f>
        <v>-0.99415096565963368</v>
      </c>
      <c r="AN25" s="612">
        <f>IF(M25="","",DEGREES(ATAN2(-AM25,AL25)))</f>
        <v>-6.1999991048308898</v>
      </c>
      <c r="AO25" s="613">
        <f>IF(ROUND(IF(M25="",0,DEGREES(ACOS(AK25))),4)=90,0,IF(M25="","",DEGREES(ACOS(AK25))))</f>
        <v>0</v>
      </c>
      <c r="AP25" s="624">
        <f>IF(M25="","",DEGREES(ATAN2(AK25,AL25)))</f>
        <v>-89.999879680835335</v>
      </c>
      <c r="AQ25" s="625">
        <f t="shared" si="10"/>
        <v>2.2132856405214287</v>
      </c>
      <c r="AS25" s="56">
        <f t="shared" si="119"/>
        <v>-13.097398108969685</v>
      </c>
      <c r="AT25" s="77">
        <f t="shared" si="11"/>
        <v>9.478938882410505E-3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>
        <f>IFERROR(IF($IU25="","",IF($IU25&lt;(((Settings!$C$19/2)*-1)*$IE$8),"",1)),"")</f>
        <v>1</v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1.234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800" cm="1">
        <f t="array" ref="II25">IFERROR(IF($IH25&lt;1,$IH25+LARGE((IF($M$9:$M$150="",0,$M$9:$M$150)-MOD(IF($M$9:$M$150="",0,$M$9:$M$150),1)),1),$IH25),"")</f>
        <v>1.1339999999999999</v>
      </c>
      <c r="IJ25" s="839" t="str">
        <f t="shared" si="68"/>
        <v>1613</v>
      </c>
      <c r="IK25" s="839" t="str">
        <f t="shared" si="69"/>
        <v>Knuckle</v>
      </c>
      <c r="IL25" s="791">
        <f t="shared" si="228"/>
        <v>12.245398231983245</v>
      </c>
      <c r="IM25" s="830">
        <v>6.8032660012560097E-3</v>
      </c>
      <c r="IN25" s="5">
        <f t="shared" si="229"/>
        <v>0.18</v>
      </c>
      <c r="IO25" s="852">
        <v>90</v>
      </c>
      <c r="IP25" s="9">
        <f t="shared" si="230"/>
        <v>-5.5812168329499681</v>
      </c>
      <c r="IQ25" s="5">
        <f t="shared" si="231"/>
        <v>-7.3200220771865721E-2</v>
      </c>
      <c r="IR25" s="5">
        <f t="shared" si="74"/>
        <v>0.314</v>
      </c>
      <c r="IS25" s="5">
        <f t="shared" si="232"/>
        <v>0.30213638972879026</v>
      </c>
      <c r="IT25" s="791">
        <f t="shared" si="233"/>
        <v>24.953643602990592</v>
      </c>
      <c r="IU25" s="9">
        <f t="shared" si="234"/>
        <v>-5.6005168911589447</v>
      </c>
      <c r="IV25" s="5">
        <f t="shared" si="235"/>
        <v>-4.0000120640363859E-2</v>
      </c>
      <c r="IW25" s="5">
        <f t="shared" si="79"/>
        <v>0.25700000000000001</v>
      </c>
      <c r="IX25" s="5">
        <f t="shared" si="236"/>
        <v>0.25700000000000001</v>
      </c>
      <c r="IY25" s="833">
        <f t="shared" si="237"/>
        <v>6.1999991048308898</v>
      </c>
    </row>
    <row r="26" spans="1:259" ht="15" customHeight="1" x14ac:dyDescent="0.25">
      <c r="A26" s="84">
        <f t="shared" si="82"/>
        <v>0.02</v>
      </c>
      <c r="B26" s="770">
        <v>1.2816295312554218</v>
      </c>
      <c r="C26" s="771">
        <v>6.2190320016906888</v>
      </c>
      <c r="D26" s="772">
        <v>-0.22840068885647757</v>
      </c>
      <c r="E26" s="773">
        <v>-0.86306879799449332</v>
      </c>
      <c r="F26" s="771">
        <v>0.42143474779039947</v>
      </c>
      <c r="G26" s="774">
        <v>0.27839720415834474</v>
      </c>
      <c r="H26" s="773">
        <v>0.26600000000000001</v>
      </c>
      <c r="I26" s="771">
        <v>0.52</v>
      </c>
      <c r="J26" s="601">
        <v>1.24</v>
      </c>
      <c r="K26" s="426" t="str">
        <f t="shared" si="225"/>
        <v>1313</v>
      </c>
      <c r="L26" s="327"/>
      <c r="M26" s="173">
        <f t="shared" si="2"/>
        <v>1.24</v>
      </c>
      <c r="N26" s="21">
        <f t="shared" si="3"/>
        <v>1.2816295312554218</v>
      </c>
      <c r="O26" s="5">
        <f t="shared" si="4"/>
        <v>6.2190320016906888</v>
      </c>
      <c r="P26" s="10">
        <f t="shared" si="5"/>
        <v>-0.22840068885647757</v>
      </c>
      <c r="Q26" s="624">
        <f t="shared" si="116"/>
        <v>78.355401681271985</v>
      </c>
      <c r="R26" s="5">
        <f>IF(M26="","",SQRT(N26^2+O26^2))</f>
        <v>6.3497191507529598</v>
      </c>
      <c r="S26" s="6">
        <f>IF(M26="","",P26)</f>
        <v>-0.22840068885647757</v>
      </c>
      <c r="T26" s="4">
        <f>IF(M26="","",X26*COS(RADIANS(W26)))</f>
        <v>6.2190320016906888</v>
      </c>
      <c r="U26" s="5">
        <f>IF(M26="","",X26*SIN(RADIANS(W26)))</f>
        <v>-1.2816295312554233</v>
      </c>
      <c r="V26" s="8">
        <f>IF(M26="","",Y26)</f>
        <v>-0.22840068885647757</v>
      </c>
      <c r="W26" s="624">
        <f t="shared" si="227"/>
        <v>348.35540168127199</v>
      </c>
      <c r="X26" s="5">
        <f>IF(M26="","",R26)</f>
        <v>6.3497191507529598</v>
      </c>
      <c r="Y26" s="7">
        <f t="shared" si="226"/>
        <v>-0.22840068885647757</v>
      </c>
      <c r="Z26" s="21">
        <f t="shared" si="7"/>
        <v>0.86306879799449332</v>
      </c>
      <c r="AA26" s="5">
        <f t="shared" si="8"/>
        <v>-0.42143474779039947</v>
      </c>
      <c r="AB26" s="5">
        <f t="shared" si="9"/>
        <v>-0.27839720415834474</v>
      </c>
      <c r="AC26" s="8">
        <f>IF(M26="","",SQRT(Z26^2+AA26^2+AB26^2))</f>
        <v>1</v>
      </c>
      <c r="AD26" s="9">
        <f>IF(M26="","",Z26*(1/SQRT(Z26^2+AA26^2+AB26^2)))</f>
        <v>0.86306879799449332</v>
      </c>
      <c r="AE26" s="5">
        <f>IF(M26="","",AA26*(1/SQRT(Z26^2+AA26^2+AB26^2)))</f>
        <v>-0.42143474779039947</v>
      </c>
      <c r="AF26" s="10">
        <f>IF(M26="","",AB26*(1/SQRT(Z26^2+AA26^2+AB26^2)))</f>
        <v>-0.27839720415834474</v>
      </c>
      <c r="AG26" s="622">
        <f>IF(M26="","",DEGREES(ATAN2(-AF26,AE26)))</f>
        <v>-56.551494176714378</v>
      </c>
      <c r="AH26" s="623">
        <f>IF(M26="","",DEGREES(ACOS(AD26)))</f>
        <v>30.33708653986276</v>
      </c>
      <c r="AI26" s="624">
        <f>IF(M26="","",DEGREES(-ACOS(-AF26)))</f>
        <v>-73.835431886497389</v>
      </c>
      <c r="AJ26" s="625">
        <f>IF(M26="","",DEGREES(ATAN2(-AE26,AD26)))</f>
        <v>63.973836676576212</v>
      </c>
      <c r="AK26" s="4">
        <f>IF(M26="","",(COS(RADIANS((90-$Q$8)-W26))*AD26)+(-SIN(RADIANS((90-$Q$8)-W26))*AE26))</f>
        <v>0.93036802926209705</v>
      </c>
      <c r="AL26" s="5">
        <f>IF(M26="","",(SIN(RADIANS((90-$Q$8)-W26))*AD26)+(COS(RADIANS((90-$Q$8)-W26))*AE26))</f>
        <v>-0.23855885404608002</v>
      </c>
      <c r="AM26" s="6">
        <f>IF(M26="","",AF26)</f>
        <v>-0.27839720415834474</v>
      </c>
      <c r="AN26" s="612">
        <f>IF(M26="","",DEGREES(ATAN2(-AM26,AL26)))</f>
        <v>-40.59330666397809</v>
      </c>
      <c r="AO26" s="613">
        <f t="shared" si="98"/>
        <v>21.507743146721435</v>
      </c>
      <c r="AP26" s="624">
        <f>IF(M26="","",DEGREES(ATAN2(AK26,AL26)))</f>
        <v>-14.381565004695766</v>
      </c>
      <c r="AQ26" s="625">
        <f t="shared" si="10"/>
        <v>1.9523560492624363</v>
      </c>
      <c r="AS26" s="56">
        <f t="shared" si="119"/>
        <v>-11.644598318728015</v>
      </c>
      <c r="AT26" s="77">
        <f t="shared" si="11"/>
        <v>-0.1844099840968384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>
        <f>IFERROR(IF($IU26="","",IF($IU26&lt;(((Settings!$C$19/2)*-1)*$IE$8),"",1)),"")</f>
        <v>1</v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1.24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800" cm="1">
        <f t="array" ref="II26">IFERROR(IF($IH26&lt;1,$IH26+LARGE((IF($M$9:$M$150="",0,$M$9:$M$150)-MOD(IF($M$9:$M$150="",0,$M$9:$M$150),1)),1),$IH26),"")</f>
        <v>1.1399999999999999</v>
      </c>
      <c r="IJ26" s="839" t="str">
        <f t="shared" si="68"/>
        <v>1613</v>
      </c>
      <c r="IK26" s="839" t="str">
        <f t="shared" si="69"/>
        <v>1313</v>
      </c>
      <c r="IL26" s="791">
        <f t="shared" si="228"/>
        <v>10.19359852822646</v>
      </c>
      <c r="IM26" s="830">
        <v>5.0102872197947696E-3</v>
      </c>
      <c r="IN26" s="5">
        <f t="shared" si="229"/>
        <v>0.18</v>
      </c>
      <c r="IO26" s="852">
        <v>90</v>
      </c>
      <c r="IP26" s="9">
        <f t="shared" si="230"/>
        <v>-6.3149190457958415</v>
      </c>
      <c r="IQ26" s="5">
        <f t="shared" si="231"/>
        <v>-0.26220079079758485</v>
      </c>
      <c r="IR26" s="5">
        <f t="shared" si="74"/>
        <v>0.314</v>
      </c>
      <c r="IS26" s="5">
        <f t="shared" si="232"/>
        <v>0.30105734066044315</v>
      </c>
      <c r="IT26" s="791">
        <f t="shared" si="233"/>
        <v>40.593310210763079</v>
      </c>
      <c r="IU26" s="9">
        <f t="shared" si="234"/>
        <v>-6.3497191507529598</v>
      </c>
      <c r="IV26" s="5">
        <f t="shared" si="235"/>
        <v>-0.22840068885647757</v>
      </c>
      <c r="IW26" s="5">
        <f t="shared" si="79"/>
        <v>0.26600000000000001</v>
      </c>
      <c r="IX26" s="5">
        <f t="shared" si="236"/>
        <v>0.24747789578371782</v>
      </c>
      <c r="IY26" s="833">
        <f t="shared" si="237"/>
        <v>40.59330666397809</v>
      </c>
    </row>
    <row r="27" spans="1:259" ht="15" customHeight="1" x14ac:dyDescent="0.25">
      <c r="A27" s="84">
        <f t="shared" si="82"/>
        <v>0.02</v>
      </c>
      <c r="B27" s="770">
        <v>1.5229316350396873</v>
      </c>
      <c r="C27" s="771">
        <v>6.8666658496043578</v>
      </c>
      <c r="D27" s="772">
        <v>-0.58340175953970685</v>
      </c>
      <c r="E27" s="773">
        <v>-0.81412639729477243</v>
      </c>
      <c r="F27" s="771">
        <v>0.51623749844273759</v>
      </c>
      <c r="G27" s="774">
        <v>0.26588917696931369</v>
      </c>
      <c r="H27" s="773">
        <v>0.26600000000000001</v>
      </c>
      <c r="I27" s="771">
        <v>0.52</v>
      </c>
      <c r="J27" s="601">
        <v>1.246</v>
      </c>
      <c r="K27" s="426" t="str">
        <f t="shared" si="225"/>
        <v>1313</v>
      </c>
      <c r="L27" s="327"/>
      <c r="M27" s="173">
        <f t="shared" si="2"/>
        <v>1.246</v>
      </c>
      <c r="N27" s="21">
        <f t="shared" si="3"/>
        <v>1.5229316350396873</v>
      </c>
      <c r="O27" s="5">
        <f t="shared" si="4"/>
        <v>6.8666658496043578</v>
      </c>
      <c r="P27" s="10">
        <f t="shared" si="5"/>
        <v>-0.58340175953970685</v>
      </c>
      <c r="Q27" s="624">
        <f t="shared" si="116"/>
        <v>77.495001805498347</v>
      </c>
      <c r="R27" s="5">
        <f t="shared" si="83"/>
        <v>7.033521213099978</v>
      </c>
      <c r="S27" s="6">
        <f t="shared" si="84"/>
        <v>-0.58340175953970685</v>
      </c>
      <c r="T27" s="4">
        <f t="shared" si="85"/>
        <v>6.8666658496043578</v>
      </c>
      <c r="U27" s="5">
        <f t="shared" si="86"/>
        <v>-1.5229316350396842</v>
      </c>
      <c r="V27" s="8">
        <f t="shared" si="117"/>
        <v>-0.58340175953970685</v>
      </c>
      <c r="W27" s="624">
        <f t="shared" si="227"/>
        <v>347.49500180549836</v>
      </c>
      <c r="X27" s="5">
        <f t="shared" si="87"/>
        <v>7.033521213099978</v>
      </c>
      <c r="Y27" s="7">
        <f t="shared" si="226"/>
        <v>-0.58340175953970685</v>
      </c>
      <c r="Z27" s="21">
        <f t="shared" si="7"/>
        <v>0.81412639729477243</v>
      </c>
      <c r="AA27" s="5">
        <f t="shared" si="8"/>
        <v>-0.51623749844273759</v>
      </c>
      <c r="AB27" s="5">
        <f t="shared" si="9"/>
        <v>-0.26588917696931369</v>
      </c>
      <c r="AC27" s="8">
        <f t="shared" si="88"/>
        <v>1</v>
      </c>
      <c r="AD27" s="9">
        <f t="shared" si="118"/>
        <v>0.81412639729477243</v>
      </c>
      <c r="AE27" s="5">
        <f t="shared" si="89"/>
        <v>-0.51623749844273759</v>
      </c>
      <c r="AF27" s="10">
        <f t="shared" si="90"/>
        <v>-0.26588917696931369</v>
      </c>
      <c r="AG27" s="622">
        <f t="shared" si="91"/>
        <v>-62.749175965336292</v>
      </c>
      <c r="AH27" s="623">
        <f t="shared" si="92"/>
        <v>35.498926601908011</v>
      </c>
      <c r="AI27" s="624">
        <f t="shared" si="93"/>
        <v>-74.580205474492544</v>
      </c>
      <c r="AJ27" s="625">
        <f t="shared" si="94"/>
        <v>57.621218500428355</v>
      </c>
      <c r="AK27" s="4">
        <f t="shared" si="213"/>
        <v>0.90659118725074916</v>
      </c>
      <c r="AL27" s="5">
        <f t="shared" si="95"/>
        <v>-0.32771232013743123</v>
      </c>
      <c r="AM27" s="6">
        <f t="shared" si="96"/>
        <v>-0.26588917696931369</v>
      </c>
      <c r="AN27" s="612">
        <f t="shared" si="97"/>
        <v>-50.945875141057336</v>
      </c>
      <c r="AO27" s="613">
        <f t="shared" si="98"/>
        <v>24.961550810496838</v>
      </c>
      <c r="AP27" s="624">
        <f t="shared" si="99"/>
        <v>-19.873783305070017</v>
      </c>
      <c r="AQ27" s="625">
        <f t="shared" si="10"/>
        <v>1.7626733061787365</v>
      </c>
      <c r="AS27" s="56">
        <f t="shared" si="119"/>
        <v>-12.504998194501638</v>
      </c>
      <c r="AT27" s="77">
        <f t="shared" si="11"/>
        <v>-0.53616065524936729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1.246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800" cm="1">
        <f t="array" ref="II27">IFERROR(IF($IH27&lt;1,$IH27+LARGE((IF($M$9:$M$150="",0,$M$9:$M$150)-MOD(IF($M$9:$M$150="",0,$M$9:$M$150),1)),1),$IH27),"")</f>
        <v>1.1459999999999999</v>
      </c>
      <c r="IJ27" s="839" t="str">
        <f t="shared" si="68"/>
        <v>1613</v>
      </c>
      <c r="IK27" s="839" t="str">
        <f t="shared" si="69"/>
        <v>1313</v>
      </c>
      <c r="IL27" s="791">
        <f t="shared" si="228"/>
        <v>10.429998494094548</v>
      </c>
      <c r="IM27" s="830">
        <v>4.0864334408043197E-3</v>
      </c>
      <c r="IN27" s="5">
        <f t="shared" si="229"/>
        <v>0.16</v>
      </c>
      <c r="IO27" s="852">
        <v>80</v>
      </c>
      <c r="IP27" s="9">
        <f t="shared" si="230"/>
        <v>-6.9916210867291984</v>
      </c>
      <c r="IQ27" s="5">
        <f t="shared" si="231"/>
        <v>-0.61030184067035176</v>
      </c>
      <c r="IR27" s="5">
        <f t="shared" si="74"/>
        <v>0.314</v>
      </c>
      <c r="IS27" s="5">
        <f t="shared" si="232"/>
        <v>0.29513548366568215</v>
      </c>
      <c r="IT27" s="791">
        <f t="shared" si="233"/>
        <v>50.945878811977309</v>
      </c>
      <c r="IU27" s="9">
        <f t="shared" si="234"/>
        <v>-7.033521213099978</v>
      </c>
      <c r="IV27" s="5">
        <f t="shared" si="235"/>
        <v>-0.58340175953970685</v>
      </c>
      <c r="IW27" s="5">
        <f t="shared" si="79"/>
        <v>0.26600000000000001</v>
      </c>
      <c r="IX27" s="5">
        <f t="shared" si="236"/>
        <v>0.24115325580869929</v>
      </c>
      <c r="IY27" s="833">
        <f t="shared" si="237"/>
        <v>50.945875141057336</v>
      </c>
    </row>
    <row r="28" spans="1:259" ht="15" customHeight="1" x14ac:dyDescent="0.25">
      <c r="A28" s="84">
        <f t="shared" si="82"/>
        <v>0.02</v>
      </c>
      <c r="B28" s="770">
        <v>1.7823649717763397</v>
      </c>
      <c r="C28" s="771">
        <v>7.4058614890685179</v>
      </c>
      <c r="D28" s="772">
        <v>-1.0783032521626086</v>
      </c>
      <c r="E28" s="773">
        <v>-0.75059130928693052</v>
      </c>
      <c r="F28" s="771">
        <v>0.61214078926577142</v>
      </c>
      <c r="G28" s="774">
        <v>0.24878975167801848</v>
      </c>
      <c r="H28" s="773">
        <v>0.26600000000000001</v>
      </c>
      <c r="I28" s="771">
        <v>0.52</v>
      </c>
      <c r="J28" s="601">
        <v>1.252</v>
      </c>
      <c r="K28" s="426" t="str">
        <f t="shared" si="225"/>
        <v>1313</v>
      </c>
      <c r="L28" s="327"/>
      <c r="M28" s="173">
        <f t="shared" si="2"/>
        <v>1.252</v>
      </c>
      <c r="N28" s="21">
        <f t="shared" si="3"/>
        <v>1.7823649717763397</v>
      </c>
      <c r="O28" s="5">
        <f t="shared" si="4"/>
        <v>7.4058614890685179</v>
      </c>
      <c r="P28" s="10">
        <f t="shared" si="5"/>
        <v>-1.0783032521626086</v>
      </c>
      <c r="Q28" s="624">
        <f t="shared" si="116"/>
        <v>76.468001953778796</v>
      </c>
      <c r="R28" s="5">
        <f t="shared" si="83"/>
        <v>7.6173229738460897</v>
      </c>
      <c r="S28" s="6">
        <f t="shared" si="84"/>
        <v>-1.0783032521626086</v>
      </c>
      <c r="T28" s="4">
        <f t="shared" si="85"/>
        <v>7.4058614890685179</v>
      </c>
      <c r="U28" s="5">
        <f t="shared" si="86"/>
        <v>-1.782364971776337</v>
      </c>
      <c r="V28" s="8">
        <f t="shared" si="117"/>
        <v>-1.0783032521626086</v>
      </c>
      <c r="W28" s="624">
        <f t="shared" si="227"/>
        <v>346.46800195377881</v>
      </c>
      <c r="X28" s="5">
        <f t="shared" si="87"/>
        <v>7.6173229738460897</v>
      </c>
      <c r="Y28" s="7">
        <f t="shared" si="226"/>
        <v>-1.0783032521626086</v>
      </c>
      <c r="Z28" s="21">
        <f t="shared" si="7"/>
        <v>0.75059130928693052</v>
      </c>
      <c r="AA28" s="5">
        <f t="shared" si="8"/>
        <v>-0.61214078926577142</v>
      </c>
      <c r="AB28" s="5">
        <f t="shared" si="9"/>
        <v>-0.24878975167801848</v>
      </c>
      <c r="AC28" s="8">
        <f t="shared" si="88"/>
        <v>1</v>
      </c>
      <c r="AD28" s="9">
        <f t="shared" si="118"/>
        <v>0.75059130928693052</v>
      </c>
      <c r="AE28" s="5">
        <f t="shared" si="89"/>
        <v>-0.61214078926577142</v>
      </c>
      <c r="AF28" s="10">
        <f t="shared" si="90"/>
        <v>-0.24878975167801848</v>
      </c>
      <c r="AG28" s="622">
        <f t="shared" si="91"/>
        <v>-67.881911153466348</v>
      </c>
      <c r="AH28" s="623">
        <f t="shared" si="92"/>
        <v>41.35837508583483</v>
      </c>
      <c r="AI28" s="624">
        <f t="shared" si="93"/>
        <v>-75.594092514608292</v>
      </c>
      <c r="AJ28" s="625">
        <f t="shared" si="94"/>
        <v>50.801216884316617</v>
      </c>
      <c r="AK28" s="4">
        <f t="shared" si="213"/>
        <v>0.87298826567975185</v>
      </c>
      <c r="AL28" s="5">
        <f t="shared" si="95"/>
        <v>-0.4195177558166629</v>
      </c>
      <c r="AM28" s="6">
        <f t="shared" si="96"/>
        <v>-0.24878975167801848</v>
      </c>
      <c r="AN28" s="612">
        <f t="shared" si="97"/>
        <v>-59.330470515410347</v>
      </c>
      <c r="AO28" s="613">
        <f t="shared" si="98"/>
        <v>29.19222568028319</v>
      </c>
      <c r="AP28" s="624">
        <f t="shared" si="99"/>
        <v>-25.666785069462197</v>
      </c>
      <c r="AQ28" s="625">
        <f t="shared" si="10"/>
        <v>1.6276553630734945</v>
      </c>
      <c r="AS28" s="56">
        <f t="shared" si="119"/>
        <v>-13.53199804622119</v>
      </c>
      <c r="AT28" s="77">
        <f t="shared" si="11"/>
        <v>-1.0271823706546619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1.252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I28" s="800" cm="1">
        <f t="array" ref="II28">IFERROR(IF($IH28&lt;1,$IH28+LARGE((IF($M$9:$M$150="",0,$M$9:$M$150)-MOD(IF($M$9:$M$150="",0,$M$9:$M$150),1)),1),$IH28),"")</f>
        <v>1.1519999999999999</v>
      </c>
      <c r="IJ28" s="839" t="str">
        <f t="shared" si="68"/>
        <v>1613</v>
      </c>
      <c r="IK28" s="839" t="str">
        <f t="shared" si="69"/>
        <v>1313</v>
      </c>
      <c r="IL28" s="791">
        <f t="shared" si="228"/>
        <v>10.881998428833811</v>
      </c>
      <c r="IM28" s="830">
        <v>3.2223215103864698E-3</v>
      </c>
      <c r="IN28" s="5">
        <f t="shared" si="229"/>
        <v>0.14000000000000001</v>
      </c>
      <c r="IO28" s="852">
        <v>70</v>
      </c>
      <c r="IP28" s="9">
        <f t="shared" si="230"/>
        <v>-7.5707228333000645</v>
      </c>
      <c r="IQ28" s="5">
        <f t="shared" si="231"/>
        <v>-1.0986033133875923</v>
      </c>
      <c r="IR28" s="5">
        <f t="shared" si="74"/>
        <v>0.314</v>
      </c>
      <c r="IS28" s="5">
        <f t="shared" si="232"/>
        <v>0.28642317727480077</v>
      </c>
      <c r="IT28" s="791">
        <f t="shared" si="233"/>
        <v>59.330474026351112</v>
      </c>
      <c r="IU28" s="9">
        <f t="shared" si="234"/>
        <v>-7.6173229738460897</v>
      </c>
      <c r="IV28" s="5">
        <f t="shared" si="235"/>
        <v>-1.0783032521626086</v>
      </c>
      <c r="IW28" s="5">
        <f t="shared" si="79"/>
        <v>0.26600000000000001</v>
      </c>
      <c r="IX28" s="5">
        <f t="shared" si="236"/>
        <v>0.23221487867081403</v>
      </c>
      <c r="IY28" s="833">
        <f t="shared" si="237"/>
        <v>59.330470515410347</v>
      </c>
    </row>
    <row r="29" spans="1:259" ht="15" customHeight="1" x14ac:dyDescent="0.25">
      <c r="A29" s="84">
        <f t="shared" si="82"/>
        <v>0.02</v>
      </c>
      <c r="B29" s="770">
        <v>2.0261559708710091</v>
      </c>
      <c r="C29" s="771">
        <v>7.816384417656832</v>
      </c>
      <c r="D29" s="772">
        <v>-1.6947051112306157</v>
      </c>
      <c r="E29" s="773">
        <v>-0.6931276779197586</v>
      </c>
      <c r="F29" s="771">
        <v>0.69178600326432071</v>
      </c>
      <c r="G29" s="774">
        <v>0.20249974762735062</v>
      </c>
      <c r="H29" s="773">
        <v>0.26600000000000001</v>
      </c>
      <c r="I29" s="771">
        <v>0.52</v>
      </c>
      <c r="J29" s="601">
        <v>1.258</v>
      </c>
      <c r="K29" s="426" t="str">
        <f t="shared" si="225"/>
        <v>1313</v>
      </c>
      <c r="L29" s="327"/>
      <c r="M29" s="173">
        <f t="shared" si="2"/>
        <v>1.258</v>
      </c>
      <c r="N29" s="21">
        <f t="shared" si="3"/>
        <v>2.0261559708710091</v>
      </c>
      <c r="O29" s="5">
        <f t="shared" si="4"/>
        <v>7.816384417656832</v>
      </c>
      <c r="P29" s="10">
        <f t="shared" si="5"/>
        <v>-1.6947051112306157</v>
      </c>
      <c r="Q29" s="624">
        <f t="shared" si="116"/>
        <v>75.467702098204214</v>
      </c>
      <c r="R29" s="5">
        <f>IF(M29="","",SQRT(N29^2+O29^2))</f>
        <v>8.0747243533686515</v>
      </c>
      <c r="S29" s="6">
        <f>IF(M29="","",P29)</f>
        <v>-1.6947051112306157</v>
      </c>
      <c r="T29" s="4">
        <f>IF(M29="","",X29*COS(RADIANS(W29)))</f>
        <v>7.8163844176568311</v>
      </c>
      <c r="U29" s="5">
        <f>IF(M29="","",X29*SIN(RADIANS(W29)))</f>
        <v>-2.0261559708710148</v>
      </c>
      <c r="V29" s="8">
        <f>IF(M29="","",Y29)</f>
        <v>-1.6947051112306157</v>
      </c>
      <c r="W29" s="624">
        <f t="shared" si="227"/>
        <v>345.4677020982042</v>
      </c>
      <c r="X29" s="5">
        <f>IF(M29="","",R29)</f>
        <v>8.0747243533686515</v>
      </c>
      <c r="Y29" s="7">
        <f t="shared" si="226"/>
        <v>-1.6947051112306157</v>
      </c>
      <c r="Z29" s="21">
        <f t="shared" si="7"/>
        <v>0.6931276779197586</v>
      </c>
      <c r="AA29" s="5">
        <f t="shared" si="8"/>
        <v>-0.69178600326432071</v>
      </c>
      <c r="AB29" s="5">
        <f t="shared" si="9"/>
        <v>-0.20249974762735062</v>
      </c>
      <c r="AC29" s="8">
        <f>IF(M29="","",SQRT(Z29^2+AA29^2+AB29^2))</f>
        <v>1</v>
      </c>
      <c r="AD29" s="9">
        <f>IF(M29="","",Z29*(1/SQRT(Z29^2+AA29^2+AB29^2)))</f>
        <v>0.6931276779197586</v>
      </c>
      <c r="AE29" s="5">
        <f>IF(M29="","",AA29*(1/SQRT(Z29^2+AA29^2+AB29^2)))</f>
        <v>-0.69178600326432071</v>
      </c>
      <c r="AF29" s="10">
        <f>IF(M29="","",AB29*(1/SQRT(Z29^2+AA29^2+AB29^2)))</f>
        <v>-0.20249974762735062</v>
      </c>
      <c r="AG29" s="622">
        <f>IF(M29="","",DEGREES(ATAN2(-AF29,AE29)))</f>
        <v>-73.68417971241773</v>
      </c>
      <c r="AH29" s="623">
        <f>IF(M29="","",DEGREES(ACOS(AD29)))</f>
        <v>46.121795517276993</v>
      </c>
      <c r="AI29" s="624">
        <f>IF(M29="","",DEGREES(-ACOS(-AF29)))</f>
        <v>-78.316824332963691</v>
      </c>
      <c r="AJ29" s="625">
        <f>IF(M29="","",DEGREES(ATAN2(-AE29,AD29)))</f>
        <v>45.055506904315884</v>
      </c>
      <c r="AK29" s="4">
        <f>IF(M29="","",(COS(RADIANS((90-$Q$8)-W29))*AD29)+(-SIN(RADIANS((90-$Q$8)-W29))*AE29))</f>
        <v>0.84453888749437067</v>
      </c>
      <c r="AL29" s="5">
        <f>IF(M29="","",(SIN(RADIANS((90-$Q$8)-W29))*AD29)+(COS(RADIANS((90-$Q$8)-W29))*AE29))</f>
        <v>-0.49572968412294016</v>
      </c>
      <c r="AM29" s="6">
        <f>IF(M29="","",AF29)</f>
        <v>-0.20249974762735062</v>
      </c>
      <c r="AN29" s="612">
        <f>IF(M29="","",DEGREES(ATAN2(-AM29,AL29)))</f>
        <v>-67.780562465841626</v>
      </c>
      <c r="AO29" s="613">
        <f t="shared" si="98"/>
        <v>32.377434902533132</v>
      </c>
      <c r="AP29" s="624">
        <f>IF(M29="","",DEGREES(ATAN2(AK29,AL29)))</f>
        <v>-30.412195193888298</v>
      </c>
      <c r="AQ29" s="625">
        <f t="shared" si="10"/>
        <v>1.535500552030455</v>
      </c>
      <c r="AS29" s="56">
        <f t="shared" si="119"/>
        <v>-14.5322979017958</v>
      </c>
      <c r="AT29" s="77">
        <f t="shared" si="11"/>
        <v>-1.6398053191571649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1.258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I29" s="800" cm="1">
        <f t="array" ref="II29">IFERROR(IF($IH29&lt;1,$IH29+LARGE((IF($M$9:$M$150="",0,$M$9:$M$150)-MOD(IF($M$9:$M$150="",0,$M$9:$M$150),1)),1),$IH29),"")</f>
        <v>1.1579999999999999</v>
      </c>
      <c r="IJ29" s="839" t="str">
        <f t="shared" si="68"/>
        <v>1613</v>
      </c>
      <c r="IK29" s="839" t="str">
        <f t="shared" si="69"/>
        <v>1313</v>
      </c>
      <c r="IL29" s="791">
        <f t="shared" si="228"/>
        <v>11.411298352412359</v>
      </c>
      <c r="IM29" s="830">
        <v>2.27984802491546E-3</v>
      </c>
      <c r="IN29" s="5">
        <f t="shared" si="229"/>
        <v>0.1</v>
      </c>
      <c r="IO29" s="852">
        <v>50</v>
      </c>
      <c r="IP29" s="9">
        <f t="shared" si="230"/>
        <v>-8.0246242022665939</v>
      </c>
      <c r="IQ29" s="5">
        <f t="shared" si="231"/>
        <v>-1.7075051498355311</v>
      </c>
      <c r="IR29" s="5">
        <f t="shared" si="74"/>
        <v>0.314</v>
      </c>
      <c r="IS29" s="5">
        <f t="shared" si="232"/>
        <v>0.27883091764578105</v>
      </c>
      <c r="IT29" s="791">
        <f t="shared" si="233"/>
        <v>67.780565890574707</v>
      </c>
      <c r="IU29" s="9">
        <f t="shared" si="234"/>
        <v>-8.0747243533686515</v>
      </c>
      <c r="IV29" s="5">
        <f t="shared" si="235"/>
        <v>-1.6947051112306157</v>
      </c>
      <c r="IW29" s="5">
        <f t="shared" si="79"/>
        <v>0.26600000000000001</v>
      </c>
      <c r="IX29" s="5">
        <f t="shared" si="236"/>
        <v>0.22464734407350265</v>
      </c>
      <c r="IY29" s="833">
        <f t="shared" si="237"/>
        <v>67.780562465841626</v>
      </c>
    </row>
    <row r="30" spans="1:259" ht="15" customHeight="1" x14ac:dyDescent="0.25">
      <c r="A30" s="84">
        <f t="shared" si="82"/>
        <v>0</v>
      </c>
      <c r="B30" s="770">
        <v>2.3352626273869417</v>
      </c>
      <c r="C30" s="771">
        <v>8.0078662653217965</v>
      </c>
      <c r="D30" s="772">
        <v>-2.4098072679787204</v>
      </c>
      <c r="E30" s="773">
        <v>0.21940232068939033</v>
      </c>
      <c r="F30" s="771">
        <v>0.75235492298375339</v>
      </c>
      <c r="G30" s="774">
        <v>0.62114788218122463</v>
      </c>
      <c r="H30" s="773">
        <v>0.25700000000000001</v>
      </c>
      <c r="I30" s="771">
        <v>0.41499999999999992</v>
      </c>
      <c r="J30" s="601">
        <v>1.264</v>
      </c>
      <c r="K30" s="426" t="str">
        <f t="shared" si="225"/>
        <v>Knuckle</v>
      </c>
      <c r="L30" s="327"/>
      <c r="M30" s="173">
        <f t="shared" si="2"/>
        <v>1.264</v>
      </c>
      <c r="N30" s="21">
        <f t="shared" si="3"/>
        <v>2.3352626273869417</v>
      </c>
      <c r="O30" s="5">
        <f t="shared" si="4"/>
        <v>8.0078662653217965</v>
      </c>
      <c r="P30" s="10">
        <f t="shared" si="5"/>
        <v>-2.4098072679787204</v>
      </c>
      <c r="Q30" s="624">
        <f t="shared" si="116"/>
        <v>73.742202347335564</v>
      </c>
      <c r="R30" s="5">
        <f>IF(M30="","",SQRT(N30^2+O30^2))</f>
        <v>8.341425157738275</v>
      </c>
      <c r="S30" s="6">
        <f>IF(M30="","",P30)</f>
        <v>-2.4098072679787204</v>
      </c>
      <c r="T30" s="4">
        <f>IF(M30="","",X30*COS(RADIANS(W30)))</f>
        <v>8.0078662653217982</v>
      </c>
      <c r="U30" s="5">
        <f>IF(M30="","",X30*SIN(RADIANS(W30)))</f>
        <v>-2.3352626273869368</v>
      </c>
      <c r="V30" s="8">
        <f>IF(M30="","",Y30)</f>
        <v>-2.4098072679787204</v>
      </c>
      <c r="W30" s="624">
        <f t="shared" si="227"/>
        <v>343.74220234733559</v>
      </c>
      <c r="X30" s="5">
        <f>IF(M30="","",R30)</f>
        <v>8.341425157738275</v>
      </c>
      <c r="Y30" s="7">
        <f t="shared" si="226"/>
        <v>-2.4098072679787204</v>
      </c>
      <c r="Z30" s="21">
        <f t="shared" si="7"/>
        <v>-0.21940232068939033</v>
      </c>
      <c r="AA30" s="5">
        <f t="shared" si="8"/>
        <v>-0.75235492298375339</v>
      </c>
      <c r="AB30" s="5">
        <f t="shared" si="9"/>
        <v>-0.62114788218122463</v>
      </c>
      <c r="AC30" s="8">
        <f>IF(M30="","",SQRT(Z30^2+AA30^2+AB30^2))</f>
        <v>1</v>
      </c>
      <c r="AD30" s="9">
        <f>IF(M30="","",Z30*(1/SQRT(Z30^2+AA30^2+AB30^2)))</f>
        <v>-0.21940232068939033</v>
      </c>
      <c r="AE30" s="5">
        <f>IF(M30="","",AA30*(1/SQRT(Z30^2+AA30^2+AB30^2)))</f>
        <v>-0.75235492298375339</v>
      </c>
      <c r="AF30" s="10">
        <f>IF(M30="","",AB30*(1/SQRT(Z30^2+AA30^2+AB30^2)))</f>
        <v>-0.62114788218122463</v>
      </c>
      <c r="AG30" s="622">
        <f>IF(M30="","",DEGREES(ATAN2(-AF30,AE30)))</f>
        <v>-50.456753935351692</v>
      </c>
      <c r="AH30" s="623">
        <f>IF(M30="","",DEGREES(ACOS(AD30)))</f>
        <v>102.67393084876576</v>
      </c>
      <c r="AI30" s="624">
        <f>IF(M30="","",DEGREES(-ACOS(-AF30)))</f>
        <v>-51.599992549883943</v>
      </c>
      <c r="AJ30" s="625">
        <f>IF(M30="","",DEGREES(ATAN2(-AE30,AD30)))</f>
        <v>-16.257781071702063</v>
      </c>
      <c r="AK30" s="4">
        <f>IF(M30="","",(COS(RADIANS((90-$Q$8)-W30))*AD30)+(-SIN(RADIANS((90-$Q$8)-W30))*AE30))</f>
        <v>2.2679489625199167E-7</v>
      </c>
      <c r="AL30" s="5">
        <f>IF(M30="","",(SIN(RADIANS((90-$Q$8)-W30))*AD30)+(COS(RADIANS((90-$Q$8)-W30))*AE30))</f>
        <v>-0.78369337655854165</v>
      </c>
      <c r="AM30" s="6">
        <f>IF(M30="","",AF30)</f>
        <v>-0.62114788218122463</v>
      </c>
      <c r="AN30" s="612">
        <f>IF(M30="","",DEGREES(ATAN2(-AM30,AL30)))</f>
        <v>-51.599992549882778</v>
      </c>
      <c r="AO30" s="613">
        <f>IF(ROUND(IF(M30="",0,DEGREES(ACOS(AK30))),4)=90,0,IF(M30="","",DEGREES(ACOS(AK30))))</f>
        <v>0</v>
      </c>
      <c r="AP30" s="624">
        <f>IF(M30="","",DEGREES(ATAN2(AK30,AL30)))</f>
        <v>-89.999983419037662</v>
      </c>
      <c r="AQ30" s="625">
        <f t="shared" si="10"/>
        <v>1.4864283050051541</v>
      </c>
      <c r="AS30" s="56">
        <f t="shared" si="119"/>
        <v>-16.257797652664408</v>
      </c>
      <c r="AT30" s="77">
        <f t="shared" si="11"/>
        <v>-2.3483889212908768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1.264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1.1639999999999999</v>
      </c>
      <c r="II30" s="800" cm="1">
        <f t="array" ref="II30">IFERROR(IF($IH30&lt;1,$IH30+LARGE((IF($M$9:$M$150="",0,$M$9:$M$150)-MOD(IF($M$9:$M$150="",0,$M$9:$M$150),1)),1),$IH30),"")</f>
        <v>1.1639999999999999</v>
      </c>
      <c r="IJ30" s="839" t="str">
        <f t="shared" si="68"/>
        <v>1613</v>
      </c>
      <c r="IK30" s="839" t="str">
        <f t="shared" si="69"/>
        <v>Knuckle</v>
      </c>
      <c r="IL30" s="791">
        <f t="shared" si="228"/>
        <v>12.812798150060758</v>
      </c>
      <c r="IM30" s="830">
        <v>1.035624752395E-3</v>
      </c>
      <c r="IN30" s="5">
        <f t="shared" si="229"/>
        <v>0</v>
      </c>
      <c r="IO30" s="852">
        <v>0</v>
      </c>
      <c r="IP30" s="9">
        <f t="shared" si="230"/>
        <v>-8.3273251152125471</v>
      </c>
      <c r="IQ30" s="5">
        <f t="shared" si="231"/>
        <v>-2.4045072519938722</v>
      </c>
      <c r="IR30" s="5">
        <f t="shared" si="74"/>
        <v>0.314</v>
      </c>
      <c r="IS30" s="5">
        <f t="shared" si="232"/>
        <v>0.27083093464668373</v>
      </c>
      <c r="IT30" s="791">
        <f t="shared" si="233"/>
        <v>76.601306423593044</v>
      </c>
      <c r="IU30" s="9">
        <f t="shared" si="234"/>
        <v>-8.341425157738275</v>
      </c>
      <c r="IV30" s="5">
        <f t="shared" si="235"/>
        <v>-2.4098072679787204</v>
      </c>
      <c r="IW30" s="5">
        <f t="shared" si="79"/>
        <v>0.25700000000000001</v>
      </c>
      <c r="IX30" s="5">
        <f t="shared" si="236"/>
        <v>0.25700000000000001</v>
      </c>
      <c r="IY30" s="833">
        <f t="shared" si="237"/>
        <v>51.599992549882778</v>
      </c>
    </row>
    <row r="31" spans="1:259" ht="15" customHeight="1" x14ac:dyDescent="0.25">
      <c r="A31" s="84">
        <f t="shared" si="82"/>
        <v>0</v>
      </c>
      <c r="B31" s="770">
        <v>2.4926384602928673</v>
      </c>
      <c r="C31" s="771">
        <v>8.0966161433553729</v>
      </c>
      <c r="D31" s="772">
        <v>-3.1588095269695322</v>
      </c>
      <c r="E31" s="773">
        <v>0.25684292903459316</v>
      </c>
      <c r="F31" s="771">
        <v>0.83428084737378005</v>
      </c>
      <c r="G31" s="774">
        <v>0.48785979288133458</v>
      </c>
      <c r="H31" s="773">
        <v>0.25700000000000001</v>
      </c>
      <c r="I31" s="771">
        <v>0.41499999999999992</v>
      </c>
      <c r="J31" s="601">
        <v>1.27</v>
      </c>
      <c r="K31" s="426" t="str">
        <f t="shared" si="225"/>
        <v>Knuckle</v>
      </c>
      <c r="L31" s="327"/>
      <c r="M31" s="173">
        <f t="shared" si="2"/>
        <v>1.27</v>
      </c>
      <c r="N31" s="21">
        <f t="shared" si="3"/>
        <v>2.4926384602928673</v>
      </c>
      <c r="O31" s="5">
        <f t="shared" si="4"/>
        <v>8.0966161433553729</v>
      </c>
      <c r="P31" s="10">
        <f t="shared" si="5"/>
        <v>-3.1588095269695322</v>
      </c>
      <c r="Q31" s="624">
        <f t="shared" si="116"/>
        <v>72.888402470609009</v>
      </c>
      <c r="R31" s="5">
        <f>IF(M31="","",SQRT(N31^2+O31^2))</f>
        <v>8.4716255504226599</v>
      </c>
      <c r="S31" s="6">
        <f>IF(M31="","",P31)</f>
        <v>-3.1588095269695322</v>
      </c>
      <c r="T31" s="4">
        <f>IF(M31="","",X31*COS(RADIANS(W31)))</f>
        <v>8.0966161433553729</v>
      </c>
      <c r="U31" s="5">
        <f>IF(M31="","",X31*SIN(RADIANS(W31)))</f>
        <v>-2.4926384602928695</v>
      </c>
      <c r="V31" s="8">
        <f>IF(M31="","",Y31)</f>
        <v>-3.1588095269695322</v>
      </c>
      <c r="W31" s="624">
        <f t="shared" si="227"/>
        <v>342.88840247060898</v>
      </c>
      <c r="X31" s="5">
        <f>IF(M31="","",R31)</f>
        <v>8.4716255504226599</v>
      </c>
      <c r="Y31" s="7">
        <f t="shared" si="226"/>
        <v>-3.1588095269695322</v>
      </c>
      <c r="Z31" s="21">
        <f t="shared" si="7"/>
        <v>-0.25684292903459316</v>
      </c>
      <c r="AA31" s="5">
        <f t="shared" si="8"/>
        <v>-0.83428084737378005</v>
      </c>
      <c r="AB31" s="5">
        <f t="shared" si="9"/>
        <v>-0.48785979288133458</v>
      </c>
      <c r="AC31" s="8">
        <f>IF(M31="","",SQRT(Z31^2+AA31^2+AB31^2))</f>
        <v>1</v>
      </c>
      <c r="AD31" s="9">
        <f>IF(M31="","",Z31*(1/SQRT(Z31^2+AA31^2+AB31^2)))</f>
        <v>-0.25684292903459316</v>
      </c>
      <c r="AE31" s="5">
        <f>IF(M31="","",AA31*(1/SQRT(Z31^2+AA31^2+AB31^2)))</f>
        <v>-0.83428084737378005</v>
      </c>
      <c r="AF31" s="10">
        <f>IF(M31="","",AB31*(1/SQRT(Z31^2+AA31^2+AB31^2)))</f>
        <v>-0.48785979288133458</v>
      </c>
      <c r="AG31" s="622">
        <f>IF(M31="","",DEGREES(ATAN2(-AF31,AE31)))</f>
        <v>-59.682318905807506</v>
      </c>
      <c r="AH31" s="623">
        <f>IF(M31="","",DEGREES(ACOS(AD31)))</f>
        <v>104.88281483924729</v>
      </c>
      <c r="AI31" s="624">
        <f>IF(M31="","",DEGREES(-ACOS(-AF31)))</f>
        <v>-60.799991221568149</v>
      </c>
      <c r="AJ31" s="625">
        <f>IF(M31="","",DEGREES(ATAN2(-AE31,AD31)))</f>
        <v>-17.111582643306829</v>
      </c>
      <c r="AK31" s="4">
        <f>IF(M31="","",(COS(RADIANS((90-$Q$8)-W31))*AD31)+(-SIN(RADIANS((90-$Q$8)-W31))*AE31))</f>
        <v>2.2679489697363664E-7</v>
      </c>
      <c r="AL31" s="5">
        <f>IF(M31="","",(SIN(RADIANS((90-$Q$8)-W31))*AD31)+(COS(RADIANS((90-$Q$8)-W31))*AE31))</f>
        <v>-0.87292200252355312</v>
      </c>
      <c r="AM31" s="6">
        <f>IF(M31="","",AF31)</f>
        <v>-0.48785979288133458</v>
      </c>
      <c r="AN31" s="612">
        <f>IF(M31="","",DEGREES(ATAN2(-AM31,AL31)))</f>
        <v>-60.799991221567339</v>
      </c>
      <c r="AO31" s="613">
        <f t="shared" si="98"/>
        <v>0</v>
      </c>
      <c r="AP31" s="624">
        <f>IF(M31="","",DEGREES(ATAN2(AK31,AL31)))</f>
        <v>-89.999985113915812</v>
      </c>
      <c r="AQ31" s="625">
        <f t="shared" si="10"/>
        <v>1.4635934060456619</v>
      </c>
      <c r="AS31" s="56">
        <f t="shared" si="119"/>
        <v>-17.11159752939102</v>
      </c>
      <c r="AT31" s="77">
        <f t="shared" si="11"/>
        <v>-3.0941657140807215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>
        <f>IFERROR(IF((((($IW31*COS(RADIANS(180-$IY31)))*COS(RADIANS($IY31)))-(($IX31*SIN(RADIANS(180-$IY31)))*SIN(RADIANS($IY31))))+$IU31)&lt;(((Settings!$C$19/2)*-1)+$IF$8),1,""),"")</f>
        <v>1</v>
      </c>
      <c r="IG31" s="836">
        <f t="shared" si="67"/>
        <v>1.27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1.17</v>
      </c>
      <c r="II31" s="800" cm="1">
        <f t="array" ref="II31">IFERROR(IF($IH31&lt;1,$IH31+LARGE((IF($M$9:$M$150="",0,$M$9:$M$150)-MOD(IF($M$9:$M$150="",0,$M$9:$M$150),1)),1),$IH31),"")</f>
        <v>1.17</v>
      </c>
      <c r="IJ31" s="839" t="str">
        <f t="shared" si="68"/>
        <v>1613</v>
      </c>
      <c r="IK31" s="839" t="str">
        <f t="shared" si="69"/>
        <v>Knuckle</v>
      </c>
      <c r="IL31" s="791">
        <f t="shared" si="228"/>
        <v>13.51459804873349</v>
      </c>
      <c r="IM31" s="830">
        <v>5.9054160604751802E-5</v>
      </c>
      <c r="IN31" s="5">
        <f t="shared" si="229"/>
        <v>0</v>
      </c>
      <c r="IO31" s="852">
        <v>0</v>
      </c>
      <c r="IP31" s="9">
        <f t="shared" si="230"/>
        <v>-8.4681255398666266</v>
      </c>
      <c r="IQ31" s="5">
        <f t="shared" si="231"/>
        <v>-3.1500095004286535</v>
      </c>
      <c r="IR31" s="5">
        <f t="shared" si="74"/>
        <v>0.314</v>
      </c>
      <c r="IS31" s="5">
        <f t="shared" si="232"/>
        <v>0.25974466555798198</v>
      </c>
      <c r="IT31" s="791">
        <f t="shared" si="233"/>
        <v>83.884001771799987</v>
      </c>
      <c r="IU31" s="9">
        <f t="shared" si="234"/>
        <v>-8.4716255504226599</v>
      </c>
      <c r="IV31" s="5">
        <f t="shared" si="235"/>
        <v>-3.1588095269695322</v>
      </c>
      <c r="IW31" s="5">
        <f t="shared" si="79"/>
        <v>0.25700000000000001</v>
      </c>
      <c r="IX31" s="5">
        <f t="shared" si="236"/>
        <v>0.25700000000000001</v>
      </c>
      <c r="IY31" s="833">
        <f t="shared" si="237"/>
        <v>60.799991221567339</v>
      </c>
    </row>
    <row r="32" spans="1:259" ht="15" customHeight="1" x14ac:dyDescent="0.25">
      <c r="A32" s="84">
        <f t="shared" si="82"/>
        <v>0.02</v>
      </c>
      <c r="B32" s="770">
        <v>2.7596848749090745</v>
      </c>
      <c r="C32" s="771">
        <v>1.5933048054072929</v>
      </c>
      <c r="D32" s="772">
        <v>-0.44390133880643806</v>
      </c>
      <c r="E32" s="773">
        <v>-0.54097560356081231</v>
      </c>
      <c r="F32" s="771">
        <v>0.80302267260615134</v>
      </c>
      <c r="G32" s="774">
        <v>0.24999996726497564</v>
      </c>
      <c r="H32" s="773">
        <v>0.314</v>
      </c>
      <c r="I32" s="771">
        <v>0.52</v>
      </c>
      <c r="J32" s="601">
        <v>2.1150000000000002</v>
      </c>
      <c r="K32" s="426" t="str">
        <f t="shared" si="225"/>
        <v>1613</v>
      </c>
      <c r="L32" s="327"/>
      <c r="M32" s="173">
        <f t="shared" si="2"/>
        <v>2.1150000000000002</v>
      </c>
      <c r="N32" s="21">
        <f t="shared" si="3"/>
        <v>2.7596848749090745</v>
      </c>
      <c r="O32" s="5">
        <f t="shared" si="4"/>
        <v>1.5933048054072929</v>
      </c>
      <c r="P32" s="10">
        <f t="shared" si="5"/>
        <v>-0.44390133880643806</v>
      </c>
      <c r="Q32" s="624">
        <f t="shared" si="116"/>
        <v>29.999999999999996</v>
      </c>
      <c r="R32" s="5">
        <f t="shared" si="83"/>
        <v>3.1866096108145858</v>
      </c>
      <c r="S32" s="6">
        <f t="shared" si="84"/>
        <v>-0.44390133880643806</v>
      </c>
      <c r="T32" s="4">
        <f t="shared" si="85"/>
        <v>1.5933048054072934</v>
      </c>
      <c r="U32" s="5">
        <f t="shared" si="86"/>
        <v>-2.7596848749090745</v>
      </c>
      <c r="V32" s="8">
        <f t="shared" si="117"/>
        <v>-0.44390133880643806</v>
      </c>
      <c r="W32" s="624">
        <f t="shared" si="227"/>
        <v>300</v>
      </c>
      <c r="X32" s="5">
        <f t="shared" si="87"/>
        <v>3.1866096108145858</v>
      </c>
      <c r="Y32" s="7">
        <f t="shared" si="226"/>
        <v>-0.44390133880643806</v>
      </c>
      <c r="Z32" s="21">
        <f t="shared" si="7"/>
        <v>0.54097560356081231</v>
      </c>
      <c r="AA32" s="5">
        <f t="shared" si="8"/>
        <v>-0.80302267260615134</v>
      </c>
      <c r="AB32" s="5">
        <f t="shared" si="9"/>
        <v>-0.24999996726497564</v>
      </c>
      <c r="AC32" s="8">
        <f t="shared" si="88"/>
        <v>1</v>
      </c>
      <c r="AD32" s="9">
        <f t="shared" si="118"/>
        <v>0.54097560356081231</v>
      </c>
      <c r="AE32" s="5">
        <f t="shared" si="89"/>
        <v>-0.80302267260615134</v>
      </c>
      <c r="AF32" s="10">
        <f t="shared" si="90"/>
        <v>-0.24999996726497564</v>
      </c>
      <c r="AG32" s="622">
        <f t="shared" si="91"/>
        <v>-72.707398212485458</v>
      </c>
      <c r="AH32" s="623">
        <f t="shared" si="92"/>
        <v>57.249922869335222</v>
      </c>
      <c r="AI32" s="624">
        <f t="shared" si="93"/>
        <v>-75.522489751159469</v>
      </c>
      <c r="AJ32" s="625">
        <f t="shared" si="94"/>
        <v>33.967129645086573</v>
      </c>
      <c r="AK32" s="4">
        <f t="shared" si="213"/>
        <v>0.9659258360722075</v>
      </c>
      <c r="AL32" s="5">
        <f t="shared" si="95"/>
        <v>6.6987279208207073E-2</v>
      </c>
      <c r="AM32" s="6">
        <f t="shared" si="96"/>
        <v>-0.24999996726497564</v>
      </c>
      <c r="AN32" s="612">
        <f t="shared" si="97"/>
        <v>14.999997834268243</v>
      </c>
      <c r="AO32" s="613">
        <f t="shared" si="98"/>
        <v>14.99999783426823</v>
      </c>
      <c r="AP32" s="624">
        <f t="shared" si="99"/>
        <v>3.9671296450865632</v>
      </c>
      <c r="AQ32" s="625">
        <f t="shared" si="10"/>
        <v>3.8858517167220947</v>
      </c>
      <c r="AS32" s="56">
        <f t="shared" si="119"/>
        <v>-60</v>
      </c>
      <c r="AT32" s="77">
        <f t="shared" si="11"/>
        <v>-0.21723467213977138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2.1150000000000002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3.4021044569738308</v>
      </c>
      <c r="C33" s="771">
        <v>1.9642059240450673</v>
      </c>
      <c r="D33" s="772">
        <v>-0.24510073922382952</v>
      </c>
      <c r="E33" s="773">
        <v>-0.5409756035608122</v>
      </c>
      <c r="F33" s="771">
        <v>0.80302267260615123</v>
      </c>
      <c r="G33" s="774">
        <v>0.24999996726497559</v>
      </c>
      <c r="H33" s="773">
        <v>0.314</v>
      </c>
      <c r="I33" s="771">
        <v>0.52</v>
      </c>
      <c r="J33" s="601">
        <v>2.121</v>
      </c>
      <c r="K33" s="426" t="str">
        <f t="shared" si="225"/>
        <v>1613</v>
      </c>
      <c r="L33" s="327"/>
      <c r="M33" s="173">
        <f t="shared" si="2"/>
        <v>2.121</v>
      </c>
      <c r="N33" s="21">
        <f t="shared" si="3"/>
        <v>3.4021044569738308</v>
      </c>
      <c r="O33" s="5">
        <f t="shared" si="4"/>
        <v>1.9642059240450673</v>
      </c>
      <c r="P33" s="10">
        <f t="shared" si="5"/>
        <v>-0.24510073922382952</v>
      </c>
      <c r="Q33" s="624">
        <f t="shared" si="116"/>
        <v>30.000000000000011</v>
      </c>
      <c r="R33" s="5">
        <f t="shared" si="83"/>
        <v>3.9284118480901338</v>
      </c>
      <c r="S33" s="6">
        <f t="shared" si="84"/>
        <v>-0.24510073922382952</v>
      </c>
      <c r="T33" s="4">
        <f t="shared" si="85"/>
        <v>1.9642059240450673</v>
      </c>
      <c r="U33" s="5">
        <f t="shared" si="86"/>
        <v>-3.4021044569738308</v>
      </c>
      <c r="V33" s="8">
        <f t="shared" si="117"/>
        <v>-0.24510073922382952</v>
      </c>
      <c r="W33" s="624">
        <f t="shared" si="227"/>
        <v>300</v>
      </c>
      <c r="X33" s="5">
        <f t="shared" si="87"/>
        <v>3.9284118480901338</v>
      </c>
      <c r="Y33" s="7">
        <f t="shared" si="226"/>
        <v>-0.24510073922382952</v>
      </c>
      <c r="Z33" s="21">
        <f t="shared" si="7"/>
        <v>0.5409756035608122</v>
      </c>
      <c r="AA33" s="5">
        <f t="shared" si="8"/>
        <v>-0.80302267260615123</v>
      </c>
      <c r="AB33" s="5">
        <f t="shared" si="9"/>
        <v>-0.24999996726497559</v>
      </c>
      <c r="AC33" s="8">
        <f t="shared" si="88"/>
        <v>1</v>
      </c>
      <c r="AD33" s="9">
        <f t="shared" si="118"/>
        <v>0.5409756035608122</v>
      </c>
      <c r="AE33" s="5">
        <f t="shared" si="89"/>
        <v>-0.80302267260615123</v>
      </c>
      <c r="AF33" s="10">
        <f t="shared" si="90"/>
        <v>-0.24999996726497559</v>
      </c>
      <c r="AG33" s="622">
        <f t="shared" si="91"/>
        <v>-72.707398212485458</v>
      </c>
      <c r="AH33" s="623">
        <f t="shared" si="92"/>
        <v>57.249922869335229</v>
      </c>
      <c r="AI33" s="624">
        <f t="shared" si="93"/>
        <v>-75.522489751159469</v>
      </c>
      <c r="AJ33" s="625">
        <f t="shared" si="94"/>
        <v>33.967129645086573</v>
      </c>
      <c r="AK33" s="4">
        <f t="shared" si="213"/>
        <v>0.96592583607220739</v>
      </c>
      <c r="AL33" s="5">
        <f t="shared" si="95"/>
        <v>6.6987279208207018E-2</v>
      </c>
      <c r="AM33" s="6">
        <f t="shared" si="96"/>
        <v>-0.24999996726497559</v>
      </c>
      <c r="AN33" s="612">
        <f t="shared" si="97"/>
        <v>14.999997834268234</v>
      </c>
      <c r="AO33" s="613">
        <f t="shared" si="98"/>
        <v>14.999997834268255</v>
      </c>
      <c r="AP33" s="624">
        <f t="shared" si="99"/>
        <v>3.967129645086561</v>
      </c>
      <c r="AQ33" s="625">
        <f t="shared" si="10"/>
        <v>3.1537390034541302</v>
      </c>
      <c r="AS33" s="56">
        <f t="shared" si="119"/>
        <v>-60</v>
      </c>
      <c r="AT33" s="77">
        <f t="shared" si="11"/>
        <v>-1.8434072557162839E-2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2.121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4.0624933774685381</v>
      </c>
      <c r="C34" s="771">
        <v>2.3192731545378269</v>
      </c>
      <c r="D34" s="772">
        <v>-7.2100217454255808E-2</v>
      </c>
      <c r="E34" s="773">
        <v>-0.45438185629400468</v>
      </c>
      <c r="F34" s="771">
        <v>0.85167919546419191</v>
      </c>
      <c r="G34" s="774">
        <v>0.26111238324576153</v>
      </c>
      <c r="H34" s="773">
        <v>0.314</v>
      </c>
      <c r="I34" s="771">
        <v>0.52</v>
      </c>
      <c r="J34" s="601">
        <v>2.1269999999999998</v>
      </c>
      <c r="K34" s="426" t="str">
        <f t="shared" si="225"/>
        <v>1613</v>
      </c>
      <c r="L34" s="327"/>
      <c r="M34" s="173">
        <f t="shared" si="2"/>
        <v>2.1269999999999998</v>
      </c>
      <c r="N34" s="21">
        <f t="shared" si="3"/>
        <v>4.0624933774685381</v>
      </c>
      <c r="O34" s="5">
        <f t="shared" si="4"/>
        <v>2.3192731545378269</v>
      </c>
      <c r="P34" s="10">
        <f t="shared" si="5"/>
        <v>-7.2100217454255808E-2</v>
      </c>
      <c r="Q34" s="624">
        <f t="shared" si="116"/>
        <v>29.722000040138241</v>
      </c>
      <c r="R34" s="5">
        <f>IF(M34="","",SQRT(N34^2+O34^2))</f>
        <v>4.6779141085889524</v>
      </c>
      <c r="S34" s="6">
        <f>IF(M34="","",P34)</f>
        <v>-7.2100217454255808E-2</v>
      </c>
      <c r="T34" s="4">
        <f>IF(M34="","",X34*COS(RADIANS(W34)))</f>
        <v>2.3192731545378269</v>
      </c>
      <c r="U34" s="5">
        <f>IF(M34="","",X34*SIN(RADIANS(W34)))</f>
        <v>-4.0624933774685381</v>
      </c>
      <c r="V34" s="8">
        <f>IF(M34="","",Y34)</f>
        <v>-7.2100217454255808E-2</v>
      </c>
      <c r="W34" s="624">
        <f t="shared" si="227"/>
        <v>299.72200004013825</v>
      </c>
      <c r="X34" s="5">
        <f>IF(M34="","",R34)</f>
        <v>4.6779141085889524</v>
      </c>
      <c r="Y34" s="7">
        <f t="shared" si="226"/>
        <v>-7.2100217454255808E-2</v>
      </c>
      <c r="Z34" s="21">
        <f t="shared" si="7"/>
        <v>0.45438185629400468</v>
      </c>
      <c r="AA34" s="5">
        <f t="shared" si="8"/>
        <v>-0.85167919546419191</v>
      </c>
      <c r="AB34" s="5">
        <f t="shared" si="9"/>
        <v>-0.26111238324576153</v>
      </c>
      <c r="AC34" s="8">
        <f>IF(M34="","",SQRT(Z34^2+AA34^2+AB34^2))</f>
        <v>1</v>
      </c>
      <c r="AD34" s="9">
        <f>IF(M34="","",Z34*(1/SQRT(Z34^2+AA34^2+AB34^2)))</f>
        <v>0.45438185629400468</v>
      </c>
      <c r="AE34" s="5">
        <f>IF(M34="","",AA34*(1/SQRT(Z34^2+AA34^2+AB34^2)))</f>
        <v>-0.85167919546419191</v>
      </c>
      <c r="AF34" s="10">
        <f>IF(M34="","",AB34*(1/SQRT(Z34^2+AA34^2+AB34^2)))</f>
        <v>-0.26111238324576153</v>
      </c>
      <c r="AG34" s="622">
        <f>IF(M34="","",DEGREES(ATAN2(-AF34,AE34)))</f>
        <v>-72.955226559324217</v>
      </c>
      <c r="AH34" s="623">
        <f>IF(M34="","",DEGREES(ACOS(AD34)))</f>
        <v>62.974831172771793</v>
      </c>
      <c r="AI34" s="624">
        <f>IF(M34="","",DEGREES(-ACOS(-AF34)))</f>
        <v>-74.863922736579241</v>
      </c>
      <c r="AJ34" s="625">
        <f>IF(M34="","",DEGREES(ATAN2(-AE34,AD34)))</f>
        <v>28.080497335322182</v>
      </c>
      <c r="AK34" s="4">
        <f>IF(M34="","",(COS(RADIANS((90-$Q$8)-W34))*AD34)+(-SIN(RADIANS((90-$Q$8)-W34))*AE34))</f>
        <v>0.96491227237908805</v>
      </c>
      <c r="AL34" s="5">
        <f>IF(M34="","",(SIN(RADIANS((90-$Q$8)-W34))*AD34)+(COS(RADIANS((90-$Q$8)-W34))*AE34))</f>
        <v>-2.7651942570881827E-2</v>
      </c>
      <c r="AM34" s="6">
        <f>IF(M34="","",AF34)</f>
        <v>-0.26111238324576153</v>
      </c>
      <c r="AN34" s="612">
        <f>IF(M34="","",DEGREES(ATAN2(-AM34,AL34)))</f>
        <v>-6.0451226891347973</v>
      </c>
      <c r="AO34" s="613">
        <f t="shared" si="98"/>
        <v>15.222758850273328</v>
      </c>
      <c r="AP34" s="624">
        <f>IF(M34="","",DEGREES(ATAN2(AK34,AL34)))</f>
        <v>-1.641502704816054</v>
      </c>
      <c r="AQ34" s="625">
        <f t="shared" si="10"/>
        <v>2.649230686109262</v>
      </c>
      <c r="AS34" s="56">
        <f t="shared" si="119"/>
        <v>-60.277999959861745</v>
      </c>
      <c r="AT34" s="77">
        <f t="shared" si="11"/>
        <v>0.15561667128299966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2.1269999999999998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4.7576707697551388</v>
      </c>
      <c r="C35" s="771">
        <v>2.6635510934311974</v>
      </c>
      <c r="D35" s="772">
        <v>-5.7900174626926718E-2</v>
      </c>
      <c r="E35" s="773">
        <v>-0.38088438332883939</v>
      </c>
      <c r="F35" s="771">
        <v>0.8900703841756834</v>
      </c>
      <c r="G35" s="774">
        <v>0.25040327024534104</v>
      </c>
      <c r="H35" s="773">
        <v>0.314</v>
      </c>
      <c r="I35" s="771">
        <v>0.52</v>
      </c>
      <c r="J35" s="601">
        <v>2.133</v>
      </c>
      <c r="K35" s="426" t="str">
        <f t="shared" si="225"/>
        <v>1613</v>
      </c>
      <c r="L35" s="327"/>
      <c r="M35" s="173">
        <f t="shared" si="2"/>
        <v>2.133</v>
      </c>
      <c r="N35" s="21">
        <f t="shared" si="3"/>
        <v>4.7576707697551388</v>
      </c>
      <c r="O35" s="5">
        <f t="shared" si="4"/>
        <v>2.6635510934311974</v>
      </c>
      <c r="P35" s="10">
        <f t="shared" si="5"/>
        <v>-5.7900174626926718E-2</v>
      </c>
      <c r="Q35" s="624">
        <f t="shared" si="116"/>
        <v>29.242000109441655</v>
      </c>
      <c r="R35" s="5">
        <f>IF(M35="","",SQRT(N35^2+O35^2))</f>
        <v>5.4525164447895964</v>
      </c>
      <c r="S35" s="6">
        <f>IF(M35="","",P35)</f>
        <v>-5.7900174626926718E-2</v>
      </c>
      <c r="T35" s="4">
        <f>IF(M35="","",X35*COS(RADIANS(W35)))</f>
        <v>2.6635510934312001</v>
      </c>
      <c r="U35" s="5">
        <f>IF(M35="","",X35*SIN(RADIANS(W35)))</f>
        <v>-4.757670769755137</v>
      </c>
      <c r="V35" s="8">
        <f>IF(M35="","",Y35)</f>
        <v>-5.7900174626926718E-2</v>
      </c>
      <c r="W35" s="624">
        <f t="shared" si="227"/>
        <v>299.24200010944168</v>
      </c>
      <c r="X35" s="5">
        <f>IF(M35="","",R35)</f>
        <v>5.4525164447895964</v>
      </c>
      <c r="Y35" s="7">
        <f t="shared" si="226"/>
        <v>-5.7900174626926718E-2</v>
      </c>
      <c r="Z35" s="21">
        <f t="shared" si="7"/>
        <v>0.38088438332883939</v>
      </c>
      <c r="AA35" s="5">
        <f t="shared" si="8"/>
        <v>-0.8900703841756834</v>
      </c>
      <c r="AB35" s="5">
        <f t="shared" si="9"/>
        <v>-0.25040327024534104</v>
      </c>
      <c r="AC35" s="8">
        <f>IF(M35="","",SQRT(Z35^2+AA35^2+AB35^2))</f>
        <v>1</v>
      </c>
      <c r="AD35" s="9">
        <f>IF(M35="","",Z35*(1/SQRT(Z35^2+AA35^2+AB35^2)))</f>
        <v>0.38088438332883939</v>
      </c>
      <c r="AE35" s="5">
        <f>IF(M35="","",AA35*(1/SQRT(Z35^2+AA35^2+AB35^2)))</f>
        <v>-0.8900703841756834</v>
      </c>
      <c r="AF35" s="10">
        <f>IF(M35="","",AB35*(1/SQRT(Z35^2+AA35^2+AB35^2)))</f>
        <v>-0.25040327024534104</v>
      </c>
      <c r="AG35" s="622">
        <f>IF(M35="","",DEGREES(ATAN2(-AF35,AE35)))</f>
        <v>-74.287128369662</v>
      </c>
      <c r="AH35" s="623">
        <f>IF(M35="","",DEGREES(ACOS(AD35)))</f>
        <v>67.611525844100456</v>
      </c>
      <c r="AI35" s="624">
        <f>IF(M35="","",DEGREES(-ACOS(-AF35)))</f>
        <v>-75.498623083266509</v>
      </c>
      <c r="AJ35" s="625">
        <f>IF(M35="","",DEGREES(ATAN2(-AE35,AD35)))</f>
        <v>23.167347961221182</v>
      </c>
      <c r="AK35" s="4">
        <f>IF(M35="","",(COS(RADIANS((90-$Q$8)-W35))*AD35)+(-SIN(RADIANS((90-$Q$8)-W35))*AE35))</f>
        <v>0.96270537075039109</v>
      </c>
      <c r="AL35" s="5">
        <f>IF(M35="","",(SIN(RADIANS((90-$Q$8)-W35))*AD35)+(COS(RADIANS((90-$Q$8)-W35))*AE35))</f>
        <v>-0.10245277633520211</v>
      </c>
      <c r="AM35" s="6">
        <f>IF(M35="","",AF35)</f>
        <v>-0.25040327024534104</v>
      </c>
      <c r="AN35" s="612">
        <f>IF(M35="","",DEGREES(ATAN2(-AM35,AL35)))</f>
        <v>-22.25197842936392</v>
      </c>
      <c r="AO35" s="613">
        <f t="shared" si="98"/>
        <v>15.697114985597654</v>
      </c>
      <c r="AP35" s="624">
        <f>IF(M35="","",DEGREES(ATAN2(AK35,AL35)))</f>
        <v>-6.0746521482205065</v>
      </c>
      <c r="AQ35" s="625">
        <f t="shared" si="10"/>
        <v>2.2732997881792079</v>
      </c>
      <c r="AS35" s="56">
        <f t="shared" si="119"/>
        <v>-60.757999890558324</v>
      </c>
      <c r="AT35" s="77">
        <f t="shared" si="11"/>
        <v>0.17163004718184915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2.133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0.02</v>
      </c>
      <c r="B36" s="770">
        <v>5.437041565982625</v>
      </c>
      <c r="C36" s="771">
        <v>2.9707758329079703</v>
      </c>
      <c r="D36" s="772">
        <v>-0.21900066050599207</v>
      </c>
      <c r="E36" s="773">
        <v>-0.30743788253473808</v>
      </c>
      <c r="F36" s="771">
        <v>0.92530821330727864</v>
      </c>
      <c r="G36" s="774">
        <v>0.22200598813691616</v>
      </c>
      <c r="H36" s="773">
        <v>0.314</v>
      </c>
      <c r="I36" s="771">
        <v>0.52</v>
      </c>
      <c r="J36" s="601">
        <v>2.1389999999999998</v>
      </c>
      <c r="K36" s="426" t="str">
        <f t="shared" si="225"/>
        <v>1613</v>
      </c>
      <c r="L36" s="327"/>
      <c r="M36" s="173">
        <f t="shared" si="2"/>
        <v>2.1389999999999998</v>
      </c>
      <c r="N36" s="21">
        <f t="shared" si="3"/>
        <v>5.437041565982625</v>
      </c>
      <c r="O36" s="5">
        <f t="shared" si="4"/>
        <v>2.9707758329079703</v>
      </c>
      <c r="P36" s="10">
        <f t="shared" si="5"/>
        <v>-0.21900066050599207</v>
      </c>
      <c r="Q36" s="624">
        <f t="shared" si="116"/>
        <v>28.652000194627103</v>
      </c>
      <c r="R36" s="5">
        <f>IF(M36="","",SQRT(N36^2+O36^2))</f>
        <v>6.1957186862875595</v>
      </c>
      <c r="S36" s="6">
        <f>IF(M36="","",P36)</f>
        <v>-0.21900066050599207</v>
      </c>
      <c r="T36" s="4">
        <f>IF(M36="","",X36*COS(RADIANS(W36)))</f>
        <v>2.9707758329079659</v>
      </c>
      <c r="U36" s="5">
        <f>IF(M36="","",X36*SIN(RADIANS(W36)))</f>
        <v>-5.4370415659826277</v>
      </c>
      <c r="V36" s="8">
        <f>IF(M36="","",Y36)</f>
        <v>-0.21900066050599207</v>
      </c>
      <c r="W36" s="624">
        <f t="shared" si="227"/>
        <v>298.65200019462708</v>
      </c>
      <c r="X36" s="5">
        <f>IF(M36="","",R36)</f>
        <v>6.1957186862875595</v>
      </c>
      <c r="Y36" s="7">
        <f t="shared" si="226"/>
        <v>-0.21900066050599207</v>
      </c>
      <c r="Z36" s="21">
        <f t="shared" si="7"/>
        <v>0.30743788253473808</v>
      </c>
      <c r="AA36" s="5">
        <f t="shared" si="8"/>
        <v>-0.92530821330727864</v>
      </c>
      <c r="AB36" s="5">
        <f t="shared" si="9"/>
        <v>-0.22200598813691616</v>
      </c>
      <c r="AC36" s="8">
        <f>IF(M36="","",SQRT(Z36^2+AA36^2+AB36^2))</f>
        <v>1</v>
      </c>
      <c r="AD36" s="9">
        <f>IF(M36="","",Z36*(1/SQRT(Z36^2+AA36^2+AB36^2)))</f>
        <v>0.30743788253473808</v>
      </c>
      <c r="AE36" s="5">
        <f>IF(M36="","",AA36*(1/SQRT(Z36^2+AA36^2+AB36^2)))</f>
        <v>-0.92530821330727864</v>
      </c>
      <c r="AF36" s="10">
        <f>IF(M36="","",AB36*(1/SQRT(Z36^2+AA36^2+AB36^2)))</f>
        <v>-0.22200598813691616</v>
      </c>
      <c r="AG36" s="622">
        <f>IF(M36="","",DEGREES(ATAN2(-AF36,AE36)))</f>
        <v>-76.508247082400047</v>
      </c>
      <c r="AH36" s="623">
        <f>IF(M36="","",DEGREES(ACOS(AD36)))</f>
        <v>72.095106958870161</v>
      </c>
      <c r="AI36" s="624">
        <f>IF(M36="","",DEGREES(-ACOS(-AF36)))</f>
        <v>-77.173118298473867</v>
      </c>
      <c r="AJ36" s="625">
        <f>IF(M36="","",DEGREES(ATAN2(-AE36,AD36)))</f>
        <v>18.379303104630594</v>
      </c>
      <c r="AK36" s="4">
        <f>IF(M36="","",(COS(RADIANS((90-$Q$8)-W36))*AD36)+(-SIN(RADIANS((90-$Q$8)-W36))*AE36))</f>
        <v>0.95941545277181794</v>
      </c>
      <c r="AL36" s="5">
        <f>IF(M36="","",(SIN(RADIANS((90-$Q$8)-W36))*AD36)+(COS(RADIANS((90-$Q$8)-W36))*AE36))</f>
        <v>-0.17388309352550474</v>
      </c>
      <c r="AM36" s="6">
        <f>IF(M36="","",AF36)</f>
        <v>-0.22200598813691616</v>
      </c>
      <c r="AN36" s="612">
        <f>IF(M36="","",DEGREES(ATAN2(-AM36,AL36)))</f>
        <v>-38.069327441889378</v>
      </c>
      <c r="AO36" s="613">
        <f t="shared" si="98"/>
        <v>16.379394350723359</v>
      </c>
      <c r="AP36" s="624">
        <f>IF(M36="","",DEGREES(ATAN2(AK36,AL36)))</f>
        <v>-10.272697089996461</v>
      </c>
      <c r="AQ36" s="625">
        <f t="shared" si="10"/>
        <v>2.0008447450021669</v>
      </c>
      <c r="AS36" s="56">
        <f t="shared" si="119"/>
        <v>-61.347999805372922</v>
      </c>
      <c r="AT36" s="77">
        <f t="shared" si="11"/>
        <v>1.2758449869861188E-2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2.1389999999999998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0.02</v>
      </c>
      <c r="B37" s="770">
        <v>6.0775886248239885</v>
      </c>
      <c r="C37" s="771">
        <v>3.2351858439596382</v>
      </c>
      <c r="D37" s="772">
        <v>-0.5409016313593199</v>
      </c>
      <c r="E37" s="773">
        <v>-0.21727568443878581</v>
      </c>
      <c r="F37" s="771">
        <v>0.94993715189597416</v>
      </c>
      <c r="G37" s="774">
        <v>0.22452323799424914</v>
      </c>
      <c r="H37" s="773">
        <v>0.314</v>
      </c>
      <c r="I37" s="771">
        <v>0.52</v>
      </c>
      <c r="J37" s="601">
        <v>2.145</v>
      </c>
      <c r="K37" s="426" t="str">
        <f t="shared" si="225"/>
        <v>1613</v>
      </c>
      <c r="L37" s="327"/>
      <c r="M37" s="173">
        <f t="shared" si="2"/>
        <v>2.145</v>
      </c>
      <c r="N37" s="21">
        <f t="shared" si="3"/>
        <v>6.0775886248239885</v>
      </c>
      <c r="O37" s="5">
        <f t="shared" si="4"/>
        <v>3.2351858439596382</v>
      </c>
      <c r="P37" s="10">
        <f t="shared" si="5"/>
        <v>-0.5409016313593199</v>
      </c>
      <c r="Q37" s="624">
        <f t="shared" si="116"/>
        <v>28.027000284865917</v>
      </c>
      <c r="R37" s="5">
        <f t="shared" si="83"/>
        <v>6.8850207652226274</v>
      </c>
      <c r="S37" s="6">
        <f t="shared" si="84"/>
        <v>-0.5409016313593199</v>
      </c>
      <c r="T37" s="4">
        <f t="shared" si="85"/>
        <v>3.2351858439596328</v>
      </c>
      <c r="U37" s="5">
        <f t="shared" si="86"/>
        <v>-6.0775886248239912</v>
      </c>
      <c r="V37" s="8">
        <f t="shared" si="117"/>
        <v>-0.5409016313593199</v>
      </c>
      <c r="W37" s="624">
        <f t="shared" si="227"/>
        <v>298.02700028486589</v>
      </c>
      <c r="X37" s="5">
        <f t="shared" si="87"/>
        <v>6.8850207652226274</v>
      </c>
      <c r="Y37" s="7">
        <f t="shared" si="226"/>
        <v>-0.5409016313593199</v>
      </c>
      <c r="Z37" s="21">
        <f t="shared" si="7"/>
        <v>0.21727568443878581</v>
      </c>
      <c r="AA37" s="5">
        <f t="shared" si="8"/>
        <v>-0.94993715189597416</v>
      </c>
      <c r="AB37" s="5">
        <f t="shared" si="9"/>
        <v>-0.22452323799424914</v>
      </c>
      <c r="AC37" s="8">
        <f t="shared" si="88"/>
        <v>1</v>
      </c>
      <c r="AD37" s="9">
        <f t="shared" si="118"/>
        <v>0.21727568443878581</v>
      </c>
      <c r="AE37" s="5">
        <f t="shared" si="89"/>
        <v>-0.94993715189597416</v>
      </c>
      <c r="AF37" s="10">
        <f t="shared" si="90"/>
        <v>-0.22452323799424914</v>
      </c>
      <c r="AG37" s="622">
        <f t="shared" si="91"/>
        <v>-76.701850190748431</v>
      </c>
      <c r="AH37" s="623">
        <f t="shared" si="92"/>
        <v>77.450928955233692</v>
      </c>
      <c r="AI37" s="624">
        <f t="shared" si="93"/>
        <v>-77.025155565301688</v>
      </c>
      <c r="AJ37" s="625">
        <f t="shared" si="94"/>
        <v>12.883438446339154</v>
      </c>
      <c r="AK37" s="4">
        <f t="shared" si="213"/>
        <v>0.94062961725639216</v>
      </c>
      <c r="AL37" s="5">
        <f t="shared" si="95"/>
        <v>-0.25456873087767673</v>
      </c>
      <c r="AM37" s="6">
        <f t="shared" si="96"/>
        <v>-0.22452323799424914</v>
      </c>
      <c r="AN37" s="612">
        <f t="shared" si="97"/>
        <v>-48.588514343341082</v>
      </c>
      <c r="AO37" s="613">
        <f t="shared" si="98"/>
        <v>19.842437370602013</v>
      </c>
      <c r="AP37" s="624">
        <f t="shared" si="99"/>
        <v>-15.143561838526713</v>
      </c>
      <c r="AQ37" s="625">
        <f t="shared" si="10"/>
        <v>1.8006669852531563</v>
      </c>
      <c r="AS37" s="56">
        <f t="shared" si="119"/>
        <v>-61.972999715134108</v>
      </c>
      <c r="AT37" s="77">
        <f t="shared" si="11"/>
        <v>-0.30678141021325767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2.145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6.6399830313995176</v>
      </c>
      <c r="C38" s="771">
        <v>3.4477235794782106</v>
      </c>
      <c r="D38" s="772">
        <v>-1.0087030422483745</v>
      </c>
      <c r="E38" s="773">
        <v>-0.12615517930951842</v>
      </c>
      <c r="F38" s="771">
        <v>0.97017117510034157</v>
      </c>
      <c r="G38" s="774">
        <v>0.20700908612378754</v>
      </c>
      <c r="H38" s="773">
        <v>0.314</v>
      </c>
      <c r="I38" s="771">
        <v>0.52</v>
      </c>
      <c r="J38" s="601">
        <v>2.1509999999999998</v>
      </c>
      <c r="K38" s="426" t="str">
        <f t="shared" si="225"/>
        <v>1613</v>
      </c>
      <c r="L38" s="327"/>
      <c r="M38" s="173">
        <f t="shared" si="2"/>
        <v>2.1509999999999998</v>
      </c>
      <c r="N38" s="21">
        <f t="shared" si="3"/>
        <v>6.6399830313995176</v>
      </c>
      <c r="O38" s="5">
        <f t="shared" si="4"/>
        <v>3.4477235794782106</v>
      </c>
      <c r="P38" s="10">
        <f t="shared" si="5"/>
        <v>-1.0087030422483745</v>
      </c>
      <c r="Q38" s="624">
        <f t="shared" si="116"/>
        <v>27.440000369618218</v>
      </c>
      <c r="R38" s="5">
        <f t="shared" si="83"/>
        <v>7.4817225648752554</v>
      </c>
      <c r="S38" s="6">
        <f t="shared" si="84"/>
        <v>-1.0087030422483745</v>
      </c>
      <c r="T38" s="4">
        <f t="shared" si="85"/>
        <v>3.4477235794782111</v>
      </c>
      <c r="U38" s="5">
        <f t="shared" si="86"/>
        <v>-6.6399830313995167</v>
      </c>
      <c r="V38" s="8">
        <f t="shared" si="117"/>
        <v>-1.0087030422483745</v>
      </c>
      <c r="W38" s="624">
        <f t="shared" si="227"/>
        <v>297.44000036961825</v>
      </c>
      <c r="X38" s="5">
        <f t="shared" si="87"/>
        <v>7.4817225648752554</v>
      </c>
      <c r="Y38" s="7">
        <f t="shared" si="226"/>
        <v>-1.0087030422483745</v>
      </c>
      <c r="Z38" s="21">
        <f t="shared" si="7"/>
        <v>0.12615517930951842</v>
      </c>
      <c r="AA38" s="5">
        <f t="shared" si="8"/>
        <v>-0.97017117510034157</v>
      </c>
      <c r="AB38" s="5">
        <f t="shared" si="9"/>
        <v>-0.20700908612378754</v>
      </c>
      <c r="AC38" s="8">
        <f t="shared" si="88"/>
        <v>1</v>
      </c>
      <c r="AD38" s="9">
        <f t="shared" si="118"/>
        <v>0.12615517930951842</v>
      </c>
      <c r="AE38" s="5">
        <f t="shared" si="89"/>
        <v>-0.97017117510034157</v>
      </c>
      <c r="AF38" s="10">
        <f t="shared" si="90"/>
        <v>-0.20700908612378754</v>
      </c>
      <c r="AG38" s="622">
        <f t="shared" si="91"/>
        <v>-77.955208598133794</v>
      </c>
      <c r="AH38" s="623">
        <f t="shared" si="92"/>
        <v>82.752529186159947</v>
      </c>
      <c r="AI38" s="624">
        <f t="shared" si="93"/>
        <v>-78.052865616675817</v>
      </c>
      <c r="AJ38" s="625">
        <f t="shared" si="94"/>
        <v>7.4088243593229759</v>
      </c>
      <c r="AK38" s="4">
        <f t="shared" si="213"/>
        <v>0.91915575149538919</v>
      </c>
      <c r="AL38" s="5">
        <f t="shared" si="95"/>
        <v>-0.33511183619075691</v>
      </c>
      <c r="AM38" s="6">
        <f t="shared" si="96"/>
        <v>-0.20700908612378754</v>
      </c>
      <c r="AN38" s="612">
        <f t="shared" si="97"/>
        <v>-58.295074677843921</v>
      </c>
      <c r="AO38" s="613">
        <f t="shared" si="98"/>
        <v>23.197031019328151</v>
      </c>
      <c r="AP38" s="624">
        <f t="shared" si="99"/>
        <v>-20.031176010295251</v>
      </c>
      <c r="AQ38" s="625">
        <f t="shared" si="10"/>
        <v>1.6571390496268281</v>
      </c>
      <c r="AS38" s="56">
        <f t="shared" si="119"/>
        <v>-62.559999630381753</v>
      </c>
      <c r="AT38" s="77">
        <f t="shared" si="11"/>
        <v>-0.77236526586693233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2.1509999999999998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7.0940426282530753</v>
      </c>
      <c r="C39" s="771">
        <v>3.6066450413915443</v>
      </c>
      <c r="D39" s="772">
        <v>-1.6002048262177555</v>
      </c>
      <c r="E39" s="773">
        <v>-4.0183878853474284E-2</v>
      </c>
      <c r="F39" s="771">
        <v>0.98432445213172126</v>
      </c>
      <c r="G39" s="774">
        <v>0.17172835763459743</v>
      </c>
      <c r="H39" s="773">
        <v>0.314</v>
      </c>
      <c r="I39" s="771">
        <v>0.52</v>
      </c>
      <c r="J39" s="601">
        <v>2.157</v>
      </c>
      <c r="K39" s="426" t="str">
        <f t="shared" si="225"/>
        <v>1613</v>
      </c>
      <c r="L39" s="327"/>
      <c r="M39" s="173">
        <f t="shared" si="2"/>
        <v>2.157</v>
      </c>
      <c r="N39" s="21">
        <f t="shared" si="3"/>
        <v>7.0940426282530753</v>
      </c>
      <c r="O39" s="5">
        <f t="shared" si="4"/>
        <v>3.6066450413915443</v>
      </c>
      <c r="P39" s="10">
        <f t="shared" si="5"/>
        <v>-1.6002048262177555</v>
      </c>
      <c r="Q39" s="624">
        <f t="shared" si="116"/>
        <v>26.949000440509849</v>
      </c>
      <c r="R39" s="5">
        <f t="shared" si="83"/>
        <v>7.9582240020035888</v>
      </c>
      <c r="S39" s="6">
        <f t="shared" si="84"/>
        <v>-1.6002048262177555</v>
      </c>
      <c r="T39" s="4">
        <f t="shared" si="85"/>
        <v>3.606645041391543</v>
      </c>
      <c r="U39" s="5">
        <f t="shared" si="86"/>
        <v>-7.0940426282530762</v>
      </c>
      <c r="V39" s="8">
        <f t="shared" si="117"/>
        <v>-1.6002048262177555</v>
      </c>
      <c r="W39" s="624">
        <f t="shared" si="227"/>
        <v>296.94900044050985</v>
      </c>
      <c r="X39" s="5">
        <f t="shared" si="87"/>
        <v>7.9582240020035888</v>
      </c>
      <c r="Y39" s="7">
        <f t="shared" si="226"/>
        <v>-1.6002048262177555</v>
      </c>
      <c r="Z39" s="21">
        <f t="shared" si="7"/>
        <v>4.0183878853474284E-2</v>
      </c>
      <c r="AA39" s="5">
        <f t="shared" si="8"/>
        <v>-0.98432445213172126</v>
      </c>
      <c r="AB39" s="5">
        <f t="shared" si="9"/>
        <v>-0.17172835763459743</v>
      </c>
      <c r="AC39" s="8">
        <f t="shared" si="88"/>
        <v>1</v>
      </c>
      <c r="AD39" s="9">
        <f t="shared" si="118"/>
        <v>4.0183878853474284E-2</v>
      </c>
      <c r="AE39" s="5">
        <f t="shared" si="89"/>
        <v>-0.98432445213172126</v>
      </c>
      <c r="AF39" s="10">
        <f t="shared" si="90"/>
        <v>-0.17172835763459743</v>
      </c>
      <c r="AG39" s="622">
        <f t="shared" si="91"/>
        <v>-80.103601700943855</v>
      </c>
      <c r="AH39" s="623">
        <f t="shared" si="92"/>
        <v>87.697013264386939</v>
      </c>
      <c r="AI39" s="624">
        <f t="shared" si="93"/>
        <v>-80.11167535579014</v>
      </c>
      <c r="AJ39" s="625">
        <f t="shared" si="94"/>
        <v>2.337734175162081</v>
      </c>
      <c r="AK39" s="4">
        <f t="shared" si="213"/>
        <v>0.89564815077717541</v>
      </c>
      <c r="AL39" s="5">
        <f t="shared" si="95"/>
        <v>-0.41027278875590806</v>
      </c>
      <c r="AM39" s="6">
        <f t="shared" si="96"/>
        <v>-0.17172835763459743</v>
      </c>
      <c r="AN39" s="612">
        <f t="shared" si="97"/>
        <v>-67.287220392410646</v>
      </c>
      <c r="AO39" s="613">
        <f t="shared" si="98"/>
        <v>26.408195547476826</v>
      </c>
      <c r="AP39" s="624">
        <f t="shared" si="99"/>
        <v>-24.611266265347755</v>
      </c>
      <c r="AQ39" s="625">
        <f t="shared" si="10"/>
        <v>1.557967728736805</v>
      </c>
      <c r="AS39" s="56">
        <f t="shared" si="119"/>
        <v>-63.050999559490151</v>
      </c>
      <c r="AT39" s="77">
        <f t="shared" si="11"/>
        <v>-1.3620121612152372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2.157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7.4121941399329669</v>
      </c>
      <c r="C40" s="771">
        <v>3.7111032049223875</v>
      </c>
      <c r="D40" s="772">
        <v>-2.2837068876599735</v>
      </c>
      <c r="E40" s="773">
        <v>5.0096296714281091E-2</v>
      </c>
      <c r="F40" s="771">
        <v>0.9900425069887645</v>
      </c>
      <c r="G40" s="774">
        <v>0.13155301368998393</v>
      </c>
      <c r="H40" s="773">
        <v>0.314</v>
      </c>
      <c r="I40" s="771">
        <v>0.52</v>
      </c>
      <c r="J40" s="601">
        <v>2.1629999999999998</v>
      </c>
      <c r="K40" s="426" t="str">
        <f t="shared" si="225"/>
        <v>1613</v>
      </c>
      <c r="L40" s="327"/>
      <c r="M40" s="173">
        <f t="shared" si="2"/>
        <v>2.1629999999999998</v>
      </c>
      <c r="N40" s="21">
        <f t="shared" si="3"/>
        <v>7.4121941399329669</v>
      </c>
      <c r="O40" s="5">
        <f t="shared" si="4"/>
        <v>3.7111032049223875</v>
      </c>
      <c r="P40" s="10">
        <f t="shared" si="5"/>
        <v>-2.2837068876599735</v>
      </c>
      <c r="Q40" s="624">
        <f t="shared" si="116"/>
        <v>26.59600049147674</v>
      </c>
      <c r="R40" s="5">
        <f t="shared" si="83"/>
        <v>8.289325000604201</v>
      </c>
      <c r="S40" s="6">
        <f t="shared" si="84"/>
        <v>-2.2837068876599735</v>
      </c>
      <c r="T40" s="4">
        <f t="shared" si="85"/>
        <v>3.711103204922388</v>
      </c>
      <c r="U40" s="5">
        <f t="shared" si="86"/>
        <v>-7.4121941399329678</v>
      </c>
      <c r="V40" s="8">
        <f t="shared" si="117"/>
        <v>-2.2837068876599735</v>
      </c>
      <c r="W40" s="624">
        <f t="shared" si="227"/>
        <v>296.59600049147673</v>
      </c>
      <c r="X40" s="5">
        <f t="shared" si="87"/>
        <v>8.289325000604201</v>
      </c>
      <c r="Y40" s="7">
        <f t="shared" si="226"/>
        <v>-2.2837068876599735</v>
      </c>
      <c r="Z40" s="21">
        <f t="shared" si="7"/>
        <v>-5.0096296714281091E-2</v>
      </c>
      <c r="AA40" s="5">
        <f t="shared" si="8"/>
        <v>-0.9900425069887645</v>
      </c>
      <c r="AB40" s="5">
        <f t="shared" si="9"/>
        <v>-0.13155301368998393</v>
      </c>
      <c r="AC40" s="8">
        <f t="shared" si="88"/>
        <v>1</v>
      </c>
      <c r="AD40" s="9">
        <f t="shared" si="118"/>
        <v>-5.0096296714281091E-2</v>
      </c>
      <c r="AE40" s="5">
        <f t="shared" si="89"/>
        <v>-0.9900425069887645</v>
      </c>
      <c r="AF40" s="10">
        <f t="shared" si="90"/>
        <v>-0.13155301368998393</v>
      </c>
      <c r="AG40" s="622">
        <f t="shared" si="91"/>
        <v>-82.431096604334385</v>
      </c>
      <c r="AH40" s="623">
        <f t="shared" si="92"/>
        <v>92.871508300951945</v>
      </c>
      <c r="AI40" s="624">
        <f t="shared" si="93"/>
        <v>-82.440655743136176</v>
      </c>
      <c r="AJ40" s="625">
        <f t="shared" si="94"/>
        <v>-2.8967043539193997</v>
      </c>
      <c r="AK40" s="4">
        <f t="shared" si="213"/>
        <v>0.86285369927879718</v>
      </c>
      <c r="AL40" s="5">
        <f t="shared" si="95"/>
        <v>-0.48803411584640077</v>
      </c>
      <c r="AM40" s="6">
        <f t="shared" si="96"/>
        <v>-0.13155301368998393</v>
      </c>
      <c r="AN40" s="612">
        <f t="shared" si="97"/>
        <v>-74.914084752586177</v>
      </c>
      <c r="AO40" s="613">
        <f t="shared" si="98"/>
        <v>30.361477948079276</v>
      </c>
      <c r="AP40" s="624">
        <f t="shared" si="99"/>
        <v>-29.492704845396137</v>
      </c>
      <c r="AQ40" s="625">
        <f t="shared" si="10"/>
        <v>1.4957665896662311</v>
      </c>
      <c r="AS40" s="56">
        <f t="shared" si="119"/>
        <v>-63.40399950852327</v>
      </c>
      <c r="AT40" s="77">
        <f t="shared" si="11"/>
        <v>-2.0441806672944414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2.1629999999999998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7.5750337359455093</v>
      </c>
      <c r="C41" s="771">
        <v>3.7625867986043939</v>
      </c>
      <c r="D41" s="772">
        <v>-3.0239091201099062</v>
      </c>
      <c r="E41" s="773">
        <v>0.11534415385000925</v>
      </c>
      <c r="F41" s="771">
        <v>0.99096460667118713</v>
      </c>
      <c r="G41" s="774">
        <v>6.8446143044330179E-2</v>
      </c>
      <c r="H41" s="773">
        <v>0.314</v>
      </c>
      <c r="I41" s="771">
        <v>0.52</v>
      </c>
      <c r="J41" s="601">
        <v>2.169</v>
      </c>
      <c r="K41" s="426" t="str">
        <f t="shared" si="225"/>
        <v>1613</v>
      </c>
      <c r="L41" s="327"/>
      <c r="M41" s="173">
        <f t="shared" ref="M41:M72" si="242">IF(J41="","",VALUE(J41))</f>
        <v>2.169</v>
      </c>
      <c r="N41" s="21">
        <f t="shared" ref="N41:N72" si="243">IF(M41="","",B41)</f>
        <v>7.5750337359455093</v>
      </c>
      <c r="O41" s="5">
        <f t="shared" ref="O41:O72" si="244">IF(M41="","",C41)</f>
        <v>3.7625867986043939</v>
      </c>
      <c r="P41" s="10">
        <f t="shared" ref="P41:P72" si="245">IF(M41="","",D41)</f>
        <v>-3.0239091201099062</v>
      </c>
      <c r="Q41" s="624">
        <f t="shared" si="116"/>
        <v>26.414000517754271</v>
      </c>
      <c r="R41" s="5">
        <f t="shared" si="83"/>
        <v>8.458025509404937</v>
      </c>
      <c r="S41" s="6">
        <f t="shared" si="84"/>
        <v>-3.0239091201099062</v>
      </c>
      <c r="T41" s="4">
        <f t="shared" si="85"/>
        <v>3.7625867986043935</v>
      </c>
      <c r="U41" s="5">
        <f t="shared" si="86"/>
        <v>-7.5750337359455093</v>
      </c>
      <c r="V41" s="8">
        <f t="shared" si="117"/>
        <v>-3.0239091201099062</v>
      </c>
      <c r="W41" s="624">
        <f t="shared" si="227"/>
        <v>296.41400051775429</v>
      </c>
      <c r="X41" s="5">
        <f t="shared" si="87"/>
        <v>8.458025509404937</v>
      </c>
      <c r="Y41" s="7">
        <f t="shared" si="226"/>
        <v>-3.0239091201099062</v>
      </c>
      <c r="Z41" s="21">
        <f t="shared" ref="Z41:Z72" si="246">IF(M41="","",-E41)</f>
        <v>-0.11534415385000925</v>
      </c>
      <c r="AA41" s="5">
        <f t="shared" ref="AA41:AA72" si="247">IF(M41="","",-F41)</f>
        <v>-0.99096460667118713</v>
      </c>
      <c r="AB41" s="5">
        <f t="shared" ref="AB41:AB72" si="248">IF(M41="","",-G41)</f>
        <v>-6.8446143044330179E-2</v>
      </c>
      <c r="AC41" s="8">
        <f t="shared" si="88"/>
        <v>1</v>
      </c>
      <c r="AD41" s="9">
        <f t="shared" si="118"/>
        <v>-0.11534415385000925</v>
      </c>
      <c r="AE41" s="5">
        <f t="shared" si="89"/>
        <v>-0.99096460667118713</v>
      </c>
      <c r="AF41" s="10">
        <f t="shared" si="90"/>
        <v>-6.8446143044330179E-2</v>
      </c>
      <c r="AG41" s="622">
        <f t="shared" si="91"/>
        <v>-86.048843205655928</v>
      </c>
      <c r="AH41" s="623">
        <f t="shared" si="92"/>
        <v>96.623475707048598</v>
      </c>
      <c r="AI41" s="624">
        <f t="shared" si="93"/>
        <v>-86.075256313441272</v>
      </c>
      <c r="AJ41" s="625">
        <f t="shared" si="94"/>
        <v>-6.6391154891423003</v>
      </c>
      <c r="AK41" s="4">
        <f t="shared" si="213"/>
        <v>0.83619964591328921</v>
      </c>
      <c r="AL41" s="5">
        <f t="shared" si="95"/>
        <v>-0.54413718644919395</v>
      </c>
      <c r="AM41" s="6">
        <f t="shared" si="96"/>
        <v>-6.8446143044330179E-2</v>
      </c>
      <c r="AN41" s="612">
        <f t="shared" si="97"/>
        <v>-82.830511249555229</v>
      </c>
      <c r="AO41" s="613">
        <f t="shared" si="98"/>
        <v>33.259039064511818</v>
      </c>
      <c r="AP41" s="624">
        <f t="shared" si="99"/>
        <v>-33.053116006896566</v>
      </c>
      <c r="AQ41" s="625">
        <f t="shared" ref="AQ41:AQ72" si="249">IF(M41="","",DEGREES(ATAN(($AS$5*SIN(RADIANS(90)))/(($X41*2*PI())-($AS$5*COS(RADIANS(90)))))))</f>
        <v>1.4659457578605408</v>
      </c>
      <c r="AS41" s="56">
        <f t="shared" si="119"/>
        <v>-63.585999482245711</v>
      </c>
      <c r="AT41" s="77">
        <f t="shared" ref="AT41:AT72" si="250">IF(M41="","",Y41+(((AS41-$AS$9)*$AS$6)*-1))</f>
        <v>-2.783695344288089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2.169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7.654969310468001</v>
      </c>
      <c r="C42" s="771">
        <v>3.7873121343523937</v>
      </c>
      <c r="D42" s="772">
        <v>-3.7759113881487476</v>
      </c>
      <c r="E42" s="773">
        <v>0.23643105681538573</v>
      </c>
      <c r="F42" s="771">
        <v>0.97164826731340326</v>
      </c>
      <c r="G42" s="774">
        <v>1.457809319200666E-7</v>
      </c>
      <c r="H42" s="773">
        <v>0.314</v>
      </c>
      <c r="I42" s="771">
        <v>0.52</v>
      </c>
      <c r="J42" s="601">
        <v>2.1749999999999998</v>
      </c>
      <c r="K42" s="426" t="str">
        <f t="shared" si="225"/>
        <v>1613</v>
      </c>
      <c r="L42" s="327"/>
      <c r="M42" s="173">
        <f t="shared" si="242"/>
        <v>2.1749999999999998</v>
      </c>
      <c r="N42" s="21">
        <f t="shared" si="243"/>
        <v>7.654969310468001</v>
      </c>
      <c r="O42" s="5">
        <f t="shared" si="244"/>
        <v>3.7873121343523937</v>
      </c>
      <c r="P42" s="10">
        <f t="shared" si="245"/>
        <v>-3.7759113881487476</v>
      </c>
      <c r="Q42" s="624">
        <f t="shared" si="116"/>
        <v>26.324000530748659</v>
      </c>
      <c r="R42" s="5">
        <f t="shared" ref="R42:R47" si="390">IF(M42="","",SQRT(N42^2+O42^2))</f>
        <v>8.5406257585272893</v>
      </c>
      <c r="S42" s="6">
        <f t="shared" ref="S42:S47" si="391">IF(M42="","",P42)</f>
        <v>-3.7759113881487476</v>
      </c>
      <c r="T42" s="4">
        <f t="shared" ref="T42:T47" si="392">IF(M42="","",X42*COS(RADIANS(W42)))</f>
        <v>3.7873121343523919</v>
      </c>
      <c r="U42" s="5">
        <f t="shared" ref="U42:U47" si="393">IF(M42="","",X42*SIN(RADIANS(W42)))</f>
        <v>-7.6549693104680028</v>
      </c>
      <c r="V42" s="8">
        <f t="shared" ref="V42:V47" si="394">IF(M42="","",Y42)</f>
        <v>-3.7759113881487476</v>
      </c>
      <c r="W42" s="624">
        <f t="shared" si="227"/>
        <v>296.32400053074866</v>
      </c>
      <c r="X42" s="5">
        <f t="shared" ref="X42:X47" si="395">IF(M42="","",R42)</f>
        <v>8.5406257585272893</v>
      </c>
      <c r="Y42" s="7">
        <f t="shared" si="226"/>
        <v>-3.7759113881487476</v>
      </c>
      <c r="Z42" s="21">
        <f t="shared" si="246"/>
        <v>-0.23643105681538573</v>
      </c>
      <c r="AA42" s="5">
        <f t="shared" si="247"/>
        <v>-0.97164826731340326</v>
      </c>
      <c r="AB42" s="5">
        <f t="shared" si="248"/>
        <v>-1.457809319200666E-7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-0.23643105681538573</v>
      </c>
      <c r="AE42" s="5">
        <f t="shared" ref="AE42:AE47" si="398">IF(M42="","",AA42*(1/SQRT(Z42^2+AA42^2+AB42^2)))</f>
        <v>-0.97164826731340326</v>
      </c>
      <c r="AF42" s="10">
        <f t="shared" ref="AF42:AF47" si="399">IF(M42="","",AB42*(1/SQRT(Z42^2+AA42^2+AB42^2)))</f>
        <v>-1.457809319200666E-7</v>
      </c>
      <c r="AG42" s="622">
        <f t="shared" ref="AG42:AG47" si="400">IF(M42="","",DEGREES(ATAN2(-AF42,AE42)))</f>
        <v>-89.999991403646348</v>
      </c>
      <c r="AH42" s="623">
        <f t="shared" ref="AH42:AH47" si="401">IF(M42="","",DEGREES(ACOS(AD42)))</f>
        <v>103.67599369396586</v>
      </c>
      <c r="AI42" s="624">
        <f t="shared" ref="AI42:AI47" si="402">IF(M42="","",DEGREES(-ACOS(-AF42)))</f>
        <v>-89.999991647367864</v>
      </c>
      <c r="AJ42" s="625">
        <f t="shared" ref="AJ42:AJ47" si="403">IF(M42="","",DEGREES(ATAN2(-AE42,AD42)))</f>
        <v>-13.675993693966001</v>
      </c>
      <c r="AK42" s="4">
        <f t="shared" ref="AK42:AK47" si="404">IF(M42="","",(COS(RADIANS((90-$Q$8)-W42))*AD42)+(-SIN(RADIANS((90-$Q$8)-W42))*AE42))</f>
        <v>0.76604450791050738</v>
      </c>
      <c r="AL42" s="5">
        <f t="shared" ref="AL42:AL47" si="405">IF(M42="","",(SIN(RADIANS((90-$Q$8)-W42))*AD42)+(COS(RADIANS((90-$Q$8)-W42))*AE42))</f>
        <v>-0.64278753247097709</v>
      </c>
      <c r="AM42" s="6">
        <f t="shared" ref="AM42:AM47" si="406">IF(M42="","",AF42)</f>
        <v>-1.457809319200666E-7</v>
      </c>
      <c r="AN42" s="612">
        <f t="shared" ref="AN42:AN47" si="407">IF(M42="","",DEGREES(ATAN2(-AM42,AL42)))</f>
        <v>-89.999987005609626</v>
      </c>
      <c r="AO42" s="613">
        <f t="shared" si="98"/>
        <v>39.999994224715365</v>
      </c>
      <c r="AP42" s="624">
        <f t="shared" ref="AP42:AP47" si="408">IF(M42="","",DEGREES(ATAN2(AK42,AL42)))</f>
        <v>-39.999994224714648</v>
      </c>
      <c r="AQ42" s="625">
        <f t="shared" si="249"/>
        <v>1.4517740315199312</v>
      </c>
      <c r="AS42" s="56">
        <f t="shared" si="119"/>
        <v>-63.675999469251337</v>
      </c>
      <c r="AT42" s="77">
        <f t="shared" si="250"/>
        <v>-3.5353576123760204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2.1749999999999998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</v>
      </c>
      <c r="B43" s="770">
        <v>4.48757872209179</v>
      </c>
      <c r="C43" s="771">
        <v>1.3380528117522765</v>
      </c>
      <c r="D43" s="772">
        <v>-3.4700104655515644E-2</v>
      </c>
      <c r="E43" s="773">
        <v>-6.6848249235470322E-2</v>
      </c>
      <c r="F43" s="771">
        <v>-1.9931778660854247E-2</v>
      </c>
      <c r="G43" s="774">
        <v>0.997564050962928</v>
      </c>
      <c r="H43" s="773">
        <v>0.25700000000000001</v>
      </c>
      <c r="I43" s="771">
        <v>0.41499999999999992</v>
      </c>
      <c r="J43" s="601">
        <v>2.2269999999999999</v>
      </c>
      <c r="K43" s="426" t="str">
        <f t="shared" si="225"/>
        <v>Knuckle</v>
      </c>
      <c r="L43" s="327"/>
      <c r="M43" s="173">
        <f t="shared" si="242"/>
        <v>2.2269999999999999</v>
      </c>
      <c r="N43" s="21">
        <f t="shared" si="243"/>
        <v>4.48757872209179</v>
      </c>
      <c r="O43" s="5">
        <f t="shared" si="244"/>
        <v>1.3380528117522765</v>
      </c>
      <c r="P43" s="10">
        <f t="shared" si="245"/>
        <v>-3.4700104655515644E-2</v>
      </c>
      <c r="Q43" s="624">
        <f t="shared" si="116"/>
        <v>16.602901934301645</v>
      </c>
      <c r="R43" s="5">
        <f t="shared" si="390"/>
        <v>4.6828141233673959</v>
      </c>
      <c r="S43" s="6">
        <f t="shared" si="391"/>
        <v>-3.4700104655515644E-2</v>
      </c>
      <c r="T43" s="4">
        <f t="shared" si="392"/>
        <v>1.3380528117522763</v>
      </c>
      <c r="U43" s="5">
        <f t="shared" si="393"/>
        <v>-4.48757872209179</v>
      </c>
      <c r="V43" s="8">
        <f t="shared" si="394"/>
        <v>-3.4700104655515644E-2</v>
      </c>
      <c r="W43" s="624">
        <f t="shared" si="227"/>
        <v>286.60290193430166</v>
      </c>
      <c r="X43" s="5">
        <f t="shared" si="395"/>
        <v>4.6828141233673959</v>
      </c>
      <c r="Y43" s="7">
        <f t="shared" si="226"/>
        <v>-3.4700104655515644E-2</v>
      </c>
      <c r="Z43" s="21">
        <f t="shared" si="246"/>
        <v>6.6848249235470322E-2</v>
      </c>
      <c r="AA43" s="5">
        <f t="shared" si="247"/>
        <v>1.9931778660854247E-2</v>
      </c>
      <c r="AB43" s="5">
        <f t="shared" si="248"/>
        <v>-0.997564050962928</v>
      </c>
      <c r="AC43" s="8">
        <f t="shared" si="396"/>
        <v>1</v>
      </c>
      <c r="AD43" s="9">
        <f t="shared" si="397"/>
        <v>6.6848249235470322E-2</v>
      </c>
      <c r="AE43" s="5">
        <f t="shared" si="398"/>
        <v>1.9931778660854247E-2</v>
      </c>
      <c r="AF43" s="10">
        <f t="shared" si="399"/>
        <v>-0.997564050962928</v>
      </c>
      <c r="AG43" s="622">
        <f t="shared" si="400"/>
        <v>1.1446431542008912</v>
      </c>
      <c r="AH43" s="623">
        <f t="shared" si="401"/>
        <v>86.167019095283948</v>
      </c>
      <c r="AI43" s="624">
        <f t="shared" si="402"/>
        <v>-3.9999994224925959</v>
      </c>
      <c r="AJ43" s="625">
        <f t="shared" si="403"/>
        <v>106.60271565206043</v>
      </c>
      <c r="AK43" s="4">
        <f t="shared" si="404"/>
        <v>2.2679489668914199E-7</v>
      </c>
      <c r="AL43" s="5">
        <f t="shared" si="405"/>
        <v>6.9756463688904174E-2</v>
      </c>
      <c r="AM43" s="6">
        <f t="shared" si="406"/>
        <v>-0.997564050962928</v>
      </c>
      <c r="AN43" s="612">
        <f t="shared" si="407"/>
        <v>3.9999994224715398</v>
      </c>
      <c r="AO43" s="613">
        <f t="shared" si="98"/>
        <v>0</v>
      </c>
      <c r="AP43" s="624">
        <f t="shared" si="408"/>
        <v>89.999813717758784</v>
      </c>
      <c r="AQ43" s="625">
        <f t="shared" si="249"/>
        <v>2.646462520646121</v>
      </c>
      <c r="AS43" s="56">
        <f t="shared" ref="AS43:AS74" si="411">IF(G43="","",IF(AND(W43&lt;(AS42+180),W43&gt;(AS42-180)),W43,IF(W43&gt;(AS42+180),W43-360,IF(W43&lt;(AS42-180),W43+360,"Error"))))</f>
        <v>-73.397098065698344</v>
      </c>
      <c r="AT43" s="77">
        <f t="shared" si="250"/>
        <v>0.24257782137045586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>
        <f>IFERROR(IF($IU43="","",IF($IU43&lt;(((Settings!$C$19/2)*-1)*$IE$8),"",1)),"")</f>
        <v>1</v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2.2269999999999999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2.1269999999999998</v>
      </c>
      <c r="II43" s="800" cm="1">
        <f t="array" ref="II43">IFERROR(IF($IH43&lt;1,$IH43+LARGE((IF($M$9:$M$150="",0,$M$9:$M$150)-MOD(IF($M$9:$M$150="",0,$M$9:$M$150),1)),1),$IH43),"")</f>
        <v>2.1269999999999998</v>
      </c>
      <c r="IJ43" s="839" t="str">
        <f t="shared" si="386"/>
        <v>1613</v>
      </c>
      <c r="IK43" s="839" t="str">
        <f t="shared" si="387"/>
        <v>Knuckle</v>
      </c>
      <c r="IL43" s="791">
        <f t="shared" si="228"/>
        <v>13.119098105836599</v>
      </c>
      <c r="IM43" s="830">
        <v>8.2680138521446997E-3</v>
      </c>
      <c r="IN43" s="5">
        <f t="shared" si="229"/>
        <v>0.2</v>
      </c>
      <c r="IO43" s="852">
        <v>100</v>
      </c>
      <c r="IP43" s="9">
        <f t="shared" si="230"/>
        <v>-4.6779141085889524</v>
      </c>
      <c r="IQ43" s="5">
        <f t="shared" si="231"/>
        <v>-7.2100217454255808E-2</v>
      </c>
      <c r="IR43" s="5">
        <f t="shared" si="388"/>
        <v>0.314</v>
      </c>
      <c r="IS43" s="5">
        <f t="shared" si="232"/>
        <v>0.30298245352703362</v>
      </c>
      <c r="IT43" s="791">
        <f t="shared" si="233"/>
        <v>6.0451226891347973</v>
      </c>
      <c r="IU43" s="9">
        <f t="shared" si="234"/>
        <v>-4.6828141233673959</v>
      </c>
      <c r="IV43" s="5">
        <f t="shared" si="235"/>
        <v>-3.4700104655515644E-2</v>
      </c>
      <c r="IW43" s="5">
        <f t="shared" si="389"/>
        <v>0.25700000000000001</v>
      </c>
      <c r="IX43" s="5">
        <f t="shared" si="236"/>
        <v>0.25700000000000001</v>
      </c>
      <c r="IY43" s="833">
        <f t="shared" si="237"/>
        <v>-3.9999994224715398</v>
      </c>
    </row>
    <row r="44" spans="1:259" ht="15" customHeight="1" x14ac:dyDescent="0.25">
      <c r="A44" s="84">
        <f t="shared" si="82"/>
        <v>0</v>
      </c>
      <c r="B44" s="770">
        <v>5.2393077644806132</v>
      </c>
      <c r="C44" s="771">
        <v>1.5715090315169975</v>
      </c>
      <c r="D44" s="772">
        <v>-2.3900072082617404E-2</v>
      </c>
      <c r="E44" s="773">
        <v>7.8483948783349342E-2</v>
      </c>
      <c r="F44" s="771">
        <v>2.3541177658519329E-2</v>
      </c>
      <c r="G44" s="774">
        <v>0.99663738778846878</v>
      </c>
      <c r="H44" s="773">
        <v>0.25700000000000001</v>
      </c>
      <c r="I44" s="771">
        <v>0.41499999999999992</v>
      </c>
      <c r="J44" s="601">
        <v>2.2330000000000001</v>
      </c>
      <c r="K44" s="426" t="str">
        <f t="shared" si="225"/>
        <v>Knuckle</v>
      </c>
      <c r="L44" s="327"/>
      <c r="M44" s="173">
        <f t="shared" si="242"/>
        <v>2.2330000000000001</v>
      </c>
      <c r="N44" s="21">
        <f t="shared" si="243"/>
        <v>5.2393077644806132</v>
      </c>
      <c r="O44" s="5">
        <f t="shared" si="244"/>
        <v>1.5715090315169975</v>
      </c>
      <c r="P44" s="10">
        <f t="shared" si="245"/>
        <v>-2.3900072082617404E-2</v>
      </c>
      <c r="Q44" s="624">
        <f t="shared" si="116"/>
        <v>16.696401920801925</v>
      </c>
      <c r="R44" s="5">
        <f t="shared" si="390"/>
        <v>5.469916497268156</v>
      </c>
      <c r="S44" s="6">
        <f t="shared" si="391"/>
        <v>-2.3900072082617404E-2</v>
      </c>
      <c r="T44" s="4">
        <f t="shared" si="392"/>
        <v>1.5715090315169942</v>
      </c>
      <c r="U44" s="5">
        <f t="shared" si="393"/>
        <v>-5.2393077644806141</v>
      </c>
      <c r="V44" s="8">
        <f t="shared" si="394"/>
        <v>-2.3900072082617404E-2</v>
      </c>
      <c r="W44" s="624">
        <f t="shared" si="227"/>
        <v>286.69640192080192</v>
      </c>
      <c r="X44" s="5">
        <f t="shared" si="395"/>
        <v>5.469916497268156</v>
      </c>
      <c r="Y44" s="7">
        <f t="shared" si="226"/>
        <v>-2.3900072082617404E-2</v>
      </c>
      <c r="Z44" s="21">
        <f t="shared" si="246"/>
        <v>-7.8483948783349342E-2</v>
      </c>
      <c r="AA44" s="5">
        <f t="shared" si="247"/>
        <v>-2.3541177658519329E-2</v>
      </c>
      <c r="AB44" s="5">
        <f t="shared" si="248"/>
        <v>-0.99663738778846878</v>
      </c>
      <c r="AC44" s="8">
        <f t="shared" si="396"/>
        <v>1</v>
      </c>
      <c r="AD44" s="9">
        <f t="shared" si="397"/>
        <v>-7.8483948783349342E-2</v>
      </c>
      <c r="AE44" s="5">
        <f t="shared" si="398"/>
        <v>-2.3541177658519329E-2</v>
      </c>
      <c r="AF44" s="10">
        <f t="shared" si="399"/>
        <v>-0.99663738778846878</v>
      </c>
      <c r="AG44" s="622">
        <f t="shared" si="400"/>
        <v>-1.3531093419959612</v>
      </c>
      <c r="AH44" s="623">
        <f t="shared" si="401"/>
        <v>94.501428379803727</v>
      </c>
      <c r="AI44" s="624">
        <f t="shared" si="402"/>
        <v>-4.6999993214219673</v>
      </c>
      <c r="AJ44" s="625">
        <f t="shared" si="403"/>
        <v>-73.303439492076052</v>
      </c>
      <c r="AK44" s="4">
        <f t="shared" si="404"/>
        <v>2.2679489674465314E-7</v>
      </c>
      <c r="AL44" s="5">
        <f t="shared" si="405"/>
        <v>-8.1938496826131343E-2</v>
      </c>
      <c r="AM44" s="6">
        <f t="shared" si="406"/>
        <v>-0.99663738778846878</v>
      </c>
      <c r="AN44" s="612">
        <f t="shared" si="407"/>
        <v>-4.6999993214040643</v>
      </c>
      <c r="AO44" s="613">
        <f t="shared" si="98"/>
        <v>0</v>
      </c>
      <c r="AP44" s="624">
        <f t="shared" si="408"/>
        <v>-89.999841412877942</v>
      </c>
      <c r="AQ44" s="625">
        <f t="shared" si="249"/>
        <v>2.2660758692657836</v>
      </c>
      <c r="AS44" s="56">
        <f t="shared" si="411"/>
        <v>-73.303598079198082</v>
      </c>
      <c r="AT44" s="77">
        <f t="shared" si="250"/>
        <v>0.25302463177213091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>
        <f>IFERROR(IF($IU44="","",IF($IU44&lt;(((Settings!$C$19/2)*-1)*$IE$8),"",1)),"")</f>
        <v>1</v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2.2330000000000001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2.133</v>
      </c>
      <c r="II44" s="800" cm="1">
        <f t="array" ref="II44">IFERROR(IF($IH44&lt;1,$IH44+LARGE((IF($M$9:$M$150="",0,$M$9:$M$150)-MOD(IF($M$9:$M$150="",0,$M$9:$M$150),1)),1),$IH44),"")</f>
        <v>2.133</v>
      </c>
      <c r="IJ44" s="839" t="str">
        <f t="shared" si="386"/>
        <v>1613</v>
      </c>
      <c r="IK44" s="839" t="str">
        <f t="shared" si="387"/>
        <v>Knuckle</v>
      </c>
      <c r="IL44" s="791">
        <f t="shared" si="228"/>
        <v>12.545598188639758</v>
      </c>
      <c r="IM44" s="830">
        <v>7.1501571988140597E-3</v>
      </c>
      <c r="IN44" s="5">
        <f t="shared" si="229"/>
        <v>0.18</v>
      </c>
      <c r="IO44" s="852">
        <v>90</v>
      </c>
      <c r="IP44" s="9">
        <f t="shared" si="230"/>
        <v>-5.4525164447895964</v>
      </c>
      <c r="IQ44" s="5">
        <f t="shared" si="231"/>
        <v>-5.7900174626926718E-2</v>
      </c>
      <c r="IR44" s="5">
        <f t="shared" si="388"/>
        <v>0.314</v>
      </c>
      <c r="IS44" s="5">
        <f t="shared" si="232"/>
        <v>0.30228948641562281</v>
      </c>
      <c r="IT44" s="791">
        <f t="shared" si="233"/>
        <v>22.25197842936392</v>
      </c>
      <c r="IU44" s="9">
        <f t="shared" si="234"/>
        <v>-5.469916497268156</v>
      </c>
      <c r="IV44" s="5">
        <f t="shared" si="235"/>
        <v>-2.3900072082617404E-2</v>
      </c>
      <c r="IW44" s="5">
        <f t="shared" si="389"/>
        <v>0.25700000000000001</v>
      </c>
      <c r="IX44" s="5">
        <f t="shared" si="236"/>
        <v>0.25700000000000001</v>
      </c>
      <c r="IY44" s="833">
        <f t="shared" si="237"/>
        <v>4.6999993214040643</v>
      </c>
    </row>
    <row r="45" spans="1:259" ht="15" customHeight="1" x14ac:dyDescent="0.25">
      <c r="A45" s="84">
        <f t="shared" si="82"/>
        <v>0.02</v>
      </c>
      <c r="B45" s="770">
        <v>5.9151465340178557</v>
      </c>
      <c r="C45" s="771">
        <v>1.9514044157662283</v>
      </c>
      <c r="D45" s="772">
        <v>-0.18390055464407282</v>
      </c>
      <c r="E45" s="773">
        <v>-7.8267304438537244E-2</v>
      </c>
      <c r="F45" s="771">
        <v>0.9547304804545943</v>
      </c>
      <c r="G45" s="774">
        <v>0.2869911823503728</v>
      </c>
      <c r="H45" s="773">
        <v>0.26600000000000001</v>
      </c>
      <c r="I45" s="771">
        <v>0.52</v>
      </c>
      <c r="J45" s="601">
        <v>2.2389999999999999</v>
      </c>
      <c r="K45" s="426" t="str">
        <f t="shared" si="225"/>
        <v>1313</v>
      </c>
      <c r="L45" s="327"/>
      <c r="M45" s="173">
        <f t="shared" si="242"/>
        <v>2.2389999999999999</v>
      </c>
      <c r="N45" s="21">
        <f t="shared" si="243"/>
        <v>5.9151465340178557</v>
      </c>
      <c r="O45" s="5">
        <f t="shared" si="244"/>
        <v>1.9514044157662283</v>
      </c>
      <c r="P45" s="10">
        <f t="shared" si="245"/>
        <v>-0.18390055464407282</v>
      </c>
      <c r="Q45" s="624">
        <f t="shared" si="116"/>
        <v>18.25770169537812</v>
      </c>
      <c r="R45" s="5">
        <f t="shared" si="390"/>
        <v>6.2287187858158592</v>
      </c>
      <c r="S45" s="6">
        <f t="shared" si="391"/>
        <v>-0.18390055464407282</v>
      </c>
      <c r="T45" s="4">
        <f t="shared" si="392"/>
        <v>1.9514044157662285</v>
      </c>
      <c r="U45" s="5">
        <f t="shared" si="393"/>
        <v>-5.9151465340178557</v>
      </c>
      <c r="V45" s="8">
        <f t="shared" si="394"/>
        <v>-0.18390055464407282</v>
      </c>
      <c r="W45" s="624">
        <f t="shared" si="227"/>
        <v>288.2577016953781</v>
      </c>
      <c r="X45" s="5">
        <f t="shared" si="395"/>
        <v>6.2287187858158592</v>
      </c>
      <c r="Y45" s="7">
        <f t="shared" si="226"/>
        <v>-0.18390055464407282</v>
      </c>
      <c r="Z45" s="21">
        <f t="shared" si="246"/>
        <v>7.8267304438537244E-2</v>
      </c>
      <c r="AA45" s="5">
        <f t="shared" si="247"/>
        <v>-0.9547304804545943</v>
      </c>
      <c r="AB45" s="5">
        <f t="shared" si="248"/>
        <v>-0.2869911823503728</v>
      </c>
      <c r="AC45" s="8">
        <f t="shared" si="396"/>
        <v>1</v>
      </c>
      <c r="AD45" s="9">
        <f t="shared" si="397"/>
        <v>7.8267304438537244E-2</v>
      </c>
      <c r="AE45" s="5">
        <f t="shared" si="398"/>
        <v>-0.9547304804545943</v>
      </c>
      <c r="AF45" s="10">
        <f t="shared" si="399"/>
        <v>-0.2869911823503728</v>
      </c>
      <c r="AG45" s="622">
        <f t="shared" si="400"/>
        <v>-73.269266050824982</v>
      </c>
      <c r="AH45" s="623">
        <f t="shared" si="401"/>
        <v>85.511022727693756</v>
      </c>
      <c r="AI45" s="624">
        <f t="shared" si="402"/>
        <v>-73.322092043844577</v>
      </c>
      <c r="AJ45" s="625">
        <f t="shared" si="403"/>
        <v>4.6865381452093331</v>
      </c>
      <c r="AK45" s="4">
        <f t="shared" si="404"/>
        <v>0.9311869832816605</v>
      </c>
      <c r="AL45" s="5">
        <f t="shared" si="405"/>
        <v>-0.22478181292074242</v>
      </c>
      <c r="AM45" s="6">
        <f t="shared" si="406"/>
        <v>-0.2869911823503728</v>
      </c>
      <c r="AN45" s="612">
        <f t="shared" si="407"/>
        <v>-38.06932403703928</v>
      </c>
      <c r="AO45" s="613">
        <f t="shared" si="98"/>
        <v>21.379393619792832</v>
      </c>
      <c r="AP45" s="624">
        <f t="shared" si="408"/>
        <v>-13.571163550168789</v>
      </c>
      <c r="AQ45" s="625">
        <f t="shared" si="249"/>
        <v>1.9902527058312722</v>
      </c>
      <c r="AS45" s="56">
        <f t="shared" si="411"/>
        <v>-71.742298304621897</v>
      </c>
      <c r="AT45" s="77">
        <f t="shared" si="250"/>
        <v>8.712590561783215E-2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>
        <f>IFERROR(IF($IU45="","",IF($IU45&lt;(((Settings!$C$19/2)*-1)*$IE$8),"",1)),"")</f>
        <v>1</v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2.2389999999999999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2.1389999999999998</v>
      </c>
      <c r="II45" s="800" cm="1">
        <f t="array" ref="II45">IFERROR(IF($IH45&lt;1,$IH45+LARGE((IF($M$9:$M$150="",0,$M$9:$M$150)-MOD(IF($M$9:$M$150="",0,$M$9:$M$150),1)),1),$IH45),"")</f>
        <v>2.1389999999999998</v>
      </c>
      <c r="IJ45" s="839" t="str">
        <f t="shared" si="386"/>
        <v>1613</v>
      </c>
      <c r="IK45" s="839" t="str">
        <f t="shared" si="387"/>
        <v>1313</v>
      </c>
      <c r="IL45" s="791">
        <f t="shared" si="228"/>
        <v>10.394298499248976</v>
      </c>
      <c r="IM45" s="830">
        <v>5.3295284969048602E-3</v>
      </c>
      <c r="IN45" s="5">
        <f t="shared" si="229"/>
        <v>0.18</v>
      </c>
      <c r="IO45" s="852">
        <v>90</v>
      </c>
      <c r="IP45" s="9">
        <f t="shared" si="230"/>
        <v>-6.1957186862875595</v>
      </c>
      <c r="IQ45" s="5">
        <f t="shared" si="231"/>
        <v>-0.21900066050599207</v>
      </c>
      <c r="IR45" s="5">
        <f t="shared" si="388"/>
        <v>0.314</v>
      </c>
      <c r="IS45" s="5">
        <f t="shared" si="232"/>
        <v>0.30125645217035085</v>
      </c>
      <c r="IT45" s="791">
        <f t="shared" si="233"/>
        <v>38.069327441889378</v>
      </c>
      <c r="IU45" s="9">
        <f t="shared" si="234"/>
        <v>-6.2287187858158592</v>
      </c>
      <c r="IV45" s="5">
        <f t="shared" si="235"/>
        <v>-0.18390055464407282</v>
      </c>
      <c r="IW45" s="5">
        <f t="shared" si="389"/>
        <v>0.26600000000000001</v>
      </c>
      <c r="IX45" s="5">
        <f t="shared" si="236"/>
        <v>0.24769573755292171</v>
      </c>
      <c r="IY45" s="833">
        <f t="shared" si="237"/>
        <v>38.06932403703928</v>
      </c>
    </row>
    <row r="46" spans="1:259" ht="15" customHeight="1" x14ac:dyDescent="0.25">
      <c r="A46" s="84">
        <f t="shared" si="82"/>
        <v>0.02</v>
      </c>
      <c r="B46" s="770">
        <v>6.6072784841240741</v>
      </c>
      <c r="C46" s="771">
        <v>2.0749278291757824</v>
      </c>
      <c r="D46" s="772">
        <v>-0.51240154540306093</v>
      </c>
      <c r="E46" s="773">
        <v>2.8723357359598925E-2</v>
      </c>
      <c r="F46" s="771">
        <v>0.96018152833543358</v>
      </c>
      <c r="G46" s="774">
        <v>0.27789638606038697</v>
      </c>
      <c r="H46" s="773">
        <v>0.26600000000000001</v>
      </c>
      <c r="I46" s="771">
        <v>0.52</v>
      </c>
      <c r="J46" s="601">
        <v>2.2450000000000001</v>
      </c>
      <c r="K46" s="426" t="str">
        <f t="shared" si="225"/>
        <v>1313</v>
      </c>
      <c r="L46" s="327"/>
      <c r="M46" s="173">
        <f t="shared" si="242"/>
        <v>2.2450000000000001</v>
      </c>
      <c r="N46" s="21">
        <f t="shared" si="243"/>
        <v>6.6072784841240741</v>
      </c>
      <c r="O46" s="5">
        <f t="shared" si="244"/>
        <v>2.0749278291757824</v>
      </c>
      <c r="P46" s="10">
        <f t="shared" si="245"/>
        <v>-0.51240154540306093</v>
      </c>
      <c r="Q46" s="624">
        <f t="shared" si="116"/>
        <v>17.434201814276793</v>
      </c>
      <c r="R46" s="5">
        <f t="shared" si="390"/>
        <v>6.9254208870693956</v>
      </c>
      <c r="S46" s="6">
        <f t="shared" si="391"/>
        <v>-0.51240154540306093</v>
      </c>
      <c r="T46" s="4">
        <f t="shared" si="392"/>
        <v>2.0749278291757802</v>
      </c>
      <c r="U46" s="5">
        <f t="shared" si="393"/>
        <v>-6.607278484124075</v>
      </c>
      <c r="V46" s="8">
        <f t="shared" si="394"/>
        <v>-0.51240154540306093</v>
      </c>
      <c r="W46" s="624">
        <f t="shared" si="227"/>
        <v>287.43420181427678</v>
      </c>
      <c r="X46" s="5">
        <f t="shared" si="395"/>
        <v>6.9254208870693956</v>
      </c>
      <c r="Y46" s="7">
        <f t="shared" si="226"/>
        <v>-0.51240154540306093</v>
      </c>
      <c r="Z46" s="21">
        <f t="shared" si="246"/>
        <v>-2.8723357359598925E-2</v>
      </c>
      <c r="AA46" s="5">
        <f t="shared" si="247"/>
        <v>-0.96018152833543358</v>
      </c>
      <c r="AB46" s="5">
        <f t="shared" si="248"/>
        <v>-0.27789638606038697</v>
      </c>
      <c r="AC46" s="8">
        <f t="shared" si="396"/>
        <v>1</v>
      </c>
      <c r="AD46" s="9">
        <f t="shared" si="397"/>
        <v>-2.8723357359598925E-2</v>
      </c>
      <c r="AE46" s="5">
        <f t="shared" si="398"/>
        <v>-0.96018152833543358</v>
      </c>
      <c r="AF46" s="10">
        <f t="shared" si="399"/>
        <v>-0.27789638606038697</v>
      </c>
      <c r="AG46" s="622">
        <f t="shared" si="400"/>
        <v>-73.858463637684082</v>
      </c>
      <c r="AH46" s="623">
        <f t="shared" si="401"/>
        <v>91.645953530264762</v>
      </c>
      <c r="AI46" s="624">
        <f t="shared" si="402"/>
        <v>-73.865305505706772</v>
      </c>
      <c r="AJ46" s="625">
        <f t="shared" si="403"/>
        <v>-1.7134640240522101</v>
      </c>
      <c r="AK46" s="4">
        <f t="shared" si="404"/>
        <v>0.90746655863550174</v>
      </c>
      <c r="AL46" s="5">
        <f t="shared" si="405"/>
        <v>-0.31508418489796602</v>
      </c>
      <c r="AM46" s="6">
        <f t="shared" si="406"/>
        <v>-0.27789638606038697</v>
      </c>
      <c r="AN46" s="612">
        <f t="shared" si="407"/>
        <v>-48.588510775205009</v>
      </c>
      <c r="AO46" s="613">
        <f t="shared" si="98"/>
        <v>24.842436631148821</v>
      </c>
      <c r="AP46" s="624">
        <f t="shared" si="408"/>
        <v>-19.147665838328987</v>
      </c>
      <c r="AQ46" s="625">
        <f t="shared" si="249"/>
        <v>1.790169472828971</v>
      </c>
      <c r="AS46" s="56">
        <f t="shared" si="411"/>
        <v>-72.565798185723224</v>
      </c>
      <c r="AT46" s="77">
        <f t="shared" si="250"/>
        <v>-0.23826408559032874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2.2450000000000001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2.145</v>
      </c>
      <c r="II46" s="800" cm="1">
        <f t="array" ref="II46">IFERROR(IF($IH46&lt;1,$IH46+LARGE((IF($M$9:$M$150="",0,$M$9:$M$150)-MOD(IF($M$9:$M$150="",0,$M$9:$M$150),1)),1),$IH46),"")</f>
        <v>2.145</v>
      </c>
      <c r="IJ46" s="839" t="str">
        <f t="shared" si="386"/>
        <v>1613</v>
      </c>
      <c r="IK46" s="839" t="str">
        <f t="shared" si="387"/>
        <v>1313</v>
      </c>
      <c r="IL46" s="791">
        <f t="shared" si="228"/>
        <v>10.592798470589116</v>
      </c>
      <c r="IM46" s="830">
        <v>4.4315112910038599E-3</v>
      </c>
      <c r="IN46" s="5">
        <f t="shared" si="229"/>
        <v>0.18</v>
      </c>
      <c r="IO46" s="852">
        <v>90</v>
      </c>
      <c r="IP46" s="9">
        <f t="shared" si="230"/>
        <v>-6.8850207652226274</v>
      </c>
      <c r="IQ46" s="5">
        <f t="shared" si="231"/>
        <v>-0.5409016313593199</v>
      </c>
      <c r="IR46" s="5">
        <f t="shared" si="388"/>
        <v>0.314</v>
      </c>
      <c r="IS46" s="5">
        <f t="shared" si="232"/>
        <v>0.29535769981850712</v>
      </c>
      <c r="IT46" s="791">
        <f t="shared" si="233"/>
        <v>48.588514343341082</v>
      </c>
      <c r="IU46" s="9">
        <f t="shared" si="234"/>
        <v>-6.9254208870693956</v>
      </c>
      <c r="IV46" s="5">
        <f t="shared" si="235"/>
        <v>-0.51240154540306093</v>
      </c>
      <c r="IW46" s="5">
        <f t="shared" si="389"/>
        <v>0.26600000000000001</v>
      </c>
      <c r="IX46" s="5">
        <f t="shared" si="236"/>
        <v>0.24138610459704349</v>
      </c>
      <c r="IY46" s="833">
        <f t="shared" si="237"/>
        <v>48.588510775205009</v>
      </c>
    </row>
    <row r="47" spans="1:259" ht="15" customHeight="1" x14ac:dyDescent="0.25">
      <c r="A47" s="84">
        <f t="shared" si="82"/>
        <v>0.02</v>
      </c>
      <c r="B47" s="770">
        <v>7.2178185636344043</v>
      </c>
      <c r="C47" s="771">
        <v>2.1376866666855689</v>
      </c>
      <c r="D47" s="772">
        <v>-0.98760297861058355</v>
      </c>
      <c r="E47" s="773">
        <v>0.13516659658694299</v>
      </c>
      <c r="F47" s="771">
        <v>0.95920064257564208</v>
      </c>
      <c r="G47" s="774">
        <v>0.2483226096221966</v>
      </c>
      <c r="H47" s="773">
        <v>0.26600000000000001</v>
      </c>
      <c r="I47" s="771">
        <v>0.52</v>
      </c>
      <c r="J47" s="601">
        <v>2.2509999999999999</v>
      </c>
      <c r="K47" s="426" t="str">
        <f t="shared" si="225"/>
        <v>1313</v>
      </c>
      <c r="L47" s="327"/>
      <c r="M47" s="173">
        <f t="shared" si="242"/>
        <v>2.2509999999999999</v>
      </c>
      <c r="N47" s="21">
        <f t="shared" si="243"/>
        <v>7.2178185636344043</v>
      </c>
      <c r="O47" s="5">
        <f t="shared" si="244"/>
        <v>2.1376866666855689</v>
      </c>
      <c r="P47" s="10">
        <f t="shared" si="245"/>
        <v>-0.98760297861058355</v>
      </c>
      <c r="Q47" s="624">
        <f t="shared" si="116"/>
        <v>16.497601949505086</v>
      </c>
      <c r="R47" s="5">
        <f t="shared" si="390"/>
        <v>7.5277227036116754</v>
      </c>
      <c r="S47" s="6">
        <f t="shared" si="391"/>
        <v>-0.98760297861058355</v>
      </c>
      <c r="T47" s="4">
        <f t="shared" si="392"/>
        <v>2.1376866666855734</v>
      </c>
      <c r="U47" s="5">
        <f t="shared" si="393"/>
        <v>-7.2178185636344034</v>
      </c>
      <c r="V47" s="8">
        <f t="shared" si="394"/>
        <v>-0.98760297861058355</v>
      </c>
      <c r="W47" s="624">
        <f t="shared" si="227"/>
        <v>286.49760194950511</v>
      </c>
      <c r="X47" s="5">
        <f t="shared" si="395"/>
        <v>7.5277227036116754</v>
      </c>
      <c r="Y47" s="7">
        <f t="shared" si="226"/>
        <v>-0.98760297861058355</v>
      </c>
      <c r="Z47" s="21">
        <f t="shared" si="246"/>
        <v>-0.13516659658694299</v>
      </c>
      <c r="AA47" s="5">
        <f t="shared" si="247"/>
        <v>-0.95920064257564208</v>
      </c>
      <c r="AB47" s="5">
        <f t="shared" si="248"/>
        <v>-0.2483226096221966</v>
      </c>
      <c r="AC47" s="8">
        <f t="shared" si="396"/>
        <v>1</v>
      </c>
      <c r="AD47" s="9">
        <f t="shared" si="397"/>
        <v>-0.13516659658694299</v>
      </c>
      <c r="AE47" s="5">
        <f t="shared" si="398"/>
        <v>-0.95920064257564208</v>
      </c>
      <c r="AF47" s="10">
        <f t="shared" si="399"/>
        <v>-0.2483226096221966</v>
      </c>
      <c r="AG47" s="622">
        <f t="shared" si="400"/>
        <v>-75.485642396520731</v>
      </c>
      <c r="AH47" s="623">
        <f t="shared" si="401"/>
        <v>97.768253468942021</v>
      </c>
      <c r="AI47" s="624">
        <f t="shared" si="402"/>
        <v>-75.621724958848972</v>
      </c>
      <c r="AJ47" s="625">
        <f t="shared" si="403"/>
        <v>-8.0210708535006017</v>
      </c>
      <c r="AK47" s="4">
        <f t="shared" si="404"/>
        <v>0.88132794394037273</v>
      </c>
      <c r="AL47" s="5">
        <f t="shared" si="405"/>
        <v>-0.40199121480482303</v>
      </c>
      <c r="AM47" s="6">
        <f t="shared" si="406"/>
        <v>-0.2483226096221966</v>
      </c>
      <c r="AN47" s="612">
        <f t="shared" si="407"/>
        <v>-58.295071084752635</v>
      </c>
      <c r="AO47" s="613">
        <f t="shared" si="98"/>
        <v>28.197030268440255</v>
      </c>
      <c r="AP47" s="624">
        <f t="shared" si="408"/>
        <v>-24.518672803005725</v>
      </c>
      <c r="AQ47" s="625">
        <f t="shared" si="249"/>
        <v>1.6470182582500958</v>
      </c>
      <c r="AS47" s="56">
        <f t="shared" si="411"/>
        <v>-73.50239805049489</v>
      </c>
      <c r="AT47" s="77">
        <f t="shared" si="250"/>
        <v>-0.70992725264204726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2.2509999999999999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2.1509999999999998</v>
      </c>
      <c r="II47" s="800" cm="1">
        <f t="array" ref="II47">IFERROR(IF($IH47&lt;1,$IH47+LARGE((IF($M$9:$M$150="",0,$M$9:$M$150)-MOD(IF($M$9:$M$150="",0,$M$9:$M$150),1)),1),$IH47),"")</f>
        <v>2.1509999999999998</v>
      </c>
      <c r="IJ47" s="839" t="str">
        <f t="shared" si="386"/>
        <v>1613</v>
      </c>
      <c r="IK47" s="839" t="str">
        <f t="shared" si="387"/>
        <v>1313</v>
      </c>
      <c r="IL47" s="791">
        <f t="shared" si="228"/>
        <v>10.942398420113136</v>
      </c>
      <c r="IM47" s="830">
        <v>3.42479142496817E-3</v>
      </c>
      <c r="IN47" s="5">
        <f t="shared" si="229"/>
        <v>0.14000000000000001</v>
      </c>
      <c r="IO47" s="852">
        <v>70</v>
      </c>
      <c r="IP47" s="9">
        <f t="shared" si="230"/>
        <v>-7.4817225648752554</v>
      </c>
      <c r="IQ47" s="5">
        <f t="shared" si="231"/>
        <v>-1.0087030422483745</v>
      </c>
      <c r="IR47" s="5">
        <f t="shared" si="388"/>
        <v>0.314</v>
      </c>
      <c r="IS47" s="5">
        <f t="shared" si="232"/>
        <v>0.28861490596955219</v>
      </c>
      <c r="IT47" s="791">
        <f t="shared" si="233"/>
        <v>58.295074677843921</v>
      </c>
      <c r="IU47" s="9">
        <f t="shared" si="234"/>
        <v>-7.5277227036116754</v>
      </c>
      <c r="IV47" s="5">
        <f t="shared" si="235"/>
        <v>-0.98760297861058355</v>
      </c>
      <c r="IW47" s="5">
        <f t="shared" si="389"/>
        <v>0.26600000000000001</v>
      </c>
      <c r="IX47" s="5">
        <f t="shared" si="236"/>
        <v>0.23443323308813915</v>
      </c>
      <c r="IY47" s="833">
        <f t="shared" si="237"/>
        <v>58.295071084752635</v>
      </c>
    </row>
    <row r="48" spans="1:259" ht="15" customHeight="1" x14ac:dyDescent="0.25">
      <c r="A48" s="84">
        <f t="shared" si="82"/>
        <v>0.02</v>
      </c>
      <c r="B48" s="770">
        <v>7.7166144475537548</v>
      </c>
      <c r="C48" s="771">
        <v>2.1410076855765023</v>
      </c>
      <c r="D48" s="772">
        <v>-1.5870047864064358</v>
      </c>
      <c r="E48" s="773">
        <v>0.23503927312559603</v>
      </c>
      <c r="F48" s="771">
        <v>0.9509306026137081</v>
      </c>
      <c r="G48" s="774">
        <v>0.20121513139255137</v>
      </c>
      <c r="H48" s="773">
        <v>0.26600000000000001</v>
      </c>
      <c r="I48" s="771">
        <v>0.52</v>
      </c>
      <c r="J48" s="601">
        <v>2.2570000000000001</v>
      </c>
      <c r="K48" s="426" t="str">
        <f t="shared" si="225"/>
        <v>1313</v>
      </c>
      <c r="L48" s="327"/>
      <c r="M48" s="173">
        <f t="shared" si="242"/>
        <v>2.2570000000000001</v>
      </c>
      <c r="N48" s="21">
        <f t="shared" si="243"/>
        <v>7.7166144475537548</v>
      </c>
      <c r="O48" s="5">
        <f t="shared" si="244"/>
        <v>2.1410076855765023</v>
      </c>
      <c r="P48" s="10">
        <f t="shared" si="245"/>
        <v>-1.5870047864064358</v>
      </c>
      <c r="Q48" s="624">
        <f t="shared" si="116"/>
        <v>15.506902092544451</v>
      </c>
      <c r="R48" s="5">
        <f t="shared" si="83"/>
        <v>8.0081241525024449</v>
      </c>
      <c r="S48" s="6">
        <f t="shared" si="84"/>
        <v>-1.5870047864064358</v>
      </c>
      <c r="T48" s="4">
        <f t="shared" si="85"/>
        <v>2.1410076855765063</v>
      </c>
      <c r="U48" s="5">
        <f t="shared" si="86"/>
        <v>-7.7166144475537539</v>
      </c>
      <c r="V48" s="8">
        <f t="shared" si="117"/>
        <v>-1.5870047864064358</v>
      </c>
      <c r="W48" s="624">
        <f t="shared" si="227"/>
        <v>285.50690209254446</v>
      </c>
      <c r="X48" s="5">
        <f t="shared" si="87"/>
        <v>8.0081241525024449</v>
      </c>
      <c r="Y48" s="7">
        <f t="shared" si="226"/>
        <v>-1.5870047864064358</v>
      </c>
      <c r="Z48" s="21">
        <f t="shared" si="246"/>
        <v>-0.23503927312559603</v>
      </c>
      <c r="AA48" s="5">
        <f t="shared" si="247"/>
        <v>-0.9509306026137081</v>
      </c>
      <c r="AB48" s="5">
        <f t="shared" si="248"/>
        <v>-0.20121513139255137</v>
      </c>
      <c r="AC48" s="8">
        <f t="shared" si="88"/>
        <v>1</v>
      </c>
      <c r="AD48" s="9">
        <f t="shared" si="118"/>
        <v>-0.23503927312559603</v>
      </c>
      <c r="AE48" s="5">
        <f t="shared" si="89"/>
        <v>-0.9509306026137081</v>
      </c>
      <c r="AF48" s="10">
        <f t="shared" si="90"/>
        <v>-0.20121513139255137</v>
      </c>
      <c r="AG48" s="622">
        <f t="shared" si="91"/>
        <v>-78.052550870651814</v>
      </c>
      <c r="AH48" s="623">
        <f t="shared" si="92"/>
        <v>103.59393780075244</v>
      </c>
      <c r="AI48" s="624">
        <f t="shared" si="93"/>
        <v>-78.391974397998183</v>
      </c>
      <c r="AJ48" s="625">
        <f t="shared" si="94"/>
        <v>-13.883405730974475</v>
      </c>
      <c r="AK48" s="4">
        <f t="shared" si="213"/>
        <v>0.85347627064946829</v>
      </c>
      <c r="AL48" s="5">
        <f t="shared" si="95"/>
        <v>-0.48071896814766313</v>
      </c>
      <c r="AM48" s="6">
        <f t="shared" si="96"/>
        <v>-0.20121513139255137</v>
      </c>
      <c r="AN48" s="612">
        <f t="shared" si="97"/>
        <v>-67.287216879096064</v>
      </c>
      <c r="AO48" s="613">
        <f t="shared" si="98"/>
        <v>31.40819478310479</v>
      </c>
      <c r="AP48" s="624">
        <f t="shared" si="99"/>
        <v>-29.390307823518953</v>
      </c>
      <c r="AQ48" s="625">
        <f t="shared" si="249"/>
        <v>1.5482644743720022</v>
      </c>
      <c r="AS48" s="56">
        <f t="shared" si="411"/>
        <v>-74.493097907455535</v>
      </c>
      <c r="AT48" s="77">
        <f t="shared" si="250"/>
        <v>-1.305586416533826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2.2570000000000001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2.157</v>
      </c>
      <c r="II48" s="800" cm="1">
        <f t="array" ref="II48">IFERROR(IF($IH48&lt;1,$IH48+LARGE((IF($M$9:$M$150="",0,$M$9:$M$150)-MOD(IF($M$9:$M$150="",0,$M$9:$M$150),1)),1),$IH48),"")</f>
        <v>2.157</v>
      </c>
      <c r="IJ48" s="839" t="str">
        <f t="shared" si="386"/>
        <v>1613</v>
      </c>
      <c r="IK48" s="839" t="str">
        <f t="shared" si="387"/>
        <v>1313</v>
      </c>
      <c r="IL48" s="791">
        <f t="shared" si="228"/>
        <v>11.442098347965384</v>
      </c>
      <c r="IM48" s="830">
        <v>2.3990965507735698E-3</v>
      </c>
      <c r="IN48" s="5">
        <f t="shared" si="229"/>
        <v>0.1</v>
      </c>
      <c r="IO48" s="852">
        <v>50</v>
      </c>
      <c r="IP48" s="9">
        <f t="shared" si="230"/>
        <v>-7.9582240020035888</v>
      </c>
      <c r="IQ48" s="5">
        <f t="shared" si="231"/>
        <v>-1.6002048262177555</v>
      </c>
      <c r="IR48" s="5">
        <f t="shared" si="388"/>
        <v>0.314</v>
      </c>
      <c r="IS48" s="5">
        <f t="shared" si="232"/>
        <v>0.28123351934403307</v>
      </c>
      <c r="IT48" s="791">
        <f t="shared" si="233"/>
        <v>67.287220392410646</v>
      </c>
      <c r="IU48" s="9">
        <f t="shared" si="234"/>
        <v>-8.0081241525024449</v>
      </c>
      <c r="IV48" s="5">
        <f t="shared" si="235"/>
        <v>-1.5870047864064358</v>
      </c>
      <c r="IW48" s="5">
        <f t="shared" si="389"/>
        <v>0.26600000000000001</v>
      </c>
      <c r="IX48" s="5">
        <f t="shared" si="236"/>
        <v>0.22702468799275857</v>
      </c>
      <c r="IY48" s="833">
        <f t="shared" si="237"/>
        <v>67.287216879096064</v>
      </c>
    </row>
    <row r="49" spans="1:259" ht="15" customHeight="1" x14ac:dyDescent="0.25">
      <c r="A49" s="84">
        <f t="shared" si="82"/>
        <v>0</v>
      </c>
      <c r="B49" s="770">
        <v>8.0663401214458332</v>
      </c>
      <c r="C49" s="771">
        <v>1.9700315967086688</v>
      </c>
      <c r="D49" s="772">
        <v>-2.2886069024384179</v>
      </c>
      <c r="E49" s="773">
        <v>0.74526040901125545</v>
      </c>
      <c r="F49" s="771">
        <v>0.18201419907885838</v>
      </c>
      <c r="G49" s="774">
        <v>0.64144972842309167</v>
      </c>
      <c r="H49" s="773">
        <v>0.25700000000000001</v>
      </c>
      <c r="I49" s="771">
        <v>0.41499999999999992</v>
      </c>
      <c r="J49" s="601">
        <v>2.2629999999999999</v>
      </c>
      <c r="K49" s="426" t="str">
        <f t="shared" si="225"/>
        <v>Knuckle</v>
      </c>
      <c r="L49" s="327"/>
      <c r="M49" s="173">
        <f t="shared" si="242"/>
        <v>2.2629999999999999</v>
      </c>
      <c r="N49" s="21">
        <f t="shared" si="243"/>
        <v>8.0663401214458332</v>
      </c>
      <c r="O49" s="5">
        <f t="shared" si="244"/>
        <v>1.9700315967086688</v>
      </c>
      <c r="P49" s="10">
        <f t="shared" si="245"/>
        <v>-2.2886069024384179</v>
      </c>
      <c r="Q49" s="624">
        <f t="shared" si="116"/>
        <v>13.72460234987669</v>
      </c>
      <c r="R49" s="5">
        <f t="shared" si="83"/>
        <v>8.3034250431299306</v>
      </c>
      <c r="S49" s="6">
        <f t="shared" si="84"/>
        <v>-2.2886069024384179</v>
      </c>
      <c r="T49" s="4">
        <f t="shared" si="85"/>
        <v>1.970031596708673</v>
      </c>
      <c r="U49" s="5">
        <f t="shared" si="86"/>
        <v>-8.0663401214458332</v>
      </c>
      <c r="V49" s="8">
        <f t="shared" si="117"/>
        <v>-2.2886069024384179</v>
      </c>
      <c r="W49" s="624">
        <f t="shared" si="227"/>
        <v>283.7246023498767</v>
      </c>
      <c r="X49" s="5">
        <f t="shared" si="87"/>
        <v>8.3034250431299306</v>
      </c>
      <c r="Y49" s="7">
        <f t="shared" si="226"/>
        <v>-2.2886069024384179</v>
      </c>
      <c r="Z49" s="21">
        <f t="shared" si="246"/>
        <v>-0.74526040901125545</v>
      </c>
      <c r="AA49" s="5">
        <f t="shared" si="247"/>
        <v>-0.18201419907885838</v>
      </c>
      <c r="AB49" s="5">
        <f t="shared" si="248"/>
        <v>-0.64144972842309167</v>
      </c>
      <c r="AC49" s="8">
        <f t="shared" si="88"/>
        <v>1</v>
      </c>
      <c r="AD49" s="9">
        <f t="shared" si="118"/>
        <v>-0.74526040901125545</v>
      </c>
      <c r="AE49" s="5">
        <f t="shared" si="89"/>
        <v>-0.18201419907885838</v>
      </c>
      <c r="AF49" s="10">
        <f t="shared" si="90"/>
        <v>-0.64144972842309167</v>
      </c>
      <c r="AG49" s="622">
        <f t="shared" si="91"/>
        <v>-15.841525360958432</v>
      </c>
      <c r="AH49" s="623">
        <f t="shared" si="92"/>
        <v>138.18147096675872</v>
      </c>
      <c r="AI49" s="624">
        <f t="shared" si="93"/>
        <v>-50.099992766457234</v>
      </c>
      <c r="AJ49" s="625">
        <f t="shared" si="94"/>
        <v>-76.275380711929827</v>
      </c>
      <c r="AK49" s="4">
        <f t="shared" si="213"/>
        <v>2.2679489639076955E-7</v>
      </c>
      <c r="AL49" s="5">
        <f t="shared" si="95"/>
        <v>-0.76716507083279717</v>
      </c>
      <c r="AM49" s="6">
        <f t="shared" si="96"/>
        <v>-0.64144972842309167</v>
      </c>
      <c r="AN49" s="612">
        <f t="shared" si="97"/>
        <v>-50.099992766456019</v>
      </c>
      <c r="AO49" s="613">
        <f t="shared" si="98"/>
        <v>0</v>
      </c>
      <c r="AP49" s="624">
        <f t="shared" si="99"/>
        <v>-89.99998306180656</v>
      </c>
      <c r="AQ49" s="625">
        <f t="shared" si="249"/>
        <v>1.4932277799975853</v>
      </c>
      <c r="AS49" s="56">
        <f t="shared" si="411"/>
        <v>-76.275397650123296</v>
      </c>
      <c r="AT49" s="77">
        <f t="shared" si="250"/>
        <v>-2.0004554002046189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2.2629999999999999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2.1629999999999998</v>
      </c>
      <c r="II49" s="800" cm="1">
        <f t="array" ref="II49">IFERROR(IF($IH49&lt;1,$IH49+LARGE((IF($M$9:$M$150="",0,$M$9:$M$150)-MOD(IF($M$9:$M$150="",0,$M$9:$M$150),1)),1),$IH49),"")</f>
        <v>2.1629999999999998</v>
      </c>
      <c r="IJ49" s="839" t="str">
        <f t="shared" si="386"/>
        <v>1613</v>
      </c>
      <c r="IK49" s="839" t="str">
        <f t="shared" si="387"/>
        <v>Knuckle</v>
      </c>
      <c r="IL49" s="791">
        <f t="shared" si="228"/>
        <v>12.871398141600025</v>
      </c>
      <c r="IM49" s="830">
        <v>1.2687983924183201E-3</v>
      </c>
      <c r="IN49" s="5">
        <f t="shared" si="229"/>
        <v>0</v>
      </c>
      <c r="IO49" s="852">
        <v>0</v>
      </c>
      <c r="IP49" s="9">
        <f t="shared" si="230"/>
        <v>-8.289325000604201</v>
      </c>
      <c r="IQ49" s="5">
        <f t="shared" si="231"/>
        <v>-2.2837068876599735</v>
      </c>
      <c r="IR49" s="5">
        <f t="shared" si="388"/>
        <v>0.314</v>
      </c>
      <c r="IS49" s="5">
        <f t="shared" si="232"/>
        <v>0.27093606157354233</v>
      </c>
      <c r="IT49" s="791">
        <f t="shared" si="233"/>
        <v>74.914084752586177</v>
      </c>
      <c r="IU49" s="9">
        <f t="shared" si="234"/>
        <v>-8.3034250431299306</v>
      </c>
      <c r="IV49" s="5">
        <f t="shared" si="235"/>
        <v>-2.2886069024384179</v>
      </c>
      <c r="IW49" s="5">
        <f t="shared" si="389"/>
        <v>0.25700000000000001</v>
      </c>
      <c r="IX49" s="5">
        <f t="shared" si="236"/>
        <v>0.25700000000000001</v>
      </c>
      <c r="IY49" s="833">
        <f t="shared" si="237"/>
        <v>50.099992766456019</v>
      </c>
    </row>
    <row r="50" spans="1:259" ht="15" customHeight="1" x14ac:dyDescent="0.25">
      <c r="A50" s="84">
        <f t="shared" si="82"/>
        <v>0</v>
      </c>
      <c r="B50" s="770">
        <v>8.2508311788984354</v>
      </c>
      <c r="C50" s="771">
        <v>1.8890715995269987</v>
      </c>
      <c r="D50" s="772">
        <v>-3.0322091451427817</v>
      </c>
      <c r="E50" s="773">
        <v>0.83729436167684657</v>
      </c>
      <c r="F50" s="771">
        <v>0.19170322170678877</v>
      </c>
      <c r="G50" s="774">
        <v>0.51204299301074319</v>
      </c>
      <c r="H50" s="773">
        <v>0.25700000000000001</v>
      </c>
      <c r="I50" s="771">
        <v>0.41499999999999992</v>
      </c>
      <c r="J50" s="601">
        <v>2.2690000000000001</v>
      </c>
      <c r="K50" s="426" t="str">
        <f t="shared" si="225"/>
        <v>Knuckle</v>
      </c>
      <c r="L50" s="327"/>
      <c r="M50" s="173">
        <f t="shared" si="242"/>
        <v>2.2690000000000001</v>
      </c>
      <c r="N50" s="21">
        <f t="shared" si="243"/>
        <v>8.2508311788984354</v>
      </c>
      <c r="O50" s="5">
        <f t="shared" si="244"/>
        <v>1.8890715995269987</v>
      </c>
      <c r="P50" s="10">
        <f t="shared" si="245"/>
        <v>-3.0322091451427817</v>
      </c>
      <c r="Q50" s="624">
        <f t="shared" si="116"/>
        <v>12.895902469526147</v>
      </c>
      <c r="R50" s="5">
        <f t="shared" si="83"/>
        <v>8.4643255284057943</v>
      </c>
      <c r="S50" s="6">
        <f t="shared" si="84"/>
        <v>-3.0322091451427817</v>
      </c>
      <c r="T50" s="4">
        <f t="shared" si="85"/>
        <v>1.8890715995269967</v>
      </c>
      <c r="U50" s="5">
        <f t="shared" si="86"/>
        <v>-8.2508311788984354</v>
      </c>
      <c r="V50" s="8">
        <f t="shared" si="117"/>
        <v>-3.0322091451427817</v>
      </c>
      <c r="W50" s="624">
        <f t="shared" si="227"/>
        <v>282.89590246952616</v>
      </c>
      <c r="X50" s="5">
        <f t="shared" si="87"/>
        <v>8.4643255284057943</v>
      </c>
      <c r="Y50" s="7">
        <f t="shared" si="226"/>
        <v>-3.0322091451427817</v>
      </c>
      <c r="Z50" s="21">
        <f t="shared" si="246"/>
        <v>-0.83729436167684657</v>
      </c>
      <c r="AA50" s="5">
        <f t="shared" si="247"/>
        <v>-0.19170322170678877</v>
      </c>
      <c r="AB50" s="5">
        <f t="shared" si="248"/>
        <v>-0.51204299301074319</v>
      </c>
      <c r="AC50" s="8">
        <f t="shared" si="88"/>
        <v>1</v>
      </c>
      <c r="AD50" s="9">
        <f t="shared" si="118"/>
        <v>-0.83729436167684657</v>
      </c>
      <c r="AE50" s="5">
        <f t="shared" si="89"/>
        <v>-0.19170322170678877</v>
      </c>
      <c r="AF50" s="10">
        <f t="shared" si="90"/>
        <v>-0.51204299301074319</v>
      </c>
      <c r="AG50" s="622">
        <f t="shared" si="91"/>
        <v>-20.525343193687451</v>
      </c>
      <c r="AH50" s="623">
        <f t="shared" si="92"/>
        <v>146.85550414100757</v>
      </c>
      <c r="AI50" s="624">
        <f t="shared" si="93"/>
        <v>-59.199991452579596</v>
      </c>
      <c r="AJ50" s="625">
        <f t="shared" si="94"/>
        <v>-77.104082402420033</v>
      </c>
      <c r="AK50" s="4">
        <f t="shared" si="213"/>
        <v>2.2679489694588106E-7</v>
      </c>
      <c r="AL50" s="5">
        <f t="shared" si="95"/>
        <v>-0.85895982054374864</v>
      </c>
      <c r="AM50" s="6">
        <f t="shared" si="96"/>
        <v>-0.51204299301074319</v>
      </c>
      <c r="AN50" s="612">
        <f t="shared" si="97"/>
        <v>-59.199991452578729</v>
      </c>
      <c r="AO50" s="613">
        <f t="shared" si="98"/>
        <v>0</v>
      </c>
      <c r="AP50" s="624">
        <f t="shared" si="99"/>
        <v>-89.999984871946168</v>
      </c>
      <c r="AQ50" s="625">
        <f t="shared" si="249"/>
        <v>1.464855126289226</v>
      </c>
      <c r="AS50" s="56">
        <f t="shared" si="411"/>
        <v>-77.104097530473837</v>
      </c>
      <c r="AT50" s="77">
        <f t="shared" si="250"/>
        <v>-2.7409269989165472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>
        <f>IFERROR(IF((((($IW50*COS(RADIANS(180-$IY50)))*COS(RADIANS($IY50)))-(($IX50*SIN(RADIANS(180-$IY50)))*SIN(RADIANS($IY50))))+$IU50)&lt;(((Settings!$C$19/2)*-1)+$IF$8),1,""),"")</f>
        <v>1</v>
      </c>
      <c r="IG50" s="836">
        <f t="shared" si="385"/>
        <v>2.2690000000000001</v>
      </c>
      <c r="IH50" s="797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2.169</v>
      </c>
      <c r="II50" s="800" cm="1">
        <f t="array" ref="II50">IFERROR(IF($IH50&lt;1,$IH50+LARGE((IF($M$9:$M$150="",0,$M$9:$M$150)-MOD(IF($M$9:$M$150="",0,$M$9:$M$150),1)),1),$IH50),"")</f>
        <v>2.169</v>
      </c>
      <c r="IJ50" s="839" t="str">
        <f t="shared" si="386"/>
        <v>1613</v>
      </c>
      <c r="IK50" s="839" t="str">
        <f t="shared" si="387"/>
        <v>Knuckle</v>
      </c>
      <c r="IL50" s="791">
        <f t="shared" si="228"/>
        <v>13.518098048228126</v>
      </c>
      <c r="IM50" s="830">
        <v>3.8181481600949203E-5</v>
      </c>
      <c r="IN50" s="5">
        <f t="shared" si="229"/>
        <v>0</v>
      </c>
      <c r="IO50" s="852">
        <v>0</v>
      </c>
      <c r="IP50" s="9">
        <f t="shared" si="230"/>
        <v>-8.458025509404937</v>
      </c>
      <c r="IQ50" s="5">
        <f t="shared" si="231"/>
        <v>-3.0239091201099062</v>
      </c>
      <c r="IR50" s="5">
        <f t="shared" si="388"/>
        <v>0.314</v>
      </c>
      <c r="IS50" s="5">
        <f t="shared" si="232"/>
        <v>0.26256668881677281</v>
      </c>
      <c r="IT50" s="791">
        <f t="shared" si="233"/>
        <v>82.830511249555229</v>
      </c>
      <c r="IU50" s="9">
        <f t="shared" si="234"/>
        <v>-8.4643255284057943</v>
      </c>
      <c r="IV50" s="5">
        <f t="shared" si="235"/>
        <v>-3.0322091451427817</v>
      </c>
      <c r="IW50" s="5">
        <f t="shared" si="389"/>
        <v>0.25700000000000001</v>
      </c>
      <c r="IX50" s="5">
        <f t="shared" si="236"/>
        <v>0.25700000000000001</v>
      </c>
      <c r="IY50" s="833">
        <f t="shared" si="237"/>
        <v>59.199991452578729</v>
      </c>
    </row>
    <row r="51" spans="1:259" ht="15" customHeight="1" x14ac:dyDescent="0.25">
      <c r="A51" s="84">
        <f t="shared" si="82"/>
        <v>0.02</v>
      </c>
      <c r="B51" s="770">
        <v>0.75903506089293815</v>
      </c>
      <c r="C51" s="771">
        <v>-0.35394386170252251</v>
      </c>
      <c r="D51" s="772">
        <v>-1.0733032370825628</v>
      </c>
      <c r="E51" s="773">
        <v>0.33252173587610084</v>
      </c>
      <c r="F51" s="771">
        <v>0.89725279245381229</v>
      </c>
      <c r="G51" s="774">
        <v>0.29045950079792671</v>
      </c>
      <c r="H51" s="773">
        <v>0.314</v>
      </c>
      <c r="I51" s="771">
        <v>0.52</v>
      </c>
      <c r="J51" s="601">
        <v>3.1030000000000002</v>
      </c>
      <c r="K51" s="426" t="str">
        <f t="shared" si="225"/>
        <v>1613</v>
      </c>
      <c r="L51" s="327"/>
      <c r="M51" s="173">
        <f t="shared" si="242"/>
        <v>3.1030000000000002</v>
      </c>
      <c r="N51" s="21">
        <f t="shared" si="243"/>
        <v>0.75903506089293815</v>
      </c>
      <c r="O51" s="5">
        <f t="shared" si="244"/>
        <v>-0.35394386170252251</v>
      </c>
      <c r="P51" s="10">
        <f t="shared" si="245"/>
        <v>-1.0733032370825628</v>
      </c>
      <c r="Q51" s="624">
        <f t="shared" si="116"/>
        <v>335</v>
      </c>
      <c r="R51" s="5">
        <f t="shared" si="83"/>
        <v>0.8375025259076182</v>
      </c>
      <c r="S51" s="6">
        <f t="shared" si="84"/>
        <v>-1.0733032370825628</v>
      </c>
      <c r="T51" s="4">
        <f t="shared" si="85"/>
        <v>-0.35394386170252246</v>
      </c>
      <c r="U51" s="5">
        <f t="shared" si="86"/>
        <v>-0.75903506089293815</v>
      </c>
      <c r="V51" s="8">
        <f t="shared" si="117"/>
        <v>-1.0733032370825628</v>
      </c>
      <c r="W51" s="624">
        <f t="shared" si="227"/>
        <v>245</v>
      </c>
      <c r="X51" s="5">
        <f t="shared" si="87"/>
        <v>0.8375025259076182</v>
      </c>
      <c r="Y51" s="7">
        <f t="shared" si="226"/>
        <v>-1.0733032370825628</v>
      </c>
      <c r="Z51" s="21">
        <f t="shared" si="246"/>
        <v>-0.33252173587610084</v>
      </c>
      <c r="AA51" s="5">
        <f t="shared" si="247"/>
        <v>-0.89725279245381229</v>
      </c>
      <c r="AB51" s="5">
        <f t="shared" si="248"/>
        <v>-0.29045950079792671</v>
      </c>
      <c r="AC51" s="8">
        <f t="shared" si="88"/>
        <v>1</v>
      </c>
      <c r="AD51" s="9">
        <f t="shared" si="118"/>
        <v>-0.33252173587610084</v>
      </c>
      <c r="AE51" s="5">
        <f t="shared" si="89"/>
        <v>-0.89725279245381229</v>
      </c>
      <c r="AF51" s="10">
        <f t="shared" si="90"/>
        <v>-0.29045950079792671</v>
      </c>
      <c r="AG51" s="622">
        <f t="shared" si="91"/>
        <v>-72.062147795053704</v>
      </c>
      <c r="AH51" s="623">
        <f t="shared" si="92"/>
        <v>109.42190625743203</v>
      </c>
      <c r="AI51" s="624">
        <f t="shared" si="93"/>
        <v>-73.114532337126249</v>
      </c>
      <c r="AJ51" s="625">
        <f t="shared" si="94"/>
        <v>-20.334697337007082</v>
      </c>
      <c r="AK51" s="4">
        <f t="shared" si="213"/>
        <v>0.95371695074822693</v>
      </c>
      <c r="AL51" s="5">
        <f t="shared" si="95"/>
        <v>7.7828376905364094E-2</v>
      </c>
      <c r="AM51" s="6">
        <f t="shared" si="96"/>
        <v>-0.29045950079792671</v>
      </c>
      <c r="AN51" s="612">
        <f t="shared" si="97"/>
        <v>14.999997834268278</v>
      </c>
      <c r="AO51" s="613">
        <f t="shared" si="98"/>
        <v>17.499999999999993</v>
      </c>
      <c r="AP51" s="624">
        <f t="shared" si="99"/>
        <v>4.6653026629929029</v>
      </c>
      <c r="AQ51" s="625">
        <f t="shared" si="249"/>
        <v>14.490883934299395</v>
      </c>
      <c r="AS51" s="56">
        <f t="shared" si="411"/>
        <v>-115</v>
      </c>
      <c r="AT51" s="77">
        <f t="shared" si="250"/>
        <v>-0.6388587926381184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3.1030000000000002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1.4313362049769753</v>
      </c>
      <c r="C52" s="771">
        <v>-0.66744303377527603</v>
      </c>
      <c r="D52" s="772">
        <v>-0.87460263780155556</v>
      </c>
      <c r="E52" s="773">
        <v>0.34750680503247128</v>
      </c>
      <c r="F52" s="771">
        <v>0.90373615442983979</v>
      </c>
      <c r="G52" s="774">
        <v>0.2499999672649757</v>
      </c>
      <c r="H52" s="773">
        <v>0.314</v>
      </c>
      <c r="I52" s="771">
        <v>0.52</v>
      </c>
      <c r="J52" s="601">
        <v>3.1059999999999999</v>
      </c>
      <c r="K52" s="426" t="str">
        <f t="shared" si="225"/>
        <v>1613</v>
      </c>
      <c r="L52" s="327"/>
      <c r="M52" s="173">
        <f t="shared" si="242"/>
        <v>3.1059999999999999</v>
      </c>
      <c r="N52" s="21">
        <f t="shared" si="243"/>
        <v>1.4313362049769753</v>
      </c>
      <c r="O52" s="5">
        <f t="shared" si="244"/>
        <v>-0.66744303377527603</v>
      </c>
      <c r="P52" s="10">
        <f t="shared" si="245"/>
        <v>-0.87460263780155556</v>
      </c>
      <c r="Q52" s="624">
        <f t="shared" si="116"/>
        <v>335</v>
      </c>
      <c r="R52" s="5">
        <f t="shared" si="83"/>
        <v>1.5793047631831654</v>
      </c>
      <c r="S52" s="6">
        <f t="shared" si="84"/>
        <v>-0.87460263780155556</v>
      </c>
      <c r="T52" s="4">
        <f t="shared" si="85"/>
        <v>-0.66744303377527592</v>
      </c>
      <c r="U52" s="5">
        <f t="shared" si="86"/>
        <v>-1.4313362049769753</v>
      </c>
      <c r="V52" s="8">
        <f t="shared" si="117"/>
        <v>-0.87460263780155556</v>
      </c>
      <c r="W52" s="624">
        <f t="shared" si="227"/>
        <v>245</v>
      </c>
      <c r="X52" s="5">
        <f t="shared" si="87"/>
        <v>1.5793047631831654</v>
      </c>
      <c r="Y52" s="7">
        <f t="shared" si="226"/>
        <v>-0.87460263780155556</v>
      </c>
      <c r="Z52" s="21">
        <f t="shared" si="246"/>
        <v>-0.34750680503247128</v>
      </c>
      <c r="AA52" s="5">
        <f t="shared" si="247"/>
        <v>-0.90373615442983979</v>
      </c>
      <c r="AB52" s="5">
        <f t="shared" si="248"/>
        <v>-0.2499999672649757</v>
      </c>
      <c r="AC52" s="8">
        <f t="shared" si="88"/>
        <v>1</v>
      </c>
      <c r="AD52" s="9">
        <f t="shared" si="118"/>
        <v>-0.34750680503247128</v>
      </c>
      <c r="AE52" s="5">
        <f t="shared" si="89"/>
        <v>-0.90373615442983979</v>
      </c>
      <c r="AF52" s="10">
        <f t="shared" si="90"/>
        <v>-0.2499999672649757</v>
      </c>
      <c r="AG52" s="622">
        <f t="shared" si="91"/>
        <v>-74.536992356750687</v>
      </c>
      <c r="AH52" s="623">
        <f t="shared" si="92"/>
        <v>110.33489578586625</v>
      </c>
      <c r="AI52" s="624">
        <f t="shared" si="93"/>
        <v>-75.522489751159455</v>
      </c>
      <c r="AJ52" s="625">
        <f t="shared" si="94"/>
        <v>-21.032870354913406</v>
      </c>
      <c r="AK52" s="4">
        <f t="shared" si="213"/>
        <v>0.96592583607220739</v>
      </c>
      <c r="AL52" s="5">
        <f t="shared" si="95"/>
        <v>6.6987279208207351E-2</v>
      </c>
      <c r="AM52" s="6">
        <f t="shared" si="96"/>
        <v>-0.2499999672649757</v>
      </c>
      <c r="AN52" s="612">
        <f t="shared" si="97"/>
        <v>14.999997834268299</v>
      </c>
      <c r="AO52" s="613">
        <f t="shared" si="98"/>
        <v>14.999997834268255</v>
      </c>
      <c r="AP52" s="624">
        <f t="shared" si="99"/>
        <v>3.9671296450865805</v>
      </c>
      <c r="AQ52" s="625">
        <f t="shared" si="249"/>
        <v>7.804019733810927</v>
      </c>
      <c r="AS52" s="56">
        <f t="shared" si="411"/>
        <v>-115</v>
      </c>
      <c r="AT52" s="77">
        <f t="shared" si="250"/>
        <v>-0.44015819335711109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3.1059999999999999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2.103637349061013</v>
      </c>
      <c r="C53" s="771">
        <v>-0.9809422058480296</v>
      </c>
      <c r="D53" s="772">
        <v>-0.67580203821894724</v>
      </c>
      <c r="E53" s="773">
        <v>0.34750680503247122</v>
      </c>
      <c r="F53" s="771">
        <v>0.90373615442983979</v>
      </c>
      <c r="G53" s="774">
        <v>0.2499999672649757</v>
      </c>
      <c r="H53" s="773">
        <v>0.314</v>
      </c>
      <c r="I53" s="771">
        <v>0.52</v>
      </c>
      <c r="J53" s="601">
        <v>3.109</v>
      </c>
      <c r="K53" s="426" t="str">
        <f t="shared" si="225"/>
        <v>1613</v>
      </c>
      <c r="L53" s="327"/>
      <c r="M53" s="173">
        <f t="shared" si="242"/>
        <v>3.109</v>
      </c>
      <c r="N53" s="21">
        <f t="shared" si="243"/>
        <v>2.103637349061013</v>
      </c>
      <c r="O53" s="5">
        <f t="shared" si="244"/>
        <v>-0.9809422058480296</v>
      </c>
      <c r="P53" s="10">
        <f t="shared" si="245"/>
        <v>-0.67580203821894724</v>
      </c>
      <c r="Q53" s="624">
        <f t="shared" si="116"/>
        <v>335</v>
      </c>
      <c r="R53" s="5">
        <f t="shared" ref="R53:R58" si="415">IF(M53="","",SQRT(N53^2+O53^2))</f>
        <v>2.3211070004587131</v>
      </c>
      <c r="S53" s="6">
        <f t="shared" ref="S53:S58" si="416">IF(M53="","",P53)</f>
        <v>-0.67580203821894724</v>
      </c>
      <c r="T53" s="4">
        <f t="shared" ref="T53:T58" si="417">IF(M53="","",X53*COS(RADIANS(W53)))</f>
        <v>-0.98094220584802949</v>
      </c>
      <c r="U53" s="5">
        <f t="shared" ref="U53:U58" si="418">IF(M53="","",X53*SIN(RADIANS(W53)))</f>
        <v>-2.103637349061013</v>
      </c>
      <c r="V53" s="8">
        <f t="shared" ref="V53:V58" si="419">IF(M53="","",Y53)</f>
        <v>-0.67580203821894724</v>
      </c>
      <c r="W53" s="624">
        <f t="shared" si="227"/>
        <v>245</v>
      </c>
      <c r="X53" s="5">
        <f t="shared" ref="X53:X58" si="420">IF(M53="","",R53)</f>
        <v>2.3211070004587131</v>
      </c>
      <c r="Y53" s="7">
        <f t="shared" si="226"/>
        <v>-0.67580203821894724</v>
      </c>
      <c r="Z53" s="21">
        <f t="shared" si="246"/>
        <v>-0.34750680503247122</v>
      </c>
      <c r="AA53" s="5">
        <f t="shared" si="247"/>
        <v>-0.90373615442983979</v>
      </c>
      <c r="AB53" s="5">
        <f t="shared" si="248"/>
        <v>-0.2499999672649757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-0.34750680503247122</v>
      </c>
      <c r="AE53" s="5">
        <f t="shared" ref="AE53:AE58" si="423">IF(M53="","",AA53*(1/SQRT(Z53^2+AA53^2+AB53^2)))</f>
        <v>-0.90373615442983979</v>
      </c>
      <c r="AF53" s="10">
        <f t="shared" ref="AF53:AF58" si="424">IF(M53="","",AB53*(1/SQRT(Z53^2+AA53^2+AB53^2)))</f>
        <v>-0.2499999672649757</v>
      </c>
      <c r="AG53" s="622">
        <f t="shared" ref="AG53:AG58" si="425">IF(M53="","",DEGREES(ATAN2(-AF53,AE53)))</f>
        <v>-74.536992356750687</v>
      </c>
      <c r="AH53" s="623">
        <f t="shared" ref="AH53:AH58" si="426">IF(M53="","",DEGREES(ACOS(AD53)))</f>
        <v>110.33489578586625</v>
      </c>
      <c r="AI53" s="624">
        <f t="shared" ref="AI53:AI58" si="427">IF(M53="","",DEGREES(-ACOS(-AF53)))</f>
        <v>-75.522489751159455</v>
      </c>
      <c r="AJ53" s="625">
        <f t="shared" ref="AJ53:AJ58" si="428">IF(M53="","",DEGREES(ATAN2(-AE53,AD53)))</f>
        <v>-21.032870354913406</v>
      </c>
      <c r="AK53" s="4">
        <f t="shared" ref="AK53:AK58" si="429">IF(M53="","",(COS(RADIANS((90-$Q$8)-W53))*AD53)+(-SIN(RADIANS((90-$Q$8)-W53))*AE53))</f>
        <v>0.96592583607220728</v>
      </c>
      <c r="AL53" s="5">
        <f t="shared" ref="AL53:AL58" si="430">IF(M53="","",(SIN(RADIANS((90-$Q$8)-W53))*AD53)+(COS(RADIANS((90-$Q$8)-W53))*AE53))</f>
        <v>6.6987279208207406E-2</v>
      </c>
      <c r="AM53" s="6">
        <f t="shared" ref="AM53:AM58" si="431">IF(M53="","",AF53)</f>
        <v>-0.2499999672649757</v>
      </c>
      <c r="AN53" s="612">
        <f t="shared" ref="AN53:AN58" si="432">IF(M53="","",DEGREES(ATAN2(-AM53,AL53)))</f>
        <v>14.99999783426831</v>
      </c>
      <c r="AO53" s="613">
        <f t="shared" si="98"/>
        <v>14.99999783426828</v>
      </c>
      <c r="AP53" s="624">
        <f t="shared" ref="AP53:AP58" si="433">IF(M53="","",DEGREES(ATAN2(AK53,AL53)))</f>
        <v>3.9671296450865841</v>
      </c>
      <c r="AQ53" s="625">
        <f t="shared" si="249"/>
        <v>5.3276088422849002</v>
      </c>
      <c r="AS53" s="56">
        <f t="shared" si="411"/>
        <v>-115</v>
      </c>
      <c r="AT53" s="77">
        <f t="shared" si="250"/>
        <v>-0.24135759377450278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3.109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2.7760291241970978</v>
      </c>
      <c r="C54" s="771">
        <v>-1.2944836398744197</v>
      </c>
      <c r="D54" s="772">
        <v>-0.47700143863633876</v>
      </c>
      <c r="E54" s="773">
        <v>0.34750680503247133</v>
      </c>
      <c r="F54" s="771">
        <v>0.90373615442983968</v>
      </c>
      <c r="G54" s="774">
        <v>0.24999996726497575</v>
      </c>
      <c r="H54" s="773">
        <v>0.314</v>
      </c>
      <c r="I54" s="771">
        <v>0.52</v>
      </c>
      <c r="J54" s="601">
        <v>3.1139999999999999</v>
      </c>
      <c r="K54" s="426" t="str">
        <f t="shared" si="225"/>
        <v>1613</v>
      </c>
      <c r="L54" s="327"/>
      <c r="M54" s="173">
        <f t="shared" si="242"/>
        <v>3.1139999999999999</v>
      </c>
      <c r="N54" s="21">
        <f t="shared" si="243"/>
        <v>2.7760291241970978</v>
      </c>
      <c r="O54" s="5">
        <f t="shared" si="244"/>
        <v>-1.2944836398744197</v>
      </c>
      <c r="P54" s="10">
        <f t="shared" si="245"/>
        <v>-0.47700143863633876</v>
      </c>
      <c r="Q54" s="624">
        <f t="shared" si="116"/>
        <v>335</v>
      </c>
      <c r="R54" s="5">
        <f t="shared" si="415"/>
        <v>3.0630092380358622</v>
      </c>
      <c r="S54" s="6">
        <f t="shared" si="416"/>
        <v>-0.47700143863633876</v>
      </c>
      <c r="T54" s="4">
        <f t="shared" si="417"/>
        <v>-1.2944836398744195</v>
      </c>
      <c r="U54" s="5">
        <f t="shared" si="418"/>
        <v>-2.7760291241970978</v>
      </c>
      <c r="V54" s="8">
        <f t="shared" si="419"/>
        <v>-0.47700143863633876</v>
      </c>
      <c r="W54" s="624">
        <f t="shared" si="227"/>
        <v>245</v>
      </c>
      <c r="X54" s="5">
        <f t="shared" si="420"/>
        <v>3.0630092380358622</v>
      </c>
      <c r="Y54" s="7">
        <f t="shared" si="226"/>
        <v>-0.47700143863633876</v>
      </c>
      <c r="Z54" s="21">
        <f t="shared" si="246"/>
        <v>-0.34750680503247133</v>
      </c>
      <c r="AA54" s="5">
        <f t="shared" si="247"/>
        <v>-0.90373615442983968</v>
      </c>
      <c r="AB54" s="5">
        <f t="shared" si="248"/>
        <v>-0.24999996726497575</v>
      </c>
      <c r="AC54" s="8">
        <f t="shared" si="421"/>
        <v>1</v>
      </c>
      <c r="AD54" s="9">
        <f t="shared" si="422"/>
        <v>-0.34750680503247133</v>
      </c>
      <c r="AE54" s="5">
        <f t="shared" si="423"/>
        <v>-0.90373615442983968</v>
      </c>
      <c r="AF54" s="10">
        <f t="shared" si="424"/>
        <v>-0.24999996726497575</v>
      </c>
      <c r="AG54" s="622">
        <f t="shared" si="425"/>
        <v>-74.536992356750687</v>
      </c>
      <c r="AH54" s="623">
        <f t="shared" si="426"/>
        <v>110.33489578586625</v>
      </c>
      <c r="AI54" s="624">
        <f t="shared" si="427"/>
        <v>-75.522489751159455</v>
      </c>
      <c r="AJ54" s="625">
        <f t="shared" si="428"/>
        <v>-21.032870354913413</v>
      </c>
      <c r="AK54" s="4">
        <f t="shared" si="429"/>
        <v>0.96592583607220739</v>
      </c>
      <c r="AL54" s="5">
        <f t="shared" si="430"/>
        <v>6.698727920820724E-2</v>
      </c>
      <c r="AM54" s="6">
        <f t="shared" si="431"/>
        <v>-0.24999996726497575</v>
      </c>
      <c r="AN54" s="612">
        <f t="shared" si="432"/>
        <v>14.999997834268271</v>
      </c>
      <c r="AO54" s="613">
        <f t="shared" si="98"/>
        <v>14.999997834268255</v>
      </c>
      <c r="AP54" s="624">
        <f t="shared" si="433"/>
        <v>3.9671296450865734</v>
      </c>
      <c r="AQ54" s="625">
        <f t="shared" si="249"/>
        <v>4.0421461761256507</v>
      </c>
      <c r="AS54" s="56">
        <f t="shared" si="411"/>
        <v>-115</v>
      </c>
      <c r="AT54" s="77">
        <f t="shared" si="250"/>
        <v>-4.2556994191894293E-2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3.1139999999999999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3.4483302682811354</v>
      </c>
      <c r="C55" s="771">
        <v>-1.6079828119471729</v>
      </c>
      <c r="D55" s="772">
        <v>-0.27820083905373061</v>
      </c>
      <c r="E55" s="773">
        <v>0.34750680503247133</v>
      </c>
      <c r="F55" s="771">
        <v>0.90373615442983968</v>
      </c>
      <c r="G55" s="774">
        <v>0.24999996726497575</v>
      </c>
      <c r="H55" s="773">
        <v>0.314</v>
      </c>
      <c r="I55" s="771">
        <v>0.52</v>
      </c>
      <c r="J55" s="601">
        <v>3.12</v>
      </c>
      <c r="K55" s="426" t="str">
        <f t="shared" si="225"/>
        <v>1613</v>
      </c>
      <c r="L55" s="327"/>
      <c r="M55" s="173">
        <f t="shared" si="242"/>
        <v>3.12</v>
      </c>
      <c r="N55" s="21">
        <f t="shared" si="243"/>
        <v>3.4483302682811354</v>
      </c>
      <c r="O55" s="5">
        <f t="shared" si="244"/>
        <v>-1.6079828119471729</v>
      </c>
      <c r="P55" s="10">
        <f t="shared" si="245"/>
        <v>-0.27820083905373061</v>
      </c>
      <c r="Q55" s="624">
        <f t="shared" si="116"/>
        <v>335</v>
      </c>
      <c r="R55" s="5">
        <f t="shared" si="415"/>
        <v>3.8048114753114093</v>
      </c>
      <c r="S55" s="6">
        <f t="shared" si="416"/>
        <v>-0.27820083905373061</v>
      </c>
      <c r="T55" s="4">
        <f t="shared" si="417"/>
        <v>-1.6079828119471729</v>
      </c>
      <c r="U55" s="5">
        <f t="shared" si="418"/>
        <v>-3.448330268281135</v>
      </c>
      <c r="V55" s="8">
        <f t="shared" si="419"/>
        <v>-0.27820083905373061</v>
      </c>
      <c r="W55" s="624">
        <f t="shared" si="227"/>
        <v>245</v>
      </c>
      <c r="X55" s="5">
        <f t="shared" si="420"/>
        <v>3.8048114753114093</v>
      </c>
      <c r="Y55" s="7">
        <f t="shared" si="226"/>
        <v>-0.27820083905373061</v>
      </c>
      <c r="Z55" s="21">
        <f t="shared" si="246"/>
        <v>-0.34750680503247133</v>
      </c>
      <c r="AA55" s="5">
        <f t="shared" si="247"/>
        <v>-0.90373615442983968</v>
      </c>
      <c r="AB55" s="5">
        <f t="shared" si="248"/>
        <v>-0.24999996726497575</v>
      </c>
      <c r="AC55" s="8">
        <f t="shared" si="421"/>
        <v>1</v>
      </c>
      <c r="AD55" s="9">
        <f t="shared" si="422"/>
        <v>-0.34750680503247133</v>
      </c>
      <c r="AE55" s="5">
        <f t="shared" si="423"/>
        <v>-0.90373615442983968</v>
      </c>
      <c r="AF55" s="10">
        <f t="shared" si="424"/>
        <v>-0.24999996726497575</v>
      </c>
      <c r="AG55" s="622">
        <f t="shared" si="425"/>
        <v>-74.536992356750687</v>
      </c>
      <c r="AH55" s="623">
        <f t="shared" si="426"/>
        <v>110.33489578586625</v>
      </c>
      <c r="AI55" s="624">
        <f t="shared" si="427"/>
        <v>-75.522489751159455</v>
      </c>
      <c r="AJ55" s="625">
        <f t="shared" si="428"/>
        <v>-21.032870354913413</v>
      </c>
      <c r="AK55" s="4">
        <f t="shared" si="429"/>
        <v>0.96592583607220739</v>
      </c>
      <c r="AL55" s="5">
        <f t="shared" si="430"/>
        <v>6.698727920820724E-2</v>
      </c>
      <c r="AM55" s="6">
        <f t="shared" si="431"/>
        <v>-0.24999996726497575</v>
      </c>
      <c r="AN55" s="612">
        <f t="shared" si="432"/>
        <v>14.999997834268271</v>
      </c>
      <c r="AO55" s="613">
        <f>IF(ROUND(IF(M55="",0,DEGREES(ACOS(AK55))),4)=90,0,IF(M55="","",DEGREES(ACOS(AK55))))</f>
        <v>14.999997834268255</v>
      </c>
      <c r="AP55" s="624">
        <f t="shared" si="433"/>
        <v>3.9671296450865734</v>
      </c>
      <c r="AQ55" s="625">
        <f t="shared" si="249"/>
        <v>3.2559721366860988</v>
      </c>
      <c r="AS55" s="56">
        <f t="shared" si="411"/>
        <v>-115</v>
      </c>
      <c r="AT55" s="77">
        <f t="shared" si="250"/>
        <v>0.15624360539071386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3.12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0.02</v>
      </c>
      <c r="B56" s="770">
        <v>4.1172147494766582</v>
      </c>
      <c r="C56" s="771">
        <v>-1.9389065073241649</v>
      </c>
      <c r="D56" s="772">
        <v>-9.2000277472836928E-2</v>
      </c>
      <c r="E56" s="773">
        <v>0.42266629352281004</v>
      </c>
      <c r="F56" s="771">
        <v>0.86777845556910049</v>
      </c>
      <c r="G56" s="774">
        <v>0.26136900422543707</v>
      </c>
      <c r="H56" s="773">
        <v>0.314</v>
      </c>
      <c r="I56" s="771">
        <v>0.52</v>
      </c>
      <c r="J56" s="601">
        <v>3.1259999999999999</v>
      </c>
      <c r="K56" s="426" t="str">
        <f t="shared" si="225"/>
        <v>1613</v>
      </c>
      <c r="L56" s="327"/>
      <c r="M56" s="173">
        <f t="shared" si="242"/>
        <v>3.1259999999999999</v>
      </c>
      <c r="N56" s="21">
        <f t="shared" si="243"/>
        <v>4.1172147494766582</v>
      </c>
      <c r="O56" s="5">
        <f t="shared" si="244"/>
        <v>-1.9389065073241649</v>
      </c>
      <c r="P56" s="10">
        <f t="shared" si="245"/>
        <v>-9.2000277472836928E-2</v>
      </c>
      <c r="Q56" s="624">
        <f t="shared" si="116"/>
        <v>334.78300003133091</v>
      </c>
      <c r="R56" s="5">
        <f t="shared" si="415"/>
        <v>4.5509137255557954</v>
      </c>
      <c r="S56" s="6">
        <f t="shared" si="416"/>
        <v>-9.2000277472836928E-2</v>
      </c>
      <c r="T56" s="4">
        <f t="shared" si="417"/>
        <v>-1.9389065073241674</v>
      </c>
      <c r="U56" s="5">
        <f t="shared" si="418"/>
        <v>-4.1172147494766564</v>
      </c>
      <c r="V56" s="8">
        <f t="shared" si="419"/>
        <v>-9.2000277472836928E-2</v>
      </c>
      <c r="W56" s="624">
        <f t="shared" si="227"/>
        <v>244.78300003133091</v>
      </c>
      <c r="X56" s="5">
        <f t="shared" si="420"/>
        <v>4.5509137255557954</v>
      </c>
      <c r="Y56" s="7">
        <f t="shared" si="226"/>
        <v>-9.2000277472836928E-2</v>
      </c>
      <c r="Z56" s="21">
        <f t="shared" si="246"/>
        <v>-0.42266629352281004</v>
      </c>
      <c r="AA56" s="5">
        <f t="shared" si="247"/>
        <v>-0.86777845556910049</v>
      </c>
      <c r="AB56" s="5">
        <f t="shared" si="248"/>
        <v>-0.26136900422543707</v>
      </c>
      <c r="AC56" s="8">
        <f t="shared" si="421"/>
        <v>1</v>
      </c>
      <c r="AD56" s="9">
        <f t="shared" si="422"/>
        <v>-0.42266629352281004</v>
      </c>
      <c r="AE56" s="5">
        <f t="shared" si="423"/>
        <v>-0.86777845556910049</v>
      </c>
      <c r="AF56" s="10">
        <f t="shared" si="424"/>
        <v>-0.26136900422543707</v>
      </c>
      <c r="AG56" s="622">
        <f t="shared" si="425"/>
        <v>-73.238053824650592</v>
      </c>
      <c r="AH56" s="623">
        <f t="shared" si="426"/>
        <v>115.00303655385537</v>
      </c>
      <c r="AI56" s="624">
        <f t="shared" si="427"/>
        <v>-74.848690477325945</v>
      </c>
      <c r="AJ56" s="625">
        <f t="shared" si="428"/>
        <v>-25.969187335849046</v>
      </c>
      <c r="AK56" s="4">
        <f t="shared" si="429"/>
        <v>0.9651557793371941</v>
      </c>
      <c r="AL56" s="5">
        <f t="shared" si="430"/>
        <v>-1.2671434102622114E-2</v>
      </c>
      <c r="AM56" s="6">
        <f t="shared" si="431"/>
        <v>-0.26136900422543707</v>
      </c>
      <c r="AN56" s="612">
        <f t="shared" si="432"/>
        <v>-2.7755842094368837</v>
      </c>
      <c r="AO56" s="613">
        <f t="shared" ref="AO56:AO119" si="466">IF(ROUND(IF(M56="",0,DEGREES(ACOS(AK56))),4)=90,0,IF(M56="","",DEGREES(ACOS(AK56))))</f>
        <v>15.16953248561077</v>
      </c>
      <c r="AP56" s="624">
        <f t="shared" si="433"/>
        <v>-0.75218736717994472</v>
      </c>
      <c r="AQ56" s="625">
        <f t="shared" si="249"/>
        <v>2.7230518522301748</v>
      </c>
      <c r="AS56" s="56">
        <f t="shared" si="411"/>
        <v>-115.21699996866909</v>
      </c>
      <c r="AT56" s="77">
        <f t="shared" si="250"/>
        <v>0.34326394463102405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3.1259999999999999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4.7979564528332279</v>
      </c>
      <c r="C57" s="771">
        <v>-2.3056979513816125</v>
      </c>
      <c r="D57" s="772">
        <v>-4.7600143562033119E-2</v>
      </c>
      <c r="E57" s="773">
        <v>0.49782348841829377</v>
      </c>
      <c r="F57" s="771">
        <v>0.82936928707315283</v>
      </c>
      <c r="G57" s="774">
        <v>0.25361064654073784</v>
      </c>
      <c r="H57" s="773">
        <v>0.314</v>
      </c>
      <c r="I57" s="771">
        <v>0.52</v>
      </c>
      <c r="J57" s="601">
        <v>3.1320000000000001</v>
      </c>
      <c r="K57" s="426" t="str">
        <f t="shared" si="225"/>
        <v>1613</v>
      </c>
      <c r="L57" s="327"/>
      <c r="M57" s="173">
        <f t="shared" si="242"/>
        <v>3.1320000000000001</v>
      </c>
      <c r="N57" s="21">
        <f t="shared" si="243"/>
        <v>4.7979564528332279</v>
      </c>
      <c r="O57" s="5">
        <f t="shared" si="244"/>
        <v>-2.3056979513816125</v>
      </c>
      <c r="P57" s="10">
        <f t="shared" si="245"/>
        <v>-4.7600143562033119E-2</v>
      </c>
      <c r="Q57" s="624">
        <f t="shared" si="116"/>
        <v>334.3330000963029</v>
      </c>
      <c r="R57" s="5">
        <f t="shared" si="415"/>
        <v>5.3232160548196212</v>
      </c>
      <c r="S57" s="6">
        <f t="shared" si="416"/>
        <v>-4.7600143562033119E-2</v>
      </c>
      <c r="T57" s="4">
        <f t="shared" si="417"/>
        <v>-2.3056979513816129</v>
      </c>
      <c r="U57" s="5">
        <f t="shared" si="418"/>
        <v>-4.7979564528332279</v>
      </c>
      <c r="V57" s="8">
        <f t="shared" si="419"/>
        <v>-4.7600143562033119E-2</v>
      </c>
      <c r="W57" s="624">
        <f t="shared" si="227"/>
        <v>244.3330000963029</v>
      </c>
      <c r="X57" s="5">
        <f t="shared" si="420"/>
        <v>5.3232160548196212</v>
      </c>
      <c r="Y57" s="7">
        <f t="shared" si="226"/>
        <v>-4.7600143562033119E-2</v>
      </c>
      <c r="Z57" s="21">
        <f t="shared" si="246"/>
        <v>-0.49782348841829377</v>
      </c>
      <c r="AA57" s="5">
        <f t="shared" si="247"/>
        <v>-0.82936928707315283</v>
      </c>
      <c r="AB57" s="5">
        <f t="shared" si="248"/>
        <v>-0.25361064654073784</v>
      </c>
      <c r="AC57" s="8">
        <f t="shared" si="421"/>
        <v>1</v>
      </c>
      <c r="AD57" s="9">
        <f t="shared" si="422"/>
        <v>-0.49782348841829377</v>
      </c>
      <c r="AE57" s="5">
        <f t="shared" si="423"/>
        <v>-0.82936928707315283</v>
      </c>
      <c r="AF57" s="10">
        <f t="shared" si="424"/>
        <v>-0.25361064654073784</v>
      </c>
      <c r="AG57" s="622">
        <f t="shared" si="425"/>
        <v>-72.997030088521655</v>
      </c>
      <c r="AH57" s="623">
        <f t="shared" si="426"/>
        <v>119.85610732071581</v>
      </c>
      <c r="AI57" s="624">
        <f t="shared" si="427"/>
        <v>-75.308724975776485</v>
      </c>
      <c r="AJ57" s="625">
        <f t="shared" si="428"/>
        <v>-30.974012112290868</v>
      </c>
      <c r="AK57" s="4">
        <f t="shared" si="429"/>
        <v>0.96315991447462845</v>
      </c>
      <c r="AL57" s="5">
        <f t="shared" si="430"/>
        <v>-8.9468536986000824E-2</v>
      </c>
      <c r="AM57" s="6">
        <f t="shared" si="431"/>
        <v>-0.25361064654073784</v>
      </c>
      <c r="AN57" s="612">
        <f t="shared" si="432"/>
        <v>-19.43177701752472</v>
      </c>
      <c r="AO57" s="613">
        <f t="shared" si="466"/>
        <v>15.600565091227383</v>
      </c>
      <c r="AP57" s="624">
        <f t="shared" si="433"/>
        <v>-5.3070122085937523</v>
      </c>
      <c r="AQ57" s="625">
        <f t="shared" si="249"/>
        <v>2.3284579569372297</v>
      </c>
      <c r="AS57" s="56">
        <f t="shared" si="411"/>
        <v>-115.6669999036971</v>
      </c>
      <c r="AT57" s="77">
        <f t="shared" si="250"/>
        <v>0.38936407829637815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3.1320000000000001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5.4491706687355119</v>
      </c>
      <c r="C58" s="771">
        <v>-2.6858148960899455</v>
      </c>
      <c r="D58" s="772">
        <v>-0.18050054438964178</v>
      </c>
      <c r="E58" s="773">
        <v>0.56992582627942023</v>
      </c>
      <c r="F58" s="771">
        <v>0.78945007710685389</v>
      </c>
      <c r="G58" s="774">
        <v>0.22793228883969646</v>
      </c>
      <c r="H58" s="773">
        <v>0.314</v>
      </c>
      <c r="I58" s="771">
        <v>0.52</v>
      </c>
      <c r="J58" s="601">
        <v>3.1379999999999999</v>
      </c>
      <c r="K58" s="426" t="str">
        <f t="shared" si="225"/>
        <v>1613</v>
      </c>
      <c r="L58" s="327"/>
      <c r="M58" s="173">
        <f t="shared" si="242"/>
        <v>3.1379999999999999</v>
      </c>
      <c r="N58" s="21">
        <f t="shared" si="243"/>
        <v>5.4491706687355119</v>
      </c>
      <c r="O58" s="5">
        <f t="shared" si="244"/>
        <v>-2.6858148960899455</v>
      </c>
      <c r="P58" s="10">
        <f t="shared" si="245"/>
        <v>-0.18050054438964178</v>
      </c>
      <c r="Q58" s="624">
        <f t="shared" si="116"/>
        <v>333.7620001787451</v>
      </c>
      <c r="R58" s="5">
        <f t="shared" si="415"/>
        <v>6.0751183225568592</v>
      </c>
      <c r="S58" s="6">
        <f t="shared" si="416"/>
        <v>-0.18050054438964178</v>
      </c>
      <c r="T58" s="4">
        <f t="shared" si="417"/>
        <v>-2.6858148960899437</v>
      </c>
      <c r="U58" s="5">
        <f t="shared" si="418"/>
        <v>-5.4491706687355119</v>
      </c>
      <c r="V58" s="8">
        <f t="shared" si="419"/>
        <v>-0.18050054438964178</v>
      </c>
      <c r="W58" s="624">
        <f t="shared" si="227"/>
        <v>243.7620001787451</v>
      </c>
      <c r="X58" s="5">
        <f t="shared" si="420"/>
        <v>6.0751183225568592</v>
      </c>
      <c r="Y58" s="7">
        <f t="shared" si="226"/>
        <v>-0.18050054438964178</v>
      </c>
      <c r="Z58" s="21">
        <f t="shared" si="246"/>
        <v>-0.56992582627942023</v>
      </c>
      <c r="AA58" s="5">
        <f t="shared" si="247"/>
        <v>-0.78945007710685389</v>
      </c>
      <c r="AB58" s="5">
        <f t="shared" si="248"/>
        <v>-0.22793228883969646</v>
      </c>
      <c r="AC58" s="8">
        <f t="shared" si="421"/>
        <v>1</v>
      </c>
      <c r="AD58" s="9">
        <f t="shared" si="422"/>
        <v>-0.56992582627942023</v>
      </c>
      <c r="AE58" s="5">
        <f t="shared" si="423"/>
        <v>-0.78945007710685389</v>
      </c>
      <c r="AF58" s="10">
        <f t="shared" si="424"/>
        <v>-0.22793228883969646</v>
      </c>
      <c r="AG58" s="622">
        <f t="shared" si="425"/>
        <v>-73.895361841003961</v>
      </c>
      <c r="AH58" s="623">
        <f t="shared" si="426"/>
        <v>124.74505355684458</v>
      </c>
      <c r="AI58" s="624">
        <f t="shared" si="427"/>
        <v>-76.824632550848037</v>
      </c>
      <c r="AJ58" s="625">
        <f t="shared" si="428"/>
        <v>-35.826558730657688</v>
      </c>
      <c r="AK58" s="4">
        <f t="shared" si="429"/>
        <v>0.96007405433290716</v>
      </c>
      <c r="AL58" s="5">
        <f t="shared" si="430"/>
        <v>-0.16218718167929197</v>
      </c>
      <c r="AM58" s="6">
        <f t="shared" si="431"/>
        <v>-0.22793228883969646</v>
      </c>
      <c r="AN58" s="612">
        <f t="shared" si="432"/>
        <v>-35.43408024815956</v>
      </c>
      <c r="AO58" s="613">
        <f t="shared" si="466"/>
        <v>16.245044257323531</v>
      </c>
      <c r="AP58" s="624">
        <f t="shared" si="433"/>
        <v>-9.5885589094027885</v>
      </c>
      <c r="AQ58" s="625">
        <f t="shared" si="249"/>
        <v>2.0405313135919592</v>
      </c>
      <c r="AS58" s="56">
        <f t="shared" si="411"/>
        <v>-116.2379998212549</v>
      </c>
      <c r="AT58" s="77">
        <f t="shared" si="250"/>
        <v>0.25862078826843227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3.1379999999999999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6.0436398388754702</v>
      </c>
      <c r="C59" s="771">
        <v>-3.0621355930058551</v>
      </c>
      <c r="D59" s="772">
        <v>-0.47220142415949556</v>
      </c>
      <c r="E59" s="773">
        <v>0.64009523116045752</v>
      </c>
      <c r="F59" s="771">
        <v>0.73677406918722954</v>
      </c>
      <c r="G59" s="774">
        <v>0.21781199695823</v>
      </c>
      <c r="H59" s="773">
        <v>0.314</v>
      </c>
      <c r="I59" s="771">
        <v>0.52</v>
      </c>
      <c r="J59" s="601">
        <v>3.1440000000000001</v>
      </c>
      <c r="K59" s="426" t="str">
        <f t="shared" si="225"/>
        <v>1613</v>
      </c>
      <c r="L59" s="327"/>
      <c r="M59" s="173">
        <f t="shared" si="242"/>
        <v>3.1440000000000001</v>
      </c>
      <c r="N59" s="21">
        <f t="shared" si="243"/>
        <v>6.0436398388754702</v>
      </c>
      <c r="O59" s="5">
        <f t="shared" si="244"/>
        <v>-3.0621355930058551</v>
      </c>
      <c r="P59" s="10">
        <f t="shared" si="245"/>
        <v>-0.47220142415949556</v>
      </c>
      <c r="Q59" s="624">
        <f t="shared" si="116"/>
        <v>333.13000026999458</v>
      </c>
      <c r="R59" s="5">
        <f t="shared" si="83"/>
        <v>6.7751204337632283</v>
      </c>
      <c r="S59" s="6">
        <f t="shared" si="84"/>
        <v>-0.47220142415949556</v>
      </c>
      <c r="T59" s="4">
        <f t="shared" si="85"/>
        <v>-3.0621355930058547</v>
      </c>
      <c r="U59" s="5">
        <f t="shared" si="86"/>
        <v>-6.0436398388754702</v>
      </c>
      <c r="V59" s="8">
        <f t="shared" si="117"/>
        <v>-0.47220142415949556</v>
      </c>
      <c r="W59" s="624">
        <f t="shared" si="227"/>
        <v>243.13000026999458</v>
      </c>
      <c r="X59" s="5">
        <f t="shared" si="87"/>
        <v>6.7751204337632283</v>
      </c>
      <c r="Y59" s="7">
        <f t="shared" si="226"/>
        <v>-0.47220142415949556</v>
      </c>
      <c r="Z59" s="21">
        <f t="shared" si="246"/>
        <v>-0.64009523116045752</v>
      </c>
      <c r="AA59" s="5">
        <f t="shared" si="247"/>
        <v>-0.73677406918722954</v>
      </c>
      <c r="AB59" s="5">
        <f t="shared" si="248"/>
        <v>-0.21781199695823</v>
      </c>
      <c r="AC59" s="8">
        <f t="shared" si="88"/>
        <v>1</v>
      </c>
      <c r="AD59" s="9">
        <f t="shared" si="118"/>
        <v>-0.64009523116045752</v>
      </c>
      <c r="AE59" s="5">
        <f t="shared" si="89"/>
        <v>-0.73677406918722954</v>
      </c>
      <c r="AF59" s="10">
        <f t="shared" si="90"/>
        <v>-0.21781199695823</v>
      </c>
      <c r="AG59" s="622">
        <f t="shared" si="91"/>
        <v>-73.530777181524542</v>
      </c>
      <c r="AH59" s="623">
        <f t="shared" si="92"/>
        <v>129.79892101366013</v>
      </c>
      <c r="AI59" s="624">
        <f t="shared" si="93"/>
        <v>-77.419446524033077</v>
      </c>
      <c r="AJ59" s="625">
        <f t="shared" si="94"/>
        <v>-40.983487551487208</v>
      </c>
      <c r="AK59" s="4">
        <f t="shared" si="213"/>
        <v>0.94653011259876174</v>
      </c>
      <c r="AL59" s="5">
        <f t="shared" si="95"/>
        <v>-0.2379888231090771</v>
      </c>
      <c r="AM59" s="6">
        <f t="shared" si="96"/>
        <v>-0.21781199695823</v>
      </c>
      <c r="AN59" s="612">
        <f t="shared" si="97"/>
        <v>-47.534643881641784</v>
      </c>
      <c r="AO59" s="613">
        <f t="shared" si="466"/>
        <v>18.821171806766969</v>
      </c>
      <c r="AP59" s="624">
        <f t="shared" si="99"/>
        <v>-14.113487821481778</v>
      </c>
      <c r="AQ59" s="625">
        <f t="shared" si="249"/>
        <v>1.8298561983793462</v>
      </c>
      <c r="AS59" s="56">
        <f t="shared" si="411"/>
        <v>-116.86999973000542</v>
      </c>
      <c r="AT59" s="77">
        <f t="shared" si="250"/>
        <v>-3.0692536290586214E-2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3.1440000000000001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6.557733176062059</v>
      </c>
      <c r="C60" s="771">
        <v>-3.4090860803880334</v>
      </c>
      <c r="D60" s="772">
        <v>-0.92120277834758013</v>
      </c>
      <c r="E60" s="773">
        <v>0.71362514112905018</v>
      </c>
      <c r="F60" s="771">
        <v>0.66572737237655344</v>
      </c>
      <c r="G60" s="774">
        <v>0.21805096564141419</v>
      </c>
      <c r="H60" s="773">
        <v>0.314</v>
      </c>
      <c r="I60" s="771">
        <v>0.52</v>
      </c>
      <c r="J60" s="601">
        <v>3.15</v>
      </c>
      <c r="K60" s="426" t="str">
        <f t="shared" si="225"/>
        <v>1613</v>
      </c>
      <c r="L60" s="327"/>
      <c r="M60" s="173">
        <f t="shared" si="242"/>
        <v>3.15</v>
      </c>
      <c r="N60" s="21">
        <f t="shared" si="243"/>
        <v>6.557733176062059</v>
      </c>
      <c r="O60" s="5">
        <f t="shared" si="244"/>
        <v>-3.4090860803880334</v>
      </c>
      <c r="P60" s="10">
        <f t="shared" si="245"/>
        <v>-0.92120277834758013</v>
      </c>
      <c r="Q60" s="624">
        <f t="shared" si="116"/>
        <v>332.53200035633506</v>
      </c>
      <c r="R60" s="5">
        <f t="shared" si="83"/>
        <v>7.3909222910216306</v>
      </c>
      <c r="S60" s="6">
        <f t="shared" si="84"/>
        <v>-0.92120277834758013</v>
      </c>
      <c r="T60" s="4">
        <f t="shared" si="85"/>
        <v>-3.4090860803880378</v>
      </c>
      <c r="U60" s="5">
        <f t="shared" si="86"/>
        <v>-6.5577331760620572</v>
      </c>
      <c r="V60" s="8">
        <f t="shared" si="117"/>
        <v>-0.92120277834758013</v>
      </c>
      <c r="W60" s="624">
        <f t="shared" si="227"/>
        <v>242.53200035633506</v>
      </c>
      <c r="X60" s="5">
        <f t="shared" si="87"/>
        <v>7.3909222910216306</v>
      </c>
      <c r="Y60" s="7">
        <f t="shared" si="226"/>
        <v>-0.92120277834758013</v>
      </c>
      <c r="Z60" s="21">
        <f t="shared" si="246"/>
        <v>-0.71362514112905018</v>
      </c>
      <c r="AA60" s="5">
        <f t="shared" si="247"/>
        <v>-0.66572737237655344</v>
      </c>
      <c r="AB60" s="5">
        <f t="shared" si="248"/>
        <v>-0.21805096564141419</v>
      </c>
      <c r="AC60" s="8">
        <f t="shared" si="88"/>
        <v>1</v>
      </c>
      <c r="AD60" s="9">
        <f t="shared" si="118"/>
        <v>-0.71362514112905018</v>
      </c>
      <c r="AE60" s="5">
        <f t="shared" si="89"/>
        <v>-0.66572737237655344</v>
      </c>
      <c r="AF60" s="10">
        <f t="shared" si="90"/>
        <v>-0.21805096564141419</v>
      </c>
      <c r="AG60" s="622">
        <f t="shared" si="91"/>
        <v>-71.864415864208141</v>
      </c>
      <c r="AH60" s="623">
        <f t="shared" si="92"/>
        <v>135.5306375066807</v>
      </c>
      <c r="AI60" s="624">
        <f t="shared" si="93"/>
        <v>-77.405417424584542</v>
      </c>
      <c r="AJ60" s="625">
        <f t="shared" si="94"/>
        <v>-46.988786560604588</v>
      </c>
      <c r="AK60" s="4">
        <f t="shared" si="213"/>
        <v>0.91984081872204337</v>
      </c>
      <c r="AL60" s="5">
        <f t="shared" si="95"/>
        <v>-0.32610833260683159</v>
      </c>
      <c r="AM60" s="6">
        <f t="shared" si="96"/>
        <v>-0.21805096564141419</v>
      </c>
      <c r="AN60" s="612">
        <f t="shared" si="97"/>
        <v>-56.231499411416316</v>
      </c>
      <c r="AO60" s="613">
        <f t="shared" si="466"/>
        <v>23.097178195585666</v>
      </c>
      <c r="AP60" s="624">
        <f t="shared" si="99"/>
        <v>-19.520786916939628</v>
      </c>
      <c r="AQ60" s="625">
        <f t="shared" si="249"/>
        <v>1.6774860677140193</v>
      </c>
      <c r="AS60" s="56">
        <f t="shared" si="411"/>
        <v>-117.46799964366494</v>
      </c>
      <c r="AT60" s="77">
        <f t="shared" si="250"/>
        <v>-0.47743477969373477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3.15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6.9669515949925493</v>
      </c>
      <c r="C61" s="771">
        <v>-3.7011190043306326</v>
      </c>
      <c r="D61" s="772">
        <v>-1.4934045041079824</v>
      </c>
      <c r="E61" s="773">
        <v>0.77666456760965918</v>
      </c>
      <c r="F61" s="771">
        <v>0.60224801106241532</v>
      </c>
      <c r="G61" s="774">
        <v>0.18463337344875144</v>
      </c>
      <c r="H61" s="773">
        <v>0.314</v>
      </c>
      <c r="I61" s="771">
        <v>0.52</v>
      </c>
      <c r="J61" s="601">
        <v>3.1560000000000001</v>
      </c>
      <c r="K61" s="426" t="str">
        <f t="shared" si="225"/>
        <v>1613</v>
      </c>
      <c r="L61" s="327"/>
      <c r="M61" s="173">
        <f t="shared" si="242"/>
        <v>3.1560000000000001</v>
      </c>
      <c r="N61" s="21">
        <f t="shared" si="243"/>
        <v>6.9669515949925493</v>
      </c>
      <c r="O61" s="5">
        <f t="shared" si="244"/>
        <v>-3.7011190043306326</v>
      </c>
      <c r="P61" s="10">
        <f t="shared" si="245"/>
        <v>-1.4934045041079824</v>
      </c>
      <c r="Q61" s="624">
        <f t="shared" si="116"/>
        <v>332.02100043011433</v>
      </c>
      <c r="R61" s="5">
        <f t="shared" si="83"/>
        <v>7.8890237932957588</v>
      </c>
      <c r="S61" s="6">
        <f t="shared" si="84"/>
        <v>-1.4934045041079824</v>
      </c>
      <c r="T61" s="4">
        <f t="shared" si="85"/>
        <v>-3.7011190043306343</v>
      </c>
      <c r="U61" s="5">
        <f t="shared" si="86"/>
        <v>-6.9669515949925493</v>
      </c>
      <c r="V61" s="8">
        <f t="shared" si="117"/>
        <v>-1.4934045041079824</v>
      </c>
      <c r="W61" s="624">
        <f t="shared" si="227"/>
        <v>242.02100043011433</v>
      </c>
      <c r="X61" s="5">
        <f t="shared" si="87"/>
        <v>7.8890237932957588</v>
      </c>
      <c r="Y61" s="7">
        <f t="shared" si="226"/>
        <v>-1.4934045041079824</v>
      </c>
      <c r="Z61" s="21">
        <f t="shared" si="246"/>
        <v>-0.77666456760965918</v>
      </c>
      <c r="AA61" s="5">
        <f t="shared" si="247"/>
        <v>-0.60224801106241532</v>
      </c>
      <c r="AB61" s="5">
        <f t="shared" si="248"/>
        <v>-0.18463337344875144</v>
      </c>
      <c r="AC61" s="8">
        <f t="shared" si="88"/>
        <v>1</v>
      </c>
      <c r="AD61" s="9">
        <f t="shared" si="118"/>
        <v>-0.77666456760965918</v>
      </c>
      <c r="AE61" s="5">
        <f t="shared" si="89"/>
        <v>-0.60224801106241532</v>
      </c>
      <c r="AF61" s="10">
        <f t="shared" si="90"/>
        <v>-0.18463337344875144</v>
      </c>
      <c r="AG61" s="622">
        <f t="shared" si="91"/>
        <v>-72.955840278135128</v>
      </c>
      <c r="AH61" s="623">
        <f t="shared" si="92"/>
        <v>140.95619270588762</v>
      </c>
      <c r="AI61" s="624">
        <f t="shared" si="93"/>
        <v>-79.360241972505349</v>
      </c>
      <c r="AJ61" s="625">
        <f t="shared" si="94"/>
        <v>-52.208972491515475</v>
      </c>
      <c r="AK61" s="4">
        <f t="shared" si="213"/>
        <v>0.89622758375139577</v>
      </c>
      <c r="AL61" s="5">
        <f t="shared" si="95"/>
        <v>-0.40334431387100134</v>
      </c>
      <c r="AM61" s="6">
        <f t="shared" si="96"/>
        <v>-0.18463337344875144</v>
      </c>
      <c r="AN61" s="612">
        <f t="shared" si="97"/>
        <v>-65.403766437513923</v>
      </c>
      <c r="AO61" s="613">
        <f t="shared" si="466"/>
        <v>26.333453010709366</v>
      </c>
      <c r="AP61" s="624">
        <f t="shared" si="99"/>
        <v>-24.229972921629813</v>
      </c>
      <c r="AQ61" s="625">
        <f t="shared" si="249"/>
        <v>1.571626941700893</v>
      </c>
      <c r="AS61" s="56">
        <f t="shared" si="411"/>
        <v>-117.97899956988567</v>
      </c>
      <c r="AT61" s="77">
        <f t="shared" si="250"/>
        <v>-1.0477060612884144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3.1560000000000001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7.2561934304255562</v>
      </c>
      <c r="C62" s="771">
        <v>-3.9163741365321441</v>
      </c>
      <c r="D62" s="772">
        <v>-2.1646065284532892</v>
      </c>
      <c r="E62" s="773">
        <v>0.82902349602528436</v>
      </c>
      <c r="F62" s="771">
        <v>0.54244803374821282</v>
      </c>
      <c r="G62" s="774">
        <v>0.13590501727571819</v>
      </c>
      <c r="H62" s="773">
        <v>0.314</v>
      </c>
      <c r="I62" s="771">
        <v>0.52</v>
      </c>
      <c r="J62" s="601">
        <v>3.1619999999999999</v>
      </c>
      <c r="K62" s="426" t="str">
        <f t="shared" si="225"/>
        <v>1613</v>
      </c>
      <c r="L62" s="327"/>
      <c r="M62" s="173">
        <f t="shared" si="242"/>
        <v>3.1619999999999999</v>
      </c>
      <c r="N62" s="21">
        <f t="shared" si="243"/>
        <v>7.2561934304255562</v>
      </c>
      <c r="O62" s="5">
        <f t="shared" si="244"/>
        <v>-3.9163741365321441</v>
      </c>
      <c r="P62" s="10">
        <f t="shared" si="245"/>
        <v>-2.1646065284532892</v>
      </c>
      <c r="Q62" s="624">
        <f t="shared" si="116"/>
        <v>331.64300048469079</v>
      </c>
      <c r="R62" s="5">
        <f t="shared" si="83"/>
        <v>8.245624868804601</v>
      </c>
      <c r="S62" s="6">
        <f t="shared" si="84"/>
        <v>-2.1646065284532892</v>
      </c>
      <c r="T62" s="4">
        <f t="shared" si="85"/>
        <v>-3.9163741365321467</v>
      </c>
      <c r="U62" s="5">
        <f t="shared" si="86"/>
        <v>-7.2561934304255544</v>
      </c>
      <c r="V62" s="8">
        <f t="shared" si="117"/>
        <v>-2.1646065284532892</v>
      </c>
      <c r="W62" s="624">
        <f t="shared" si="227"/>
        <v>241.64300048469079</v>
      </c>
      <c r="X62" s="5">
        <f t="shared" si="87"/>
        <v>8.245624868804601</v>
      </c>
      <c r="Y62" s="7">
        <f t="shared" si="226"/>
        <v>-2.1646065284532892</v>
      </c>
      <c r="Z62" s="21">
        <f t="shared" si="246"/>
        <v>-0.82902349602528436</v>
      </c>
      <c r="AA62" s="5">
        <f t="shared" si="247"/>
        <v>-0.54244803374821282</v>
      </c>
      <c r="AB62" s="5">
        <f t="shared" si="248"/>
        <v>-0.13590501727571819</v>
      </c>
      <c r="AC62" s="8">
        <f t="shared" si="88"/>
        <v>1</v>
      </c>
      <c r="AD62" s="9">
        <f t="shared" si="118"/>
        <v>-0.82902349602528436</v>
      </c>
      <c r="AE62" s="5">
        <f t="shared" si="89"/>
        <v>-0.54244803374821282</v>
      </c>
      <c r="AF62" s="10">
        <f t="shared" si="90"/>
        <v>-0.13590501727571819</v>
      </c>
      <c r="AG62" s="622">
        <f t="shared" si="91"/>
        <v>-75.934631859992379</v>
      </c>
      <c r="AH62" s="623">
        <f t="shared" si="92"/>
        <v>145.99855772365675</v>
      </c>
      <c r="AI62" s="624">
        <f t="shared" si="93"/>
        <v>-82.189044102197514</v>
      </c>
      <c r="AJ62" s="625">
        <f t="shared" si="94"/>
        <v>-56.80240705713728</v>
      </c>
      <c r="AK62" s="4">
        <f t="shared" si="213"/>
        <v>0.87111336636434378</v>
      </c>
      <c r="AL62" s="5">
        <f t="shared" si="95"/>
        <v>-0.47190182159074956</v>
      </c>
      <c r="AM62" s="6">
        <f t="shared" si="96"/>
        <v>-0.13590501727571819</v>
      </c>
      <c r="AN62" s="612">
        <f t="shared" si="97"/>
        <v>-73.933902999840782</v>
      </c>
      <c r="AO62" s="613">
        <f t="shared" si="466"/>
        <v>29.411721271329444</v>
      </c>
      <c r="AP62" s="624">
        <f t="shared" si="99"/>
        <v>-28.445407541828043</v>
      </c>
      <c r="AQ62" s="625">
        <f t="shared" si="249"/>
        <v>1.5036902179088836</v>
      </c>
      <c r="AS62" s="56">
        <f t="shared" si="411"/>
        <v>-118.35699951530921</v>
      </c>
      <c r="AT62" s="77">
        <f t="shared" si="250"/>
        <v>-1.7174800858398989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3.1619999999999999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7.4131392233823412</v>
      </c>
      <c r="C63" s="771">
        <v>-4.0362374928944336</v>
      </c>
      <c r="D63" s="772">
        <v>-2.8986087422039661</v>
      </c>
      <c r="E63" s="773">
        <v>0.87578679903101886</v>
      </c>
      <c r="F63" s="771">
        <v>0.47544267950328239</v>
      </c>
      <c r="G63" s="774">
        <v>8.3377102070898129E-2</v>
      </c>
      <c r="H63" s="773">
        <v>0.314</v>
      </c>
      <c r="I63" s="771">
        <v>0.52</v>
      </c>
      <c r="J63" s="601">
        <v>3.1680000000000001</v>
      </c>
      <c r="K63" s="426" t="str">
        <f t="shared" si="225"/>
        <v>1613</v>
      </c>
      <c r="L63" s="327"/>
      <c r="M63" s="173">
        <f t="shared" si="242"/>
        <v>3.1680000000000001</v>
      </c>
      <c r="N63" s="21">
        <f t="shared" si="243"/>
        <v>7.4131392233823412</v>
      </c>
      <c r="O63" s="5">
        <f t="shared" si="244"/>
        <v>-4.0362374928944336</v>
      </c>
      <c r="P63" s="10">
        <f t="shared" si="245"/>
        <v>-2.8986087422039661</v>
      </c>
      <c r="Q63" s="624">
        <f t="shared" si="116"/>
        <v>331.43300051501103</v>
      </c>
      <c r="R63" s="5">
        <f t="shared" si="83"/>
        <v>8.4407254572279804</v>
      </c>
      <c r="S63" s="6">
        <f t="shared" si="84"/>
        <v>-2.8986087422039661</v>
      </c>
      <c r="T63" s="4">
        <f t="shared" si="85"/>
        <v>-4.0362374928944327</v>
      </c>
      <c r="U63" s="5">
        <f t="shared" si="86"/>
        <v>-7.413139223382343</v>
      </c>
      <c r="V63" s="8">
        <f t="shared" si="117"/>
        <v>-2.8986087422039661</v>
      </c>
      <c r="W63" s="624">
        <f t="shared" si="227"/>
        <v>241.43300051501103</v>
      </c>
      <c r="X63" s="5">
        <f t="shared" si="87"/>
        <v>8.4407254572279804</v>
      </c>
      <c r="Y63" s="7">
        <f t="shared" si="226"/>
        <v>-2.8986087422039661</v>
      </c>
      <c r="Z63" s="21">
        <f t="shared" si="246"/>
        <v>-0.87578679903101886</v>
      </c>
      <c r="AA63" s="5">
        <f t="shared" si="247"/>
        <v>-0.47544267950328239</v>
      </c>
      <c r="AB63" s="5">
        <f t="shared" si="248"/>
        <v>-8.3377102070898129E-2</v>
      </c>
      <c r="AC63" s="8">
        <f t="shared" si="88"/>
        <v>1</v>
      </c>
      <c r="AD63" s="9">
        <f t="shared" si="118"/>
        <v>-0.87578679903101886</v>
      </c>
      <c r="AE63" s="5">
        <f t="shared" si="89"/>
        <v>-0.47544267950328239</v>
      </c>
      <c r="AF63" s="10">
        <f t="shared" si="90"/>
        <v>-8.3377102070898129E-2</v>
      </c>
      <c r="AG63" s="622">
        <f t="shared" si="91"/>
        <v>-80.053336013870208</v>
      </c>
      <c r="AH63" s="623">
        <f t="shared" si="92"/>
        <v>151.13823022583554</v>
      </c>
      <c r="AI63" s="624">
        <f t="shared" si="93"/>
        <v>-85.217291631112118</v>
      </c>
      <c r="AJ63" s="625">
        <f t="shared" si="94"/>
        <v>-61.503575125128627</v>
      </c>
      <c r="AK63" s="4">
        <f t="shared" si="213"/>
        <v>0.83635065797355801</v>
      </c>
      <c r="AL63" s="5">
        <f t="shared" si="95"/>
        <v>-0.54181716081853271</v>
      </c>
      <c r="AM63" s="6">
        <f t="shared" si="96"/>
        <v>-8.3377102070898129E-2</v>
      </c>
      <c r="AN63" s="612">
        <f t="shared" si="97"/>
        <v>-81.251708088598335</v>
      </c>
      <c r="AO63" s="613">
        <f t="shared" si="466"/>
        <v>33.243259024527752</v>
      </c>
      <c r="AP63" s="624">
        <f t="shared" si="99"/>
        <v>-32.936575640139665</v>
      </c>
      <c r="AQ63" s="625">
        <f t="shared" si="249"/>
        <v>1.4689490349799392</v>
      </c>
      <c r="AS63" s="56">
        <f t="shared" si="411"/>
        <v>-118.56699948498897</v>
      </c>
      <c r="AT63" s="77">
        <f t="shared" si="250"/>
        <v>-2.4506889663717857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3.1680000000000001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7.493094494690129</v>
      </c>
      <c r="C64" s="771">
        <v>-4.0982707622684336</v>
      </c>
      <c r="D64" s="772">
        <v>-3.657411030751669</v>
      </c>
      <c r="E64" s="773">
        <v>0.93153894751051158</v>
      </c>
      <c r="F64" s="771">
        <v>0.36364156702856076</v>
      </c>
      <c r="G64" s="774">
        <v>1.4578093199527977E-7</v>
      </c>
      <c r="H64" s="773">
        <v>0.314</v>
      </c>
      <c r="I64" s="771">
        <v>0.52</v>
      </c>
      <c r="J64" s="601">
        <v>3.1739999999999999</v>
      </c>
      <c r="K64" s="426" t="str">
        <f t="shared" si="225"/>
        <v>1613</v>
      </c>
      <c r="L64" s="327"/>
      <c r="M64" s="173">
        <f t="shared" si="242"/>
        <v>3.1739999999999999</v>
      </c>
      <c r="N64" s="21">
        <f t="shared" si="243"/>
        <v>7.493094494690129</v>
      </c>
      <c r="O64" s="5">
        <f t="shared" si="244"/>
        <v>-4.0982707622684336</v>
      </c>
      <c r="P64" s="10">
        <f t="shared" si="245"/>
        <v>-3.657411030751669</v>
      </c>
      <c r="Q64" s="624">
        <f t="shared" si="116"/>
        <v>331.32400053074866</v>
      </c>
      <c r="R64" s="5">
        <f t="shared" si="83"/>
        <v>8.5406257585272876</v>
      </c>
      <c r="S64" s="6">
        <f t="shared" si="84"/>
        <v>-3.657411030751669</v>
      </c>
      <c r="T64" s="4">
        <f t="shared" si="85"/>
        <v>-4.0982707622684362</v>
      </c>
      <c r="U64" s="5">
        <f t="shared" si="86"/>
        <v>-7.4930944946901272</v>
      </c>
      <c r="V64" s="8">
        <f t="shared" si="117"/>
        <v>-3.657411030751669</v>
      </c>
      <c r="W64" s="624">
        <f t="shared" si="227"/>
        <v>241.32400053074866</v>
      </c>
      <c r="X64" s="5">
        <f t="shared" si="87"/>
        <v>8.5406257585272876</v>
      </c>
      <c r="Y64" s="7">
        <f t="shared" si="226"/>
        <v>-3.657411030751669</v>
      </c>
      <c r="Z64" s="21">
        <f t="shared" si="246"/>
        <v>-0.93153894751051158</v>
      </c>
      <c r="AA64" s="5">
        <f t="shared" si="247"/>
        <v>-0.36364156702856076</v>
      </c>
      <c r="AB64" s="5">
        <f t="shared" si="248"/>
        <v>-1.4578093199527977E-7</v>
      </c>
      <c r="AC64" s="8">
        <f t="shared" si="88"/>
        <v>1</v>
      </c>
      <c r="AD64" s="9">
        <f t="shared" si="118"/>
        <v>-0.93153894751051158</v>
      </c>
      <c r="AE64" s="5">
        <f t="shared" si="89"/>
        <v>-0.36364156702856076</v>
      </c>
      <c r="AF64" s="10">
        <f t="shared" si="90"/>
        <v>-1.4578093199527977E-7</v>
      </c>
      <c r="AG64" s="622">
        <f t="shared" si="91"/>
        <v>-89.999977030590301</v>
      </c>
      <c r="AH64" s="623">
        <f t="shared" si="92"/>
        <v>158.67599369396441</v>
      </c>
      <c r="AI64" s="624">
        <f t="shared" si="93"/>
        <v>-89.999991647367864</v>
      </c>
      <c r="AJ64" s="625">
        <f t="shared" si="94"/>
        <v>-68.675993693965992</v>
      </c>
      <c r="AK64" s="4">
        <f t="shared" si="213"/>
        <v>0.76604450791050738</v>
      </c>
      <c r="AL64" s="5">
        <f t="shared" si="95"/>
        <v>-0.64278753247097709</v>
      </c>
      <c r="AM64" s="6">
        <f t="shared" si="96"/>
        <v>-1.4578093199527977E-7</v>
      </c>
      <c r="AN64" s="612">
        <f t="shared" si="97"/>
        <v>-89.999987005609611</v>
      </c>
      <c r="AO64" s="613">
        <f t="shared" si="466"/>
        <v>39.999994224715365</v>
      </c>
      <c r="AP64" s="624">
        <f t="shared" si="99"/>
        <v>-39.999994224714648</v>
      </c>
      <c r="AQ64" s="625">
        <f t="shared" si="249"/>
        <v>1.4517740315199315</v>
      </c>
      <c r="AS64" s="56">
        <f t="shared" si="411"/>
        <v>-118.67599946925134</v>
      </c>
      <c r="AT64" s="77">
        <f t="shared" si="250"/>
        <v>-3.2090794772011639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3.1739999999999999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</v>
      </c>
      <c r="B65" s="770">
        <v>3.5522488866831474</v>
      </c>
      <c r="C65" s="771">
        <v>-2.8483825481872498</v>
      </c>
      <c r="D65" s="772">
        <v>-5.4600164674096667E-2</v>
      </c>
      <c r="E65" s="773">
        <v>-8.1549085914037145E-2</v>
      </c>
      <c r="F65" s="771">
        <v>6.5390695639205632E-2</v>
      </c>
      <c r="G65" s="774">
        <v>0.99452189694868243</v>
      </c>
      <c r="H65" s="773">
        <v>0.25700000000000001</v>
      </c>
      <c r="I65" s="771">
        <v>0.41499999999999992</v>
      </c>
      <c r="J65" s="601">
        <v>3.226</v>
      </c>
      <c r="K65" s="426" t="str">
        <f t="shared" si="225"/>
        <v>Knuckle</v>
      </c>
      <c r="L65" s="327"/>
      <c r="M65" s="173">
        <f t="shared" si="242"/>
        <v>3.226</v>
      </c>
      <c r="N65" s="21">
        <f t="shared" si="243"/>
        <v>3.5522488866831474</v>
      </c>
      <c r="O65" s="5">
        <f t="shared" si="244"/>
        <v>-2.8483825481872498</v>
      </c>
      <c r="P65" s="10">
        <f t="shared" si="245"/>
        <v>-5.4600164674096667E-2</v>
      </c>
      <c r="Q65" s="624">
        <f t="shared" si="116"/>
        <v>321.27550198157235</v>
      </c>
      <c r="R65" s="5">
        <f t="shared" si="83"/>
        <v>4.5532137324926172</v>
      </c>
      <c r="S65" s="6">
        <f t="shared" si="84"/>
        <v>-5.4600164674096667E-2</v>
      </c>
      <c r="T65" s="4">
        <f t="shared" si="85"/>
        <v>-2.8483825481872507</v>
      </c>
      <c r="U65" s="5">
        <f t="shared" si="86"/>
        <v>-3.5522488866831465</v>
      </c>
      <c r="V65" s="8">
        <f t="shared" si="117"/>
        <v>-5.4600164674096667E-2</v>
      </c>
      <c r="W65" s="624">
        <f t="shared" si="227"/>
        <v>231.27550198157235</v>
      </c>
      <c r="X65" s="5">
        <f t="shared" si="87"/>
        <v>4.5532137324926172</v>
      </c>
      <c r="Y65" s="7">
        <f t="shared" si="226"/>
        <v>-5.4600164674096667E-2</v>
      </c>
      <c r="Z65" s="21">
        <f t="shared" si="246"/>
        <v>8.1549085914037145E-2</v>
      </c>
      <c r="AA65" s="5">
        <f t="shared" si="247"/>
        <v>-6.5390695639205632E-2</v>
      </c>
      <c r="AB65" s="5">
        <f t="shared" si="248"/>
        <v>-0.99452189694868243</v>
      </c>
      <c r="AC65" s="8">
        <f t="shared" si="88"/>
        <v>1</v>
      </c>
      <c r="AD65" s="9">
        <f t="shared" si="118"/>
        <v>8.1549085914037145E-2</v>
      </c>
      <c r="AE65" s="5">
        <f t="shared" si="89"/>
        <v>-6.5390695639205632E-2</v>
      </c>
      <c r="AF65" s="10">
        <f t="shared" si="90"/>
        <v>-0.99452189694868243</v>
      </c>
      <c r="AG65" s="622">
        <f t="shared" si="91"/>
        <v>-3.7618334627600931</v>
      </c>
      <c r="AH65" s="623">
        <f t="shared" si="92"/>
        <v>85.32238719976155</v>
      </c>
      <c r="AI65" s="624">
        <f t="shared" si="93"/>
        <v>-5.999999133721337</v>
      </c>
      <c r="AJ65" s="625">
        <f t="shared" si="94"/>
        <v>51.275377667181189</v>
      </c>
      <c r="AK65" s="4">
        <f t="shared" si="213"/>
        <v>2.2679489680016429E-7</v>
      </c>
      <c r="AL65" s="5">
        <f t="shared" si="95"/>
        <v>0.10452844823081803</v>
      </c>
      <c r="AM65" s="6">
        <f t="shared" si="96"/>
        <v>-0.99452189694868243</v>
      </c>
      <c r="AN65" s="612">
        <f t="shared" si="97"/>
        <v>5.9999991337073046</v>
      </c>
      <c r="AO65" s="613">
        <f t="shared" si="466"/>
        <v>0</v>
      </c>
      <c r="AP65" s="624">
        <f t="shared" si="99"/>
        <v>89.999875685608828</v>
      </c>
      <c r="AQ65" s="625">
        <f t="shared" si="249"/>
        <v>2.7216784006752088</v>
      </c>
      <c r="AS65" s="56">
        <f t="shared" si="411"/>
        <v>-128.72449801842765</v>
      </c>
      <c r="AT65" s="77">
        <f t="shared" si="250"/>
        <v>0.43169238339551891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>
        <f>IFERROR(IF($IU65="","",IF($IU65&lt;(((Settings!$C$19/2)*-1)*$IE$8),"",1)),"")</f>
        <v>1</v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3.226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3.1259999999999999</v>
      </c>
      <c r="II65" s="800" cm="1">
        <f t="array" ref="II65">IFERROR(IF($IH65&lt;1,$IH65+LARGE((IF($M$9:$M$150="",0,$M$9:$M$150)-MOD(IF($M$9:$M$150="",0,$M$9:$M$150),1)),1),$IH65),"")</f>
        <v>3.1259999999999999</v>
      </c>
      <c r="IJ65" s="839" t="str">
        <f t="shared" si="386"/>
        <v>1613</v>
      </c>
      <c r="IK65" s="839" t="str">
        <f t="shared" si="387"/>
        <v>Knuckle</v>
      </c>
      <c r="IL65" s="791">
        <f t="shared" si="228"/>
        <v>13.507498049758567</v>
      </c>
      <c r="IM65" s="830">
        <v>8.6038391382189001E-3</v>
      </c>
      <c r="IN65" s="5">
        <f t="shared" si="229"/>
        <v>0.2</v>
      </c>
      <c r="IO65" s="852">
        <v>100</v>
      </c>
      <c r="IP65" s="9">
        <f t="shared" si="230"/>
        <v>-4.5509137255557954</v>
      </c>
      <c r="IQ65" s="5">
        <f t="shared" si="231"/>
        <v>-9.2000277472836928E-2</v>
      </c>
      <c r="IR65" s="5">
        <f t="shared" si="388"/>
        <v>0.314</v>
      </c>
      <c r="IS65" s="5">
        <f t="shared" si="232"/>
        <v>0.30305891471187896</v>
      </c>
      <c r="IT65" s="791">
        <f t="shared" si="233"/>
        <v>2.7755842094368837</v>
      </c>
      <c r="IU65" s="9">
        <f t="shared" si="234"/>
        <v>-4.5532137324926172</v>
      </c>
      <c r="IV65" s="5">
        <f t="shared" si="235"/>
        <v>-5.4600164674096667E-2</v>
      </c>
      <c r="IW65" s="5">
        <f t="shared" si="389"/>
        <v>0.25700000000000001</v>
      </c>
      <c r="IX65" s="5">
        <f t="shared" si="236"/>
        <v>0.25700000000000001</v>
      </c>
      <c r="IY65" s="833">
        <f t="shared" si="237"/>
        <v>-5.9999991337073046</v>
      </c>
    </row>
    <row r="66" spans="1:259" ht="15" customHeight="1" x14ac:dyDescent="0.25">
      <c r="A66" s="84">
        <f t="shared" si="82"/>
        <v>0</v>
      </c>
      <c r="B66" s="770">
        <v>4.176115428986483</v>
      </c>
      <c r="C66" s="771">
        <v>-3.3256298777884026</v>
      </c>
      <c r="D66" s="772">
        <v>-1.2900038906517343E-2</v>
      </c>
      <c r="E66" s="773">
        <v>4.2303906680496488E-2</v>
      </c>
      <c r="F66" s="771">
        <v>-3.3688227168990718E-2</v>
      </c>
      <c r="G66" s="774">
        <v>0.99853667074864028</v>
      </c>
      <c r="H66" s="773">
        <v>0.25700000000000001</v>
      </c>
      <c r="I66" s="771">
        <v>0.41499999999999992</v>
      </c>
      <c r="J66" s="601">
        <v>3.2320000000000002</v>
      </c>
      <c r="K66" s="426" t="str">
        <f t="shared" si="225"/>
        <v>Knuckle</v>
      </c>
      <c r="L66" s="327"/>
      <c r="M66" s="173">
        <f t="shared" si="242"/>
        <v>3.2320000000000002</v>
      </c>
      <c r="N66" s="21">
        <f t="shared" si="243"/>
        <v>4.176115428986483</v>
      </c>
      <c r="O66" s="5">
        <f t="shared" si="244"/>
        <v>-3.3256298777884026</v>
      </c>
      <c r="P66" s="10">
        <f t="shared" si="245"/>
        <v>-1.2900038906517343E-2</v>
      </c>
      <c r="Q66" s="624">
        <f t="shared" si="116"/>
        <v>321.46810195376435</v>
      </c>
      <c r="R66" s="5">
        <f t="shared" si="83"/>
        <v>5.3385161009645614</v>
      </c>
      <c r="S66" s="6">
        <f t="shared" si="84"/>
        <v>-1.2900038906517343E-2</v>
      </c>
      <c r="T66" s="4">
        <f t="shared" si="85"/>
        <v>-3.3256298777884052</v>
      </c>
      <c r="U66" s="5">
        <f t="shared" si="86"/>
        <v>-4.1761154289864804</v>
      </c>
      <c r="V66" s="8">
        <f t="shared" si="117"/>
        <v>-1.2900038906517343E-2</v>
      </c>
      <c r="W66" s="624">
        <f t="shared" si="227"/>
        <v>231.46810195376435</v>
      </c>
      <c r="X66" s="5">
        <f t="shared" si="87"/>
        <v>5.3385161009645614</v>
      </c>
      <c r="Y66" s="7">
        <f t="shared" si="226"/>
        <v>-1.2900038906517343E-2</v>
      </c>
      <c r="Z66" s="21">
        <f t="shared" si="246"/>
        <v>-4.2303906680496488E-2</v>
      </c>
      <c r="AA66" s="5">
        <f t="shared" si="247"/>
        <v>3.3688227168990718E-2</v>
      </c>
      <c r="AB66" s="5">
        <f t="shared" si="248"/>
        <v>-0.99853667074864028</v>
      </c>
      <c r="AC66" s="8">
        <f t="shared" si="88"/>
        <v>1</v>
      </c>
      <c r="AD66" s="9">
        <f t="shared" si="118"/>
        <v>-4.2303906680496488E-2</v>
      </c>
      <c r="AE66" s="5">
        <f t="shared" si="89"/>
        <v>3.3688227168990718E-2</v>
      </c>
      <c r="AF66" s="10">
        <f t="shared" si="90"/>
        <v>-0.99853667074864028</v>
      </c>
      <c r="AG66" s="622">
        <f t="shared" si="91"/>
        <v>1.9322889791129778</v>
      </c>
      <c r="AH66" s="623">
        <f t="shared" si="92"/>
        <v>92.424558850115631</v>
      </c>
      <c r="AI66" s="624">
        <f t="shared" si="93"/>
        <v>-3.0999995524425974</v>
      </c>
      <c r="AJ66" s="625">
        <f t="shared" si="94"/>
        <v>-128.53165776003934</v>
      </c>
      <c r="AK66" s="4">
        <f t="shared" si="213"/>
        <v>2.2679489675506148E-7</v>
      </c>
      <c r="AL66" s="5">
        <f t="shared" si="95"/>
        <v>-5.4078805184381101E-2</v>
      </c>
      <c r="AM66" s="6">
        <f t="shared" si="96"/>
        <v>-0.99853667074864028</v>
      </c>
      <c r="AN66" s="612">
        <f t="shared" si="97"/>
        <v>-3.0999995524154502</v>
      </c>
      <c r="AO66" s="613">
        <f t="shared" si="466"/>
        <v>0</v>
      </c>
      <c r="AP66" s="624">
        <f t="shared" si="99"/>
        <v>-89.999759713803684</v>
      </c>
      <c r="AQ66" s="625">
        <f t="shared" si="249"/>
        <v>2.3217919715218933</v>
      </c>
      <c r="AS66" s="56">
        <f t="shared" si="411"/>
        <v>-128.53189804623565</v>
      </c>
      <c r="AT66" s="77">
        <f t="shared" si="250"/>
        <v>0.47266490926815069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>
        <f>IFERROR(IF($IU66="","",IF($IU66&lt;(((Settings!$C$19/2)*-1)*$IE$8),"",1)),"")</f>
        <v>1</v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3.2320000000000002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3.1320000000000001</v>
      </c>
      <c r="II66" s="800" cm="1">
        <f t="array" ref="II66">IFERROR(IF($IH66&lt;1,$IH66+LARGE((IF($M$9:$M$150="",0,$M$9:$M$150)-MOD(IF($M$9:$M$150="",0,$M$9:$M$150),1)),1),$IH66),"")</f>
        <v>3.1320000000000001</v>
      </c>
      <c r="IJ66" s="839" t="str">
        <f t="shared" si="386"/>
        <v>1613</v>
      </c>
      <c r="IK66" s="839" t="str">
        <f t="shared" si="387"/>
        <v>Knuckle</v>
      </c>
      <c r="IL66" s="791">
        <f t="shared" si="228"/>
        <v>12.86489814253855</v>
      </c>
      <c r="IM66" s="830">
        <v>7.5665165771029701E-3</v>
      </c>
      <c r="IN66" s="5">
        <f t="shared" si="229"/>
        <v>0.18</v>
      </c>
      <c r="IO66" s="852">
        <v>90</v>
      </c>
      <c r="IP66" s="9">
        <f t="shared" si="230"/>
        <v>-5.3232160548196212</v>
      </c>
      <c r="IQ66" s="5">
        <f t="shared" si="231"/>
        <v>-4.7600143562033119E-2</v>
      </c>
      <c r="IR66" s="5">
        <f t="shared" si="388"/>
        <v>0.314</v>
      </c>
      <c r="IS66" s="5">
        <f t="shared" si="232"/>
        <v>0.30243221314503332</v>
      </c>
      <c r="IT66" s="791">
        <f t="shared" si="233"/>
        <v>19.43177701752472</v>
      </c>
      <c r="IU66" s="9">
        <f t="shared" si="234"/>
        <v>-5.3385161009645614</v>
      </c>
      <c r="IV66" s="5">
        <f t="shared" si="235"/>
        <v>-1.2900038906517343E-2</v>
      </c>
      <c r="IW66" s="5">
        <f t="shared" si="389"/>
        <v>0.25700000000000001</v>
      </c>
      <c r="IX66" s="5">
        <f t="shared" si="236"/>
        <v>0.25700000000000001</v>
      </c>
      <c r="IY66" s="833">
        <f t="shared" si="237"/>
        <v>3.0999995524154502</v>
      </c>
    </row>
    <row r="67" spans="1:259" ht="15" customHeight="1" x14ac:dyDescent="0.25">
      <c r="A67" s="84">
        <f t="shared" si="82"/>
        <v>0.02</v>
      </c>
      <c r="B67" s="770">
        <v>4.8861157339327876</v>
      </c>
      <c r="C67" s="771">
        <v>-3.6620424827516405</v>
      </c>
      <c r="D67" s="772">
        <v>-0.14410043460691077</v>
      </c>
      <c r="E67" s="773">
        <v>0.72708292421701026</v>
      </c>
      <c r="F67" s="771">
        <v>0.61982430388838661</v>
      </c>
      <c r="G67" s="774">
        <v>0.29524270290951909</v>
      </c>
      <c r="H67" s="773">
        <v>0.26600000000000001</v>
      </c>
      <c r="I67" s="771">
        <v>0.52</v>
      </c>
      <c r="J67" s="601">
        <v>3.238</v>
      </c>
      <c r="K67" s="426" t="str">
        <f t="shared" si="225"/>
        <v>1313</v>
      </c>
      <c r="L67" s="327"/>
      <c r="M67" s="173">
        <f t="shared" si="242"/>
        <v>3.238</v>
      </c>
      <c r="N67" s="21">
        <f t="shared" si="243"/>
        <v>4.8861157339327876</v>
      </c>
      <c r="O67" s="5">
        <f t="shared" si="244"/>
        <v>-3.6620424827516405</v>
      </c>
      <c r="P67" s="10">
        <f t="shared" si="245"/>
        <v>-0.14410043460691077</v>
      </c>
      <c r="Q67" s="624">
        <f t="shared" si="116"/>
        <v>323.14920171104359</v>
      </c>
      <c r="R67" s="5">
        <f>IF(M67="","",SQRT(N67^2+O67^2))</f>
        <v>6.1061184160531425</v>
      </c>
      <c r="S67" s="6">
        <f>IF(M67="","",P67)</f>
        <v>-0.14410043460691077</v>
      </c>
      <c r="T67" s="4">
        <f>IF(M67="","",X67*COS(RADIANS(W67)))</f>
        <v>-3.66204248275164</v>
      </c>
      <c r="U67" s="5">
        <f>IF(M67="","",X67*SIN(RADIANS(W67)))</f>
        <v>-4.8861157339327876</v>
      </c>
      <c r="V67" s="8">
        <f>IF(M67="","",Y67)</f>
        <v>-0.14410043460691077</v>
      </c>
      <c r="W67" s="624">
        <f t="shared" si="227"/>
        <v>233.14920171104359</v>
      </c>
      <c r="X67" s="5">
        <f>IF(M67="","",R67)</f>
        <v>6.1061184160531425</v>
      </c>
      <c r="Y67" s="7">
        <f t="shared" si="226"/>
        <v>-0.14410043460691077</v>
      </c>
      <c r="Z67" s="21">
        <f t="shared" si="246"/>
        <v>-0.72708292421701026</v>
      </c>
      <c r="AA67" s="5">
        <f t="shared" si="247"/>
        <v>-0.61982430388838661</v>
      </c>
      <c r="AB67" s="5">
        <f t="shared" si="248"/>
        <v>-0.29524270290951909</v>
      </c>
      <c r="AC67" s="8">
        <f>IF(M67="","",SQRT(Z67^2+AA67^2+AB67^2))</f>
        <v>1</v>
      </c>
      <c r="AD67" s="9">
        <f>IF(M67="","",Z67*(1/SQRT(Z67^2+AA67^2+AB67^2)))</f>
        <v>-0.72708292421701026</v>
      </c>
      <c r="AE67" s="5">
        <f>IF(M67="","",AA67*(1/SQRT(Z67^2+AA67^2+AB67^2)))</f>
        <v>-0.61982430388838661</v>
      </c>
      <c r="AF67" s="10">
        <f>IF(M67="","",AB67*(1/SQRT(Z67^2+AA67^2+AB67^2)))</f>
        <v>-0.29524270290951909</v>
      </c>
      <c r="AG67" s="622">
        <f>IF(M67="","",DEGREES(ATAN2(-AF67,AE67)))</f>
        <v>-64.53000378868812</v>
      </c>
      <c r="AH67" s="623">
        <f>IF(M67="","",DEGREES(ACOS(AD67)))</f>
        <v>136.64239950029443</v>
      </c>
      <c r="AI67" s="624">
        <f>IF(M67="","",DEGREES(-ACOS(-AF67)))</f>
        <v>-72.827908533241853</v>
      </c>
      <c r="AJ67" s="625">
        <f>IF(M67="","",DEGREES(ATAN2(-AE67,AD67)))</f>
        <v>-49.553041912738088</v>
      </c>
      <c r="AK67" s="4">
        <f>IF(M67="","",(COS(RADIANS((90-$Q$8)-W67))*AD67)+(-SIN(RADIANS((90-$Q$8)-W67))*AE67))</f>
        <v>0.93203921913908638</v>
      </c>
      <c r="AL67" s="5">
        <f>IF(M67="","",(SIN(RADIANS((90-$Q$8)-W67))*AD67)+(COS(RADIANS((90-$Q$8)-W67))*AE67))</f>
        <v>-0.21008246087021115</v>
      </c>
      <c r="AM67" s="6">
        <f>IF(M67="","",AF67)</f>
        <v>-0.29524270290951909</v>
      </c>
      <c r="AN67" s="612">
        <f>IF(M67="","",DEGREES(ATAN2(-AM67,AL67)))</f>
        <v>-35.43407700091263</v>
      </c>
      <c r="AO67" s="613">
        <f t="shared" si="466"/>
        <v>21.245043527240771</v>
      </c>
      <c r="AP67" s="624">
        <f>IF(M67="","",DEGREES(ATAN2(AK67,AL67)))</f>
        <v>-12.702243623781682</v>
      </c>
      <c r="AQ67" s="625">
        <f t="shared" si="249"/>
        <v>2.0301804509158434</v>
      </c>
      <c r="AS67" s="56">
        <f t="shared" si="411"/>
        <v>-126.85079828895641</v>
      </c>
      <c r="AT67" s="77">
        <f t="shared" si="250"/>
        <v>0.33511369226248011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>
        <f>IFERROR(IF($IU67="","",IF($IU67&lt;(((Settings!$C$19/2)*-1)*$IE$8),"",1)),"")</f>
        <v>1</v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3.238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3.1379999999999999</v>
      </c>
      <c r="II67" s="800" cm="1">
        <f t="array" ref="II67">IFERROR(IF($IH67&lt;1,$IH67+LARGE((IF($M$9:$M$150="",0,$M$9:$M$150)-MOD(IF($M$9:$M$150="",0,$M$9:$M$150),1)),1),$IH67),"")</f>
        <v>3.1379999999999999</v>
      </c>
      <c r="IJ67" s="839" t="str">
        <f t="shared" si="386"/>
        <v>1613</v>
      </c>
      <c r="IK67" s="839" t="str">
        <f t="shared" si="387"/>
        <v>1313</v>
      </c>
      <c r="IL67" s="791">
        <f t="shared" si="228"/>
        <v>10.612798467701509</v>
      </c>
      <c r="IM67" s="830">
        <v>5.6808554824675202E-3</v>
      </c>
      <c r="IN67" s="5">
        <f t="shared" si="229"/>
        <v>0.18</v>
      </c>
      <c r="IO67" s="852">
        <v>90</v>
      </c>
      <c r="IP67" s="9">
        <f t="shared" si="230"/>
        <v>-6.0751183225568592</v>
      </c>
      <c r="IQ67" s="5">
        <f t="shared" si="231"/>
        <v>-0.18050054438964178</v>
      </c>
      <c r="IR67" s="5">
        <f t="shared" si="388"/>
        <v>0.314</v>
      </c>
      <c r="IS67" s="5">
        <f t="shared" si="232"/>
        <v>0.30146325306053284</v>
      </c>
      <c r="IT67" s="791">
        <f t="shared" si="233"/>
        <v>35.43408024815956</v>
      </c>
      <c r="IU67" s="9">
        <f t="shared" si="234"/>
        <v>-6.1061184160531425</v>
      </c>
      <c r="IV67" s="5">
        <f t="shared" si="235"/>
        <v>-0.14410043460691077</v>
      </c>
      <c r="IW67" s="5">
        <f t="shared" si="389"/>
        <v>0.26600000000000001</v>
      </c>
      <c r="IX67" s="5">
        <f t="shared" si="236"/>
        <v>0.247922432290997</v>
      </c>
      <c r="IY67" s="833">
        <f t="shared" si="237"/>
        <v>35.43407700091263</v>
      </c>
    </row>
    <row r="68" spans="1:259" ht="15" customHeight="1" x14ac:dyDescent="0.25">
      <c r="A68" s="84">
        <f t="shared" si="82"/>
        <v>0.02</v>
      </c>
      <c r="B68" s="770">
        <v>5.4007267054449724</v>
      </c>
      <c r="C68" s="771">
        <v>-4.1561917941167055</v>
      </c>
      <c r="D68" s="772">
        <v>-0.44310133639363058</v>
      </c>
      <c r="E68" s="773">
        <v>0.79403627566232593</v>
      </c>
      <c r="F68" s="771">
        <v>0.54327916595992831</v>
      </c>
      <c r="G68" s="774">
        <v>0.27267955692751822</v>
      </c>
      <c r="H68" s="773">
        <v>0.26600000000000001</v>
      </c>
      <c r="I68" s="771">
        <v>0.52</v>
      </c>
      <c r="J68" s="601">
        <v>3.2440000000000002</v>
      </c>
      <c r="K68" s="426" t="str">
        <f t="shared" si="225"/>
        <v>1313</v>
      </c>
      <c r="L68" s="327"/>
      <c r="M68" s="173">
        <f t="shared" si="242"/>
        <v>3.2440000000000002</v>
      </c>
      <c r="N68" s="21">
        <f t="shared" si="243"/>
        <v>5.4007267054449724</v>
      </c>
      <c r="O68" s="5">
        <f t="shared" si="244"/>
        <v>-4.1561917941167055</v>
      </c>
      <c r="P68" s="10">
        <f t="shared" si="245"/>
        <v>-0.44310133639363058</v>
      </c>
      <c r="Q68" s="624">
        <f t="shared" si="116"/>
        <v>322.41950181639919</v>
      </c>
      <c r="R68" s="5">
        <f>IF(M68="","",SQRT(N68^2+O68^2))</f>
        <v>6.8148205534987891</v>
      </c>
      <c r="S68" s="6">
        <f>IF(M68="","",P68)</f>
        <v>-0.44310133639363058</v>
      </c>
      <c r="T68" s="4">
        <f>IF(M68="","",X68*COS(RADIANS(W68)))</f>
        <v>-4.1561917941167064</v>
      </c>
      <c r="U68" s="5">
        <f>IF(M68="","",X68*SIN(RADIANS(W68)))</f>
        <v>-5.4007267054449706</v>
      </c>
      <c r="V68" s="8">
        <f>IF(M68="","",Y68)</f>
        <v>-0.44310133639363058</v>
      </c>
      <c r="W68" s="624">
        <f t="shared" si="227"/>
        <v>232.41950181639919</v>
      </c>
      <c r="X68" s="5">
        <f>IF(M68="","",R68)</f>
        <v>6.8148205534987891</v>
      </c>
      <c r="Y68" s="7">
        <f t="shared" si="226"/>
        <v>-0.44310133639363058</v>
      </c>
      <c r="Z68" s="21">
        <f t="shared" si="246"/>
        <v>-0.79403627566232593</v>
      </c>
      <c r="AA68" s="5">
        <f t="shared" si="247"/>
        <v>-0.54327916595992831</v>
      </c>
      <c r="AB68" s="5">
        <f t="shared" si="248"/>
        <v>-0.27267955692751822</v>
      </c>
      <c r="AC68" s="8">
        <f>IF(M68="","",SQRT(Z68^2+AA68^2+AB68^2))</f>
        <v>1</v>
      </c>
      <c r="AD68" s="9">
        <f>IF(M68="","",Z68*(1/SQRT(Z68^2+AA68^2+AB68^2)))</f>
        <v>-0.79403627566232593</v>
      </c>
      <c r="AE68" s="5">
        <f>IF(M68="","",AA68*(1/SQRT(Z68^2+AA68^2+AB68^2)))</f>
        <v>-0.54327916595992831</v>
      </c>
      <c r="AF68" s="10">
        <f>IF(M68="","",AB68*(1/SQRT(Z68^2+AA68^2+AB68^2)))</f>
        <v>-0.27267955692751822</v>
      </c>
      <c r="AG68" s="622">
        <f>IF(M68="","",DEGREES(ATAN2(-AF68,AE68)))</f>
        <v>-63.347273115853675</v>
      </c>
      <c r="AH68" s="623">
        <f>IF(M68="","",DEGREES(ACOS(AD68)))</f>
        <v>142.5643239971231</v>
      </c>
      <c r="AI68" s="624">
        <f>IF(M68="","",DEGREES(-ACOS(-AF68)))</f>
        <v>-74.176221484595104</v>
      </c>
      <c r="AJ68" s="625">
        <f>IF(M68="","",DEGREES(ATAN2(-AE68,AD68)))</f>
        <v>-55.620088384455968</v>
      </c>
      <c r="AK68" s="4">
        <f>IF(M68="","",(COS(RADIANS((90-$Q$8)-W68))*AD68)+(-SIN(RADIANS((90-$Q$8)-W68))*AE68))</f>
        <v>0.91481049343987153</v>
      </c>
      <c r="AL68" s="5">
        <f>IF(M68="","",(SIN(RADIANS((90-$Q$8)-W68))*AD68)+(COS(RADIANS((90-$Q$8)-W68))*AE68))</f>
        <v>-0.29793895402600745</v>
      </c>
      <c r="AM68" s="6">
        <f>IF(M68="","",AF68)</f>
        <v>-0.27267955692751822</v>
      </c>
      <c r="AN68" s="612">
        <f>IF(M68="","",DEGREES(ATAN2(-AM68,AL68)))</f>
        <v>-47.534640235864259</v>
      </c>
      <c r="AO68" s="613">
        <f t="shared" si="466"/>
        <v>23.821171069503318</v>
      </c>
      <c r="AP68" s="624">
        <f>IF(M68="","",DEGREES(ATAN2(AK68,AL68)))</f>
        <v>-18.039590200855177</v>
      </c>
      <c r="AQ68" s="625">
        <f t="shared" si="249"/>
        <v>1.8192034522912901</v>
      </c>
      <c r="AS68" s="56">
        <f t="shared" si="411"/>
        <v>-127.58049818360081</v>
      </c>
      <c r="AT68" s="77">
        <f t="shared" si="250"/>
        <v>3.8869434522194712E-2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3.2440000000000002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3.1440000000000001</v>
      </c>
      <c r="II68" s="800" cm="1">
        <f t="array" ref="II68">IFERROR(IF($IH68&lt;1,$IH68+LARGE((IF($M$9:$M$150="",0,$M$9:$M$150)-MOD(IF($M$9:$M$150="",0,$M$9:$M$150),1)),1),$IH68),"")</f>
        <v>3.1440000000000001</v>
      </c>
      <c r="IJ68" s="839" t="str">
        <f t="shared" si="386"/>
        <v>1613</v>
      </c>
      <c r="IK68" s="839" t="str">
        <f t="shared" si="387"/>
        <v>1313</v>
      </c>
      <c r="IL68" s="791">
        <f t="shared" si="228"/>
        <v>10.710498453595392</v>
      </c>
      <c r="IM68" s="830">
        <v>4.5537139593289401E-3</v>
      </c>
      <c r="IN68" s="5">
        <f t="shared" si="229"/>
        <v>0.18</v>
      </c>
      <c r="IO68" s="852">
        <v>90</v>
      </c>
      <c r="IP68" s="9">
        <f t="shared" si="230"/>
        <v>-6.7751204337632283</v>
      </c>
      <c r="IQ68" s="5">
        <f t="shared" si="231"/>
        <v>-0.47220142415949556</v>
      </c>
      <c r="IR68" s="5">
        <f t="shared" si="388"/>
        <v>0.314</v>
      </c>
      <c r="IS68" s="5">
        <f t="shared" si="232"/>
        <v>0.29721045535601121</v>
      </c>
      <c r="IT68" s="791">
        <f t="shared" si="233"/>
        <v>47.534643881641784</v>
      </c>
      <c r="IU68" s="9">
        <f t="shared" si="234"/>
        <v>-6.8148205534987891</v>
      </c>
      <c r="IV68" s="5">
        <f t="shared" si="235"/>
        <v>-0.44310133639363058</v>
      </c>
      <c r="IW68" s="5">
        <f t="shared" si="389"/>
        <v>0.26600000000000001</v>
      </c>
      <c r="IX68" s="5">
        <f t="shared" si="236"/>
        <v>0.24333959125500584</v>
      </c>
      <c r="IY68" s="833">
        <f t="shared" si="237"/>
        <v>47.534640235864259</v>
      </c>
    </row>
    <row r="69" spans="1:259" ht="15" customHeight="1" x14ac:dyDescent="0.25">
      <c r="A69" s="84">
        <f t="shared" si="82"/>
        <v>0.02</v>
      </c>
      <c r="B69" s="770">
        <v>5.8158167586316569</v>
      </c>
      <c r="C69" s="771">
        <v>-4.6334887251987995</v>
      </c>
      <c r="D69" s="772">
        <v>-0.89860271018577431</v>
      </c>
      <c r="E69" s="773">
        <v>0.85589798344492951</v>
      </c>
      <c r="F69" s="771">
        <v>0.44599166864413425</v>
      </c>
      <c r="G69" s="774">
        <v>0.26178249260583525</v>
      </c>
      <c r="H69" s="773">
        <v>0.26600000000000001</v>
      </c>
      <c r="I69" s="771">
        <v>0.52</v>
      </c>
      <c r="J69" s="601">
        <v>3.25</v>
      </c>
      <c r="K69" s="426" t="str">
        <f t="shared" si="225"/>
        <v>1313</v>
      </c>
      <c r="L69" s="327"/>
      <c r="M69" s="173">
        <f t="shared" si="242"/>
        <v>3.25</v>
      </c>
      <c r="N69" s="21">
        <f t="shared" si="243"/>
        <v>5.8158167586316569</v>
      </c>
      <c r="O69" s="5">
        <f t="shared" si="244"/>
        <v>-4.6334887251987995</v>
      </c>
      <c r="P69" s="10">
        <f t="shared" si="245"/>
        <v>-0.89860271018577431</v>
      </c>
      <c r="Q69" s="624">
        <f t="shared" si="116"/>
        <v>321.4555019555836</v>
      </c>
      <c r="R69" s="5">
        <f t="shared" si="83"/>
        <v>7.4359224267420396</v>
      </c>
      <c r="S69" s="6">
        <f t="shared" si="84"/>
        <v>-0.89860271018577431</v>
      </c>
      <c r="T69" s="4">
        <f t="shared" si="85"/>
        <v>-4.6334887251987968</v>
      </c>
      <c r="U69" s="5">
        <f t="shared" si="86"/>
        <v>-5.8158167586316587</v>
      </c>
      <c r="V69" s="8">
        <f t="shared" si="117"/>
        <v>-0.89860271018577431</v>
      </c>
      <c r="W69" s="624">
        <f t="shared" si="227"/>
        <v>231.4555019555836</v>
      </c>
      <c r="X69" s="5">
        <f t="shared" si="87"/>
        <v>7.4359224267420396</v>
      </c>
      <c r="Y69" s="7">
        <f t="shared" si="226"/>
        <v>-0.89860271018577431</v>
      </c>
      <c r="Z69" s="21">
        <f t="shared" si="246"/>
        <v>-0.85589798344492951</v>
      </c>
      <c r="AA69" s="5">
        <f t="shared" si="247"/>
        <v>-0.44599166864413425</v>
      </c>
      <c r="AB69" s="5">
        <f t="shared" si="248"/>
        <v>-0.26178249260583525</v>
      </c>
      <c r="AC69" s="8">
        <f t="shared" si="88"/>
        <v>1</v>
      </c>
      <c r="AD69" s="9">
        <f t="shared" si="118"/>
        <v>-0.85589798344492951</v>
      </c>
      <c r="AE69" s="5">
        <f t="shared" si="89"/>
        <v>-0.44599166864413425</v>
      </c>
      <c r="AF69" s="10">
        <f t="shared" si="90"/>
        <v>-0.26178249260583525</v>
      </c>
      <c r="AG69" s="622">
        <f t="shared" si="91"/>
        <v>-59.588462575644947</v>
      </c>
      <c r="AH69" s="623">
        <f t="shared" si="92"/>
        <v>148.85908215729719</v>
      </c>
      <c r="AI69" s="624">
        <f t="shared" si="93"/>
        <v>-74.824144727440355</v>
      </c>
      <c r="AJ69" s="625">
        <f t="shared" si="94"/>
        <v>-62.476862988375693</v>
      </c>
      <c r="AK69" s="4">
        <f t="shared" si="213"/>
        <v>0.88215006834022769</v>
      </c>
      <c r="AL69" s="5">
        <f t="shared" si="95"/>
        <v>-0.39151140914717658</v>
      </c>
      <c r="AM69" s="6">
        <f t="shared" si="96"/>
        <v>-0.26178249260583525</v>
      </c>
      <c r="AN69" s="612">
        <f t="shared" si="97"/>
        <v>-56.231495893116453</v>
      </c>
      <c r="AO69" s="613">
        <f t="shared" si="466"/>
        <v>28.097177445963222</v>
      </c>
      <c r="AP69" s="624">
        <f t="shared" si="99"/>
        <v>-23.932364943959286</v>
      </c>
      <c r="AQ69" s="625">
        <f t="shared" si="249"/>
        <v>1.6673401360013589</v>
      </c>
      <c r="AS69" s="56">
        <f t="shared" si="411"/>
        <v>-128.5444980444164</v>
      </c>
      <c r="AT69" s="77">
        <f t="shared" si="250"/>
        <v>-0.412990162017979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3.25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3.15</v>
      </c>
      <c r="II69" s="800" cm="1">
        <f t="array" ref="II69">IFERROR(IF($IH69&lt;1,$IH69+LARGE((IF($M$9:$M$150="",0,$M$9:$M$150)-MOD(IF($M$9:$M$150="",0,$M$9:$M$150),1)),1),$IH69),"")</f>
        <v>3.15</v>
      </c>
      <c r="IJ69" s="839" t="str">
        <f t="shared" si="386"/>
        <v>1613</v>
      </c>
      <c r="IK69" s="839" t="str">
        <f t="shared" si="387"/>
        <v>1313</v>
      </c>
      <c r="IL69" s="791">
        <f t="shared" si="228"/>
        <v>11.076498400751461</v>
      </c>
      <c r="IM69" s="830">
        <v>3.6712064090913201E-3</v>
      </c>
      <c r="IN69" s="5">
        <f t="shared" si="229"/>
        <v>0.16</v>
      </c>
      <c r="IO69" s="852">
        <v>80</v>
      </c>
      <c r="IP69" s="9">
        <f t="shared" si="230"/>
        <v>-7.3909222910216306</v>
      </c>
      <c r="IQ69" s="5">
        <f t="shared" si="231"/>
        <v>-0.92120277834758013</v>
      </c>
      <c r="IR69" s="5">
        <f t="shared" si="388"/>
        <v>0.314</v>
      </c>
      <c r="IS69" s="5">
        <f t="shared" si="232"/>
        <v>0.28883001707872163</v>
      </c>
      <c r="IT69" s="791">
        <f t="shared" si="233"/>
        <v>56.231499411416316</v>
      </c>
      <c r="IU69" s="9">
        <f t="shared" si="234"/>
        <v>-7.4359224267420396</v>
      </c>
      <c r="IV69" s="5">
        <f t="shared" si="235"/>
        <v>-0.89860271018577431</v>
      </c>
      <c r="IW69" s="5">
        <f t="shared" si="389"/>
        <v>0.26600000000000001</v>
      </c>
      <c r="IX69" s="5">
        <f t="shared" si="236"/>
        <v>0.23465191817850059</v>
      </c>
      <c r="IY69" s="833">
        <f t="shared" si="237"/>
        <v>56.231495893116453</v>
      </c>
    </row>
    <row r="70" spans="1:259" ht="15" customHeight="1" x14ac:dyDescent="0.25">
      <c r="A70" s="84">
        <f t="shared" si="82"/>
        <v>0.02</v>
      </c>
      <c r="B70" s="770">
        <v>6.1236277192563282</v>
      </c>
      <c r="C70" s="771">
        <v>-5.0513941545152878</v>
      </c>
      <c r="D70" s="772">
        <v>-1.4787044597726506</v>
      </c>
      <c r="E70" s="773">
        <v>0.90828003450708039</v>
      </c>
      <c r="F70" s="771">
        <v>0.35802243222071334</v>
      </c>
      <c r="G70" s="774">
        <v>0.21644241022170715</v>
      </c>
      <c r="H70" s="773">
        <v>0.26600000000000001</v>
      </c>
      <c r="I70" s="771">
        <v>0.52</v>
      </c>
      <c r="J70" s="601">
        <v>3.2559999999999998</v>
      </c>
      <c r="K70" s="426" t="str">
        <f t="shared" si="225"/>
        <v>1313</v>
      </c>
      <c r="L70" s="327"/>
      <c r="M70" s="173">
        <f t="shared" si="242"/>
        <v>3.2559999999999998</v>
      </c>
      <c r="N70" s="21">
        <f t="shared" si="243"/>
        <v>6.1236277192563282</v>
      </c>
      <c r="O70" s="5">
        <f t="shared" si="244"/>
        <v>-5.0513941545152878</v>
      </c>
      <c r="P70" s="10">
        <f t="shared" si="245"/>
        <v>-1.4787044597726506</v>
      </c>
      <c r="Q70" s="624">
        <f t="shared" si="116"/>
        <v>320.48070209632726</v>
      </c>
      <c r="R70" s="5">
        <f t="shared" si="83"/>
        <v>7.9382239416834093</v>
      </c>
      <c r="S70" s="6">
        <f t="shared" si="84"/>
        <v>-1.4787044597726506</v>
      </c>
      <c r="T70" s="4">
        <f t="shared" si="85"/>
        <v>-5.0513941545152869</v>
      </c>
      <c r="U70" s="5">
        <f t="shared" si="86"/>
        <v>-6.1236277192563291</v>
      </c>
      <c r="V70" s="8">
        <f t="shared" si="117"/>
        <v>-1.4787044597726506</v>
      </c>
      <c r="W70" s="624">
        <f t="shared" si="227"/>
        <v>230.48070209632726</v>
      </c>
      <c r="X70" s="5">
        <f t="shared" si="87"/>
        <v>7.9382239416834093</v>
      </c>
      <c r="Y70" s="7">
        <f t="shared" si="226"/>
        <v>-1.4787044597726506</v>
      </c>
      <c r="Z70" s="21">
        <f t="shared" si="246"/>
        <v>-0.90828003450708039</v>
      </c>
      <c r="AA70" s="5">
        <f t="shared" si="247"/>
        <v>-0.35802243222071334</v>
      </c>
      <c r="AB70" s="5">
        <f t="shared" si="248"/>
        <v>-0.21644241022170715</v>
      </c>
      <c r="AC70" s="8">
        <f t="shared" si="88"/>
        <v>1</v>
      </c>
      <c r="AD70" s="9">
        <f t="shared" si="118"/>
        <v>-0.90828003450708039</v>
      </c>
      <c r="AE70" s="5">
        <f t="shared" si="89"/>
        <v>-0.35802243222071334</v>
      </c>
      <c r="AF70" s="10">
        <f t="shared" si="90"/>
        <v>-0.21644241022170715</v>
      </c>
      <c r="AG70" s="622">
        <f t="shared" si="91"/>
        <v>-58.844946105708615</v>
      </c>
      <c r="AH70" s="623">
        <f t="shared" si="92"/>
        <v>155.2687367475483</v>
      </c>
      <c r="AI70" s="624">
        <f t="shared" si="93"/>
        <v>-77.499835894750632</v>
      </c>
      <c r="AJ70" s="625">
        <f t="shared" si="94"/>
        <v>-68.486818104610677</v>
      </c>
      <c r="AK70" s="4">
        <f t="shared" si="213"/>
        <v>0.85415536231350586</v>
      </c>
      <c r="AL70" s="5">
        <f t="shared" si="95"/>
        <v>-0.47283326880466214</v>
      </c>
      <c r="AM70" s="6">
        <f t="shared" si="96"/>
        <v>-0.21644241022170715</v>
      </c>
      <c r="AN70" s="612">
        <f t="shared" si="97"/>
        <v>-65.403762973779294</v>
      </c>
      <c r="AO70" s="613">
        <f t="shared" si="466"/>
        <v>31.333452247606317</v>
      </c>
      <c r="AP70" s="624">
        <f t="shared" si="99"/>
        <v>-28.967520200937962</v>
      </c>
      <c r="AQ70" s="625">
        <f t="shared" si="249"/>
        <v>1.5618910286770873</v>
      </c>
      <c r="AS70" s="56">
        <f t="shared" si="411"/>
        <v>-129.51929790367274</v>
      </c>
      <c r="AT70" s="77">
        <f t="shared" si="250"/>
        <v>-0.98940933435877576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3.2559999999999998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3.1560000000000001</v>
      </c>
      <c r="II70" s="800" cm="1">
        <f t="array" ref="II70">IFERROR(IF($IH70&lt;1,$IH70+LARGE((IF($M$9:$M$150="",0,$M$9:$M$150)-MOD(IF($M$9:$M$150="",0,$M$9:$M$150),1)),1),$IH70),"")</f>
        <v>3.1560000000000001</v>
      </c>
      <c r="IJ70" s="839" t="str">
        <f t="shared" si="386"/>
        <v>1613</v>
      </c>
      <c r="IK70" s="839" t="str">
        <f t="shared" si="387"/>
        <v>1313</v>
      </c>
      <c r="IL70" s="791">
        <f t="shared" si="228"/>
        <v>11.540298333787064</v>
      </c>
      <c r="IM70" s="830">
        <v>2.6602493851402599E-3</v>
      </c>
      <c r="IN70" s="5">
        <f t="shared" si="229"/>
        <v>0.12</v>
      </c>
      <c r="IO70" s="852">
        <v>60</v>
      </c>
      <c r="IP70" s="9">
        <f t="shared" si="230"/>
        <v>-7.8890237932957588</v>
      </c>
      <c r="IQ70" s="5">
        <f t="shared" si="231"/>
        <v>-1.4934045041079824</v>
      </c>
      <c r="IR70" s="5">
        <f t="shared" si="388"/>
        <v>0.314</v>
      </c>
      <c r="IS70" s="5">
        <f t="shared" si="232"/>
        <v>0.28141546129793826</v>
      </c>
      <c r="IT70" s="791">
        <f t="shared" si="233"/>
        <v>65.403766437513923</v>
      </c>
      <c r="IU70" s="9">
        <f t="shared" si="234"/>
        <v>-7.9382239416834093</v>
      </c>
      <c r="IV70" s="5">
        <f t="shared" si="235"/>
        <v>-1.4787044597726506</v>
      </c>
      <c r="IW70" s="5">
        <f t="shared" si="389"/>
        <v>0.26600000000000001</v>
      </c>
      <c r="IX70" s="5">
        <f t="shared" si="236"/>
        <v>0.22720532637539256</v>
      </c>
      <c r="IY70" s="833">
        <f t="shared" si="237"/>
        <v>65.403762973779294</v>
      </c>
    </row>
    <row r="71" spans="1:259" ht="15" customHeight="1" x14ac:dyDescent="0.25">
      <c r="A71" s="84">
        <f t="shared" si="82"/>
        <v>0</v>
      </c>
      <c r="B71" s="770">
        <v>6.2090070610463197</v>
      </c>
      <c r="C71" s="771">
        <v>-5.4509257861283675</v>
      </c>
      <c r="D71" s="772">
        <v>-2.1686065405173247</v>
      </c>
      <c r="E71" s="773">
        <v>0.56370356738165039</v>
      </c>
      <c r="F71" s="771">
        <v>-0.49487855419267951</v>
      </c>
      <c r="G71" s="774">
        <v>0.66131195718916536</v>
      </c>
      <c r="H71" s="773">
        <v>0.25700000000000001</v>
      </c>
      <c r="I71" s="771">
        <v>0.41499999999999992</v>
      </c>
      <c r="J71" s="601">
        <v>3.262</v>
      </c>
      <c r="K71" s="426" t="str">
        <f t="shared" si="225"/>
        <v>Knuckle</v>
      </c>
      <c r="L71" s="327"/>
      <c r="M71" s="173">
        <f t="shared" si="242"/>
        <v>3.262</v>
      </c>
      <c r="N71" s="21">
        <f t="shared" si="243"/>
        <v>6.2090070610463197</v>
      </c>
      <c r="O71" s="5">
        <f t="shared" si="244"/>
        <v>-5.4509257861283675</v>
      </c>
      <c r="P71" s="10">
        <f t="shared" si="245"/>
        <v>-2.1686065405173247</v>
      </c>
      <c r="Q71" s="624">
        <f t="shared" si="116"/>
        <v>318.71990235055529</v>
      </c>
      <c r="R71" s="5">
        <f t="shared" si="83"/>
        <v>8.2622249188703538</v>
      </c>
      <c r="S71" s="6">
        <f t="shared" si="84"/>
        <v>-2.1686065405173247</v>
      </c>
      <c r="T71" s="4">
        <f t="shared" si="85"/>
        <v>-5.4509257861283702</v>
      </c>
      <c r="U71" s="5">
        <f t="shared" si="86"/>
        <v>-6.2090070610463179</v>
      </c>
      <c r="V71" s="8">
        <f t="shared" si="117"/>
        <v>-2.1686065405173247</v>
      </c>
      <c r="W71" s="624">
        <f t="shared" si="227"/>
        <v>228.71990235055529</v>
      </c>
      <c r="X71" s="5">
        <f t="shared" si="87"/>
        <v>8.2622249188703538</v>
      </c>
      <c r="Y71" s="7">
        <f t="shared" si="226"/>
        <v>-2.1686065405173247</v>
      </c>
      <c r="Z71" s="21">
        <f t="shared" si="246"/>
        <v>-0.56370356738165039</v>
      </c>
      <c r="AA71" s="5">
        <f t="shared" si="247"/>
        <v>0.49487855419267951</v>
      </c>
      <c r="AB71" s="5">
        <f t="shared" si="248"/>
        <v>-0.66131195718916536</v>
      </c>
      <c r="AC71" s="8">
        <f t="shared" si="88"/>
        <v>1</v>
      </c>
      <c r="AD71" s="9">
        <f t="shared" si="118"/>
        <v>-0.56370356738165039</v>
      </c>
      <c r="AE71" s="5">
        <f t="shared" si="89"/>
        <v>0.49487855419267951</v>
      </c>
      <c r="AF71" s="10">
        <f t="shared" si="90"/>
        <v>-0.66131195718916536</v>
      </c>
      <c r="AG71" s="622">
        <f t="shared" si="91"/>
        <v>36.808554011804539</v>
      </c>
      <c r="AH71" s="623">
        <f t="shared" si="92"/>
        <v>124.3123130665646</v>
      </c>
      <c r="AI71" s="624">
        <f t="shared" si="93"/>
        <v>-48.599992983030511</v>
      </c>
      <c r="AJ71" s="625">
        <f t="shared" si="94"/>
        <v>-131.28008032615443</v>
      </c>
      <c r="AK71" s="4">
        <f t="shared" si="213"/>
        <v>2.2679489702914779E-7</v>
      </c>
      <c r="AL71" s="5">
        <f t="shared" si="95"/>
        <v>-0.75011098864007075</v>
      </c>
      <c r="AM71" s="6">
        <f t="shared" si="96"/>
        <v>-0.66131195718916536</v>
      </c>
      <c r="AN71" s="612">
        <f t="shared" si="97"/>
        <v>-48.599992983029217</v>
      </c>
      <c r="AO71" s="613">
        <f t="shared" si="466"/>
        <v>0</v>
      </c>
      <c r="AP71" s="624">
        <f t="shared" si="99"/>
        <v>-89.999982676709706</v>
      </c>
      <c r="AQ71" s="625">
        <f t="shared" si="249"/>
        <v>1.5006704614210893</v>
      </c>
      <c r="AS71" s="56">
        <f t="shared" si="411"/>
        <v>-131.28009764944471</v>
      </c>
      <c r="AT71" s="77">
        <f t="shared" si="250"/>
        <v>-1.6726595049527557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3.262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3.1619999999999999</v>
      </c>
      <c r="II71" s="800" cm="1">
        <f t="array" ref="II71">IFERROR(IF($IH71&lt;1,$IH71+LARGE((IF($M$9:$M$150="",0,$M$9:$M$150)-MOD(IF($M$9:$M$150="",0,$M$9:$M$150),1)),1),$IH71),"")</f>
        <v>3.1619999999999999</v>
      </c>
      <c r="IJ71" s="839" t="str">
        <f t="shared" si="386"/>
        <v>1613</v>
      </c>
      <c r="IK71" s="839" t="str">
        <f t="shared" si="387"/>
        <v>Knuckle</v>
      </c>
      <c r="IL71" s="791">
        <f t="shared" si="228"/>
        <v>12.9230981341355</v>
      </c>
      <c r="IM71" s="830">
        <v>1.3481384340763901E-3</v>
      </c>
      <c r="IN71" s="5">
        <f t="shared" si="229"/>
        <v>0</v>
      </c>
      <c r="IO71" s="852">
        <v>0</v>
      </c>
      <c r="IP71" s="9">
        <f t="shared" si="230"/>
        <v>-8.245624868804601</v>
      </c>
      <c r="IQ71" s="5">
        <f t="shared" si="231"/>
        <v>-2.1646065284532892</v>
      </c>
      <c r="IR71" s="5">
        <f t="shared" si="388"/>
        <v>0.314</v>
      </c>
      <c r="IS71" s="5">
        <f t="shared" si="232"/>
        <v>0.27352959703840396</v>
      </c>
      <c r="IT71" s="791">
        <f t="shared" si="233"/>
        <v>73.933902999840782</v>
      </c>
      <c r="IU71" s="9">
        <f t="shared" si="234"/>
        <v>-8.2622249188703538</v>
      </c>
      <c r="IV71" s="5">
        <f t="shared" si="235"/>
        <v>-2.1686065405173247</v>
      </c>
      <c r="IW71" s="5">
        <f t="shared" si="389"/>
        <v>0.25700000000000001</v>
      </c>
      <c r="IX71" s="5">
        <f t="shared" si="236"/>
        <v>0.25700000000000001</v>
      </c>
      <c r="IY71" s="833">
        <f t="shared" si="237"/>
        <v>48.599992983029217</v>
      </c>
    </row>
    <row r="72" spans="1:259" ht="15" customHeight="1" x14ac:dyDescent="0.25">
      <c r="A72" s="84">
        <f t="shared" si="82"/>
        <v>0</v>
      </c>
      <c r="B72" s="770">
        <v>6.2662633138543482</v>
      </c>
      <c r="C72" s="771">
        <v>-5.6644667425541595</v>
      </c>
      <c r="D72" s="772">
        <v>-2.9068087669352414</v>
      </c>
      <c r="E72" s="773">
        <v>0.62704132109440613</v>
      </c>
      <c r="F72" s="771">
        <v>-0.56682150364656325</v>
      </c>
      <c r="G72" s="774">
        <v>0.53435247229149341</v>
      </c>
      <c r="H72" s="773">
        <v>0.25700000000000001</v>
      </c>
      <c r="I72" s="771">
        <v>0.41499999999999992</v>
      </c>
      <c r="J72" s="601">
        <v>3.2679999999999998</v>
      </c>
      <c r="K72" s="426" t="str">
        <f t="shared" si="225"/>
        <v>Knuckle</v>
      </c>
      <c r="L72" s="327"/>
      <c r="M72" s="173">
        <f t="shared" si="242"/>
        <v>3.2679999999999998</v>
      </c>
      <c r="N72" s="21">
        <f t="shared" si="243"/>
        <v>6.2662633138543482</v>
      </c>
      <c r="O72" s="5">
        <f t="shared" si="244"/>
        <v>-5.6644667425541595</v>
      </c>
      <c r="P72" s="10">
        <f t="shared" si="245"/>
        <v>-2.9068087669352414</v>
      </c>
      <c r="Q72" s="624">
        <f t="shared" si="116"/>
        <v>317.88760247072452</v>
      </c>
      <c r="R72" s="5">
        <f t="shared" si="83"/>
        <v>8.4470254762288377</v>
      </c>
      <c r="S72" s="6">
        <f t="shared" si="84"/>
        <v>-2.9068087669352414</v>
      </c>
      <c r="T72" s="4">
        <f t="shared" si="85"/>
        <v>-5.6644667425541622</v>
      </c>
      <c r="U72" s="5">
        <f t="shared" si="86"/>
        <v>-6.2662633138543473</v>
      </c>
      <c r="V72" s="8">
        <f t="shared" si="117"/>
        <v>-2.9068087669352414</v>
      </c>
      <c r="W72" s="624">
        <f t="shared" si="227"/>
        <v>227.88760247072452</v>
      </c>
      <c r="X72" s="5">
        <f t="shared" si="87"/>
        <v>8.4470254762288377</v>
      </c>
      <c r="Y72" s="7">
        <f t="shared" si="226"/>
        <v>-2.9068087669352414</v>
      </c>
      <c r="Z72" s="21">
        <f t="shared" si="246"/>
        <v>-0.62704132109440613</v>
      </c>
      <c r="AA72" s="5">
        <f t="shared" si="247"/>
        <v>0.56682150364656325</v>
      </c>
      <c r="AB72" s="5">
        <f t="shared" si="248"/>
        <v>-0.53435247229149341</v>
      </c>
      <c r="AC72" s="8">
        <f t="shared" si="88"/>
        <v>1</v>
      </c>
      <c r="AD72" s="9">
        <f t="shared" si="118"/>
        <v>-0.62704132109440613</v>
      </c>
      <c r="AE72" s="5">
        <f t="shared" si="89"/>
        <v>0.56682150364656325</v>
      </c>
      <c r="AF72" s="10">
        <f t="shared" si="90"/>
        <v>-0.53435247229149341</v>
      </c>
      <c r="AG72" s="622">
        <f t="shared" si="91"/>
        <v>46.688924410005498</v>
      </c>
      <c r="AH72" s="623">
        <f t="shared" si="92"/>
        <v>128.83217233514335</v>
      </c>
      <c r="AI72" s="624">
        <f t="shared" si="93"/>
        <v>-57.699991669152844</v>
      </c>
      <c r="AJ72" s="625">
        <f t="shared" si="94"/>
        <v>-132.11238215606085</v>
      </c>
      <c r="AK72" s="4">
        <f t="shared" si="213"/>
        <v>2.2679489686261434E-7</v>
      </c>
      <c r="AL72" s="5">
        <f t="shared" si="95"/>
        <v>-0.84526175552660465</v>
      </c>
      <c r="AM72" s="6">
        <f t="shared" si="96"/>
        <v>-0.53435247229149341</v>
      </c>
      <c r="AN72" s="612">
        <f t="shared" si="97"/>
        <v>-57.699991669151913</v>
      </c>
      <c r="AO72" s="613">
        <f t="shared" si="466"/>
        <v>0</v>
      </c>
      <c r="AP72" s="624">
        <f t="shared" si="99"/>
        <v>-89.999984626785348</v>
      </c>
      <c r="AQ72" s="625">
        <f t="shared" si="249"/>
        <v>1.4678539327336062</v>
      </c>
      <c r="AS72" s="56">
        <f t="shared" si="411"/>
        <v>-132.11239752927548</v>
      </c>
      <c r="AT72" s="77">
        <f t="shared" si="250"/>
        <v>-2.4077174873802005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3.2679999999999998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3.1680000000000001</v>
      </c>
      <c r="II72" s="800" cm="1">
        <f t="array" ref="II72">IFERROR(IF($IH72&lt;1,$IH72+LARGE((IF($M$9:$M$150="",0,$M$9:$M$150)-MOD(IF($M$9:$M$150="",0,$M$9:$M$150),1)),1),$IH72),"")</f>
        <v>3.1680000000000001</v>
      </c>
      <c r="IJ72" s="839" t="str">
        <f t="shared" si="386"/>
        <v>1613</v>
      </c>
      <c r="IK72" s="839" t="str">
        <f t="shared" si="387"/>
        <v>Knuckle</v>
      </c>
      <c r="IL72" s="791">
        <f t="shared" si="228"/>
        <v>13.545398044286515</v>
      </c>
      <c r="IM72" s="830">
        <v>3.1240243218882301E-4</v>
      </c>
      <c r="IN72" s="5">
        <f t="shared" si="229"/>
        <v>0</v>
      </c>
      <c r="IO72" s="852">
        <v>0</v>
      </c>
      <c r="IP72" s="9">
        <f t="shared" si="230"/>
        <v>-8.4407254572279804</v>
      </c>
      <c r="IQ72" s="5">
        <f t="shared" si="231"/>
        <v>-2.8986087422039661</v>
      </c>
      <c r="IR72" s="5">
        <f t="shared" si="388"/>
        <v>0.314</v>
      </c>
      <c r="IS72" s="5">
        <f t="shared" si="232"/>
        <v>0.26261410660369722</v>
      </c>
      <c r="IT72" s="791">
        <f t="shared" si="233"/>
        <v>81.251708088598335</v>
      </c>
      <c r="IU72" s="9">
        <f t="shared" si="234"/>
        <v>-8.4470254762288377</v>
      </c>
      <c r="IV72" s="5">
        <f t="shared" si="235"/>
        <v>-2.9068087669352414</v>
      </c>
      <c r="IW72" s="5">
        <f t="shared" si="389"/>
        <v>0.25700000000000001</v>
      </c>
      <c r="IX72" s="5">
        <f t="shared" si="236"/>
        <v>0.25700000000000001</v>
      </c>
      <c r="IY72" s="833">
        <f t="shared" si="237"/>
        <v>57.699991669151913</v>
      </c>
    </row>
    <row r="73" spans="1:259" ht="15" customHeight="1" x14ac:dyDescent="0.25">
      <c r="A73" s="84">
        <f t="shared" si="82"/>
        <v>0.02</v>
      </c>
      <c r="B73" s="770">
        <v>-4.2685124901004114E-16</v>
      </c>
      <c r="C73" s="771">
        <v>-2.9393088649555374</v>
      </c>
      <c r="D73" s="772">
        <v>-0.51010153846623973</v>
      </c>
      <c r="E73" s="773">
        <v>0.96592583607220739</v>
      </c>
      <c r="F73" s="771">
        <v>6.6987279208207087E-2</v>
      </c>
      <c r="G73" s="774">
        <v>0.24999996726497567</v>
      </c>
      <c r="H73" s="773">
        <v>0.314</v>
      </c>
      <c r="I73" s="771">
        <v>0.52</v>
      </c>
      <c r="J73" s="601">
        <v>4.1130000000000004</v>
      </c>
      <c r="K73" s="426" t="str">
        <f t="shared" si="225"/>
        <v>1613</v>
      </c>
      <c r="L73" s="327"/>
      <c r="M73" s="173">
        <f t="shared" ref="M73:M104" si="469">IF(J73="","",VALUE(J73))</f>
        <v>4.1130000000000004</v>
      </c>
      <c r="N73" s="21">
        <f t="shared" ref="N73:N104" si="470">IF(M73="","",B73)</f>
        <v>-4.2685124901004114E-16</v>
      </c>
      <c r="O73" s="5">
        <f t="shared" ref="O73:O104" si="471">IF(M73="","",C73)</f>
        <v>-2.9393088649555374</v>
      </c>
      <c r="P73" s="10">
        <f t="shared" ref="P73:P104" si="472">IF(M73="","",D73)</f>
        <v>-0.51010153846623973</v>
      </c>
      <c r="Q73" s="624">
        <f t="shared" si="116"/>
        <v>270</v>
      </c>
      <c r="R73" s="5">
        <f>IF(M73="","",SQRT(N73^2+O73^2))</f>
        <v>2.9393088649555374</v>
      </c>
      <c r="S73" s="6">
        <f>IF(M73="","",P73)</f>
        <v>-0.51010153846623973</v>
      </c>
      <c r="T73" s="4">
        <f>IF(M73="","",X73*COS(RADIANS(W73)))</f>
        <v>-2.9393088649555374</v>
      </c>
      <c r="U73" s="5">
        <f>IF(M73="","",X73*SIN(RADIANS(W73)))</f>
        <v>3.6010897143994862E-16</v>
      </c>
      <c r="V73" s="8">
        <f>IF(M73="","",Y73)</f>
        <v>-0.51010153846623973</v>
      </c>
      <c r="W73" s="624">
        <f t="shared" si="227"/>
        <v>180</v>
      </c>
      <c r="X73" s="5">
        <f>IF(M73="","",R73)</f>
        <v>2.9393088649555374</v>
      </c>
      <c r="Y73" s="7">
        <f t="shared" si="226"/>
        <v>-0.51010153846623973</v>
      </c>
      <c r="Z73" s="21">
        <f t="shared" ref="Z73:Z104" si="473">IF(M73="","",-E73)</f>
        <v>-0.96592583607220739</v>
      </c>
      <c r="AA73" s="5">
        <f t="shared" ref="AA73:AA104" si="474">IF(M73="","",-F73)</f>
        <v>-6.6987279208207087E-2</v>
      </c>
      <c r="AB73" s="5">
        <f t="shared" ref="AB73:AB104" si="475">IF(M73="","",-G73)</f>
        <v>-0.24999996726497567</v>
      </c>
      <c r="AC73" s="8">
        <f>IF(M73="","",SQRT(Z73^2+AA73^2+AB73^2))</f>
        <v>1</v>
      </c>
      <c r="AD73" s="9">
        <f>IF(M73="","",Z73*(1/SQRT(Z73^2+AA73^2+AB73^2)))</f>
        <v>-0.96592583607220739</v>
      </c>
      <c r="AE73" s="5">
        <f>IF(M73="","",AA73*(1/SQRT(Z73^2+AA73^2+AB73^2)))</f>
        <v>-6.6987279208207087E-2</v>
      </c>
      <c r="AF73" s="10">
        <f>IF(M73="","",AB73*(1/SQRT(Z73^2+AA73^2+AB73^2)))</f>
        <v>-0.24999996726497567</v>
      </c>
      <c r="AG73" s="622">
        <f>IF(M73="","",DEGREES(ATAN2(-AF73,AE73)))</f>
        <v>-14.999997834268243</v>
      </c>
      <c r="AH73" s="623">
        <f>IF(M73="","",DEGREES(ACOS(AD73)))</f>
        <v>165.00000216573176</v>
      </c>
      <c r="AI73" s="624">
        <f>IF(M73="","",DEGREES(-ACOS(-AF73)))</f>
        <v>-75.522489751159455</v>
      </c>
      <c r="AJ73" s="625">
        <f>IF(M73="","",DEGREES(ATAN2(-AE73,AD73)))</f>
        <v>-86.032870354913427</v>
      </c>
      <c r="AK73" s="4">
        <f>IF(M73="","",(COS(RADIANS((90-$Q$8)-W73))*AD73)+(-SIN(RADIANS((90-$Q$8)-W73))*AE73))</f>
        <v>0.96592583607220739</v>
      </c>
      <c r="AL73" s="5">
        <f>IF(M73="","",(SIN(RADIANS((90-$Q$8)-W73))*AD73)+(COS(RADIANS((90-$Q$8)-W73))*AE73))</f>
        <v>6.6987279208207212E-2</v>
      </c>
      <c r="AM73" s="6">
        <f>IF(M73="","",AF73)</f>
        <v>-0.24999996726497567</v>
      </c>
      <c r="AN73" s="612">
        <f>IF(M73="","",DEGREES(ATAN2(-AM73,AL73)))</f>
        <v>14.999997834268267</v>
      </c>
      <c r="AO73" s="613">
        <f t="shared" si="466"/>
        <v>14.999997834268255</v>
      </c>
      <c r="AP73" s="624">
        <f>IF(M73="","",DEGREES(ATAN2(AK73,AL73)))</f>
        <v>3.9671296450865721</v>
      </c>
      <c r="AQ73" s="625">
        <f t="shared" ref="AQ73:AQ104" si="476">IF(M73="","",DEGREES(ATAN(($AS$5*SIN(RADIANS(90)))/(($X73*2*PI())-($AS$5*COS(RADIANS(90)))))))</f>
        <v>4.2116594616322214</v>
      </c>
      <c r="AS73" s="56">
        <f t="shared" si="411"/>
        <v>-180</v>
      </c>
      <c r="AT73" s="77">
        <f t="shared" ref="AT73:AT104" si="477">IF(M73="","",Y73+(((AS73-$AS$9)*$AS$6)*-1))</f>
        <v>0.16989846153376031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4.1130000000000004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-4.2685124901004114E-16</v>
      </c>
      <c r="C74" s="771">
        <v>-3.6812111025326848</v>
      </c>
      <c r="D74" s="772">
        <v>-0.31140093918523276</v>
      </c>
      <c r="E74" s="773">
        <v>0.96592583607220739</v>
      </c>
      <c r="F74" s="771">
        <v>6.6987279208207087E-2</v>
      </c>
      <c r="G74" s="774">
        <v>0.24999996726497567</v>
      </c>
      <c r="H74" s="773">
        <v>0.314</v>
      </c>
      <c r="I74" s="771">
        <v>0.52</v>
      </c>
      <c r="J74" s="601">
        <v>4.1189999999999998</v>
      </c>
      <c r="K74" s="426" t="str">
        <f t="shared" si="225"/>
        <v>1613</v>
      </c>
      <c r="L74" s="327"/>
      <c r="M74" s="173">
        <f t="shared" si="469"/>
        <v>4.1189999999999998</v>
      </c>
      <c r="N74" s="21">
        <f t="shared" si="470"/>
        <v>-4.2685124901004114E-16</v>
      </c>
      <c r="O74" s="5">
        <f t="shared" si="471"/>
        <v>-3.6812111025326848</v>
      </c>
      <c r="P74" s="10">
        <f t="shared" si="472"/>
        <v>-0.31140093918523276</v>
      </c>
      <c r="Q74" s="624">
        <f t="shared" ref="Q74:Q129" si="528">IF(M74="","",IF(DEGREES(ATAN2(N74,O74))&lt;0,DEGREES(ATAN2(N74,O74))+360,IF(DEGREES(ATAN2(N74,O74))&gt;360,DEGREES(ATAN2(N74,O74))-360,DEGREES(ATAN2(N74,O74)))))</f>
        <v>270</v>
      </c>
      <c r="R74" s="5">
        <f>IF(M74="","",SQRT(N74^2+O74^2))</f>
        <v>3.6812111025326848</v>
      </c>
      <c r="S74" s="6">
        <f>IF(M74="","",P74)</f>
        <v>-0.31140093918523276</v>
      </c>
      <c r="T74" s="4">
        <f>IF(M74="","",X74*COS(RADIANS(W74)))</f>
        <v>-3.6812111025326848</v>
      </c>
      <c r="U74" s="5">
        <f>IF(M74="","",X74*SIN(RADIANS(W74)))</f>
        <v>4.510030094460376E-16</v>
      </c>
      <c r="V74" s="8">
        <f>IF(M74="","",Y74)</f>
        <v>-0.31140093918523276</v>
      </c>
      <c r="W74" s="624">
        <f t="shared" si="227"/>
        <v>180</v>
      </c>
      <c r="X74" s="5">
        <f>IF(M74="","",R74)</f>
        <v>3.6812111025326848</v>
      </c>
      <c r="Y74" s="7">
        <f t="shared" si="226"/>
        <v>-0.31140093918523276</v>
      </c>
      <c r="Z74" s="21">
        <f t="shared" si="473"/>
        <v>-0.96592583607220739</v>
      </c>
      <c r="AA74" s="5">
        <f t="shared" si="474"/>
        <v>-6.6987279208207087E-2</v>
      </c>
      <c r="AB74" s="5">
        <f t="shared" si="475"/>
        <v>-0.24999996726497567</v>
      </c>
      <c r="AC74" s="8">
        <f>IF(M74="","",SQRT(Z74^2+AA74^2+AB74^2))</f>
        <v>1</v>
      </c>
      <c r="AD74" s="9">
        <f>IF(M74="","",Z74*(1/SQRT(Z74^2+AA74^2+AB74^2)))</f>
        <v>-0.96592583607220739</v>
      </c>
      <c r="AE74" s="5">
        <f>IF(M74="","",AA74*(1/SQRT(Z74^2+AA74^2+AB74^2)))</f>
        <v>-6.6987279208207087E-2</v>
      </c>
      <c r="AF74" s="10">
        <f>IF(M74="","",AB74*(1/SQRT(Z74^2+AA74^2+AB74^2)))</f>
        <v>-0.24999996726497567</v>
      </c>
      <c r="AG74" s="622">
        <f>IF(M74="","",DEGREES(ATAN2(-AF74,AE74)))</f>
        <v>-14.999997834268243</v>
      </c>
      <c r="AH74" s="623">
        <f>IF(M74="","",DEGREES(ACOS(AD74)))</f>
        <v>165.00000216573176</v>
      </c>
      <c r="AI74" s="624">
        <f>IF(M74="","",DEGREES(-ACOS(-AF74)))</f>
        <v>-75.522489751159455</v>
      </c>
      <c r="AJ74" s="625">
        <f>IF(M74="","",DEGREES(ATAN2(-AE74,AD74)))</f>
        <v>-86.032870354913427</v>
      </c>
      <c r="AK74" s="4">
        <f>IF(M74="","",(COS(RADIANS((90-$Q$8)-W74))*AD74)+(-SIN(RADIANS((90-$Q$8)-W74))*AE74))</f>
        <v>0.96592583607220739</v>
      </c>
      <c r="AL74" s="5">
        <f>IF(M74="","",(SIN(RADIANS((90-$Q$8)-W74))*AD74)+(COS(RADIANS((90-$Q$8)-W74))*AE74))</f>
        <v>6.6987279208207212E-2</v>
      </c>
      <c r="AM74" s="6">
        <f>IF(M74="","",AF74)</f>
        <v>-0.24999996726497567</v>
      </c>
      <c r="AN74" s="612">
        <f>IF(M74="","",DEGREES(ATAN2(-AM74,AL74)))</f>
        <v>14.999997834268267</v>
      </c>
      <c r="AO74" s="613">
        <f t="shared" si="466"/>
        <v>14.999997834268255</v>
      </c>
      <c r="AP74" s="624">
        <f>IF(M74="","",DEGREES(ATAN2(AK74,AL74)))</f>
        <v>3.9671296450865721</v>
      </c>
      <c r="AQ74" s="625">
        <f t="shared" si="476"/>
        <v>3.3650475275625054</v>
      </c>
      <c r="AS74" s="56">
        <f t="shared" si="411"/>
        <v>-180</v>
      </c>
      <c r="AT74" s="77">
        <f t="shared" si="477"/>
        <v>0.36859906081476729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4.1189999999999998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-1.2588358242257111E-2</v>
      </c>
      <c r="C75" s="771">
        <v>-4.4248954393028104</v>
      </c>
      <c r="D75" s="772">
        <v>-0.11680035226986256</v>
      </c>
      <c r="E75" s="773">
        <v>0.96536662367756532</v>
      </c>
      <c r="F75" s="771">
        <v>-5.1195042808499513E-4</v>
      </c>
      <c r="G75" s="774">
        <v>0.26089656915363463</v>
      </c>
      <c r="H75" s="773">
        <v>0.314</v>
      </c>
      <c r="I75" s="771">
        <v>0.52</v>
      </c>
      <c r="J75" s="601">
        <v>4.125</v>
      </c>
      <c r="K75" s="426" t="str">
        <f t="shared" si="225"/>
        <v>1613</v>
      </c>
      <c r="L75" s="327"/>
      <c r="M75" s="173">
        <f t="shared" si="469"/>
        <v>4.125</v>
      </c>
      <c r="N75" s="21">
        <f t="shared" si="470"/>
        <v>-1.2588358242257111E-2</v>
      </c>
      <c r="O75" s="5">
        <f t="shared" si="471"/>
        <v>-4.4248954393028104</v>
      </c>
      <c r="P75" s="10">
        <f t="shared" si="472"/>
        <v>-0.11680035226986256</v>
      </c>
      <c r="Q75" s="624">
        <f t="shared" si="528"/>
        <v>269.8370000235343</v>
      </c>
      <c r="R75" s="5">
        <f>IF(M75="","",SQRT(N75^2+O75^2))</f>
        <v>4.4249133455386502</v>
      </c>
      <c r="S75" s="6">
        <f>IF(M75="","",P75)</f>
        <v>-0.11680035226986256</v>
      </c>
      <c r="T75" s="4">
        <f>IF(M75="","",X75*COS(RADIANS(W75)))</f>
        <v>-4.4248954393028104</v>
      </c>
      <c r="U75" s="5">
        <f>IF(M75="","",X75*SIN(RADIANS(W75)))</f>
        <v>1.2588358242255723E-2</v>
      </c>
      <c r="V75" s="8">
        <f>IF(M75="","",Y75)</f>
        <v>-0.11680035226986256</v>
      </c>
      <c r="W75" s="624">
        <f t="shared" si="227"/>
        <v>179.8370000235343</v>
      </c>
      <c r="X75" s="5">
        <f>IF(M75="","",R75)</f>
        <v>4.4249133455386502</v>
      </c>
      <c r="Y75" s="7">
        <f t="shared" si="226"/>
        <v>-0.11680035226986256</v>
      </c>
      <c r="Z75" s="21">
        <f t="shared" si="473"/>
        <v>-0.96536662367756532</v>
      </c>
      <c r="AA75" s="5">
        <f t="shared" si="474"/>
        <v>5.1195042808499513E-4</v>
      </c>
      <c r="AB75" s="5">
        <f t="shared" si="475"/>
        <v>-0.26089656915363463</v>
      </c>
      <c r="AC75" s="8">
        <f>IF(M75="","",SQRT(Z75^2+AA75^2+AB75^2))</f>
        <v>1</v>
      </c>
      <c r="AD75" s="9">
        <f>IF(M75="","",Z75*(1/SQRT(Z75^2+AA75^2+AB75^2)))</f>
        <v>-0.96536662367756532</v>
      </c>
      <c r="AE75" s="5">
        <f>IF(M75="","",AA75*(1/SQRT(Z75^2+AA75^2+AB75^2)))</f>
        <v>5.1195042808499513E-4</v>
      </c>
      <c r="AF75" s="10">
        <f>IF(M75="","",AB75*(1/SQRT(Z75^2+AA75^2+AB75^2)))</f>
        <v>-0.26089656915363463</v>
      </c>
      <c r="AG75" s="622">
        <f>IF(M75="","",DEGREES(ATAN2(-AF75,AE75)))</f>
        <v>0.11242984641718139</v>
      </c>
      <c r="AH75" s="623">
        <f>IF(M75="","",DEGREES(ACOS(AD75)))</f>
        <v>164.8767021604792</v>
      </c>
      <c r="AI75" s="624">
        <f>IF(M75="","",DEGREES(-ACOS(-AF75)))</f>
        <v>-74.876731972221691</v>
      </c>
      <c r="AJ75" s="625">
        <f>IF(M75="","",DEGREES(ATAN2(-AE75,AD75)))</f>
        <v>-90.030384928772079</v>
      </c>
      <c r="AK75" s="4">
        <f>IF(M75="","",(COS(RADIANS((90-$Q$8)-W75))*AD75)+(-SIN(RADIANS((90-$Q$8)-W75))*AE75))</f>
        <v>0.96536417358053572</v>
      </c>
      <c r="AL75" s="5">
        <f>IF(M75="","",(SIN(RADIANS((90-$Q$8)-W75))*AD75)+(COS(RADIANS((90-$Q$8)-W75))*AE75))</f>
        <v>2.2344061922830896E-3</v>
      </c>
      <c r="AM75" s="6">
        <f>IF(M75="","",AF75)</f>
        <v>-0.26089656915363463</v>
      </c>
      <c r="AN75" s="612">
        <f>IF(M75="","",DEGREES(ATAN2(-AM75,AL75)))</f>
        <v>0.49068837907910245</v>
      </c>
      <c r="AO75" s="613">
        <f t="shared" si="466"/>
        <v>15.123835897612045</v>
      </c>
      <c r="AP75" s="624">
        <f>IF(M75="","",DEGREES(ATAN2(AK75,AL75)))</f>
        <v>0.13261504769361998</v>
      </c>
      <c r="AQ75" s="625">
        <f t="shared" si="476"/>
        <v>2.8004696210573421</v>
      </c>
      <c r="AS75" s="56">
        <f t="shared" ref="AS75:AS106" si="550">IF(G75="","",IF(AND(W75&lt;(AS74+180),W75&gt;(AS74-180)),W75,IF(W75&gt;(AS74+180),W75-360,IF(W75&lt;(AS74-180),W75+360,"Error"))))</f>
        <v>-180.1629999764657</v>
      </c>
      <c r="AT75" s="77">
        <f t="shared" si="477"/>
        <v>0.56381542541900798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4.125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0.02</v>
      </c>
      <c r="B76" s="770">
        <v>-5.2484976702081125E-2</v>
      </c>
      <c r="C76" s="771">
        <v>-5.1935504700084731</v>
      </c>
      <c r="D76" s="772">
        <v>-4.2400127878785727E-2</v>
      </c>
      <c r="E76" s="773">
        <v>0.96275566166986348</v>
      </c>
      <c r="F76" s="771">
        <v>-8.654988341724279E-2</v>
      </c>
      <c r="G76" s="774">
        <v>0.25614576631887792</v>
      </c>
      <c r="H76" s="773">
        <v>0.314</v>
      </c>
      <c r="I76" s="771">
        <v>0.52</v>
      </c>
      <c r="J76" s="601">
        <v>4.1310000000000002</v>
      </c>
      <c r="K76" s="426" t="str">
        <f t="shared" si="225"/>
        <v>1613</v>
      </c>
      <c r="L76" s="327"/>
      <c r="M76" s="173">
        <f t="shared" si="469"/>
        <v>4.1310000000000002</v>
      </c>
      <c r="N76" s="21">
        <f t="shared" si="470"/>
        <v>-5.2484976702081125E-2</v>
      </c>
      <c r="O76" s="5">
        <f t="shared" si="471"/>
        <v>-5.1935504700084731</v>
      </c>
      <c r="P76" s="10">
        <f t="shared" si="472"/>
        <v>-4.2400127878785727E-2</v>
      </c>
      <c r="Q76" s="624">
        <f t="shared" si="528"/>
        <v>269.42100008359722</v>
      </c>
      <c r="R76" s="5">
        <f t="shared" si="83"/>
        <v>5.1938156645480449</v>
      </c>
      <c r="S76" s="6">
        <f t="shared" si="84"/>
        <v>-4.2400127878785727E-2</v>
      </c>
      <c r="T76" s="4">
        <f t="shared" si="85"/>
        <v>-5.1935504700084731</v>
      </c>
      <c r="U76" s="5">
        <f t="shared" si="86"/>
        <v>5.2484976702081847E-2</v>
      </c>
      <c r="V76" s="8">
        <f t="shared" si="117"/>
        <v>-4.2400127878785727E-2</v>
      </c>
      <c r="W76" s="624">
        <f t="shared" si="227"/>
        <v>179.42100008359722</v>
      </c>
      <c r="X76" s="5">
        <f t="shared" si="87"/>
        <v>5.1938156645480449</v>
      </c>
      <c r="Y76" s="7">
        <f t="shared" ref="Y76:Y129" si="650">IF(M76="","",S76)</f>
        <v>-4.2400127878785727E-2</v>
      </c>
      <c r="Z76" s="21">
        <f t="shared" si="473"/>
        <v>-0.96275566166986348</v>
      </c>
      <c r="AA76" s="5">
        <f t="shared" si="474"/>
        <v>8.654988341724279E-2</v>
      </c>
      <c r="AB76" s="5">
        <f t="shared" si="475"/>
        <v>-0.25614576631887792</v>
      </c>
      <c r="AC76" s="8">
        <f t="shared" si="88"/>
        <v>1</v>
      </c>
      <c r="AD76" s="9">
        <f t="shared" si="118"/>
        <v>-0.96275566166986348</v>
      </c>
      <c r="AE76" s="5">
        <f t="shared" si="89"/>
        <v>8.654988341724279E-2</v>
      </c>
      <c r="AF76" s="10">
        <f t="shared" si="90"/>
        <v>-0.25614576631887792</v>
      </c>
      <c r="AG76" s="622">
        <f t="shared" si="91"/>
        <v>18.669755427625198</v>
      </c>
      <c r="AH76" s="623">
        <f t="shared" si="92"/>
        <v>164.31353883076221</v>
      </c>
      <c r="AI76" s="624">
        <f t="shared" si="93"/>
        <v>-75.158512209254241</v>
      </c>
      <c r="AJ76" s="625">
        <f t="shared" si="94"/>
        <v>-95.136971717378628</v>
      </c>
      <c r="AK76" s="4">
        <f t="shared" si="213"/>
        <v>0.9635811147369735</v>
      </c>
      <c r="AL76" s="5">
        <f t="shared" si="95"/>
        <v>-7.6816545868494415E-2</v>
      </c>
      <c r="AM76" s="6">
        <f t="shared" si="96"/>
        <v>-0.25614576631887792</v>
      </c>
      <c r="AN76" s="612">
        <f t="shared" si="97"/>
        <v>-16.693665502845974</v>
      </c>
      <c r="AO76" s="613">
        <f t="shared" si="466"/>
        <v>15.510574625935662</v>
      </c>
      <c r="AP76" s="624">
        <f t="shared" si="99"/>
        <v>-4.557971800975869</v>
      </c>
      <c r="AQ76" s="625">
        <f t="shared" si="476"/>
        <v>2.3864036510116584</v>
      </c>
      <c r="AS76" s="56">
        <f t="shared" si="550"/>
        <v>-180.57899991640278</v>
      </c>
      <c r="AT76" s="77">
        <f t="shared" si="477"/>
        <v>0.63978720513873588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4.1310000000000002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-0.11885541162167537</v>
      </c>
      <c r="C77" s="771">
        <v>-5.9519313481048961</v>
      </c>
      <c r="D77" s="772">
        <v>-0.14660044214693341</v>
      </c>
      <c r="E77" s="773">
        <v>0.95741498772931211</v>
      </c>
      <c r="F77" s="771">
        <v>-0.1698373064747136</v>
      </c>
      <c r="G77" s="774">
        <v>0.23347768758640602</v>
      </c>
      <c r="H77" s="773">
        <v>0.314</v>
      </c>
      <c r="I77" s="771">
        <v>0.52</v>
      </c>
      <c r="J77" s="601">
        <v>4.1369999999999996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4.1369999999999996</v>
      </c>
      <c r="N77" s="21">
        <f t="shared" si="470"/>
        <v>-0.11885541162167537</v>
      </c>
      <c r="O77" s="5">
        <f t="shared" si="471"/>
        <v>-5.9519313481048961</v>
      </c>
      <c r="P77" s="10">
        <f t="shared" si="472"/>
        <v>-0.14660044214693341</v>
      </c>
      <c r="Q77" s="624">
        <f t="shared" si="528"/>
        <v>268.8560001651731</v>
      </c>
      <c r="R77" s="5">
        <f t="shared" si="83"/>
        <v>5.9531179546037487</v>
      </c>
      <c r="S77" s="6">
        <f t="shared" si="84"/>
        <v>-0.14660044214693341</v>
      </c>
      <c r="T77" s="4">
        <f t="shared" si="85"/>
        <v>-5.9519313481048952</v>
      </c>
      <c r="U77" s="5">
        <f t="shared" si="86"/>
        <v>0.11885541162167895</v>
      </c>
      <c r="V77" s="8">
        <f t="shared" si="117"/>
        <v>-0.14660044214693341</v>
      </c>
      <c r="W77" s="624">
        <f t="shared" si="227"/>
        <v>178.8560001651731</v>
      </c>
      <c r="X77" s="5">
        <f t="shared" si="87"/>
        <v>5.9531179546037487</v>
      </c>
      <c r="Y77" s="7">
        <f t="shared" si="650"/>
        <v>-0.14660044214693341</v>
      </c>
      <c r="Z77" s="21">
        <f t="shared" si="473"/>
        <v>-0.95741498772931211</v>
      </c>
      <c r="AA77" s="5">
        <f t="shared" si="474"/>
        <v>0.1698373064747136</v>
      </c>
      <c r="AB77" s="5">
        <f t="shared" si="475"/>
        <v>-0.23347768758640602</v>
      </c>
      <c r="AC77" s="8">
        <f t="shared" si="88"/>
        <v>1</v>
      </c>
      <c r="AD77" s="9">
        <f t="shared" si="118"/>
        <v>-0.95741498772931211</v>
      </c>
      <c r="AE77" s="5">
        <f t="shared" si="89"/>
        <v>0.1698373064747136</v>
      </c>
      <c r="AF77" s="10">
        <f t="shared" si="90"/>
        <v>-0.23347768758640602</v>
      </c>
      <c r="AG77" s="622">
        <f t="shared" si="91"/>
        <v>36.03304715813352</v>
      </c>
      <c r="AH77" s="623">
        <f t="shared" si="92"/>
        <v>163.21893972290061</v>
      </c>
      <c r="AI77" s="624">
        <f t="shared" si="93"/>
        <v>-76.498095353745953</v>
      </c>
      <c r="AJ77" s="625">
        <f t="shared" si="94"/>
        <v>-100.0591440171598</v>
      </c>
      <c r="AK77" s="4">
        <f t="shared" si="213"/>
        <v>0.96061499288098195</v>
      </c>
      <c r="AL77" s="5">
        <f t="shared" si="95"/>
        <v>-0.15068843635652854</v>
      </c>
      <c r="AM77" s="6">
        <f t="shared" si="96"/>
        <v>-0.23347768758640602</v>
      </c>
      <c r="AN77" s="612">
        <f t="shared" si="97"/>
        <v>-32.838533617971194</v>
      </c>
      <c r="AO77" s="613">
        <f t="shared" si="466"/>
        <v>16.133882534723792</v>
      </c>
      <c r="AP77" s="624">
        <f t="shared" si="99"/>
        <v>-8.9151441823328899</v>
      </c>
      <c r="AQ77" s="625">
        <f t="shared" si="476"/>
        <v>2.0823125480082951</v>
      </c>
      <c r="AS77" s="56">
        <f t="shared" si="550"/>
        <v>-181.1439998348269</v>
      </c>
      <c r="AT77" s="77">
        <f t="shared" si="477"/>
        <v>0.53772133500685704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4.1369999999999996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-0.20535389686348715</v>
      </c>
      <c r="C78" s="771">
        <v>-6.6603550853178684</v>
      </c>
      <c r="D78" s="772">
        <v>-0.4162012552629854</v>
      </c>
      <c r="E78" s="773">
        <v>0.93976500721201517</v>
      </c>
      <c r="F78" s="771">
        <v>-0.25653158469304949</v>
      </c>
      <c r="G78" s="774">
        <v>0.22590546092264771</v>
      </c>
      <c r="H78" s="773">
        <v>0.314</v>
      </c>
      <c r="I78" s="771">
        <v>0.52</v>
      </c>
      <c r="J78" s="601">
        <v>4.1429999999999998</v>
      </c>
      <c r="K78" s="426" t="str">
        <f t="shared" si="651"/>
        <v>1613</v>
      </c>
      <c r="L78" s="327"/>
      <c r="M78" s="173">
        <f t="shared" si="469"/>
        <v>4.1429999999999998</v>
      </c>
      <c r="N78" s="21">
        <f t="shared" si="470"/>
        <v>-0.20535389686348715</v>
      </c>
      <c r="O78" s="5">
        <f t="shared" si="471"/>
        <v>-6.6603550853178684</v>
      </c>
      <c r="P78" s="10">
        <f t="shared" si="472"/>
        <v>-0.4162012552629854</v>
      </c>
      <c r="Q78" s="624">
        <f t="shared" si="528"/>
        <v>268.23400025497881</v>
      </c>
      <c r="R78" s="5">
        <f>IF(M78="","",SQRT(N78^2+O78^2))</f>
        <v>6.6635200971766126</v>
      </c>
      <c r="S78" s="6">
        <f>IF(M78="","",P78)</f>
        <v>-0.4162012552629854</v>
      </c>
      <c r="T78" s="4">
        <f>IF(M78="","",X78*COS(RADIANS(W78)))</f>
        <v>-6.6603550853178692</v>
      </c>
      <c r="U78" s="5">
        <f>IF(M78="","",X78*SIN(RADIANS(W78)))</f>
        <v>0.20535389686348837</v>
      </c>
      <c r="V78" s="8">
        <f>IF(M78="","",Y78)</f>
        <v>-0.4162012552629854</v>
      </c>
      <c r="W78" s="624">
        <f t="shared" si="227"/>
        <v>178.23400025497881</v>
      </c>
      <c r="X78" s="5">
        <f>IF(M78="","",R78)</f>
        <v>6.6635200971766126</v>
      </c>
      <c r="Y78" s="7">
        <f t="shared" si="650"/>
        <v>-0.4162012552629854</v>
      </c>
      <c r="Z78" s="21">
        <f t="shared" si="473"/>
        <v>-0.93976500721201517</v>
      </c>
      <c r="AA78" s="5">
        <f t="shared" si="474"/>
        <v>0.25653158469304949</v>
      </c>
      <c r="AB78" s="5">
        <f t="shared" si="475"/>
        <v>-0.22590546092264771</v>
      </c>
      <c r="AC78" s="8">
        <f>IF(M78="","",SQRT(Z78^2+AA78^2+AB78^2))</f>
        <v>1</v>
      </c>
      <c r="AD78" s="9">
        <f>IF(M78="","",Z78*(1/SQRT(Z78^2+AA78^2+AB78^2)))</f>
        <v>-0.93976500721201517</v>
      </c>
      <c r="AE78" s="5">
        <f>IF(M78="","",AA78*(1/SQRT(Z78^2+AA78^2+AB78^2)))</f>
        <v>0.25653158469304949</v>
      </c>
      <c r="AF78" s="10">
        <f>IF(M78="","",AB78*(1/SQRT(Z78^2+AA78^2+AB78^2)))</f>
        <v>-0.22590546092264771</v>
      </c>
      <c r="AG78" s="622">
        <f>IF(M78="","",DEGREES(ATAN2(-AF78,AE78)))</f>
        <v>48.632382992786525</v>
      </c>
      <c r="AH78" s="623">
        <f>IF(M78="","",DEGREES(ACOS(AD78)))</f>
        <v>160.01212982148184</v>
      </c>
      <c r="AI78" s="624">
        <f>IF(M78="","",DEGREES(-ACOS(-AF78)))</f>
        <v>-76.943871775177172</v>
      </c>
      <c r="AJ78" s="625">
        <f>IF(M78="","",DEGREES(ATAN2(-AE78,AD78)))</f>
        <v>-105.26828537162923</v>
      </c>
      <c r="AK78" s="4">
        <f>IF(M78="","",(COS(RADIANS((90-$Q$8)-W78))*AD78)+(-SIN(RADIANS((90-$Q$8)-W78))*AE78))</f>
        <v>0.94722433688584418</v>
      </c>
      <c r="AL78" s="5">
        <f>IF(M78="","",(SIN(RADIANS((90-$Q$8)-W78))*AD78)+(COS(RADIANS((90-$Q$8)-W78))*AE78))</f>
        <v>-0.227448408076423</v>
      </c>
      <c r="AM78" s="6">
        <f>IF(M78="","",AF78)</f>
        <v>-0.22590546092264771</v>
      </c>
      <c r="AN78" s="612">
        <f>IF(M78="","",DEGREES(ATAN2(-AM78,AL78)))</f>
        <v>-45.195000031181692</v>
      </c>
      <c r="AO78" s="613">
        <f t="shared" si="466"/>
        <v>18.697487370803728</v>
      </c>
      <c r="AP78" s="624">
        <f>IF(M78="","",DEGREES(ATAN2(AK78,AL78)))</f>
        <v>-13.502285626608032</v>
      </c>
      <c r="AQ78" s="625">
        <f t="shared" si="476"/>
        <v>1.8604811875527052</v>
      </c>
      <c r="AS78" s="56">
        <f t="shared" si="550"/>
        <v>-181.76599974502119</v>
      </c>
      <c r="AT78" s="77">
        <f t="shared" si="477"/>
        <v>0.27047029932931693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4.1429999999999998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-0.3020614767152493</v>
      </c>
      <c r="C79" s="771">
        <v>-7.289065920077439</v>
      </c>
      <c r="D79" s="772">
        <v>-0.8383025283204264</v>
      </c>
      <c r="E79" s="773">
        <v>0.91298886582420025</v>
      </c>
      <c r="F79" s="771">
        <v>-0.3468876276928422</v>
      </c>
      <c r="G79" s="774">
        <v>0.21475638438629202</v>
      </c>
      <c r="H79" s="773">
        <v>0.314</v>
      </c>
      <c r="I79" s="771">
        <v>0.52</v>
      </c>
      <c r="J79" s="601">
        <v>4.149</v>
      </c>
      <c r="K79" s="426" t="str">
        <f t="shared" si="651"/>
        <v>1613</v>
      </c>
      <c r="L79" s="327"/>
      <c r="M79" s="173">
        <f t="shared" si="469"/>
        <v>4.149</v>
      </c>
      <c r="N79" s="21">
        <f t="shared" si="470"/>
        <v>-0.3020614767152493</v>
      </c>
      <c r="O79" s="5">
        <f t="shared" si="471"/>
        <v>-7.289065920077439</v>
      </c>
      <c r="P79" s="10">
        <f t="shared" si="472"/>
        <v>-0.8383025283204264</v>
      </c>
      <c r="Q79" s="624">
        <f t="shared" si="528"/>
        <v>267.62700034261877</v>
      </c>
      <c r="R79" s="5">
        <f>IF(M79="","",SQRT(N79^2+O79^2))</f>
        <v>7.2953220026911598</v>
      </c>
      <c r="S79" s="6">
        <f>IF(M79="","",P79)</f>
        <v>-0.8383025283204264</v>
      </c>
      <c r="T79" s="4">
        <f>IF(M79="","",X79*COS(RADIANS(W79)))</f>
        <v>-7.289065920077439</v>
      </c>
      <c r="U79" s="5">
        <f>IF(M79="","",X79*SIN(RADIANS(W79)))</f>
        <v>0.30206147671524675</v>
      </c>
      <c r="V79" s="8">
        <f>IF(M79="","",Y79)</f>
        <v>-0.8383025283204264</v>
      </c>
      <c r="W79" s="624">
        <f t="shared" ref="W79:W129" si="652">IF(M79="","",IF(Q79-$Q$8&lt;0,360+Q79-$Q$8,Q79-$Q$8))</f>
        <v>177.62700034261877</v>
      </c>
      <c r="X79" s="5">
        <f>IF(M79="","",R79)</f>
        <v>7.2953220026911598</v>
      </c>
      <c r="Y79" s="7">
        <f t="shared" si="650"/>
        <v>-0.8383025283204264</v>
      </c>
      <c r="Z79" s="21">
        <f t="shared" si="473"/>
        <v>-0.91298886582420025</v>
      </c>
      <c r="AA79" s="5">
        <f t="shared" si="474"/>
        <v>0.3468876276928422</v>
      </c>
      <c r="AB79" s="5">
        <f t="shared" si="475"/>
        <v>-0.21475638438629202</v>
      </c>
      <c r="AC79" s="8">
        <f>IF(M79="","",SQRT(Z79^2+AA79^2+AB79^2))</f>
        <v>1</v>
      </c>
      <c r="AD79" s="9">
        <f>IF(M79="","",Z79*(1/SQRT(Z79^2+AA79^2+AB79^2)))</f>
        <v>-0.91298886582420025</v>
      </c>
      <c r="AE79" s="5">
        <f>IF(M79="","",AA79*(1/SQRT(Z79^2+AA79^2+AB79^2)))</f>
        <v>0.3468876276928422</v>
      </c>
      <c r="AF79" s="10">
        <f>IF(M79="","",AB79*(1/SQRT(Z79^2+AA79^2+AB79^2)))</f>
        <v>-0.21475638438629202</v>
      </c>
      <c r="AG79" s="622">
        <f>IF(M79="","",DEGREES(ATAN2(-AF79,AE79)))</f>
        <v>58.238558712336555</v>
      </c>
      <c r="AH79" s="623">
        <f>IF(M79="","",DEGREES(ACOS(AD79)))</f>
        <v>155.9217146665697</v>
      </c>
      <c r="AI79" s="624">
        <f>IF(M79="","",DEGREES(-ACOS(-AF79)))</f>
        <v>-77.598764690391505</v>
      </c>
      <c r="AJ79" s="625">
        <f>IF(M79="","",DEGREES(ATAN2(-AE79,AD79)))</f>
        <v>-110.80415100677651</v>
      </c>
      <c r="AK79" s="4">
        <f>IF(M79="","",(COS(RADIANS((90-$Q$8)-W79))*AD79)+(-SIN(RADIANS((90-$Q$8)-W79))*AE79))</f>
        <v>0.92656875376726833</v>
      </c>
      <c r="AL79" s="5">
        <f>IF(M79="","",(SIN(RADIANS((90-$Q$8)-W79))*AD79)+(COS(RADIANS((90-$Q$8)-W79))*AE79))</f>
        <v>-0.30878801775246834</v>
      </c>
      <c r="AM79" s="6">
        <f>IF(M79="","",AF79)</f>
        <v>-0.21475638438629202</v>
      </c>
      <c r="AN79" s="612">
        <f>IF(M79="","",DEGREES(ATAN2(-AM79,AL79)))</f>
        <v>-55.182097395267888</v>
      </c>
      <c r="AO79" s="613">
        <f t="shared" si="466"/>
        <v>22.093888819077907</v>
      </c>
      <c r="AP79" s="624">
        <f>IF(M79="","",DEGREES(ATAN2(AK79,AL79)))</f>
        <v>-18.431151349395282</v>
      </c>
      <c r="AQ79" s="625">
        <f t="shared" si="476"/>
        <v>1.6994555869061805</v>
      </c>
      <c r="AS79" s="56">
        <f t="shared" si="550"/>
        <v>-182.37299965738123</v>
      </c>
      <c r="AT79" s="77">
        <f t="shared" si="477"/>
        <v>-0.14933786294809726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4.149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-0.39548575791711288</v>
      </c>
      <c r="C80" s="771">
        <v>-7.8043093122122684</v>
      </c>
      <c r="D80" s="772">
        <v>-1.3909041949670531</v>
      </c>
      <c r="E80" s="773">
        <v>0.88298643869854621</v>
      </c>
      <c r="F80" s="771">
        <v>-0.43108472854537788</v>
      </c>
      <c r="G80" s="774">
        <v>0.18574419476639456</v>
      </c>
      <c r="H80" s="773">
        <v>0.314</v>
      </c>
      <c r="I80" s="771">
        <v>0.52</v>
      </c>
      <c r="J80" s="601">
        <v>4.1550000000000002</v>
      </c>
      <c r="K80" s="426" t="str">
        <f t="shared" si="651"/>
        <v>1613</v>
      </c>
      <c r="L80" s="327"/>
      <c r="M80" s="173">
        <f t="shared" si="469"/>
        <v>4.1550000000000002</v>
      </c>
      <c r="N80" s="21">
        <f t="shared" si="470"/>
        <v>-0.39548575791711288</v>
      </c>
      <c r="O80" s="5">
        <f t="shared" si="471"/>
        <v>-7.8043093122122684</v>
      </c>
      <c r="P80" s="10">
        <f t="shared" si="472"/>
        <v>-1.3909041949670531</v>
      </c>
      <c r="Q80" s="624">
        <f t="shared" si="528"/>
        <v>267.09900041885248</v>
      </c>
      <c r="R80" s="5">
        <f t="shared" si="83"/>
        <v>7.8143235679998817</v>
      </c>
      <c r="S80" s="6">
        <f t="shared" si="84"/>
        <v>-1.3909041949670531</v>
      </c>
      <c r="T80" s="4">
        <f t="shared" si="85"/>
        <v>-7.8043093122122675</v>
      </c>
      <c r="U80" s="5">
        <f t="shared" si="86"/>
        <v>0.39548575791711782</v>
      </c>
      <c r="V80" s="8">
        <f t="shared" si="117"/>
        <v>-1.3909041949670531</v>
      </c>
      <c r="W80" s="624">
        <f t="shared" si="652"/>
        <v>177.09900041885248</v>
      </c>
      <c r="X80" s="5">
        <f t="shared" si="87"/>
        <v>7.8143235679998817</v>
      </c>
      <c r="Y80" s="7">
        <f t="shared" si="650"/>
        <v>-1.3909041949670531</v>
      </c>
      <c r="Z80" s="21">
        <f t="shared" si="473"/>
        <v>-0.88298643869854621</v>
      </c>
      <c r="AA80" s="5">
        <f t="shared" si="474"/>
        <v>0.43108472854537788</v>
      </c>
      <c r="AB80" s="5">
        <f t="shared" si="475"/>
        <v>-0.18574419476639456</v>
      </c>
      <c r="AC80" s="8">
        <f t="shared" si="88"/>
        <v>1</v>
      </c>
      <c r="AD80" s="9">
        <f t="shared" si="118"/>
        <v>-0.88298643869854621</v>
      </c>
      <c r="AE80" s="5">
        <f t="shared" si="89"/>
        <v>0.43108472854537788</v>
      </c>
      <c r="AF80" s="10">
        <f t="shared" si="90"/>
        <v>-0.18574419476639456</v>
      </c>
      <c r="AG80" s="622">
        <f t="shared" si="91"/>
        <v>66.689935008432201</v>
      </c>
      <c r="AH80" s="623">
        <f t="shared" si="92"/>
        <v>152.00474123684558</v>
      </c>
      <c r="AI80" s="624">
        <f t="shared" si="93"/>
        <v>-79.29547634197904</v>
      </c>
      <c r="AJ80" s="625">
        <f t="shared" si="94"/>
        <v>-116.02219354105063</v>
      </c>
      <c r="AK80" s="4">
        <f t="shared" si="213"/>
        <v>0.90367222386401969</v>
      </c>
      <c r="AL80" s="5">
        <f t="shared" si="95"/>
        <v>-0.38584401761235143</v>
      </c>
      <c r="AM80" s="6">
        <f t="shared" si="96"/>
        <v>-0.18574419476639456</v>
      </c>
      <c r="AN80" s="612">
        <f t="shared" si="97"/>
        <v>-64.293970741438343</v>
      </c>
      <c r="AO80" s="613">
        <f t="shared" si="466"/>
        <v>25.354956544916309</v>
      </c>
      <c r="AP80" s="624">
        <f t="shared" si="99"/>
        <v>-23.121193959903092</v>
      </c>
      <c r="AQ80" s="625">
        <f t="shared" si="476"/>
        <v>1.5866431051679186</v>
      </c>
      <c r="AS80" s="56">
        <f t="shared" si="550"/>
        <v>-182.90099958114752</v>
      </c>
      <c r="AT80" s="77">
        <f t="shared" si="477"/>
        <v>-0.69994486321605132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4.1550000000000002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-0.47277408399957294</v>
      </c>
      <c r="C81" s="771">
        <v>-8.1844812713498882</v>
      </c>
      <c r="D81" s="772">
        <v>-2.0468061731674192</v>
      </c>
      <c r="E81" s="773">
        <v>0.84317157380989283</v>
      </c>
      <c r="F81" s="771">
        <v>-0.51607161010489422</v>
      </c>
      <c r="G81" s="774">
        <v>0.150770654845997</v>
      </c>
      <c r="H81" s="773">
        <v>0.314</v>
      </c>
      <c r="I81" s="771">
        <v>0.52</v>
      </c>
      <c r="J81" s="601">
        <v>4.1609999999999996</v>
      </c>
      <c r="K81" s="426" t="str">
        <f t="shared" si="651"/>
        <v>1613</v>
      </c>
      <c r="L81" s="327"/>
      <c r="M81" s="173">
        <f t="shared" si="469"/>
        <v>4.1609999999999996</v>
      </c>
      <c r="N81" s="21">
        <f t="shared" si="470"/>
        <v>-0.47277408399957294</v>
      </c>
      <c r="O81" s="5">
        <f t="shared" si="471"/>
        <v>-8.1844812713498882</v>
      </c>
      <c r="P81" s="10">
        <f t="shared" si="472"/>
        <v>-2.0468061731674192</v>
      </c>
      <c r="Q81" s="624">
        <f t="shared" si="528"/>
        <v>266.69400047732728</v>
      </c>
      <c r="R81" s="5">
        <f t="shared" si="83"/>
        <v>8.1981247255441723</v>
      </c>
      <c r="S81" s="6">
        <f t="shared" si="84"/>
        <v>-2.0468061731674192</v>
      </c>
      <c r="T81" s="4">
        <f t="shared" si="85"/>
        <v>-8.1844812713498882</v>
      </c>
      <c r="U81" s="5">
        <f t="shared" si="86"/>
        <v>0.47277408399957088</v>
      </c>
      <c r="V81" s="8">
        <f t="shared" si="117"/>
        <v>-2.0468061731674192</v>
      </c>
      <c r="W81" s="624">
        <f t="shared" si="652"/>
        <v>176.69400047732728</v>
      </c>
      <c r="X81" s="5">
        <f t="shared" si="87"/>
        <v>8.1981247255441723</v>
      </c>
      <c r="Y81" s="7">
        <f t="shared" si="650"/>
        <v>-2.0468061731674192</v>
      </c>
      <c r="Z81" s="21">
        <f t="shared" si="473"/>
        <v>-0.84317157380989283</v>
      </c>
      <c r="AA81" s="5">
        <f t="shared" si="474"/>
        <v>0.51607161010489422</v>
      </c>
      <c r="AB81" s="5">
        <f t="shared" si="475"/>
        <v>-0.150770654845997</v>
      </c>
      <c r="AC81" s="8">
        <f t="shared" si="88"/>
        <v>1</v>
      </c>
      <c r="AD81" s="9">
        <f t="shared" si="118"/>
        <v>-0.84317157380989283</v>
      </c>
      <c r="AE81" s="5">
        <f t="shared" si="89"/>
        <v>0.51607161010489422</v>
      </c>
      <c r="AF81" s="10">
        <f t="shared" si="90"/>
        <v>-0.150770654845997</v>
      </c>
      <c r="AG81" s="622">
        <f t="shared" si="91"/>
        <v>73.714242615871242</v>
      </c>
      <c r="AH81" s="623">
        <f t="shared" si="92"/>
        <v>147.47656113175762</v>
      </c>
      <c r="AI81" s="624">
        <f t="shared" si="93"/>
        <v>-81.328410235867366</v>
      </c>
      <c r="AJ81" s="625">
        <f t="shared" si="94"/>
        <v>-121.46913402768422</v>
      </c>
      <c r="AK81" s="4">
        <f t="shared" si="213"/>
        <v>0.87152946269098641</v>
      </c>
      <c r="AL81" s="5">
        <f t="shared" si="95"/>
        <v>-0.46658826099556999</v>
      </c>
      <c r="AM81" s="6">
        <f t="shared" si="96"/>
        <v>-0.150770654845997</v>
      </c>
      <c r="AN81" s="612">
        <f t="shared" si="97"/>
        <v>-72.092577604921246</v>
      </c>
      <c r="AO81" s="613">
        <f t="shared" si="466"/>
        <v>29.363137713283525</v>
      </c>
      <c r="AP81" s="624">
        <f t="shared" si="99"/>
        <v>-28.163134505011492</v>
      </c>
      <c r="AQ81" s="625">
        <f t="shared" si="476"/>
        <v>1.5123986024884164</v>
      </c>
      <c r="AS81" s="56">
        <f t="shared" si="550"/>
        <v>-183.30599952267272</v>
      </c>
      <c r="AT81" s="77">
        <f t="shared" si="477"/>
        <v>-1.3543168416373224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4.1609999999999996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-0.52043462847663213</v>
      </c>
      <c r="C82" s="771">
        <v>-8.4031246572475808</v>
      </c>
      <c r="D82" s="772">
        <v>-2.7738083658060328</v>
      </c>
      <c r="E82" s="773">
        <v>0.81100486339030819</v>
      </c>
      <c r="F82" s="771">
        <v>-0.57803612456465836</v>
      </c>
      <c r="G82" s="774">
        <v>9.0251594199429269E-2</v>
      </c>
      <c r="H82" s="773">
        <v>0.314</v>
      </c>
      <c r="I82" s="771">
        <v>0.52</v>
      </c>
      <c r="J82" s="601">
        <v>4.1669999999999998</v>
      </c>
      <c r="K82" s="426" t="str">
        <f t="shared" si="651"/>
        <v>1613</v>
      </c>
      <c r="L82" s="327"/>
      <c r="M82" s="173">
        <f t="shared" si="469"/>
        <v>4.1669999999999998</v>
      </c>
      <c r="N82" s="21">
        <f t="shared" si="470"/>
        <v>-0.52043462847663213</v>
      </c>
      <c r="O82" s="5">
        <f t="shared" si="471"/>
        <v>-8.4031246572475808</v>
      </c>
      <c r="P82" s="10">
        <f t="shared" si="472"/>
        <v>-2.7738083658060328</v>
      </c>
      <c r="Q82" s="624">
        <f t="shared" si="528"/>
        <v>266.45600051169021</v>
      </c>
      <c r="R82" s="5">
        <f t="shared" si="83"/>
        <v>8.419225392383785</v>
      </c>
      <c r="S82" s="6">
        <f t="shared" si="84"/>
        <v>-2.7738083658060328</v>
      </c>
      <c r="T82" s="4">
        <f t="shared" si="85"/>
        <v>-8.4031246572475808</v>
      </c>
      <c r="U82" s="5">
        <f t="shared" si="86"/>
        <v>0.52043462847663335</v>
      </c>
      <c r="V82" s="8">
        <f t="shared" si="117"/>
        <v>-2.7738083658060328</v>
      </c>
      <c r="W82" s="624">
        <f t="shared" si="652"/>
        <v>176.45600051169021</v>
      </c>
      <c r="X82" s="5">
        <f t="shared" si="87"/>
        <v>8.419225392383785</v>
      </c>
      <c r="Y82" s="7">
        <f t="shared" si="650"/>
        <v>-2.7738083658060328</v>
      </c>
      <c r="Z82" s="21">
        <f t="shared" si="473"/>
        <v>-0.81100486339030819</v>
      </c>
      <c r="AA82" s="5">
        <f t="shared" si="474"/>
        <v>0.57803612456465836</v>
      </c>
      <c r="AB82" s="5">
        <f t="shared" si="475"/>
        <v>-9.0251594199429269E-2</v>
      </c>
      <c r="AC82" s="8">
        <f t="shared" si="88"/>
        <v>1</v>
      </c>
      <c r="AD82" s="9">
        <f t="shared" si="118"/>
        <v>-0.81100486339030819</v>
      </c>
      <c r="AE82" s="5">
        <f t="shared" si="89"/>
        <v>0.57803612456465836</v>
      </c>
      <c r="AF82" s="10">
        <f t="shared" si="90"/>
        <v>-9.0251594199429269E-2</v>
      </c>
      <c r="AG82" s="622">
        <f t="shared" si="91"/>
        <v>81.125780310612456</v>
      </c>
      <c r="AH82" s="623">
        <f t="shared" si="92"/>
        <v>144.1942257856158</v>
      </c>
      <c r="AI82" s="624">
        <f t="shared" si="93"/>
        <v>-84.821918719020701</v>
      </c>
      <c r="AJ82" s="625">
        <f t="shared" si="94"/>
        <v>-125.47901618226503</v>
      </c>
      <c r="AK82" s="4">
        <f t="shared" si="213"/>
        <v>0.84518523365270615</v>
      </c>
      <c r="AL82" s="5">
        <f t="shared" si="95"/>
        <v>-0.52679841548725459</v>
      </c>
      <c r="AM82" s="6">
        <f t="shared" si="96"/>
        <v>-9.0251594199429269E-2</v>
      </c>
      <c r="AN82" s="612">
        <f t="shared" si="97"/>
        <v>-80.278412911794462</v>
      </c>
      <c r="AO82" s="613">
        <f t="shared" si="466"/>
        <v>32.308212436151564</v>
      </c>
      <c r="AP82" s="624">
        <f t="shared" si="99"/>
        <v>-31.935016693955244</v>
      </c>
      <c r="AQ82" s="625">
        <f t="shared" si="476"/>
        <v>1.4726986208661887</v>
      </c>
      <c r="AS82" s="56">
        <f t="shared" si="550"/>
        <v>-183.54399948830979</v>
      </c>
      <c r="AT82" s="77">
        <f t="shared" si="477"/>
        <v>-2.0804199232946403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4.1669999999999998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-0.53376306507338744</v>
      </c>
      <c r="C83" s="771">
        <v>-8.4627094334325665</v>
      </c>
      <c r="D83" s="772">
        <v>-3.5250106314320635</v>
      </c>
      <c r="E83" s="773">
        <v>0.76998104431730519</v>
      </c>
      <c r="F83" s="771">
        <v>-0.63734388624455507</v>
      </c>
      <c r="G83" s="774">
        <v>3.0363828130194476E-2</v>
      </c>
      <c r="H83" s="773">
        <v>0.314</v>
      </c>
      <c r="I83" s="771">
        <v>0.52</v>
      </c>
      <c r="J83" s="601">
        <v>4.173</v>
      </c>
      <c r="K83" s="426" t="str">
        <f t="shared" si="651"/>
        <v>1613</v>
      </c>
      <c r="L83" s="327"/>
      <c r="M83" s="173">
        <f t="shared" si="469"/>
        <v>4.173</v>
      </c>
      <c r="N83" s="21">
        <f t="shared" si="470"/>
        <v>-0.53376306507338744</v>
      </c>
      <c r="O83" s="5">
        <f t="shared" si="471"/>
        <v>-8.4627094334325665</v>
      </c>
      <c r="P83" s="10">
        <f t="shared" si="472"/>
        <v>-3.5250106314320635</v>
      </c>
      <c r="Q83" s="624">
        <f t="shared" si="528"/>
        <v>266.39100052107506</v>
      </c>
      <c r="R83" s="5">
        <f t="shared" si="83"/>
        <v>8.4795255742491324</v>
      </c>
      <c r="S83" s="6">
        <f t="shared" si="84"/>
        <v>-3.5250106314320635</v>
      </c>
      <c r="T83" s="4">
        <f t="shared" si="85"/>
        <v>-8.4627094334325665</v>
      </c>
      <c r="U83" s="5">
        <f t="shared" si="86"/>
        <v>0.53376306507338644</v>
      </c>
      <c r="V83" s="8">
        <f t="shared" si="117"/>
        <v>-3.5250106314320635</v>
      </c>
      <c r="W83" s="624">
        <f t="shared" si="652"/>
        <v>176.39100052107506</v>
      </c>
      <c r="X83" s="5">
        <f t="shared" si="87"/>
        <v>8.4795255742491324</v>
      </c>
      <c r="Y83" s="7">
        <f t="shared" si="650"/>
        <v>-3.5250106314320635</v>
      </c>
      <c r="Z83" s="21">
        <f t="shared" si="473"/>
        <v>-0.76998104431730519</v>
      </c>
      <c r="AA83" s="5">
        <f t="shared" si="474"/>
        <v>0.63734388624455507</v>
      </c>
      <c r="AB83" s="5">
        <f t="shared" si="475"/>
        <v>-3.0363828130194476E-2</v>
      </c>
      <c r="AC83" s="8">
        <f t="shared" si="88"/>
        <v>1</v>
      </c>
      <c r="AD83" s="9">
        <f t="shared" si="118"/>
        <v>-0.76998104431730519</v>
      </c>
      <c r="AE83" s="5">
        <f t="shared" si="89"/>
        <v>0.63734388624455507</v>
      </c>
      <c r="AF83" s="10">
        <f t="shared" si="90"/>
        <v>-3.0363828130194476E-2</v>
      </c>
      <c r="AG83" s="622">
        <f t="shared" si="91"/>
        <v>87.272422589331867</v>
      </c>
      <c r="AH83" s="623">
        <f t="shared" si="92"/>
        <v>140.35218667991293</v>
      </c>
      <c r="AI83" s="624">
        <f t="shared" si="93"/>
        <v>-88.26001336145994</v>
      </c>
      <c r="AJ83" s="625">
        <f t="shared" si="94"/>
        <v>-129.61590778788937</v>
      </c>
      <c r="AK83" s="4">
        <f t="shared" si="213"/>
        <v>0.80857312281213634</v>
      </c>
      <c r="AL83" s="5">
        <f t="shared" si="95"/>
        <v>-0.58761172810548135</v>
      </c>
      <c r="AM83" s="6">
        <f t="shared" si="96"/>
        <v>-3.0363828130194476E-2</v>
      </c>
      <c r="AN83" s="612">
        <f t="shared" si="97"/>
        <v>-87.041969773516826</v>
      </c>
      <c r="AO83" s="613">
        <f t="shared" si="466"/>
        <v>36.043244988521373</v>
      </c>
      <c r="AP83" s="624">
        <f t="shared" si="99"/>
        <v>-36.006908308964434</v>
      </c>
      <c r="AQ83" s="625">
        <f t="shared" si="476"/>
        <v>1.4622304287742696</v>
      </c>
      <c r="AS83" s="56">
        <f t="shared" si="550"/>
        <v>-183.60899947892494</v>
      </c>
      <c r="AT83" s="77">
        <f t="shared" si="477"/>
        <v>-2.831376633400569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4.173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-0.54757613482376521</v>
      </c>
      <c r="C84" s="771">
        <v>-8.5230539552317328</v>
      </c>
      <c r="D84" s="772">
        <v>-4.2808129109317399</v>
      </c>
      <c r="E84" s="773">
        <v>0.7232565546288473</v>
      </c>
      <c r="F84" s="771">
        <v>-0.6905794351024277</v>
      </c>
      <c r="G84" s="774">
        <v>1.457809320388035E-7</v>
      </c>
      <c r="H84" s="773">
        <v>0.314</v>
      </c>
      <c r="I84" s="771">
        <v>0.52</v>
      </c>
      <c r="J84" s="601">
        <v>4.1790000000000003</v>
      </c>
      <c r="K84" s="426" t="str">
        <f t="shared" si="651"/>
        <v>1613</v>
      </c>
      <c r="L84" s="327"/>
      <c r="M84" s="173">
        <f t="shared" si="469"/>
        <v>4.1790000000000003</v>
      </c>
      <c r="N84" s="21">
        <f t="shared" si="470"/>
        <v>-0.54757613482376521</v>
      </c>
      <c r="O84" s="5">
        <f t="shared" si="471"/>
        <v>-8.5230539552317328</v>
      </c>
      <c r="P84" s="10">
        <f t="shared" si="472"/>
        <v>-4.2808129109317399</v>
      </c>
      <c r="Q84" s="624">
        <f t="shared" si="528"/>
        <v>266.32400053074866</v>
      </c>
      <c r="R84" s="5">
        <f t="shared" si="83"/>
        <v>8.5406257585272893</v>
      </c>
      <c r="S84" s="6">
        <f t="shared" si="84"/>
        <v>-4.2808129109317399</v>
      </c>
      <c r="T84" s="4">
        <f t="shared" si="85"/>
        <v>-8.5230539552317346</v>
      </c>
      <c r="U84" s="5">
        <f t="shared" si="86"/>
        <v>0.54757613482376477</v>
      </c>
      <c r="V84" s="8">
        <f t="shared" si="117"/>
        <v>-4.2808129109317399</v>
      </c>
      <c r="W84" s="624">
        <f t="shared" si="652"/>
        <v>176.32400053074866</v>
      </c>
      <c r="X84" s="5">
        <f t="shared" si="87"/>
        <v>8.5406257585272893</v>
      </c>
      <c r="Y84" s="7">
        <f t="shared" si="650"/>
        <v>-4.2808129109317399</v>
      </c>
      <c r="Z84" s="21">
        <f t="shared" si="473"/>
        <v>-0.7232565546288473</v>
      </c>
      <c r="AA84" s="5">
        <f t="shared" si="474"/>
        <v>0.6905794351024277</v>
      </c>
      <c r="AB84" s="5">
        <f t="shared" si="475"/>
        <v>-1.457809320388035E-7</v>
      </c>
      <c r="AC84" s="8">
        <f t="shared" si="88"/>
        <v>1</v>
      </c>
      <c r="AD84" s="9">
        <f t="shared" si="118"/>
        <v>-0.7232565546288473</v>
      </c>
      <c r="AE84" s="5">
        <f t="shared" si="89"/>
        <v>0.6905794351024277</v>
      </c>
      <c r="AF84" s="10">
        <f t="shared" si="90"/>
        <v>-1.457809320388035E-7</v>
      </c>
      <c r="AG84" s="622">
        <f t="shared" si="91"/>
        <v>89.999987904893032</v>
      </c>
      <c r="AH84" s="623">
        <f t="shared" si="92"/>
        <v>136.32400630603337</v>
      </c>
      <c r="AI84" s="624">
        <f t="shared" si="93"/>
        <v>-89.999991647367864</v>
      </c>
      <c r="AJ84" s="625">
        <f t="shared" si="94"/>
        <v>-133.67599369396601</v>
      </c>
      <c r="AK84" s="4">
        <f t="shared" si="213"/>
        <v>0.76604450791050727</v>
      </c>
      <c r="AL84" s="5">
        <f t="shared" si="95"/>
        <v>-0.64278753247097742</v>
      </c>
      <c r="AM84" s="6">
        <f t="shared" si="96"/>
        <v>-1.457809320388035E-7</v>
      </c>
      <c r="AN84" s="612">
        <f t="shared" si="97"/>
        <v>-89.999987005609611</v>
      </c>
      <c r="AO84" s="613">
        <f t="shared" si="466"/>
        <v>39.99999422471538</v>
      </c>
      <c r="AP84" s="624">
        <f t="shared" si="99"/>
        <v>-39.999994224714669</v>
      </c>
      <c r="AQ84" s="625">
        <f t="shared" si="476"/>
        <v>1.4517740315199312</v>
      </c>
      <c r="AS84" s="56">
        <f t="shared" si="550"/>
        <v>-183.67599946925134</v>
      </c>
      <c r="AT84" s="77">
        <f t="shared" si="477"/>
        <v>-3.5869258018256791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4.1790000000000003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>
        <v>-1.1128216332335292</v>
      </c>
      <c r="C85" s="771">
        <v>-5.0867121560053414</v>
      </c>
      <c r="D85" s="772">
        <v>-6.2000186992563966E-3</v>
      </c>
      <c r="E85" s="773">
        <v>-5.9670735111285603E-3</v>
      </c>
      <c r="F85" s="771">
        <v>-2.7276578189106837E-2</v>
      </c>
      <c r="G85" s="774">
        <v>0.99961011515290621</v>
      </c>
      <c r="H85" s="773">
        <v>0.25700000000000001</v>
      </c>
      <c r="I85" s="771">
        <v>0.41499999999999992</v>
      </c>
      <c r="J85" s="601">
        <v>4.2309999999999999</v>
      </c>
      <c r="K85" s="426" t="str">
        <f t="shared" si="651"/>
        <v>Knuckle</v>
      </c>
      <c r="L85" s="327"/>
      <c r="M85" s="173">
        <f t="shared" si="469"/>
        <v>4.2309999999999999</v>
      </c>
      <c r="N85" s="21">
        <f t="shared" si="470"/>
        <v>-1.1128216332335292</v>
      </c>
      <c r="O85" s="5">
        <f t="shared" si="471"/>
        <v>-5.0867121560053414</v>
      </c>
      <c r="P85" s="10">
        <f t="shared" si="472"/>
        <v>-6.2000186992563966E-3</v>
      </c>
      <c r="Q85" s="624">
        <f t="shared" si="528"/>
        <v>257.65980178170418</v>
      </c>
      <c r="R85" s="5">
        <f t="shared" si="83"/>
        <v>5.2070157043593648</v>
      </c>
      <c r="S85" s="6">
        <f t="shared" si="84"/>
        <v>-6.2000186992563966E-3</v>
      </c>
      <c r="T85" s="4">
        <f t="shared" si="85"/>
        <v>-5.0867121560053414</v>
      </c>
      <c r="U85" s="5">
        <f t="shared" si="86"/>
        <v>1.1128216332335308</v>
      </c>
      <c r="V85" s="8">
        <f t="shared" si="117"/>
        <v>-6.2000186992563966E-3</v>
      </c>
      <c r="W85" s="624">
        <f t="shared" si="652"/>
        <v>167.65980178170418</v>
      </c>
      <c r="X85" s="5">
        <f t="shared" si="87"/>
        <v>5.2070157043593648</v>
      </c>
      <c r="Y85" s="7">
        <f t="shared" si="650"/>
        <v>-6.2000186992563966E-3</v>
      </c>
      <c r="Z85" s="21">
        <f t="shared" si="473"/>
        <v>5.9670735111285603E-3</v>
      </c>
      <c r="AA85" s="5">
        <f t="shared" si="474"/>
        <v>2.7276578189106837E-2</v>
      </c>
      <c r="AB85" s="5">
        <f t="shared" si="475"/>
        <v>-0.99961011515290621</v>
      </c>
      <c r="AC85" s="8">
        <f t="shared" si="88"/>
        <v>1</v>
      </c>
      <c r="AD85" s="9">
        <f t="shared" si="118"/>
        <v>5.9670735111285603E-3</v>
      </c>
      <c r="AE85" s="5">
        <f t="shared" si="89"/>
        <v>2.7276578189106837E-2</v>
      </c>
      <c r="AF85" s="10">
        <f t="shared" si="90"/>
        <v>-0.99961011515290621</v>
      </c>
      <c r="AG85" s="622">
        <f t="shared" si="91"/>
        <v>1.5630545032128587</v>
      </c>
      <c r="AH85" s="623">
        <f t="shared" si="92"/>
        <v>89.658109842859318</v>
      </c>
      <c r="AI85" s="624">
        <f t="shared" si="93"/>
        <v>-1.5999997690412762</v>
      </c>
      <c r="AJ85" s="625">
        <f t="shared" si="94"/>
        <v>167.6602671695849</v>
      </c>
      <c r="AK85" s="4">
        <f t="shared" si="213"/>
        <v>2.2679489671342812E-7</v>
      </c>
      <c r="AL85" s="5">
        <f t="shared" si="95"/>
        <v>-2.7921634693230894E-2</v>
      </c>
      <c r="AM85" s="6">
        <f t="shared" si="96"/>
        <v>-0.99961011515290621</v>
      </c>
      <c r="AN85" s="612">
        <f t="shared" si="97"/>
        <v>-1.5999997689886165</v>
      </c>
      <c r="AO85" s="613">
        <f t="shared" si="466"/>
        <v>0</v>
      </c>
      <c r="AP85" s="624">
        <f t="shared" si="99"/>
        <v>-89.999534612119263</v>
      </c>
      <c r="AQ85" s="625">
        <f t="shared" si="476"/>
        <v>2.3803609684360589</v>
      </c>
      <c r="AS85" s="56">
        <f t="shared" si="550"/>
        <v>-192.34019821829582</v>
      </c>
      <c r="AT85" s="77">
        <f t="shared" si="477"/>
        <v>0.72041850790319462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>
        <f>IFERROR(IF($IU85="","",IF($IU85&lt;(((Settings!$C$19/2)*-1)*$IE$8),"",1)),"")</f>
        <v>1</v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4.2309999999999999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4.1310000000000002</v>
      </c>
      <c r="II85" s="800" cm="1">
        <f t="array" ref="II85">IFERROR(IF($IH85&lt;1,$IH85+LARGE((IF($M$9:$M$150="",0,$M$9:$M$150)-MOD(IF($M$9:$M$150="",0,$M$9:$M$150),1)),1),$IH85),"")</f>
        <v>4.1310000000000002</v>
      </c>
      <c r="IJ85" s="839" t="str">
        <f t="shared" si="523"/>
        <v>1613</v>
      </c>
      <c r="IK85" s="839" t="str">
        <f t="shared" si="524"/>
        <v>Knuckle</v>
      </c>
      <c r="IL85" s="791">
        <f t="shared" si="654"/>
        <v>11.761198301893046</v>
      </c>
      <c r="IM85" s="830">
        <v>7.0581006835746104E-3</v>
      </c>
      <c r="IN85" s="5">
        <f t="shared" si="655"/>
        <v>0.18</v>
      </c>
      <c r="IO85" s="852">
        <v>90</v>
      </c>
      <c r="IP85" s="9">
        <f t="shared" si="656"/>
        <v>-5.1938156645480449</v>
      </c>
      <c r="IQ85" s="5">
        <f t="shared" si="657"/>
        <v>-4.2400127878785727E-2</v>
      </c>
      <c r="IR85" s="5">
        <f t="shared" si="525"/>
        <v>0.314</v>
      </c>
      <c r="IS85" s="5">
        <f t="shared" si="658"/>
        <v>0.30256447002740966</v>
      </c>
      <c r="IT85" s="791">
        <f t="shared" si="659"/>
        <v>16.693665502845974</v>
      </c>
      <c r="IU85" s="9">
        <f t="shared" si="660"/>
        <v>-5.2070157043593648</v>
      </c>
      <c r="IV85" s="5">
        <f t="shared" si="661"/>
        <v>-6.2000186992563966E-3</v>
      </c>
      <c r="IW85" s="5">
        <f t="shared" si="526"/>
        <v>0.25700000000000001</v>
      </c>
      <c r="IX85" s="5">
        <f t="shared" si="662"/>
        <v>0.25700000000000001</v>
      </c>
      <c r="IY85" s="833">
        <f t="shared" si="663"/>
        <v>1.5999997689886165</v>
      </c>
    </row>
    <row r="86" spans="1:259" ht="15" customHeight="1" x14ac:dyDescent="0.25">
      <c r="A86" s="84">
        <f t="shared" si="527"/>
        <v>0</v>
      </c>
      <c r="B86" s="770">
        <v>-1.3040989668773197</v>
      </c>
      <c r="C86" s="771">
        <v>-5.8336303601779234</v>
      </c>
      <c r="D86" s="772">
        <v>-0.11640035106345881</v>
      </c>
      <c r="E86" s="773">
        <v>-4.0505479367291021E-2</v>
      </c>
      <c r="F86" s="771">
        <v>-0.18119433868555587</v>
      </c>
      <c r="G86" s="774">
        <v>0.98261280154979158</v>
      </c>
      <c r="H86" s="773">
        <v>0.25700000000000001</v>
      </c>
      <c r="I86" s="771">
        <v>0.41499999999999992</v>
      </c>
      <c r="J86" s="601">
        <v>4.2370000000000001</v>
      </c>
      <c r="K86" s="426" t="str">
        <f t="shared" si="651"/>
        <v>Knuckle</v>
      </c>
      <c r="L86" s="327"/>
      <c r="M86" s="173">
        <f t="shared" si="469"/>
        <v>4.2370000000000001</v>
      </c>
      <c r="N86" s="21">
        <f t="shared" si="470"/>
        <v>-1.3040989668773197</v>
      </c>
      <c r="O86" s="5">
        <f t="shared" si="471"/>
        <v>-5.8336303601779234</v>
      </c>
      <c r="P86" s="10">
        <f t="shared" si="472"/>
        <v>-0.11640035106345881</v>
      </c>
      <c r="Q86" s="624">
        <f t="shared" si="528"/>
        <v>257.39880181938793</v>
      </c>
      <c r="R86" s="5">
        <f t="shared" si="83"/>
        <v>5.9776180284959741</v>
      </c>
      <c r="S86" s="6">
        <f t="shared" si="84"/>
        <v>-0.11640035106345881</v>
      </c>
      <c r="T86" s="4">
        <f t="shared" si="85"/>
        <v>-5.8336303601779234</v>
      </c>
      <c r="U86" s="5">
        <f t="shared" si="86"/>
        <v>1.3040989668773191</v>
      </c>
      <c r="V86" s="8">
        <f t="shared" si="117"/>
        <v>-0.11640035106345881</v>
      </c>
      <c r="W86" s="624">
        <f t="shared" si="652"/>
        <v>167.39880181938793</v>
      </c>
      <c r="X86" s="5">
        <f t="shared" si="87"/>
        <v>5.9776180284959741</v>
      </c>
      <c r="Y86" s="7">
        <f t="shared" si="650"/>
        <v>-0.11640035106345881</v>
      </c>
      <c r="Z86" s="21">
        <f t="shared" si="473"/>
        <v>4.0505479367291021E-2</v>
      </c>
      <c r="AA86" s="5">
        <f t="shared" si="474"/>
        <v>0.18119433868555587</v>
      </c>
      <c r="AB86" s="5">
        <f t="shared" si="475"/>
        <v>-0.98261280154979158</v>
      </c>
      <c r="AC86" s="8">
        <f t="shared" si="88"/>
        <v>1</v>
      </c>
      <c r="AD86" s="9">
        <f t="shared" si="118"/>
        <v>4.0505479367291021E-2</v>
      </c>
      <c r="AE86" s="5">
        <f t="shared" si="89"/>
        <v>0.18119433868555587</v>
      </c>
      <c r="AF86" s="10">
        <f t="shared" si="90"/>
        <v>-0.98261280154979158</v>
      </c>
      <c r="AG86" s="622">
        <f t="shared" si="91"/>
        <v>10.448005089024143</v>
      </c>
      <c r="AH86" s="623">
        <f t="shared" si="92"/>
        <v>87.678571897620799</v>
      </c>
      <c r="AI86" s="624">
        <f t="shared" si="93"/>
        <v>-10.699998455119145</v>
      </c>
      <c r="AJ86" s="625">
        <f t="shared" si="94"/>
        <v>167.39887180715724</v>
      </c>
      <c r="AK86" s="4">
        <f t="shared" si="213"/>
        <v>2.267948966752642E-7</v>
      </c>
      <c r="AL86" s="5">
        <f t="shared" si="95"/>
        <v>-0.1856665888909971</v>
      </c>
      <c r="AM86" s="6">
        <f t="shared" si="96"/>
        <v>-0.98261280154979158</v>
      </c>
      <c r="AN86" s="612">
        <f t="shared" si="97"/>
        <v>-10.699998455111364</v>
      </c>
      <c r="AO86" s="613">
        <f t="shared" si="466"/>
        <v>0</v>
      </c>
      <c r="AP86" s="624">
        <f t="shared" si="99"/>
        <v>-89.999930012230678</v>
      </c>
      <c r="AQ86" s="625">
        <f t="shared" si="476"/>
        <v>2.0737853762528968</v>
      </c>
      <c r="AS86" s="56">
        <f t="shared" si="550"/>
        <v>-192.60119818061207</v>
      </c>
      <c r="AT86" s="77">
        <f t="shared" si="477"/>
        <v>0.6112041753966313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>
        <f>IFERROR(IF($IU86="","",IF($IU86&lt;(((Settings!$C$19/2)*-1)*$IE$8),"",1)),"")</f>
        <v>1</v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4.2370000000000001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4.1369999999999996</v>
      </c>
      <c r="II86" s="800" cm="1">
        <f t="array" ref="II86">IFERROR(IF($IH86&lt;1,$IH86+LARGE((IF($M$9:$M$150="",0,$M$9:$M$150)-MOD(IF($M$9:$M$150="",0,$M$9:$M$150),1)),1),$IH86),"")</f>
        <v>4.1369999999999996</v>
      </c>
      <c r="IJ86" s="839" t="str">
        <f t="shared" si="523"/>
        <v>1613</v>
      </c>
      <c r="IK86" s="839" t="str">
        <f t="shared" si="524"/>
        <v>Knuckle</v>
      </c>
      <c r="IL86" s="791">
        <f t="shared" si="654"/>
        <v>11.457198345785173</v>
      </c>
      <c r="IM86" s="830">
        <v>5.8347666072088699E-3</v>
      </c>
      <c r="IN86" s="5">
        <f t="shared" si="655"/>
        <v>0.18</v>
      </c>
      <c r="IO86" s="852">
        <v>90</v>
      </c>
      <c r="IP86" s="9">
        <f t="shared" si="656"/>
        <v>-5.9531179546037487</v>
      </c>
      <c r="IQ86" s="5">
        <f t="shared" si="657"/>
        <v>-0.14660044214693341</v>
      </c>
      <c r="IR86" s="5">
        <f t="shared" si="525"/>
        <v>0.314</v>
      </c>
      <c r="IS86" s="5">
        <f t="shared" si="658"/>
        <v>0.30163310776462832</v>
      </c>
      <c r="IT86" s="791">
        <f t="shared" si="659"/>
        <v>32.838533617971194</v>
      </c>
      <c r="IU86" s="9">
        <f t="shared" si="660"/>
        <v>-5.9776180284959741</v>
      </c>
      <c r="IV86" s="5">
        <f t="shared" si="661"/>
        <v>-0.11640035106345881</v>
      </c>
      <c r="IW86" s="5">
        <f t="shared" si="526"/>
        <v>0.25700000000000001</v>
      </c>
      <c r="IX86" s="5">
        <f t="shared" si="662"/>
        <v>0.25700000000000001</v>
      </c>
      <c r="IY86" s="833">
        <f t="shared" si="663"/>
        <v>10.699998455111364</v>
      </c>
    </row>
    <row r="87" spans="1:259" ht="15" customHeight="1" x14ac:dyDescent="0.25">
      <c r="A87" s="84">
        <f t="shared" si="527"/>
        <v>0.02</v>
      </c>
      <c r="B87" s="770">
        <v>-1.3385606770796958</v>
      </c>
      <c r="C87" s="771">
        <v>-6.5666817433851596</v>
      </c>
      <c r="D87" s="772">
        <v>-0.38490116086190124</v>
      </c>
      <c r="E87" s="773">
        <v>0.84027388367270595</v>
      </c>
      <c r="F87" s="771">
        <v>-0.46230365785182248</v>
      </c>
      <c r="G87" s="774">
        <v>0.28322275394892421</v>
      </c>
      <c r="H87" s="773">
        <v>0.26600000000000001</v>
      </c>
      <c r="I87" s="771">
        <v>0.52</v>
      </c>
      <c r="J87" s="601">
        <v>4.2430000000000003</v>
      </c>
      <c r="K87" s="426" t="str">
        <f t="shared" si="651"/>
        <v>1313</v>
      </c>
      <c r="L87" s="327"/>
      <c r="M87" s="173">
        <f t="shared" si="469"/>
        <v>4.2430000000000003</v>
      </c>
      <c r="N87" s="21">
        <f t="shared" si="470"/>
        <v>-1.3385606770796958</v>
      </c>
      <c r="O87" s="5">
        <f t="shared" si="471"/>
        <v>-6.5666817433851596</v>
      </c>
      <c r="P87" s="10">
        <f t="shared" si="472"/>
        <v>-0.38490116086190124</v>
      </c>
      <c r="Q87" s="624">
        <f t="shared" si="528"/>
        <v>258.47860166348414</v>
      </c>
      <c r="R87" s="5">
        <f t="shared" si="83"/>
        <v>6.7017202123881612</v>
      </c>
      <c r="S87" s="6">
        <f t="shared" si="84"/>
        <v>-0.38490116086190124</v>
      </c>
      <c r="T87" s="4">
        <f t="shared" si="85"/>
        <v>-6.5666817433851614</v>
      </c>
      <c r="U87" s="5">
        <f t="shared" si="86"/>
        <v>1.3385606770796901</v>
      </c>
      <c r="V87" s="8">
        <f t="shared" si="117"/>
        <v>-0.38490116086190124</v>
      </c>
      <c r="W87" s="624">
        <f t="shared" si="652"/>
        <v>168.47860166348414</v>
      </c>
      <c r="X87" s="5">
        <f t="shared" si="87"/>
        <v>6.7017202123881612</v>
      </c>
      <c r="Y87" s="7">
        <f t="shared" si="650"/>
        <v>-0.38490116086190124</v>
      </c>
      <c r="Z87" s="21">
        <f t="shared" si="473"/>
        <v>-0.84027388367270595</v>
      </c>
      <c r="AA87" s="5">
        <f t="shared" si="474"/>
        <v>0.46230365785182248</v>
      </c>
      <c r="AB87" s="5">
        <f t="shared" si="475"/>
        <v>-0.28322275394892421</v>
      </c>
      <c r="AC87" s="8">
        <f t="shared" si="88"/>
        <v>1</v>
      </c>
      <c r="AD87" s="9">
        <f t="shared" si="118"/>
        <v>-0.84027388367270595</v>
      </c>
      <c r="AE87" s="5">
        <f t="shared" si="89"/>
        <v>0.46230365785182248</v>
      </c>
      <c r="AF87" s="10">
        <f t="shared" si="90"/>
        <v>-0.28322275394892421</v>
      </c>
      <c r="AG87" s="622">
        <f t="shared" si="91"/>
        <v>58.506964556172804</v>
      </c>
      <c r="AH87" s="623">
        <f t="shared" si="92"/>
        <v>147.16905236900467</v>
      </c>
      <c r="AI87" s="624">
        <f t="shared" si="93"/>
        <v>-73.54735671391559</v>
      </c>
      <c r="AJ87" s="625">
        <f t="shared" si="94"/>
        <v>-118.8188039553977</v>
      </c>
      <c r="AK87" s="4">
        <f t="shared" si="213"/>
        <v>0.91568022450174269</v>
      </c>
      <c r="AL87" s="5">
        <f t="shared" si="95"/>
        <v>-0.28515714632816991</v>
      </c>
      <c r="AM87" s="6">
        <f t="shared" si="96"/>
        <v>-0.28322275394892421</v>
      </c>
      <c r="AN87" s="612">
        <f t="shared" si="97"/>
        <v>-45.194996500204937</v>
      </c>
      <c r="AO87" s="613">
        <f t="shared" si="466"/>
        <v>23.697486634540642</v>
      </c>
      <c r="AP87" s="624">
        <f t="shared" si="99"/>
        <v>-17.297405618881847</v>
      </c>
      <c r="AQ87" s="625">
        <f t="shared" si="476"/>
        <v>1.8498837480889767</v>
      </c>
      <c r="AS87" s="56">
        <f t="shared" si="550"/>
        <v>-191.52139833651586</v>
      </c>
      <c r="AT87" s="77">
        <f t="shared" si="477"/>
        <v>0.33862412174271422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4.2430000000000003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4.1429999999999998</v>
      </c>
      <c r="II87" s="800" cm="1">
        <f t="array" ref="II87">IFERROR(IF($IH87&lt;1,$IH87+LARGE((IF($M$9:$M$150="",0,$M$9:$M$150)-MOD(IF($M$9:$M$150="",0,$M$9:$M$150),1)),1),$IH87),"")</f>
        <v>4.1429999999999998</v>
      </c>
      <c r="IJ87" s="839" t="str">
        <f t="shared" si="523"/>
        <v>1613</v>
      </c>
      <c r="IK87" s="839" t="str">
        <f t="shared" si="524"/>
        <v>1313</v>
      </c>
      <c r="IL87" s="791">
        <f t="shared" si="654"/>
        <v>9.7553985914946679</v>
      </c>
      <c r="IM87" s="830">
        <v>4.4048606006522797E-3</v>
      </c>
      <c r="IN87" s="5">
        <f t="shared" si="655"/>
        <v>0.16</v>
      </c>
      <c r="IO87" s="852">
        <v>80</v>
      </c>
      <c r="IP87" s="9">
        <f t="shared" si="656"/>
        <v>-6.6635200971766126</v>
      </c>
      <c r="IQ87" s="5">
        <f t="shared" si="657"/>
        <v>-0.4162012552629854</v>
      </c>
      <c r="IR87" s="5">
        <f t="shared" si="525"/>
        <v>0.314</v>
      </c>
      <c r="IS87" s="5">
        <f t="shared" si="658"/>
        <v>0.29742844178215505</v>
      </c>
      <c r="IT87" s="791">
        <f t="shared" si="659"/>
        <v>45.195000031181692</v>
      </c>
      <c r="IU87" s="9">
        <f t="shared" si="660"/>
        <v>-6.7017202123881612</v>
      </c>
      <c r="IV87" s="5">
        <f t="shared" si="661"/>
        <v>-0.38490116086190124</v>
      </c>
      <c r="IW87" s="5">
        <f t="shared" si="526"/>
        <v>0.26600000000000001</v>
      </c>
      <c r="IX87" s="5">
        <f t="shared" si="662"/>
        <v>0.24357093971746357</v>
      </c>
      <c r="IY87" s="833">
        <f t="shared" si="663"/>
        <v>45.194996500204937</v>
      </c>
    </row>
    <row r="88" spans="1:259" ht="15" customHeight="1" x14ac:dyDescent="0.25">
      <c r="A88" s="84">
        <f t="shared" si="527"/>
        <v>0.02</v>
      </c>
      <c r="B88" s="770">
        <v>-1.5863676452806914</v>
      </c>
      <c r="C88" s="771">
        <v>-7.1662374183759434</v>
      </c>
      <c r="D88" s="772">
        <v>-0.8143024559362072</v>
      </c>
      <c r="E88" s="773">
        <v>0.78840369196039106</v>
      </c>
      <c r="F88" s="771">
        <v>-0.5574894479709801</v>
      </c>
      <c r="G88" s="774">
        <v>0.26004832993933374</v>
      </c>
      <c r="H88" s="773">
        <v>0.26600000000000001</v>
      </c>
      <c r="I88" s="771">
        <v>0.52</v>
      </c>
      <c r="J88" s="601">
        <v>4.2489999999999997</v>
      </c>
      <c r="K88" s="426" t="str">
        <f t="shared" si="651"/>
        <v>1313</v>
      </c>
      <c r="L88" s="327"/>
      <c r="M88" s="173">
        <f t="shared" si="469"/>
        <v>4.2489999999999997</v>
      </c>
      <c r="N88" s="21">
        <f t="shared" si="470"/>
        <v>-1.5863676452806914</v>
      </c>
      <c r="O88" s="5">
        <f t="shared" si="471"/>
        <v>-7.1662374183759434</v>
      </c>
      <c r="P88" s="10">
        <f t="shared" si="472"/>
        <v>-0.8143024559362072</v>
      </c>
      <c r="Q88" s="624">
        <f t="shared" si="528"/>
        <v>257.517901802192</v>
      </c>
      <c r="R88" s="5">
        <f t="shared" si="83"/>
        <v>7.3397221366019645</v>
      </c>
      <c r="S88" s="6">
        <f t="shared" si="84"/>
        <v>-0.8143024559362072</v>
      </c>
      <c r="T88" s="4">
        <f t="shared" si="85"/>
        <v>-7.1662374183759434</v>
      </c>
      <c r="U88" s="5">
        <f t="shared" si="86"/>
        <v>1.5863676452806912</v>
      </c>
      <c r="V88" s="8">
        <f t="shared" si="117"/>
        <v>-0.8143024559362072</v>
      </c>
      <c r="W88" s="624">
        <f t="shared" si="652"/>
        <v>167.517901802192</v>
      </c>
      <c r="X88" s="5">
        <f t="shared" si="87"/>
        <v>7.3397221366019645</v>
      </c>
      <c r="Y88" s="7">
        <f t="shared" si="650"/>
        <v>-0.8143024559362072</v>
      </c>
      <c r="Z88" s="21">
        <f t="shared" si="473"/>
        <v>-0.78840369196039106</v>
      </c>
      <c r="AA88" s="5">
        <f t="shared" si="474"/>
        <v>0.5574894479709801</v>
      </c>
      <c r="AB88" s="5">
        <f t="shared" si="475"/>
        <v>-0.26004832993933374</v>
      </c>
      <c r="AC88" s="8">
        <f t="shared" si="88"/>
        <v>1</v>
      </c>
      <c r="AD88" s="9">
        <f t="shared" si="118"/>
        <v>-0.78840369196039106</v>
      </c>
      <c r="AE88" s="5">
        <f t="shared" si="89"/>
        <v>0.5574894479709801</v>
      </c>
      <c r="AF88" s="10">
        <f t="shared" si="90"/>
        <v>-0.26004832993933374</v>
      </c>
      <c r="AG88" s="622">
        <f t="shared" si="91"/>
        <v>64.99267873837745</v>
      </c>
      <c r="AH88" s="623">
        <f t="shared" si="92"/>
        <v>142.03658327673725</v>
      </c>
      <c r="AI88" s="624">
        <f t="shared" si="93"/>
        <v>-74.927070109150989</v>
      </c>
      <c r="AJ88" s="625">
        <f t="shared" si="94"/>
        <v>-125.26457626207485</v>
      </c>
      <c r="AK88" s="4">
        <f t="shared" si="213"/>
        <v>0.89026139400748361</v>
      </c>
      <c r="AL88" s="5">
        <f t="shared" si="95"/>
        <v>-0.37391110766546543</v>
      </c>
      <c r="AM88" s="6">
        <f t="shared" si="96"/>
        <v>-0.26004832993933374</v>
      </c>
      <c r="AN88" s="612">
        <f t="shared" si="97"/>
        <v>-55.182093797206107</v>
      </c>
      <c r="AO88" s="613">
        <f t="shared" si="466"/>
        <v>27.093888072280979</v>
      </c>
      <c r="AP88" s="624">
        <f t="shared" si="99"/>
        <v>-22.782478064266844</v>
      </c>
      <c r="AQ88" s="625">
        <f t="shared" si="476"/>
        <v>1.6891810552654012</v>
      </c>
      <c r="AS88" s="56">
        <f t="shared" si="550"/>
        <v>-192.482098197808</v>
      </c>
      <c r="AT88" s="77">
        <f t="shared" si="477"/>
        <v>-8.7147862744488047E-2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4.2489999999999997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4.149</v>
      </c>
      <c r="II88" s="800" cm="1">
        <f t="array" ref="II88">IFERROR(IF($IH88&lt;1,$IH88+LARGE((IF($M$9:$M$150="",0,$M$9:$M$150)-MOD(IF($M$9:$M$150="",0,$M$9:$M$150),1)),1),$IH88),"")</f>
        <v>4.149</v>
      </c>
      <c r="IJ88" s="839" t="str">
        <f t="shared" si="523"/>
        <v>1613</v>
      </c>
      <c r="IK88" s="839" t="str">
        <f t="shared" si="524"/>
        <v>1313</v>
      </c>
      <c r="IL88" s="791">
        <f t="shared" si="654"/>
        <v>10.109098540426771</v>
      </c>
      <c r="IM88" s="830">
        <v>3.5468222506573098E-3</v>
      </c>
      <c r="IN88" s="5">
        <f t="shared" si="655"/>
        <v>0.16</v>
      </c>
      <c r="IO88" s="852">
        <v>80</v>
      </c>
      <c r="IP88" s="9">
        <f t="shared" si="656"/>
        <v>-7.2953220026911598</v>
      </c>
      <c r="IQ88" s="5">
        <f t="shared" si="657"/>
        <v>-0.8383025283204264</v>
      </c>
      <c r="IR88" s="5">
        <f t="shared" si="525"/>
        <v>0.314</v>
      </c>
      <c r="IS88" s="5">
        <f t="shared" si="658"/>
        <v>0.29094258868292228</v>
      </c>
      <c r="IT88" s="791">
        <f t="shared" si="659"/>
        <v>55.182097395267888</v>
      </c>
      <c r="IU88" s="9">
        <f t="shared" si="660"/>
        <v>-7.3397221366019645</v>
      </c>
      <c r="IV88" s="5">
        <f t="shared" si="661"/>
        <v>-0.8143024559362072</v>
      </c>
      <c r="IW88" s="5">
        <f t="shared" si="526"/>
        <v>0.26600000000000001</v>
      </c>
      <c r="IX88" s="5">
        <f t="shared" si="662"/>
        <v>0.23680953080599065</v>
      </c>
      <c r="IY88" s="833">
        <f t="shared" si="663"/>
        <v>55.182093797206107</v>
      </c>
    </row>
    <row r="89" spans="1:259" ht="15" customHeight="1" x14ac:dyDescent="0.25">
      <c r="A89" s="84">
        <f t="shared" si="527"/>
        <v>0.02</v>
      </c>
      <c r="B89" s="770">
        <v>-1.8376911983623661</v>
      </c>
      <c r="C89" s="771">
        <v>-7.6453649762261389</v>
      </c>
      <c r="D89" s="772">
        <v>-1.374604145806104</v>
      </c>
      <c r="E89" s="773">
        <v>0.73259623588228506</v>
      </c>
      <c r="F89" s="771">
        <v>-0.6444021514599314</v>
      </c>
      <c r="G89" s="774">
        <v>0.21919995977399043</v>
      </c>
      <c r="H89" s="773">
        <v>0.26600000000000001</v>
      </c>
      <c r="I89" s="771">
        <v>0.52</v>
      </c>
      <c r="J89" s="601">
        <v>4.2549999999999999</v>
      </c>
      <c r="K89" s="426" t="str">
        <f t="shared" si="651"/>
        <v>1313</v>
      </c>
      <c r="L89" s="327"/>
      <c r="M89" s="173">
        <f t="shared" si="469"/>
        <v>4.2549999999999999</v>
      </c>
      <c r="N89" s="21">
        <f t="shared" si="470"/>
        <v>-1.8376911983623661</v>
      </c>
      <c r="O89" s="5">
        <f t="shared" si="471"/>
        <v>-7.6453649762261389</v>
      </c>
      <c r="P89" s="10">
        <f t="shared" si="472"/>
        <v>-1.374604145806104</v>
      </c>
      <c r="Q89" s="624">
        <f t="shared" si="528"/>
        <v>256.48440195141092</v>
      </c>
      <c r="R89" s="5">
        <f t="shared" si="83"/>
        <v>7.8631237151811257</v>
      </c>
      <c r="S89" s="6">
        <f t="shared" si="84"/>
        <v>-1.374604145806104</v>
      </c>
      <c r="T89" s="4">
        <f t="shared" si="85"/>
        <v>-7.6453649762261398</v>
      </c>
      <c r="U89" s="5">
        <f t="shared" si="86"/>
        <v>1.8376911983623656</v>
      </c>
      <c r="V89" s="8">
        <f t="shared" si="117"/>
        <v>-1.374604145806104</v>
      </c>
      <c r="W89" s="624">
        <f t="shared" si="652"/>
        <v>166.48440195141092</v>
      </c>
      <c r="X89" s="5">
        <f t="shared" si="87"/>
        <v>7.8631237151811257</v>
      </c>
      <c r="Y89" s="7">
        <f t="shared" si="650"/>
        <v>-1.374604145806104</v>
      </c>
      <c r="Z89" s="21">
        <f t="shared" si="473"/>
        <v>-0.73259623588228506</v>
      </c>
      <c r="AA89" s="5">
        <f t="shared" si="474"/>
        <v>0.6444021514599314</v>
      </c>
      <c r="AB89" s="5">
        <f t="shared" si="475"/>
        <v>-0.21919995977399043</v>
      </c>
      <c r="AC89" s="8">
        <f t="shared" si="88"/>
        <v>1</v>
      </c>
      <c r="AD89" s="9">
        <f t="shared" si="118"/>
        <v>-0.73259623588228506</v>
      </c>
      <c r="AE89" s="5">
        <f t="shared" si="89"/>
        <v>0.6444021514599314</v>
      </c>
      <c r="AF89" s="10">
        <f t="shared" si="90"/>
        <v>-0.21919995977399043</v>
      </c>
      <c r="AG89" s="622">
        <f t="shared" si="91"/>
        <v>71.21373990781818</v>
      </c>
      <c r="AH89" s="623">
        <f t="shared" si="92"/>
        <v>137.10448953370118</v>
      </c>
      <c r="AI89" s="624">
        <f t="shared" si="93"/>
        <v>-77.337952860167491</v>
      </c>
      <c r="AJ89" s="625">
        <f t="shared" si="94"/>
        <v>-131.33532165391895</v>
      </c>
      <c r="AK89" s="4">
        <f t="shared" si="213"/>
        <v>0.86291123111458234</v>
      </c>
      <c r="AL89" s="5">
        <f t="shared" si="95"/>
        <v>-0.45534117412265374</v>
      </c>
      <c r="AM89" s="6">
        <f t="shared" si="96"/>
        <v>-0.21919995977399043</v>
      </c>
      <c r="AN89" s="612">
        <f t="shared" si="97"/>
        <v>-64.293967191454684</v>
      </c>
      <c r="AO89" s="613">
        <f t="shared" si="466"/>
        <v>30.354955785187716</v>
      </c>
      <c r="AP89" s="624">
        <f t="shared" si="99"/>
        <v>-27.819723605329862</v>
      </c>
      <c r="AQ89" s="625">
        <f t="shared" si="476"/>
        <v>1.5768010615798893</v>
      </c>
      <c r="AS89" s="56">
        <f t="shared" si="550"/>
        <v>-193.51559804858908</v>
      </c>
      <c r="AT89" s="77">
        <f t="shared" si="477"/>
        <v>-0.64354521984476742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4.2549999999999999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4.1550000000000002</v>
      </c>
      <c r="II89" s="800" cm="1">
        <f t="array" ref="II89">IFERROR(IF($IH89&lt;1,$IH89+LARGE((IF($M$9:$M$150="",0,$M$9:$M$150)-MOD(IF($M$9:$M$150="",0,$M$9:$M$150),1)),1),$IH89),"")</f>
        <v>4.1550000000000002</v>
      </c>
      <c r="IJ89" s="839" t="str">
        <f t="shared" si="523"/>
        <v>1613</v>
      </c>
      <c r="IK89" s="839" t="str">
        <f t="shared" si="524"/>
        <v>1313</v>
      </c>
      <c r="IL89" s="791">
        <f t="shared" si="654"/>
        <v>10.614598467441567</v>
      </c>
      <c r="IM89" s="830">
        <v>2.60382408850502E-3</v>
      </c>
      <c r="IN89" s="5">
        <f t="shared" si="655"/>
        <v>0.12</v>
      </c>
      <c r="IO89" s="852">
        <v>60</v>
      </c>
      <c r="IP89" s="9">
        <f t="shared" si="656"/>
        <v>-7.8143235679998817</v>
      </c>
      <c r="IQ89" s="5">
        <f t="shared" si="657"/>
        <v>-1.3909041949670531</v>
      </c>
      <c r="IR89" s="5">
        <f t="shared" si="525"/>
        <v>0.314</v>
      </c>
      <c r="IS89" s="5">
        <f t="shared" si="658"/>
        <v>0.28375307829330221</v>
      </c>
      <c r="IT89" s="791">
        <f t="shared" si="659"/>
        <v>64.293970741438343</v>
      </c>
      <c r="IU89" s="9">
        <f t="shared" si="660"/>
        <v>-7.8631237151811257</v>
      </c>
      <c r="IV89" s="5">
        <f t="shared" si="661"/>
        <v>-1.374604145806104</v>
      </c>
      <c r="IW89" s="5">
        <f t="shared" si="526"/>
        <v>0.26600000000000001</v>
      </c>
      <c r="IX89" s="5">
        <f t="shared" si="662"/>
        <v>0.22953438747647895</v>
      </c>
      <c r="IY89" s="833">
        <f t="shared" si="663"/>
        <v>64.293967191454684</v>
      </c>
    </row>
    <row r="90" spans="1:259" ht="15" customHeight="1" x14ac:dyDescent="0.25">
      <c r="A90" s="84">
        <f t="shared" si="527"/>
        <v>0.02</v>
      </c>
      <c r="B90" s="770">
        <v>-2.0787415469306487</v>
      </c>
      <c r="C90" s="771">
        <v>-7.9833260196586613</v>
      </c>
      <c r="D90" s="772">
        <v>-2.0378061460233363</v>
      </c>
      <c r="E90" s="773">
        <v>0.66350194172684052</v>
      </c>
      <c r="F90" s="771">
        <v>-0.72776686777126909</v>
      </c>
      <c r="G90" s="774">
        <v>0.17355275710604107</v>
      </c>
      <c r="H90" s="773">
        <v>0.26600000000000001</v>
      </c>
      <c r="I90" s="771">
        <v>0.52</v>
      </c>
      <c r="J90" s="601">
        <v>4.2610000000000001</v>
      </c>
      <c r="K90" s="426" t="str">
        <f t="shared" si="651"/>
        <v>1313</v>
      </c>
      <c r="L90" s="327"/>
      <c r="M90" s="173">
        <f t="shared" si="469"/>
        <v>4.2610000000000001</v>
      </c>
      <c r="N90" s="21">
        <f t="shared" si="470"/>
        <v>-2.0787415469306487</v>
      </c>
      <c r="O90" s="5">
        <f t="shared" si="471"/>
        <v>-7.9833260196586613</v>
      </c>
      <c r="P90" s="10">
        <f t="shared" si="472"/>
        <v>-2.0378061460233363</v>
      </c>
      <c r="Q90" s="624">
        <f t="shared" si="528"/>
        <v>255.40510210724253</v>
      </c>
      <c r="R90" s="5">
        <f t="shared" si="83"/>
        <v>8.2495248805670389</v>
      </c>
      <c r="S90" s="6">
        <f t="shared" si="84"/>
        <v>-2.0378061460233363</v>
      </c>
      <c r="T90" s="4">
        <f t="shared" si="85"/>
        <v>-7.9833260196586604</v>
      </c>
      <c r="U90" s="5">
        <f t="shared" si="86"/>
        <v>2.0787415469306478</v>
      </c>
      <c r="V90" s="8">
        <f t="shared" si="117"/>
        <v>-2.0378061460233363</v>
      </c>
      <c r="W90" s="624">
        <f t="shared" si="652"/>
        <v>165.40510210724253</v>
      </c>
      <c r="X90" s="5">
        <f t="shared" si="87"/>
        <v>8.2495248805670389</v>
      </c>
      <c r="Y90" s="7">
        <f t="shared" si="650"/>
        <v>-2.0378061460233363</v>
      </c>
      <c r="Z90" s="21">
        <f t="shared" si="473"/>
        <v>-0.66350194172684052</v>
      </c>
      <c r="AA90" s="5">
        <f t="shared" si="474"/>
        <v>0.72776686777126909</v>
      </c>
      <c r="AB90" s="5">
        <f t="shared" si="475"/>
        <v>-0.17355275710604107</v>
      </c>
      <c r="AC90" s="8">
        <f t="shared" si="88"/>
        <v>1</v>
      </c>
      <c r="AD90" s="9">
        <f t="shared" si="118"/>
        <v>-0.66350194172684052</v>
      </c>
      <c r="AE90" s="5">
        <f t="shared" si="89"/>
        <v>0.72776686777126909</v>
      </c>
      <c r="AF90" s="10">
        <f t="shared" si="90"/>
        <v>-0.17355275710604107</v>
      </c>
      <c r="AG90" s="622">
        <f t="shared" si="91"/>
        <v>76.587020336067681</v>
      </c>
      <c r="AH90" s="623">
        <f t="shared" si="92"/>
        <v>131.56750083268719</v>
      </c>
      <c r="AI90" s="624">
        <f t="shared" si="93"/>
        <v>-80.00555148830567</v>
      </c>
      <c r="AJ90" s="625">
        <f t="shared" si="94"/>
        <v>-137.64470356953834</v>
      </c>
      <c r="AK90" s="4">
        <f t="shared" si="213"/>
        <v>0.8254768169787704</v>
      </c>
      <c r="AL90" s="5">
        <f t="shared" si="95"/>
        <v>-0.5370916729306916</v>
      </c>
      <c r="AM90" s="6">
        <f t="shared" si="96"/>
        <v>-0.17355275710604107</v>
      </c>
      <c r="AN90" s="612">
        <f t="shared" si="97"/>
        <v>-72.092574315614172</v>
      </c>
      <c r="AO90" s="613">
        <f t="shared" si="466"/>
        <v>34.36313693705263</v>
      </c>
      <c r="AP90" s="624">
        <f t="shared" si="99"/>
        <v>-33.049805676780863</v>
      </c>
      <c r="AQ90" s="625">
        <f t="shared" si="476"/>
        <v>1.5029796655924725</v>
      </c>
      <c r="AS90" s="56">
        <f t="shared" si="550"/>
        <v>-194.59489789275747</v>
      </c>
      <c r="AT90" s="77">
        <f t="shared" si="477"/>
        <v>-1.3026698650951414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4.2610000000000001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4.1609999999999996</v>
      </c>
      <c r="II90" s="800" cm="1">
        <f t="array" ref="II90">IFERROR(IF($IH90&lt;1,$IH90+LARGE((IF($M$9:$M$150="",0,$M$9:$M$150)-MOD(IF($M$9:$M$150="",0,$M$9:$M$150),1)),1),$IH90),"")</f>
        <v>4.1609999999999996</v>
      </c>
      <c r="IJ90" s="839" t="str">
        <f t="shared" si="523"/>
        <v>1613</v>
      </c>
      <c r="IK90" s="839" t="str">
        <f t="shared" si="524"/>
        <v>1313</v>
      </c>
      <c r="IL90" s="791">
        <f t="shared" si="654"/>
        <v>11.288898370084752</v>
      </c>
      <c r="IM90" s="830">
        <v>1.6973630055884599E-3</v>
      </c>
      <c r="IN90" s="5">
        <f t="shared" si="655"/>
        <v>0.02</v>
      </c>
      <c r="IO90" s="852">
        <v>10</v>
      </c>
      <c r="IP90" s="9">
        <f t="shared" si="656"/>
        <v>-8.1981247255441723</v>
      </c>
      <c r="IQ90" s="5">
        <f t="shared" si="657"/>
        <v>-2.0468061731674192</v>
      </c>
      <c r="IR90" s="5">
        <f t="shared" si="525"/>
        <v>0.314</v>
      </c>
      <c r="IS90" s="5">
        <f t="shared" si="658"/>
        <v>0.27366025128496979</v>
      </c>
      <c r="IT90" s="791">
        <f t="shared" si="659"/>
        <v>72.092577604921246</v>
      </c>
      <c r="IU90" s="9">
        <f t="shared" si="660"/>
        <v>-8.2495248805670389</v>
      </c>
      <c r="IV90" s="5">
        <f t="shared" si="661"/>
        <v>-2.0378061460233363</v>
      </c>
      <c r="IW90" s="5">
        <f t="shared" si="526"/>
        <v>0.26600000000000001</v>
      </c>
      <c r="IX90" s="5">
        <f t="shared" si="662"/>
        <v>0.21957683331635294</v>
      </c>
      <c r="IY90" s="833">
        <f t="shared" si="663"/>
        <v>72.092574315614172</v>
      </c>
    </row>
    <row r="91" spans="1:259" ht="15" customHeight="1" x14ac:dyDescent="0.25">
      <c r="A91" s="84">
        <f t="shared" si="527"/>
        <v>0</v>
      </c>
      <c r="B91" s="770">
        <v>-2.3578544097709582</v>
      </c>
      <c r="C91" s="771">
        <v>-8.0916936610761123</v>
      </c>
      <c r="D91" s="772">
        <v>-2.7808083869180953</v>
      </c>
      <c r="E91" s="773">
        <v>-0.232473418410964</v>
      </c>
      <c r="F91" s="771">
        <v>-0.79780396525243313</v>
      </c>
      <c r="G91" s="774">
        <v>0.55629573318498093</v>
      </c>
      <c r="H91" s="773">
        <v>0.25700000000000001</v>
      </c>
      <c r="I91" s="771">
        <v>0.41499999999999992</v>
      </c>
      <c r="J91" s="601">
        <v>4.2670000000000003</v>
      </c>
      <c r="K91" s="426" t="str">
        <f t="shared" si="651"/>
        <v>Knuckle</v>
      </c>
      <c r="L91" s="327"/>
      <c r="M91" s="173">
        <f t="shared" si="469"/>
        <v>4.2670000000000003</v>
      </c>
      <c r="N91" s="21">
        <f t="shared" si="470"/>
        <v>-2.3578544097709582</v>
      </c>
      <c r="O91" s="5">
        <f t="shared" si="471"/>
        <v>-8.0916936610761123</v>
      </c>
      <c r="P91" s="10">
        <f t="shared" si="472"/>
        <v>-2.7808083869180953</v>
      </c>
      <c r="Q91" s="624">
        <f t="shared" si="528"/>
        <v>253.75430234558854</v>
      </c>
      <c r="R91" s="5">
        <f t="shared" si="83"/>
        <v>8.4282254195278661</v>
      </c>
      <c r="S91" s="6">
        <f t="shared" si="84"/>
        <v>-2.7808083869180953</v>
      </c>
      <c r="T91" s="4">
        <f t="shared" si="85"/>
        <v>-8.0916936610761123</v>
      </c>
      <c r="U91" s="5">
        <f t="shared" si="86"/>
        <v>2.3578544097709568</v>
      </c>
      <c r="V91" s="8">
        <f t="shared" si="117"/>
        <v>-2.7808083869180953</v>
      </c>
      <c r="W91" s="624">
        <f t="shared" si="652"/>
        <v>163.75430234558854</v>
      </c>
      <c r="X91" s="5">
        <f t="shared" si="87"/>
        <v>8.4282254195278661</v>
      </c>
      <c r="Y91" s="7">
        <f t="shared" si="650"/>
        <v>-2.7808083869180953</v>
      </c>
      <c r="Z91" s="21">
        <f t="shared" si="473"/>
        <v>0.232473418410964</v>
      </c>
      <c r="AA91" s="5">
        <f t="shared" si="474"/>
        <v>0.79780396525243313</v>
      </c>
      <c r="AB91" s="5">
        <f t="shared" si="475"/>
        <v>-0.55629573318498093</v>
      </c>
      <c r="AC91" s="8">
        <f t="shared" si="88"/>
        <v>1</v>
      </c>
      <c r="AD91" s="9">
        <f t="shared" si="118"/>
        <v>0.232473418410964</v>
      </c>
      <c r="AE91" s="5">
        <f t="shared" si="89"/>
        <v>0.79780396525243313</v>
      </c>
      <c r="AF91" s="10">
        <f t="shared" si="90"/>
        <v>-0.55629573318498093</v>
      </c>
      <c r="AG91" s="622">
        <f t="shared" si="91"/>
        <v>55.112562940543924</v>
      </c>
      <c r="AH91" s="623">
        <f t="shared" si="92"/>
        <v>76.55726390721874</v>
      </c>
      <c r="AI91" s="624">
        <f t="shared" si="93"/>
        <v>-56.199991885726114</v>
      </c>
      <c r="AJ91" s="625">
        <f t="shared" si="94"/>
        <v>163.75431798293448</v>
      </c>
      <c r="AK91" s="4">
        <f t="shared" si="213"/>
        <v>2.2679489661281416E-7</v>
      </c>
      <c r="AL91" s="5">
        <f t="shared" si="95"/>
        <v>-0.83098439049126138</v>
      </c>
      <c r="AM91" s="6">
        <f t="shared" si="96"/>
        <v>-0.55629573318498093</v>
      </c>
      <c r="AN91" s="612">
        <f t="shared" si="97"/>
        <v>-56.199991885725133</v>
      </c>
      <c r="AO91" s="613">
        <f t="shared" si="466"/>
        <v>0</v>
      </c>
      <c r="AP91" s="624">
        <f t="shared" si="99"/>
        <v>-89.999984362654061</v>
      </c>
      <c r="AQ91" s="625">
        <f t="shared" si="476"/>
        <v>1.4711267004179682</v>
      </c>
      <c r="AS91" s="56">
        <f t="shared" si="550"/>
        <v>-196.24569765441146</v>
      </c>
      <c r="AT91" s="77">
        <f t="shared" si="477"/>
        <v>-2.039435751334763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4.2670000000000003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4.1669999999999998</v>
      </c>
      <c r="II91" s="800" cm="1">
        <f t="array" ref="II91">IFERROR(IF($IH91&lt;1,$IH91+LARGE((IF($M$9:$M$150="",0,$M$9:$M$150)-MOD(IF($M$9:$M$150="",0,$M$9:$M$150),1)),1),$IH91),"")</f>
        <v>4.1669999999999998</v>
      </c>
      <c r="IJ91" s="839" t="str">
        <f t="shared" si="523"/>
        <v>1613</v>
      </c>
      <c r="IK91" s="839" t="str">
        <f t="shared" si="524"/>
        <v>Knuckle</v>
      </c>
      <c r="IL91" s="791">
        <f t="shared" si="654"/>
        <v>12.701698166101664</v>
      </c>
      <c r="IM91" s="830">
        <v>4.13239698162655E-4</v>
      </c>
      <c r="IN91" s="5">
        <f t="shared" si="655"/>
        <v>0</v>
      </c>
      <c r="IO91" s="852">
        <v>0</v>
      </c>
      <c r="IP91" s="9">
        <f t="shared" si="656"/>
        <v>-8.419225392383785</v>
      </c>
      <c r="IQ91" s="5">
        <f t="shared" si="657"/>
        <v>-2.7738083658060328</v>
      </c>
      <c r="IR91" s="5">
        <f t="shared" si="525"/>
        <v>0.314</v>
      </c>
      <c r="IS91" s="5">
        <f t="shared" si="658"/>
        <v>0.26538816336694976</v>
      </c>
      <c r="IT91" s="791">
        <f t="shared" si="659"/>
        <v>80.278412911794462</v>
      </c>
      <c r="IU91" s="9">
        <f t="shared" si="660"/>
        <v>-8.4282254195278661</v>
      </c>
      <c r="IV91" s="5">
        <f t="shared" si="661"/>
        <v>-2.7808083869180953</v>
      </c>
      <c r="IW91" s="5">
        <f t="shared" si="526"/>
        <v>0.25700000000000001</v>
      </c>
      <c r="IX91" s="5">
        <f t="shared" si="662"/>
        <v>0.25700000000000001</v>
      </c>
      <c r="IY91" s="833">
        <f t="shared" si="663"/>
        <v>56.199991885725133</v>
      </c>
    </row>
    <row r="92" spans="1:259" ht="15" customHeight="1" x14ac:dyDescent="0.25">
      <c r="A92" s="84">
        <f t="shared" si="527"/>
        <v>0</v>
      </c>
      <c r="B92" s="770">
        <v>-2.4965909913258213</v>
      </c>
      <c r="C92" s="771">
        <v>-8.1012583430677179</v>
      </c>
      <c r="D92" s="772">
        <v>-3.5343106594809495</v>
      </c>
      <c r="E92" s="773">
        <v>-0.26691254448418317</v>
      </c>
      <c r="F92" s="771">
        <v>-0.86611279459720725</v>
      </c>
      <c r="G92" s="774">
        <v>0.42261841019055829</v>
      </c>
      <c r="H92" s="773">
        <v>0.25700000000000001</v>
      </c>
      <c r="I92" s="771">
        <v>0.41499999999999992</v>
      </c>
      <c r="J92" s="601">
        <v>4.2729999999999997</v>
      </c>
      <c r="K92" s="426" t="str">
        <f t="shared" si="651"/>
        <v>Knuckle</v>
      </c>
      <c r="L92" s="327"/>
      <c r="M92" s="173">
        <f t="shared" si="469"/>
        <v>4.2729999999999997</v>
      </c>
      <c r="N92" s="21">
        <f t="shared" si="470"/>
        <v>-2.4965909913258213</v>
      </c>
      <c r="O92" s="5">
        <f t="shared" si="471"/>
        <v>-8.1012583430677179</v>
      </c>
      <c r="P92" s="10">
        <f t="shared" si="472"/>
        <v>-3.5343106594809495</v>
      </c>
      <c r="Q92" s="624">
        <f t="shared" si="528"/>
        <v>252.87210247296244</v>
      </c>
      <c r="R92" s="5">
        <f t="shared" si="83"/>
        <v>8.4772255673123134</v>
      </c>
      <c r="S92" s="6">
        <f t="shared" si="84"/>
        <v>-3.5343106594809495</v>
      </c>
      <c r="T92" s="4">
        <f t="shared" si="85"/>
        <v>-8.1012583430677196</v>
      </c>
      <c r="U92" s="5">
        <f t="shared" si="86"/>
        <v>2.4965909913258217</v>
      </c>
      <c r="V92" s="8">
        <f t="shared" si="117"/>
        <v>-3.5343106594809495</v>
      </c>
      <c r="W92" s="624">
        <f t="shared" si="652"/>
        <v>162.87210247296244</v>
      </c>
      <c r="X92" s="5">
        <f t="shared" si="87"/>
        <v>8.4772255673123134</v>
      </c>
      <c r="Y92" s="7">
        <f t="shared" si="650"/>
        <v>-3.5343106594809495</v>
      </c>
      <c r="Z92" s="21">
        <f t="shared" si="473"/>
        <v>0.26691254448418317</v>
      </c>
      <c r="AA92" s="5">
        <f t="shared" si="474"/>
        <v>0.86611279459720725</v>
      </c>
      <c r="AB92" s="5">
        <f t="shared" si="475"/>
        <v>-0.42261841019055829</v>
      </c>
      <c r="AC92" s="8">
        <f t="shared" si="88"/>
        <v>1</v>
      </c>
      <c r="AD92" s="9">
        <f t="shared" si="118"/>
        <v>0.26691254448418317</v>
      </c>
      <c r="AE92" s="5">
        <f t="shared" si="89"/>
        <v>0.86611279459720725</v>
      </c>
      <c r="AF92" s="10">
        <f t="shared" si="90"/>
        <v>-0.42261841019055829</v>
      </c>
      <c r="AG92" s="622">
        <f t="shared" si="91"/>
        <v>63.990008863334182</v>
      </c>
      <c r="AH92" s="623">
        <f t="shared" si="92"/>
        <v>74.519372468199023</v>
      </c>
      <c r="AI92" s="624">
        <f t="shared" si="93"/>
        <v>-64.999990615163156</v>
      </c>
      <c r="AJ92" s="625">
        <f t="shared" si="94"/>
        <v>162.87211681068698</v>
      </c>
      <c r="AK92" s="4">
        <f t="shared" si="213"/>
        <v>2.2679489669608088E-7</v>
      </c>
      <c r="AL92" s="5">
        <f t="shared" si="95"/>
        <v>-0.90630771781330088</v>
      </c>
      <c r="AM92" s="6">
        <f t="shared" si="96"/>
        <v>-0.42261841019055829</v>
      </c>
      <c r="AN92" s="612">
        <f t="shared" si="97"/>
        <v>-64.999990615162474</v>
      </c>
      <c r="AO92" s="613">
        <f t="shared" si="466"/>
        <v>0</v>
      </c>
      <c r="AP92" s="624">
        <f t="shared" si="99"/>
        <v>-89.999985662275478</v>
      </c>
      <c r="AQ92" s="625">
        <f t="shared" si="476"/>
        <v>1.4626269829777314</v>
      </c>
      <c r="AS92" s="56">
        <f t="shared" si="550"/>
        <v>-197.12789752703756</v>
      </c>
      <c r="AT92" s="78">
        <f t="shared" si="477"/>
        <v>-2.789605268823252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>
        <f>IFERROR(IF((((($IW92*COS(RADIANS(180-$IY92)))*COS(RADIANS($IY92)))-(($IX92*SIN(RADIANS(180-$IY92)))*SIN(RADIANS($IY92))))+$IU92)&lt;(((Settings!$C$19/2)*-1)+$IF$8),1,""),"")</f>
        <v>1</v>
      </c>
      <c r="IG92" s="836">
        <f t="shared" si="522"/>
        <v>4.2729999999999997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4.173</v>
      </c>
      <c r="II92" s="800" cm="1">
        <f t="array" ref="II92">IFERROR(IF($IH92&lt;1,$IH92+LARGE((IF($M$9:$M$150="",0,$M$9:$M$150)-MOD(IF($M$9:$M$150="",0,$M$9:$M$150),1)),1),$IH92),"")</f>
        <v>4.173</v>
      </c>
      <c r="IJ92" s="839" t="str">
        <f t="shared" si="523"/>
        <v>1613</v>
      </c>
      <c r="IK92" s="839" t="str">
        <f t="shared" si="524"/>
        <v>Knuckle</v>
      </c>
      <c r="IL92" s="791">
        <f t="shared" si="654"/>
        <v>13.518898048112618</v>
      </c>
      <c r="IM92" s="830">
        <v>1.68376179247826E-4</v>
      </c>
      <c r="IN92" s="5">
        <f t="shared" si="655"/>
        <v>0</v>
      </c>
      <c r="IO92" s="852">
        <v>0</v>
      </c>
      <c r="IP92" s="9">
        <f t="shared" si="656"/>
        <v>-8.4795255742491324</v>
      </c>
      <c r="IQ92" s="5">
        <f t="shared" si="657"/>
        <v>-3.5250106314320635</v>
      </c>
      <c r="IR92" s="5">
        <f t="shared" si="525"/>
        <v>0.314</v>
      </c>
      <c r="IS92" s="5">
        <f t="shared" si="658"/>
        <v>0.25389196056301083</v>
      </c>
      <c r="IT92" s="791">
        <f t="shared" si="659"/>
        <v>87.041969773516826</v>
      </c>
      <c r="IU92" s="9">
        <f t="shared" si="660"/>
        <v>-8.4772255673123134</v>
      </c>
      <c r="IV92" s="5">
        <f t="shared" si="661"/>
        <v>-3.5343106594809495</v>
      </c>
      <c r="IW92" s="5">
        <f t="shared" si="526"/>
        <v>0.25700000000000001</v>
      </c>
      <c r="IX92" s="5">
        <f t="shared" si="662"/>
        <v>0.25700000000000001</v>
      </c>
      <c r="IY92" s="833">
        <f t="shared" si="663"/>
        <v>64.999990615162474</v>
      </c>
    </row>
    <row r="93" spans="1:259" ht="15" customHeight="1" x14ac:dyDescent="0.25">
      <c r="A93" s="84">
        <f t="shared" si="527"/>
        <v>0.02</v>
      </c>
      <c r="B93" s="770">
        <v>-0.48346499466978687</v>
      </c>
      <c r="C93" s="771">
        <v>-0.33852583372830186</v>
      </c>
      <c r="D93" s="772">
        <v>-1.1396034370439658</v>
      </c>
      <c r="E93" s="773">
        <v>0.61149796036098536</v>
      </c>
      <c r="F93" s="771">
        <v>-0.71897739125746807</v>
      </c>
      <c r="G93" s="774">
        <v>0.33036609289538266</v>
      </c>
      <c r="H93" s="773">
        <v>0.314</v>
      </c>
      <c r="I93" s="771">
        <v>0.52</v>
      </c>
      <c r="J93" s="601">
        <v>5.1020000000000003</v>
      </c>
      <c r="K93" s="426" t="str">
        <f t="shared" si="651"/>
        <v>1613</v>
      </c>
      <c r="L93" s="327"/>
      <c r="M93" s="173">
        <f t="shared" si="469"/>
        <v>5.1020000000000003</v>
      </c>
      <c r="N93" s="21">
        <f t="shared" si="470"/>
        <v>-0.48346499466978687</v>
      </c>
      <c r="O93" s="5">
        <f t="shared" si="471"/>
        <v>-0.33852583372830186</v>
      </c>
      <c r="P93" s="10">
        <f t="shared" si="472"/>
        <v>-1.1396034370439658</v>
      </c>
      <c r="Q93" s="624">
        <f t="shared" si="528"/>
        <v>215</v>
      </c>
      <c r="R93" s="5">
        <f t="shared" si="83"/>
        <v>0.5902017800485686</v>
      </c>
      <c r="S93" s="6">
        <f t="shared" si="84"/>
        <v>-1.1396034370439658</v>
      </c>
      <c r="T93" s="4">
        <f t="shared" si="85"/>
        <v>-0.33852583372830197</v>
      </c>
      <c r="U93" s="5">
        <f t="shared" si="86"/>
        <v>0.48346499466978682</v>
      </c>
      <c r="V93" s="8">
        <f t="shared" si="117"/>
        <v>-1.1396034370439658</v>
      </c>
      <c r="W93" s="624">
        <f t="shared" si="652"/>
        <v>125</v>
      </c>
      <c r="X93" s="5">
        <f t="shared" si="87"/>
        <v>0.5902017800485686</v>
      </c>
      <c r="Y93" s="7">
        <f t="shared" si="650"/>
        <v>-1.1396034370439658</v>
      </c>
      <c r="Z93" s="21">
        <f t="shared" si="473"/>
        <v>-0.61149796036098536</v>
      </c>
      <c r="AA93" s="5">
        <f t="shared" si="474"/>
        <v>0.71897739125746807</v>
      </c>
      <c r="AB93" s="5">
        <f t="shared" si="475"/>
        <v>-0.33036609289538266</v>
      </c>
      <c r="AC93" s="8">
        <f t="shared" si="88"/>
        <v>1</v>
      </c>
      <c r="AD93" s="9">
        <f t="shared" si="118"/>
        <v>-0.61149796036098536</v>
      </c>
      <c r="AE93" s="5">
        <f t="shared" si="89"/>
        <v>0.71897739125746807</v>
      </c>
      <c r="AF93" s="10">
        <f t="shared" si="90"/>
        <v>-0.33036609289538266</v>
      </c>
      <c r="AG93" s="622">
        <f t="shared" si="91"/>
        <v>65.321483339084864</v>
      </c>
      <c r="AH93" s="623">
        <f t="shared" si="92"/>
        <v>127.69789423911197</v>
      </c>
      <c r="AI93" s="624">
        <f t="shared" si="93"/>
        <v>-70.709002660911167</v>
      </c>
      <c r="AJ93" s="625">
        <f t="shared" si="94"/>
        <v>-139.6184803988204</v>
      </c>
      <c r="AK93" s="4">
        <f t="shared" si="213"/>
        <v>0.93969262078590843</v>
      </c>
      <c r="AL93" s="5">
        <f t="shared" si="95"/>
        <v>8.8521314413819607E-2</v>
      </c>
      <c r="AM93" s="6">
        <f t="shared" si="96"/>
        <v>-0.33036609289538266</v>
      </c>
      <c r="AN93" s="612">
        <f t="shared" si="97"/>
        <v>14.999997834268271</v>
      </c>
      <c r="AO93" s="613">
        <f t="shared" si="466"/>
        <v>19.999999999999989</v>
      </c>
      <c r="AP93" s="624">
        <f t="shared" si="99"/>
        <v>5.3815196011795807</v>
      </c>
      <c r="AQ93" s="625">
        <f t="shared" si="476"/>
        <v>20.140017504795068</v>
      </c>
      <c r="AS93" s="56">
        <f t="shared" si="550"/>
        <v>-235</v>
      </c>
      <c r="AT93" s="78">
        <f t="shared" si="477"/>
        <v>-0.25182565926618805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5.1020000000000003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-1.0911138137921994</v>
      </c>
      <c r="C94" s="771">
        <v>-0.76400611746204394</v>
      </c>
      <c r="D94" s="772">
        <v>-0.94080283746135751</v>
      </c>
      <c r="E94" s="773">
        <v>0.6089050655384618</v>
      </c>
      <c r="F94" s="771">
        <v>-0.75281779836100626</v>
      </c>
      <c r="G94" s="774">
        <v>0.24999996726497573</v>
      </c>
      <c r="H94" s="773">
        <v>0.314</v>
      </c>
      <c r="I94" s="771">
        <v>0.52</v>
      </c>
      <c r="J94" s="601">
        <v>5.1050000000000004</v>
      </c>
      <c r="K94" s="426" t="str">
        <f t="shared" si="651"/>
        <v>1613</v>
      </c>
      <c r="L94" s="327"/>
      <c r="M94" s="173">
        <f t="shared" si="469"/>
        <v>5.1050000000000004</v>
      </c>
      <c r="N94" s="21">
        <f t="shared" si="470"/>
        <v>-1.0911138137921994</v>
      </c>
      <c r="O94" s="5">
        <f t="shared" si="471"/>
        <v>-0.76400611746204394</v>
      </c>
      <c r="P94" s="10">
        <f t="shared" si="472"/>
        <v>-0.94080283746135751</v>
      </c>
      <c r="Q94" s="624">
        <f t="shared" si="528"/>
        <v>215</v>
      </c>
      <c r="R94" s="5">
        <f t="shared" si="83"/>
        <v>1.3320040173241163</v>
      </c>
      <c r="S94" s="6">
        <f t="shared" si="84"/>
        <v>-0.94080283746135751</v>
      </c>
      <c r="T94" s="4">
        <f t="shared" si="85"/>
        <v>-0.76400611746204383</v>
      </c>
      <c r="U94" s="5">
        <f t="shared" si="86"/>
        <v>1.0911138137921994</v>
      </c>
      <c r="V94" s="8">
        <f t="shared" si="117"/>
        <v>-0.94080283746135751</v>
      </c>
      <c r="W94" s="624">
        <f t="shared" si="652"/>
        <v>125</v>
      </c>
      <c r="X94" s="5">
        <f t="shared" si="87"/>
        <v>1.3320040173241163</v>
      </c>
      <c r="Y94" s="7">
        <f t="shared" si="650"/>
        <v>-0.94080283746135751</v>
      </c>
      <c r="Z94" s="21">
        <f t="shared" si="473"/>
        <v>-0.6089050655384618</v>
      </c>
      <c r="AA94" s="5">
        <f t="shared" si="474"/>
        <v>0.75281779836100626</v>
      </c>
      <c r="AB94" s="5">
        <f t="shared" si="475"/>
        <v>-0.24999996726497573</v>
      </c>
      <c r="AC94" s="8">
        <f t="shared" si="88"/>
        <v>1</v>
      </c>
      <c r="AD94" s="9">
        <f t="shared" si="118"/>
        <v>-0.6089050655384618</v>
      </c>
      <c r="AE94" s="5">
        <f t="shared" si="89"/>
        <v>0.75281779836100626</v>
      </c>
      <c r="AF94" s="10">
        <f t="shared" si="90"/>
        <v>-0.24999996726497573</v>
      </c>
      <c r="AG94" s="622">
        <f t="shared" si="91"/>
        <v>71.629414945944262</v>
      </c>
      <c r="AH94" s="623">
        <f t="shared" si="92"/>
        <v>127.51037411491508</v>
      </c>
      <c r="AI94" s="624">
        <f t="shared" si="93"/>
        <v>-75.522489751159455</v>
      </c>
      <c r="AJ94" s="625">
        <f t="shared" si="94"/>
        <v>-141.03287035491343</v>
      </c>
      <c r="AK94" s="4">
        <f t="shared" si="213"/>
        <v>0.96592583607220739</v>
      </c>
      <c r="AL94" s="5">
        <f t="shared" si="95"/>
        <v>6.6987279208207018E-2</v>
      </c>
      <c r="AM94" s="6">
        <f t="shared" si="96"/>
        <v>-0.24999996726497573</v>
      </c>
      <c r="AN94" s="612">
        <f t="shared" si="97"/>
        <v>14.999997834268223</v>
      </c>
      <c r="AO94" s="613">
        <f t="shared" si="466"/>
        <v>14.999997834268255</v>
      </c>
      <c r="AP94" s="624">
        <f t="shared" si="99"/>
        <v>3.967129645086561</v>
      </c>
      <c r="AQ94" s="625">
        <f t="shared" si="476"/>
        <v>9.22988916848489</v>
      </c>
      <c r="AS94" s="56">
        <f t="shared" si="550"/>
        <v>-235</v>
      </c>
      <c r="AT94" s="78">
        <f t="shared" si="477"/>
        <v>-5.3025059683579734E-2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5.1050000000000004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-1.6988445483660977</v>
      </c>
      <c r="C95" s="771">
        <v>-1.189543759012412</v>
      </c>
      <c r="D95" s="772">
        <v>-0.74200223787874942</v>
      </c>
      <c r="E95" s="773">
        <v>0.6089050655384618</v>
      </c>
      <c r="F95" s="771">
        <v>-0.75281779836100626</v>
      </c>
      <c r="G95" s="774">
        <v>0.24999996726497573</v>
      </c>
      <c r="H95" s="773">
        <v>0.314</v>
      </c>
      <c r="I95" s="771">
        <v>0.52</v>
      </c>
      <c r="J95" s="601">
        <v>5.1079999999999997</v>
      </c>
      <c r="K95" s="426" t="str">
        <f t="shared" si="651"/>
        <v>1613</v>
      </c>
      <c r="L95" s="327"/>
      <c r="M95" s="173">
        <f t="shared" si="469"/>
        <v>5.1079999999999997</v>
      </c>
      <c r="N95" s="21">
        <f t="shared" si="470"/>
        <v>-1.6988445483660977</v>
      </c>
      <c r="O95" s="5">
        <f t="shared" si="471"/>
        <v>-1.189543759012412</v>
      </c>
      <c r="P95" s="10">
        <f t="shared" si="472"/>
        <v>-0.74200223787874942</v>
      </c>
      <c r="Q95" s="624">
        <f t="shared" si="528"/>
        <v>215</v>
      </c>
      <c r="R95" s="5">
        <f t="shared" si="83"/>
        <v>2.0739062549012646</v>
      </c>
      <c r="S95" s="6">
        <f t="shared" si="84"/>
        <v>-0.74200223787874942</v>
      </c>
      <c r="T95" s="4">
        <f t="shared" si="85"/>
        <v>-1.1895437590124116</v>
      </c>
      <c r="U95" s="5">
        <f t="shared" si="86"/>
        <v>1.6988445483660977</v>
      </c>
      <c r="V95" s="8">
        <f t="shared" si="117"/>
        <v>-0.74200223787874942</v>
      </c>
      <c r="W95" s="624">
        <f t="shared" si="652"/>
        <v>125</v>
      </c>
      <c r="X95" s="5">
        <f t="shared" si="87"/>
        <v>2.0739062549012646</v>
      </c>
      <c r="Y95" s="7">
        <f t="shared" si="650"/>
        <v>-0.74200223787874942</v>
      </c>
      <c r="Z95" s="21">
        <f t="shared" si="473"/>
        <v>-0.6089050655384618</v>
      </c>
      <c r="AA95" s="5">
        <f t="shared" si="474"/>
        <v>0.75281779836100626</v>
      </c>
      <c r="AB95" s="5">
        <f t="shared" si="475"/>
        <v>-0.24999996726497573</v>
      </c>
      <c r="AC95" s="8">
        <f t="shared" si="88"/>
        <v>1</v>
      </c>
      <c r="AD95" s="9">
        <f t="shared" si="118"/>
        <v>-0.6089050655384618</v>
      </c>
      <c r="AE95" s="5">
        <f t="shared" si="89"/>
        <v>0.75281779836100626</v>
      </c>
      <c r="AF95" s="10">
        <f t="shared" si="90"/>
        <v>-0.24999996726497573</v>
      </c>
      <c r="AG95" s="622">
        <f t="shared" si="91"/>
        <v>71.629414945944262</v>
      </c>
      <c r="AH95" s="623">
        <f t="shared" si="92"/>
        <v>127.51037411491508</v>
      </c>
      <c r="AI95" s="624">
        <f t="shared" si="93"/>
        <v>-75.522489751159455</v>
      </c>
      <c r="AJ95" s="625">
        <f t="shared" si="94"/>
        <v>-141.03287035491343</v>
      </c>
      <c r="AK95" s="4">
        <f t="shared" si="213"/>
        <v>0.96592583607220739</v>
      </c>
      <c r="AL95" s="5">
        <f t="shared" si="95"/>
        <v>6.6987279208207018E-2</v>
      </c>
      <c r="AM95" s="6">
        <f t="shared" si="96"/>
        <v>-0.24999996726497573</v>
      </c>
      <c r="AN95" s="612">
        <f t="shared" si="97"/>
        <v>14.999997834268223</v>
      </c>
      <c r="AO95" s="613">
        <f t="shared" si="466"/>
        <v>14.999997834268255</v>
      </c>
      <c r="AP95" s="624">
        <f t="shared" si="99"/>
        <v>3.967129645086561</v>
      </c>
      <c r="AQ95" s="625">
        <f t="shared" si="476"/>
        <v>5.9583093759405621</v>
      </c>
      <c r="AS95" s="56">
        <f t="shared" si="550"/>
        <v>-235</v>
      </c>
      <c r="AT95" s="78">
        <f t="shared" si="477"/>
        <v>0.14577553989902836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5.1079999999999997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-2.30649336748851</v>
      </c>
      <c r="C96" s="771">
        <v>-1.6150240427461533</v>
      </c>
      <c r="D96" s="772">
        <v>-0.54330163859774216</v>
      </c>
      <c r="E96" s="773">
        <v>0.60890506553846202</v>
      </c>
      <c r="F96" s="771">
        <v>-0.75281779836100604</v>
      </c>
      <c r="G96" s="774">
        <v>0.24999996726497561</v>
      </c>
      <c r="H96" s="773">
        <v>0.314</v>
      </c>
      <c r="I96" s="771">
        <v>0.52</v>
      </c>
      <c r="J96" s="601">
        <v>5.1120000000000001</v>
      </c>
      <c r="K96" s="426" t="str">
        <f t="shared" si="651"/>
        <v>1613</v>
      </c>
      <c r="L96" s="327"/>
      <c r="M96" s="173">
        <f t="shared" si="469"/>
        <v>5.1120000000000001</v>
      </c>
      <c r="N96" s="21">
        <f t="shared" si="470"/>
        <v>-2.30649336748851</v>
      </c>
      <c r="O96" s="5">
        <f t="shared" si="471"/>
        <v>-1.6150240427461533</v>
      </c>
      <c r="P96" s="10">
        <f t="shared" si="472"/>
        <v>-0.54330163859774216</v>
      </c>
      <c r="Q96" s="624">
        <f t="shared" si="528"/>
        <v>215</v>
      </c>
      <c r="R96" s="5">
        <f t="shared" si="83"/>
        <v>2.8157084921768121</v>
      </c>
      <c r="S96" s="6">
        <f t="shared" si="84"/>
        <v>-0.54330163859774216</v>
      </c>
      <c r="T96" s="4">
        <f t="shared" si="85"/>
        <v>-1.6150240427461533</v>
      </c>
      <c r="U96" s="5">
        <f t="shared" si="86"/>
        <v>2.30649336748851</v>
      </c>
      <c r="V96" s="8">
        <f t="shared" si="117"/>
        <v>-0.54330163859774216</v>
      </c>
      <c r="W96" s="624">
        <f t="shared" si="652"/>
        <v>125</v>
      </c>
      <c r="X96" s="5">
        <f t="shared" si="87"/>
        <v>2.8157084921768121</v>
      </c>
      <c r="Y96" s="7">
        <f t="shared" si="650"/>
        <v>-0.54330163859774216</v>
      </c>
      <c r="Z96" s="21">
        <f t="shared" si="473"/>
        <v>-0.60890506553846202</v>
      </c>
      <c r="AA96" s="5">
        <f t="shared" si="474"/>
        <v>0.75281779836100604</v>
      </c>
      <c r="AB96" s="5">
        <f t="shared" si="475"/>
        <v>-0.24999996726497561</v>
      </c>
      <c r="AC96" s="8">
        <f t="shared" si="88"/>
        <v>1</v>
      </c>
      <c r="AD96" s="9">
        <f t="shared" si="118"/>
        <v>-0.60890506553846202</v>
      </c>
      <c r="AE96" s="5">
        <f t="shared" si="89"/>
        <v>0.75281779836100604</v>
      </c>
      <c r="AF96" s="10">
        <f t="shared" si="90"/>
        <v>-0.24999996726497561</v>
      </c>
      <c r="AG96" s="622">
        <f t="shared" si="91"/>
        <v>71.629414945944262</v>
      </c>
      <c r="AH96" s="623">
        <f t="shared" si="92"/>
        <v>127.51037411491511</v>
      </c>
      <c r="AI96" s="624">
        <f t="shared" si="93"/>
        <v>-75.522489751159469</v>
      </c>
      <c r="AJ96" s="625">
        <f t="shared" si="94"/>
        <v>-141.0328703549134</v>
      </c>
      <c r="AK96" s="4">
        <f t="shared" si="213"/>
        <v>0.96592583607220717</v>
      </c>
      <c r="AL96" s="5">
        <f t="shared" si="95"/>
        <v>6.6987279208207351E-2</v>
      </c>
      <c r="AM96" s="6">
        <f t="shared" si="96"/>
        <v>-0.24999996726497561</v>
      </c>
      <c r="AN96" s="612">
        <f t="shared" si="97"/>
        <v>14.999997834268303</v>
      </c>
      <c r="AO96" s="613">
        <f t="shared" si="466"/>
        <v>14.999997834268306</v>
      </c>
      <c r="AP96" s="624">
        <f t="shared" si="99"/>
        <v>3.9671296450865814</v>
      </c>
      <c r="AQ96" s="625">
        <f t="shared" si="476"/>
        <v>4.395828015863807</v>
      </c>
      <c r="AS96" s="56">
        <f t="shared" si="550"/>
        <v>-235</v>
      </c>
      <c r="AT96" s="78">
        <f t="shared" si="477"/>
        <v>0.34447613918003561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5.1120000000000001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-2.9141421866109232</v>
      </c>
      <c r="C97" s="771">
        <v>-2.0405043264798954</v>
      </c>
      <c r="D97" s="772">
        <v>-0.34450103901513368</v>
      </c>
      <c r="E97" s="773">
        <v>0.60890506553846202</v>
      </c>
      <c r="F97" s="771">
        <v>-0.75281779836100604</v>
      </c>
      <c r="G97" s="774">
        <v>0.24999996726497561</v>
      </c>
      <c r="H97" s="773">
        <v>0.314</v>
      </c>
      <c r="I97" s="771">
        <v>0.52</v>
      </c>
      <c r="J97" s="601">
        <v>5.1180000000000003</v>
      </c>
      <c r="K97" s="426" t="str">
        <f t="shared" si="651"/>
        <v>1613</v>
      </c>
      <c r="L97" s="327"/>
      <c r="M97" s="173">
        <f t="shared" si="469"/>
        <v>5.1180000000000003</v>
      </c>
      <c r="N97" s="21">
        <f t="shared" si="470"/>
        <v>-2.9141421866109232</v>
      </c>
      <c r="O97" s="5">
        <f t="shared" si="471"/>
        <v>-2.0405043264798954</v>
      </c>
      <c r="P97" s="10">
        <f t="shared" si="472"/>
        <v>-0.34450103901513368</v>
      </c>
      <c r="Q97" s="624">
        <f t="shared" si="528"/>
        <v>215</v>
      </c>
      <c r="R97" s="5">
        <f t="shared" si="83"/>
        <v>3.55751072945236</v>
      </c>
      <c r="S97" s="6">
        <f t="shared" si="84"/>
        <v>-0.34450103901513368</v>
      </c>
      <c r="T97" s="4">
        <f t="shared" si="85"/>
        <v>-2.0405043264798954</v>
      </c>
      <c r="U97" s="5">
        <f t="shared" si="86"/>
        <v>2.9141421866109227</v>
      </c>
      <c r="V97" s="8">
        <f t="shared" si="117"/>
        <v>-0.34450103901513368</v>
      </c>
      <c r="W97" s="624">
        <f t="shared" si="652"/>
        <v>125</v>
      </c>
      <c r="X97" s="5">
        <f t="shared" si="87"/>
        <v>3.55751072945236</v>
      </c>
      <c r="Y97" s="7">
        <f t="shared" si="650"/>
        <v>-0.34450103901513368</v>
      </c>
      <c r="Z97" s="21">
        <f t="shared" si="473"/>
        <v>-0.60890506553846202</v>
      </c>
      <c r="AA97" s="5">
        <f t="shared" si="474"/>
        <v>0.75281779836100604</v>
      </c>
      <c r="AB97" s="5">
        <f t="shared" si="475"/>
        <v>-0.24999996726497561</v>
      </c>
      <c r="AC97" s="8">
        <f t="shared" si="88"/>
        <v>1</v>
      </c>
      <c r="AD97" s="9">
        <f t="shared" si="118"/>
        <v>-0.60890506553846202</v>
      </c>
      <c r="AE97" s="5">
        <f t="shared" si="89"/>
        <v>0.75281779836100604</v>
      </c>
      <c r="AF97" s="10">
        <f t="shared" si="90"/>
        <v>-0.24999996726497561</v>
      </c>
      <c r="AG97" s="622">
        <f t="shared" si="91"/>
        <v>71.629414945944262</v>
      </c>
      <c r="AH97" s="623">
        <f t="shared" si="92"/>
        <v>127.51037411491511</v>
      </c>
      <c r="AI97" s="624">
        <f t="shared" si="93"/>
        <v>-75.522489751159469</v>
      </c>
      <c r="AJ97" s="625">
        <f t="shared" si="94"/>
        <v>-141.0328703549134</v>
      </c>
      <c r="AK97" s="4">
        <f t="shared" si="213"/>
        <v>0.96592583607220717</v>
      </c>
      <c r="AL97" s="5">
        <f t="shared" si="95"/>
        <v>6.6987279208207351E-2</v>
      </c>
      <c r="AM97" s="6">
        <f t="shared" si="96"/>
        <v>-0.24999996726497561</v>
      </c>
      <c r="AN97" s="612">
        <f t="shared" si="97"/>
        <v>14.999997834268303</v>
      </c>
      <c r="AO97" s="613">
        <f t="shared" si="466"/>
        <v>14.999997834268306</v>
      </c>
      <c r="AP97" s="624">
        <f t="shared" si="99"/>
        <v>3.9671296450865814</v>
      </c>
      <c r="AQ97" s="625">
        <f t="shared" si="476"/>
        <v>3.4817726177045141</v>
      </c>
      <c r="AS97" s="56">
        <f t="shared" si="550"/>
        <v>-235</v>
      </c>
      <c r="AT97" s="78">
        <f t="shared" si="477"/>
        <v>0.54327673876264404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5.1180000000000003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0.02</v>
      </c>
      <c r="B98" s="770">
        <v>-3.5226920756996805</v>
      </c>
      <c r="C98" s="771">
        <v>-2.4666155461965267</v>
      </c>
      <c r="D98" s="772">
        <v>-0.14800044636934623</v>
      </c>
      <c r="E98" s="773">
        <v>0.59084781185157942</v>
      </c>
      <c r="F98" s="771">
        <v>-0.76546162351192648</v>
      </c>
      <c r="G98" s="774">
        <v>0.2548869674202402</v>
      </c>
      <c r="H98" s="773">
        <v>0.314</v>
      </c>
      <c r="I98" s="771">
        <v>0.52</v>
      </c>
      <c r="J98" s="601">
        <v>5.1239999999999997</v>
      </c>
      <c r="K98" s="426" t="str">
        <f t="shared" si="651"/>
        <v>1613</v>
      </c>
      <c r="L98" s="327"/>
      <c r="M98" s="173">
        <f t="shared" si="469"/>
        <v>5.1239999999999997</v>
      </c>
      <c r="N98" s="21">
        <f t="shared" si="470"/>
        <v>-3.5226920756996805</v>
      </c>
      <c r="O98" s="5">
        <f t="shared" si="471"/>
        <v>-2.4666155461965267</v>
      </c>
      <c r="P98" s="10">
        <f t="shared" si="472"/>
        <v>-0.14800044636934623</v>
      </c>
      <c r="Q98" s="624">
        <f t="shared" si="528"/>
        <v>215</v>
      </c>
      <c r="R98" s="5">
        <f t="shared" si="83"/>
        <v>4.3004129700455183</v>
      </c>
      <c r="S98" s="6">
        <f t="shared" si="84"/>
        <v>-0.14800044636934623</v>
      </c>
      <c r="T98" s="4">
        <f t="shared" si="85"/>
        <v>-2.4666155461965267</v>
      </c>
      <c r="U98" s="5">
        <f t="shared" si="86"/>
        <v>3.5226920756996805</v>
      </c>
      <c r="V98" s="8">
        <f t="shared" si="117"/>
        <v>-0.14800044636934623</v>
      </c>
      <c r="W98" s="624">
        <f t="shared" si="652"/>
        <v>125</v>
      </c>
      <c r="X98" s="5">
        <f t="shared" si="87"/>
        <v>4.3004129700455183</v>
      </c>
      <c r="Y98" s="7">
        <f t="shared" si="650"/>
        <v>-0.14800044636934623</v>
      </c>
      <c r="Z98" s="21">
        <f t="shared" si="473"/>
        <v>-0.59084781185157942</v>
      </c>
      <c r="AA98" s="5">
        <f t="shared" si="474"/>
        <v>0.76546162351192648</v>
      </c>
      <c r="AB98" s="5">
        <f t="shared" si="475"/>
        <v>-0.2548869674202402</v>
      </c>
      <c r="AC98" s="8">
        <f t="shared" si="88"/>
        <v>1</v>
      </c>
      <c r="AD98" s="9">
        <f t="shared" si="118"/>
        <v>-0.59084781185157942</v>
      </c>
      <c r="AE98" s="5">
        <f t="shared" si="89"/>
        <v>0.76546162351192648</v>
      </c>
      <c r="AF98" s="10">
        <f t="shared" si="90"/>
        <v>-0.2548869674202402</v>
      </c>
      <c r="AG98" s="622">
        <f t="shared" si="91"/>
        <v>71.583033559853362</v>
      </c>
      <c r="AH98" s="623">
        <f t="shared" si="92"/>
        <v>126.21719460834969</v>
      </c>
      <c r="AI98" s="624">
        <f t="shared" si="93"/>
        <v>-75.233112454846449</v>
      </c>
      <c r="AJ98" s="625">
        <f t="shared" si="94"/>
        <v>-142.33601316575349</v>
      </c>
      <c r="AK98" s="4">
        <f t="shared" si="213"/>
        <v>0.96592583607220739</v>
      </c>
      <c r="AL98" s="5">
        <f t="shared" si="95"/>
        <v>4.4943442764441843E-2</v>
      </c>
      <c r="AM98" s="6">
        <f t="shared" si="96"/>
        <v>-0.2548869674202402</v>
      </c>
      <c r="AN98" s="612">
        <f t="shared" si="97"/>
        <v>9.9999985561788574</v>
      </c>
      <c r="AO98" s="613">
        <f t="shared" si="466"/>
        <v>14.999997834268255</v>
      </c>
      <c r="AP98" s="624">
        <f t="shared" si="99"/>
        <v>2.6639868342465194</v>
      </c>
      <c r="AQ98" s="625">
        <f t="shared" si="476"/>
        <v>2.8814107309961812</v>
      </c>
      <c r="AS98" s="56">
        <f t="shared" si="550"/>
        <v>-235</v>
      </c>
      <c r="AT98" s="78">
        <f t="shared" si="477"/>
        <v>0.73977733140843149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5.1239999999999997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0.02</v>
      </c>
      <c r="B99" s="770">
        <v>-4.1731873479573043</v>
      </c>
      <c r="C99" s="771">
        <v>-2.8685811901941993</v>
      </c>
      <c r="D99" s="772">
        <v>-4.2200127275583955E-2</v>
      </c>
      <c r="E99" s="773">
        <v>0.4936045318723481</v>
      </c>
      <c r="F99" s="771">
        <v>-0.83044483435694882</v>
      </c>
      <c r="G99" s="774">
        <v>0.25829429572667684</v>
      </c>
      <c r="H99" s="773">
        <v>0.314</v>
      </c>
      <c r="I99" s="771">
        <v>0.52</v>
      </c>
      <c r="J99" s="601">
        <v>5.13</v>
      </c>
      <c r="K99" s="426" t="str">
        <f t="shared" si="651"/>
        <v>1613</v>
      </c>
      <c r="L99" s="327"/>
      <c r="M99" s="173">
        <f t="shared" si="469"/>
        <v>5.13</v>
      </c>
      <c r="N99" s="21">
        <f t="shared" si="470"/>
        <v>-4.1731873479573043</v>
      </c>
      <c r="O99" s="5">
        <f t="shared" si="471"/>
        <v>-2.8685811901941993</v>
      </c>
      <c r="P99" s="10">
        <f t="shared" si="472"/>
        <v>-4.2200127275583955E-2</v>
      </c>
      <c r="Q99" s="624">
        <f t="shared" si="528"/>
        <v>214.50400007161355</v>
      </c>
      <c r="R99" s="5">
        <f t="shared" si="83"/>
        <v>5.0640152730700656</v>
      </c>
      <c r="S99" s="6">
        <f t="shared" si="84"/>
        <v>-4.2200127275583955E-2</v>
      </c>
      <c r="T99" s="4">
        <f t="shared" si="85"/>
        <v>-2.8685811901941993</v>
      </c>
      <c r="U99" s="5">
        <f t="shared" si="86"/>
        <v>4.1731873479573043</v>
      </c>
      <c r="V99" s="8">
        <f t="shared" si="117"/>
        <v>-4.2200127275583955E-2</v>
      </c>
      <c r="W99" s="624">
        <f t="shared" si="652"/>
        <v>124.50400007161355</v>
      </c>
      <c r="X99" s="5">
        <f t="shared" si="87"/>
        <v>5.0640152730700656</v>
      </c>
      <c r="Y99" s="7">
        <f t="shared" si="650"/>
        <v>-4.2200127275583955E-2</v>
      </c>
      <c r="Z99" s="21">
        <f t="shared" si="473"/>
        <v>-0.4936045318723481</v>
      </c>
      <c r="AA99" s="5">
        <f t="shared" si="474"/>
        <v>0.83044483435694882</v>
      </c>
      <c r="AB99" s="5">
        <f t="shared" si="475"/>
        <v>-0.25829429572667684</v>
      </c>
      <c r="AC99" s="8">
        <f t="shared" si="88"/>
        <v>1</v>
      </c>
      <c r="AD99" s="9">
        <f t="shared" si="118"/>
        <v>-0.4936045318723481</v>
      </c>
      <c r="AE99" s="5">
        <f t="shared" si="89"/>
        <v>0.83044483435694882</v>
      </c>
      <c r="AF99" s="10">
        <f t="shared" si="90"/>
        <v>-0.25829429572667684</v>
      </c>
      <c r="AG99" s="622">
        <f t="shared" si="91"/>
        <v>72.722673575181787</v>
      </c>
      <c r="AH99" s="623">
        <f t="shared" si="92"/>
        <v>119.57777361812484</v>
      </c>
      <c r="AI99" s="624">
        <f t="shared" si="93"/>
        <v>-75.031124271890405</v>
      </c>
      <c r="AJ99" s="625">
        <f t="shared" si="94"/>
        <v>-149.27335578410899</v>
      </c>
      <c r="AK99" s="4">
        <f t="shared" si="213"/>
        <v>0.96396758070579547</v>
      </c>
      <c r="AL99" s="5">
        <f t="shared" si="95"/>
        <v>-6.3644011055839222E-2</v>
      </c>
      <c r="AM99" s="6">
        <f t="shared" si="96"/>
        <v>-0.25829429572667684</v>
      </c>
      <c r="AN99" s="612">
        <f t="shared" si="97"/>
        <v>-13.842010074751924</v>
      </c>
      <c r="AO99" s="613">
        <f t="shared" si="466"/>
        <v>15.427554857571067</v>
      </c>
      <c r="AP99" s="624">
        <f t="shared" si="99"/>
        <v>-3.7773558557225213</v>
      </c>
      <c r="AQ99" s="625">
        <f t="shared" si="476"/>
        <v>2.4474982828110838</v>
      </c>
      <c r="AS99" s="56">
        <f t="shared" si="550"/>
        <v>-235.49599992838645</v>
      </c>
      <c r="AT99" s="78">
        <f t="shared" si="477"/>
        <v>0.84745142800943152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5.13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0.02</v>
      </c>
      <c r="B100" s="770">
        <v>-4.8360285015455275</v>
      </c>
      <c r="C100" s="771">
        <v>-3.2564191082043745</v>
      </c>
      <c r="D100" s="772">
        <v>-0.11740035407946792</v>
      </c>
      <c r="E100" s="773">
        <v>0.42160583051107009</v>
      </c>
      <c r="F100" s="771">
        <v>-0.87487980048870495</v>
      </c>
      <c r="G100" s="774">
        <v>0.23839852846843385</v>
      </c>
      <c r="H100" s="773">
        <v>0.314</v>
      </c>
      <c r="I100" s="771">
        <v>0.52</v>
      </c>
      <c r="J100" s="601">
        <v>5.1360000000000001</v>
      </c>
      <c r="K100" s="426" t="str">
        <f t="shared" si="651"/>
        <v>1613</v>
      </c>
      <c r="L100" s="327"/>
      <c r="M100" s="173">
        <f t="shared" si="469"/>
        <v>5.1360000000000001</v>
      </c>
      <c r="N100" s="21">
        <f t="shared" si="470"/>
        <v>-4.8360285015455275</v>
      </c>
      <c r="O100" s="5">
        <f t="shared" si="471"/>
        <v>-3.2564191082043745</v>
      </c>
      <c r="P100" s="10">
        <f t="shared" si="472"/>
        <v>-0.11740035407946792</v>
      </c>
      <c r="Q100" s="624">
        <f t="shared" si="528"/>
        <v>213.95500015087933</v>
      </c>
      <c r="R100" s="5">
        <f t="shared" si="83"/>
        <v>5.8302175839362338</v>
      </c>
      <c r="S100" s="6">
        <f t="shared" si="84"/>
        <v>-0.11740035407946792</v>
      </c>
      <c r="T100" s="4">
        <f t="shared" si="85"/>
        <v>-3.2564191082043745</v>
      </c>
      <c r="U100" s="5">
        <f t="shared" si="86"/>
        <v>4.8360285015455284</v>
      </c>
      <c r="V100" s="8">
        <f t="shared" si="117"/>
        <v>-0.11740035407946792</v>
      </c>
      <c r="W100" s="624">
        <f t="shared" si="652"/>
        <v>123.95500015087933</v>
      </c>
      <c r="X100" s="5">
        <f t="shared" si="87"/>
        <v>5.8302175839362338</v>
      </c>
      <c r="Y100" s="7">
        <f t="shared" si="650"/>
        <v>-0.11740035407946792</v>
      </c>
      <c r="Z100" s="21">
        <f t="shared" si="473"/>
        <v>-0.42160583051107009</v>
      </c>
      <c r="AA100" s="5">
        <f t="shared" si="474"/>
        <v>0.87487980048870495</v>
      </c>
      <c r="AB100" s="5">
        <f t="shared" si="475"/>
        <v>-0.23839852846843385</v>
      </c>
      <c r="AC100" s="8">
        <f t="shared" si="88"/>
        <v>1</v>
      </c>
      <c r="AD100" s="9">
        <f t="shared" si="118"/>
        <v>-0.42160583051107009</v>
      </c>
      <c r="AE100" s="5">
        <f t="shared" si="89"/>
        <v>0.87487980048870495</v>
      </c>
      <c r="AF100" s="10">
        <f t="shared" si="90"/>
        <v>-0.23839852846843385</v>
      </c>
      <c r="AG100" s="622">
        <f t="shared" si="91"/>
        <v>74.75738127481587</v>
      </c>
      <c r="AH100" s="623">
        <f t="shared" si="92"/>
        <v>114.93601186177779</v>
      </c>
      <c r="AI100" s="624">
        <f t="shared" si="93"/>
        <v>-76.207960522884449</v>
      </c>
      <c r="AJ100" s="625">
        <f t="shared" si="94"/>
        <v>-154.27051619381578</v>
      </c>
      <c r="AK100" s="4">
        <f t="shared" si="213"/>
        <v>0.96117663749575699</v>
      </c>
      <c r="AL100" s="5">
        <f t="shared" si="95"/>
        <v>-0.13894464061789313</v>
      </c>
      <c r="AM100" s="6">
        <f t="shared" si="96"/>
        <v>-0.23839852846843385</v>
      </c>
      <c r="AN100" s="612">
        <f t="shared" si="97"/>
        <v>-30.234704797578242</v>
      </c>
      <c r="AO100" s="613">
        <f t="shared" si="466"/>
        <v>16.017671299624077</v>
      </c>
      <c r="AP100" s="624">
        <f t="shared" si="99"/>
        <v>-8.2255163446951141</v>
      </c>
      <c r="AQ100" s="625">
        <f t="shared" si="476"/>
        <v>2.1261676058447558</v>
      </c>
      <c r="AS100" s="56">
        <f t="shared" si="550"/>
        <v>-236.04499984912067</v>
      </c>
      <c r="AT100" s="78">
        <f t="shared" si="477"/>
        <v>0.77432520090609913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5.1360000000000001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0.02</v>
      </c>
      <c r="B101" s="770">
        <v>-5.4712702144821908</v>
      </c>
      <c r="C101" s="771">
        <v>-3.5992863112229978</v>
      </c>
      <c r="D101" s="772">
        <v>-0.36090108847768271</v>
      </c>
      <c r="E101" s="773">
        <v>0.34713154711411026</v>
      </c>
      <c r="F101" s="771">
        <v>-0.91215357402487562</v>
      </c>
      <c r="G101" s="774">
        <v>0.21788883953018401</v>
      </c>
      <c r="H101" s="773">
        <v>0.314</v>
      </c>
      <c r="I101" s="771">
        <v>0.52</v>
      </c>
      <c r="J101" s="601">
        <v>5.1420000000000003</v>
      </c>
      <c r="K101" s="426" t="str">
        <f t="shared" si="651"/>
        <v>1613</v>
      </c>
      <c r="L101" s="327"/>
      <c r="M101" s="173">
        <f t="shared" si="469"/>
        <v>5.1420000000000003</v>
      </c>
      <c r="N101" s="21">
        <f t="shared" si="470"/>
        <v>-5.4712702144821908</v>
      </c>
      <c r="O101" s="5">
        <f t="shared" si="471"/>
        <v>-3.5992863112229978</v>
      </c>
      <c r="P101" s="10">
        <f t="shared" si="472"/>
        <v>-0.36090108847768271</v>
      </c>
      <c r="Q101" s="624">
        <f t="shared" si="528"/>
        <v>213.33900023981872</v>
      </c>
      <c r="R101" s="5">
        <f t="shared" si="83"/>
        <v>6.5490197518435727</v>
      </c>
      <c r="S101" s="6">
        <f t="shared" si="84"/>
        <v>-0.36090108847768271</v>
      </c>
      <c r="T101" s="4">
        <f t="shared" si="85"/>
        <v>-3.5992863112229982</v>
      </c>
      <c r="U101" s="5">
        <f t="shared" si="86"/>
        <v>5.4712702144821908</v>
      </c>
      <c r="V101" s="8">
        <f t="shared" si="117"/>
        <v>-0.36090108847768271</v>
      </c>
      <c r="W101" s="624">
        <f t="shared" si="652"/>
        <v>123.33900023981872</v>
      </c>
      <c r="X101" s="5">
        <f t="shared" si="87"/>
        <v>6.5490197518435727</v>
      </c>
      <c r="Y101" s="7">
        <f t="shared" si="650"/>
        <v>-0.36090108847768271</v>
      </c>
      <c r="Z101" s="21">
        <f t="shared" si="473"/>
        <v>-0.34713154711411026</v>
      </c>
      <c r="AA101" s="5">
        <f t="shared" si="474"/>
        <v>0.91215357402487562</v>
      </c>
      <c r="AB101" s="5">
        <f t="shared" si="475"/>
        <v>-0.21788883953018401</v>
      </c>
      <c r="AC101" s="8">
        <f t="shared" si="88"/>
        <v>1</v>
      </c>
      <c r="AD101" s="9">
        <f t="shared" si="118"/>
        <v>-0.34713154711411026</v>
      </c>
      <c r="AE101" s="5">
        <f t="shared" si="89"/>
        <v>0.91215357402487562</v>
      </c>
      <c r="AF101" s="10">
        <f t="shared" si="90"/>
        <v>-0.21788883953018401</v>
      </c>
      <c r="AG101" s="622">
        <f t="shared" si="91"/>
        <v>76.565339116388344</v>
      </c>
      <c r="AH101" s="623">
        <f t="shared" si="92"/>
        <v>110.31196775120792</v>
      </c>
      <c r="AI101" s="624">
        <f t="shared" si="93"/>
        <v>-77.414935422090238</v>
      </c>
      <c r="AJ101" s="625">
        <f t="shared" si="94"/>
        <v>-159.16504637189092</v>
      </c>
      <c r="AK101" s="4">
        <f t="shared" si="213"/>
        <v>0.9528242000737065</v>
      </c>
      <c r="AL101" s="5">
        <f t="shared" si="95"/>
        <v>-0.21130664296725582</v>
      </c>
      <c r="AM101" s="6">
        <f t="shared" si="96"/>
        <v>-0.21788883953018401</v>
      </c>
      <c r="AN101" s="612">
        <f t="shared" si="97"/>
        <v>-44.121373509792036</v>
      </c>
      <c r="AO101" s="613">
        <f t="shared" si="466"/>
        <v>17.669309480200933</v>
      </c>
      <c r="AP101" s="624">
        <f t="shared" si="99"/>
        <v>-12.504046611709631</v>
      </c>
      <c r="AQ101" s="625">
        <f t="shared" si="476"/>
        <v>1.8929856064662498</v>
      </c>
      <c r="AS101" s="56">
        <f t="shared" si="550"/>
        <v>-236.66099976018128</v>
      </c>
      <c r="AT101" s="78">
        <f t="shared" si="477"/>
        <v>0.53315157728300222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5.1420000000000003</v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0.02</v>
      </c>
      <c r="B102" s="770">
        <v>-6.0541694854283961</v>
      </c>
      <c r="C102" s="771">
        <v>-3.8904392026325518</v>
      </c>
      <c r="D102" s="772">
        <v>-0.75880228854770204</v>
      </c>
      <c r="E102" s="773">
        <v>0.25902499032752668</v>
      </c>
      <c r="F102" s="771">
        <v>-0.9426147234847051</v>
      </c>
      <c r="G102" s="774">
        <v>0.21067400754644125</v>
      </c>
      <c r="H102" s="773">
        <v>0.314</v>
      </c>
      <c r="I102" s="771">
        <v>0.52</v>
      </c>
      <c r="J102" s="601">
        <v>5.1479999999999997</v>
      </c>
      <c r="K102" s="426" t="str">
        <f t="shared" si="651"/>
        <v>1613</v>
      </c>
      <c r="L102" s="327"/>
      <c r="M102" s="173">
        <f t="shared" si="469"/>
        <v>5.1479999999999997</v>
      </c>
      <c r="N102" s="21">
        <f t="shared" si="470"/>
        <v>-6.0541694854283961</v>
      </c>
      <c r="O102" s="5">
        <f t="shared" si="471"/>
        <v>-3.8904392026325518</v>
      </c>
      <c r="P102" s="10">
        <f t="shared" si="472"/>
        <v>-0.75880228854770204</v>
      </c>
      <c r="Q102" s="624">
        <f t="shared" si="528"/>
        <v>212.72500032846932</v>
      </c>
      <c r="R102" s="5">
        <f t="shared" si="83"/>
        <v>7.19642170440786</v>
      </c>
      <c r="S102" s="6">
        <f t="shared" si="84"/>
        <v>-0.75880228854770204</v>
      </c>
      <c r="T102" s="4">
        <f t="shared" si="85"/>
        <v>-3.8904392026325505</v>
      </c>
      <c r="U102" s="5">
        <f t="shared" si="86"/>
        <v>6.0541694854283961</v>
      </c>
      <c r="V102" s="8">
        <f t="shared" si="117"/>
        <v>-0.75880228854770204</v>
      </c>
      <c r="W102" s="624">
        <f t="shared" si="652"/>
        <v>122.72500032846932</v>
      </c>
      <c r="X102" s="5">
        <f t="shared" si="87"/>
        <v>7.19642170440786</v>
      </c>
      <c r="Y102" s="7">
        <f t="shared" si="650"/>
        <v>-0.75880228854770204</v>
      </c>
      <c r="Z102" s="21">
        <f t="shared" si="473"/>
        <v>-0.25902499032752668</v>
      </c>
      <c r="AA102" s="5">
        <f t="shared" si="474"/>
        <v>0.9426147234847051</v>
      </c>
      <c r="AB102" s="5">
        <f t="shared" si="475"/>
        <v>-0.21067400754644125</v>
      </c>
      <c r="AC102" s="8">
        <f t="shared" si="88"/>
        <v>1</v>
      </c>
      <c r="AD102" s="9">
        <f t="shared" si="118"/>
        <v>-0.25902499032752668</v>
      </c>
      <c r="AE102" s="5">
        <f t="shared" si="89"/>
        <v>0.9426147234847051</v>
      </c>
      <c r="AF102" s="10">
        <f t="shared" si="90"/>
        <v>-0.21067400754644125</v>
      </c>
      <c r="AG102" s="622">
        <f t="shared" si="91"/>
        <v>77.401467342131454</v>
      </c>
      <c r="AH102" s="623">
        <f t="shared" si="92"/>
        <v>105.01221639286301</v>
      </c>
      <c r="AI102" s="624">
        <f t="shared" si="93"/>
        <v>-77.838146276631903</v>
      </c>
      <c r="AJ102" s="625">
        <f t="shared" si="94"/>
        <v>-164.63471563751645</v>
      </c>
      <c r="AK102" s="4">
        <f t="shared" si="213"/>
        <v>0.93302901748457756</v>
      </c>
      <c r="AL102" s="5">
        <f t="shared" si="95"/>
        <v>-0.29167330195972052</v>
      </c>
      <c r="AM102" s="6">
        <f t="shared" si="96"/>
        <v>-0.21067400754644125</v>
      </c>
      <c r="AN102" s="612">
        <f t="shared" si="97"/>
        <v>-54.159627371754311</v>
      </c>
      <c r="AO102" s="613">
        <f t="shared" si="466"/>
        <v>21.087983189302278</v>
      </c>
      <c r="AP102" s="624">
        <f t="shared" si="99"/>
        <v>-17.359715965985739</v>
      </c>
      <c r="AQ102" s="625">
        <f t="shared" si="476"/>
        <v>1.7227971959243245</v>
      </c>
      <c r="AS102" s="56">
        <f t="shared" si="550"/>
        <v>-237.27499967153068</v>
      </c>
      <c r="AT102" s="78">
        <f t="shared" si="477"/>
        <v>0.13756993243363613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2"/>
        <v>5.1479999999999997</v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0.02</v>
      </c>
      <c r="B103" s="770">
        <v>-6.5488654724856401</v>
      </c>
      <c r="C103" s="771">
        <v>-4.1206893725233886</v>
      </c>
      <c r="D103" s="772">
        <v>-1.2900038906517355</v>
      </c>
      <c r="E103" s="773">
        <v>0.1615106249634336</v>
      </c>
      <c r="F103" s="771">
        <v>-0.96678818125789534</v>
      </c>
      <c r="G103" s="774">
        <v>0.19807809218581468</v>
      </c>
      <c r="H103" s="773">
        <v>0.314</v>
      </c>
      <c r="I103" s="771">
        <v>0.52</v>
      </c>
      <c r="J103" s="601">
        <v>5.1539999999999999</v>
      </c>
      <c r="K103" s="426" t="str">
        <f t="shared" si="651"/>
        <v>1613</v>
      </c>
      <c r="L103" s="327"/>
      <c r="M103" s="173">
        <f t="shared" si="469"/>
        <v>5.1539999999999999</v>
      </c>
      <c r="N103" s="21">
        <f t="shared" si="470"/>
        <v>-6.5488654724856401</v>
      </c>
      <c r="O103" s="5">
        <f t="shared" si="471"/>
        <v>-4.1206893725233886</v>
      </c>
      <c r="P103" s="10">
        <f t="shared" si="472"/>
        <v>-1.2900038906517355</v>
      </c>
      <c r="Q103" s="624">
        <f t="shared" si="528"/>
        <v>212.17900040730197</v>
      </c>
      <c r="R103" s="5">
        <f t="shared" si="83"/>
        <v>7.7374233360687823</v>
      </c>
      <c r="S103" s="6">
        <f t="shared" si="84"/>
        <v>-1.2900038906517355</v>
      </c>
      <c r="T103" s="4">
        <f t="shared" si="85"/>
        <v>-4.1206893725233913</v>
      </c>
      <c r="U103" s="5">
        <f t="shared" si="86"/>
        <v>6.5488654724856383</v>
      </c>
      <c r="V103" s="8">
        <f t="shared" si="117"/>
        <v>-1.2900038906517355</v>
      </c>
      <c r="W103" s="624">
        <f t="shared" si="652"/>
        <v>122.17900040730197</v>
      </c>
      <c r="X103" s="5">
        <f t="shared" si="87"/>
        <v>7.7374233360687823</v>
      </c>
      <c r="Y103" s="7">
        <f t="shared" si="650"/>
        <v>-1.2900038906517355</v>
      </c>
      <c r="Z103" s="21">
        <f t="shared" si="473"/>
        <v>-0.1615106249634336</v>
      </c>
      <c r="AA103" s="5">
        <f t="shared" si="474"/>
        <v>0.96678818125789534</v>
      </c>
      <c r="AB103" s="5">
        <f t="shared" si="475"/>
        <v>-0.19807809218581468</v>
      </c>
      <c r="AC103" s="8">
        <f t="shared" si="88"/>
        <v>1</v>
      </c>
      <c r="AD103" s="9">
        <f t="shared" si="118"/>
        <v>-0.1615106249634336</v>
      </c>
      <c r="AE103" s="5">
        <f t="shared" si="89"/>
        <v>0.96678818125789534</v>
      </c>
      <c r="AF103" s="10">
        <f t="shared" si="90"/>
        <v>-0.19807809218581468</v>
      </c>
      <c r="AG103" s="622">
        <f t="shared" si="91"/>
        <v>78.421328259370569</v>
      </c>
      <c r="AH103" s="623">
        <f t="shared" si="92"/>
        <v>99.294589174368951</v>
      </c>
      <c r="AI103" s="624">
        <f t="shared" si="93"/>
        <v>-78.575406451403865</v>
      </c>
      <c r="AJ103" s="625">
        <f t="shared" si="94"/>
        <v>-170.51581009253593</v>
      </c>
      <c r="AK103" s="4">
        <f t="shared" si="213"/>
        <v>0.90429339993156233</v>
      </c>
      <c r="AL103" s="5">
        <f t="shared" si="95"/>
        <v>-0.37817788967130761</v>
      </c>
      <c r="AM103" s="6">
        <f t="shared" si="96"/>
        <v>-0.19807809218581468</v>
      </c>
      <c r="AN103" s="612">
        <f t="shared" si="97"/>
        <v>-62.355818423672879</v>
      </c>
      <c r="AO103" s="613">
        <f t="shared" si="466"/>
        <v>25.271716578870098</v>
      </c>
      <c r="AP103" s="624">
        <f t="shared" si="99"/>
        <v>-22.694810499837914</v>
      </c>
      <c r="AQ103" s="625">
        <f t="shared" si="476"/>
        <v>1.6024041559893478</v>
      </c>
      <c r="AS103" s="56">
        <f t="shared" si="550"/>
        <v>-237.82099959269803</v>
      </c>
      <c r="AT103" s="78">
        <f t="shared" si="477"/>
        <v>-0.39156900330154287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5.1539999999999999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0.02</v>
      </c>
      <c r="B104" s="770">
        <v>-6.9250547419587001</v>
      </c>
      <c r="C104" s="771">
        <v>-4.285688287039541</v>
      </c>
      <c r="D104" s="772">
        <v>-1.9320058269295735</v>
      </c>
      <c r="E104" s="773">
        <v>8.0231723519274434E-2</v>
      </c>
      <c r="F104" s="771">
        <v>-0.98478438149322411</v>
      </c>
      <c r="G104" s="774">
        <v>0.15415120015145795</v>
      </c>
      <c r="H104" s="773">
        <v>0.314</v>
      </c>
      <c r="I104" s="771">
        <v>0.52</v>
      </c>
      <c r="J104" s="601">
        <v>5.16</v>
      </c>
      <c r="K104" s="426" t="str">
        <f t="shared" si="651"/>
        <v>1613</v>
      </c>
      <c r="L104" s="327"/>
      <c r="M104" s="173">
        <f t="shared" si="469"/>
        <v>5.16</v>
      </c>
      <c r="N104" s="21">
        <f t="shared" si="470"/>
        <v>-6.9250547419587001</v>
      </c>
      <c r="O104" s="5">
        <f t="shared" si="471"/>
        <v>-4.285688287039541</v>
      </c>
      <c r="P104" s="10">
        <f t="shared" si="472"/>
        <v>-1.9320058269295735</v>
      </c>
      <c r="Q104" s="624">
        <f t="shared" si="528"/>
        <v>211.75200046895313</v>
      </c>
      <c r="R104" s="5">
        <f t="shared" si="83"/>
        <v>8.1439245620764797</v>
      </c>
      <c r="S104" s="6">
        <f t="shared" si="84"/>
        <v>-1.9320058269295735</v>
      </c>
      <c r="T104" s="4">
        <f t="shared" si="85"/>
        <v>-4.2856882870395419</v>
      </c>
      <c r="U104" s="5">
        <f t="shared" si="86"/>
        <v>6.9250547419586992</v>
      </c>
      <c r="V104" s="8">
        <f t="shared" si="117"/>
        <v>-1.9320058269295735</v>
      </c>
      <c r="W104" s="624">
        <f t="shared" si="652"/>
        <v>121.75200046895313</v>
      </c>
      <c r="X104" s="5">
        <f t="shared" si="87"/>
        <v>8.1439245620764797</v>
      </c>
      <c r="Y104" s="7">
        <f t="shared" si="650"/>
        <v>-1.9320058269295735</v>
      </c>
      <c r="Z104" s="21">
        <f t="shared" si="473"/>
        <v>-8.0231723519274434E-2</v>
      </c>
      <c r="AA104" s="5">
        <f t="shared" si="474"/>
        <v>0.98478438149322411</v>
      </c>
      <c r="AB104" s="5">
        <f t="shared" si="475"/>
        <v>-0.15415120015145795</v>
      </c>
      <c r="AC104" s="8">
        <f t="shared" si="88"/>
        <v>1</v>
      </c>
      <c r="AD104" s="9">
        <f t="shared" si="118"/>
        <v>-8.0231723519274434E-2</v>
      </c>
      <c r="AE104" s="5">
        <f t="shared" si="89"/>
        <v>0.98478438149322411</v>
      </c>
      <c r="AF104" s="10">
        <f t="shared" si="90"/>
        <v>-0.15415120015145795</v>
      </c>
      <c r="AG104" s="622">
        <f t="shared" si="91"/>
        <v>81.103516294579805</v>
      </c>
      <c r="AH104" s="623">
        <f t="shared" si="92"/>
        <v>94.601885330549095</v>
      </c>
      <c r="AI104" s="624">
        <f t="shared" si="93"/>
        <v>-81.132428026002643</v>
      </c>
      <c r="AJ104" s="625">
        <f t="shared" si="94"/>
        <v>-175.34232194645125</v>
      </c>
      <c r="AK104" s="4">
        <f t="shared" si="213"/>
        <v>0.87961692842296646</v>
      </c>
      <c r="AL104" s="5">
        <f t="shared" si="95"/>
        <v>-0.45001274062365298</v>
      </c>
      <c r="AM104" s="6">
        <f t="shared" si="96"/>
        <v>-0.15415120015145795</v>
      </c>
      <c r="AN104" s="612">
        <f t="shared" si="97"/>
        <v>-71.091179669591966</v>
      </c>
      <c r="AO104" s="613">
        <f t="shared" si="466"/>
        <v>28.403811794052647</v>
      </c>
      <c r="AP104" s="624">
        <f t="shared" si="99"/>
        <v>-27.09432241540436</v>
      </c>
      <c r="AQ104" s="625">
        <f t="shared" si="476"/>
        <v>1.5224593291633099</v>
      </c>
      <c r="AS104" s="56">
        <f t="shared" si="550"/>
        <v>-238.24799953104687</v>
      </c>
      <c r="AT104" s="78">
        <f t="shared" si="477"/>
        <v>-1.0319578287011741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2"/>
        <v>5.16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0.02</v>
      </c>
      <c r="B105" s="770">
        <v>-7.1576253414315989</v>
      </c>
      <c r="C105" s="771">
        <v>-4.3834496281720678</v>
      </c>
      <c r="D105" s="772">
        <v>-2.649707991519302</v>
      </c>
      <c r="E105" s="773">
        <v>9.6469061020945084E-3</v>
      </c>
      <c r="F105" s="771">
        <v>-0.99528704203591878</v>
      </c>
      <c r="G105" s="774">
        <v>9.6491663671265507E-2</v>
      </c>
      <c r="H105" s="773">
        <v>0.314</v>
      </c>
      <c r="I105" s="771">
        <v>0.52</v>
      </c>
      <c r="J105" s="601">
        <v>5.1660000000000004</v>
      </c>
      <c r="K105" s="426" t="str">
        <f t="shared" si="651"/>
        <v>1613</v>
      </c>
      <c r="L105" s="327"/>
      <c r="M105" s="173">
        <f t="shared" ref="M105:M136" si="667">IF(J105="","",VALUE(J105))</f>
        <v>5.1660000000000004</v>
      </c>
      <c r="N105" s="21">
        <f t="shared" ref="N105:N136" si="668">IF(M105="","",B105)</f>
        <v>-7.1576253414315989</v>
      </c>
      <c r="O105" s="5">
        <f t="shared" ref="O105:O136" si="669">IF(M105="","",C105)</f>
        <v>-4.3834496281720678</v>
      </c>
      <c r="P105" s="10">
        <f t="shared" ref="P105:P136" si="670">IF(M105="","",D105)</f>
        <v>-2.649707991519302</v>
      </c>
      <c r="Q105" s="624">
        <f t="shared" si="528"/>
        <v>211.48400050764752</v>
      </c>
      <c r="R105" s="5">
        <f t="shared" si="83"/>
        <v>8.3932253139675481</v>
      </c>
      <c r="S105" s="6">
        <f t="shared" si="84"/>
        <v>-2.649707991519302</v>
      </c>
      <c r="T105" s="4">
        <f t="shared" si="85"/>
        <v>-4.3834496281720678</v>
      </c>
      <c r="U105" s="5">
        <f t="shared" si="86"/>
        <v>7.157625341431598</v>
      </c>
      <c r="V105" s="8">
        <f t="shared" si="117"/>
        <v>-2.649707991519302</v>
      </c>
      <c r="W105" s="624">
        <f t="shared" si="652"/>
        <v>121.48400050764752</v>
      </c>
      <c r="X105" s="5">
        <f t="shared" si="87"/>
        <v>8.3932253139675481</v>
      </c>
      <c r="Y105" s="7">
        <f t="shared" si="650"/>
        <v>-2.649707991519302</v>
      </c>
      <c r="Z105" s="21">
        <f t="shared" ref="Z105:Z136" si="671">IF(M105="","",-E105)</f>
        <v>-9.6469061020945084E-3</v>
      </c>
      <c r="AA105" s="5">
        <f t="shared" ref="AA105:AA136" si="672">IF(M105="","",-F105)</f>
        <v>0.99528704203591878</v>
      </c>
      <c r="AB105" s="5">
        <f t="shared" ref="AB105:AB136" si="673">IF(M105="","",-G105)</f>
        <v>-9.6491663671265507E-2</v>
      </c>
      <c r="AC105" s="8">
        <f t="shared" si="88"/>
        <v>1</v>
      </c>
      <c r="AD105" s="9">
        <f t="shared" si="118"/>
        <v>-9.6469061020945084E-3</v>
      </c>
      <c r="AE105" s="5">
        <f t="shared" si="89"/>
        <v>0.99528704203591878</v>
      </c>
      <c r="AF105" s="10">
        <f t="shared" si="90"/>
        <v>-9.6491663671265507E-2</v>
      </c>
      <c r="AG105" s="622">
        <f t="shared" si="91"/>
        <v>84.462561211506809</v>
      </c>
      <c r="AH105" s="623">
        <f t="shared" si="92"/>
        <v>90.552735578421604</v>
      </c>
      <c r="AI105" s="624">
        <f t="shared" si="93"/>
        <v>-84.462819687488533</v>
      </c>
      <c r="AJ105" s="625">
        <f t="shared" si="94"/>
        <v>-179.44467307041455</v>
      </c>
      <c r="AK105" s="4">
        <f t="shared" si="213"/>
        <v>0.85380508838663738</v>
      </c>
      <c r="AL105" s="5">
        <f t="shared" si="95"/>
        <v>-0.51157231149372961</v>
      </c>
      <c r="AM105" s="6">
        <f t="shared" si="96"/>
        <v>-9.6491663671265507E-2</v>
      </c>
      <c r="AN105" s="612">
        <f t="shared" si="97"/>
        <v>-79.318485036040187</v>
      </c>
      <c r="AO105" s="613">
        <f t="shared" si="466"/>
        <v>31.372024245319793</v>
      </c>
      <c r="AP105" s="624">
        <f t="shared" si="99"/>
        <v>-30.928673578062085</v>
      </c>
      <c r="AQ105" s="625">
        <f t="shared" ref="AQ105:AQ136" si="674">IF(M105="","",DEGREES(ATAN(($AS$5*SIN(RADIANS(90)))/(($X105*2*PI())-($AS$5*COS(RADIANS(90)))))))</f>
        <v>1.47725864842232</v>
      </c>
      <c r="AS105" s="56">
        <f t="shared" si="550"/>
        <v>-238.51599949235248</v>
      </c>
      <c r="AT105" s="78">
        <f t="shared" ref="AT105:AT136" si="675">IF(M105="","",Y105+(((AS105-$AS$9)*$AS$6)*-1))</f>
        <v>-1.7486475489926372</v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20">M105</f>
        <v>5.1660000000000004</v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0.02</v>
      </c>
      <c r="B106" s="770">
        <v>-7.2272981706737172</v>
      </c>
      <c r="C106" s="771">
        <v>-4.4261184356140042</v>
      </c>
      <c r="D106" s="772">
        <v>-3.4002102550341284</v>
      </c>
      <c r="E106" s="773">
        <v>-6.2323213129158714E-2</v>
      </c>
      <c r="F106" s="771">
        <v>-0.99738505447030235</v>
      </c>
      <c r="G106" s="774">
        <v>3.6590575624462315E-2</v>
      </c>
      <c r="H106" s="773">
        <v>0.314</v>
      </c>
      <c r="I106" s="771">
        <v>0.52</v>
      </c>
      <c r="J106" s="601">
        <v>5.1719999999999997</v>
      </c>
      <c r="K106" s="426" t="str">
        <f t="shared" si="651"/>
        <v>1613</v>
      </c>
      <c r="L106" s="327"/>
      <c r="M106" s="173">
        <f t="shared" si="667"/>
        <v>5.1719999999999997</v>
      </c>
      <c r="N106" s="21">
        <f t="shared" si="668"/>
        <v>-7.2272981706737172</v>
      </c>
      <c r="O106" s="5">
        <f t="shared" si="669"/>
        <v>-4.4261184356140042</v>
      </c>
      <c r="P106" s="10">
        <f t="shared" si="670"/>
        <v>-3.4002102550341284</v>
      </c>
      <c r="Q106" s="624">
        <f t="shared" si="528"/>
        <v>211.48400050764752</v>
      </c>
      <c r="R106" s="5">
        <f t="shared" ref="R106:R129" si="725">IF(M106="","",SQRT(N106^2+O106^2))</f>
        <v>8.4749255603754907</v>
      </c>
      <c r="S106" s="6">
        <f t="shared" ref="S106:S129" si="726">IF(M106="","",P106)</f>
        <v>-3.4002102550341284</v>
      </c>
      <c r="T106" s="4">
        <f t="shared" ref="T106:T129" si="727">IF(M106="","",X106*COS(RADIANS(W106)))</f>
        <v>-4.4261184356140042</v>
      </c>
      <c r="U106" s="5">
        <f t="shared" ref="U106:U129" si="728">IF(M106="","",X106*SIN(RADIANS(W106)))</f>
        <v>7.2272981706737172</v>
      </c>
      <c r="V106" s="8">
        <f t="shared" ref="V106:V129" si="729">IF(M106="","",Y106)</f>
        <v>-3.4002102550341284</v>
      </c>
      <c r="W106" s="624">
        <f t="shared" si="652"/>
        <v>121.48400050764752</v>
      </c>
      <c r="X106" s="5">
        <f t="shared" ref="X106:X129" si="730">IF(M106="","",R106)</f>
        <v>8.4749255603754907</v>
      </c>
      <c r="Y106" s="7">
        <f t="shared" si="650"/>
        <v>-3.4002102550341284</v>
      </c>
      <c r="Z106" s="21">
        <f t="shared" si="671"/>
        <v>6.2323213129158714E-2</v>
      </c>
      <c r="AA106" s="5">
        <f t="shared" si="672"/>
        <v>0.99738505447030235</v>
      </c>
      <c r="AB106" s="5">
        <f t="shared" si="673"/>
        <v>-3.6590575624462315E-2</v>
      </c>
      <c r="AC106" s="8">
        <f t="shared" ref="AC106:AC129" si="731">IF(M106="","",SQRT(Z106^2+AA106^2+AB106^2))</f>
        <v>1</v>
      </c>
      <c r="AD106" s="9">
        <f t="shared" ref="AD106:AD129" si="732">IF(M106="","",Z106*(1/SQRT(Z106^2+AA106^2+AB106^2)))</f>
        <v>6.2323213129158714E-2</v>
      </c>
      <c r="AE106" s="5">
        <f t="shared" ref="AE106:AE129" si="733">IF(M106="","",AA106*(1/SQRT(Z106^2+AA106^2+AB106^2)))</f>
        <v>0.99738505447030235</v>
      </c>
      <c r="AF106" s="10">
        <f t="shared" ref="AF106:AF129" si="734">IF(M106="","",AB106*(1/SQRT(Z106^2+AA106^2+AB106^2)))</f>
        <v>-3.6590575624462315E-2</v>
      </c>
      <c r="AG106" s="622">
        <f t="shared" ref="AG106:AG129" si="735">IF(M106="","",DEGREES(ATAN2(-AF106,AE106)))</f>
        <v>87.898960136414189</v>
      </c>
      <c r="AH106" s="623">
        <f t="shared" ref="AH106:AH129" si="736">IF(M106="","",DEGREES(ACOS(AD106)))</f>
        <v>86.426827228493778</v>
      </c>
      <c r="AI106" s="624">
        <f t="shared" ref="AI106:AI129" si="737">IF(M106="","",DEGREES(-ACOS(-AF106)))</f>
        <v>-87.903046344334157</v>
      </c>
      <c r="AJ106" s="625">
        <f t="shared" ref="AJ106:AJ129" si="738">IF(M106="","",DEGREES(ATAN2(-AE106,AD106)))</f>
        <v>176.42442970445163</v>
      </c>
      <c r="AK106" s="4">
        <f t="shared" ref="AK106:AK129" si="739">IF(M106="","",(COS(RADIANS((90-$Q$8)-W106))*AD106)+(-SIN(RADIANS((90-$Q$8)-W106))*AE106))</f>
        <v>0.81800709724767162</v>
      </c>
      <c r="AL106" s="5">
        <f t="shared" ref="AL106:AL129" si="740">IF(M106="","",(SIN(RADIANS((90-$Q$8)-W106))*AD106)+(COS(RADIANS((90-$Q$8)-W106))*AE106))</f>
        <v>-0.57404313307268884</v>
      </c>
      <c r="AM106" s="6">
        <f t="shared" ref="AM106:AM129" si="741">IF(M106="","",AF106)</f>
        <v>-3.6590575624462315E-2</v>
      </c>
      <c r="AN106" s="612">
        <f t="shared" ref="AN106:AN129" si="742">IF(M106="","",DEGREES(ATAN2(-AM106,AL106)))</f>
        <v>-86.352794803923487</v>
      </c>
      <c r="AO106" s="613">
        <f t="shared" si="466"/>
        <v>35.114208727434139</v>
      </c>
      <c r="AP106" s="624">
        <f t="shared" ref="AP106:AP129" si="743">IF(M106="","",DEGREES(ATAN2(AK106,AL106)))</f>
        <v>-35.059570803195925</v>
      </c>
      <c r="AQ106" s="625">
        <f t="shared" si="674"/>
        <v>1.4630237522823213</v>
      </c>
      <c r="AS106" s="56">
        <f t="shared" si="550"/>
        <v>-238.51599949235248</v>
      </c>
      <c r="AT106" s="78">
        <f t="shared" si="675"/>
        <v>-2.4991498125074636</v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20"/>
        <v>5.1719999999999997</v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0.02</v>
      </c>
      <c r="B107" s="770">
        <v>-7.2957538390565437</v>
      </c>
      <c r="C107" s="771">
        <v>-4.4400748042247553</v>
      </c>
      <c r="D107" s="772">
        <v>-4.1520125224697662</v>
      </c>
      <c r="E107" s="773">
        <v>-0.1508466388365407</v>
      </c>
      <c r="F107" s="771">
        <v>-0.98855717667300214</v>
      </c>
      <c r="G107" s="774">
        <v>1.4578093197128142E-7</v>
      </c>
      <c r="H107" s="773">
        <v>0.314</v>
      </c>
      <c r="I107" s="771">
        <v>0.52</v>
      </c>
      <c r="J107" s="601">
        <v>5.1779999999999999</v>
      </c>
      <c r="K107" s="426" t="str">
        <f t="shared" si="651"/>
        <v>1613</v>
      </c>
      <c r="L107" s="327"/>
      <c r="M107" s="173">
        <f t="shared" si="667"/>
        <v>5.1779999999999999</v>
      </c>
      <c r="N107" s="21">
        <f t="shared" si="668"/>
        <v>-7.2957538390565437</v>
      </c>
      <c r="O107" s="5">
        <f t="shared" si="669"/>
        <v>-4.4400748042247553</v>
      </c>
      <c r="P107" s="10">
        <f t="shared" si="670"/>
        <v>-4.1520125224697662</v>
      </c>
      <c r="Q107" s="624">
        <f t="shared" si="528"/>
        <v>211.32400053074869</v>
      </c>
      <c r="R107" s="5">
        <f t="shared" si="725"/>
        <v>8.5406257585272876</v>
      </c>
      <c r="S107" s="6">
        <f t="shared" si="726"/>
        <v>-4.1520125224697662</v>
      </c>
      <c r="T107" s="4">
        <f t="shared" si="727"/>
        <v>-4.4400748042247589</v>
      </c>
      <c r="U107" s="5">
        <f t="shared" si="728"/>
        <v>7.295753839056542</v>
      </c>
      <c r="V107" s="8">
        <f t="shared" si="729"/>
        <v>-4.1520125224697662</v>
      </c>
      <c r="W107" s="624">
        <f t="shared" si="652"/>
        <v>121.32400053074869</v>
      </c>
      <c r="X107" s="5">
        <f t="shared" si="730"/>
        <v>8.5406257585272876</v>
      </c>
      <c r="Y107" s="7">
        <f t="shared" si="650"/>
        <v>-4.1520125224697662</v>
      </c>
      <c r="Z107" s="21">
        <f t="shared" si="671"/>
        <v>0.1508466388365407</v>
      </c>
      <c r="AA107" s="5">
        <f t="shared" si="672"/>
        <v>0.98855717667300214</v>
      </c>
      <c r="AB107" s="5">
        <f t="shared" si="673"/>
        <v>-1.4578093197128142E-7</v>
      </c>
      <c r="AC107" s="8">
        <f t="shared" si="731"/>
        <v>1</v>
      </c>
      <c r="AD107" s="9">
        <f t="shared" si="732"/>
        <v>0.1508466388365407</v>
      </c>
      <c r="AE107" s="5">
        <f t="shared" si="733"/>
        <v>0.98855717667300214</v>
      </c>
      <c r="AF107" s="10">
        <f t="shared" si="734"/>
        <v>-1.4578093197128142E-7</v>
      </c>
      <c r="AG107" s="622">
        <f t="shared" si="735"/>
        <v>89.999991550683831</v>
      </c>
      <c r="AH107" s="623">
        <f t="shared" si="736"/>
        <v>81.324006306034093</v>
      </c>
      <c r="AI107" s="624">
        <f t="shared" si="737"/>
        <v>-89.999991647367864</v>
      </c>
      <c r="AJ107" s="625">
        <f t="shared" si="738"/>
        <v>171.32400630603399</v>
      </c>
      <c r="AK107" s="4">
        <f t="shared" si="739"/>
        <v>0.76604450791050693</v>
      </c>
      <c r="AL107" s="5">
        <f t="shared" si="740"/>
        <v>-0.64278753247097786</v>
      </c>
      <c r="AM107" s="6">
        <f t="shared" si="741"/>
        <v>-1.4578093197128142E-7</v>
      </c>
      <c r="AN107" s="612">
        <f t="shared" si="742"/>
        <v>-89.999987005609611</v>
      </c>
      <c r="AO107" s="613">
        <f t="shared" si="466"/>
        <v>39.999994224715408</v>
      </c>
      <c r="AP107" s="624">
        <f t="shared" si="743"/>
        <v>-39.999994224714698</v>
      </c>
      <c r="AQ107" s="625">
        <f t="shared" si="674"/>
        <v>1.4517740315199315</v>
      </c>
      <c r="AS107" s="56">
        <f t="shared" ref="AS107:AS138" si="746">IF(G107="","",IF(AND(W107&lt;(AS106+180),W107&gt;(AS106-180)),W107,IF(W107&gt;(AS106+180),W107-360,IF(W107&lt;(AS106-180),W107+360,"Error"))))</f>
        <v>-238.67599946925131</v>
      </c>
      <c r="AT107" s="78">
        <f t="shared" si="675"/>
        <v>-3.250347635585928</v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20"/>
        <v>5.1779999999999999</v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>
        <v>-4.6912083298435157</v>
      </c>
      <c r="C108" s="771">
        <v>-1.9363263621513354</v>
      </c>
      <c r="D108" s="772">
        <v>-5.5000165880500296E-3</v>
      </c>
      <c r="E108" s="773">
        <v>8.6529844344786744E-8</v>
      </c>
      <c r="F108" s="771">
        <v>-2.0963900213022131E-7</v>
      </c>
      <c r="G108" s="774">
        <v>0.99999999999997435</v>
      </c>
      <c r="H108" s="773">
        <v>0.25700000000000001</v>
      </c>
      <c r="I108" s="771">
        <v>0.41499999999999992</v>
      </c>
      <c r="J108" s="601">
        <v>5.23</v>
      </c>
      <c r="K108" s="426" t="str">
        <f t="shared" si="651"/>
        <v>Knuckle</v>
      </c>
      <c r="L108" s="327"/>
      <c r="M108" s="173">
        <f t="shared" si="667"/>
        <v>5.23</v>
      </c>
      <c r="N108" s="21">
        <f t="shared" si="668"/>
        <v>-4.6912083298435157</v>
      </c>
      <c r="O108" s="5">
        <f t="shared" si="669"/>
        <v>-1.9363263621513354</v>
      </c>
      <c r="P108" s="10">
        <f t="shared" si="670"/>
        <v>-5.5000165880500296E-3</v>
      </c>
      <c r="Q108" s="624">
        <f t="shared" si="528"/>
        <v>202.42870181507089</v>
      </c>
      <c r="R108" s="5">
        <f t="shared" si="725"/>
        <v>5.0751153065477643</v>
      </c>
      <c r="S108" s="6">
        <f t="shared" si="726"/>
        <v>-5.5000165880500296E-3</v>
      </c>
      <c r="T108" s="4">
        <f t="shared" si="727"/>
        <v>-1.9363263621513349</v>
      </c>
      <c r="U108" s="5">
        <f t="shared" si="728"/>
        <v>4.6912083298435148</v>
      </c>
      <c r="V108" s="8">
        <f t="shared" si="729"/>
        <v>-5.5000165880500296E-3</v>
      </c>
      <c r="W108" s="624">
        <f t="shared" si="652"/>
        <v>112.42870181507089</v>
      </c>
      <c r="X108" s="5">
        <f t="shared" si="730"/>
        <v>5.0751153065477643</v>
      </c>
      <c r="Y108" s="7">
        <f t="shared" si="650"/>
        <v>-5.5000165880500296E-3</v>
      </c>
      <c r="Z108" s="21">
        <f t="shared" si="671"/>
        <v>-8.6529844344786744E-8</v>
      </c>
      <c r="AA108" s="5">
        <f t="shared" si="672"/>
        <v>2.0963900213022131E-7</v>
      </c>
      <c r="AB108" s="5">
        <f t="shared" si="673"/>
        <v>-0.99999999999997435</v>
      </c>
      <c r="AC108" s="8">
        <f t="shared" si="731"/>
        <v>1</v>
      </c>
      <c r="AD108" s="9">
        <f t="shared" si="732"/>
        <v>-8.6529844344786744E-8</v>
      </c>
      <c r="AE108" s="5">
        <f t="shared" si="733"/>
        <v>2.0963900213022131E-7</v>
      </c>
      <c r="AF108" s="10">
        <f t="shared" si="734"/>
        <v>-0.99999999999997435</v>
      </c>
      <c r="AG108" s="622">
        <f t="shared" si="735"/>
        <v>1.2011430043395887E-5</v>
      </c>
      <c r="AH108" s="623">
        <f t="shared" si="736"/>
        <v>90.000004957794886</v>
      </c>
      <c r="AI108" s="624">
        <f t="shared" si="737"/>
        <v>-1.2976235990044085E-5</v>
      </c>
      <c r="AJ108" s="625">
        <f t="shared" si="738"/>
        <v>-157.57129817445173</v>
      </c>
      <c r="AK108" s="4">
        <f t="shared" si="739"/>
        <v>2.2679489671614738E-7</v>
      </c>
      <c r="AL108" s="5">
        <f t="shared" si="740"/>
        <v>4.1472744800820274E-17</v>
      </c>
      <c r="AM108" s="6">
        <f t="shared" si="741"/>
        <v>-0.99999999999997435</v>
      </c>
      <c r="AN108" s="612">
        <f t="shared" si="742"/>
        <v>2.3762132419101906E-15</v>
      </c>
      <c r="AO108" s="613">
        <f t="shared" si="466"/>
        <v>0</v>
      </c>
      <c r="AP108" s="624">
        <f t="shared" si="743"/>
        <v>1.0477366450110902E-8</v>
      </c>
      <c r="AQ108" s="625">
        <f t="shared" si="674"/>
        <v>2.4421517275704505</v>
      </c>
      <c r="AS108" s="56">
        <f t="shared" si="746"/>
        <v>-247.57129818492911</v>
      </c>
      <c r="AT108" s="78">
        <f t="shared" si="675"/>
        <v>0.92976933211057111</v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>
        <f>IFERROR(IF($IU108="","",IF($IU108&lt;(((Settings!$C$19/2)*-1)*$IE$8),"",1)),"")</f>
        <v>1</v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20"/>
        <v>5.23</v>
      </c>
      <c r="IH108" s="797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5.13</v>
      </c>
      <c r="II108" s="800" cm="1">
        <f t="array" ref="II108">IFERROR(IF($IH108&lt;1,$IH108+LARGE((IF($M$9:$M$150="",0,$M$9:$M$150)-MOD(IF($M$9:$M$150="",0,$M$9:$M$150),1)),1),$IH108),"")</f>
        <v>5.13</v>
      </c>
      <c r="IJ108" s="839" t="str">
        <f t="shared" si="721"/>
        <v>1613</v>
      </c>
      <c r="IK108" s="839" t="str">
        <f t="shared" si="722"/>
        <v>Knuckle</v>
      </c>
      <c r="IL108" s="791">
        <f t="shared" si="654"/>
        <v>12.075298256542652</v>
      </c>
      <c r="IM108" s="830">
        <v>7.37658059513126E-3</v>
      </c>
      <c r="IN108" s="5">
        <f t="shared" si="655"/>
        <v>0.18</v>
      </c>
      <c r="IO108" s="852">
        <v>90</v>
      </c>
      <c r="IP108" s="9">
        <f t="shared" si="656"/>
        <v>-5.0640152730700656</v>
      </c>
      <c r="IQ108" s="5">
        <f t="shared" si="657"/>
        <v>-4.2200127275583955E-2</v>
      </c>
      <c r="IR108" s="5">
        <f t="shared" si="723"/>
        <v>0.314</v>
      </c>
      <c r="IS108" s="5">
        <f t="shared" si="658"/>
        <v>0.30268582034161978</v>
      </c>
      <c r="IT108" s="791">
        <f t="shared" si="659"/>
        <v>13.842010074751924</v>
      </c>
      <c r="IU108" s="9">
        <f t="shared" si="660"/>
        <v>-5.0751153065477643</v>
      </c>
      <c r="IV108" s="5">
        <f t="shared" si="661"/>
        <v>-5.5000165880500296E-3</v>
      </c>
      <c r="IW108" s="5">
        <f t="shared" si="724"/>
        <v>0.25700000000000001</v>
      </c>
      <c r="IX108" s="5">
        <f t="shared" si="662"/>
        <v>0.25700000000000001</v>
      </c>
      <c r="IY108" s="833">
        <f t="shared" si="663"/>
        <v>-2.3762132419101906E-15</v>
      </c>
    </row>
    <row r="109" spans="1:259" ht="15" customHeight="1" x14ac:dyDescent="0.25">
      <c r="A109" s="84">
        <f t="shared" si="527"/>
        <v>0</v>
      </c>
      <c r="B109" s="770">
        <v>-5.4172473847942806</v>
      </c>
      <c r="C109" s="771">
        <v>-2.2161332123254396</v>
      </c>
      <c r="D109" s="772">
        <v>-8.6100259678383195E-2</v>
      </c>
      <c r="E109" s="773">
        <v>-0.14797756827520836</v>
      </c>
      <c r="F109" s="771">
        <v>-6.0536155703148138E-2</v>
      </c>
      <c r="G109" s="774">
        <v>0.9871362687795644</v>
      </c>
      <c r="H109" s="773">
        <v>0.25700000000000001</v>
      </c>
      <c r="I109" s="771">
        <v>0.41499999999999992</v>
      </c>
      <c r="J109" s="601">
        <v>5.2359999999999998</v>
      </c>
      <c r="K109" s="426" t="str">
        <f t="shared" si="651"/>
        <v>Knuckle</v>
      </c>
      <c r="L109" s="327"/>
      <c r="M109" s="173">
        <f t="shared" si="667"/>
        <v>5.2359999999999998</v>
      </c>
      <c r="N109" s="21">
        <f t="shared" si="668"/>
        <v>-5.4172473847942806</v>
      </c>
      <c r="O109" s="5">
        <f t="shared" si="669"/>
        <v>-2.2161332123254396</v>
      </c>
      <c r="P109" s="10">
        <f t="shared" si="670"/>
        <v>-8.6100259678383195E-2</v>
      </c>
      <c r="Q109" s="624">
        <f t="shared" si="528"/>
        <v>202.2489018410308</v>
      </c>
      <c r="R109" s="5">
        <f t="shared" si="725"/>
        <v>5.853017652701241</v>
      </c>
      <c r="S109" s="6">
        <f t="shared" si="726"/>
        <v>-8.6100259678383195E-2</v>
      </c>
      <c r="T109" s="4">
        <f t="shared" si="727"/>
        <v>-2.21613321232544</v>
      </c>
      <c r="U109" s="5">
        <f t="shared" si="728"/>
        <v>5.4172473847942806</v>
      </c>
      <c r="V109" s="8">
        <f t="shared" si="729"/>
        <v>-8.6100259678383195E-2</v>
      </c>
      <c r="W109" s="624">
        <f t="shared" si="652"/>
        <v>112.2489018410308</v>
      </c>
      <c r="X109" s="5">
        <f t="shared" si="730"/>
        <v>5.853017652701241</v>
      </c>
      <c r="Y109" s="7">
        <f t="shared" si="650"/>
        <v>-8.6100259678383195E-2</v>
      </c>
      <c r="Z109" s="21">
        <f t="shared" si="671"/>
        <v>0.14797756827520836</v>
      </c>
      <c r="AA109" s="5">
        <f t="shared" si="672"/>
        <v>6.0536155703148138E-2</v>
      </c>
      <c r="AB109" s="5">
        <f t="shared" si="673"/>
        <v>-0.9871362687795644</v>
      </c>
      <c r="AC109" s="8">
        <f t="shared" si="731"/>
        <v>1</v>
      </c>
      <c r="AD109" s="9">
        <f t="shared" si="732"/>
        <v>0.14797756827520836</v>
      </c>
      <c r="AE109" s="5">
        <f t="shared" si="733"/>
        <v>6.0536155703148138E-2</v>
      </c>
      <c r="AF109" s="10">
        <f t="shared" si="734"/>
        <v>-0.9871362687795644</v>
      </c>
      <c r="AG109" s="622">
        <f t="shared" si="735"/>
        <v>3.509270303121752</v>
      </c>
      <c r="AH109" s="623">
        <f t="shared" si="736"/>
        <v>81.490258177290457</v>
      </c>
      <c r="AI109" s="624">
        <f t="shared" si="737"/>
        <v>-9.1999986716936011</v>
      </c>
      <c r="AJ109" s="625">
        <f t="shared" si="738"/>
        <v>112.24898311633557</v>
      </c>
      <c r="AK109" s="4">
        <f t="shared" si="739"/>
        <v>2.2679489670995867E-7</v>
      </c>
      <c r="AL109" s="5">
        <f t="shared" si="740"/>
        <v>-0.15988116480657849</v>
      </c>
      <c r="AM109" s="6">
        <f t="shared" si="741"/>
        <v>-0.9871362687795644</v>
      </c>
      <c r="AN109" s="612">
        <f t="shared" si="742"/>
        <v>-9.1999986716845363</v>
      </c>
      <c r="AO109" s="613">
        <f t="shared" si="466"/>
        <v>0</v>
      </c>
      <c r="AP109" s="624">
        <f t="shared" si="743"/>
        <v>-89.999918724695235</v>
      </c>
      <c r="AQ109" s="625">
        <f t="shared" si="674"/>
        <v>2.1178928083293567</v>
      </c>
      <c r="AS109" s="56">
        <f t="shared" si="746"/>
        <v>-247.7510981589692</v>
      </c>
      <c r="AT109" s="78">
        <f t="shared" si="675"/>
        <v>0.84984833336661159</v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>
        <f>IFERROR(IF($IU109="","",IF($IU109&lt;(((Settings!$C$19/2)*-1)*$IE$8),"",1)),"")</f>
        <v>1</v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20"/>
        <v>5.2359999999999998</v>
      </c>
      <c r="IH109" s="797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5.1360000000000001</v>
      </c>
      <c r="II109" s="800" cm="1">
        <f t="array" ref="II109">IFERROR(IF($IH109&lt;1,$IH109+LARGE((IF($M$9:$M$150="",0,$M$9:$M$150)-MOD(IF($M$9:$M$150="",0,$M$9:$M$150),1)),1),$IH109),"")</f>
        <v>5.1360000000000001</v>
      </c>
      <c r="IJ109" s="839" t="str">
        <f t="shared" si="721"/>
        <v>1613</v>
      </c>
      <c r="IK109" s="839" t="str">
        <f t="shared" si="722"/>
        <v>Knuckle</v>
      </c>
      <c r="IL109" s="791">
        <f t="shared" si="654"/>
        <v>11.706098309848528</v>
      </c>
      <c r="IM109" s="830">
        <v>6.1693785360766003E-3</v>
      </c>
      <c r="IN109" s="5">
        <f t="shared" si="655"/>
        <v>0.18</v>
      </c>
      <c r="IO109" s="852">
        <v>90</v>
      </c>
      <c r="IP109" s="9">
        <f t="shared" si="656"/>
        <v>-5.8302175839362338</v>
      </c>
      <c r="IQ109" s="5">
        <f t="shared" si="657"/>
        <v>-0.11740035407946792</v>
      </c>
      <c r="IR109" s="5">
        <f t="shared" si="723"/>
        <v>0.314</v>
      </c>
      <c r="IS109" s="5">
        <f t="shared" si="658"/>
        <v>0.30180946417366772</v>
      </c>
      <c r="IT109" s="791">
        <f t="shared" si="659"/>
        <v>30.234704797578242</v>
      </c>
      <c r="IU109" s="9">
        <f t="shared" si="660"/>
        <v>-5.853017652701241</v>
      </c>
      <c r="IV109" s="5">
        <f t="shared" si="661"/>
        <v>-8.6100259678383195E-2</v>
      </c>
      <c r="IW109" s="5">
        <f t="shared" si="724"/>
        <v>0.25700000000000001</v>
      </c>
      <c r="IX109" s="5">
        <f t="shared" si="662"/>
        <v>0.25700000000000001</v>
      </c>
      <c r="IY109" s="833">
        <f t="shared" si="663"/>
        <v>9.1999986716845363</v>
      </c>
    </row>
    <row r="110" spans="1:259" ht="15" customHeight="1" x14ac:dyDescent="0.25">
      <c r="A110" s="84">
        <f t="shared" si="527"/>
        <v>0.02</v>
      </c>
      <c r="B110" s="770">
        <v>-6.0416039134341464</v>
      </c>
      <c r="C110" s="771">
        <v>-2.6229656472268306</v>
      </c>
      <c r="D110" s="772">
        <v>-0.3290009922669927</v>
      </c>
      <c r="E110" s="773">
        <v>0.12135078370532384</v>
      </c>
      <c r="F110" s="771">
        <v>-0.95327085138988787</v>
      </c>
      <c r="G110" s="774">
        <v>0.27667430524806996</v>
      </c>
      <c r="H110" s="773">
        <v>0.26600000000000001</v>
      </c>
      <c r="I110" s="771">
        <v>0.52</v>
      </c>
      <c r="J110" s="601">
        <v>5.242</v>
      </c>
      <c r="K110" s="426" t="str">
        <f t="shared" si="651"/>
        <v>1313</v>
      </c>
      <c r="L110" s="327"/>
      <c r="M110" s="173">
        <f t="shared" si="667"/>
        <v>5.242</v>
      </c>
      <c r="N110" s="21">
        <f t="shared" si="668"/>
        <v>-6.0416039134341464</v>
      </c>
      <c r="O110" s="5">
        <f t="shared" si="669"/>
        <v>-2.6229656472268306</v>
      </c>
      <c r="P110" s="10">
        <f t="shared" si="670"/>
        <v>-0.3290009922669927</v>
      </c>
      <c r="Q110" s="624">
        <f t="shared" si="528"/>
        <v>203.46810166500012</v>
      </c>
      <c r="R110" s="5">
        <f t="shared" si="725"/>
        <v>6.5864198646423127</v>
      </c>
      <c r="S110" s="6">
        <f t="shared" si="726"/>
        <v>-0.3290009922669927</v>
      </c>
      <c r="T110" s="4">
        <f t="shared" si="727"/>
        <v>-2.6229656472268301</v>
      </c>
      <c r="U110" s="5">
        <f t="shared" si="728"/>
        <v>6.0416039134341464</v>
      </c>
      <c r="V110" s="8">
        <f t="shared" si="729"/>
        <v>-0.3290009922669927</v>
      </c>
      <c r="W110" s="624">
        <f t="shared" si="652"/>
        <v>113.46810166500012</v>
      </c>
      <c r="X110" s="5">
        <f t="shared" si="730"/>
        <v>6.5864198646423127</v>
      </c>
      <c r="Y110" s="7">
        <f t="shared" si="650"/>
        <v>-0.3290009922669927</v>
      </c>
      <c r="Z110" s="21">
        <f t="shared" si="671"/>
        <v>-0.12135078370532384</v>
      </c>
      <c r="AA110" s="5">
        <f t="shared" si="672"/>
        <v>0.95327085138988787</v>
      </c>
      <c r="AB110" s="5">
        <f t="shared" si="673"/>
        <v>-0.27667430524806996</v>
      </c>
      <c r="AC110" s="8">
        <f t="shared" si="731"/>
        <v>1</v>
      </c>
      <c r="AD110" s="9">
        <f t="shared" si="732"/>
        <v>-0.12135078370532384</v>
      </c>
      <c r="AE110" s="5">
        <f t="shared" si="733"/>
        <v>0.95327085138988787</v>
      </c>
      <c r="AF110" s="10">
        <f t="shared" si="734"/>
        <v>-0.27667430524806996</v>
      </c>
      <c r="AG110" s="622">
        <f t="shared" si="735"/>
        <v>73.815325338301889</v>
      </c>
      <c r="AH110" s="623">
        <f t="shared" si="736"/>
        <v>96.970066549943112</v>
      </c>
      <c r="AI110" s="624">
        <f t="shared" si="737"/>
        <v>-73.938183296521075</v>
      </c>
      <c r="AJ110" s="625">
        <f t="shared" si="738"/>
        <v>-172.74530292047049</v>
      </c>
      <c r="AK110" s="4">
        <f t="shared" si="739"/>
        <v>0.92274467284861117</v>
      </c>
      <c r="AL110" s="5">
        <f t="shared" si="740"/>
        <v>-0.26831622676425548</v>
      </c>
      <c r="AM110" s="6">
        <f t="shared" si="741"/>
        <v>-0.27667430524806996</v>
      </c>
      <c r="AN110" s="612">
        <f t="shared" si="742"/>
        <v>-44.121369904728731</v>
      </c>
      <c r="AO110" s="613">
        <f t="shared" si="466"/>
        <v>22.669308745874435</v>
      </c>
      <c r="AP110" s="624">
        <f t="shared" si="743"/>
        <v>-16.213404585470606</v>
      </c>
      <c r="AQ110" s="625">
        <f t="shared" si="674"/>
        <v>1.8822442924994121</v>
      </c>
      <c r="AS110" s="56">
        <f t="shared" si="746"/>
        <v>-246.53189833499988</v>
      </c>
      <c r="AT110" s="78">
        <f t="shared" si="675"/>
        <v>0.60234173477634023</v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20"/>
        <v>5.242</v>
      </c>
      <c r="IH110" s="797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5.1420000000000003</v>
      </c>
      <c r="II110" s="800" cm="1">
        <f t="array" ref="II110">IFERROR(IF($IH110&lt;1,$IH110+LARGE((IF($M$9:$M$150="",0,$M$9:$M$150)-MOD(IF($M$9:$M$150="",0,$M$9:$M$150),1)),1),$IH110),"")</f>
        <v>5.1420000000000003</v>
      </c>
      <c r="IJ110" s="839" t="str">
        <f t="shared" si="721"/>
        <v>1613</v>
      </c>
      <c r="IK110" s="839" t="str">
        <f t="shared" si="722"/>
        <v>1313</v>
      </c>
      <c r="IL110" s="791">
        <f t="shared" si="654"/>
        <v>9.8708985748185967</v>
      </c>
      <c r="IM110" s="830">
        <v>4.51925523397458E-3</v>
      </c>
      <c r="IN110" s="5">
        <f t="shared" si="655"/>
        <v>0.16</v>
      </c>
      <c r="IO110" s="852">
        <v>80</v>
      </c>
      <c r="IP110" s="9">
        <f t="shared" si="656"/>
        <v>-6.5490197518435727</v>
      </c>
      <c r="IQ110" s="5">
        <f t="shared" si="657"/>
        <v>-0.36090108847768271</v>
      </c>
      <c r="IR110" s="5">
        <f t="shared" si="723"/>
        <v>0.314</v>
      </c>
      <c r="IS110" s="5">
        <f t="shared" si="658"/>
        <v>0.29918679882314386</v>
      </c>
      <c r="IT110" s="791">
        <f t="shared" si="659"/>
        <v>44.121373509792036</v>
      </c>
      <c r="IU110" s="9">
        <f t="shared" si="660"/>
        <v>-6.5864198646423127</v>
      </c>
      <c r="IV110" s="5">
        <f t="shared" si="661"/>
        <v>-0.3290009922669927</v>
      </c>
      <c r="IW110" s="5">
        <f t="shared" si="724"/>
        <v>0.26600000000000001</v>
      </c>
      <c r="IX110" s="5">
        <f t="shared" si="662"/>
        <v>0.24545008297773058</v>
      </c>
      <c r="IY110" s="833">
        <f t="shared" si="663"/>
        <v>44.121369904728731</v>
      </c>
    </row>
    <row r="111" spans="1:259" ht="15" customHeight="1" x14ac:dyDescent="0.25">
      <c r="A111" s="84">
        <f t="shared" si="527"/>
        <v>0.02</v>
      </c>
      <c r="B111" s="770">
        <v>-6.6873310951659217</v>
      </c>
      <c r="C111" s="771">
        <v>-2.774962173704274</v>
      </c>
      <c r="D111" s="772">
        <v>-0.7341022140522776</v>
      </c>
      <c r="E111" s="773">
        <v>1.4960589838304922E-2</v>
      </c>
      <c r="F111" s="771">
        <v>-0.96616597153243755</v>
      </c>
      <c r="G111" s="774">
        <v>0.25748688549996318</v>
      </c>
      <c r="H111" s="773">
        <v>0.26600000000000001</v>
      </c>
      <c r="I111" s="771">
        <v>0.52</v>
      </c>
      <c r="J111" s="601">
        <v>5.2480000000000002</v>
      </c>
      <c r="K111" s="426" t="str">
        <f t="shared" si="651"/>
        <v>1313</v>
      </c>
      <c r="L111" s="327"/>
      <c r="M111" s="173">
        <f t="shared" si="667"/>
        <v>5.2480000000000002</v>
      </c>
      <c r="N111" s="21">
        <f t="shared" si="668"/>
        <v>-6.6873310951659217</v>
      </c>
      <c r="O111" s="5">
        <f t="shared" si="669"/>
        <v>-2.774962173704274</v>
      </c>
      <c r="P111" s="10">
        <f t="shared" si="670"/>
        <v>-0.7341022140522776</v>
      </c>
      <c r="Q111" s="624">
        <f t="shared" si="528"/>
        <v>202.53640179952095</v>
      </c>
      <c r="R111" s="5">
        <f t="shared" si="725"/>
        <v>7.2402218365090585</v>
      </c>
      <c r="S111" s="6">
        <f t="shared" si="726"/>
        <v>-0.7341022140522776</v>
      </c>
      <c r="T111" s="4">
        <f t="shared" si="727"/>
        <v>-2.774962173704274</v>
      </c>
      <c r="U111" s="5">
        <f t="shared" si="728"/>
        <v>6.6873310951659226</v>
      </c>
      <c r="V111" s="8">
        <f t="shared" si="729"/>
        <v>-0.7341022140522776</v>
      </c>
      <c r="W111" s="624">
        <f t="shared" si="652"/>
        <v>112.53640179952095</v>
      </c>
      <c r="X111" s="5">
        <f t="shared" si="730"/>
        <v>7.2402218365090585</v>
      </c>
      <c r="Y111" s="7">
        <f t="shared" si="650"/>
        <v>-0.7341022140522776</v>
      </c>
      <c r="Z111" s="21">
        <f t="shared" si="671"/>
        <v>-1.4960589838304922E-2</v>
      </c>
      <c r="AA111" s="5">
        <f t="shared" si="672"/>
        <v>0.96616597153243755</v>
      </c>
      <c r="AB111" s="5">
        <f t="shared" si="673"/>
        <v>-0.25748688549996318</v>
      </c>
      <c r="AC111" s="8">
        <f t="shared" si="731"/>
        <v>1</v>
      </c>
      <c r="AD111" s="9">
        <f t="shared" si="732"/>
        <v>-1.4960589838304922E-2</v>
      </c>
      <c r="AE111" s="5">
        <f t="shared" si="733"/>
        <v>0.96616597153243755</v>
      </c>
      <c r="AF111" s="10">
        <f t="shared" si="734"/>
        <v>-0.25748688549996318</v>
      </c>
      <c r="AG111" s="622">
        <f t="shared" si="735"/>
        <v>75.077296184530638</v>
      </c>
      <c r="AH111" s="623">
        <f t="shared" si="736"/>
        <v>90.857210635495917</v>
      </c>
      <c r="AI111" s="624">
        <f t="shared" si="737"/>
        <v>-75.079005082064924</v>
      </c>
      <c r="AJ111" s="625">
        <f t="shared" si="738"/>
        <v>-179.11287482333915</v>
      </c>
      <c r="AK111" s="4">
        <f t="shared" si="739"/>
        <v>0.89811983144330665</v>
      </c>
      <c r="AL111" s="5">
        <f t="shared" si="740"/>
        <v>-0.35648460298275914</v>
      </c>
      <c r="AM111" s="6">
        <f t="shared" si="741"/>
        <v>-0.25748688549996318</v>
      </c>
      <c r="AN111" s="612">
        <f t="shared" si="742"/>
        <v>-54.159623690391236</v>
      </c>
      <c r="AO111" s="613">
        <f t="shared" si="466"/>
        <v>26.087982445178298</v>
      </c>
      <c r="AP111" s="624">
        <f t="shared" si="743"/>
        <v>-21.6492766228601</v>
      </c>
      <c r="AQ111" s="625">
        <f t="shared" si="674"/>
        <v>1.7123812606089588</v>
      </c>
      <c r="AS111" s="56">
        <f t="shared" si="746"/>
        <v>-247.46359820047905</v>
      </c>
      <c r="AT111" s="78">
        <f t="shared" si="675"/>
        <v>0.20076026803842106</v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20"/>
        <v>5.2480000000000002</v>
      </c>
      <c r="IH111" s="797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5.1479999999999997</v>
      </c>
      <c r="II111" s="800" cm="1">
        <f t="array" ref="II111">IFERROR(IF($IH111&lt;1,$IH111+LARGE((IF($M$9:$M$150="",0,$M$9:$M$150)-MOD(IF($M$9:$M$150="",0,$M$9:$M$150),1)),1),$IH111),"")</f>
        <v>5.1479999999999997</v>
      </c>
      <c r="IJ111" s="839" t="str">
        <f t="shared" si="721"/>
        <v>1613</v>
      </c>
      <c r="IK111" s="839" t="str">
        <f t="shared" si="722"/>
        <v>1313</v>
      </c>
      <c r="IL111" s="791">
        <f t="shared" si="654"/>
        <v>10.188598528948376</v>
      </c>
      <c r="IM111" s="830">
        <v>3.6764674825808001E-3</v>
      </c>
      <c r="IN111" s="5">
        <f t="shared" si="655"/>
        <v>0.16</v>
      </c>
      <c r="IO111" s="852">
        <v>80</v>
      </c>
      <c r="IP111" s="9">
        <f t="shared" si="656"/>
        <v>-7.19642170440786</v>
      </c>
      <c r="IQ111" s="5">
        <f t="shared" si="657"/>
        <v>-0.75880228854770204</v>
      </c>
      <c r="IR111" s="5">
        <f t="shared" si="723"/>
        <v>0.314</v>
      </c>
      <c r="IS111" s="5">
        <f t="shared" si="658"/>
        <v>0.29297111149015737</v>
      </c>
      <c r="IT111" s="791">
        <f t="shared" si="659"/>
        <v>54.159627371754311</v>
      </c>
      <c r="IU111" s="9">
        <f t="shared" si="660"/>
        <v>-7.2402218365090585</v>
      </c>
      <c r="IV111" s="5">
        <f t="shared" si="661"/>
        <v>-0.7341022140522776</v>
      </c>
      <c r="IW111" s="5">
        <f t="shared" si="724"/>
        <v>0.26600000000000001</v>
      </c>
      <c r="IX111" s="5">
        <f t="shared" si="662"/>
        <v>0.23889987516391958</v>
      </c>
      <c r="IY111" s="833">
        <f t="shared" si="663"/>
        <v>54.159623690391236</v>
      </c>
    </row>
    <row r="112" spans="1:259" ht="15" customHeight="1" x14ac:dyDescent="0.25">
      <c r="A112" s="84">
        <f t="shared" si="527"/>
        <v>0.02</v>
      </c>
      <c r="B112" s="770">
        <v>-7.2456501450916235</v>
      </c>
      <c r="C112" s="771">
        <v>-2.8483982781390038</v>
      </c>
      <c r="D112" s="772">
        <v>-1.2721038366651714</v>
      </c>
      <c r="E112" s="773">
        <v>-9.9620310595604056E-2</v>
      </c>
      <c r="F112" s="771">
        <v>-0.96714530798656861</v>
      </c>
      <c r="G112" s="774">
        <v>0.2338925970534354</v>
      </c>
      <c r="H112" s="773">
        <v>0.26600000000000001</v>
      </c>
      <c r="I112" s="771">
        <v>0.52</v>
      </c>
      <c r="J112" s="601">
        <v>5.2539999999999996</v>
      </c>
      <c r="K112" s="426" t="str">
        <f t="shared" si="651"/>
        <v>1313</v>
      </c>
      <c r="L112" s="327"/>
      <c r="M112" s="173">
        <f t="shared" si="667"/>
        <v>5.2539999999999996</v>
      </c>
      <c r="N112" s="21">
        <f t="shared" si="668"/>
        <v>-7.2456501450916235</v>
      </c>
      <c r="O112" s="5">
        <f t="shared" si="669"/>
        <v>-2.8483982781390038</v>
      </c>
      <c r="P112" s="10">
        <f t="shared" si="670"/>
        <v>-1.2721038366651714</v>
      </c>
      <c r="Q112" s="624">
        <f t="shared" si="528"/>
        <v>201.46070195483279</v>
      </c>
      <c r="R112" s="5">
        <f t="shared" si="725"/>
        <v>7.7854234808372178</v>
      </c>
      <c r="S112" s="6">
        <f t="shared" si="726"/>
        <v>-1.2721038366651714</v>
      </c>
      <c r="T112" s="4">
        <f t="shared" si="727"/>
        <v>-2.8483982781390051</v>
      </c>
      <c r="U112" s="5">
        <f t="shared" si="728"/>
        <v>7.2456501450916226</v>
      </c>
      <c r="V112" s="8">
        <f t="shared" si="729"/>
        <v>-1.2721038366651714</v>
      </c>
      <c r="W112" s="624">
        <f t="shared" si="652"/>
        <v>111.46070195483279</v>
      </c>
      <c r="X112" s="5">
        <f t="shared" si="730"/>
        <v>7.7854234808372178</v>
      </c>
      <c r="Y112" s="7">
        <f t="shared" si="650"/>
        <v>-1.2721038366651714</v>
      </c>
      <c r="Z112" s="21">
        <f t="shared" si="671"/>
        <v>9.9620310595604056E-2</v>
      </c>
      <c r="AA112" s="5">
        <f t="shared" si="672"/>
        <v>0.96714530798656861</v>
      </c>
      <c r="AB112" s="5">
        <f t="shared" si="673"/>
        <v>-0.2338925970534354</v>
      </c>
      <c r="AC112" s="8">
        <f t="shared" si="731"/>
        <v>1</v>
      </c>
      <c r="AD112" s="9">
        <f t="shared" si="732"/>
        <v>9.9620310595604056E-2</v>
      </c>
      <c r="AE112" s="5">
        <f t="shared" si="733"/>
        <v>0.96714530798656861</v>
      </c>
      <c r="AF112" s="10">
        <f t="shared" si="734"/>
        <v>-0.2338925970534354</v>
      </c>
      <c r="AG112" s="622">
        <f t="shared" si="735"/>
        <v>76.404728003449605</v>
      </c>
      <c r="AH112" s="623">
        <f t="shared" si="736"/>
        <v>84.282693300062547</v>
      </c>
      <c r="AI112" s="624">
        <f t="shared" si="737"/>
        <v>-76.473645842020119</v>
      </c>
      <c r="AJ112" s="625">
        <f t="shared" si="738"/>
        <v>174.11901777513134</v>
      </c>
      <c r="AK112" s="4">
        <f t="shared" si="739"/>
        <v>0.86364450649591551</v>
      </c>
      <c r="AL112" s="5">
        <f t="shared" si="740"/>
        <v>-0.44655617725323865</v>
      </c>
      <c r="AM112" s="6">
        <f t="shared" si="741"/>
        <v>-0.2338925970534354</v>
      </c>
      <c r="AN112" s="612">
        <f t="shared" si="742"/>
        <v>-62.355814930842556</v>
      </c>
      <c r="AO112" s="613">
        <f t="shared" si="466"/>
        <v>30.271715820427428</v>
      </c>
      <c r="AP112" s="624">
        <f t="shared" si="743"/>
        <v>-27.341684179701449</v>
      </c>
      <c r="AQ112" s="625">
        <f t="shared" si="674"/>
        <v>1.5925298183113483</v>
      </c>
      <c r="AS112" s="56">
        <f t="shared" si="746"/>
        <v>-248.53929804516721</v>
      </c>
      <c r="AT112" s="78">
        <f t="shared" si="675"/>
        <v>-0.33317759960565074</v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>
        <f t="shared" si="720"/>
        <v>5.2539999999999996</v>
      </c>
      <c r="IH112" s="797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5.1539999999999999</v>
      </c>
      <c r="II112" s="800" cm="1">
        <f t="array" ref="II112">IFERROR(IF($IH112&lt;1,$IH112+LARGE((IF($M$9:$M$150="",0,$M$9:$M$150)-MOD(IF($M$9:$M$150="",0,$M$9:$M$150),1)),1),$IH112),"")</f>
        <v>5.1539999999999999</v>
      </c>
      <c r="IJ112" s="839" t="str">
        <f t="shared" si="721"/>
        <v>1613</v>
      </c>
      <c r="IK112" s="839" t="str">
        <f t="shared" si="722"/>
        <v>1313</v>
      </c>
      <c r="IL112" s="791">
        <f t="shared" si="654"/>
        <v>10.718298452469185</v>
      </c>
      <c r="IM112" s="830">
        <v>2.8266287295975398E-3</v>
      </c>
      <c r="IN112" s="5">
        <f t="shared" si="655"/>
        <v>0.12</v>
      </c>
      <c r="IO112" s="852">
        <v>60</v>
      </c>
      <c r="IP112" s="9">
        <f t="shared" si="656"/>
        <v>-7.7374233360687823</v>
      </c>
      <c r="IQ112" s="5">
        <f t="shared" si="657"/>
        <v>-1.2900038906517355</v>
      </c>
      <c r="IR112" s="5">
        <f t="shared" si="723"/>
        <v>0.314</v>
      </c>
      <c r="IS112" s="5">
        <f t="shared" si="658"/>
        <v>0.28394812757851057</v>
      </c>
      <c r="IT112" s="791">
        <f t="shared" si="659"/>
        <v>62.355818423672879</v>
      </c>
      <c r="IU112" s="9">
        <f t="shared" si="660"/>
        <v>-7.7854234808372178</v>
      </c>
      <c r="IV112" s="5">
        <f t="shared" si="661"/>
        <v>-1.2721038366651714</v>
      </c>
      <c r="IW112" s="5">
        <f t="shared" si="724"/>
        <v>0.26600000000000001</v>
      </c>
      <c r="IX112" s="5">
        <f t="shared" si="662"/>
        <v>0.22972943872791357</v>
      </c>
      <c r="IY112" s="833">
        <f t="shared" si="663"/>
        <v>62.355814930842556</v>
      </c>
    </row>
    <row r="113" spans="1:259" ht="15" customHeight="1" x14ac:dyDescent="0.25">
      <c r="A113" s="84">
        <f t="shared" si="527"/>
        <v>0.02</v>
      </c>
      <c r="B113" s="770">
        <v>-7.6788717815588283</v>
      </c>
      <c r="C113" s="771">
        <v>-2.8626905668104583</v>
      </c>
      <c r="D113" s="772">
        <v>-1.922105797071084</v>
      </c>
      <c r="E113" s="773">
        <v>-0.19640411282789502</v>
      </c>
      <c r="F113" s="771">
        <v>-0.96415550220482915</v>
      </c>
      <c r="G113" s="774">
        <v>0.17840849764638805</v>
      </c>
      <c r="H113" s="773">
        <v>0.26600000000000001</v>
      </c>
      <c r="I113" s="771">
        <v>0.52</v>
      </c>
      <c r="J113" s="601">
        <v>5.26</v>
      </c>
      <c r="K113" s="426" t="str">
        <f t="shared" si="651"/>
        <v>1313</v>
      </c>
      <c r="L113" s="327"/>
      <c r="M113" s="173">
        <f t="shared" si="667"/>
        <v>5.26</v>
      </c>
      <c r="N113" s="21">
        <f t="shared" si="668"/>
        <v>-7.6788717815588283</v>
      </c>
      <c r="O113" s="5">
        <f t="shared" si="669"/>
        <v>-2.8626905668104583</v>
      </c>
      <c r="P113" s="10">
        <f t="shared" si="670"/>
        <v>-1.922105797071084</v>
      </c>
      <c r="Q113" s="624">
        <f t="shared" si="528"/>
        <v>200.44550210140949</v>
      </c>
      <c r="R113" s="5">
        <f t="shared" si="725"/>
        <v>8.1951247164961458</v>
      </c>
      <c r="S113" s="6">
        <f t="shared" si="726"/>
        <v>-1.922105797071084</v>
      </c>
      <c r="T113" s="4">
        <f t="shared" si="727"/>
        <v>-2.8626905668104565</v>
      </c>
      <c r="U113" s="5">
        <f t="shared" si="728"/>
        <v>7.6788717815588283</v>
      </c>
      <c r="V113" s="8">
        <f t="shared" si="729"/>
        <v>-1.922105797071084</v>
      </c>
      <c r="W113" s="624">
        <f t="shared" si="652"/>
        <v>110.44550210140949</v>
      </c>
      <c r="X113" s="5">
        <f t="shared" si="730"/>
        <v>8.1951247164961458</v>
      </c>
      <c r="Y113" s="7">
        <f t="shared" si="650"/>
        <v>-1.922105797071084</v>
      </c>
      <c r="Z113" s="21">
        <f t="shared" si="671"/>
        <v>0.19640411282789502</v>
      </c>
      <c r="AA113" s="5">
        <f t="shared" si="672"/>
        <v>0.96415550220482915</v>
      </c>
      <c r="AB113" s="5">
        <f t="shared" si="673"/>
        <v>-0.17840849764638805</v>
      </c>
      <c r="AC113" s="8">
        <f t="shared" si="731"/>
        <v>1</v>
      </c>
      <c r="AD113" s="9">
        <f t="shared" si="732"/>
        <v>0.19640411282789502</v>
      </c>
      <c r="AE113" s="5">
        <f t="shared" si="733"/>
        <v>0.96415550220482915</v>
      </c>
      <c r="AF113" s="10">
        <f t="shared" si="734"/>
        <v>-0.17840849764638805</v>
      </c>
      <c r="AG113" s="622">
        <f t="shared" si="735"/>
        <v>79.516499028756755</v>
      </c>
      <c r="AH113" s="623">
        <f t="shared" si="736"/>
        <v>78.67324036279004</v>
      </c>
      <c r="AI113" s="624">
        <f t="shared" si="737"/>
        <v>-79.722926997455346</v>
      </c>
      <c r="AJ113" s="625">
        <f t="shared" si="738"/>
        <v>168.486050928559</v>
      </c>
      <c r="AK113" s="4">
        <f t="shared" si="739"/>
        <v>0.8348112462607169</v>
      </c>
      <c r="AL113" s="5">
        <f t="shared" si="740"/>
        <v>-0.52082683406693575</v>
      </c>
      <c r="AM113" s="6">
        <f t="shared" si="741"/>
        <v>-0.17840849764638805</v>
      </c>
      <c r="AN113" s="612">
        <f t="shared" si="742"/>
        <v>-71.091176292872987</v>
      </c>
      <c r="AO113" s="613">
        <f t="shared" si="466"/>
        <v>33.403811021437605</v>
      </c>
      <c r="AP113" s="624">
        <f t="shared" si="743"/>
        <v>-31.959451172850478</v>
      </c>
      <c r="AQ113" s="625">
        <f t="shared" si="674"/>
        <v>1.5129519926077706</v>
      </c>
      <c r="AS113" s="56">
        <f t="shared" si="746"/>
        <v>-249.55449789859051</v>
      </c>
      <c r="AT113" s="78">
        <f t="shared" si="675"/>
        <v>-0.97934436056529761</v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>
        <f t="shared" si="720"/>
        <v>5.26</v>
      </c>
      <c r="IH113" s="797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5.16</v>
      </c>
      <c r="II113" s="800" cm="1">
        <f t="array" ref="II113">IFERROR(IF($IH113&lt;1,$IH113+LARGE((IF($M$9:$M$150="",0,$M$9:$M$150)-MOD(IF($M$9:$M$150="",0,$M$9:$M$150),1)),1),$IH113),"")</f>
        <v>5.16</v>
      </c>
      <c r="IJ113" s="839" t="str">
        <f t="shared" si="721"/>
        <v>1613</v>
      </c>
      <c r="IK113" s="839" t="str">
        <f t="shared" si="722"/>
        <v>1313</v>
      </c>
      <c r="IL113" s="791">
        <f t="shared" si="654"/>
        <v>11.306498367543639</v>
      </c>
      <c r="IM113" s="830">
        <v>1.78958809238361E-3</v>
      </c>
      <c r="IN113" s="5">
        <f t="shared" si="655"/>
        <v>0.04</v>
      </c>
      <c r="IO113" s="852">
        <v>20</v>
      </c>
      <c r="IP113" s="9">
        <f t="shared" si="656"/>
        <v>-8.1439245620764797</v>
      </c>
      <c r="IQ113" s="5">
        <f t="shared" si="657"/>
        <v>-1.9320058269295735</v>
      </c>
      <c r="IR113" s="5">
        <f t="shared" si="723"/>
        <v>0.314</v>
      </c>
      <c r="IS113" s="5">
        <f t="shared" si="658"/>
        <v>0.27619971552481148</v>
      </c>
      <c r="IT113" s="791">
        <f t="shared" si="659"/>
        <v>71.091179669591966</v>
      </c>
      <c r="IU113" s="9">
        <f t="shared" si="660"/>
        <v>-8.1951247164961458</v>
      </c>
      <c r="IV113" s="5">
        <f t="shared" si="661"/>
        <v>-1.922105797071084</v>
      </c>
      <c r="IW113" s="5">
        <f t="shared" si="724"/>
        <v>0.26600000000000001</v>
      </c>
      <c r="IX113" s="5">
        <f t="shared" si="662"/>
        <v>0.22205979150535071</v>
      </c>
      <c r="IY113" s="833">
        <f t="shared" si="663"/>
        <v>71.091176292872987</v>
      </c>
    </row>
    <row r="114" spans="1:259" ht="15" customHeight="1" x14ac:dyDescent="0.25">
      <c r="A114" s="84">
        <f t="shared" si="527"/>
        <v>0</v>
      </c>
      <c r="B114" s="770">
        <v>-7.9584662688926757</v>
      </c>
      <c r="C114" s="771">
        <v>-2.7025735500268353</v>
      </c>
      <c r="D114" s="772">
        <v>-2.6561080108217605</v>
      </c>
      <c r="E114" s="773">
        <v>-0.77279443235498846</v>
      </c>
      <c r="F114" s="771">
        <v>-0.26242942146096271</v>
      </c>
      <c r="G114" s="774">
        <v>0.57785773688062325</v>
      </c>
      <c r="H114" s="773">
        <v>0.25700000000000001</v>
      </c>
      <c r="I114" s="771">
        <v>0.41499999999999992</v>
      </c>
      <c r="J114" s="601">
        <v>5.266</v>
      </c>
      <c r="K114" s="426" t="str">
        <f t="shared" si="651"/>
        <v>Knuckle</v>
      </c>
      <c r="L114" s="327"/>
      <c r="M114" s="173">
        <f t="shared" si="667"/>
        <v>5.266</v>
      </c>
      <c r="N114" s="21">
        <f t="shared" si="668"/>
        <v>-7.9584662688926757</v>
      </c>
      <c r="O114" s="5">
        <f t="shared" si="669"/>
        <v>-2.7025735500268353</v>
      </c>
      <c r="P114" s="10">
        <f t="shared" si="670"/>
        <v>-2.6561080108217605</v>
      </c>
      <c r="Q114" s="624">
        <f t="shared" si="528"/>
        <v>198.75670234524202</v>
      </c>
      <c r="R114" s="5">
        <f t="shared" si="725"/>
        <v>8.4048253489532527</v>
      </c>
      <c r="S114" s="6">
        <f t="shared" si="726"/>
        <v>-2.6561080108217605</v>
      </c>
      <c r="T114" s="4">
        <f t="shared" si="727"/>
        <v>-2.7025735500268357</v>
      </c>
      <c r="U114" s="5">
        <f t="shared" si="728"/>
        <v>7.9584662688926757</v>
      </c>
      <c r="V114" s="8">
        <f t="shared" si="729"/>
        <v>-2.6561080108217605</v>
      </c>
      <c r="W114" s="624">
        <f t="shared" si="652"/>
        <v>108.75670234524202</v>
      </c>
      <c r="X114" s="5">
        <f t="shared" si="730"/>
        <v>8.4048253489532527</v>
      </c>
      <c r="Y114" s="7">
        <f t="shared" si="650"/>
        <v>-2.6561080108217605</v>
      </c>
      <c r="Z114" s="21">
        <f t="shared" si="671"/>
        <v>0.77279443235498846</v>
      </c>
      <c r="AA114" s="5">
        <f t="shared" si="672"/>
        <v>0.26242942146096271</v>
      </c>
      <c r="AB114" s="5">
        <f t="shared" si="673"/>
        <v>-0.57785773688062325</v>
      </c>
      <c r="AC114" s="8">
        <f t="shared" si="731"/>
        <v>1</v>
      </c>
      <c r="AD114" s="9">
        <f t="shared" si="732"/>
        <v>0.77279443235498846</v>
      </c>
      <c r="AE114" s="5">
        <f t="shared" si="733"/>
        <v>0.26242942146096271</v>
      </c>
      <c r="AF114" s="10">
        <f t="shared" si="734"/>
        <v>-0.57785773688062325</v>
      </c>
      <c r="AG114" s="622">
        <f t="shared" si="735"/>
        <v>24.424790033382742</v>
      </c>
      <c r="AH114" s="623">
        <f t="shared" si="736"/>
        <v>39.39450607910323</v>
      </c>
      <c r="AI114" s="624">
        <f t="shared" si="737"/>
        <v>-54.699992102299341</v>
      </c>
      <c r="AJ114" s="625">
        <f t="shared" si="738"/>
        <v>108.75671826705694</v>
      </c>
      <c r="AK114" s="4">
        <f t="shared" si="739"/>
        <v>2.2679489672383646E-7</v>
      </c>
      <c r="AL114" s="5">
        <f t="shared" si="740"/>
        <v>-0.81613751042771765</v>
      </c>
      <c r="AM114" s="6">
        <f t="shared" si="741"/>
        <v>-0.57785773688062325</v>
      </c>
      <c r="AN114" s="612">
        <f t="shared" si="742"/>
        <v>-54.699992102298303</v>
      </c>
      <c r="AO114" s="613">
        <f t="shared" si="466"/>
        <v>0</v>
      </c>
      <c r="AP114" s="624">
        <f t="shared" si="743"/>
        <v>-89.999984078185065</v>
      </c>
      <c r="AQ114" s="625">
        <f t="shared" si="674"/>
        <v>1.4752206912219759</v>
      </c>
      <c r="AS114" s="56">
        <f t="shared" si="746"/>
        <v>-251.24329765475798</v>
      </c>
      <c r="AT114" s="78">
        <f t="shared" si="675"/>
        <v>-1.7069666641260079</v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>
        <f t="shared" si="720"/>
        <v>5.266</v>
      </c>
      <c r="IH114" s="797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5.1660000000000004</v>
      </c>
      <c r="II114" s="800" cm="1">
        <f t="array" ref="II114">IFERROR(IF($IH114&lt;1,$IH114+LARGE((IF($M$9:$M$150="",0,$M$9:$M$150)-MOD(IF($M$9:$M$150="",0,$M$9:$M$150),1)),1),$IH114),"")</f>
        <v>5.1660000000000004</v>
      </c>
      <c r="IJ114" s="839" t="str">
        <f t="shared" si="721"/>
        <v>1613</v>
      </c>
      <c r="IK114" s="839" t="str">
        <f t="shared" si="722"/>
        <v>Knuckle</v>
      </c>
      <c r="IL114" s="791">
        <f t="shared" si="654"/>
        <v>12.727298162405503</v>
      </c>
      <c r="IM114" s="830">
        <v>6.0606364514605398E-4</v>
      </c>
      <c r="IN114" s="5">
        <f t="shared" si="655"/>
        <v>0</v>
      </c>
      <c r="IO114" s="852">
        <v>0</v>
      </c>
      <c r="IP114" s="9">
        <f t="shared" si="656"/>
        <v>-8.3932253139675481</v>
      </c>
      <c r="IQ114" s="5">
        <f t="shared" si="657"/>
        <v>-2.649707991519302</v>
      </c>
      <c r="IR114" s="5">
        <f t="shared" si="723"/>
        <v>0.314</v>
      </c>
      <c r="IS114" s="5">
        <f t="shared" si="658"/>
        <v>0.26809479775340411</v>
      </c>
      <c r="IT114" s="791">
        <f t="shared" si="659"/>
        <v>79.318485036040187</v>
      </c>
      <c r="IU114" s="9">
        <f t="shared" si="660"/>
        <v>-8.4048253489532527</v>
      </c>
      <c r="IV114" s="5">
        <f t="shared" si="661"/>
        <v>-2.6561080108217605</v>
      </c>
      <c r="IW114" s="5">
        <f t="shared" si="724"/>
        <v>0.25700000000000001</v>
      </c>
      <c r="IX114" s="5">
        <f t="shared" si="662"/>
        <v>0.25700000000000001</v>
      </c>
      <c r="IY114" s="833">
        <f t="shared" si="663"/>
        <v>54.699992102298303</v>
      </c>
    </row>
    <row r="115" spans="1:259" ht="15" customHeight="1" x14ac:dyDescent="0.25">
      <c r="A115" s="84">
        <f t="shared" si="527"/>
        <v>0</v>
      </c>
      <c r="B115" s="770">
        <v>-8.0621423996767252</v>
      </c>
      <c r="C115" s="771">
        <v>-2.6146497820143688</v>
      </c>
      <c r="D115" s="772">
        <v>-3.409310282479812</v>
      </c>
      <c r="E115" s="773">
        <v>-0.85349557703359347</v>
      </c>
      <c r="F115" s="771">
        <v>-0.27679912311354599</v>
      </c>
      <c r="G115" s="774">
        <v>0.44150599704609367</v>
      </c>
      <c r="H115" s="773">
        <v>0.25700000000000001</v>
      </c>
      <c r="I115" s="771">
        <v>0.41499999999999992</v>
      </c>
      <c r="J115" s="601">
        <v>5.2720000000000002</v>
      </c>
      <c r="K115" s="426" t="str">
        <f t="shared" si="651"/>
        <v>Knuckle</v>
      </c>
      <c r="L115" s="327"/>
      <c r="M115" s="173">
        <f t="shared" si="667"/>
        <v>5.2720000000000002</v>
      </c>
      <c r="N115" s="21">
        <f t="shared" si="668"/>
        <v>-8.0621423996767252</v>
      </c>
      <c r="O115" s="5">
        <f t="shared" si="669"/>
        <v>-2.6146497820143688</v>
      </c>
      <c r="P115" s="10">
        <f t="shared" si="670"/>
        <v>-3.409310282479812</v>
      </c>
      <c r="Q115" s="624">
        <f t="shared" si="528"/>
        <v>197.968502459044</v>
      </c>
      <c r="R115" s="5">
        <f t="shared" si="725"/>
        <v>8.4755255621850942</v>
      </c>
      <c r="S115" s="6">
        <f t="shared" si="726"/>
        <v>-3.409310282479812</v>
      </c>
      <c r="T115" s="4">
        <f t="shared" si="727"/>
        <v>-2.6146497820143679</v>
      </c>
      <c r="U115" s="5">
        <f t="shared" si="728"/>
        <v>8.0621423996767252</v>
      </c>
      <c r="V115" s="8">
        <f t="shared" si="729"/>
        <v>-3.409310282479812</v>
      </c>
      <c r="W115" s="624">
        <f t="shared" si="652"/>
        <v>107.968502459044</v>
      </c>
      <c r="X115" s="5">
        <f t="shared" si="730"/>
        <v>8.4755255621850942</v>
      </c>
      <c r="Y115" s="7">
        <f t="shared" si="650"/>
        <v>-3.409310282479812</v>
      </c>
      <c r="Z115" s="21">
        <f t="shared" si="671"/>
        <v>0.85349557703359347</v>
      </c>
      <c r="AA115" s="5">
        <f t="shared" si="672"/>
        <v>0.27679912311354599</v>
      </c>
      <c r="AB115" s="5">
        <f t="shared" si="673"/>
        <v>-0.44150599704609367</v>
      </c>
      <c r="AC115" s="8">
        <f t="shared" si="731"/>
        <v>1</v>
      </c>
      <c r="AD115" s="9">
        <f t="shared" si="732"/>
        <v>0.85349557703359347</v>
      </c>
      <c r="AE115" s="5">
        <f t="shared" si="733"/>
        <v>0.27679912311354599</v>
      </c>
      <c r="AF115" s="10">
        <f t="shared" si="734"/>
        <v>-0.44150599704609367</v>
      </c>
      <c r="AG115" s="622">
        <f t="shared" si="735"/>
        <v>32.085370428199901</v>
      </c>
      <c r="AH115" s="623">
        <f t="shared" si="736"/>
        <v>31.406072080006325</v>
      </c>
      <c r="AI115" s="624">
        <f t="shared" si="737"/>
        <v>-63.799990788421759</v>
      </c>
      <c r="AJ115" s="625">
        <f t="shared" si="738"/>
        <v>107.96851694137358</v>
      </c>
      <c r="AK115" s="4">
        <f t="shared" si="739"/>
        <v>2.2679489669608088E-7</v>
      </c>
      <c r="AL115" s="5">
        <f t="shared" si="740"/>
        <v>-0.89725829869234608</v>
      </c>
      <c r="AM115" s="6">
        <f t="shared" si="741"/>
        <v>-0.44150599704609367</v>
      </c>
      <c r="AN115" s="612">
        <f t="shared" si="742"/>
        <v>-63.799990788421049</v>
      </c>
      <c r="AO115" s="613">
        <f t="shared" si="466"/>
        <v>0</v>
      </c>
      <c r="AP115" s="624">
        <f t="shared" si="743"/>
        <v>-89.999985517670424</v>
      </c>
      <c r="AQ115" s="625">
        <f t="shared" si="674"/>
        <v>1.4629202264990255</v>
      </c>
      <c r="AS115" s="56">
        <f t="shared" si="746"/>
        <v>-252.031497540956</v>
      </c>
      <c r="AT115" s="78">
        <f t="shared" si="675"/>
        <v>-2.4571912917695338</v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>
        <f>IFERROR(IF((((($IW115*COS(RADIANS(180-$IY115)))*COS(RADIANS($IY115)))-(($IX115*SIN(RADIANS(180-$IY115)))*SIN(RADIANS($IY115))))+$IU115)&lt;(((Settings!$C$19/2)*-1)+$IF$8),1,""),"")</f>
        <v>1</v>
      </c>
      <c r="IG115" s="836">
        <f t="shared" si="720"/>
        <v>5.2720000000000002</v>
      </c>
      <c r="IH115" s="797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5.1719999999999997</v>
      </c>
      <c r="II115" s="800" cm="1">
        <f t="array" ref="II115">IFERROR(IF($IH115&lt;1,$IH115+LARGE((IF($M$9:$M$150="",0,$M$9:$M$150)-MOD(IF($M$9:$M$150="",0,$M$9:$M$150),1)),1),$IH115),"")</f>
        <v>5.1719999999999997</v>
      </c>
      <c r="IJ115" s="839" t="str">
        <f t="shared" si="721"/>
        <v>1613</v>
      </c>
      <c r="IK115" s="839" t="str">
        <f t="shared" si="722"/>
        <v>Knuckle</v>
      </c>
      <c r="IL115" s="791">
        <f t="shared" si="654"/>
        <v>13.515498048603519</v>
      </c>
      <c r="IM115" s="830">
        <v>8.6113438252368105E-5</v>
      </c>
      <c r="IN115" s="5">
        <f t="shared" si="655"/>
        <v>0</v>
      </c>
      <c r="IO115" s="852">
        <v>0</v>
      </c>
      <c r="IP115" s="9">
        <f t="shared" si="656"/>
        <v>-8.4749255603754907</v>
      </c>
      <c r="IQ115" s="5">
        <f t="shared" si="657"/>
        <v>-3.4002102550341284</v>
      </c>
      <c r="IR115" s="5">
        <f t="shared" si="723"/>
        <v>0.314</v>
      </c>
      <c r="IS115" s="5">
        <f t="shared" si="658"/>
        <v>0.25685422853576889</v>
      </c>
      <c r="IT115" s="791">
        <f t="shared" si="659"/>
        <v>86.352794803923487</v>
      </c>
      <c r="IU115" s="9">
        <f t="shared" si="660"/>
        <v>-8.4755255621850942</v>
      </c>
      <c r="IV115" s="5">
        <f t="shared" si="661"/>
        <v>-3.409310282479812</v>
      </c>
      <c r="IW115" s="5">
        <f t="shared" si="724"/>
        <v>0.25700000000000001</v>
      </c>
      <c r="IX115" s="5">
        <f t="shared" si="662"/>
        <v>0.25700000000000001</v>
      </c>
      <c r="IY115" s="833">
        <f t="shared" si="663"/>
        <v>63.799990788421049</v>
      </c>
    </row>
    <row r="116" spans="1:259" ht="15" customHeight="1" x14ac:dyDescent="0.25">
      <c r="A116" s="84">
        <f t="shared" si="527"/>
        <v>0.02</v>
      </c>
      <c r="B116" s="770">
        <v>-2.3314340211330946</v>
      </c>
      <c r="C116" s="771">
        <v>1.3460540596990442</v>
      </c>
      <c r="D116" s="772">
        <v>-0.57640173842764331</v>
      </c>
      <c r="E116" s="773">
        <v>-0.42495023251139524</v>
      </c>
      <c r="F116" s="771">
        <v>-0.87000995181435847</v>
      </c>
      <c r="G116" s="774">
        <v>0.24999996726497567</v>
      </c>
      <c r="H116" s="773">
        <v>0.314</v>
      </c>
      <c r="I116" s="771">
        <v>0.52</v>
      </c>
      <c r="J116" s="601">
        <v>6.1109999999999998</v>
      </c>
      <c r="K116" s="426" t="str">
        <f t="shared" si="651"/>
        <v>1613</v>
      </c>
      <c r="L116" s="327"/>
      <c r="M116" s="173">
        <f t="shared" si="667"/>
        <v>6.1109999999999998</v>
      </c>
      <c r="N116" s="21">
        <f t="shared" si="668"/>
        <v>-2.3314340211330946</v>
      </c>
      <c r="O116" s="5">
        <f t="shared" si="669"/>
        <v>1.3460540596990442</v>
      </c>
      <c r="P116" s="10">
        <f t="shared" si="670"/>
        <v>-0.57640173842764331</v>
      </c>
      <c r="Q116" s="624">
        <f t="shared" si="528"/>
        <v>149.99999999999997</v>
      </c>
      <c r="R116" s="5">
        <f t="shared" si="725"/>
        <v>2.692108119398088</v>
      </c>
      <c r="S116" s="6">
        <f t="shared" si="726"/>
        <v>-0.57640173842764331</v>
      </c>
      <c r="T116" s="4">
        <f t="shared" si="727"/>
        <v>1.3460540596990451</v>
      </c>
      <c r="U116" s="5">
        <f t="shared" si="728"/>
        <v>2.3314340211330942</v>
      </c>
      <c r="V116" s="8">
        <f t="shared" si="729"/>
        <v>-0.57640173842764331</v>
      </c>
      <c r="W116" s="624">
        <f t="shared" si="652"/>
        <v>59.999999999999972</v>
      </c>
      <c r="X116" s="5">
        <f t="shared" si="730"/>
        <v>2.692108119398088</v>
      </c>
      <c r="Y116" s="7">
        <f t="shared" si="650"/>
        <v>-0.57640173842764331</v>
      </c>
      <c r="Z116" s="21">
        <f t="shared" si="671"/>
        <v>0.42495023251139524</v>
      </c>
      <c r="AA116" s="5">
        <f t="shared" si="672"/>
        <v>0.87000995181435847</v>
      </c>
      <c r="AB116" s="5">
        <f t="shared" si="673"/>
        <v>-0.24999996726497567</v>
      </c>
      <c r="AC116" s="8">
        <f t="shared" si="731"/>
        <v>1</v>
      </c>
      <c r="AD116" s="9">
        <f t="shared" si="732"/>
        <v>0.42495023251139524</v>
      </c>
      <c r="AE116" s="5">
        <f t="shared" si="733"/>
        <v>0.87000995181435847</v>
      </c>
      <c r="AF116" s="10">
        <f t="shared" si="734"/>
        <v>-0.24999996726497567</v>
      </c>
      <c r="AG116" s="622">
        <f t="shared" si="735"/>
        <v>73.967836603437476</v>
      </c>
      <c r="AH116" s="623">
        <f t="shared" si="736"/>
        <v>64.852486666115553</v>
      </c>
      <c r="AI116" s="624">
        <f t="shared" si="737"/>
        <v>-75.522489751159455</v>
      </c>
      <c r="AJ116" s="625">
        <f t="shared" si="738"/>
        <v>153.96712964508657</v>
      </c>
      <c r="AK116" s="4">
        <f t="shared" si="739"/>
        <v>0.96592583607220739</v>
      </c>
      <c r="AL116" s="5">
        <f t="shared" si="740"/>
        <v>6.6987279208207573E-2</v>
      </c>
      <c r="AM116" s="6">
        <f t="shared" si="741"/>
        <v>-0.24999996726497567</v>
      </c>
      <c r="AN116" s="612">
        <f t="shared" si="742"/>
        <v>14.999997834268347</v>
      </c>
      <c r="AO116" s="613">
        <f t="shared" si="466"/>
        <v>14.999997834268255</v>
      </c>
      <c r="AP116" s="624">
        <f t="shared" si="743"/>
        <v>3.9671296450865934</v>
      </c>
      <c r="AQ116" s="625">
        <f t="shared" si="674"/>
        <v>4.5968036923728848</v>
      </c>
      <c r="AS116" s="56">
        <f t="shared" si="746"/>
        <v>-300</v>
      </c>
      <c r="AT116" s="78">
        <f t="shared" si="675"/>
        <v>0.55693159490569</v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>
        <f t="shared" si="720"/>
        <v>6.1109999999999998</v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0.02</v>
      </c>
      <c r="B117" s="770">
        <v>-2.9738536031978509</v>
      </c>
      <c r="C117" s="771">
        <v>1.7169551783368182</v>
      </c>
      <c r="D117" s="772">
        <v>-0.37760113884503466</v>
      </c>
      <c r="E117" s="773">
        <v>-0.42495023251139524</v>
      </c>
      <c r="F117" s="771">
        <v>-0.87000995181435847</v>
      </c>
      <c r="G117" s="774">
        <v>0.24999996726497567</v>
      </c>
      <c r="H117" s="773">
        <v>0.314</v>
      </c>
      <c r="I117" s="771">
        <v>0.52</v>
      </c>
      <c r="J117" s="601">
        <v>6.117</v>
      </c>
      <c r="K117" s="426" t="str">
        <f t="shared" si="651"/>
        <v>1613</v>
      </c>
      <c r="L117" s="327"/>
      <c r="M117" s="173">
        <f t="shared" si="667"/>
        <v>6.117</v>
      </c>
      <c r="N117" s="21">
        <f t="shared" si="668"/>
        <v>-2.9738536031978509</v>
      </c>
      <c r="O117" s="5">
        <f t="shared" si="669"/>
        <v>1.7169551783368182</v>
      </c>
      <c r="P117" s="10">
        <f t="shared" si="670"/>
        <v>-0.37760113884503466</v>
      </c>
      <c r="Q117" s="624">
        <f t="shared" si="528"/>
        <v>149.99999999999997</v>
      </c>
      <c r="R117" s="5">
        <f t="shared" si="725"/>
        <v>3.4339103566736355</v>
      </c>
      <c r="S117" s="6">
        <f t="shared" si="726"/>
        <v>-0.37760113884503466</v>
      </c>
      <c r="T117" s="4">
        <f t="shared" si="727"/>
        <v>1.7169551783368193</v>
      </c>
      <c r="U117" s="5">
        <f t="shared" si="728"/>
        <v>2.97385360319785</v>
      </c>
      <c r="V117" s="8">
        <f t="shared" si="729"/>
        <v>-0.37760113884503466</v>
      </c>
      <c r="W117" s="624">
        <f t="shared" si="652"/>
        <v>59.999999999999972</v>
      </c>
      <c r="X117" s="5">
        <f t="shared" si="730"/>
        <v>3.4339103566736355</v>
      </c>
      <c r="Y117" s="7">
        <f t="shared" si="650"/>
        <v>-0.37760113884503466</v>
      </c>
      <c r="Z117" s="21">
        <f t="shared" si="671"/>
        <v>0.42495023251139524</v>
      </c>
      <c r="AA117" s="5">
        <f t="shared" si="672"/>
        <v>0.87000995181435847</v>
      </c>
      <c r="AB117" s="5">
        <f t="shared" si="673"/>
        <v>-0.24999996726497567</v>
      </c>
      <c r="AC117" s="8">
        <f t="shared" si="731"/>
        <v>1</v>
      </c>
      <c r="AD117" s="9">
        <f t="shared" si="732"/>
        <v>0.42495023251139524</v>
      </c>
      <c r="AE117" s="5">
        <f t="shared" si="733"/>
        <v>0.87000995181435847</v>
      </c>
      <c r="AF117" s="10">
        <f t="shared" si="734"/>
        <v>-0.24999996726497567</v>
      </c>
      <c r="AG117" s="622">
        <f t="shared" si="735"/>
        <v>73.967836603437476</v>
      </c>
      <c r="AH117" s="623">
        <f t="shared" si="736"/>
        <v>64.852486666115553</v>
      </c>
      <c r="AI117" s="624">
        <f t="shared" si="737"/>
        <v>-75.522489751159455</v>
      </c>
      <c r="AJ117" s="625">
        <f t="shared" si="738"/>
        <v>153.96712964508657</v>
      </c>
      <c r="AK117" s="4">
        <f t="shared" si="739"/>
        <v>0.96592583607220739</v>
      </c>
      <c r="AL117" s="5">
        <f t="shared" si="740"/>
        <v>6.6987279208207573E-2</v>
      </c>
      <c r="AM117" s="6">
        <f t="shared" si="741"/>
        <v>-0.24999996726497567</v>
      </c>
      <c r="AN117" s="612">
        <f t="shared" si="742"/>
        <v>14.999997834268347</v>
      </c>
      <c r="AO117" s="613">
        <f t="shared" si="466"/>
        <v>14.999997834268255</v>
      </c>
      <c r="AP117" s="624">
        <f t="shared" si="743"/>
        <v>3.9671296450865934</v>
      </c>
      <c r="AQ117" s="625">
        <f t="shared" si="674"/>
        <v>3.6067706541816551</v>
      </c>
      <c r="AS117" s="56">
        <f t="shared" si="746"/>
        <v>-300</v>
      </c>
      <c r="AT117" s="78">
        <f t="shared" si="675"/>
        <v>0.75573219448829865</v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>
        <f t="shared" si="720"/>
        <v>6.117</v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0.02</v>
      </c>
      <c r="B118" s="770">
        <v>-3.6164463908657534</v>
      </c>
      <c r="C118" s="771">
        <v>2.087956297276194</v>
      </c>
      <c r="D118" s="772">
        <v>-0.17880053926242614</v>
      </c>
      <c r="E118" s="773">
        <v>-0.43636080064898414</v>
      </c>
      <c r="F118" s="771">
        <v>-0.86342205722851495</v>
      </c>
      <c r="G118" s="774">
        <v>0.2531631939051503</v>
      </c>
      <c r="H118" s="773">
        <v>0.314</v>
      </c>
      <c r="I118" s="771">
        <v>0.52</v>
      </c>
      <c r="J118" s="601">
        <v>6.1230000000000002</v>
      </c>
      <c r="K118" s="426" t="str">
        <f t="shared" si="651"/>
        <v>1613</v>
      </c>
      <c r="L118" s="327"/>
      <c r="M118" s="173">
        <f t="shared" si="667"/>
        <v>6.1230000000000002</v>
      </c>
      <c r="N118" s="21">
        <f t="shared" si="668"/>
        <v>-3.6164463908657534</v>
      </c>
      <c r="O118" s="5">
        <f t="shared" si="669"/>
        <v>2.087956297276194</v>
      </c>
      <c r="P118" s="10">
        <f t="shared" si="670"/>
        <v>-0.17880053926242614</v>
      </c>
      <c r="Q118" s="624">
        <f t="shared" si="528"/>
        <v>149.99999999999997</v>
      </c>
      <c r="R118" s="5">
        <f t="shared" si="725"/>
        <v>4.1759125945523872</v>
      </c>
      <c r="S118" s="6">
        <f t="shared" si="726"/>
        <v>-0.17880053926242614</v>
      </c>
      <c r="T118" s="4">
        <f t="shared" si="727"/>
        <v>2.0879562972761954</v>
      </c>
      <c r="U118" s="5">
        <f t="shared" si="728"/>
        <v>3.6164463908657529</v>
      </c>
      <c r="V118" s="8">
        <f t="shared" si="729"/>
        <v>-0.17880053926242614</v>
      </c>
      <c r="W118" s="624">
        <f t="shared" si="652"/>
        <v>59.999999999999972</v>
      </c>
      <c r="X118" s="5">
        <f t="shared" si="730"/>
        <v>4.1759125945523872</v>
      </c>
      <c r="Y118" s="7">
        <f t="shared" si="650"/>
        <v>-0.17880053926242614</v>
      </c>
      <c r="Z118" s="21">
        <f t="shared" si="671"/>
        <v>0.43636080064898414</v>
      </c>
      <c r="AA118" s="5">
        <f t="shared" si="672"/>
        <v>0.86342205722851495</v>
      </c>
      <c r="AB118" s="5">
        <f t="shared" si="673"/>
        <v>-0.2531631939051503</v>
      </c>
      <c r="AC118" s="8">
        <f t="shared" si="731"/>
        <v>1</v>
      </c>
      <c r="AD118" s="9">
        <f t="shared" si="732"/>
        <v>0.43636080064898414</v>
      </c>
      <c r="AE118" s="5">
        <f t="shared" si="733"/>
        <v>0.86342205722851495</v>
      </c>
      <c r="AF118" s="10">
        <f t="shared" si="734"/>
        <v>-0.2531631939051503</v>
      </c>
      <c r="AG118" s="622">
        <f t="shared" si="735"/>
        <v>73.658383410601203</v>
      </c>
      <c r="AH118" s="623">
        <f t="shared" si="736"/>
        <v>64.128084610184445</v>
      </c>
      <c r="AI118" s="624">
        <f t="shared" si="737"/>
        <v>-75.33522701738265</v>
      </c>
      <c r="AJ118" s="625">
        <f t="shared" si="738"/>
        <v>153.18863774046523</v>
      </c>
      <c r="AK118" s="4">
        <f t="shared" si="739"/>
        <v>0.96592583607220739</v>
      </c>
      <c r="AL118" s="5">
        <f t="shared" si="740"/>
        <v>5.3811490036520582E-2</v>
      </c>
      <c r="AM118" s="6">
        <f t="shared" si="741"/>
        <v>-0.2531631939051503</v>
      </c>
      <c r="AN118" s="612">
        <f t="shared" si="742"/>
        <v>11.999998267414691</v>
      </c>
      <c r="AO118" s="613">
        <f t="shared" si="466"/>
        <v>14.999997834268255</v>
      </c>
      <c r="AP118" s="624">
        <f t="shared" si="743"/>
        <v>3.1886377404652579</v>
      </c>
      <c r="AQ118" s="625">
        <f t="shared" si="674"/>
        <v>2.9671656208338866</v>
      </c>
      <c r="AS118" s="56">
        <f t="shared" si="746"/>
        <v>-300</v>
      </c>
      <c r="AT118" s="78">
        <f t="shared" si="675"/>
        <v>0.95453279407090719</v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>
        <f t="shared" si="720"/>
        <v>6.1230000000000002</v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0.02</v>
      </c>
      <c r="B119" s="770">
        <v>-4.2554743356573015</v>
      </c>
      <c r="C119" s="771">
        <v>2.4984693626401682</v>
      </c>
      <c r="D119" s="772">
        <v>-4.7200142355629242E-2</v>
      </c>
      <c r="E119" s="773">
        <v>-0.53796966048394357</v>
      </c>
      <c r="F119" s="771">
        <v>-0.80238652925397336</v>
      </c>
      <c r="G119" s="774">
        <v>0.25838827773440692</v>
      </c>
      <c r="H119" s="773">
        <v>0.314</v>
      </c>
      <c r="I119" s="771">
        <v>0.52</v>
      </c>
      <c r="J119" s="601">
        <v>6.1289999999999996</v>
      </c>
      <c r="K119" s="426" t="str">
        <f t="shared" si="651"/>
        <v>1613</v>
      </c>
      <c r="L119" s="327"/>
      <c r="M119" s="173">
        <f t="shared" si="667"/>
        <v>6.1289999999999996</v>
      </c>
      <c r="N119" s="21">
        <f t="shared" si="668"/>
        <v>-4.2554743356573015</v>
      </c>
      <c r="O119" s="5">
        <f t="shared" si="669"/>
        <v>2.4984693626401682</v>
      </c>
      <c r="P119" s="10">
        <f t="shared" si="670"/>
        <v>-4.7200142355629242E-2</v>
      </c>
      <c r="Q119" s="624">
        <f t="shared" si="528"/>
        <v>149.5820000603517</v>
      </c>
      <c r="R119" s="5">
        <f t="shared" si="725"/>
        <v>4.9347148831000887</v>
      </c>
      <c r="S119" s="6">
        <f t="shared" si="726"/>
        <v>-4.7200142355629242E-2</v>
      </c>
      <c r="T119" s="4">
        <f t="shared" si="727"/>
        <v>2.4984693626401695</v>
      </c>
      <c r="U119" s="5">
        <f t="shared" si="728"/>
        <v>4.2554743356573006</v>
      </c>
      <c r="V119" s="8">
        <f t="shared" si="729"/>
        <v>-4.7200142355629242E-2</v>
      </c>
      <c r="W119" s="624">
        <f t="shared" si="652"/>
        <v>59.582000060351703</v>
      </c>
      <c r="X119" s="5">
        <f t="shared" si="730"/>
        <v>4.9347148831000887</v>
      </c>
      <c r="Y119" s="7">
        <f t="shared" si="650"/>
        <v>-4.7200142355629242E-2</v>
      </c>
      <c r="Z119" s="21">
        <f t="shared" si="671"/>
        <v>0.53796966048394357</v>
      </c>
      <c r="AA119" s="5">
        <f t="shared" si="672"/>
        <v>0.80238652925397336</v>
      </c>
      <c r="AB119" s="5">
        <f t="shared" si="673"/>
        <v>-0.25838827773440692</v>
      </c>
      <c r="AC119" s="8">
        <f t="shared" si="731"/>
        <v>1</v>
      </c>
      <c r="AD119" s="9">
        <f t="shared" si="732"/>
        <v>0.53796966048394357</v>
      </c>
      <c r="AE119" s="5">
        <f t="shared" si="733"/>
        <v>0.80238652925397336</v>
      </c>
      <c r="AF119" s="10">
        <f t="shared" si="734"/>
        <v>-0.25838827773440692</v>
      </c>
      <c r="AG119" s="622">
        <f t="shared" si="735"/>
        <v>72.15015943818824</v>
      </c>
      <c r="AH119" s="623">
        <f t="shared" si="736"/>
        <v>57.454468492385026</v>
      </c>
      <c r="AI119" s="624">
        <f t="shared" si="737"/>
        <v>-75.025550283287004</v>
      </c>
      <c r="AJ119" s="625">
        <f t="shared" si="738"/>
        <v>146.15965002727964</v>
      </c>
      <c r="AK119" s="4">
        <f t="shared" si="739"/>
        <v>0.96431832638667347</v>
      </c>
      <c r="AL119" s="5">
        <f t="shared" si="740"/>
        <v>-5.7668564437239223E-2</v>
      </c>
      <c r="AM119" s="6">
        <f t="shared" si="741"/>
        <v>-0.25838827773440692</v>
      </c>
      <c r="AN119" s="612">
        <f t="shared" si="742"/>
        <v>-12.58140148836315</v>
      </c>
      <c r="AO119" s="613">
        <f t="shared" si="466"/>
        <v>15.35182930625802</v>
      </c>
      <c r="AP119" s="624">
        <f t="shared" si="743"/>
        <v>-3.4223500330720529</v>
      </c>
      <c r="AQ119" s="625">
        <f t="shared" si="674"/>
        <v>2.5115470522164371</v>
      </c>
      <c r="AS119" s="56">
        <f t="shared" si="746"/>
        <v>-300.41799993964833</v>
      </c>
      <c r="AT119" s="78">
        <f t="shared" si="675"/>
        <v>1.0877123018608201</v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>
        <f t="shared" si="720"/>
        <v>6.1289999999999996</v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0.02</v>
      </c>
      <c r="B120" s="770">
        <v>-4.8935562308972029</v>
      </c>
      <c r="C120" s="771">
        <v>2.9341876958801292</v>
      </c>
      <c r="D120" s="772">
        <v>-9.2900280187244916E-2</v>
      </c>
      <c r="E120" s="773">
        <v>-0.60345746693328461</v>
      </c>
      <c r="F120" s="771">
        <v>-0.75950953930490117</v>
      </c>
      <c r="G120" s="774">
        <v>0.24286692921705239</v>
      </c>
      <c r="H120" s="773">
        <v>0.314</v>
      </c>
      <c r="I120" s="771">
        <v>0.52</v>
      </c>
      <c r="J120" s="601">
        <v>6.1349999999999998</v>
      </c>
      <c r="K120" s="426" t="str">
        <f t="shared" si="651"/>
        <v>1613</v>
      </c>
      <c r="L120" s="327"/>
      <c r="M120" s="173">
        <f t="shared" si="667"/>
        <v>6.1349999999999998</v>
      </c>
      <c r="N120" s="21">
        <f t="shared" si="668"/>
        <v>-4.8935562308972029</v>
      </c>
      <c r="O120" s="5">
        <f t="shared" si="669"/>
        <v>2.9341876958801292</v>
      </c>
      <c r="P120" s="10">
        <f t="shared" si="670"/>
        <v>-9.2900280187244916E-2</v>
      </c>
      <c r="Q120" s="624">
        <f t="shared" si="528"/>
        <v>149.05300013672985</v>
      </c>
      <c r="R120" s="5">
        <f t="shared" si="725"/>
        <v>5.7058172087447021</v>
      </c>
      <c r="S120" s="6">
        <f t="shared" si="726"/>
        <v>-9.2900280187244916E-2</v>
      </c>
      <c r="T120" s="4">
        <f t="shared" si="727"/>
        <v>2.9341876958801296</v>
      </c>
      <c r="U120" s="5">
        <f t="shared" si="728"/>
        <v>4.8935562308972029</v>
      </c>
      <c r="V120" s="8">
        <f t="shared" si="729"/>
        <v>-9.2900280187244916E-2</v>
      </c>
      <c r="W120" s="624">
        <f t="shared" si="652"/>
        <v>59.05300013672985</v>
      </c>
      <c r="X120" s="5">
        <f t="shared" si="730"/>
        <v>5.7058172087447021</v>
      </c>
      <c r="Y120" s="7">
        <f t="shared" si="650"/>
        <v>-9.2900280187244916E-2</v>
      </c>
      <c r="Z120" s="21">
        <f t="shared" si="671"/>
        <v>0.60345746693328461</v>
      </c>
      <c r="AA120" s="5">
        <f t="shared" si="672"/>
        <v>0.75950953930490117</v>
      </c>
      <c r="AB120" s="5">
        <f t="shared" si="673"/>
        <v>-0.24286692921705239</v>
      </c>
      <c r="AC120" s="8">
        <f t="shared" si="731"/>
        <v>1</v>
      </c>
      <c r="AD120" s="9">
        <f t="shared" si="732"/>
        <v>0.60345746693328461</v>
      </c>
      <c r="AE120" s="5">
        <f t="shared" si="733"/>
        <v>0.75950953930490117</v>
      </c>
      <c r="AF120" s="10">
        <f t="shared" si="734"/>
        <v>-0.24286692921705239</v>
      </c>
      <c r="AG120" s="622">
        <f t="shared" si="735"/>
        <v>72.267381409072186</v>
      </c>
      <c r="AH120" s="623">
        <f t="shared" si="736"/>
        <v>52.88207612340139</v>
      </c>
      <c r="AI120" s="624">
        <f t="shared" si="737"/>
        <v>-75.944189157141324</v>
      </c>
      <c r="AJ120" s="625">
        <f t="shared" si="738"/>
        <v>141.53160341237265</v>
      </c>
      <c r="AK120" s="4">
        <f t="shared" si="739"/>
        <v>0.96171326774087706</v>
      </c>
      <c r="AL120" s="5">
        <f t="shared" si="740"/>
        <v>-0.12697734185217363</v>
      </c>
      <c r="AM120" s="6">
        <f t="shared" si="741"/>
        <v>-0.24286692921705239</v>
      </c>
      <c r="AN120" s="612">
        <f t="shared" si="742"/>
        <v>-27.601774846996285</v>
      </c>
      <c r="AO120" s="613">
        <f t="shared" ref="AO120:AO150" si="751">IF(ROUND(IF(M120="",0,DEGREES(ACOS(AK120))),4)=90,0,IF(M120="","",DEGREES(ACOS(AK120))))</f>
        <v>15.905863605242526</v>
      </c>
      <c r="AP120" s="624">
        <f t="shared" si="743"/>
        <v>-7.5213967243572002</v>
      </c>
      <c r="AQ120" s="625">
        <f t="shared" si="674"/>
        <v>2.1724791685098022</v>
      </c>
      <c r="AS120" s="56">
        <f t="shared" si="746"/>
        <v>-300.94699986327015</v>
      </c>
      <c r="AT120" s="78">
        <f t="shared" si="675"/>
        <v>1.044010608185109</v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>
        <f t="shared" si="720"/>
        <v>6.1349999999999998</v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0.02</v>
      </c>
      <c r="B121" s="770">
        <v>-5.4819333135713562</v>
      </c>
      <c r="C121" s="771">
        <v>3.3667074460685478</v>
      </c>
      <c r="D121" s="772">
        <v>-0.30860093074040706</v>
      </c>
      <c r="E121" s="773">
        <v>-0.66981812070357039</v>
      </c>
      <c r="F121" s="771">
        <v>-0.70759077349546506</v>
      </c>
      <c r="G121" s="774">
        <v>0.22507550386753938</v>
      </c>
      <c r="H121" s="773">
        <v>0.314</v>
      </c>
      <c r="I121" s="771">
        <v>0.52</v>
      </c>
      <c r="J121" s="601">
        <v>6.141</v>
      </c>
      <c r="K121" s="426" t="str">
        <f t="shared" si="651"/>
        <v>1613</v>
      </c>
      <c r="L121" s="327"/>
      <c r="M121" s="173">
        <f t="shared" si="667"/>
        <v>6.141</v>
      </c>
      <c r="N121" s="21">
        <f t="shared" si="668"/>
        <v>-5.4819333135713562</v>
      </c>
      <c r="O121" s="5">
        <f t="shared" si="669"/>
        <v>3.3667074460685478</v>
      </c>
      <c r="P121" s="10">
        <f t="shared" si="670"/>
        <v>-0.30860093074040706</v>
      </c>
      <c r="Q121" s="624">
        <f t="shared" si="528"/>
        <v>148.44400022465857</v>
      </c>
      <c r="R121" s="5">
        <f t="shared" si="725"/>
        <v>6.4332194025897191</v>
      </c>
      <c r="S121" s="6">
        <f t="shared" si="726"/>
        <v>-0.30860093074040706</v>
      </c>
      <c r="T121" s="4">
        <f t="shared" si="727"/>
        <v>3.3667074460685482</v>
      </c>
      <c r="U121" s="5">
        <f t="shared" si="728"/>
        <v>5.4819333135713553</v>
      </c>
      <c r="V121" s="8">
        <f t="shared" si="729"/>
        <v>-0.30860093074040706</v>
      </c>
      <c r="W121" s="624">
        <f t="shared" si="652"/>
        <v>58.444000224658566</v>
      </c>
      <c r="X121" s="5">
        <f t="shared" si="730"/>
        <v>6.4332194025897191</v>
      </c>
      <c r="Y121" s="7">
        <f t="shared" si="650"/>
        <v>-0.30860093074040706</v>
      </c>
      <c r="Z121" s="21">
        <f t="shared" si="671"/>
        <v>0.66981812070357039</v>
      </c>
      <c r="AA121" s="5">
        <f t="shared" si="672"/>
        <v>0.70759077349546506</v>
      </c>
      <c r="AB121" s="5">
        <f t="shared" si="673"/>
        <v>-0.22507550386753938</v>
      </c>
      <c r="AC121" s="8">
        <f t="shared" si="731"/>
        <v>1</v>
      </c>
      <c r="AD121" s="9">
        <f t="shared" si="732"/>
        <v>0.66981812070357039</v>
      </c>
      <c r="AE121" s="5">
        <f t="shared" si="733"/>
        <v>0.70759077349546506</v>
      </c>
      <c r="AF121" s="10">
        <f t="shared" si="734"/>
        <v>-0.22507550386753938</v>
      </c>
      <c r="AG121" s="622">
        <f t="shared" si="735"/>
        <v>72.354803458363151</v>
      </c>
      <c r="AH121" s="623">
        <f t="shared" si="736"/>
        <v>47.946971175839387</v>
      </c>
      <c r="AI121" s="624">
        <f t="shared" si="737"/>
        <v>-76.992681899950171</v>
      </c>
      <c r="AJ121" s="625">
        <f t="shared" si="738"/>
        <v>136.57082717365358</v>
      </c>
      <c r="AK121" s="4">
        <f t="shared" si="739"/>
        <v>0.95349570785905091</v>
      </c>
      <c r="AL121" s="5">
        <f t="shared" si="740"/>
        <v>-0.20046683679137745</v>
      </c>
      <c r="AM121" s="6">
        <f t="shared" si="741"/>
        <v>-0.22507550386753938</v>
      </c>
      <c r="AN121" s="612">
        <f t="shared" si="742"/>
        <v>-41.690331286100744</v>
      </c>
      <c r="AO121" s="613">
        <f t="shared" si="751"/>
        <v>17.542106036536595</v>
      </c>
      <c r="AP121" s="624">
        <f t="shared" si="743"/>
        <v>-11.873173051004992</v>
      </c>
      <c r="AQ121" s="625">
        <f t="shared" si="674"/>
        <v>1.9270345899209977</v>
      </c>
      <c r="AS121" s="56">
        <f t="shared" si="746"/>
        <v>-301.55599977534143</v>
      </c>
      <c r="AT121" s="78">
        <f t="shared" si="675"/>
        <v>0.83061062396643848</v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>
        <f t="shared" si="720"/>
        <v>6.141</v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0.02</v>
      </c>
      <c r="B122" s="770">
        <v>-6.0062069062677415</v>
      </c>
      <c r="C122" s="771">
        <v>3.7789439728097891</v>
      </c>
      <c r="D122" s="772">
        <v>-0.68210205721980444</v>
      </c>
      <c r="E122" s="773">
        <v>-0.73594433874123244</v>
      </c>
      <c r="F122" s="771">
        <v>-0.64013886229483175</v>
      </c>
      <c r="G122" s="774">
        <v>0.22047259978194245</v>
      </c>
      <c r="H122" s="773">
        <v>0.314</v>
      </c>
      <c r="I122" s="771">
        <v>0.52</v>
      </c>
      <c r="J122" s="601">
        <v>6.1470000000000002</v>
      </c>
      <c r="K122" s="426" t="str">
        <f t="shared" si="651"/>
        <v>1613</v>
      </c>
      <c r="L122" s="327"/>
      <c r="M122" s="173">
        <f t="shared" si="667"/>
        <v>6.1470000000000002</v>
      </c>
      <c r="N122" s="21">
        <f t="shared" si="668"/>
        <v>-6.0062069062677415</v>
      </c>
      <c r="O122" s="5">
        <f t="shared" si="669"/>
        <v>3.7789439728097891</v>
      </c>
      <c r="P122" s="10">
        <f t="shared" si="670"/>
        <v>-0.68210205721980444</v>
      </c>
      <c r="Q122" s="624">
        <f t="shared" si="528"/>
        <v>147.82300031431987</v>
      </c>
      <c r="R122" s="5">
        <f t="shared" si="725"/>
        <v>7.0961214019021508</v>
      </c>
      <c r="S122" s="6">
        <f t="shared" si="726"/>
        <v>-0.68210205721980444</v>
      </c>
      <c r="T122" s="4">
        <f t="shared" si="727"/>
        <v>3.7789439728097873</v>
      </c>
      <c r="U122" s="5">
        <f t="shared" si="728"/>
        <v>6.0062069062677423</v>
      </c>
      <c r="V122" s="8">
        <f t="shared" si="729"/>
        <v>-0.68210205721980444</v>
      </c>
      <c r="W122" s="624">
        <f t="shared" si="652"/>
        <v>57.82300031431987</v>
      </c>
      <c r="X122" s="5">
        <f t="shared" si="730"/>
        <v>7.0961214019021508</v>
      </c>
      <c r="Y122" s="7">
        <f t="shared" si="650"/>
        <v>-0.68210205721980444</v>
      </c>
      <c r="Z122" s="21">
        <f t="shared" si="671"/>
        <v>0.73594433874123244</v>
      </c>
      <c r="AA122" s="5">
        <f t="shared" si="672"/>
        <v>0.64013886229483175</v>
      </c>
      <c r="AB122" s="5">
        <f t="shared" si="673"/>
        <v>-0.22047259978194245</v>
      </c>
      <c r="AC122" s="8">
        <f t="shared" si="731"/>
        <v>1</v>
      </c>
      <c r="AD122" s="9">
        <f t="shared" si="732"/>
        <v>0.73594433874123244</v>
      </c>
      <c r="AE122" s="5">
        <f t="shared" si="733"/>
        <v>0.64013886229483175</v>
      </c>
      <c r="AF122" s="10">
        <f t="shared" si="734"/>
        <v>-0.22047259978194245</v>
      </c>
      <c r="AG122" s="622">
        <f t="shared" si="735"/>
        <v>70.995590063619545</v>
      </c>
      <c r="AH122" s="623">
        <f t="shared" si="736"/>
        <v>42.612928164461366</v>
      </c>
      <c r="AI122" s="624">
        <f t="shared" si="737"/>
        <v>-77.263207439275547</v>
      </c>
      <c r="AJ122" s="625">
        <f t="shared" si="738"/>
        <v>131.01738762192858</v>
      </c>
      <c r="AK122" s="4">
        <f t="shared" si="739"/>
        <v>0.93373527644540477</v>
      </c>
      <c r="AL122" s="5">
        <f t="shared" si="740"/>
        <v>-0.28201111018329539</v>
      </c>
      <c r="AM122" s="6">
        <f t="shared" si="741"/>
        <v>-0.22047259978194245</v>
      </c>
      <c r="AN122" s="612">
        <f t="shared" si="742"/>
        <v>-51.982168774785194</v>
      </c>
      <c r="AO122" s="613">
        <f t="shared" si="751"/>
        <v>20.975228677835862</v>
      </c>
      <c r="AP122" s="624">
        <f t="shared" si="743"/>
        <v>-16.805612692391303</v>
      </c>
      <c r="AQ122" s="625">
        <f t="shared" si="674"/>
        <v>1.7471331282242555</v>
      </c>
      <c r="AS122" s="56">
        <f t="shared" si="746"/>
        <v>-302.17699968568013</v>
      </c>
      <c r="AT122" s="78">
        <f t="shared" si="675"/>
        <v>0.45945549714832046</v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>
        <f t="shared" si="720"/>
        <v>6.1470000000000002</v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0.02</v>
      </c>
      <c r="B123" s="770">
        <v>-6.4392688947035133</v>
      </c>
      <c r="C123" s="771">
        <v>4.1396528347020656</v>
      </c>
      <c r="D123" s="772">
        <v>-1.193403599305257</v>
      </c>
      <c r="E123" s="773">
        <v>-0.79646100447322343</v>
      </c>
      <c r="F123" s="771">
        <v>-0.57159814991413338</v>
      </c>
      <c r="G123" s="774">
        <v>0.19729526950295598</v>
      </c>
      <c r="H123" s="773">
        <v>0.314</v>
      </c>
      <c r="I123" s="771">
        <v>0.52</v>
      </c>
      <c r="J123" s="601">
        <v>6.1529999999999996</v>
      </c>
      <c r="K123" s="426" t="str">
        <f t="shared" si="651"/>
        <v>1613</v>
      </c>
      <c r="L123" s="327"/>
      <c r="M123" s="173">
        <f t="shared" si="667"/>
        <v>6.1529999999999996</v>
      </c>
      <c r="N123" s="21">
        <f t="shared" si="668"/>
        <v>-6.4392688947035133</v>
      </c>
      <c r="O123" s="5">
        <f t="shared" si="669"/>
        <v>4.1396528347020656</v>
      </c>
      <c r="P123" s="10">
        <f t="shared" si="670"/>
        <v>-1.193403599305257</v>
      </c>
      <c r="Q123" s="624">
        <f t="shared" si="528"/>
        <v>147.26400039502946</v>
      </c>
      <c r="R123" s="5">
        <f t="shared" si="725"/>
        <v>7.6551230878512371</v>
      </c>
      <c r="S123" s="6">
        <f t="shared" si="726"/>
        <v>-1.193403599305257</v>
      </c>
      <c r="T123" s="4">
        <f t="shared" si="727"/>
        <v>4.1396528347020665</v>
      </c>
      <c r="U123" s="5">
        <f t="shared" si="728"/>
        <v>6.4392688947035133</v>
      </c>
      <c r="V123" s="8">
        <f t="shared" si="729"/>
        <v>-1.193403599305257</v>
      </c>
      <c r="W123" s="624">
        <f t="shared" si="652"/>
        <v>57.264000395029456</v>
      </c>
      <c r="X123" s="5">
        <f t="shared" si="730"/>
        <v>7.6551230878512371</v>
      </c>
      <c r="Y123" s="7">
        <f t="shared" si="650"/>
        <v>-1.193403599305257</v>
      </c>
      <c r="Z123" s="21">
        <f t="shared" si="671"/>
        <v>0.79646100447322343</v>
      </c>
      <c r="AA123" s="5">
        <f t="shared" si="672"/>
        <v>0.57159814991413338</v>
      </c>
      <c r="AB123" s="5">
        <f t="shared" si="673"/>
        <v>-0.19729526950295598</v>
      </c>
      <c r="AC123" s="8">
        <f t="shared" si="731"/>
        <v>1</v>
      </c>
      <c r="AD123" s="9">
        <f t="shared" si="732"/>
        <v>0.79646100447322343</v>
      </c>
      <c r="AE123" s="5">
        <f t="shared" si="733"/>
        <v>0.57159814991413338</v>
      </c>
      <c r="AF123" s="10">
        <f t="shared" si="734"/>
        <v>-0.19729526950295598</v>
      </c>
      <c r="AG123" s="622">
        <f t="shared" si="735"/>
        <v>70.95715418070121</v>
      </c>
      <c r="AH123" s="623">
        <f t="shared" si="736"/>
        <v>37.206530210045045</v>
      </c>
      <c r="AI123" s="624">
        <f t="shared" si="737"/>
        <v>-78.621161859750771</v>
      </c>
      <c r="AJ123" s="625">
        <f t="shared" si="738"/>
        <v>125.66596318408742</v>
      </c>
      <c r="AK123" s="4">
        <f t="shared" si="739"/>
        <v>0.91151326527762144</v>
      </c>
      <c r="AL123" s="5">
        <f t="shared" si="740"/>
        <v>-0.36085751184461251</v>
      </c>
      <c r="AM123" s="6">
        <f t="shared" si="741"/>
        <v>-0.19729526950295598</v>
      </c>
      <c r="AN123" s="612">
        <f t="shared" si="742"/>
        <v>-61.332803952310996</v>
      </c>
      <c r="AO123" s="613">
        <f t="shared" si="751"/>
        <v>24.284681576099583</v>
      </c>
      <c r="AP123" s="624">
        <f t="shared" si="743"/>
        <v>-21.598037210942032</v>
      </c>
      <c r="AQ123" s="625">
        <f t="shared" si="674"/>
        <v>1.6196224802209049</v>
      </c>
      <c r="AS123" s="56">
        <f t="shared" si="746"/>
        <v>-302.73599960497052</v>
      </c>
      <c r="AT123" s="78">
        <f t="shared" si="675"/>
        <v>-4.9734267464257131E-2</v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>
        <f t="shared" si="720"/>
        <v>6.1529999999999996</v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0.02</v>
      </c>
      <c r="B124" s="770">
        <v>-6.768446547271</v>
      </c>
      <c r="C124" s="771">
        <v>4.427122901729355</v>
      </c>
      <c r="D124" s="772">
        <v>-1.818605484914142</v>
      </c>
      <c r="E124" s="773">
        <v>-0.85344063870197839</v>
      </c>
      <c r="F124" s="771">
        <v>-0.49342552413850421</v>
      </c>
      <c r="G124" s="774">
        <v>0.16784018690588293</v>
      </c>
      <c r="H124" s="773">
        <v>0.314</v>
      </c>
      <c r="I124" s="771">
        <v>0.52</v>
      </c>
      <c r="J124" s="601">
        <v>6.1589999999999998</v>
      </c>
      <c r="K124" s="426" t="str">
        <f t="shared" si="651"/>
        <v>1613</v>
      </c>
      <c r="L124" s="327"/>
      <c r="M124" s="173">
        <f t="shared" si="667"/>
        <v>6.1589999999999998</v>
      </c>
      <c r="N124" s="21">
        <f t="shared" si="668"/>
        <v>-6.768446547271</v>
      </c>
      <c r="O124" s="5">
        <f t="shared" si="669"/>
        <v>4.427122901729355</v>
      </c>
      <c r="P124" s="10">
        <f t="shared" si="670"/>
        <v>-1.818605484914142</v>
      </c>
      <c r="Q124" s="624">
        <f t="shared" si="528"/>
        <v>146.81200046029016</v>
      </c>
      <c r="R124" s="5">
        <f t="shared" si="725"/>
        <v>8.087724392576769</v>
      </c>
      <c r="S124" s="6">
        <f t="shared" si="726"/>
        <v>-1.818605484914142</v>
      </c>
      <c r="T124" s="4">
        <f t="shared" si="727"/>
        <v>4.4271229017293567</v>
      </c>
      <c r="U124" s="5">
        <f t="shared" si="728"/>
        <v>6.7684465472709991</v>
      </c>
      <c r="V124" s="8">
        <f t="shared" si="729"/>
        <v>-1.818605484914142</v>
      </c>
      <c r="W124" s="624">
        <f t="shared" si="652"/>
        <v>56.812000460290164</v>
      </c>
      <c r="X124" s="5">
        <f t="shared" si="730"/>
        <v>8.087724392576769</v>
      </c>
      <c r="Y124" s="7">
        <f t="shared" si="650"/>
        <v>-1.818605484914142</v>
      </c>
      <c r="Z124" s="21">
        <f t="shared" si="671"/>
        <v>0.85344063870197839</v>
      </c>
      <c r="AA124" s="5">
        <f t="shared" si="672"/>
        <v>0.49342552413850421</v>
      </c>
      <c r="AB124" s="5">
        <f t="shared" si="673"/>
        <v>-0.16784018690588293</v>
      </c>
      <c r="AC124" s="8">
        <f t="shared" si="731"/>
        <v>1</v>
      </c>
      <c r="AD124" s="9">
        <f t="shared" si="732"/>
        <v>0.85344063870197839</v>
      </c>
      <c r="AE124" s="5">
        <f t="shared" si="733"/>
        <v>0.49342552413850421</v>
      </c>
      <c r="AF124" s="10">
        <f t="shared" si="734"/>
        <v>-0.16784018690588293</v>
      </c>
      <c r="AG124" s="622">
        <f t="shared" si="735"/>
        <v>71.214107742156784</v>
      </c>
      <c r="AH124" s="623">
        <f t="shared" si="736"/>
        <v>31.412112115115963</v>
      </c>
      <c r="AI124" s="624">
        <f t="shared" si="737"/>
        <v>-80.337733364874012</v>
      </c>
      <c r="AJ124" s="625">
        <f t="shared" si="738"/>
        <v>120.03479773152735</v>
      </c>
      <c r="AK124" s="4">
        <f t="shared" si="739"/>
        <v>0.88010057422182808</v>
      </c>
      <c r="AL124" s="5">
        <f t="shared" si="740"/>
        <v>-0.44413134421453176</v>
      </c>
      <c r="AM124" s="6">
        <f t="shared" si="741"/>
        <v>-0.16784018690588293</v>
      </c>
      <c r="AN124" s="612">
        <f t="shared" si="742"/>
        <v>-69.298088062933857</v>
      </c>
      <c r="AO124" s="613">
        <f t="shared" si="751"/>
        <v>28.345501989787678</v>
      </c>
      <c r="AP124" s="624">
        <f t="shared" si="743"/>
        <v>-26.777202728762802</v>
      </c>
      <c r="AQ124" s="625">
        <f t="shared" si="674"/>
        <v>1.5330335992761781</v>
      </c>
      <c r="AS124" s="56">
        <f t="shared" si="746"/>
        <v>-303.18799953970984</v>
      </c>
      <c r="AT124" s="78">
        <f t="shared" si="675"/>
        <v>-0.67322859776412702</v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>
        <f t="shared" si="720"/>
        <v>6.1589999999999998</v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0.02</v>
      </c>
      <c r="B125" s="770">
        <v>-6.9755139448431747</v>
      </c>
      <c r="C125" s="771">
        <v>4.614191086673908</v>
      </c>
      <c r="D125" s="772">
        <v>-2.5263076193437803</v>
      </c>
      <c r="E125" s="773">
        <v>-0.89487214629348033</v>
      </c>
      <c r="F125" s="771">
        <v>-0.43206705969041537</v>
      </c>
      <c r="G125" s="774">
        <v>0.11190128559842012</v>
      </c>
      <c r="H125" s="773">
        <v>0.314</v>
      </c>
      <c r="I125" s="771">
        <v>0.52</v>
      </c>
      <c r="J125" s="601">
        <v>6.165</v>
      </c>
      <c r="K125" s="426" t="str">
        <f t="shared" si="651"/>
        <v>1613</v>
      </c>
      <c r="L125" s="327"/>
      <c r="M125" s="173">
        <f t="shared" si="667"/>
        <v>6.165</v>
      </c>
      <c r="N125" s="21">
        <f t="shared" si="668"/>
        <v>-6.9755139448431747</v>
      </c>
      <c r="O125" s="5">
        <f t="shared" si="669"/>
        <v>4.614191086673908</v>
      </c>
      <c r="P125" s="10">
        <f t="shared" si="670"/>
        <v>-2.5263076193437803</v>
      </c>
      <c r="Q125" s="624">
        <f t="shared" si="528"/>
        <v>146.51600050302727</v>
      </c>
      <c r="R125" s="5">
        <f t="shared" si="725"/>
        <v>8.3635252243920757</v>
      </c>
      <c r="S125" s="6">
        <f t="shared" si="726"/>
        <v>-2.5263076193437803</v>
      </c>
      <c r="T125" s="4">
        <f t="shared" si="727"/>
        <v>4.6141910866739098</v>
      </c>
      <c r="U125" s="5">
        <f t="shared" si="728"/>
        <v>6.9755139448431729</v>
      </c>
      <c r="V125" s="8">
        <f t="shared" si="729"/>
        <v>-2.5263076193437803</v>
      </c>
      <c r="W125" s="624">
        <f t="shared" si="652"/>
        <v>56.516000503027271</v>
      </c>
      <c r="X125" s="5">
        <f t="shared" si="730"/>
        <v>8.3635252243920757</v>
      </c>
      <c r="Y125" s="7">
        <f t="shared" si="650"/>
        <v>-2.5263076193437803</v>
      </c>
      <c r="Z125" s="21">
        <f t="shared" si="671"/>
        <v>0.89487214629348033</v>
      </c>
      <c r="AA125" s="5">
        <f t="shared" si="672"/>
        <v>0.43206705969041537</v>
      </c>
      <c r="AB125" s="5">
        <f t="shared" si="673"/>
        <v>-0.11190128559842012</v>
      </c>
      <c r="AC125" s="8">
        <f t="shared" si="731"/>
        <v>1</v>
      </c>
      <c r="AD125" s="9">
        <f t="shared" si="732"/>
        <v>0.89487214629348033</v>
      </c>
      <c r="AE125" s="5">
        <f t="shared" si="733"/>
        <v>0.43206705969041537</v>
      </c>
      <c r="AF125" s="10">
        <f t="shared" si="734"/>
        <v>-0.11190128559842012</v>
      </c>
      <c r="AG125" s="622">
        <f t="shared" si="735"/>
        <v>75.479972080925108</v>
      </c>
      <c r="AH125" s="623">
        <f t="shared" si="736"/>
        <v>26.50798788383706</v>
      </c>
      <c r="AI125" s="624">
        <f t="shared" si="737"/>
        <v>-83.575072016916508</v>
      </c>
      <c r="AJ125" s="625">
        <f t="shared" si="738"/>
        <v>115.77243353971123</v>
      </c>
      <c r="AK125" s="4">
        <f t="shared" si="739"/>
        <v>0.85406580233482998</v>
      </c>
      <c r="AL125" s="5">
        <f t="shared" si="740"/>
        <v>-0.50798593244654322</v>
      </c>
      <c r="AM125" s="6">
        <f t="shared" si="741"/>
        <v>-0.11190128559842012</v>
      </c>
      <c r="AN125" s="612">
        <f t="shared" si="742"/>
        <v>-77.577049506136035</v>
      </c>
      <c r="AO125" s="613">
        <f t="shared" si="751"/>
        <v>31.343318606454197</v>
      </c>
      <c r="AP125" s="624">
        <f t="shared" si="743"/>
        <v>-30.743566963316059</v>
      </c>
      <c r="AQ125" s="625">
        <f t="shared" si="674"/>
        <v>1.4825022709057187</v>
      </c>
      <c r="AS125" s="56">
        <f t="shared" si="746"/>
        <v>-303.48399949697273</v>
      </c>
      <c r="AT125" s="78">
        <f t="shared" si="675"/>
        <v>-1.3798125101329943</v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>
        <f t="shared" si="720"/>
        <v>6.165</v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0.02</v>
      </c>
      <c r="B126" s="770">
        <v>-7.0567828700739135</v>
      </c>
      <c r="C126" s="771">
        <v>4.6888703088475348</v>
      </c>
      <c r="D126" s="772">
        <v>-3.2753098783345931</v>
      </c>
      <c r="E126" s="773">
        <v>-0.92431331064886146</v>
      </c>
      <c r="F126" s="771">
        <v>-0.37896704813194942</v>
      </c>
      <c r="G126" s="774">
        <v>4.5043092561434989E-2</v>
      </c>
      <c r="H126" s="773">
        <v>0.314</v>
      </c>
      <c r="I126" s="771">
        <v>0.52</v>
      </c>
      <c r="J126" s="601">
        <v>6.1710000000000003</v>
      </c>
      <c r="K126" s="426" t="str">
        <f t="shared" si="651"/>
        <v>1613</v>
      </c>
      <c r="L126" s="327"/>
      <c r="M126" s="173">
        <f t="shared" si="667"/>
        <v>6.1710000000000003</v>
      </c>
      <c r="N126" s="21">
        <f t="shared" si="668"/>
        <v>-7.0567828700739135</v>
      </c>
      <c r="O126" s="5">
        <f t="shared" si="669"/>
        <v>4.6888703088475348</v>
      </c>
      <c r="P126" s="10">
        <f t="shared" si="670"/>
        <v>-3.2753098783345931</v>
      </c>
      <c r="Q126" s="624">
        <f t="shared" si="528"/>
        <v>146.39800052006439</v>
      </c>
      <c r="R126" s="5">
        <f t="shared" si="725"/>
        <v>8.4725255531370678</v>
      </c>
      <c r="S126" s="6">
        <f t="shared" si="726"/>
        <v>-3.2753098783345931</v>
      </c>
      <c r="T126" s="4">
        <f t="shared" si="727"/>
        <v>4.6888703088475321</v>
      </c>
      <c r="U126" s="5">
        <f t="shared" si="728"/>
        <v>7.0567828700739135</v>
      </c>
      <c r="V126" s="8">
        <f t="shared" si="729"/>
        <v>-3.2753098783345931</v>
      </c>
      <c r="W126" s="624">
        <f t="shared" si="652"/>
        <v>56.398000520064386</v>
      </c>
      <c r="X126" s="5">
        <f t="shared" si="730"/>
        <v>8.4725255531370678</v>
      </c>
      <c r="Y126" s="7">
        <f t="shared" si="650"/>
        <v>-3.2753098783345931</v>
      </c>
      <c r="Z126" s="21">
        <f t="shared" si="671"/>
        <v>0.92431331064886146</v>
      </c>
      <c r="AA126" s="5">
        <f t="shared" si="672"/>
        <v>0.37896704813194942</v>
      </c>
      <c r="AB126" s="5">
        <f t="shared" si="673"/>
        <v>-4.5043092561434989E-2</v>
      </c>
      <c r="AC126" s="8">
        <f t="shared" si="731"/>
        <v>1</v>
      </c>
      <c r="AD126" s="9">
        <f t="shared" si="732"/>
        <v>0.92431331064886146</v>
      </c>
      <c r="AE126" s="5">
        <f t="shared" si="733"/>
        <v>0.37896704813194942</v>
      </c>
      <c r="AF126" s="10">
        <f t="shared" si="734"/>
        <v>-4.5043092561434989E-2</v>
      </c>
      <c r="AG126" s="622">
        <f t="shared" si="735"/>
        <v>83.221763981537933</v>
      </c>
      <c r="AH126" s="623">
        <f t="shared" si="736"/>
        <v>22.434965143982989</v>
      </c>
      <c r="AI126" s="624">
        <f t="shared" si="737"/>
        <v>-87.418347420363219</v>
      </c>
      <c r="AJ126" s="625">
        <f t="shared" si="738"/>
        <v>112.29355437602443</v>
      </c>
      <c r="AK126" s="4">
        <f t="shared" si="739"/>
        <v>0.82717642667470281</v>
      </c>
      <c r="AL126" s="5">
        <f t="shared" si="740"/>
        <v>-0.56013416157753848</v>
      </c>
      <c r="AM126" s="6">
        <f t="shared" si="741"/>
        <v>-4.5043092561434989E-2</v>
      </c>
      <c r="AN126" s="612">
        <f t="shared" si="742"/>
        <v>-85.402462743114143</v>
      </c>
      <c r="AO126" s="613">
        <f t="shared" si="751"/>
        <v>34.190228091701123</v>
      </c>
      <c r="AP126" s="624">
        <f t="shared" si="743"/>
        <v>-34.104446144039947</v>
      </c>
      <c r="AQ126" s="625">
        <f t="shared" si="674"/>
        <v>1.4634380019483226</v>
      </c>
      <c r="AS126" s="56">
        <f t="shared" si="746"/>
        <v>-303.60199947993561</v>
      </c>
      <c r="AT126" s="78">
        <f t="shared" si="675"/>
        <v>-2.128368991410392</v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>
        <f t="shared" si="720"/>
        <v>6.1710000000000003</v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0.02</v>
      </c>
      <c r="B127" s="770">
        <v>-7.1073931756442343</v>
      </c>
      <c r="C127" s="771">
        <v>4.7357418208793396</v>
      </c>
      <c r="D127" s="772">
        <v>-4.0232121340077969</v>
      </c>
      <c r="E127" s="773">
        <v>-0.95968761144423309</v>
      </c>
      <c r="F127" s="771">
        <v>-0.28106883221097551</v>
      </c>
      <c r="G127" s="774">
        <v>1.4578093222521901E-7</v>
      </c>
      <c r="H127" s="773">
        <v>0.314</v>
      </c>
      <c r="I127" s="771">
        <v>0.52</v>
      </c>
      <c r="J127" s="601">
        <v>6.1779999999999999</v>
      </c>
      <c r="K127" s="426" t="str">
        <f t="shared" si="651"/>
        <v>1613</v>
      </c>
      <c r="L127" s="327"/>
      <c r="M127" s="173">
        <f t="shared" si="667"/>
        <v>6.1779999999999999</v>
      </c>
      <c r="N127" s="21">
        <f t="shared" si="668"/>
        <v>-7.1073931756442343</v>
      </c>
      <c r="O127" s="5">
        <f t="shared" si="669"/>
        <v>4.7357418208793396</v>
      </c>
      <c r="P127" s="10">
        <f t="shared" si="670"/>
        <v>-4.0232121340077969</v>
      </c>
      <c r="Q127" s="624">
        <f t="shared" si="528"/>
        <v>146.32400053074863</v>
      </c>
      <c r="R127" s="5">
        <f t="shared" si="725"/>
        <v>8.5406257585272876</v>
      </c>
      <c r="S127" s="6">
        <f t="shared" si="726"/>
        <v>-4.0232121340077969</v>
      </c>
      <c r="T127" s="4">
        <f t="shared" si="727"/>
        <v>4.7357418208793423</v>
      </c>
      <c r="U127" s="5">
        <f t="shared" si="728"/>
        <v>7.1073931756442335</v>
      </c>
      <c r="V127" s="8">
        <f t="shared" si="729"/>
        <v>-4.0232121340077969</v>
      </c>
      <c r="W127" s="624">
        <f t="shared" si="652"/>
        <v>56.324000530748634</v>
      </c>
      <c r="X127" s="5">
        <f t="shared" si="730"/>
        <v>8.5406257585272876</v>
      </c>
      <c r="Y127" s="7">
        <f t="shared" si="650"/>
        <v>-4.0232121340077969</v>
      </c>
      <c r="Z127" s="21">
        <f t="shared" si="671"/>
        <v>0.95968761144423309</v>
      </c>
      <c r="AA127" s="5">
        <f t="shared" si="672"/>
        <v>0.28106883221097551</v>
      </c>
      <c r="AB127" s="5">
        <f t="shared" si="673"/>
        <v>-1.4578093222521901E-7</v>
      </c>
      <c r="AC127" s="8">
        <f t="shared" si="731"/>
        <v>1</v>
      </c>
      <c r="AD127" s="9">
        <f t="shared" si="732"/>
        <v>0.95968761144423309</v>
      </c>
      <c r="AE127" s="5">
        <f t="shared" si="733"/>
        <v>0.28106883221097551</v>
      </c>
      <c r="AF127" s="10">
        <f t="shared" si="734"/>
        <v>-1.4578093222521901E-7</v>
      </c>
      <c r="AG127" s="622">
        <f t="shared" si="735"/>
        <v>89.999970282609837</v>
      </c>
      <c r="AH127" s="623">
        <f t="shared" si="736"/>
        <v>16.324006306036065</v>
      </c>
      <c r="AI127" s="624">
        <f t="shared" si="737"/>
        <v>-89.99999164736785</v>
      </c>
      <c r="AJ127" s="625">
        <f t="shared" si="738"/>
        <v>106.32400630603399</v>
      </c>
      <c r="AK127" s="4">
        <f t="shared" si="739"/>
        <v>0.76604450791050749</v>
      </c>
      <c r="AL127" s="5">
        <f t="shared" si="740"/>
        <v>-0.64278753247097709</v>
      </c>
      <c r="AM127" s="6">
        <f t="shared" si="741"/>
        <v>-1.4578093222521901E-7</v>
      </c>
      <c r="AN127" s="612">
        <f t="shared" si="742"/>
        <v>-89.999987005609597</v>
      </c>
      <c r="AO127" s="613">
        <f t="shared" si="751"/>
        <v>39.999994224715358</v>
      </c>
      <c r="AP127" s="624">
        <f t="shared" si="743"/>
        <v>-39.999994224714641</v>
      </c>
      <c r="AQ127" s="625">
        <f t="shared" si="674"/>
        <v>1.4517740315199315</v>
      </c>
      <c r="AS127" s="56">
        <f t="shared" si="746"/>
        <v>-303.67599946925134</v>
      </c>
      <c r="AT127" s="78">
        <f t="shared" si="675"/>
        <v>-2.875991691568403</v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>
        <f t="shared" si="720"/>
        <v>6.1779999999999999</v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>
        <v>-3.6272260007270503</v>
      </c>
      <c r="C128" s="771">
        <v>3.360718088300866</v>
      </c>
      <c r="D128" s="772">
        <v>-1.0300031064893692E-2</v>
      </c>
      <c r="E128" s="773">
        <v>-1.5413998805180185E-7</v>
      </c>
      <c r="F128" s="771">
        <v>-1.6636342520187238E-7</v>
      </c>
      <c r="G128" s="774">
        <v>0.99999999999997435</v>
      </c>
      <c r="H128" s="773">
        <v>0.25700000000000001</v>
      </c>
      <c r="I128" s="771">
        <v>0.41499999999999992</v>
      </c>
      <c r="J128" s="601">
        <v>6.2290000000000001</v>
      </c>
      <c r="K128" s="426" t="str">
        <f t="shared" si="651"/>
        <v>Knuckle</v>
      </c>
      <c r="L128" s="327"/>
      <c r="M128" s="173">
        <f t="shared" si="667"/>
        <v>6.2290000000000001</v>
      </c>
      <c r="N128" s="21">
        <f t="shared" si="668"/>
        <v>-3.6272260007270503</v>
      </c>
      <c r="O128" s="5">
        <f t="shared" si="669"/>
        <v>3.360718088300866</v>
      </c>
      <c r="P128" s="10">
        <f t="shared" si="670"/>
        <v>-1.0300031064893692E-2</v>
      </c>
      <c r="Q128" s="624">
        <f t="shared" si="528"/>
        <v>137.18410185038672</v>
      </c>
      <c r="R128" s="5">
        <f t="shared" si="725"/>
        <v>4.9448149135617792</v>
      </c>
      <c r="S128" s="6">
        <f t="shared" si="726"/>
        <v>-1.0300031064893692E-2</v>
      </c>
      <c r="T128" s="4">
        <f t="shared" si="727"/>
        <v>3.3607180883008678</v>
      </c>
      <c r="U128" s="5">
        <f t="shared" si="728"/>
        <v>3.6272260007270489</v>
      </c>
      <c r="V128" s="8">
        <f t="shared" si="729"/>
        <v>-1.0300031064893692E-2</v>
      </c>
      <c r="W128" s="624">
        <f t="shared" si="652"/>
        <v>47.184101850386725</v>
      </c>
      <c r="X128" s="5">
        <f t="shared" si="730"/>
        <v>4.9448149135617792</v>
      </c>
      <c r="Y128" s="7">
        <f t="shared" si="650"/>
        <v>-1.0300031064893692E-2</v>
      </c>
      <c r="Z128" s="21">
        <f t="shared" si="671"/>
        <v>1.5413998805180185E-7</v>
      </c>
      <c r="AA128" s="5">
        <f t="shared" si="672"/>
        <v>1.6636342520187238E-7</v>
      </c>
      <c r="AB128" s="5">
        <f t="shared" si="673"/>
        <v>-0.99999999999997435</v>
      </c>
      <c r="AC128" s="8">
        <f t="shared" si="731"/>
        <v>1</v>
      </c>
      <c r="AD128" s="9">
        <f t="shared" si="732"/>
        <v>1.5413998805180185E-7</v>
      </c>
      <c r="AE128" s="5">
        <f t="shared" si="733"/>
        <v>1.6636342520187238E-7</v>
      </c>
      <c r="AF128" s="10">
        <f t="shared" si="734"/>
        <v>-0.99999999999997435</v>
      </c>
      <c r="AG128" s="622">
        <f t="shared" si="735"/>
        <v>9.5319221294077992E-6</v>
      </c>
      <c r="AH128" s="623">
        <f t="shared" si="736"/>
        <v>89.999991168429233</v>
      </c>
      <c r="AI128" s="624">
        <f t="shared" si="737"/>
        <v>-1.2976235990044085E-5</v>
      </c>
      <c r="AJ128" s="625">
        <f t="shared" si="738"/>
        <v>137.18410184498998</v>
      </c>
      <c r="AK128" s="4">
        <f t="shared" si="739"/>
        <v>2.2679489668312334E-7</v>
      </c>
      <c r="AL128" s="5">
        <f t="shared" si="740"/>
        <v>-2.1362051815745247E-17</v>
      </c>
      <c r="AM128" s="6">
        <f t="shared" si="741"/>
        <v>-0.99999999999997435</v>
      </c>
      <c r="AN128" s="612">
        <f t="shared" si="742"/>
        <v>-1.2239554107820109E-15</v>
      </c>
      <c r="AO128" s="613">
        <f t="shared" si="751"/>
        <v>0</v>
      </c>
      <c r="AP128" s="624">
        <f t="shared" si="743"/>
        <v>-5.3967502297553187E-9</v>
      </c>
      <c r="AQ128" s="625">
        <f t="shared" si="674"/>
        <v>2.5064236412412133</v>
      </c>
      <c r="AS128" s="56">
        <f t="shared" si="746"/>
        <v>-312.8158981496133</v>
      </c>
      <c r="AT128" s="78">
        <f t="shared" si="675"/>
        <v>1.1714489175003122</v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>
        <f>IFERROR(IF($IU128="","",IF($IU128&lt;(((Settings!$C$19/2)*-1)*$IE$8),"",1)),"")</f>
        <v>1</v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>
        <f t="shared" si="720"/>
        <v>6.2290000000000001</v>
      </c>
      <c r="IH128" s="797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>0.129</v>
      </c>
      <c r="II128" s="800" cm="1">
        <f t="array" ref="II128">IFERROR(IF($IH128&lt;1,$IH128+LARGE((IF($M$9:$M$150="",0,$M$9:$M$150)-MOD(IF($M$9:$M$150="",0,$M$9:$M$150),1)),1),$IH128),"")</f>
        <v>6.1289999999999996</v>
      </c>
      <c r="IJ128" s="839" t="str">
        <f t="shared" si="721"/>
        <v>1613</v>
      </c>
      <c r="IK128" s="839" t="str">
        <f t="shared" si="722"/>
        <v>Knuckle</v>
      </c>
      <c r="IL128" s="791">
        <f t="shared" si="654"/>
        <v>12.397898209964978</v>
      </c>
      <c r="IM128" s="830">
        <v>7.5569535095186303E-3</v>
      </c>
      <c r="IN128" s="5">
        <f t="shared" si="655"/>
        <v>0.18</v>
      </c>
      <c r="IO128" s="852">
        <v>90</v>
      </c>
      <c r="IP128" s="9">
        <f t="shared" si="656"/>
        <v>-4.9347148831000887</v>
      </c>
      <c r="IQ128" s="5">
        <f t="shared" si="657"/>
        <v>-4.7200142355629242E-2</v>
      </c>
      <c r="IR128" s="5">
        <f t="shared" si="723"/>
        <v>0.314</v>
      </c>
      <c r="IS128" s="5">
        <f t="shared" si="658"/>
        <v>0.30279595448541546</v>
      </c>
      <c r="IT128" s="791">
        <f t="shared" si="659"/>
        <v>12.58140148836315</v>
      </c>
      <c r="IU128" s="9">
        <f t="shared" si="660"/>
        <v>-4.9448149135617792</v>
      </c>
      <c r="IV128" s="5">
        <f t="shared" si="661"/>
        <v>-1.0300031064893692E-2</v>
      </c>
      <c r="IW128" s="5">
        <f t="shared" si="724"/>
        <v>0.25700000000000001</v>
      </c>
      <c r="IX128" s="5">
        <f t="shared" si="662"/>
        <v>0.25700000000000001</v>
      </c>
      <c r="IY128" s="833">
        <f t="shared" si="663"/>
        <v>1.2239554107820109E-15</v>
      </c>
    </row>
    <row r="129" spans="1:259" ht="15" customHeight="1" x14ac:dyDescent="0.25">
      <c r="A129" s="84">
        <f t="shared" si="527"/>
        <v>0</v>
      </c>
      <c r="B129" s="770">
        <v>-4.1941102833670572</v>
      </c>
      <c r="C129" s="771">
        <v>3.8996179781701219</v>
      </c>
      <c r="D129" s="772">
        <v>-6.0600182770151091E-2</v>
      </c>
      <c r="E129" s="773">
        <v>-9.8124979833129705E-2</v>
      </c>
      <c r="F129" s="771">
        <v>9.1234757976380532E-2</v>
      </c>
      <c r="G129" s="774">
        <v>0.99098320231462</v>
      </c>
      <c r="H129" s="773">
        <v>0.25700000000000001</v>
      </c>
      <c r="I129" s="771">
        <v>0.41499999999999992</v>
      </c>
      <c r="J129" s="601">
        <v>6.2350000000000003</v>
      </c>
      <c r="K129" s="426" t="str">
        <f t="shared" si="651"/>
        <v>Knuckle</v>
      </c>
      <c r="L129" s="327"/>
      <c r="M129" s="173">
        <f t="shared" si="667"/>
        <v>6.2350000000000003</v>
      </c>
      <c r="N129" s="21">
        <f t="shared" si="668"/>
        <v>-4.1941102833670572</v>
      </c>
      <c r="O129" s="5">
        <f t="shared" si="669"/>
        <v>3.8996179781701219</v>
      </c>
      <c r="P129" s="10">
        <f t="shared" si="670"/>
        <v>-6.0600182770151091E-2</v>
      </c>
      <c r="Q129" s="624">
        <f t="shared" si="528"/>
        <v>137.08380186486826</v>
      </c>
      <c r="R129" s="5">
        <f t="shared" si="725"/>
        <v>5.7269172723824919</v>
      </c>
      <c r="S129" s="6">
        <f t="shared" si="726"/>
        <v>-6.0600182770151091E-2</v>
      </c>
      <c r="T129" s="4">
        <f t="shared" si="727"/>
        <v>3.8996179781701223</v>
      </c>
      <c r="U129" s="5">
        <f t="shared" si="728"/>
        <v>4.1941102833670554</v>
      </c>
      <c r="V129" s="8">
        <f t="shared" si="729"/>
        <v>-6.0600182770151091E-2</v>
      </c>
      <c r="W129" s="624">
        <f t="shared" si="652"/>
        <v>47.083801864868263</v>
      </c>
      <c r="X129" s="5">
        <f t="shared" si="730"/>
        <v>5.7269172723824919</v>
      </c>
      <c r="Y129" s="7">
        <f t="shared" si="650"/>
        <v>-6.0600182770151091E-2</v>
      </c>
      <c r="Z129" s="21">
        <f t="shared" si="671"/>
        <v>9.8124979833129705E-2</v>
      </c>
      <c r="AA129" s="5">
        <f t="shared" si="672"/>
        <v>-9.1234757976380532E-2</v>
      </c>
      <c r="AB129" s="5">
        <f t="shared" si="673"/>
        <v>-0.99098320231462</v>
      </c>
      <c r="AC129" s="8">
        <f t="shared" si="731"/>
        <v>1</v>
      </c>
      <c r="AD129" s="9">
        <f t="shared" si="732"/>
        <v>9.8124979833129705E-2</v>
      </c>
      <c r="AE129" s="5">
        <f t="shared" si="733"/>
        <v>-9.1234757976380532E-2</v>
      </c>
      <c r="AF129" s="10">
        <f t="shared" si="734"/>
        <v>-0.99098320231462</v>
      </c>
      <c r="AG129" s="622">
        <f t="shared" si="735"/>
        <v>-5.2601015502679358</v>
      </c>
      <c r="AH129" s="623">
        <f t="shared" si="736"/>
        <v>84.368791322115413</v>
      </c>
      <c r="AI129" s="624">
        <f t="shared" si="737"/>
        <v>-7.6999988882686159</v>
      </c>
      <c r="AJ129" s="625">
        <f t="shared" si="738"/>
        <v>47.083898847943203</v>
      </c>
      <c r="AK129" s="4">
        <f t="shared" si="739"/>
        <v>2.2679489670995867E-7</v>
      </c>
      <c r="AL129" s="5">
        <f t="shared" si="740"/>
        <v>-0.13398616618968318</v>
      </c>
      <c r="AM129" s="6">
        <f t="shared" si="741"/>
        <v>-0.99098320231462</v>
      </c>
      <c r="AN129" s="612">
        <f t="shared" si="742"/>
        <v>-7.6999988882577064</v>
      </c>
      <c r="AO129" s="613">
        <f t="shared" si="751"/>
        <v>0</v>
      </c>
      <c r="AP129" s="624">
        <f t="shared" si="743"/>
        <v>-89.99990301692506</v>
      </c>
      <c r="AQ129" s="625">
        <f t="shared" si="674"/>
        <v>2.1644825857105028</v>
      </c>
      <c r="AS129" s="56">
        <f t="shared" si="746"/>
        <v>-312.91619813513171</v>
      </c>
      <c r="AT129" s="78">
        <f t="shared" si="675"/>
        <v>1.1215276768514577</v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>
        <f>IFERROR(IF($IU129="","",IF($IU129&lt;(((Settings!$C$19/2)*-1)*$IE$8),"",1)),"")</f>
        <v>1</v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>
        <f t="shared" si="720"/>
        <v>6.2350000000000003</v>
      </c>
      <c r="IH129" s="797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>0.13500000000000001</v>
      </c>
      <c r="II129" s="800" cm="1">
        <f t="array" ref="II129">IFERROR(IF($IH129&lt;1,$IH129+LARGE((IF($M$9:$M$150="",0,$M$9:$M$150)-MOD(IF($M$9:$M$150="",0,$M$9:$M$150),1)),1),$IH129),"")</f>
        <v>6.1349999999999998</v>
      </c>
      <c r="IJ129" s="839" t="str">
        <f t="shared" si="721"/>
        <v>1613</v>
      </c>
      <c r="IK129" s="839" t="str">
        <f t="shared" si="722"/>
        <v>Knuckle</v>
      </c>
      <c r="IL129" s="791">
        <f t="shared" si="654"/>
        <v>11.969198271861586</v>
      </c>
      <c r="IM129" s="830">
        <v>6.4810388178861101E-3</v>
      </c>
      <c r="IN129" s="5">
        <f t="shared" si="655"/>
        <v>0.18</v>
      </c>
      <c r="IO129" s="852">
        <v>90</v>
      </c>
      <c r="IP129" s="9">
        <f t="shared" si="656"/>
        <v>-5.7058172087447021</v>
      </c>
      <c r="IQ129" s="5">
        <f t="shared" si="657"/>
        <v>-9.2900280187244916E-2</v>
      </c>
      <c r="IR129" s="5">
        <f t="shared" si="723"/>
        <v>0.314</v>
      </c>
      <c r="IS129" s="5">
        <f t="shared" si="658"/>
        <v>0.30197796607063537</v>
      </c>
      <c r="IT129" s="791">
        <f t="shared" si="659"/>
        <v>27.601774846996285</v>
      </c>
      <c r="IU129" s="9">
        <f t="shared" si="660"/>
        <v>-5.7269172723824919</v>
      </c>
      <c r="IV129" s="5">
        <f t="shared" si="661"/>
        <v>-6.0600182770151091E-2</v>
      </c>
      <c r="IW129" s="5">
        <f t="shared" si="724"/>
        <v>0.25700000000000001</v>
      </c>
      <c r="IX129" s="5">
        <f t="shared" si="662"/>
        <v>0.25700000000000001</v>
      </c>
      <c r="IY129" s="833">
        <f t="shared" si="663"/>
        <v>7.6999988882577064</v>
      </c>
    </row>
    <row r="130" spans="1:259" ht="15" customHeight="1" x14ac:dyDescent="0.25">
      <c r="A130" s="84">
        <f t="shared" si="527"/>
        <v>0.02</v>
      </c>
      <c r="B130" s="775">
        <v>-4.8368835424024557</v>
      </c>
      <c r="C130" s="776">
        <v>4.2955182722780769</v>
      </c>
      <c r="D130" s="777">
        <v>-0.27530083030730385</v>
      </c>
      <c r="E130" s="778">
        <v>-0.80393967306043979</v>
      </c>
      <c r="F130" s="776">
        <v>-0.52127447774067903</v>
      </c>
      <c r="G130" s="779">
        <v>0.28627595242292964</v>
      </c>
      <c r="H130" s="778">
        <v>0.26600000000000001</v>
      </c>
      <c r="I130" s="776">
        <v>0.52</v>
      </c>
      <c r="J130" s="602">
        <v>6.2409999999999997</v>
      </c>
      <c r="K130" s="581" t="str">
        <f t="shared" si="651"/>
        <v>1313</v>
      </c>
      <c r="L130" s="327"/>
      <c r="M130" s="569">
        <f t="shared" si="667"/>
        <v>6.2409999999999997</v>
      </c>
      <c r="N130" s="570">
        <f t="shared" si="668"/>
        <v>-4.8368835424024557</v>
      </c>
      <c r="O130" s="571">
        <f t="shared" si="669"/>
        <v>4.2955182722780769</v>
      </c>
      <c r="P130" s="572">
        <f t="shared" si="670"/>
        <v>-0.27530083030730385</v>
      </c>
      <c r="Q130" s="628">
        <f t="shared" ref="Q130:Q150" si="752">IF(M130="","",IF(DEGREES(ATAN2(N130,O130))&lt;0,DEGREES(ATAN2(N130,O130))+360,IF(DEGREES(ATAN2(N130,O130))&gt;360,DEGREES(ATAN2(N130,O130))-360,DEGREES(ATAN2(N130,O130)))))</f>
        <v>138.39250167591538</v>
      </c>
      <c r="R130" s="571">
        <f t="shared" ref="R130:R150" si="753">IF(M130="","",SQRT(N130^2+O130^2))</f>
        <v>6.4689195102612427</v>
      </c>
      <c r="S130" s="574">
        <f t="shared" ref="S130:S150" si="754">IF(M130="","",P130)</f>
        <v>-0.27530083030730385</v>
      </c>
      <c r="T130" s="575">
        <f t="shared" ref="T130:T150" si="755">IF(M130="","",X130*COS(RADIANS(W130)))</f>
        <v>4.2955182722780778</v>
      </c>
      <c r="U130" s="571">
        <f t="shared" ref="U130:U150" si="756">IF(M130="","",X130*SIN(RADIANS(W130)))</f>
        <v>4.8368835424024539</v>
      </c>
      <c r="V130" s="576">
        <f t="shared" ref="V130:V150" si="757">IF(M130="","",Y130)</f>
        <v>-0.27530083030730385</v>
      </c>
      <c r="W130" s="628">
        <f t="shared" ref="W130:W150" si="758">IF(M130="","",IF(Q130-$Q$8&lt;0,360+Q130-$Q$8,Q130-$Q$8))</f>
        <v>48.392501675915383</v>
      </c>
      <c r="X130" s="571">
        <f t="shared" ref="X130:X150" si="759">IF(M130="","",R130)</f>
        <v>6.4689195102612427</v>
      </c>
      <c r="Y130" s="577">
        <f t="shared" ref="Y130:Y150" si="760">IF(M130="","",S130)</f>
        <v>-0.27530083030730385</v>
      </c>
      <c r="Z130" s="570">
        <f t="shared" si="671"/>
        <v>0.80393967306043979</v>
      </c>
      <c r="AA130" s="571">
        <f t="shared" si="672"/>
        <v>0.52127447774067903</v>
      </c>
      <c r="AB130" s="571">
        <f t="shared" si="673"/>
        <v>-0.28627595242292964</v>
      </c>
      <c r="AC130" s="576">
        <f t="shared" ref="AC130:AC150" si="761">IF(M130="","",SQRT(Z130^2+AA130^2+AB130^2))</f>
        <v>1</v>
      </c>
      <c r="AD130" s="573">
        <f t="shared" ref="AD130:AD150" si="762">IF(M130="","",Z130*(1/SQRT(Z130^2+AA130^2+AB130^2)))</f>
        <v>0.80393967306043979</v>
      </c>
      <c r="AE130" s="571">
        <f t="shared" ref="AE130:AE150" si="763">IF(M130="","",AA130*(1/SQRT(Z130^2+AA130^2+AB130^2)))</f>
        <v>0.52127447774067903</v>
      </c>
      <c r="AF130" s="572">
        <f t="shared" ref="AF130:AF150" si="764">IF(M130="","",AB130*(1/SQRT(Z130^2+AA130^2+AB130^2)))</f>
        <v>-0.28627595242292964</v>
      </c>
      <c r="AG130" s="626">
        <f t="shared" ref="AG130:AG150" si="765">IF(M130="","",DEGREES(ATAN2(-AF130,AE130)))</f>
        <v>61.225084190396728</v>
      </c>
      <c r="AH130" s="627">
        <f t="shared" ref="AH130:AH150" si="766">IF(M130="","",DEGREES(ACOS(AD130)))</f>
        <v>36.49202241397775</v>
      </c>
      <c r="AI130" s="628">
        <f t="shared" ref="AI130:AI150" si="767">IF(M130="","",DEGREES(-ACOS(-AF130)))</f>
        <v>-73.364866505254398</v>
      </c>
      <c r="AJ130" s="629">
        <f t="shared" ref="AJ130:AJ150" si="768">IF(M130="","",DEGREES(ATAN2(-AE130,AD130)))</f>
        <v>122.95937495255191</v>
      </c>
      <c r="AK130" s="575">
        <f t="shared" ref="AK130:AK150" si="769">IF(M130="","",(COS(RADIANS((90-$Q$8)-W130))*AD130)+(-SIN(RADIANS((90-$Q$8)-W130))*AE130))</f>
        <v>0.92359805813342466</v>
      </c>
      <c r="AL130" s="571">
        <f t="shared" ref="AL130:AL150" si="770">IF(M130="","",(SIN(RADIANS((90-$Q$8)-W130))*AD130)+(COS(RADIANS((90-$Q$8)-W130))*AE130))</f>
        <v>-0.25497589312817731</v>
      </c>
      <c r="AM130" s="574">
        <f t="shared" ref="AM130:AM150" si="771">IF(M130="","",AF130)</f>
        <v>-0.28627595242292964</v>
      </c>
      <c r="AN130" s="614">
        <f t="shared" ref="AN130:AN150" si="772">IF(M130="","",DEGREES(ATAN2(-AM130,AL130)))</f>
        <v>-41.690327809236294</v>
      </c>
      <c r="AO130" s="615">
        <f t="shared" si="751"/>
        <v>22.54210530311877</v>
      </c>
      <c r="AP130" s="628">
        <f t="shared" ref="AP130:AP150" si="773">IF(M130="","",DEGREES(ATAN2(AK130,AL130)))</f>
        <v>-15.43312672336347</v>
      </c>
      <c r="AQ130" s="629">
        <f t="shared" si="674"/>
        <v>1.9164077917387925</v>
      </c>
      <c r="AS130" s="582">
        <f t="shared" si="746"/>
        <v>-311.60749832408464</v>
      </c>
      <c r="AT130" s="583">
        <f t="shared" si="675"/>
        <v>0.90188305225034915</v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>
        <f>IFERROR(IF($IU130="","",IF($IU130&lt;(((Settings!$C$19/2)*-1)*$IE$8),"",1)),"")</f>
        <v>1</v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>
        <f t="shared" si="720"/>
        <v>6.2409999999999997</v>
      </c>
      <c r="IH130" s="797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>0.14099999999999999</v>
      </c>
      <c r="II130" s="800" cm="1">
        <f t="array" ref="II130">IFERROR(IF($IH130&lt;1,$IH130+LARGE((IF($M$9:$M$150="",0,$M$9:$M$150)-MOD(IF($M$9:$M$150="",0,$M$9:$M$150),1)),1),$IH130),"")</f>
        <v>6.141</v>
      </c>
      <c r="IJ130" s="839" t="str">
        <f t="shared" si="721"/>
        <v>1613</v>
      </c>
      <c r="IK130" s="839" t="str">
        <f t="shared" si="722"/>
        <v>1313</v>
      </c>
      <c r="IL130" s="791">
        <f t="shared" si="654"/>
        <v>10.051498548743183</v>
      </c>
      <c r="IM130" s="830">
        <v>4.8416694952668196E-3</v>
      </c>
      <c r="IN130" s="5">
        <f t="shared" si="655"/>
        <v>0.18</v>
      </c>
      <c r="IO130" s="852">
        <v>90</v>
      </c>
      <c r="IP130" s="9">
        <f t="shared" si="656"/>
        <v>-6.4332194025897191</v>
      </c>
      <c r="IQ130" s="5">
        <f t="shared" si="657"/>
        <v>-0.30860093074040706</v>
      </c>
      <c r="IR130" s="5">
        <f t="shared" si="723"/>
        <v>0.314</v>
      </c>
      <c r="IS130" s="5">
        <f t="shared" si="658"/>
        <v>0.29939765226774201</v>
      </c>
      <c r="IT130" s="791">
        <f t="shared" si="659"/>
        <v>41.690331286100744</v>
      </c>
      <c r="IU130" s="9">
        <f t="shared" si="660"/>
        <v>-6.4689195102612427</v>
      </c>
      <c r="IV130" s="5">
        <f t="shared" si="661"/>
        <v>-0.27530083030730385</v>
      </c>
      <c r="IW130" s="5">
        <f t="shared" si="724"/>
        <v>0.26600000000000001</v>
      </c>
      <c r="IX130" s="5">
        <f t="shared" si="662"/>
        <v>0.24567708346349099</v>
      </c>
      <c r="IY130" s="833">
        <f t="shared" si="663"/>
        <v>41.690327809236294</v>
      </c>
    </row>
    <row r="131" spans="1:259" ht="15" customHeight="1" x14ac:dyDescent="0.25">
      <c r="A131" s="84">
        <f t="shared" si="527"/>
        <v>0.02</v>
      </c>
      <c r="B131" s="775">
        <v>-5.2624348569285662</v>
      </c>
      <c r="C131" s="776">
        <v>4.823704433830212</v>
      </c>
      <c r="D131" s="777">
        <v>-0.65580197789876549</v>
      </c>
      <c r="E131" s="778">
        <v>-0.8618124288935527</v>
      </c>
      <c r="F131" s="776">
        <v>-0.42954724382858867</v>
      </c>
      <c r="G131" s="779">
        <v>0.26975637661389612</v>
      </c>
      <c r="H131" s="778">
        <v>0.26600000000000001</v>
      </c>
      <c r="I131" s="776">
        <v>0.52</v>
      </c>
      <c r="J131" s="602">
        <v>6.2469999999999999</v>
      </c>
      <c r="K131" s="581" t="str">
        <f t="shared" si="651"/>
        <v>1313</v>
      </c>
      <c r="L131" s="327"/>
      <c r="M131" s="569">
        <f t="shared" si="667"/>
        <v>6.2469999999999999</v>
      </c>
      <c r="N131" s="570">
        <f t="shared" si="668"/>
        <v>-5.2624348569285662</v>
      </c>
      <c r="O131" s="571">
        <f t="shared" si="669"/>
        <v>4.823704433830212</v>
      </c>
      <c r="P131" s="572">
        <f t="shared" si="670"/>
        <v>-0.65580197789876549</v>
      </c>
      <c r="Q131" s="628">
        <f t="shared" si="752"/>
        <v>137.49070180611918</v>
      </c>
      <c r="R131" s="571">
        <f t="shared" si="753"/>
        <v>7.138721530384136</v>
      </c>
      <c r="S131" s="574">
        <f t="shared" si="754"/>
        <v>-0.65580197789876549</v>
      </c>
      <c r="T131" s="575">
        <f t="shared" si="755"/>
        <v>4.8237044338302137</v>
      </c>
      <c r="U131" s="571">
        <f t="shared" si="756"/>
        <v>5.2624348569285644</v>
      </c>
      <c r="V131" s="576">
        <f t="shared" si="757"/>
        <v>-0.65580197789876549</v>
      </c>
      <c r="W131" s="628">
        <f t="shared" si="758"/>
        <v>47.490701806119176</v>
      </c>
      <c r="X131" s="571">
        <f t="shared" si="759"/>
        <v>7.138721530384136</v>
      </c>
      <c r="Y131" s="577">
        <f t="shared" si="760"/>
        <v>-0.65580197789876549</v>
      </c>
      <c r="Z131" s="570">
        <f t="shared" si="671"/>
        <v>0.8618124288935527</v>
      </c>
      <c r="AA131" s="571">
        <f t="shared" si="672"/>
        <v>0.42954724382858867</v>
      </c>
      <c r="AB131" s="571">
        <f t="shared" si="673"/>
        <v>-0.26975637661389612</v>
      </c>
      <c r="AC131" s="576">
        <f t="shared" si="761"/>
        <v>1</v>
      </c>
      <c r="AD131" s="573">
        <f t="shared" si="762"/>
        <v>0.8618124288935527</v>
      </c>
      <c r="AE131" s="571">
        <f t="shared" si="763"/>
        <v>0.42954724382858867</v>
      </c>
      <c r="AF131" s="572">
        <f t="shared" si="764"/>
        <v>-0.26975637661389612</v>
      </c>
      <c r="AG131" s="626">
        <f t="shared" si="765"/>
        <v>57.87111135956885</v>
      </c>
      <c r="AH131" s="627">
        <f t="shared" si="766"/>
        <v>30.479304560467305</v>
      </c>
      <c r="AI131" s="628">
        <f t="shared" si="767"/>
        <v>-74.350229640476684</v>
      </c>
      <c r="AJ131" s="629">
        <f t="shared" si="768"/>
        <v>116.49272696343016</v>
      </c>
      <c r="AK131" s="575">
        <f t="shared" si="769"/>
        <v>0.8989834938497232</v>
      </c>
      <c r="AL131" s="571">
        <f t="shared" si="770"/>
        <v>-0.34505097458475087</v>
      </c>
      <c r="AM131" s="574">
        <f t="shared" si="771"/>
        <v>-0.26975637661389612</v>
      </c>
      <c r="AN131" s="614">
        <f t="shared" si="772"/>
        <v>-51.982165184650384</v>
      </c>
      <c r="AO131" s="615">
        <f t="shared" si="751"/>
        <v>25.975227934861934</v>
      </c>
      <c r="AP131" s="628">
        <f t="shared" si="773"/>
        <v>-20.997974842689015</v>
      </c>
      <c r="AQ131" s="629">
        <f t="shared" si="674"/>
        <v>1.7367135624152195</v>
      </c>
      <c r="AS131" s="582">
        <f t="shared" si="746"/>
        <v>-312.5092981938808</v>
      </c>
      <c r="AT131" s="583">
        <f t="shared" si="675"/>
        <v>0.5247887041670064</v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>
        <f t="shared" si="720"/>
        <v>6.2469999999999999</v>
      </c>
      <c r="IH131" s="797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0.14699999999999999</v>
      </c>
      <c r="II131" s="800" cm="1">
        <f t="array" ref="II131">IFERROR(IF($IH131&lt;1,$IH131+LARGE((IF($M$9:$M$150="",0,$M$9:$M$150)-MOD(IF($M$9:$M$150="",0,$M$9:$M$150),1)),1),$IH131),"")</f>
        <v>6.1470000000000002</v>
      </c>
      <c r="IJ131" s="839" t="str">
        <f t="shared" si="721"/>
        <v>1613</v>
      </c>
      <c r="IK131" s="839" t="str">
        <f t="shared" si="722"/>
        <v>1313</v>
      </c>
      <c r="IL131" s="791">
        <f t="shared" si="654"/>
        <v>10.332298508200694</v>
      </c>
      <c r="IM131" s="830">
        <v>3.8903335681486398E-3</v>
      </c>
      <c r="IN131" s="5">
        <f t="shared" si="655"/>
        <v>0.16</v>
      </c>
      <c r="IO131" s="852">
        <v>80</v>
      </c>
      <c r="IP131" s="9">
        <f t="shared" si="656"/>
        <v>-7.0961214019021508</v>
      </c>
      <c r="IQ131" s="5">
        <f t="shared" si="657"/>
        <v>-0.68210205721980444</v>
      </c>
      <c r="IR131" s="5">
        <f t="shared" si="723"/>
        <v>0.314</v>
      </c>
      <c r="IS131" s="5">
        <f t="shared" si="658"/>
        <v>0.29319287680385708</v>
      </c>
      <c r="IT131" s="791">
        <f t="shared" si="659"/>
        <v>51.982168774785194</v>
      </c>
      <c r="IU131" s="9">
        <f t="shared" si="660"/>
        <v>-7.138721530384136</v>
      </c>
      <c r="IV131" s="5">
        <f t="shared" si="661"/>
        <v>-0.65580197789876549</v>
      </c>
      <c r="IW131" s="5">
        <f t="shared" si="724"/>
        <v>0.26600000000000001</v>
      </c>
      <c r="IX131" s="5">
        <f t="shared" si="662"/>
        <v>0.23912960936402641</v>
      </c>
      <c r="IY131" s="833">
        <f t="shared" si="663"/>
        <v>51.982165184650384</v>
      </c>
    </row>
    <row r="132" spans="1:259" ht="15" customHeight="1" x14ac:dyDescent="0.25">
      <c r="A132" s="84">
        <f t="shared" si="527"/>
        <v>0.02</v>
      </c>
      <c r="B132" s="775">
        <v>-5.5873596930125977</v>
      </c>
      <c r="C132" s="776">
        <v>5.3020577421751351</v>
      </c>
      <c r="D132" s="777">
        <v>-1.1747035429058865</v>
      </c>
      <c r="E132" s="778">
        <v>-0.91170148883904556</v>
      </c>
      <c r="F132" s="776">
        <v>-0.33724958160020624</v>
      </c>
      <c r="G132" s="779">
        <v>0.23465531095450107</v>
      </c>
      <c r="H132" s="778">
        <v>0.26600000000000001</v>
      </c>
      <c r="I132" s="776">
        <v>0.52</v>
      </c>
      <c r="J132" s="602">
        <v>6.2530000000000001</v>
      </c>
      <c r="K132" s="581" t="str">
        <f t="shared" si="651"/>
        <v>1313</v>
      </c>
      <c r="L132" s="327"/>
      <c r="M132" s="569">
        <f t="shared" si="667"/>
        <v>6.2530000000000001</v>
      </c>
      <c r="N132" s="570">
        <f t="shared" si="668"/>
        <v>-5.5873596930125977</v>
      </c>
      <c r="O132" s="571">
        <f t="shared" si="669"/>
        <v>5.3020577421751351</v>
      </c>
      <c r="P132" s="572">
        <f t="shared" si="670"/>
        <v>-1.1747035429058865</v>
      </c>
      <c r="Q132" s="628">
        <f t="shared" si="752"/>
        <v>136.50080194904302</v>
      </c>
      <c r="R132" s="571">
        <f t="shared" si="753"/>
        <v>7.7026232311116667</v>
      </c>
      <c r="S132" s="574">
        <f t="shared" si="754"/>
        <v>-1.1747035429058865</v>
      </c>
      <c r="T132" s="575">
        <f t="shared" si="755"/>
        <v>5.3020577421751378</v>
      </c>
      <c r="U132" s="571">
        <f t="shared" si="756"/>
        <v>5.5873596930125959</v>
      </c>
      <c r="V132" s="576">
        <f t="shared" si="757"/>
        <v>-1.1747035429058865</v>
      </c>
      <c r="W132" s="628">
        <f t="shared" si="758"/>
        <v>46.500801949043023</v>
      </c>
      <c r="X132" s="571">
        <f t="shared" si="759"/>
        <v>7.7026232311116667</v>
      </c>
      <c r="Y132" s="577">
        <f t="shared" si="760"/>
        <v>-1.1747035429058865</v>
      </c>
      <c r="Z132" s="570">
        <f t="shared" si="671"/>
        <v>0.91170148883904556</v>
      </c>
      <c r="AA132" s="571">
        <f t="shared" si="672"/>
        <v>0.33724958160020624</v>
      </c>
      <c r="AB132" s="571">
        <f t="shared" si="673"/>
        <v>-0.23465531095450107</v>
      </c>
      <c r="AC132" s="576">
        <f t="shared" si="761"/>
        <v>1</v>
      </c>
      <c r="AD132" s="573">
        <f t="shared" si="762"/>
        <v>0.91170148883904556</v>
      </c>
      <c r="AE132" s="571">
        <f t="shared" si="763"/>
        <v>0.33724958160020624</v>
      </c>
      <c r="AF132" s="572">
        <f t="shared" si="764"/>
        <v>-0.23465531095450107</v>
      </c>
      <c r="AG132" s="626">
        <f t="shared" si="765"/>
        <v>55.170141011375478</v>
      </c>
      <c r="AH132" s="627">
        <f t="shared" si="766"/>
        <v>24.258446077686159</v>
      </c>
      <c r="AI132" s="628">
        <f t="shared" si="767"/>
        <v>-76.428694587659976</v>
      </c>
      <c r="AJ132" s="629">
        <f t="shared" si="768"/>
        <v>110.30005308947798</v>
      </c>
      <c r="AK132" s="575">
        <f t="shared" si="769"/>
        <v>0.8722000875019329</v>
      </c>
      <c r="AL132" s="571">
        <f t="shared" si="770"/>
        <v>-0.42918980929475392</v>
      </c>
      <c r="AM132" s="574">
        <f t="shared" si="771"/>
        <v>-0.23465531095450107</v>
      </c>
      <c r="AN132" s="614">
        <f t="shared" si="772"/>
        <v>-61.332800375272953</v>
      </c>
      <c r="AO132" s="615">
        <f t="shared" si="751"/>
        <v>29.284680820880126</v>
      </c>
      <c r="AP132" s="628">
        <f t="shared" si="773"/>
        <v>-26.200748859565024</v>
      </c>
      <c r="AQ132" s="629">
        <f t="shared" si="674"/>
        <v>1.6096399457687396</v>
      </c>
      <c r="AS132" s="582">
        <f t="shared" si="746"/>
        <v>-313.49919805095698</v>
      </c>
      <c r="AT132" s="583">
        <f t="shared" si="675"/>
        <v>9.6267608421731765E-3</v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>
        <f t="shared" si="720"/>
        <v>6.2530000000000001</v>
      </c>
      <c r="IH132" s="797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0.153</v>
      </c>
      <c r="II132" s="800" cm="1">
        <f t="array" ref="II132">IFERROR(IF($IH132&lt;1,$IH132+LARGE((IF($M$9:$M$150="",0,$M$9:$M$150)-MOD(IF($M$9:$M$150="",0,$M$9:$M$150),1)),1),$IH132),"")</f>
        <v>6.1529999999999996</v>
      </c>
      <c r="IJ132" s="839" t="str">
        <f t="shared" si="721"/>
        <v>1613</v>
      </c>
      <c r="IK132" s="839" t="str">
        <f t="shared" si="722"/>
        <v>1313</v>
      </c>
      <c r="IL132" s="791">
        <f t="shared" si="654"/>
        <v>10.763198445986433</v>
      </c>
      <c r="IM132" s="830">
        <v>3.0029520561703901E-3</v>
      </c>
      <c r="IN132" s="5">
        <f t="shared" si="655"/>
        <v>0.14000000000000001</v>
      </c>
      <c r="IO132" s="852">
        <v>70</v>
      </c>
      <c r="IP132" s="9">
        <f t="shared" si="656"/>
        <v>-7.6551230878512371</v>
      </c>
      <c r="IQ132" s="5">
        <f t="shared" si="657"/>
        <v>-1.193403599305257</v>
      </c>
      <c r="IR132" s="5">
        <f t="shared" si="723"/>
        <v>0.314</v>
      </c>
      <c r="IS132" s="5">
        <f t="shared" si="658"/>
        <v>0.28621516529717311</v>
      </c>
      <c r="IT132" s="791">
        <f t="shared" si="659"/>
        <v>61.332803952310996</v>
      </c>
      <c r="IU132" s="9">
        <f t="shared" si="660"/>
        <v>-7.7026232311116667</v>
      </c>
      <c r="IV132" s="5">
        <f t="shared" si="661"/>
        <v>-1.1747035429058865</v>
      </c>
      <c r="IW132" s="5">
        <f t="shared" si="724"/>
        <v>0.26600000000000001</v>
      </c>
      <c r="IX132" s="5">
        <f t="shared" si="662"/>
        <v>0.23200522327551415</v>
      </c>
      <c r="IY132" s="833">
        <f t="shared" si="663"/>
        <v>61.332800375272953</v>
      </c>
    </row>
    <row r="133" spans="1:259" ht="15" customHeight="1" x14ac:dyDescent="0.25">
      <c r="A133" s="84">
        <f t="shared" si="527"/>
        <v>0.02</v>
      </c>
      <c r="B133" s="775">
        <v>-5.7976605840490718</v>
      </c>
      <c r="C133" s="776">
        <v>5.7113446888586727</v>
      </c>
      <c r="D133" s="777">
        <v>-1.8072054505316377</v>
      </c>
      <c r="E133" s="778">
        <v>-0.95255683335684771</v>
      </c>
      <c r="F133" s="776">
        <v>-0.23425667028617525</v>
      </c>
      <c r="G133" s="779">
        <v>0.19431750217520041</v>
      </c>
      <c r="H133" s="778">
        <v>0.26600000000000001</v>
      </c>
      <c r="I133" s="776">
        <v>0.52</v>
      </c>
      <c r="J133" s="602">
        <v>6.2590000000000003</v>
      </c>
      <c r="K133" s="581" t="str">
        <f t="shared" si="651"/>
        <v>1313</v>
      </c>
      <c r="L133" s="327"/>
      <c r="M133" s="569">
        <f t="shared" si="667"/>
        <v>6.2590000000000003</v>
      </c>
      <c r="N133" s="570">
        <f t="shared" si="668"/>
        <v>-5.7976605840490718</v>
      </c>
      <c r="O133" s="571">
        <f t="shared" si="669"/>
        <v>5.7113446888586727</v>
      </c>
      <c r="P133" s="572">
        <f t="shared" si="670"/>
        <v>-1.8072054505316377</v>
      </c>
      <c r="Q133" s="628">
        <f t="shared" si="752"/>
        <v>135.42970210369072</v>
      </c>
      <c r="R133" s="571">
        <f t="shared" si="753"/>
        <v>8.138324545186828</v>
      </c>
      <c r="S133" s="574">
        <f t="shared" si="754"/>
        <v>-1.8072054505316377</v>
      </c>
      <c r="T133" s="575">
        <f t="shared" si="755"/>
        <v>5.7113446888586745</v>
      </c>
      <c r="U133" s="571">
        <f t="shared" si="756"/>
        <v>5.79766058404907</v>
      </c>
      <c r="V133" s="576">
        <f t="shared" si="757"/>
        <v>-1.8072054505316377</v>
      </c>
      <c r="W133" s="628">
        <f t="shared" si="758"/>
        <v>45.429702103690715</v>
      </c>
      <c r="X133" s="571">
        <f t="shared" si="759"/>
        <v>8.138324545186828</v>
      </c>
      <c r="Y133" s="577">
        <f t="shared" si="760"/>
        <v>-1.8072054505316377</v>
      </c>
      <c r="Z133" s="570">
        <f t="shared" si="671"/>
        <v>0.95255683335684771</v>
      </c>
      <c r="AA133" s="571">
        <f t="shared" si="672"/>
        <v>0.23425667028617525</v>
      </c>
      <c r="AB133" s="571">
        <f t="shared" si="673"/>
        <v>-0.19431750217520041</v>
      </c>
      <c r="AC133" s="576">
        <f t="shared" si="761"/>
        <v>1</v>
      </c>
      <c r="AD133" s="573">
        <f t="shared" si="762"/>
        <v>0.95255683335684771</v>
      </c>
      <c r="AE133" s="571">
        <f t="shared" si="763"/>
        <v>0.23425667028617525</v>
      </c>
      <c r="AF133" s="572">
        <f t="shared" si="764"/>
        <v>-0.19431750217520041</v>
      </c>
      <c r="AG133" s="626">
        <f t="shared" si="765"/>
        <v>50.324062492765705</v>
      </c>
      <c r="AH133" s="627">
        <f t="shared" si="766"/>
        <v>17.71971053103891</v>
      </c>
      <c r="AI133" s="628">
        <f t="shared" si="767"/>
        <v>-78.795143265460638</v>
      </c>
      <c r="AJ133" s="629">
        <f t="shared" si="768"/>
        <v>103.81623819582158</v>
      </c>
      <c r="AK133" s="575">
        <f t="shared" si="769"/>
        <v>0.83537109354015526</v>
      </c>
      <c r="AL133" s="571">
        <f t="shared" si="770"/>
        <v>-0.51419436444394884</v>
      </c>
      <c r="AM133" s="574">
        <f t="shared" si="771"/>
        <v>-0.19431750217520041</v>
      </c>
      <c r="AN133" s="614">
        <f t="shared" si="772"/>
        <v>-69.298084723493588</v>
      </c>
      <c r="AO133" s="615">
        <f t="shared" si="751"/>
        <v>33.345501218360752</v>
      </c>
      <c r="AP133" s="628">
        <f t="shared" si="773"/>
        <v>-31.613463907869146</v>
      </c>
      <c r="AQ133" s="629">
        <f t="shared" si="674"/>
        <v>1.5235064465576158</v>
      </c>
      <c r="AS133" s="582">
        <f t="shared" si="746"/>
        <v>-314.57029789630928</v>
      </c>
      <c r="AT133" s="583">
        <f t="shared" si="675"/>
        <v>-0.61882876959002475</v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>
        <f t="shared" si="720"/>
        <v>6.2590000000000003</v>
      </c>
      <c r="IH133" s="797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0.159</v>
      </c>
      <c r="II133" s="800" cm="1">
        <f t="array" ref="II133">IFERROR(IF($IH133&lt;1,$IH133+LARGE((IF($M$9:$M$150="",0,$M$9:$M$150)-MOD(IF($M$9:$M$150="",0,$M$9:$M$150),1)),1),$IH133),"")</f>
        <v>6.1589999999999998</v>
      </c>
      <c r="IJ133" s="839" t="str">
        <f t="shared" si="721"/>
        <v>1613</v>
      </c>
      <c r="IK133" s="839" t="str">
        <f t="shared" si="722"/>
        <v>1313</v>
      </c>
      <c r="IL133" s="791">
        <f t="shared" si="654"/>
        <v>11.382298356599449</v>
      </c>
      <c r="IM133" s="830">
        <v>2.0665667603153299E-3</v>
      </c>
      <c r="IN133" s="5">
        <f t="shared" si="655"/>
        <v>0.08</v>
      </c>
      <c r="IO133" s="852">
        <v>40</v>
      </c>
      <c r="IP133" s="9">
        <f t="shared" si="656"/>
        <v>-8.087724392576769</v>
      </c>
      <c r="IQ133" s="5">
        <f t="shared" si="657"/>
        <v>-1.818605484914142</v>
      </c>
      <c r="IR133" s="5">
        <f t="shared" si="723"/>
        <v>0.314</v>
      </c>
      <c r="IS133" s="5">
        <f t="shared" si="658"/>
        <v>0.27635158030565404</v>
      </c>
      <c r="IT133" s="791">
        <f t="shared" si="659"/>
        <v>69.298088062933857</v>
      </c>
      <c r="IU133" s="9">
        <f t="shared" si="660"/>
        <v>-8.138324545186828</v>
      </c>
      <c r="IV133" s="5">
        <f t="shared" si="661"/>
        <v>-1.8072054505316377</v>
      </c>
      <c r="IW133" s="5">
        <f t="shared" si="724"/>
        <v>0.26600000000000001</v>
      </c>
      <c r="IX133" s="5">
        <f t="shared" si="662"/>
        <v>0.22220871088168132</v>
      </c>
      <c r="IY133" s="833">
        <f t="shared" si="663"/>
        <v>69.298084723493588</v>
      </c>
    </row>
    <row r="134" spans="1:259" ht="15" customHeight="1" x14ac:dyDescent="0.25">
      <c r="A134" s="84">
        <f t="shared" si="527"/>
        <v>0</v>
      </c>
      <c r="B134" s="775">
        <v>-5.7908751339114239</v>
      </c>
      <c r="C134" s="776">
        <v>6.0504948800667622</v>
      </c>
      <c r="D134" s="777">
        <v>-2.532407637741434</v>
      </c>
      <c r="E134" s="778">
        <v>-0.55293201801262126</v>
      </c>
      <c r="F134" s="776">
        <v>0.57772104685582604</v>
      </c>
      <c r="G134" s="779">
        <v>0.60042033233085879</v>
      </c>
      <c r="H134" s="778">
        <v>0.25700000000000001</v>
      </c>
      <c r="I134" s="776">
        <v>0.41499999999999992</v>
      </c>
      <c r="J134" s="602">
        <v>6.2649999999999997</v>
      </c>
      <c r="K134" s="581" t="str">
        <f t="shared" si="651"/>
        <v>Knuckle</v>
      </c>
      <c r="L134" s="327"/>
      <c r="M134" s="569">
        <f t="shared" si="667"/>
        <v>6.2649999999999997</v>
      </c>
      <c r="N134" s="570">
        <f t="shared" si="668"/>
        <v>-5.7908751339114239</v>
      </c>
      <c r="O134" s="571">
        <f t="shared" si="669"/>
        <v>6.0504948800667622</v>
      </c>
      <c r="P134" s="572">
        <f t="shared" si="670"/>
        <v>-2.532407637741434</v>
      </c>
      <c r="Q134" s="628">
        <f t="shared" si="752"/>
        <v>133.74400234707565</v>
      </c>
      <c r="R134" s="571">
        <f t="shared" si="753"/>
        <v>8.3751252593777821</v>
      </c>
      <c r="S134" s="574">
        <f t="shared" si="754"/>
        <v>-2.532407637741434</v>
      </c>
      <c r="T134" s="575">
        <f t="shared" si="755"/>
        <v>6.0504948800667631</v>
      </c>
      <c r="U134" s="571">
        <f t="shared" si="756"/>
        <v>5.7908751339114231</v>
      </c>
      <c r="V134" s="576">
        <f t="shared" si="757"/>
        <v>-2.532407637741434</v>
      </c>
      <c r="W134" s="628">
        <f t="shared" si="758"/>
        <v>43.74400234707565</v>
      </c>
      <c r="X134" s="571">
        <f t="shared" si="759"/>
        <v>8.3751252593777821</v>
      </c>
      <c r="Y134" s="577">
        <f t="shared" si="760"/>
        <v>-2.532407637741434</v>
      </c>
      <c r="Z134" s="570">
        <f t="shared" si="671"/>
        <v>0.55293201801262126</v>
      </c>
      <c r="AA134" s="571">
        <f t="shared" si="672"/>
        <v>-0.57772104685582604</v>
      </c>
      <c r="AB134" s="571">
        <f t="shared" si="673"/>
        <v>-0.60042033233085879</v>
      </c>
      <c r="AC134" s="576">
        <f t="shared" si="761"/>
        <v>1</v>
      </c>
      <c r="AD134" s="573">
        <f t="shared" si="762"/>
        <v>0.55293201801262126</v>
      </c>
      <c r="AE134" s="571">
        <f t="shared" si="763"/>
        <v>-0.57772104685582604</v>
      </c>
      <c r="AF134" s="572">
        <f t="shared" si="764"/>
        <v>-0.60042033233085879</v>
      </c>
      <c r="AG134" s="626">
        <f t="shared" si="765"/>
        <v>-43.896217056605074</v>
      </c>
      <c r="AH134" s="627">
        <f t="shared" si="766"/>
        <v>56.43160488211246</v>
      </c>
      <c r="AI134" s="628">
        <f t="shared" si="767"/>
        <v>-53.09999233331078</v>
      </c>
      <c r="AJ134" s="629">
        <f t="shared" si="768"/>
        <v>43.744018596470418</v>
      </c>
      <c r="AK134" s="575">
        <f t="shared" si="769"/>
        <v>2.2679489680710319E-7</v>
      </c>
      <c r="AL134" s="571">
        <f t="shared" si="770"/>
        <v>-0.7996845781454397</v>
      </c>
      <c r="AM134" s="574">
        <f t="shared" si="771"/>
        <v>-0.60042033233085879</v>
      </c>
      <c r="AN134" s="614">
        <f t="shared" si="772"/>
        <v>-53.099992333309679</v>
      </c>
      <c r="AO134" s="615">
        <f t="shared" si="751"/>
        <v>0</v>
      </c>
      <c r="AP134" s="628">
        <f t="shared" si="773"/>
        <v>-89.999983750605224</v>
      </c>
      <c r="AQ134" s="629">
        <f t="shared" si="674"/>
        <v>1.4804498335876004</v>
      </c>
      <c r="AS134" s="582">
        <f t="shared" si="746"/>
        <v>-316.25599765292435</v>
      </c>
      <c r="AT134" s="583">
        <f t="shared" si="675"/>
        <v>-1.3376627577192752</v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>
        <f t="shared" si="720"/>
        <v>6.2649999999999997</v>
      </c>
      <c r="IH134" s="797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0.16500000000000001</v>
      </c>
      <c r="II134" s="800" cm="1">
        <f t="array" ref="II134">IFERROR(IF($IH134&lt;1,$IH134+LARGE((IF($M$9:$M$150="",0,$M$9:$M$150)-MOD(IF($M$9:$M$150="",0,$M$9:$M$150),1)),1),$IH134),"")</f>
        <v>6.165</v>
      </c>
      <c r="IJ134" s="839" t="str">
        <f t="shared" si="721"/>
        <v>1613</v>
      </c>
      <c r="IK134" s="839" t="str">
        <f t="shared" si="722"/>
        <v>Knuckle</v>
      </c>
      <c r="IL134" s="791">
        <f t="shared" si="654"/>
        <v>12.771998155951621</v>
      </c>
      <c r="IM134" s="830">
        <v>8.6465083645172398E-4</v>
      </c>
      <c r="IN134" s="5">
        <f t="shared" si="655"/>
        <v>0</v>
      </c>
      <c r="IO134" s="852">
        <v>0</v>
      </c>
      <c r="IP134" s="9">
        <f t="shared" si="656"/>
        <v>-8.3635252243920757</v>
      </c>
      <c r="IQ134" s="5">
        <f t="shared" si="657"/>
        <v>-2.5263076193437803</v>
      </c>
      <c r="IR134" s="5">
        <f t="shared" si="723"/>
        <v>0.314</v>
      </c>
      <c r="IS134" s="5">
        <f t="shared" si="658"/>
        <v>0.26817666193313661</v>
      </c>
      <c r="IT134" s="791">
        <f t="shared" si="659"/>
        <v>77.577049506136035</v>
      </c>
      <c r="IU134" s="9">
        <f t="shared" si="660"/>
        <v>-8.3751252593777821</v>
      </c>
      <c r="IV134" s="5">
        <f t="shared" si="661"/>
        <v>-2.532407637741434</v>
      </c>
      <c r="IW134" s="5">
        <f t="shared" si="724"/>
        <v>0.25700000000000001</v>
      </c>
      <c r="IX134" s="5">
        <f t="shared" si="662"/>
        <v>0.25700000000000001</v>
      </c>
      <c r="IY134" s="833">
        <f t="shared" si="663"/>
        <v>53.099992333309679</v>
      </c>
    </row>
    <row r="135" spans="1:259" ht="15" customHeight="1" x14ac:dyDescent="0.25">
      <c r="A135" s="84">
        <f t="shared" si="527"/>
        <v>0</v>
      </c>
      <c r="B135" s="775">
        <v>-5.7687564985579813</v>
      </c>
      <c r="C135" s="776">
        <v>6.2100288096533047</v>
      </c>
      <c r="D135" s="777">
        <v>-3.2841099048754754</v>
      </c>
      <c r="E135" s="778">
        <v>-0.60259625002180706</v>
      </c>
      <c r="F135" s="776">
        <v>0.64869060634480746</v>
      </c>
      <c r="G135" s="779">
        <v>0.46484218472473227</v>
      </c>
      <c r="H135" s="778">
        <v>0.25700000000000001</v>
      </c>
      <c r="I135" s="776">
        <v>0.41499999999999992</v>
      </c>
      <c r="J135" s="602">
        <v>6.2709999999999999</v>
      </c>
      <c r="K135" s="581" t="str">
        <f t="shared" si="651"/>
        <v>Knuckle</v>
      </c>
      <c r="L135" s="327"/>
      <c r="M135" s="569">
        <f t="shared" si="667"/>
        <v>6.2709999999999999</v>
      </c>
      <c r="N135" s="570">
        <f t="shared" si="668"/>
        <v>-5.7687564985579813</v>
      </c>
      <c r="O135" s="571">
        <f t="shared" si="669"/>
        <v>6.2100288096533047</v>
      </c>
      <c r="P135" s="572">
        <f t="shared" si="670"/>
        <v>-3.2841099048754754</v>
      </c>
      <c r="Q135" s="628">
        <f t="shared" si="752"/>
        <v>132.89030247033469</v>
      </c>
      <c r="R135" s="571">
        <f t="shared" si="753"/>
        <v>8.4760255636931028</v>
      </c>
      <c r="S135" s="574">
        <f t="shared" si="754"/>
        <v>-3.2841099048754754</v>
      </c>
      <c r="T135" s="575">
        <f t="shared" si="755"/>
        <v>6.2100288096533038</v>
      </c>
      <c r="U135" s="571">
        <f t="shared" si="756"/>
        <v>5.7687564985579831</v>
      </c>
      <c r="V135" s="576">
        <f t="shared" si="757"/>
        <v>-3.2841099048754754</v>
      </c>
      <c r="W135" s="628">
        <f t="shared" si="758"/>
        <v>42.890302470334689</v>
      </c>
      <c r="X135" s="571">
        <f t="shared" si="759"/>
        <v>8.4760255636931028</v>
      </c>
      <c r="Y135" s="577">
        <f t="shared" si="760"/>
        <v>-3.2841099048754754</v>
      </c>
      <c r="Z135" s="570">
        <f t="shared" si="671"/>
        <v>0.60259625002180706</v>
      </c>
      <c r="AA135" s="571">
        <f t="shared" si="672"/>
        <v>-0.64869060634480746</v>
      </c>
      <c r="AB135" s="571">
        <f t="shared" si="673"/>
        <v>-0.46484218472473227</v>
      </c>
      <c r="AC135" s="576">
        <f t="shared" si="761"/>
        <v>1</v>
      </c>
      <c r="AD135" s="573">
        <f t="shared" si="762"/>
        <v>0.60259625002180706</v>
      </c>
      <c r="AE135" s="571">
        <f t="shared" si="763"/>
        <v>-0.64869060634480746</v>
      </c>
      <c r="AF135" s="572">
        <f t="shared" si="764"/>
        <v>-0.46484218472473227</v>
      </c>
      <c r="AG135" s="626">
        <f t="shared" si="765"/>
        <v>-54.37517099083631</v>
      </c>
      <c r="AH135" s="627">
        <f t="shared" si="766"/>
        <v>52.943932471653866</v>
      </c>
      <c r="AI135" s="628">
        <f t="shared" si="767"/>
        <v>-62.299991004994958</v>
      </c>
      <c r="AJ135" s="629">
        <f t="shared" si="768"/>
        <v>42.890317146735192</v>
      </c>
      <c r="AK135" s="575">
        <f t="shared" si="769"/>
        <v>2.2679489652954743E-7</v>
      </c>
      <c r="AL135" s="571">
        <f t="shared" si="770"/>
        <v>-0.8853935527776825</v>
      </c>
      <c r="AM135" s="574">
        <f t="shared" si="771"/>
        <v>-0.46484218472473227</v>
      </c>
      <c r="AN135" s="614">
        <f t="shared" si="772"/>
        <v>-62.29999100499419</v>
      </c>
      <c r="AO135" s="615">
        <f t="shared" si="751"/>
        <v>0</v>
      </c>
      <c r="AP135" s="628">
        <f t="shared" si="773"/>
        <v>-89.999985323599503</v>
      </c>
      <c r="AQ135" s="629">
        <f t="shared" si="674"/>
        <v>1.4628339662018055</v>
      </c>
      <c r="AS135" s="582">
        <f t="shared" si="746"/>
        <v>-317.10969752966531</v>
      </c>
      <c r="AT135" s="583">
        <f t="shared" si="675"/>
        <v>-2.0861399364300732</v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>
        <f>IFERROR(IF((((($IW135*COS(RADIANS(180-$IY135)))*COS(RADIANS($IY135)))-(($IX135*SIN(RADIANS(180-$IY135)))*SIN(RADIANS($IY135))))+$IU135)&lt;(((Settings!$C$19/2)*-1)+$IF$8),1,""),"")</f>
        <v>1</v>
      </c>
      <c r="IG135" s="836">
        <f t="shared" si="720"/>
        <v>6.2709999999999999</v>
      </c>
      <c r="IH135" s="797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0.17100000000000001</v>
      </c>
      <c r="II135" s="800" cm="1">
        <f t="array" ref="II135">IFERROR(IF($IH135&lt;1,$IH135+LARGE((IF($M$9:$M$150="",0,$M$9:$M$150)-MOD(IF($M$9:$M$150="",0,$M$9:$M$150),1)),1),$IH135),"")</f>
        <v>6.1710000000000003</v>
      </c>
      <c r="IJ135" s="839" t="str">
        <f t="shared" si="721"/>
        <v>1613</v>
      </c>
      <c r="IK135" s="839" t="str">
        <f t="shared" si="722"/>
        <v>Knuckle</v>
      </c>
      <c r="IL135" s="791">
        <f t="shared" si="654"/>
        <v>13.507698049729697</v>
      </c>
      <c r="IM135" s="830">
        <v>2.2696353669575799E-4</v>
      </c>
      <c r="IN135" s="5">
        <f t="shared" si="655"/>
        <v>0</v>
      </c>
      <c r="IO135" s="852">
        <v>0</v>
      </c>
      <c r="IP135" s="9">
        <f t="shared" si="656"/>
        <v>-8.4725255531370678</v>
      </c>
      <c r="IQ135" s="5">
        <f t="shared" si="657"/>
        <v>-3.2753098783345931</v>
      </c>
      <c r="IR135" s="5">
        <f t="shared" si="723"/>
        <v>0.314</v>
      </c>
      <c r="IS135" s="5">
        <f t="shared" si="658"/>
        <v>0.25973339797585671</v>
      </c>
      <c r="IT135" s="791">
        <f t="shared" si="659"/>
        <v>85.402462743114143</v>
      </c>
      <c r="IU135" s="9">
        <f t="shared" si="660"/>
        <v>-8.4760255636931028</v>
      </c>
      <c r="IV135" s="5">
        <f t="shared" si="661"/>
        <v>-3.2841099048754754</v>
      </c>
      <c r="IW135" s="5">
        <f t="shared" si="724"/>
        <v>0.25700000000000001</v>
      </c>
      <c r="IX135" s="5">
        <f t="shared" si="662"/>
        <v>0.25700000000000001</v>
      </c>
      <c r="IY135" s="833">
        <f t="shared" si="663"/>
        <v>62.29999100499419</v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0.92387953251128674</v>
      </c>
      <c r="F154" s="175">
        <f>F9*-1</f>
        <v>9.9045746569065923E-2</v>
      </c>
      <c r="G154" s="175">
        <f>G9*-1</f>
        <v>-0.36964381435823135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6.6987279208207198E-2</v>
      </c>
      <c r="G155" s="175">
        <f t="shared" si="940"/>
        <v>-0.24999996726497561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6.6987279208207226E-2</v>
      </c>
      <c r="G156" s="175">
        <f t="shared" si="942"/>
        <v>-0.24999996726497561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0.96592583607220739</v>
      </c>
      <c r="F157" s="175">
        <f t="shared" si="943"/>
        <v>6.6987279208207226E-2</v>
      </c>
      <c r="G157" s="175">
        <f t="shared" si="943"/>
        <v>-0.24999996726497564</v>
      </c>
      <c r="H157" s="144"/>
      <c r="I157" s="91"/>
      <c r="J157" s="84">
        <f t="shared" si="941"/>
        <v>1.1100000000000001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0.96592583607220739</v>
      </c>
      <c r="F158" s="175">
        <f t="shared" si="946"/>
        <v>6.6987279208207226E-2</v>
      </c>
      <c r="G158" s="175">
        <f t="shared" si="946"/>
        <v>-0.24999996726497564</v>
      </c>
      <c r="H158" s="144"/>
      <c r="I158" s="91"/>
      <c r="J158" s="84">
        <f t="shared" si="941"/>
        <v>1.1160000000000001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0.96592583607220739</v>
      </c>
      <c r="F159" s="175">
        <f t="shared" si="947"/>
        <v>6.6987279208207226E-2</v>
      </c>
      <c r="G159" s="175">
        <f t="shared" si="947"/>
        <v>-0.24999996726497564</v>
      </c>
      <c r="H159" s="144"/>
      <c r="I159" s="91"/>
      <c r="J159" s="84">
        <f t="shared" si="941"/>
        <v>1.1220000000000001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0.96435454875286175</v>
      </c>
      <c r="F160" s="175">
        <f t="shared" si="948"/>
        <v>-4.8550554386698169E-2</v>
      </c>
      <c r="G160" s="175">
        <f t="shared" si="948"/>
        <v>-0.26012141005386064</v>
      </c>
      <c r="H160" s="144"/>
      <c r="I160" s="91"/>
      <c r="J160" s="84">
        <f t="shared" si="941"/>
        <v>1.1279999999999999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0.96040332432878683</v>
      </c>
      <c r="F161" s="175">
        <f t="shared" si="949"/>
        <v>-0.1291663454032993</v>
      </c>
      <c r="G161" s="175">
        <f t="shared" si="949"/>
        <v>-0.24686334242525923</v>
      </c>
      <c r="H161" s="144"/>
      <c r="I161" s="91"/>
      <c r="J161" s="84">
        <f t="shared" si="941"/>
        <v>1.1339999999999999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0.9537921404105234</v>
      </c>
      <c r="F162" s="175">
        <f t="shared" si="950"/>
        <v>-0.20910799683085315</v>
      </c>
      <c r="G162" s="175">
        <f t="shared" si="950"/>
        <v>-0.21576468328366549</v>
      </c>
      <c r="H162" s="144"/>
      <c r="I162" s="91"/>
      <c r="J162" s="84">
        <f t="shared" si="941"/>
        <v>1.1399999999999999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0.92970672149467037</v>
      </c>
      <c r="F163" s="175">
        <f t="shared" si="951"/>
        <v>-0.29896494126418371</v>
      </c>
      <c r="G163" s="175">
        <f t="shared" si="951"/>
        <v>-0.2150938769526799</v>
      </c>
      <c r="H163" s="144"/>
      <c r="I163" s="91"/>
      <c r="J163" s="84">
        <f t="shared" si="941"/>
        <v>1.1459999999999999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0.89490351737967855</v>
      </c>
      <c r="F164" s="175">
        <f t="shared" si="952"/>
        <v>-0.39427532892141687</v>
      </c>
      <c r="G164" s="175">
        <f t="shared" si="952"/>
        <v>-0.20903267587960514</v>
      </c>
      <c r="H164" s="144"/>
      <c r="I164" s="91"/>
      <c r="J164" s="84">
        <f t="shared" si="941"/>
        <v>1.1519999999999999</v>
      </c>
    </row>
    <row r="165" spans="5:16" x14ac:dyDescent="0.25">
      <c r="E165" s="175">
        <f t="shared" ref="E165:G165" si="953">E20*-1</f>
        <v>0.86350216792321077</v>
      </c>
      <c r="F165" s="175">
        <f t="shared" si="953"/>
        <v>-0.47341810093176845</v>
      </c>
      <c r="G165" s="175">
        <f t="shared" si="953"/>
        <v>-0.17389453039722982</v>
      </c>
      <c r="H165" s="144"/>
      <c r="I165" s="91"/>
      <c r="J165" s="84">
        <f t="shared" si="941"/>
        <v>1.1579999999999999</v>
      </c>
    </row>
    <row r="166" spans="5:16" x14ac:dyDescent="0.25">
      <c r="E166" s="175">
        <f t="shared" ref="E166:G166" si="954">E21*-1</f>
        <v>0.83138071065349184</v>
      </c>
      <c r="F166" s="175">
        <f t="shared" si="954"/>
        <v>-0.54319098579268044</v>
      </c>
      <c r="G166" s="175">
        <f t="shared" si="954"/>
        <v>-0.11725897367311017</v>
      </c>
      <c r="H166" s="144"/>
      <c r="I166" s="91"/>
      <c r="J166" s="84">
        <f t="shared" si="941"/>
        <v>1.1639999999999999</v>
      </c>
    </row>
    <row r="167" spans="5:16" x14ac:dyDescent="0.25">
      <c r="E167" s="175">
        <f t="shared" ref="E167:G167" si="955">E22*-1</f>
        <v>0.79053139593550781</v>
      </c>
      <c r="F167" s="175">
        <f t="shared" si="955"/>
        <v>-0.60948858387768856</v>
      </c>
      <c r="G167" s="175">
        <f t="shared" si="955"/>
        <v>-5.986466539643498E-2</v>
      </c>
      <c r="H167" s="144"/>
      <c r="I167" s="91"/>
      <c r="J167" s="84">
        <f t="shared" si="941"/>
        <v>1.17</v>
      </c>
    </row>
    <row r="168" spans="5:16" x14ac:dyDescent="0.25">
      <c r="E168" s="175">
        <f t="shared" ref="E168:G168" si="956">E23*-1</f>
        <v>0.72325655462884741</v>
      </c>
      <c r="F168" s="175">
        <f t="shared" si="956"/>
        <v>-0.69057943510242759</v>
      </c>
      <c r="G168" s="175">
        <f t="shared" si="956"/>
        <v>-1.4578093227447363E-7</v>
      </c>
      <c r="H168" s="144"/>
      <c r="I168" s="91"/>
      <c r="J168" s="84">
        <f t="shared" si="941"/>
        <v>1.1759999999999999</v>
      </c>
    </row>
    <row r="169" spans="5:16" x14ac:dyDescent="0.25">
      <c r="E169" s="175">
        <f t="shared" ref="E169:G169" si="957">E24*-1</f>
        <v>7.9051330731232817E-3</v>
      </c>
      <c r="F169" s="175">
        <f t="shared" si="957"/>
        <v>3.3992401940297942E-2</v>
      </c>
      <c r="G169" s="175">
        <f t="shared" si="957"/>
        <v>-0.99939082719495953</v>
      </c>
      <c r="H169" s="144"/>
      <c r="I169" s="91"/>
      <c r="J169" s="84">
        <f t="shared" si="941"/>
        <v>1.228</v>
      </c>
    </row>
    <row r="170" spans="5:16" x14ac:dyDescent="0.25">
      <c r="E170" s="175">
        <f t="shared" ref="E170:G170" si="958">E25*-1</f>
        <v>-2.4473193946027014E-2</v>
      </c>
      <c r="F170" s="175">
        <f t="shared" si="958"/>
        <v>-0.10518992468909764</v>
      </c>
      <c r="G170" s="175">
        <f t="shared" si="958"/>
        <v>-0.99415096565963368</v>
      </c>
      <c r="H170" s="144"/>
      <c r="I170" s="91"/>
      <c r="J170" s="84">
        <f t="shared" si="941"/>
        <v>1.234</v>
      </c>
    </row>
    <row r="171" spans="5:16" x14ac:dyDescent="0.25">
      <c r="E171" s="175">
        <f t="shared" ref="E171:G171" si="959">E26*-1</f>
        <v>0.86306879799449332</v>
      </c>
      <c r="F171" s="175">
        <f t="shared" si="959"/>
        <v>-0.42143474779039947</v>
      </c>
      <c r="G171" s="175">
        <f t="shared" si="959"/>
        <v>-0.27839720415834474</v>
      </c>
      <c r="H171" s="144"/>
      <c r="I171" s="91"/>
      <c r="J171" s="84">
        <f t="shared" si="941"/>
        <v>1.24</v>
      </c>
    </row>
    <row r="172" spans="5:16" x14ac:dyDescent="0.25">
      <c r="E172" s="175">
        <f t="shared" ref="E172:G172" si="960">E27*-1</f>
        <v>0.81412639729477243</v>
      </c>
      <c r="F172" s="175">
        <f t="shared" si="960"/>
        <v>-0.51623749844273759</v>
      </c>
      <c r="G172" s="175">
        <f t="shared" si="960"/>
        <v>-0.26588917696931369</v>
      </c>
      <c r="H172" s="144"/>
      <c r="I172" s="91"/>
      <c r="J172" s="84">
        <f t="shared" si="941"/>
        <v>1.246</v>
      </c>
    </row>
    <row r="173" spans="5:16" x14ac:dyDescent="0.25">
      <c r="E173" s="175">
        <f t="shared" ref="E173:G173" si="961">E28*-1</f>
        <v>0.75059130928693052</v>
      </c>
      <c r="F173" s="175">
        <f t="shared" si="961"/>
        <v>-0.61214078926577142</v>
      </c>
      <c r="G173" s="175">
        <f t="shared" si="961"/>
        <v>-0.24878975167801848</v>
      </c>
      <c r="H173" s="144"/>
      <c r="I173" s="91"/>
      <c r="J173" s="84">
        <f t="shared" si="941"/>
        <v>1.252</v>
      </c>
    </row>
    <row r="174" spans="5:16" x14ac:dyDescent="0.25">
      <c r="E174" s="175">
        <f t="shared" ref="E174:G174" si="962">E29*-1</f>
        <v>0.6931276779197586</v>
      </c>
      <c r="F174" s="175">
        <f t="shared" si="962"/>
        <v>-0.69178600326432071</v>
      </c>
      <c r="G174" s="175">
        <f t="shared" si="962"/>
        <v>-0.20249974762735062</v>
      </c>
      <c r="H174" s="144"/>
      <c r="I174" s="91"/>
      <c r="J174" s="84">
        <f t="shared" si="941"/>
        <v>1.258</v>
      </c>
    </row>
    <row r="175" spans="5:16" x14ac:dyDescent="0.25">
      <c r="E175" s="175">
        <f t="shared" ref="E175:G175" si="963">E30*-1</f>
        <v>-0.21940232068939033</v>
      </c>
      <c r="F175" s="175">
        <f t="shared" si="963"/>
        <v>-0.75235492298375339</v>
      </c>
      <c r="G175" s="175">
        <f t="shared" si="963"/>
        <v>-0.62114788218122463</v>
      </c>
      <c r="H175" s="144"/>
      <c r="I175" s="91"/>
      <c r="J175" s="84">
        <f t="shared" si="941"/>
        <v>1.264</v>
      </c>
    </row>
    <row r="176" spans="5:16" x14ac:dyDescent="0.25">
      <c r="E176" s="175">
        <f t="shared" ref="E176:G176" si="964">E31*-1</f>
        <v>-0.25684292903459316</v>
      </c>
      <c r="F176" s="175">
        <f t="shared" si="964"/>
        <v>-0.83428084737378005</v>
      </c>
      <c r="G176" s="175">
        <f t="shared" si="964"/>
        <v>-0.48785979288133458</v>
      </c>
      <c r="H176" s="144"/>
      <c r="I176" s="91"/>
      <c r="J176" s="84">
        <f t="shared" si="941"/>
        <v>1.27</v>
      </c>
    </row>
    <row r="177" spans="5:10" x14ac:dyDescent="0.25">
      <c r="E177" s="175">
        <f t="shared" ref="E177:G177" si="965">E32*-1</f>
        <v>0.54097560356081231</v>
      </c>
      <c r="F177" s="175">
        <f t="shared" si="965"/>
        <v>-0.80302267260615134</v>
      </c>
      <c r="G177" s="175">
        <f t="shared" si="965"/>
        <v>-0.24999996726497564</v>
      </c>
      <c r="H177" s="144"/>
      <c r="I177" s="91"/>
      <c r="J177" s="84">
        <f t="shared" si="941"/>
        <v>2.1150000000000002</v>
      </c>
    </row>
    <row r="178" spans="5:10" x14ac:dyDescent="0.25">
      <c r="E178" s="175">
        <f t="shared" ref="E178:G178" si="966">E33*-1</f>
        <v>0.5409756035608122</v>
      </c>
      <c r="F178" s="175">
        <f t="shared" si="966"/>
        <v>-0.80302267260615123</v>
      </c>
      <c r="G178" s="175">
        <f t="shared" si="966"/>
        <v>-0.24999996726497559</v>
      </c>
      <c r="H178" s="144"/>
      <c r="I178" s="91"/>
      <c r="J178" s="84">
        <f t="shared" si="941"/>
        <v>2.121</v>
      </c>
    </row>
    <row r="179" spans="5:10" x14ac:dyDescent="0.25">
      <c r="E179" s="175">
        <f t="shared" ref="E179:G179" si="967">E34*-1</f>
        <v>0.45438185629400468</v>
      </c>
      <c r="F179" s="175">
        <f t="shared" si="967"/>
        <v>-0.85167919546419191</v>
      </c>
      <c r="G179" s="175">
        <f t="shared" si="967"/>
        <v>-0.26111238324576153</v>
      </c>
      <c r="H179" s="144"/>
      <c r="I179" s="91"/>
      <c r="J179" s="84">
        <f t="shared" si="941"/>
        <v>2.1269999999999998</v>
      </c>
    </row>
    <row r="180" spans="5:10" x14ac:dyDescent="0.25">
      <c r="E180" s="175">
        <f t="shared" ref="E180:G180" si="968">E35*-1</f>
        <v>0.38088438332883939</v>
      </c>
      <c r="F180" s="175">
        <f t="shared" si="968"/>
        <v>-0.8900703841756834</v>
      </c>
      <c r="G180" s="175">
        <f t="shared" si="968"/>
        <v>-0.25040327024534104</v>
      </c>
      <c r="H180" s="144"/>
      <c r="I180" s="91"/>
      <c r="J180" s="84">
        <f t="shared" si="941"/>
        <v>2.133</v>
      </c>
    </row>
    <row r="181" spans="5:10" x14ac:dyDescent="0.25">
      <c r="E181" s="175">
        <f t="shared" ref="E181:G181" si="969">E36*-1</f>
        <v>0.30743788253473808</v>
      </c>
      <c r="F181" s="175">
        <f t="shared" si="969"/>
        <v>-0.92530821330727864</v>
      </c>
      <c r="G181" s="175">
        <f t="shared" si="969"/>
        <v>-0.22200598813691616</v>
      </c>
      <c r="H181" s="144"/>
      <c r="I181" s="91"/>
      <c r="J181" s="84">
        <f t="shared" si="941"/>
        <v>2.1389999999999998</v>
      </c>
    </row>
    <row r="182" spans="5:10" x14ac:dyDescent="0.25">
      <c r="E182" s="175">
        <f t="shared" ref="E182:G182" si="970">E37*-1</f>
        <v>0.21727568443878581</v>
      </c>
      <c r="F182" s="175">
        <f t="shared" si="970"/>
        <v>-0.94993715189597416</v>
      </c>
      <c r="G182" s="175">
        <f t="shared" si="970"/>
        <v>-0.22452323799424914</v>
      </c>
      <c r="H182" s="144"/>
      <c r="I182" s="91"/>
      <c r="J182" s="84">
        <f t="shared" si="941"/>
        <v>2.145</v>
      </c>
    </row>
    <row r="183" spans="5:10" x14ac:dyDescent="0.25">
      <c r="E183" s="175">
        <f t="shared" ref="E183:G183" si="971">E38*-1</f>
        <v>0.12615517930951842</v>
      </c>
      <c r="F183" s="175">
        <f t="shared" si="971"/>
        <v>-0.97017117510034157</v>
      </c>
      <c r="G183" s="175">
        <f t="shared" si="971"/>
        <v>-0.20700908612378754</v>
      </c>
      <c r="H183" s="144"/>
      <c r="I183" s="91"/>
      <c r="J183" s="84">
        <f t="shared" si="941"/>
        <v>2.1509999999999998</v>
      </c>
    </row>
    <row r="184" spans="5:10" x14ac:dyDescent="0.25">
      <c r="E184" s="175">
        <f t="shared" ref="E184:G184" si="972">E39*-1</f>
        <v>4.0183878853474284E-2</v>
      </c>
      <c r="F184" s="175">
        <f t="shared" si="972"/>
        <v>-0.98432445213172126</v>
      </c>
      <c r="G184" s="175">
        <f t="shared" si="972"/>
        <v>-0.17172835763459743</v>
      </c>
      <c r="H184" s="144"/>
      <c r="I184" s="91"/>
      <c r="J184" s="84">
        <f t="shared" si="941"/>
        <v>2.157</v>
      </c>
    </row>
    <row r="185" spans="5:10" x14ac:dyDescent="0.25">
      <c r="E185" s="175">
        <f t="shared" ref="E185:G185" si="973">E40*-1</f>
        <v>-5.0096296714281091E-2</v>
      </c>
      <c r="F185" s="175">
        <f t="shared" si="973"/>
        <v>-0.9900425069887645</v>
      </c>
      <c r="G185" s="175">
        <f t="shared" si="973"/>
        <v>-0.13155301368998393</v>
      </c>
      <c r="H185" s="144"/>
      <c r="I185" s="91"/>
      <c r="J185" s="84">
        <f t="shared" si="941"/>
        <v>2.1629999999999998</v>
      </c>
    </row>
    <row r="186" spans="5:10" x14ac:dyDescent="0.25">
      <c r="E186" s="175">
        <f t="shared" ref="E186:G186" si="974">E41*-1</f>
        <v>-0.11534415385000925</v>
      </c>
      <c r="F186" s="175">
        <f t="shared" si="974"/>
        <v>-0.99096460667118713</v>
      </c>
      <c r="G186" s="175">
        <f t="shared" si="974"/>
        <v>-6.8446143044330179E-2</v>
      </c>
      <c r="H186" s="144"/>
      <c r="I186" s="91"/>
      <c r="J186" s="84">
        <f t="shared" si="941"/>
        <v>2.169</v>
      </c>
    </row>
    <row r="187" spans="5:10" x14ac:dyDescent="0.25">
      <c r="E187" s="175">
        <f t="shared" ref="E187:G187" si="975">E42*-1</f>
        <v>-0.23643105681538573</v>
      </c>
      <c r="F187" s="175">
        <f t="shared" si="975"/>
        <v>-0.97164826731340326</v>
      </c>
      <c r="G187" s="175">
        <f t="shared" si="975"/>
        <v>-1.457809319200666E-7</v>
      </c>
      <c r="H187" s="144"/>
      <c r="I187" s="91"/>
      <c r="J187" s="84">
        <f t="shared" si="941"/>
        <v>2.1749999999999998</v>
      </c>
    </row>
    <row r="188" spans="5:10" x14ac:dyDescent="0.25">
      <c r="E188" s="175">
        <f t="shared" ref="E188:G188" si="976">E43*-1</f>
        <v>6.6848249235470322E-2</v>
      </c>
      <c r="F188" s="175">
        <f t="shared" si="976"/>
        <v>1.9931778660854247E-2</v>
      </c>
      <c r="G188" s="175">
        <f t="shared" si="976"/>
        <v>-0.997564050962928</v>
      </c>
      <c r="H188" s="144"/>
      <c r="I188" s="91"/>
      <c r="J188" s="84">
        <f t="shared" si="941"/>
        <v>2.2269999999999999</v>
      </c>
    </row>
    <row r="189" spans="5:10" x14ac:dyDescent="0.25">
      <c r="E189" s="175">
        <f t="shared" ref="E189:G189" si="977">E44*-1</f>
        <v>-7.8483948783349342E-2</v>
      </c>
      <c r="F189" s="175">
        <f t="shared" si="977"/>
        <v>-2.3541177658519329E-2</v>
      </c>
      <c r="G189" s="175">
        <f t="shared" si="977"/>
        <v>-0.99663738778846878</v>
      </c>
      <c r="H189" s="144"/>
      <c r="I189" s="91"/>
      <c r="J189" s="84">
        <f t="shared" si="941"/>
        <v>2.2330000000000001</v>
      </c>
    </row>
    <row r="190" spans="5:10" x14ac:dyDescent="0.25">
      <c r="E190" s="175">
        <f t="shared" ref="E190:G190" si="978">E45*-1</f>
        <v>7.8267304438537244E-2</v>
      </c>
      <c r="F190" s="175">
        <f t="shared" si="978"/>
        <v>-0.9547304804545943</v>
      </c>
      <c r="G190" s="175">
        <f t="shared" si="978"/>
        <v>-0.2869911823503728</v>
      </c>
      <c r="H190" s="144"/>
      <c r="I190" s="91"/>
      <c r="J190" s="84">
        <f t="shared" si="941"/>
        <v>2.2389999999999999</v>
      </c>
    </row>
    <row r="191" spans="5:10" x14ac:dyDescent="0.25">
      <c r="E191" s="175">
        <f t="shared" ref="E191:G191" si="979">E46*-1</f>
        <v>-2.8723357359598925E-2</v>
      </c>
      <c r="F191" s="175">
        <f t="shared" si="979"/>
        <v>-0.96018152833543358</v>
      </c>
      <c r="G191" s="175">
        <f t="shared" si="979"/>
        <v>-0.27789638606038697</v>
      </c>
      <c r="H191" s="144"/>
      <c r="I191" s="91"/>
      <c r="J191" s="84">
        <f t="shared" si="941"/>
        <v>2.2450000000000001</v>
      </c>
    </row>
    <row r="192" spans="5:10" x14ac:dyDescent="0.25">
      <c r="E192" s="175">
        <f t="shared" ref="E192:G192" si="980">E47*-1</f>
        <v>-0.13516659658694299</v>
      </c>
      <c r="F192" s="175">
        <f t="shared" si="980"/>
        <v>-0.95920064257564208</v>
      </c>
      <c r="G192" s="175">
        <f t="shared" si="980"/>
        <v>-0.2483226096221966</v>
      </c>
      <c r="H192" s="144"/>
      <c r="I192" s="91"/>
      <c r="J192" s="84">
        <f t="shared" si="941"/>
        <v>2.2509999999999999</v>
      </c>
    </row>
    <row r="193" spans="5:10" x14ac:dyDescent="0.25">
      <c r="E193" s="175">
        <f t="shared" ref="E193:G193" si="981">E48*-1</f>
        <v>-0.23503927312559603</v>
      </c>
      <c r="F193" s="175">
        <f t="shared" si="981"/>
        <v>-0.9509306026137081</v>
      </c>
      <c r="G193" s="175">
        <f t="shared" si="981"/>
        <v>-0.20121513139255137</v>
      </c>
      <c r="H193" s="144"/>
      <c r="I193" s="91"/>
      <c r="J193" s="84">
        <f t="shared" si="941"/>
        <v>2.2570000000000001</v>
      </c>
    </row>
    <row r="194" spans="5:10" x14ac:dyDescent="0.25">
      <c r="E194" s="175">
        <f t="shared" ref="E194:G194" si="982">E49*-1</f>
        <v>-0.74526040901125545</v>
      </c>
      <c r="F194" s="175">
        <f t="shared" si="982"/>
        <v>-0.18201419907885838</v>
      </c>
      <c r="G194" s="175">
        <f t="shared" si="982"/>
        <v>-0.64144972842309167</v>
      </c>
      <c r="H194" s="144"/>
      <c r="I194" s="91"/>
      <c r="J194" s="84">
        <f t="shared" si="941"/>
        <v>2.2629999999999999</v>
      </c>
    </row>
    <row r="195" spans="5:10" x14ac:dyDescent="0.25">
      <c r="E195" s="175">
        <f t="shared" ref="E195:G195" si="983">E50*-1</f>
        <v>-0.83729436167684657</v>
      </c>
      <c r="F195" s="175">
        <f t="shared" si="983"/>
        <v>-0.19170322170678877</v>
      </c>
      <c r="G195" s="175">
        <f t="shared" si="983"/>
        <v>-0.51204299301074319</v>
      </c>
      <c r="H195" s="144"/>
      <c r="I195" s="91"/>
      <c r="J195" s="84">
        <f t="shared" si="941"/>
        <v>2.2690000000000001</v>
      </c>
    </row>
    <row r="196" spans="5:10" x14ac:dyDescent="0.25">
      <c r="E196" s="175">
        <f t="shared" ref="E196:G196" si="984">E51*-1</f>
        <v>-0.33252173587610084</v>
      </c>
      <c r="F196" s="175">
        <f t="shared" si="984"/>
        <v>-0.89725279245381229</v>
      </c>
      <c r="G196" s="175">
        <f t="shared" si="984"/>
        <v>-0.29045950079792671</v>
      </c>
      <c r="H196" s="144"/>
      <c r="I196" s="91"/>
      <c r="J196" s="84">
        <f t="shared" si="941"/>
        <v>3.1030000000000002</v>
      </c>
    </row>
    <row r="197" spans="5:10" x14ac:dyDescent="0.25">
      <c r="E197" s="175">
        <f t="shared" ref="E197:G197" si="985">E52*-1</f>
        <v>-0.34750680503247128</v>
      </c>
      <c r="F197" s="175">
        <f t="shared" si="985"/>
        <v>-0.90373615442983979</v>
      </c>
      <c r="G197" s="175">
        <f t="shared" si="985"/>
        <v>-0.2499999672649757</v>
      </c>
      <c r="H197" s="144"/>
      <c r="I197" s="91"/>
      <c r="J197" s="84">
        <f t="shared" si="941"/>
        <v>3.1059999999999999</v>
      </c>
    </row>
    <row r="198" spans="5:10" x14ac:dyDescent="0.25">
      <c r="E198" s="175">
        <f t="shared" ref="E198:G198" si="986">E53*-1</f>
        <v>-0.34750680503247122</v>
      </c>
      <c r="F198" s="175">
        <f t="shared" si="986"/>
        <v>-0.90373615442983979</v>
      </c>
      <c r="G198" s="175">
        <f t="shared" si="986"/>
        <v>-0.2499999672649757</v>
      </c>
      <c r="H198" s="144"/>
      <c r="I198" s="91"/>
      <c r="J198" s="84">
        <f t="shared" si="941"/>
        <v>3.109</v>
      </c>
    </row>
    <row r="199" spans="5:10" x14ac:dyDescent="0.25">
      <c r="E199" s="175">
        <f t="shared" ref="E199:G199" si="987">E54*-1</f>
        <v>-0.34750680503247133</v>
      </c>
      <c r="F199" s="175">
        <f t="shared" si="987"/>
        <v>-0.90373615442983968</v>
      </c>
      <c r="G199" s="175">
        <f t="shared" si="987"/>
        <v>-0.24999996726497575</v>
      </c>
      <c r="H199" s="144"/>
      <c r="I199" s="91"/>
      <c r="J199" s="84">
        <f t="shared" si="941"/>
        <v>3.1139999999999999</v>
      </c>
    </row>
    <row r="200" spans="5:10" x14ac:dyDescent="0.25">
      <c r="E200" s="175">
        <f t="shared" ref="E200:G200" si="988">E55*-1</f>
        <v>-0.34750680503247133</v>
      </c>
      <c r="F200" s="175">
        <f t="shared" si="988"/>
        <v>-0.90373615442983968</v>
      </c>
      <c r="G200" s="175">
        <f t="shared" si="988"/>
        <v>-0.24999996726497575</v>
      </c>
      <c r="H200" s="144"/>
      <c r="I200" s="91"/>
      <c r="J200" s="84">
        <f t="shared" si="941"/>
        <v>3.12</v>
      </c>
    </row>
    <row r="201" spans="5:10" x14ac:dyDescent="0.25">
      <c r="E201" s="175">
        <f t="shared" ref="E201:G201" si="989">E56*-1</f>
        <v>-0.42266629352281004</v>
      </c>
      <c r="F201" s="175">
        <f t="shared" si="989"/>
        <v>-0.86777845556910049</v>
      </c>
      <c r="G201" s="175">
        <f t="shared" si="989"/>
        <v>-0.26136900422543707</v>
      </c>
      <c r="H201" s="144"/>
      <c r="I201" s="91"/>
      <c r="J201" s="84">
        <f t="shared" si="941"/>
        <v>3.1259999999999999</v>
      </c>
    </row>
    <row r="202" spans="5:10" x14ac:dyDescent="0.25">
      <c r="E202" s="175">
        <f t="shared" ref="E202:G202" si="990">E57*-1</f>
        <v>-0.49782348841829377</v>
      </c>
      <c r="F202" s="175">
        <f t="shared" si="990"/>
        <v>-0.82936928707315283</v>
      </c>
      <c r="G202" s="175">
        <f t="shared" si="990"/>
        <v>-0.25361064654073784</v>
      </c>
      <c r="H202" s="144"/>
      <c r="I202" s="91"/>
      <c r="J202" s="84">
        <f t="shared" si="941"/>
        <v>3.1320000000000001</v>
      </c>
    </row>
    <row r="203" spans="5:10" x14ac:dyDescent="0.25">
      <c r="E203" s="175">
        <f t="shared" ref="E203:G203" si="991">E58*-1</f>
        <v>-0.56992582627942023</v>
      </c>
      <c r="F203" s="175">
        <f t="shared" si="991"/>
        <v>-0.78945007710685389</v>
      </c>
      <c r="G203" s="175">
        <f t="shared" si="991"/>
        <v>-0.22793228883969646</v>
      </c>
      <c r="H203" s="144"/>
      <c r="I203" s="91"/>
      <c r="J203" s="84">
        <f t="shared" si="941"/>
        <v>3.1379999999999999</v>
      </c>
    </row>
    <row r="204" spans="5:10" x14ac:dyDescent="0.25">
      <c r="E204" s="175">
        <f t="shared" ref="E204:G204" si="992">E59*-1</f>
        <v>-0.64009523116045752</v>
      </c>
      <c r="F204" s="175">
        <f t="shared" si="992"/>
        <v>-0.73677406918722954</v>
      </c>
      <c r="G204" s="175">
        <f t="shared" si="992"/>
        <v>-0.21781199695823</v>
      </c>
      <c r="H204" s="144"/>
      <c r="I204" s="91"/>
      <c r="J204" s="84">
        <f t="shared" si="941"/>
        <v>3.1440000000000001</v>
      </c>
    </row>
    <row r="205" spans="5:10" x14ac:dyDescent="0.25">
      <c r="E205" s="175">
        <f t="shared" ref="E205:G205" si="993">E60*-1</f>
        <v>-0.71362514112905018</v>
      </c>
      <c r="F205" s="175">
        <f t="shared" si="993"/>
        <v>-0.66572737237655344</v>
      </c>
      <c r="G205" s="175">
        <f t="shared" si="993"/>
        <v>-0.21805096564141419</v>
      </c>
      <c r="H205" s="144"/>
      <c r="I205" s="91"/>
      <c r="J205" s="84">
        <f t="shared" si="941"/>
        <v>3.15</v>
      </c>
    </row>
    <row r="206" spans="5:10" x14ac:dyDescent="0.25">
      <c r="E206" s="175">
        <f t="shared" ref="E206:G206" si="994">E61*-1</f>
        <v>-0.77666456760965918</v>
      </c>
      <c r="F206" s="175">
        <f t="shared" si="994"/>
        <v>-0.60224801106241532</v>
      </c>
      <c r="G206" s="175">
        <f t="shared" si="994"/>
        <v>-0.18463337344875144</v>
      </c>
      <c r="H206" s="144"/>
      <c r="I206" s="91"/>
      <c r="J206" s="84">
        <f t="shared" si="941"/>
        <v>3.1560000000000001</v>
      </c>
    </row>
    <row r="207" spans="5:10" x14ac:dyDescent="0.25">
      <c r="E207" s="175">
        <f t="shared" ref="E207:G207" si="995">E62*-1</f>
        <v>-0.82902349602528436</v>
      </c>
      <c r="F207" s="175">
        <f t="shared" si="995"/>
        <v>-0.54244803374821282</v>
      </c>
      <c r="G207" s="175">
        <f t="shared" si="995"/>
        <v>-0.13590501727571819</v>
      </c>
      <c r="H207" s="144"/>
      <c r="I207" s="91"/>
      <c r="J207" s="84">
        <f t="shared" si="941"/>
        <v>3.1619999999999999</v>
      </c>
    </row>
    <row r="208" spans="5:10" x14ac:dyDescent="0.25">
      <c r="E208" s="175">
        <f t="shared" ref="E208:G208" si="996">E63*-1</f>
        <v>-0.87578679903101886</v>
      </c>
      <c r="F208" s="175">
        <f t="shared" si="996"/>
        <v>-0.47544267950328239</v>
      </c>
      <c r="G208" s="175">
        <f t="shared" si="996"/>
        <v>-8.3377102070898129E-2</v>
      </c>
      <c r="H208" s="144"/>
      <c r="I208" s="91"/>
      <c r="J208" s="84">
        <f t="shared" si="941"/>
        <v>3.1680000000000001</v>
      </c>
    </row>
    <row r="209" spans="5:10" x14ac:dyDescent="0.25">
      <c r="E209" s="175">
        <f t="shared" ref="E209:G209" si="997">E64*-1</f>
        <v>-0.93153894751051158</v>
      </c>
      <c r="F209" s="175">
        <f t="shared" si="997"/>
        <v>-0.36364156702856076</v>
      </c>
      <c r="G209" s="175">
        <f t="shared" si="997"/>
        <v>-1.4578093199527977E-7</v>
      </c>
      <c r="H209" s="144"/>
      <c r="I209" s="91"/>
      <c r="J209" s="84">
        <f t="shared" si="941"/>
        <v>3.1739999999999999</v>
      </c>
    </row>
    <row r="210" spans="5:10" x14ac:dyDescent="0.25">
      <c r="E210" s="175">
        <f t="shared" ref="E210:G210" si="998">E65*-1</f>
        <v>8.1549085914037145E-2</v>
      </c>
      <c r="F210" s="175">
        <f t="shared" si="998"/>
        <v>-6.5390695639205632E-2</v>
      </c>
      <c r="G210" s="175">
        <f t="shared" si="998"/>
        <v>-0.99452189694868243</v>
      </c>
      <c r="H210" s="144"/>
      <c r="I210" s="91"/>
      <c r="J210" s="84">
        <f t="shared" si="941"/>
        <v>3.226</v>
      </c>
    </row>
    <row r="211" spans="5:10" x14ac:dyDescent="0.25">
      <c r="E211" s="175">
        <f t="shared" ref="E211:G211" si="999">E66*-1</f>
        <v>-4.2303906680496488E-2</v>
      </c>
      <c r="F211" s="175">
        <f t="shared" si="999"/>
        <v>3.3688227168990718E-2</v>
      </c>
      <c r="G211" s="175">
        <f t="shared" si="999"/>
        <v>-0.99853667074864028</v>
      </c>
      <c r="H211" s="144"/>
      <c r="I211" s="91"/>
      <c r="J211" s="84">
        <f t="shared" si="941"/>
        <v>3.2320000000000002</v>
      </c>
    </row>
    <row r="212" spans="5:10" x14ac:dyDescent="0.25">
      <c r="E212" s="175">
        <f t="shared" ref="E212:G212" si="1000">E67*-1</f>
        <v>-0.72708292421701026</v>
      </c>
      <c r="F212" s="175">
        <f t="shared" si="1000"/>
        <v>-0.61982430388838661</v>
      </c>
      <c r="G212" s="175">
        <f t="shared" si="1000"/>
        <v>-0.29524270290951909</v>
      </c>
      <c r="H212" s="144"/>
      <c r="I212" s="91"/>
      <c r="J212" s="84">
        <f t="shared" si="941"/>
        <v>3.238</v>
      </c>
    </row>
    <row r="213" spans="5:10" x14ac:dyDescent="0.25">
      <c r="E213" s="175">
        <f t="shared" ref="E213:G213" si="1001">E68*-1</f>
        <v>-0.79403627566232593</v>
      </c>
      <c r="F213" s="175">
        <f t="shared" si="1001"/>
        <v>-0.54327916595992831</v>
      </c>
      <c r="G213" s="175">
        <f t="shared" si="1001"/>
        <v>-0.27267955692751822</v>
      </c>
      <c r="H213" s="144"/>
      <c r="I213" s="91"/>
      <c r="J213" s="84">
        <f t="shared" si="941"/>
        <v>3.2440000000000002</v>
      </c>
    </row>
    <row r="214" spans="5:10" x14ac:dyDescent="0.25">
      <c r="E214" s="175">
        <f t="shared" ref="E214:G214" si="1002">E69*-1</f>
        <v>-0.85589798344492951</v>
      </c>
      <c r="F214" s="175">
        <f t="shared" si="1002"/>
        <v>-0.44599166864413425</v>
      </c>
      <c r="G214" s="175">
        <f t="shared" si="1002"/>
        <v>-0.26178249260583525</v>
      </c>
      <c r="H214" s="144"/>
      <c r="I214" s="91"/>
      <c r="J214" s="84">
        <f t="shared" si="941"/>
        <v>3.25</v>
      </c>
    </row>
    <row r="215" spans="5:10" x14ac:dyDescent="0.25">
      <c r="E215" s="175">
        <f t="shared" ref="E215:G215" si="1003">E70*-1</f>
        <v>-0.90828003450708039</v>
      </c>
      <c r="F215" s="175">
        <f t="shared" si="1003"/>
        <v>-0.35802243222071334</v>
      </c>
      <c r="G215" s="175">
        <f t="shared" si="1003"/>
        <v>-0.21644241022170715</v>
      </c>
      <c r="H215" s="144"/>
      <c r="I215" s="91"/>
      <c r="J215" s="84">
        <f t="shared" si="941"/>
        <v>3.2559999999999998</v>
      </c>
    </row>
    <row r="216" spans="5:10" x14ac:dyDescent="0.25">
      <c r="E216" s="175">
        <f t="shared" ref="E216:G216" si="1004">E71*-1</f>
        <v>-0.56370356738165039</v>
      </c>
      <c r="F216" s="175">
        <f t="shared" si="1004"/>
        <v>0.49487855419267951</v>
      </c>
      <c r="G216" s="175">
        <f t="shared" si="1004"/>
        <v>-0.66131195718916536</v>
      </c>
      <c r="H216" s="144"/>
      <c r="I216" s="91"/>
      <c r="J216" s="84">
        <f t="shared" si="941"/>
        <v>3.262</v>
      </c>
    </row>
    <row r="217" spans="5:10" x14ac:dyDescent="0.25">
      <c r="E217" s="175">
        <f t="shared" ref="E217:G217" si="1005">E72*-1</f>
        <v>-0.62704132109440613</v>
      </c>
      <c r="F217" s="175">
        <f t="shared" si="1005"/>
        <v>0.56682150364656325</v>
      </c>
      <c r="G217" s="175">
        <f t="shared" si="1005"/>
        <v>-0.53435247229149341</v>
      </c>
      <c r="H217" s="144"/>
      <c r="I217" s="91"/>
      <c r="J217" s="84">
        <f t="shared" si="941"/>
        <v>3.2679999999999998</v>
      </c>
    </row>
    <row r="218" spans="5:10" x14ac:dyDescent="0.25">
      <c r="E218" s="175">
        <f t="shared" ref="E218:G218" si="1006">E73*-1</f>
        <v>-0.96592583607220739</v>
      </c>
      <c r="F218" s="175">
        <f t="shared" si="1006"/>
        <v>-6.6987279208207087E-2</v>
      </c>
      <c r="G218" s="175">
        <f t="shared" si="1006"/>
        <v>-0.24999996726497567</v>
      </c>
      <c r="H218" s="144"/>
      <c r="I218" s="91"/>
      <c r="J218" s="84">
        <f t="shared" si="941"/>
        <v>4.1130000000000004</v>
      </c>
    </row>
    <row r="219" spans="5:10" x14ac:dyDescent="0.25">
      <c r="E219" s="175">
        <f t="shared" ref="E219:G219" si="1007">E74*-1</f>
        <v>-0.96592583607220739</v>
      </c>
      <c r="F219" s="175">
        <f t="shared" si="1007"/>
        <v>-6.6987279208207087E-2</v>
      </c>
      <c r="G219" s="175">
        <f t="shared" si="1007"/>
        <v>-0.24999996726497567</v>
      </c>
      <c r="H219" s="144"/>
      <c r="I219" s="91"/>
      <c r="J219" s="84">
        <f t="shared" ref="J219:J282" si="1008">J74</f>
        <v>4.1189999999999998</v>
      </c>
    </row>
    <row r="220" spans="5:10" x14ac:dyDescent="0.25">
      <c r="E220" s="175">
        <f t="shared" ref="E220:G220" si="1009">E75*-1</f>
        <v>-0.96536662367756532</v>
      </c>
      <c r="F220" s="175">
        <f t="shared" si="1009"/>
        <v>5.1195042808499513E-4</v>
      </c>
      <c r="G220" s="175">
        <f t="shared" si="1009"/>
        <v>-0.26089656915363463</v>
      </c>
      <c r="H220" s="144"/>
      <c r="I220" s="91"/>
      <c r="J220" s="84">
        <f t="shared" si="1008"/>
        <v>4.125</v>
      </c>
    </row>
    <row r="221" spans="5:10" x14ac:dyDescent="0.25">
      <c r="E221" s="175">
        <f t="shared" ref="E221:G221" si="1010">E76*-1</f>
        <v>-0.96275566166986348</v>
      </c>
      <c r="F221" s="175">
        <f t="shared" si="1010"/>
        <v>8.654988341724279E-2</v>
      </c>
      <c r="G221" s="175">
        <f t="shared" si="1010"/>
        <v>-0.25614576631887792</v>
      </c>
      <c r="H221" s="144"/>
      <c r="I221" s="91"/>
      <c r="J221" s="84">
        <f t="shared" si="1008"/>
        <v>4.1310000000000002</v>
      </c>
    </row>
    <row r="222" spans="5:10" x14ac:dyDescent="0.25">
      <c r="E222" s="175">
        <f t="shared" ref="E222:G222" si="1011">E77*-1</f>
        <v>-0.95741498772931211</v>
      </c>
      <c r="F222" s="175">
        <f t="shared" si="1011"/>
        <v>0.1698373064747136</v>
      </c>
      <c r="G222" s="175">
        <f t="shared" si="1011"/>
        <v>-0.23347768758640602</v>
      </c>
      <c r="H222" s="144"/>
      <c r="I222" s="91"/>
      <c r="J222" s="84">
        <f t="shared" si="1008"/>
        <v>4.1369999999999996</v>
      </c>
    </row>
    <row r="223" spans="5:10" x14ac:dyDescent="0.25">
      <c r="E223" s="175">
        <f t="shared" ref="E223:G223" si="1012">E78*-1</f>
        <v>-0.93976500721201517</v>
      </c>
      <c r="F223" s="175">
        <f t="shared" si="1012"/>
        <v>0.25653158469304949</v>
      </c>
      <c r="G223" s="175">
        <f t="shared" si="1012"/>
        <v>-0.22590546092264771</v>
      </c>
      <c r="H223" s="144"/>
      <c r="I223" s="91"/>
      <c r="J223" s="84">
        <f t="shared" si="1008"/>
        <v>4.1429999999999998</v>
      </c>
    </row>
    <row r="224" spans="5:10" x14ac:dyDescent="0.25">
      <c r="E224" s="175">
        <f t="shared" ref="E224:G224" si="1013">E79*-1</f>
        <v>-0.91298886582420025</v>
      </c>
      <c r="F224" s="175">
        <f t="shared" si="1013"/>
        <v>0.3468876276928422</v>
      </c>
      <c r="G224" s="175">
        <f t="shared" si="1013"/>
        <v>-0.21475638438629202</v>
      </c>
      <c r="H224" s="144"/>
      <c r="I224" s="91"/>
      <c r="J224" s="84">
        <f t="shared" si="1008"/>
        <v>4.149</v>
      </c>
    </row>
    <row r="225" spans="5:10" x14ac:dyDescent="0.25">
      <c r="E225" s="175">
        <f t="shared" ref="E225:G225" si="1014">E80*-1</f>
        <v>-0.88298643869854621</v>
      </c>
      <c r="F225" s="175">
        <f t="shared" si="1014"/>
        <v>0.43108472854537788</v>
      </c>
      <c r="G225" s="175">
        <f t="shared" si="1014"/>
        <v>-0.18574419476639456</v>
      </c>
      <c r="H225" s="144"/>
      <c r="I225" s="91"/>
      <c r="J225" s="84">
        <f t="shared" si="1008"/>
        <v>4.1550000000000002</v>
      </c>
    </row>
    <row r="226" spans="5:10" x14ac:dyDescent="0.25">
      <c r="E226" s="175">
        <f t="shared" ref="E226:G226" si="1015">E81*-1</f>
        <v>-0.84317157380989283</v>
      </c>
      <c r="F226" s="175">
        <f t="shared" si="1015"/>
        <v>0.51607161010489422</v>
      </c>
      <c r="G226" s="175">
        <f t="shared" si="1015"/>
        <v>-0.150770654845997</v>
      </c>
      <c r="H226" s="144"/>
      <c r="I226" s="91"/>
      <c r="J226" s="84">
        <f t="shared" si="1008"/>
        <v>4.1609999999999996</v>
      </c>
    </row>
    <row r="227" spans="5:10" x14ac:dyDescent="0.25">
      <c r="E227" s="175">
        <f t="shared" ref="E227:G227" si="1016">E82*-1</f>
        <v>-0.81100486339030819</v>
      </c>
      <c r="F227" s="175">
        <f t="shared" si="1016"/>
        <v>0.57803612456465836</v>
      </c>
      <c r="G227" s="175">
        <f t="shared" si="1016"/>
        <v>-9.0251594199429269E-2</v>
      </c>
      <c r="H227" s="144"/>
      <c r="I227" s="91"/>
      <c r="J227" s="84">
        <f t="shared" si="1008"/>
        <v>4.1669999999999998</v>
      </c>
    </row>
    <row r="228" spans="5:10" x14ac:dyDescent="0.25">
      <c r="E228" s="175">
        <f t="shared" ref="E228:G228" si="1017">E83*-1</f>
        <v>-0.76998104431730519</v>
      </c>
      <c r="F228" s="175">
        <f t="shared" si="1017"/>
        <v>0.63734388624455507</v>
      </c>
      <c r="G228" s="175">
        <f t="shared" si="1017"/>
        <v>-3.0363828130194476E-2</v>
      </c>
      <c r="H228" s="144"/>
      <c r="I228" s="91"/>
      <c r="J228" s="84">
        <f t="shared" si="1008"/>
        <v>4.173</v>
      </c>
    </row>
    <row r="229" spans="5:10" x14ac:dyDescent="0.25">
      <c r="E229" s="175">
        <f t="shared" ref="E229:G229" si="1018">E84*-1</f>
        <v>-0.7232565546288473</v>
      </c>
      <c r="F229" s="175">
        <f t="shared" si="1018"/>
        <v>0.6905794351024277</v>
      </c>
      <c r="G229" s="175">
        <f t="shared" si="1018"/>
        <v>-1.457809320388035E-7</v>
      </c>
      <c r="H229" s="144"/>
      <c r="I229" s="91"/>
      <c r="J229" s="84">
        <f t="shared" si="1008"/>
        <v>4.1790000000000003</v>
      </c>
    </row>
    <row r="230" spans="5:10" x14ac:dyDescent="0.25">
      <c r="E230" s="175">
        <f t="shared" ref="E230:G230" si="1019">E85*-1</f>
        <v>5.9670735111285603E-3</v>
      </c>
      <c r="F230" s="175">
        <f t="shared" si="1019"/>
        <v>2.7276578189106837E-2</v>
      </c>
      <c r="G230" s="175">
        <f t="shared" si="1019"/>
        <v>-0.99961011515290621</v>
      </c>
      <c r="H230" s="144"/>
      <c r="I230" s="91"/>
      <c r="J230" s="84">
        <f t="shared" si="1008"/>
        <v>4.2309999999999999</v>
      </c>
    </row>
    <row r="231" spans="5:10" x14ac:dyDescent="0.25">
      <c r="E231" s="175">
        <f t="shared" ref="E231:G231" si="1020">E86*-1</f>
        <v>4.0505479367291021E-2</v>
      </c>
      <c r="F231" s="175">
        <f t="shared" si="1020"/>
        <v>0.18119433868555587</v>
      </c>
      <c r="G231" s="175">
        <f t="shared" si="1020"/>
        <v>-0.98261280154979158</v>
      </c>
      <c r="H231" s="144"/>
      <c r="I231" s="91"/>
      <c r="J231" s="84">
        <f t="shared" si="1008"/>
        <v>4.2370000000000001</v>
      </c>
    </row>
    <row r="232" spans="5:10" x14ac:dyDescent="0.25">
      <c r="E232" s="175">
        <f t="shared" ref="E232:G232" si="1021">E87*-1</f>
        <v>-0.84027388367270595</v>
      </c>
      <c r="F232" s="175">
        <f t="shared" si="1021"/>
        <v>0.46230365785182248</v>
      </c>
      <c r="G232" s="175">
        <f t="shared" si="1021"/>
        <v>-0.28322275394892421</v>
      </c>
      <c r="H232" s="144"/>
      <c r="I232" s="91"/>
      <c r="J232" s="84">
        <f t="shared" si="1008"/>
        <v>4.2430000000000003</v>
      </c>
    </row>
    <row r="233" spans="5:10" x14ac:dyDescent="0.25">
      <c r="E233" s="175">
        <f t="shared" ref="E233:G233" si="1022">E88*-1</f>
        <v>-0.78840369196039106</v>
      </c>
      <c r="F233" s="175">
        <f t="shared" si="1022"/>
        <v>0.5574894479709801</v>
      </c>
      <c r="G233" s="175">
        <f t="shared" si="1022"/>
        <v>-0.26004832993933374</v>
      </c>
      <c r="H233" s="144"/>
      <c r="I233" s="91"/>
      <c r="J233" s="84">
        <f t="shared" si="1008"/>
        <v>4.2489999999999997</v>
      </c>
    </row>
    <row r="234" spans="5:10" x14ac:dyDescent="0.25">
      <c r="E234" s="175">
        <f t="shared" ref="E234:G234" si="1023">E89*-1</f>
        <v>-0.73259623588228506</v>
      </c>
      <c r="F234" s="175">
        <f t="shared" si="1023"/>
        <v>0.6444021514599314</v>
      </c>
      <c r="G234" s="175">
        <f t="shared" si="1023"/>
        <v>-0.21919995977399043</v>
      </c>
      <c r="H234" s="144"/>
      <c r="I234" s="91"/>
      <c r="J234" s="84">
        <f t="shared" si="1008"/>
        <v>4.2549999999999999</v>
      </c>
    </row>
    <row r="235" spans="5:10" x14ac:dyDescent="0.25">
      <c r="E235" s="175">
        <f t="shared" ref="E235:G235" si="1024">E90*-1</f>
        <v>-0.66350194172684052</v>
      </c>
      <c r="F235" s="175">
        <f t="shared" si="1024"/>
        <v>0.72776686777126909</v>
      </c>
      <c r="G235" s="175">
        <f t="shared" si="1024"/>
        <v>-0.17355275710604107</v>
      </c>
      <c r="H235" s="144"/>
      <c r="I235" s="91"/>
      <c r="J235" s="84">
        <f t="shared" si="1008"/>
        <v>4.2610000000000001</v>
      </c>
    </row>
    <row r="236" spans="5:10" x14ac:dyDescent="0.25">
      <c r="E236" s="175">
        <f t="shared" ref="E236:G236" si="1025">E91*-1</f>
        <v>0.232473418410964</v>
      </c>
      <c r="F236" s="175">
        <f t="shared" si="1025"/>
        <v>0.79780396525243313</v>
      </c>
      <c r="G236" s="175">
        <f t="shared" si="1025"/>
        <v>-0.55629573318498093</v>
      </c>
      <c r="H236" s="144"/>
      <c r="I236" s="91"/>
      <c r="J236" s="84">
        <f t="shared" si="1008"/>
        <v>4.2670000000000003</v>
      </c>
    </row>
    <row r="237" spans="5:10" x14ac:dyDescent="0.25">
      <c r="E237" s="175">
        <f t="shared" ref="E237:G237" si="1026">E92*-1</f>
        <v>0.26691254448418317</v>
      </c>
      <c r="F237" s="175">
        <f t="shared" si="1026"/>
        <v>0.86611279459720725</v>
      </c>
      <c r="G237" s="175">
        <f t="shared" si="1026"/>
        <v>-0.42261841019055829</v>
      </c>
      <c r="H237" s="144"/>
      <c r="I237" s="91"/>
      <c r="J237" s="84">
        <f t="shared" si="1008"/>
        <v>4.2729999999999997</v>
      </c>
    </row>
    <row r="238" spans="5:10" x14ac:dyDescent="0.25">
      <c r="E238" s="175">
        <f t="shared" ref="E238:G238" si="1027">E93*-1</f>
        <v>-0.61149796036098536</v>
      </c>
      <c r="F238" s="175">
        <f t="shared" si="1027"/>
        <v>0.71897739125746807</v>
      </c>
      <c r="G238" s="175">
        <f t="shared" si="1027"/>
        <v>-0.33036609289538266</v>
      </c>
      <c r="H238" s="144"/>
      <c r="I238" s="91"/>
      <c r="J238" s="84">
        <f t="shared" si="1008"/>
        <v>5.1020000000000003</v>
      </c>
    </row>
    <row r="239" spans="5:10" x14ac:dyDescent="0.25">
      <c r="E239" s="175">
        <f t="shared" ref="E239:G239" si="1028">E94*-1</f>
        <v>-0.6089050655384618</v>
      </c>
      <c r="F239" s="175">
        <f t="shared" si="1028"/>
        <v>0.75281779836100626</v>
      </c>
      <c r="G239" s="175">
        <f t="shared" si="1028"/>
        <v>-0.24999996726497573</v>
      </c>
      <c r="H239" s="144"/>
      <c r="I239" s="91"/>
      <c r="J239" s="84">
        <f t="shared" si="1008"/>
        <v>5.1050000000000004</v>
      </c>
    </row>
    <row r="240" spans="5:10" x14ac:dyDescent="0.25">
      <c r="E240" s="175">
        <f t="shared" ref="E240:G240" si="1029">E95*-1</f>
        <v>-0.6089050655384618</v>
      </c>
      <c r="F240" s="175">
        <f t="shared" si="1029"/>
        <v>0.75281779836100626</v>
      </c>
      <c r="G240" s="175">
        <f t="shared" si="1029"/>
        <v>-0.24999996726497573</v>
      </c>
      <c r="H240" s="144"/>
      <c r="I240" s="91"/>
      <c r="J240" s="84">
        <f t="shared" si="1008"/>
        <v>5.1079999999999997</v>
      </c>
    </row>
    <row r="241" spans="5:10" x14ac:dyDescent="0.25">
      <c r="E241" s="175">
        <f t="shared" ref="E241:G241" si="1030">E96*-1</f>
        <v>-0.60890506553846202</v>
      </c>
      <c r="F241" s="175">
        <f t="shared" si="1030"/>
        <v>0.75281779836100604</v>
      </c>
      <c r="G241" s="175">
        <f t="shared" si="1030"/>
        <v>-0.24999996726497561</v>
      </c>
      <c r="H241" s="144"/>
      <c r="I241" s="91"/>
      <c r="J241" s="84">
        <f t="shared" si="1008"/>
        <v>5.1120000000000001</v>
      </c>
    </row>
    <row r="242" spans="5:10" x14ac:dyDescent="0.25">
      <c r="E242" s="175">
        <f t="shared" ref="E242:G242" si="1031">E97*-1</f>
        <v>-0.60890506553846202</v>
      </c>
      <c r="F242" s="175">
        <f t="shared" si="1031"/>
        <v>0.75281779836100604</v>
      </c>
      <c r="G242" s="175">
        <f t="shared" si="1031"/>
        <v>-0.24999996726497561</v>
      </c>
      <c r="H242" s="144"/>
      <c r="I242" s="91"/>
      <c r="J242" s="84">
        <f t="shared" si="1008"/>
        <v>5.1180000000000003</v>
      </c>
    </row>
    <row r="243" spans="5:10" x14ac:dyDescent="0.25">
      <c r="E243" s="175">
        <f t="shared" ref="E243:G243" si="1032">E98*-1</f>
        <v>-0.59084781185157942</v>
      </c>
      <c r="F243" s="175">
        <f t="shared" si="1032"/>
        <v>0.76546162351192648</v>
      </c>
      <c r="G243" s="175">
        <f t="shared" si="1032"/>
        <v>-0.2548869674202402</v>
      </c>
      <c r="H243" s="144"/>
      <c r="I243" s="91"/>
      <c r="J243" s="84">
        <f t="shared" si="1008"/>
        <v>5.1239999999999997</v>
      </c>
    </row>
    <row r="244" spans="5:10" x14ac:dyDescent="0.25">
      <c r="E244" s="175">
        <f t="shared" ref="E244:G244" si="1033">E99*-1</f>
        <v>-0.4936045318723481</v>
      </c>
      <c r="F244" s="175">
        <f t="shared" si="1033"/>
        <v>0.83044483435694882</v>
      </c>
      <c r="G244" s="175">
        <f t="shared" si="1033"/>
        <v>-0.25829429572667684</v>
      </c>
      <c r="H244" s="144"/>
      <c r="I244" s="91"/>
      <c r="J244" s="84">
        <f t="shared" si="1008"/>
        <v>5.13</v>
      </c>
    </row>
    <row r="245" spans="5:10" x14ac:dyDescent="0.25">
      <c r="E245" s="175">
        <f t="shared" ref="E245:G245" si="1034">E100*-1</f>
        <v>-0.42160583051107009</v>
      </c>
      <c r="F245" s="175">
        <f t="shared" si="1034"/>
        <v>0.87487980048870495</v>
      </c>
      <c r="G245" s="175">
        <f t="shared" si="1034"/>
        <v>-0.23839852846843385</v>
      </c>
      <c r="H245" s="144"/>
      <c r="I245" s="91"/>
      <c r="J245" s="84">
        <f t="shared" si="1008"/>
        <v>5.1360000000000001</v>
      </c>
    </row>
    <row r="246" spans="5:10" x14ac:dyDescent="0.25">
      <c r="E246" s="175">
        <f t="shared" ref="E246:G246" si="1035">E101*-1</f>
        <v>-0.34713154711411026</v>
      </c>
      <c r="F246" s="175">
        <f t="shared" si="1035"/>
        <v>0.91215357402487562</v>
      </c>
      <c r="G246" s="175">
        <f t="shared" si="1035"/>
        <v>-0.21788883953018401</v>
      </c>
      <c r="H246" s="144"/>
      <c r="I246" s="91"/>
      <c r="J246" s="84">
        <f t="shared" si="1008"/>
        <v>5.1420000000000003</v>
      </c>
    </row>
    <row r="247" spans="5:10" x14ac:dyDescent="0.25">
      <c r="E247" s="175">
        <f t="shared" ref="E247:G247" si="1036">E102*-1</f>
        <v>-0.25902499032752668</v>
      </c>
      <c r="F247" s="175">
        <f t="shared" si="1036"/>
        <v>0.9426147234847051</v>
      </c>
      <c r="G247" s="175">
        <f t="shared" si="1036"/>
        <v>-0.21067400754644125</v>
      </c>
      <c r="H247" s="144"/>
      <c r="I247" s="91"/>
      <c r="J247" s="84">
        <f t="shared" si="1008"/>
        <v>5.1479999999999997</v>
      </c>
    </row>
    <row r="248" spans="5:10" x14ac:dyDescent="0.25">
      <c r="E248" s="175">
        <f t="shared" ref="E248:G248" si="1037">E103*-1</f>
        <v>-0.1615106249634336</v>
      </c>
      <c r="F248" s="175">
        <f t="shared" si="1037"/>
        <v>0.96678818125789534</v>
      </c>
      <c r="G248" s="175">
        <f t="shared" si="1037"/>
        <v>-0.19807809218581468</v>
      </c>
      <c r="H248" s="144"/>
      <c r="I248" s="91"/>
      <c r="J248" s="84">
        <f t="shared" si="1008"/>
        <v>5.1539999999999999</v>
      </c>
    </row>
    <row r="249" spans="5:10" x14ac:dyDescent="0.25">
      <c r="E249" s="175">
        <f t="shared" ref="E249:G249" si="1038">E104*-1</f>
        <v>-8.0231723519274434E-2</v>
      </c>
      <c r="F249" s="175">
        <f t="shared" si="1038"/>
        <v>0.98478438149322411</v>
      </c>
      <c r="G249" s="175">
        <f t="shared" si="1038"/>
        <v>-0.15415120015145795</v>
      </c>
      <c r="H249" s="144"/>
      <c r="I249" s="91"/>
      <c r="J249" s="84">
        <f t="shared" si="1008"/>
        <v>5.16</v>
      </c>
    </row>
    <row r="250" spans="5:10" x14ac:dyDescent="0.25">
      <c r="E250" s="175">
        <f t="shared" ref="E250:G250" si="1039">E105*-1</f>
        <v>-9.6469061020945084E-3</v>
      </c>
      <c r="F250" s="175">
        <f t="shared" si="1039"/>
        <v>0.99528704203591878</v>
      </c>
      <c r="G250" s="175">
        <f t="shared" si="1039"/>
        <v>-9.6491663671265507E-2</v>
      </c>
      <c r="H250" s="144"/>
      <c r="I250" s="91"/>
      <c r="J250" s="84">
        <f t="shared" si="1008"/>
        <v>5.1660000000000004</v>
      </c>
    </row>
    <row r="251" spans="5:10" x14ac:dyDescent="0.25">
      <c r="E251" s="175">
        <f t="shared" ref="E251:G251" si="1040">E106*-1</f>
        <v>6.2323213129158714E-2</v>
      </c>
      <c r="F251" s="175">
        <f t="shared" si="1040"/>
        <v>0.99738505447030235</v>
      </c>
      <c r="G251" s="175">
        <f t="shared" si="1040"/>
        <v>-3.6590575624462315E-2</v>
      </c>
      <c r="H251" s="144"/>
      <c r="I251" s="91"/>
      <c r="J251" s="84">
        <f t="shared" si="1008"/>
        <v>5.1719999999999997</v>
      </c>
    </row>
    <row r="252" spans="5:10" x14ac:dyDescent="0.25">
      <c r="E252" s="175">
        <f t="shared" ref="E252:G252" si="1041">E107*-1</f>
        <v>0.1508466388365407</v>
      </c>
      <c r="F252" s="175">
        <f t="shared" si="1041"/>
        <v>0.98855717667300214</v>
      </c>
      <c r="G252" s="175">
        <f t="shared" si="1041"/>
        <v>-1.4578093197128142E-7</v>
      </c>
      <c r="H252" s="144"/>
      <c r="I252" s="91"/>
      <c r="J252" s="84">
        <f t="shared" si="1008"/>
        <v>5.1779999999999999</v>
      </c>
    </row>
    <row r="253" spans="5:10" x14ac:dyDescent="0.25">
      <c r="E253" s="175">
        <f t="shared" ref="E253:G253" si="1042">E108*-1</f>
        <v>-8.6529844344786744E-8</v>
      </c>
      <c r="F253" s="175">
        <f t="shared" si="1042"/>
        <v>2.0963900213022131E-7</v>
      </c>
      <c r="G253" s="175">
        <f t="shared" si="1042"/>
        <v>-0.99999999999997435</v>
      </c>
      <c r="H253" s="144"/>
      <c r="I253" s="91"/>
      <c r="J253" s="84">
        <f t="shared" si="1008"/>
        <v>5.23</v>
      </c>
    </row>
    <row r="254" spans="5:10" x14ac:dyDescent="0.25">
      <c r="E254" s="175">
        <f t="shared" ref="E254:G254" si="1043">E109*-1</f>
        <v>0.14797756827520836</v>
      </c>
      <c r="F254" s="175">
        <f t="shared" si="1043"/>
        <v>6.0536155703148138E-2</v>
      </c>
      <c r="G254" s="175">
        <f t="shared" si="1043"/>
        <v>-0.9871362687795644</v>
      </c>
      <c r="H254" s="144"/>
      <c r="I254" s="91"/>
      <c r="J254" s="84">
        <f t="shared" si="1008"/>
        <v>5.2359999999999998</v>
      </c>
    </row>
    <row r="255" spans="5:10" x14ac:dyDescent="0.25">
      <c r="E255" s="175">
        <f t="shared" ref="E255:G255" si="1044">E110*-1</f>
        <v>-0.12135078370532384</v>
      </c>
      <c r="F255" s="175">
        <f t="shared" si="1044"/>
        <v>0.95327085138988787</v>
      </c>
      <c r="G255" s="175">
        <f t="shared" si="1044"/>
        <v>-0.27667430524806996</v>
      </c>
      <c r="H255" s="144"/>
      <c r="I255" s="91"/>
      <c r="J255" s="84">
        <f t="shared" si="1008"/>
        <v>5.242</v>
      </c>
    </row>
    <row r="256" spans="5:10" x14ac:dyDescent="0.25">
      <c r="E256" s="175">
        <f t="shared" ref="E256:G256" si="1045">E111*-1</f>
        <v>-1.4960589838304922E-2</v>
      </c>
      <c r="F256" s="175">
        <f t="shared" si="1045"/>
        <v>0.96616597153243755</v>
      </c>
      <c r="G256" s="175">
        <f t="shared" si="1045"/>
        <v>-0.25748688549996318</v>
      </c>
      <c r="H256" s="144"/>
      <c r="I256" s="91"/>
      <c r="J256" s="84">
        <f t="shared" si="1008"/>
        <v>5.2480000000000002</v>
      </c>
    </row>
    <row r="257" spans="5:10" x14ac:dyDescent="0.25">
      <c r="E257" s="175">
        <f t="shared" ref="E257:G257" si="1046">E112*-1</f>
        <v>9.9620310595604056E-2</v>
      </c>
      <c r="F257" s="175">
        <f t="shared" si="1046"/>
        <v>0.96714530798656861</v>
      </c>
      <c r="G257" s="175">
        <f t="shared" si="1046"/>
        <v>-0.2338925970534354</v>
      </c>
      <c r="H257" s="144"/>
      <c r="I257" s="91"/>
      <c r="J257" s="84">
        <f t="shared" si="1008"/>
        <v>5.2539999999999996</v>
      </c>
    </row>
    <row r="258" spans="5:10" x14ac:dyDescent="0.25">
      <c r="E258" s="175">
        <f t="shared" ref="E258:G258" si="1047">E113*-1</f>
        <v>0.19640411282789502</v>
      </c>
      <c r="F258" s="175">
        <f t="shared" si="1047"/>
        <v>0.96415550220482915</v>
      </c>
      <c r="G258" s="175">
        <f t="shared" si="1047"/>
        <v>-0.17840849764638805</v>
      </c>
      <c r="H258" s="144"/>
      <c r="I258" s="91"/>
      <c r="J258" s="84">
        <f t="shared" si="1008"/>
        <v>5.26</v>
      </c>
    </row>
    <row r="259" spans="5:10" x14ac:dyDescent="0.25">
      <c r="E259" s="175">
        <f t="shared" ref="E259:G259" si="1048">E114*-1</f>
        <v>0.77279443235498846</v>
      </c>
      <c r="F259" s="175">
        <f t="shared" si="1048"/>
        <v>0.26242942146096271</v>
      </c>
      <c r="G259" s="175">
        <f t="shared" si="1048"/>
        <v>-0.57785773688062325</v>
      </c>
      <c r="H259" s="144"/>
      <c r="I259" s="91"/>
      <c r="J259" s="84">
        <f t="shared" si="1008"/>
        <v>5.266</v>
      </c>
    </row>
    <row r="260" spans="5:10" x14ac:dyDescent="0.25">
      <c r="E260" s="175">
        <f t="shared" ref="E260:G260" si="1049">E115*-1</f>
        <v>0.85349557703359347</v>
      </c>
      <c r="F260" s="175">
        <f t="shared" si="1049"/>
        <v>0.27679912311354599</v>
      </c>
      <c r="G260" s="175">
        <f t="shared" si="1049"/>
        <v>-0.44150599704609367</v>
      </c>
      <c r="H260" s="144"/>
      <c r="I260" s="91"/>
      <c r="J260" s="84">
        <f t="shared" si="1008"/>
        <v>5.2720000000000002</v>
      </c>
    </row>
    <row r="261" spans="5:10" x14ac:dyDescent="0.25">
      <c r="E261" s="175">
        <f t="shared" ref="E261:G261" si="1050">E116*-1</f>
        <v>0.42495023251139524</v>
      </c>
      <c r="F261" s="175">
        <f t="shared" si="1050"/>
        <v>0.87000995181435847</v>
      </c>
      <c r="G261" s="175">
        <f t="shared" si="1050"/>
        <v>-0.24999996726497567</v>
      </c>
      <c r="H261" s="144"/>
      <c r="I261" s="91"/>
      <c r="J261" s="84">
        <f t="shared" si="1008"/>
        <v>6.1109999999999998</v>
      </c>
    </row>
    <row r="262" spans="5:10" x14ac:dyDescent="0.25">
      <c r="E262" s="175">
        <f t="shared" ref="E262:G262" si="1051">E117*-1</f>
        <v>0.42495023251139524</v>
      </c>
      <c r="F262" s="175">
        <f t="shared" si="1051"/>
        <v>0.87000995181435847</v>
      </c>
      <c r="G262" s="175">
        <f t="shared" si="1051"/>
        <v>-0.24999996726497567</v>
      </c>
      <c r="H262" s="144"/>
      <c r="I262" s="91"/>
      <c r="J262" s="84">
        <f t="shared" si="1008"/>
        <v>6.117</v>
      </c>
    </row>
    <row r="263" spans="5:10" x14ac:dyDescent="0.25">
      <c r="E263" s="175">
        <f t="shared" ref="E263:G263" si="1052">E118*-1</f>
        <v>0.43636080064898414</v>
      </c>
      <c r="F263" s="175">
        <f t="shared" si="1052"/>
        <v>0.86342205722851495</v>
      </c>
      <c r="G263" s="175">
        <f t="shared" si="1052"/>
        <v>-0.2531631939051503</v>
      </c>
      <c r="H263" s="144"/>
      <c r="I263" s="91"/>
      <c r="J263" s="84">
        <f t="shared" si="1008"/>
        <v>6.1230000000000002</v>
      </c>
    </row>
    <row r="264" spans="5:10" x14ac:dyDescent="0.25">
      <c r="E264" s="175">
        <f t="shared" ref="E264:G264" si="1053">E119*-1</f>
        <v>0.53796966048394357</v>
      </c>
      <c r="F264" s="175">
        <f t="shared" si="1053"/>
        <v>0.80238652925397336</v>
      </c>
      <c r="G264" s="175">
        <f t="shared" si="1053"/>
        <v>-0.25838827773440692</v>
      </c>
      <c r="H264" s="144"/>
      <c r="I264" s="91"/>
      <c r="J264" s="84">
        <f t="shared" si="1008"/>
        <v>6.1289999999999996</v>
      </c>
    </row>
    <row r="265" spans="5:10" x14ac:dyDescent="0.25">
      <c r="E265" s="175">
        <f t="shared" ref="E265:G265" si="1054">E120*-1</f>
        <v>0.60345746693328461</v>
      </c>
      <c r="F265" s="175">
        <f t="shared" si="1054"/>
        <v>0.75950953930490117</v>
      </c>
      <c r="G265" s="175">
        <f t="shared" si="1054"/>
        <v>-0.24286692921705239</v>
      </c>
      <c r="H265" s="144"/>
      <c r="I265" s="91"/>
      <c r="J265" s="84">
        <f t="shared" si="1008"/>
        <v>6.1349999999999998</v>
      </c>
    </row>
    <row r="266" spans="5:10" x14ac:dyDescent="0.25">
      <c r="E266" s="175">
        <f t="shared" ref="E266:G266" si="1055">E121*-1</f>
        <v>0.66981812070357039</v>
      </c>
      <c r="F266" s="175">
        <f t="shared" si="1055"/>
        <v>0.70759077349546506</v>
      </c>
      <c r="G266" s="175">
        <f t="shared" si="1055"/>
        <v>-0.22507550386753938</v>
      </c>
      <c r="H266" s="144"/>
      <c r="I266" s="91"/>
      <c r="J266" s="84">
        <f t="shared" si="1008"/>
        <v>6.141</v>
      </c>
    </row>
    <row r="267" spans="5:10" x14ac:dyDescent="0.25">
      <c r="E267" s="175">
        <f t="shared" ref="E267:G267" si="1056">E122*-1</f>
        <v>0.73594433874123244</v>
      </c>
      <c r="F267" s="175">
        <f t="shared" si="1056"/>
        <v>0.64013886229483175</v>
      </c>
      <c r="G267" s="175">
        <f t="shared" si="1056"/>
        <v>-0.22047259978194245</v>
      </c>
      <c r="H267" s="144"/>
      <c r="I267" s="91"/>
      <c r="J267" s="84">
        <f t="shared" si="1008"/>
        <v>6.1470000000000002</v>
      </c>
    </row>
    <row r="268" spans="5:10" x14ac:dyDescent="0.25">
      <c r="E268" s="175">
        <f t="shared" ref="E268:G268" si="1057">E123*-1</f>
        <v>0.79646100447322343</v>
      </c>
      <c r="F268" s="175">
        <f t="shared" si="1057"/>
        <v>0.57159814991413338</v>
      </c>
      <c r="G268" s="175">
        <f t="shared" si="1057"/>
        <v>-0.19729526950295598</v>
      </c>
      <c r="H268" s="144"/>
      <c r="I268" s="91"/>
      <c r="J268" s="84">
        <f t="shared" si="1008"/>
        <v>6.1529999999999996</v>
      </c>
    </row>
    <row r="269" spans="5:10" x14ac:dyDescent="0.25">
      <c r="E269" s="175">
        <f t="shared" ref="E269:G269" si="1058">E124*-1</f>
        <v>0.85344063870197839</v>
      </c>
      <c r="F269" s="175">
        <f t="shared" si="1058"/>
        <v>0.49342552413850421</v>
      </c>
      <c r="G269" s="175">
        <f t="shared" si="1058"/>
        <v>-0.16784018690588293</v>
      </c>
      <c r="H269" s="144"/>
      <c r="I269" s="91"/>
      <c r="J269" s="84">
        <f t="shared" si="1008"/>
        <v>6.1589999999999998</v>
      </c>
    </row>
    <row r="270" spans="5:10" x14ac:dyDescent="0.25">
      <c r="E270" s="175">
        <f t="shared" ref="E270:G270" si="1059">E125*-1</f>
        <v>0.89487214629348033</v>
      </c>
      <c r="F270" s="175">
        <f t="shared" si="1059"/>
        <v>0.43206705969041537</v>
      </c>
      <c r="G270" s="175">
        <f t="shared" si="1059"/>
        <v>-0.11190128559842012</v>
      </c>
      <c r="H270" s="144"/>
      <c r="I270" s="91"/>
      <c r="J270" s="84">
        <f t="shared" si="1008"/>
        <v>6.165</v>
      </c>
    </row>
    <row r="271" spans="5:10" x14ac:dyDescent="0.25">
      <c r="E271" s="175">
        <f t="shared" ref="E271:G271" si="1060">E126*-1</f>
        <v>0.92431331064886146</v>
      </c>
      <c r="F271" s="175">
        <f t="shared" si="1060"/>
        <v>0.37896704813194942</v>
      </c>
      <c r="G271" s="175">
        <f t="shared" si="1060"/>
        <v>-4.5043092561434989E-2</v>
      </c>
      <c r="H271" s="144"/>
      <c r="I271" s="91"/>
      <c r="J271" s="84">
        <f t="shared" si="1008"/>
        <v>6.1710000000000003</v>
      </c>
    </row>
    <row r="272" spans="5:10" x14ac:dyDescent="0.25">
      <c r="E272" s="175">
        <f t="shared" ref="E272:G272" si="1061">E127*-1</f>
        <v>0.95968761144423309</v>
      </c>
      <c r="F272" s="175">
        <f t="shared" si="1061"/>
        <v>0.28106883221097551</v>
      </c>
      <c r="G272" s="175">
        <f t="shared" si="1061"/>
        <v>-1.4578093222521901E-7</v>
      </c>
      <c r="H272" s="144"/>
      <c r="I272" s="91"/>
      <c r="J272" s="84">
        <f t="shared" si="1008"/>
        <v>6.1779999999999999</v>
      </c>
    </row>
    <row r="273" spans="5:10" x14ac:dyDescent="0.25">
      <c r="E273" s="175">
        <f t="shared" ref="E273:G273" si="1062">E128*-1</f>
        <v>1.5413998805180185E-7</v>
      </c>
      <c r="F273" s="175">
        <f t="shared" si="1062"/>
        <v>1.6636342520187238E-7</v>
      </c>
      <c r="G273" s="175">
        <f t="shared" si="1062"/>
        <v>-0.99999999999997435</v>
      </c>
      <c r="H273" s="144"/>
      <c r="I273" s="91"/>
      <c r="J273" s="84">
        <f t="shared" si="1008"/>
        <v>6.2290000000000001</v>
      </c>
    </row>
    <row r="274" spans="5:10" x14ac:dyDescent="0.25">
      <c r="E274" s="175">
        <f t="shared" ref="E274:G274" si="1063">E129*-1</f>
        <v>9.8124979833129705E-2</v>
      </c>
      <c r="F274" s="175">
        <f t="shared" si="1063"/>
        <v>-9.1234757976380532E-2</v>
      </c>
      <c r="G274" s="175">
        <f t="shared" si="1063"/>
        <v>-0.99098320231462</v>
      </c>
      <c r="H274" s="144"/>
      <c r="I274" s="91"/>
      <c r="J274" s="84">
        <f t="shared" si="1008"/>
        <v>6.2350000000000003</v>
      </c>
    </row>
    <row r="275" spans="5:10" x14ac:dyDescent="0.25">
      <c r="E275" s="175">
        <f t="shared" ref="E275:G275" si="1064">E130*-1</f>
        <v>0.80393967306043979</v>
      </c>
      <c r="F275" s="175">
        <f t="shared" si="1064"/>
        <v>0.52127447774067903</v>
      </c>
      <c r="G275" s="175">
        <f t="shared" si="1064"/>
        <v>-0.28627595242292964</v>
      </c>
      <c r="H275" s="144"/>
      <c r="I275" s="91"/>
      <c r="J275" s="84">
        <f t="shared" si="1008"/>
        <v>6.2409999999999997</v>
      </c>
    </row>
    <row r="276" spans="5:10" x14ac:dyDescent="0.25">
      <c r="E276" s="175">
        <f t="shared" ref="E276:G276" si="1065">E131*-1</f>
        <v>0.8618124288935527</v>
      </c>
      <c r="F276" s="175">
        <f t="shared" si="1065"/>
        <v>0.42954724382858867</v>
      </c>
      <c r="G276" s="175">
        <f t="shared" si="1065"/>
        <v>-0.26975637661389612</v>
      </c>
      <c r="H276" s="144"/>
      <c r="I276" s="91"/>
      <c r="J276" s="84">
        <f t="shared" si="1008"/>
        <v>6.2469999999999999</v>
      </c>
    </row>
    <row r="277" spans="5:10" x14ac:dyDescent="0.25">
      <c r="E277" s="175">
        <f t="shared" ref="E277:G277" si="1066">E132*-1</f>
        <v>0.91170148883904556</v>
      </c>
      <c r="F277" s="175">
        <f t="shared" si="1066"/>
        <v>0.33724958160020624</v>
      </c>
      <c r="G277" s="175">
        <f t="shared" si="1066"/>
        <v>-0.23465531095450107</v>
      </c>
      <c r="H277" s="144"/>
      <c r="I277" s="91"/>
      <c r="J277" s="84">
        <f t="shared" si="1008"/>
        <v>6.2530000000000001</v>
      </c>
    </row>
    <row r="278" spans="5:10" x14ac:dyDescent="0.25">
      <c r="E278" s="175">
        <f t="shared" ref="E278:G278" si="1067">E133*-1</f>
        <v>0.95255683335684771</v>
      </c>
      <c r="F278" s="175">
        <f t="shared" si="1067"/>
        <v>0.23425667028617525</v>
      </c>
      <c r="G278" s="175">
        <f t="shared" si="1067"/>
        <v>-0.19431750217520041</v>
      </c>
      <c r="H278" s="144"/>
      <c r="I278" s="91"/>
      <c r="J278" s="84">
        <f t="shared" si="1008"/>
        <v>6.2590000000000003</v>
      </c>
    </row>
    <row r="279" spans="5:10" x14ac:dyDescent="0.25">
      <c r="E279" s="175">
        <f t="shared" ref="E279:G279" si="1068">E134*-1</f>
        <v>0.55293201801262126</v>
      </c>
      <c r="F279" s="175">
        <f t="shared" si="1068"/>
        <v>-0.57772104685582604</v>
      </c>
      <c r="G279" s="175">
        <f t="shared" si="1068"/>
        <v>-0.60042033233085879</v>
      </c>
      <c r="H279" s="144"/>
      <c r="I279" s="91"/>
      <c r="J279" s="84">
        <f t="shared" si="1008"/>
        <v>6.2649999999999997</v>
      </c>
    </row>
    <row r="280" spans="5:10" x14ac:dyDescent="0.25">
      <c r="E280" s="175">
        <f t="shared" ref="E280:G280" si="1069">E135*-1</f>
        <v>0.60259625002180706</v>
      </c>
      <c r="F280" s="175">
        <f t="shared" si="1069"/>
        <v>-0.64869060634480746</v>
      </c>
      <c r="G280" s="175">
        <f t="shared" si="1069"/>
        <v>-0.46484218472473227</v>
      </c>
      <c r="H280" s="144"/>
      <c r="I280" s="91"/>
      <c r="J280" s="84">
        <f t="shared" si="1008"/>
        <v>6.2709999999999999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69"/>
      <c r="AA3" s="1070"/>
      <c r="AB3" s="1070"/>
      <c r="AC3" s="1070"/>
      <c r="AD3" s="1070"/>
      <c r="AE3" s="1070"/>
      <c r="AF3" s="1070"/>
      <c r="AG3" s="1070"/>
      <c r="AH3" s="1070"/>
      <c r="AI3" s="1070"/>
      <c r="AJ3" s="1070"/>
      <c r="AK3" s="1070"/>
      <c r="AL3" s="1070"/>
      <c r="AM3" s="1070"/>
      <c r="AN3" s="1070"/>
      <c r="AO3" s="1070"/>
      <c r="AP3" s="1070"/>
      <c r="AQ3" s="1071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8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5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1.1639999999999999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1.17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1.1759999999999999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1.228</v>
      </c>
      <c r="N179" s="594" t="str">
        <f>Assy.Model!K24</f>
        <v>Knuckle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1.234</v>
      </c>
      <c r="N180" s="594" t="str">
        <f>Assy.Model!K25</f>
        <v>Knuckle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1.24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1.246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1.252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1.258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1.264</v>
      </c>
      <c r="N185" s="594" t="str">
        <f>Assy.Model!K30</f>
        <v>Knuckle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1.27</v>
      </c>
      <c r="N186" s="594" t="str">
        <f>Assy.Model!K31</f>
        <v>Knuckle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2.1150000000000002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2.121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2.1269999999999998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2.133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2.1389999999999998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2.145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2.1509999999999998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2.157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2.1629999999999998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2.169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2.1749999999999998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2.2269999999999999</v>
      </c>
      <c r="N198" s="594" t="str">
        <f>Assy.Model!K43</f>
        <v>Knuckle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2.2330000000000001</v>
      </c>
      <c r="N199" s="594" t="str">
        <f>Assy.Model!K44</f>
        <v>Knuckle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2.2389999999999999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2.2450000000000001</v>
      </c>
      <c r="N201" s="594" t="str">
        <f>Assy.Model!K46</f>
        <v>1313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2.2509999999999999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2.2570000000000001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2.2629999999999999</v>
      </c>
      <c r="N204" s="594" t="str">
        <f>Assy.Model!K49</f>
        <v>Knuckle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2.2690000000000001</v>
      </c>
      <c r="N205" s="594" t="str">
        <f>Assy.Model!K50</f>
        <v>Knuckle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3.1030000000000002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3.1059999999999999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3.109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3.1139999999999999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3.12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3.1259999999999999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3.1320000000000001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3.1379999999999999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3.1440000000000001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3.15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3.1560000000000001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3.1619999999999999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3.1680000000000001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3.1739999999999999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3.226</v>
      </c>
      <c r="N220" s="594" t="str">
        <f>Assy.Model!K65</f>
        <v>Knuckle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3.2320000000000002</v>
      </c>
      <c r="N221" s="594" t="str">
        <f>Assy.Model!K66</f>
        <v>Knuckle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3.238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3.2440000000000002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3.25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3.2559999999999998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3.262</v>
      </c>
      <c r="N226" s="594" t="str">
        <f>Assy.Model!K71</f>
        <v>Knuckle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3.2679999999999998</v>
      </c>
      <c r="N227" s="594" t="str">
        <f>Assy.Model!K72</f>
        <v>Knuckle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4.1130000000000004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4.1189999999999998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4.125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4.1310000000000002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4.1369999999999996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4.1429999999999998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4.149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4.1550000000000002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4.1609999999999996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4.1669999999999998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4.173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4.1790000000000003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4.2309999999999999</v>
      </c>
      <c r="N240" s="594" t="str">
        <f>Assy.Model!K85</f>
        <v>Knuckle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4.2370000000000001</v>
      </c>
      <c r="N241" s="594" t="str">
        <f>Assy.Model!K86</f>
        <v>Knuckle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4.2430000000000003</v>
      </c>
      <c r="N242" s="594" t="str">
        <f>Assy.Model!K87</f>
        <v>1313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4.2489999999999997</v>
      </c>
      <c r="N243" s="594" t="str">
        <f>Assy.Model!K88</f>
        <v>1313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4.2549999999999999</v>
      </c>
      <c r="N244" s="594" t="str">
        <f>Assy.Model!K89</f>
        <v>1313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4.2610000000000001</v>
      </c>
      <c r="N245" s="594" t="str">
        <f>Assy.Model!K90</f>
        <v>1313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4.2670000000000003</v>
      </c>
      <c r="N246" s="594" t="str">
        <f>Assy.Model!K91</f>
        <v>Knuckle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4.2729999999999997</v>
      </c>
      <c r="N247" s="594" t="str">
        <f>Assy.Model!K92</f>
        <v>Knuckle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5.1020000000000003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5.1050000000000004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5.1079999999999997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5.1120000000000001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5.1180000000000003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5.1239999999999997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5.13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5.1360000000000001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5.1420000000000003</v>
      </c>
      <c r="N256" s="594" t="str">
        <f>Assy.Model!K101</f>
        <v>1613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5.1479999999999997</v>
      </c>
      <c r="N257" s="594" t="str">
        <f>Assy.Model!K102</f>
        <v>1613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5.1539999999999999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5.16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5.1660000000000004</v>
      </c>
      <c r="N260" s="594" t="str">
        <f>Assy.Model!K105</f>
        <v>1613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5.1719999999999997</v>
      </c>
      <c r="N261" s="594" t="str">
        <f>Assy.Model!K106</f>
        <v>1613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5.1779999999999999</v>
      </c>
      <c r="N262" s="594" t="str">
        <f>Assy.Model!K107</f>
        <v>1613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5.23</v>
      </c>
      <c r="N263" s="594" t="str">
        <f>Assy.Model!K108</f>
        <v>Knuckle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5.2359999999999998</v>
      </c>
      <c r="N264" s="594" t="str">
        <f>Assy.Model!K109</f>
        <v>Knuckle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5.242</v>
      </c>
      <c r="N265" s="594" t="str">
        <f>Assy.Model!K110</f>
        <v>1313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5.2480000000000002</v>
      </c>
      <c r="N266" s="594" t="str">
        <f>Assy.Model!K111</f>
        <v>1313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5.2539999999999996</v>
      </c>
      <c r="N267" s="594" t="str">
        <f>Assy.Model!K112</f>
        <v>1313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5.26</v>
      </c>
      <c r="N268" s="594" t="str">
        <f>Assy.Model!K113</f>
        <v>1313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5.266</v>
      </c>
      <c r="N269" s="594" t="str">
        <f>Assy.Model!K114</f>
        <v>Knuckle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5.2720000000000002</v>
      </c>
      <c r="N270" s="594" t="str">
        <f>Assy.Model!K115</f>
        <v>Knuckle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6.1109999999999998</v>
      </c>
      <c r="N271" s="594" t="str">
        <f>Assy.Model!K116</f>
        <v>1613</v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6.117</v>
      </c>
      <c r="N272" s="594" t="str">
        <f>Assy.Model!K117</f>
        <v>1613</v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6.1230000000000002</v>
      </c>
      <c r="N273" s="594" t="str">
        <f>Assy.Model!K118</f>
        <v>1613</v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>
        <f>Assy.Model!$M119</f>
        <v>6.1289999999999996</v>
      </c>
      <c r="N274" s="594" t="str">
        <f>Assy.Model!K119</f>
        <v>1613</v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>
        <f>Assy.Model!$M120</f>
        <v>6.1349999999999998</v>
      </c>
      <c r="N275" s="594" t="str">
        <f>Assy.Model!K120</f>
        <v>1613</v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>
        <f>Assy.Model!$M121</f>
        <v>6.141</v>
      </c>
      <c r="N276" s="594" t="str">
        <f>Assy.Model!K121</f>
        <v>1613</v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>
        <f>Assy.Model!$M122</f>
        <v>6.1470000000000002</v>
      </c>
      <c r="N277" s="594" t="str">
        <f>Assy.Model!K122</f>
        <v>1613</v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>
        <f>Assy.Model!$M123</f>
        <v>6.1529999999999996</v>
      </c>
      <c r="N278" s="594" t="str">
        <f>Assy.Model!K123</f>
        <v>1613</v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>
        <f>Assy.Model!$M124</f>
        <v>6.1589999999999998</v>
      </c>
      <c r="N279" s="594" t="str">
        <f>Assy.Model!K124</f>
        <v>1613</v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>
        <f>Assy.Model!$M125</f>
        <v>6.165</v>
      </c>
      <c r="N280" s="594" t="str">
        <f>Assy.Model!K125</f>
        <v>1613</v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>
        <f>Assy.Model!$M126</f>
        <v>6.1710000000000003</v>
      </c>
      <c r="N281" s="594" t="str">
        <f>Assy.Model!K126</f>
        <v>1613</v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>
        <f>Assy.Model!$M127</f>
        <v>6.1779999999999999</v>
      </c>
      <c r="N282" s="594" t="str">
        <f>Assy.Model!K127</f>
        <v>1613</v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>
        <f>Assy.Model!$M128</f>
        <v>6.2290000000000001</v>
      </c>
      <c r="N283" s="594" t="str">
        <f>Assy.Model!K128</f>
        <v>Knuckle</v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>
        <f>Assy.Model!$M129</f>
        <v>6.2350000000000003</v>
      </c>
      <c r="N284" s="594" t="str">
        <f>Assy.Model!K129</f>
        <v>Knuckle</v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>
        <f>Assy.Model!$M130</f>
        <v>6.2409999999999997</v>
      </c>
      <c r="N285" s="594" t="str">
        <f>Assy.Model!K130</f>
        <v>1313</v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>
        <f>Assy.Model!$M131</f>
        <v>6.2469999999999999</v>
      </c>
      <c r="N286" s="594" t="str">
        <f>Assy.Model!K131</f>
        <v>1313</v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>
        <f>Assy.Model!$M132</f>
        <v>6.2530000000000001</v>
      </c>
      <c r="N287" s="594" t="str">
        <f>Assy.Model!K132</f>
        <v>1313</v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>
        <f>Assy.Model!$M133</f>
        <v>6.2590000000000003</v>
      </c>
      <c r="N288" s="594" t="str">
        <f>Assy.Model!K133</f>
        <v>1313</v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>
        <f>Assy.Model!$M134</f>
        <v>6.2649999999999997</v>
      </c>
      <c r="N289" s="594" t="str">
        <f>Assy.Model!K134</f>
        <v>Knuckle</v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>
        <f>Assy.Model!$M135</f>
        <v>6.2709999999999999</v>
      </c>
      <c r="N290" s="594" t="str">
        <f>Assy.Model!K135</f>
        <v>Knuckle</v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2023-03-17T18:41:23Z</dcterms:modified>
</cp:coreProperties>
</file>